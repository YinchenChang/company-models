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In!$E$32</definedName>
    <definedName function="false" hidden="false" name="a25_ni" vbProcedure="false">In!$E$31</definedName>
    <definedName function="false" hidden="false" name="a25_rev" vbProcedure="false">In!$E$30</definedName>
    <definedName function="false" hidden="false" name="bb_px" vbProcedure="false">In!$E$57</definedName>
    <definedName function="false" hidden="false" name="cap_2026" vbProcedure="false">In!$E$51</definedName>
    <definedName function="false" hidden="false" name="cap_2026_hi" vbProcedure="false">In!$F$51</definedName>
    <definedName function="false" hidden="false" name="cap_2026_lo" vbProcedure="false">In!$D$51</definedName>
    <definedName function="false" hidden="false" name="cap_2027" vbProcedure="false">In!$E$52</definedName>
    <definedName function="false" hidden="false" name="cap_2027_hi" vbProcedure="false">In!$F$52</definedName>
    <definedName function="false" hidden="false" name="cap_2027_lo" vbProcedure="false">In!$D$52</definedName>
    <definedName function="false" hidden="false" name="cap_2028" vbProcedure="false">In!$E$53</definedName>
    <definedName function="false" hidden="false" name="cap_2028_hi" vbProcedure="false">In!$F$53</definedName>
    <definedName function="false" hidden="false" name="cap_2028_lo" vbProcedure="false">In!$D$53</definedName>
    <definedName function="false" hidden="false" name="cap_2029" vbProcedure="false">In!$E$54</definedName>
    <definedName function="false" hidden="false" name="cap_2029_hi" vbProcedure="false">In!$F$54</definedName>
    <definedName function="false" hidden="false" name="cap_2029_lo" vbProcedure="false">In!$D$54</definedName>
    <definedName function="false" hidden="false" name="cd_A" vbProcedure="false">In!$E$35</definedName>
    <definedName function="false" hidden="false" name="cd_A_hi" vbProcedure="false">In!$F$35</definedName>
    <definedName function="false" hidden="false" name="cd_A_lo" vbProcedure="false">In!$D$35</definedName>
    <definedName function="false" hidden="false" name="cd_B" vbProcedure="false">In!$E$36</definedName>
    <definedName function="false" hidden="false" name="cd_B_hi" vbProcedure="false">In!$F$36</definedName>
    <definedName function="false" hidden="false" name="cd_B_lo" vbProcedure="false">In!$D$36</definedName>
    <definedName function="false" hidden="false" name="cd_C" vbProcedure="false">In!$E$37</definedName>
    <definedName function="false" hidden="false" name="cd_C_hi" vbProcedure="false">In!$F$37</definedName>
    <definedName function="false" hidden="false" name="cd_C_lo" vbProcedure="false">In!$D$37</definedName>
    <definedName function="false" hidden="false" name="cons_bv26" vbProcedure="false">In!$E$66</definedName>
    <definedName function="false" hidden="false" name="cons_bv27" vbProcedure="false">In!$E$67</definedName>
    <definedName function="false" hidden="false" name="cons_bv28" vbProcedure="false">In!$E$68</definedName>
    <definedName function="false" hidden="false" name="cons_eps26" vbProcedure="false">In!$E$63</definedName>
    <definedName function="false" hidden="false" name="cons_eps27" vbProcedure="false">In!$E$64</definedName>
    <definedName function="false" hidden="false" name="cons_eps28" vbProcedure="false">In!$E$65</definedName>
    <definedName function="false" hidden="false" name="cons_ni26" vbProcedure="false">In!$E$61</definedName>
    <definedName function="false" hidden="false" name="cons_ni27" vbProcedure="false">In!$E$62</definedName>
    <definedName function="false" hidden="false" name="cons_rev26" vbProcedure="false">In!$E$59</definedName>
    <definedName function="false" hidden="false" name="cons_rev26_hi" vbProcedure="false">In!$F$59</definedName>
    <definedName function="false" hidden="false" name="cons_rev26_lo" vbProcedure="false">In!$D$59</definedName>
    <definedName function="false" hidden="false" name="cons_rev27" vbProcedure="false">In!$E$60</definedName>
    <definedName function="false" hidden="false" name="cons_tp" vbProcedure="false">In!$E$86</definedName>
    <definedName function="false" hidden="false" name="cons_tp_hi" vbProcedure="false">In!$F$86</definedName>
    <definedName function="false" hidden="false" name="cons_tp_lo" vbProcedure="false">In!$D$86</definedName>
    <definedName function="false" hidden="false" name="cyc_mA" vbProcedure="false">In!$E$78</definedName>
    <definedName function="false" hidden="false" name="cyc_mC" vbProcedure="false">In!$E$79</definedName>
    <definedName function="false" hidden="false" name="da_y" vbProcedure="false">In!$E$50</definedName>
    <definedName function="false" hidden="false" name="da_y_hi" vbProcedure="false">In!$F$50</definedName>
    <definedName function="false" hidden="false" name="da_y_lo" vbProcedure="false">In!$D$50</definedName>
    <definedName function="false" hidden="false" name="dil" vbProcedure="false">In!$E$49</definedName>
    <definedName function="false" hidden="false" name="eq25" vbProcedure="false">In!$E$47</definedName>
    <definedName function="false" hidden="false" name="eq_j" vbProcedure="false">In!$E$45</definedName>
    <definedName function="false" hidden="false" name="fade_gA" vbProcedure="false">In!$E$83</definedName>
    <definedName function="false" hidden="false" name="fade_gB" vbProcedure="false">In!$E$84</definedName>
    <definedName function="false" hidden="false" name="fade_gC" vbProcedure="false">In!$E$85</definedName>
    <definedName function="false" hidden="false" name="fade_mA" vbProcedure="false">In!$E$80</definedName>
    <definedName function="false" hidden="false" name="fade_mB" vbProcedure="false">In!$E$81</definedName>
    <definedName function="false" hidden="false" name="fade_mC" vbProcedure="false">In!$E$82</definedName>
    <definedName function="false" hidden="false" name="fx" vbProcedure="false">In!$E$38</definedName>
    <definedName function="false" hidden="false" name="fx_hi" vbProcedure="false">In!$F$38</definedName>
    <definedName function="false" hidden="false" name="fx_lo" vbProcedure="false">In!$D$38</definedName>
    <definedName function="false" hidden="false" name="g2_ni" vbProcedure="false">In!$E$28</definedName>
    <definedName function="false" hidden="false" name="g2_op" vbProcedure="false">In!$E$27</definedName>
    <definedName function="false" hidden="false" name="g2_ox" vbProcedure="false">In!$E$29</definedName>
    <definedName function="false" hidden="false" name="g2_ox_hi" vbProcedure="false">In!$F$29</definedName>
    <definedName function="false" hidden="false" name="g2_ox_lo" vbProcedure="false">In!$D$29</definedName>
    <definedName function="false" hidden="false" name="g2_rev" vbProcedure="false">In!$E$26</definedName>
    <definedName function="false" hidden="false" name="kx_k" vbProcedure="false">In!$E$33</definedName>
    <definedName function="false" hidden="false" name="nc_j" vbProcedure="false">In!$E$46</definedName>
    <definedName function="false" hidden="false" name="nim10" vbProcedure="false">In!$E$77</definedName>
    <definedName function="false" hidden="false" name="nonop_q" vbProcedure="false">In!$E$41</definedName>
    <definedName function="false" hidden="false" name="nonop_q_hi" vbProcedure="false">In!$F$41</definedName>
    <definedName function="false" hidden="false" name="nonop_q_lo" vbProcedure="false">In!$D$41</definedName>
    <definedName function="false" hidden="false" name="ox_g" vbProcedure="false">In!$E$40</definedName>
    <definedName function="false" hidden="false" name="ox_g_hi" vbProcedure="false">In!$F$40</definedName>
    <definedName function="false" hidden="false" name="ox_g_lo" vbProcedure="false">In!$D$40</definedName>
    <definedName function="false" hidden="false" name="ox_var" vbProcedure="false">In!$E$39</definedName>
    <definedName function="false" hidden="false" name="ox_var_hi" vbProcedure="false">In!$F$39</definedName>
    <definedName function="false" hidden="false" name="ox_var_lo" vbProcedure="false">In!$D$39</definedName>
    <definedName function="false" hidden="false" name="p1_gp" vbProcedure="false">In!$E$6</definedName>
    <definedName function="false" hidden="false" name="p1_ni" vbProcedure="false">In!$E$8</definedName>
    <definedName function="false" hidden="false" name="p1_op" vbProcedure="false">In!$E$7</definedName>
    <definedName function="false" hidden="false" name="p1_rev" vbProcedure="false">In!$E$5</definedName>
    <definedName function="false" hidden="false" name="p2_gp" vbProcedure="false">In!$E$10</definedName>
    <definedName function="false" hidden="false" name="p2_ni" vbProcedure="false">In!$E$12</definedName>
    <definedName function="false" hidden="false" name="p2_op" vbProcedure="false">In!$E$11</definedName>
    <definedName function="false" hidden="false" name="p2_rev" vbProcedure="false">In!$E$9</definedName>
    <definedName function="false" hidden="false" name="p3_gp" vbProcedure="false">In!$E$14</definedName>
    <definedName function="false" hidden="false" name="p3_ni" vbProcedure="false">In!$E$16</definedName>
    <definedName function="false" hidden="false" name="p3_op" vbProcedure="false">In!$E$15</definedName>
    <definedName function="false" hidden="false" name="p3_rev" vbProcedure="false">In!$E$13</definedName>
    <definedName function="false" hidden="false" name="p4_gp" vbProcedure="false">In!$E$18</definedName>
    <definedName function="false" hidden="false" name="p4_ni" vbProcedure="false">In!$E$20</definedName>
    <definedName function="false" hidden="false" name="p4_op" vbProcedure="false">In!$E$19</definedName>
    <definedName function="false" hidden="false" name="p4_rev" vbProcedure="false">In!$E$17</definedName>
    <definedName function="false" hidden="false" name="payout" vbProcedure="false">In!$E$55</definedName>
    <definedName function="false" hidden="false" name="payout_hi" vbProcedure="false">In!$F$55</definedName>
    <definedName function="false" hidden="false" name="payout_lo" vbProcedure="false">In!$D$55</definedName>
    <definedName function="false" hidden="false" name="px" vbProcedure="false">In!$E$56</definedName>
    <definedName function="false" hidden="false" name="q1_eps" vbProcedure="false">In!$E$25</definedName>
    <definedName function="false" hidden="false" name="q1_gp" vbProcedure="false">In!$E$22</definedName>
    <definedName function="false" hidden="false" name="q1_ni" vbProcedure="false">In!$E$24</definedName>
    <definedName function="false" hidden="false" name="q1_op" vbProcedure="false">In!$E$23</definedName>
    <definedName function="false" hidden="false" name="q1_rev" vbProcedure="false">In!$E$21</definedName>
    <definedName function="false" hidden="false" name="rf" vbProcedure="false">In!$E$43</definedName>
    <definedName function="false" hidden="false" name="rf_hi" vbProcedure="false">In!$F$43</definedName>
    <definedName function="false" hidden="false" name="rf_lo" vbProcedure="false">In!$D$43</definedName>
    <definedName function="false" hidden="false" name="sh0" vbProcedure="false">In!$E$48</definedName>
    <definedName function="false" hidden="false" name="tax" vbProcedure="false">In!$E$42</definedName>
    <definedName function="false" hidden="false" name="tax_hi" vbProcedure="false">In!$F$42</definedName>
    <definedName function="false" hidden="false" name="tax_lo" vbProcedure="false">In!$D$42</definedName>
    <definedName function="false" hidden="false" name="tp_g" vbProcedure="false">In!$E$74</definedName>
    <definedName function="false" hidden="false" name="tp_r" vbProcedure="false">In!$E$73</definedName>
    <definedName function="false" hidden="false" name="tp_roe" vbProcedure="false">In!$E$75</definedName>
    <definedName function="false" hidden="false" name="tp_wA" vbProcedure="false">In!$E$70</definedName>
    <definedName function="false" hidden="false" name="tp_wB" vbProcedure="false">In!$E$71</definedName>
    <definedName function="false" hidden="false" name="tp_wC" vbProcedure="false">In!$E$72</definedName>
    <definedName function="false" hidden="false" name="tp_w_dcf" vbProcedure="false">In!$E$76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<sst xmlns="http://schemas.openxmlformats.org/spreadsheetml/2006/main" count="2745" uniqueCount="726">
  <si>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285A JP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</si>
  <si>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是全球第三、四大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廠（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營收市占 </t>
    </r>
    <r>
      <rPr>
        <sz val="11"/>
        <rFont val="Cambria"/>
        <family val="0"/>
        <charset val="1"/>
      </rPr>
      <t xml:space="preserve">13.6%</t>
    </r>
    <r>
      <rPr>
        <sz val="11"/>
        <rFont val="Noto Sans CJK SC"/>
        <family val="2"/>
      </rPr>
      <t xml:space="preserve">），與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共用四日市、北上合資產能；盈餘由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位元與日圓匯率決定。問題是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起三情境分歧），以及現價約 </t>
    </r>
    <r>
      <rPr>
        <sz val="11"/>
        <rFont val="Cambria"/>
        <family val="0"/>
        <charset val="1"/>
      </rPr>
      <t xml:space="preserve">2.6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</si>
  <si>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</si>
  <si>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</si>
  <si>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份額，美元；同字母情境）與位元（季度出貨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</si>
  <si>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成本（日圓；第二季以指引校準，之後每年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</si>
  <si>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區塊｜淨利＝（營業利益＋業外＋淨現金收益）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</t>
    </r>
    <r>
      <rPr>
        <sz val="11"/>
        <rFont val="Cambria"/>
        <family val="0"/>
        <charset val="1"/>
      </rPr>
      <t xml:space="preserve">¥470B</t>
    </r>
    <r>
      <rPr>
        <sz val="11"/>
        <rFont val="Noto Sans CJK SC"/>
        <family val="2"/>
      </rPr>
      <t xml:space="preserve">／年）；股東回饋＝</t>
    </r>
    <r>
      <rPr>
        <sz val="11"/>
        <rFont val="Cambria"/>
        <family val="0"/>
        <charset val="1"/>
      </rPr>
      <t xml:space="preserve">20% × FCF</t>
    </r>
    <r>
      <rPr>
        <sz val="11"/>
        <rFont val="Noto Sans CJK SC"/>
        <family val="2"/>
      </rPr>
      <t xml:space="preserve">（以買回計）→ 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</si>
  <si>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</si>
  <si>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 ≈ CY2026Q2–CY2027Q1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FY2027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7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。每股數字為 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一股分三股後。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</si>
  <si>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同值）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2027Q1 </t>
    </r>
    <r>
      <rPr>
        <sz val="11"/>
        <rFont val="Noto Sans CJK SC"/>
        <family val="2"/>
      </rPr>
      <t xml:space="preserve">漲幅較大。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</si>
  <si>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2024-12 </t>
    </r>
    <r>
      <rPr>
        <sz val="11"/>
        <rFont val="Noto Sans CJK SC"/>
        <family val="2"/>
      </rPr>
      <t xml:space="preserve">上市，只有兩個年底；十年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tp_roe </t>
    </r>
    <r>
      <rPr>
        <sz val="11"/>
        <rFont val="Noto Sans CJK SC"/>
        <family val="2"/>
      </rPr>
      <t xml:space="preserve">只用 </t>
    </r>
    <r>
      <rPr>
        <sz val="11"/>
        <rFont val="Cambria"/>
        <family val="0"/>
        <charset val="1"/>
      </rPr>
      <t xml:space="preserve">FY2024–FY2025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</si>
  <si>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）；每股：日圓（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一股分三股後）；股數：百萬股。每個輸入附標記與來源；找不到者寫「未找到」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</si>
  <si>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</si>
  <si>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</si>
  <si>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</si>
  <si>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</si>
  <si>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</si>
  <si>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</si>
  <si>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</si>
  <si>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</si>
  <si>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</si>
  <si>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</si>
  <si>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¥B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日圓，分割後）</t>
    </r>
  </si>
  <si>
    <t xml:space="preserve">p1_rev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</si>
  <si>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季營收</t>
    </r>
  </si>
  <si>
    <t xml:space="preserve">¥B</t>
  </si>
  <si>
    <t xml:space="preserve">Verified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</si>
  <si>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（前期欄：營收 </t>
    </r>
    <r>
      <rPr>
        <sz val="11"/>
        <color theme="1"/>
        <rFont val="Calibri"/>
        <family val="2"/>
        <charset val="1"/>
      </rPr>
      <t xml:space="preserve">342.8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44.9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</si>
  <si>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轉載決算；</t>
    </r>
    <r>
      <rPr>
        <sz val="11"/>
        <color theme="1"/>
        <rFont val="Calibri"/>
        <family val="2"/>
        <charset val="1"/>
      </rPr>
      <t xml:space="preserve">MarketScreener 2,337.6</t>
    </r>
    <r>
      <rPr>
        <sz val="11"/>
        <color theme="1"/>
        <rFont val="Noto Sans CJK SC"/>
        <family val="2"/>
      </rPr>
      <t xml:space="preserve">）</t>
    </r>
  </si>
  <si>
    <t xml:space="preserve">p1_gp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</si>
  <si>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季毛利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</si>
  <si>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</si>
  <si>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</si>
  <si>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p1_op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</si>
  <si>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季營業利益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</si>
  <si>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869.0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870.4</t>
    </r>
    <r>
      <rPr>
        <sz val="11"/>
        <color theme="1"/>
        <rFont val="Noto Sans CJK SC"/>
        <family val="2"/>
      </rPr>
      <t xml:space="preserve">，取整差）</t>
    </r>
  </si>
  <si>
    <t xml:space="preserve">p1_ni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</si>
  <si>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季淨利</t>
    </r>
  </si>
  <si>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554.5</t>
    </r>
    <r>
      <rPr>
        <sz val="11"/>
        <color theme="1"/>
        <rFont val="Noto Sans CJK SC"/>
        <family val="2"/>
      </rPr>
      <t xml:space="preserve">）</t>
    </r>
  </si>
  <si>
    <t xml:space="preserve">p2_rev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</si>
  <si>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季營收</t>
    </r>
  </si>
  <si>
    <t xml:space="preserve">p2_gp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</si>
  <si>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季毛利</t>
    </r>
  </si>
  <si>
    <t xml:space="preserve">p2_op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</si>
  <si>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季營業利益</t>
    </r>
  </si>
  <si>
    <t xml:space="preserve">p2_ni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</si>
  <si>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季淨利</t>
    </r>
  </si>
  <si>
    <t xml:space="preserve">p3_rev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</si>
  <si>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季營收</t>
    </r>
  </si>
  <si>
    <t xml:space="preserve">p3_gp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</si>
  <si>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季毛利</t>
    </r>
  </si>
  <si>
    <t xml:space="preserve">p3_op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</si>
  <si>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季營業利益</t>
    </r>
  </si>
  <si>
    <t xml:space="preserve">p3_ni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</si>
  <si>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季淨利</t>
    </r>
  </si>
  <si>
    <t xml:space="preserve">p4_rev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</si>
  <si>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季營收</t>
    </r>
  </si>
  <si>
    <t xml:space="preserve">p4_gp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</si>
  <si>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季毛利</t>
    </r>
  </si>
  <si>
    <t xml:space="preserve">p4_op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</si>
  <si>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季營業利益</t>
    </r>
  </si>
  <si>
    <t xml:space="preserve">p4_ni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</si>
  <si>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季淨利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</si>
  <si>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</si>
  <si>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</si>
  <si>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</si>
  <si>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1,174.7</t>
    </r>
    <r>
      <rPr>
        <sz val="11"/>
        <color theme="1"/>
        <rFont val="Noto Sans CJK SC"/>
        <family val="2"/>
      </rPr>
      <t xml:space="preserve">、智慧裝置 </t>
    </r>
    <r>
      <rPr>
        <sz val="11"/>
        <color theme="1"/>
        <rFont val="Calibri"/>
        <family val="2"/>
        <charset val="1"/>
      </rPr>
      <t xml:space="preserve">525.7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66.7</t>
    </r>
    <r>
      <rPr>
        <sz val="11"/>
        <color theme="1"/>
        <rFont val="Noto Sans CJK SC"/>
        <family val="2"/>
      </rPr>
      <t xml:space="preserve">；平均匯率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日圓</t>
    </r>
  </si>
  <si>
    <t xml:space="preserve">q1_gp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</si>
  <si>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第一季毛利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</si>
  <si>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1,380,066 </t>
    </r>
    <r>
      <rPr>
        <sz val="11"/>
        <color theme="1"/>
        <rFont val="Noto Sans CJK SC"/>
        <family val="2"/>
      </rPr>
      <t xml:space="preserve">百萬日圓</t>
    </r>
  </si>
  <si>
    <t xml:space="preserve">財報摘要未列毛利</t>
  </si>
  <si>
    <t xml:space="preserve">q1_op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</si>
  <si>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</si>
  <si>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含訴訟損失準備 </t>
    </r>
    <r>
      <rPr>
        <sz val="11"/>
        <color theme="1"/>
        <rFont val="Calibri"/>
        <family val="2"/>
        <charset val="1"/>
      </rPr>
      <t xml:space="preserve">36.6</t>
    </r>
    <r>
      <rPr>
        <sz val="11"/>
        <color theme="1"/>
        <rFont val="Noto Sans CJK SC"/>
        <family val="2"/>
      </rPr>
      <t xml:space="preserve">、股份報酬 </t>
    </r>
    <r>
      <rPr>
        <sz val="11"/>
        <color theme="1"/>
        <rFont val="Calibri"/>
        <family val="2"/>
        <charset val="1"/>
      </rPr>
      <t xml:space="preserve">19.4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加回）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</si>
  <si>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</si>
  <si>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第一季淨利（歸屬母公司）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</si>
  <si>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</si>
  <si>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（分割後）</t>
    </r>
  </si>
  <si>
    <t xml:space="preserve">JPY</t>
  </si>
  <si>
    <t xml:space="preserve">Derived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</si>
  <si>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¥1,539.91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</si>
  <si>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一股分三股（</t>
    </r>
    <r>
      <rPr>
        <sz val="11"/>
        <color theme="1"/>
        <rFont val="Calibri"/>
        <family val="2"/>
        <charset val="1"/>
      </rPr>
      <t xml:space="preserve">2026-07-31 </t>
    </r>
    <r>
      <rPr>
        <sz val="11"/>
        <color theme="1"/>
        <rFont val="Noto Sans CJK SC"/>
        <family val="2"/>
      </rPr>
      <t xml:space="preserve">董事會）</t>
    </r>
  </si>
  <si>
    <t xml:space="preserve">g2_rev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</si>
  <si>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</si>
  <si>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¥2,390.0B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美元＝</t>
    </r>
    <r>
      <rPr>
        <sz val="11"/>
        <color theme="1"/>
        <rFont val="Calibri"/>
        <family val="2"/>
        <charset val="1"/>
      </rPr>
      <t xml:space="preserve">162 </t>
    </r>
    <r>
      <rPr>
        <sz val="11"/>
        <color theme="1"/>
        <rFont val="Noto Sans CJK SC"/>
        <family val="2"/>
      </rPr>
      <t xml:space="preserve">日圓）</t>
    </r>
  </si>
  <si>
    <t xml:space="preserve">公司不提供全年計畫（立場：公司）</t>
  </si>
  <si>
    <t xml:space="preserve">g2_op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</si>
  <si>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第二季營業利益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</si>
  <si>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¥1,890.0B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1,900.0</t>
    </r>
    <r>
      <rPr>
        <sz val="11"/>
        <color theme="1"/>
        <rFont val="Noto Sans CJK SC"/>
        <family val="2"/>
      </rPr>
      <t xml:space="preserve">）</t>
    </r>
  </si>
  <si>
    <t xml:space="preserve">g2_ni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</si>
  <si>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第二季淨利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</si>
  <si>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¥1,270.0B</t>
    </r>
    <r>
      <rPr>
        <sz val="11"/>
        <color theme="1"/>
        <rFont val="Noto Sans CJK SC"/>
        <family val="2"/>
      </rPr>
      <t xml:space="preserve">；基本 </t>
    </r>
    <r>
      <rPr>
        <sz val="11"/>
        <color theme="1"/>
        <rFont val="Calibri"/>
        <family val="2"/>
        <charset val="1"/>
      </rPr>
      <t xml:space="preserve">EPS ¥2,317.46</t>
    </r>
    <r>
      <rPr>
        <sz val="11"/>
        <color theme="1"/>
        <rFont val="Noto Sans CJK SC"/>
        <family val="2"/>
      </rPr>
      <t xml:space="preserve">（分割前）</t>
    </r>
  </si>
  <si>
    <t xml:space="preserve">g2_ox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</si>
  <si>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第二季營業費用（推估；校準用）</t>
    </r>
  </si>
  <si>
    <t xml:space="preserve">Assumed</t>
  </si>
  <si>
    <r>
      <rPr>
        <sz val="11"/>
        <color theme="1"/>
        <rFont val="Noto Sans CJK SC"/>
        <family val="2"/>
      </rPr>
      <t xml:space="preserve">第一季毛利 − 營業利益＝</t>
    </r>
    <r>
      <rPr>
        <sz val="11"/>
        <color theme="1"/>
        <rFont val="Calibri"/>
        <family val="2"/>
        <charset val="1"/>
      </rPr>
      <t xml:space="preserve">110.1</t>
    </r>
    <r>
      <rPr>
        <sz val="11"/>
        <color theme="1"/>
        <rFont val="Noto Sans CJK SC"/>
        <family val="2"/>
      </rPr>
      <t xml:space="preserve">（含一次性 </t>
    </r>
    <r>
      <rPr>
        <sz val="11"/>
        <color theme="1"/>
        <rFont val="Calibri"/>
        <family val="2"/>
        <charset val="1"/>
      </rPr>
      <t xml:space="preserve">56.0</t>
    </r>
    <r>
      <rPr>
        <sz val="11"/>
        <color theme="1"/>
        <rFont val="Noto Sans CJK SC"/>
        <family val="2"/>
      </rPr>
      <t xml:space="preserve">）；第二季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營業利益差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</si>
  <si>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第二季營業成本＝營收 − 營業利益 − 本值（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），用於校準每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成本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</si>
  <si>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</si>
  <si>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</si>
  <si>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四季合計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</si>
  <si>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決算，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</si>
  <si>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a25_ni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</si>
  <si>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</si>
  <si>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554.0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MarketScreener 554.5</t>
    </r>
  </si>
  <si>
    <t xml:space="preserve">a25_eps</t>
  </si>
  <si>
    <r>
      <rPr>
        <sz val="11"/>
        <color theme="1"/>
        <rFont val="Calibri"/>
        <family val="2"/>
        <charset val="1"/>
      </rPr>
      <t xml:space="preserve">FY2025 EPS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</si>
  <si>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341.4</t>
    </r>
  </si>
  <si>
    <r>
      <rPr>
        <sz val="11"/>
        <color theme="1"/>
        <rFont val="Calibri"/>
        <family val="2"/>
        <charset val="1"/>
      </rPr>
      <t xml:space="preserve">≈ 554.5 ÷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1,624 </t>
    </r>
    <r>
      <rPr>
        <sz val="11"/>
        <color theme="1"/>
        <rFont val="Noto Sans CJK SC"/>
        <family val="2"/>
      </rPr>
      <t xml:space="preserve">百萬股（分割後，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</si>
  <si>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</si>
  <si>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</t>
    </r>
  </si>
  <si>
    <t xml:space="preserve">x</t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</si>
  <si>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2026Q2 Kioxia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</si>
  <si>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公司營收含其他（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</si>
  <si>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成本、費用、稅、匯率（公司特有；隨情境者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</si>
  <si>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</si>
  <si>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</si>
  <si>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%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</si>
  <si>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量產、密度約 </t>
    </r>
    <r>
      <rPr>
        <sz val="11"/>
        <color theme="1"/>
        <rFont val="Calibri"/>
        <family val="2"/>
        <charset val="1"/>
      </rPr>
      <t xml:space="preserve">+59%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</si>
  <si>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同值（同一合資晶圓廠與 </t>
    </r>
    <r>
      <rPr>
        <sz val="11"/>
        <color theme="1"/>
        <rFont val="Calibri"/>
        <family val="2"/>
        <charset val="1"/>
      </rPr>
      <t xml:space="preserve">BiCS </t>
    </r>
    <r>
      <rPr>
        <sz val="11"/>
        <color theme="1"/>
        <rFont val="Noto Sans CJK SC"/>
        <family val="2"/>
      </rPr>
      <t xml:space="preserve">世代）；以第二季指引校準的單位成本為起點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</si>
  <si>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</si>
  <si>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</si>
  <si>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</si>
  <si>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</si>
  <si>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</si>
  <si>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</si>
  <si>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</si>
  <si>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</si>
  <si>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</si>
  <si>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</si>
  <si>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第一季平均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、第二季指引假設 </t>
    </r>
    <r>
      <rPr>
        <sz val="11"/>
        <color theme="1"/>
        <rFont val="Calibri"/>
        <family val="2"/>
        <charset val="1"/>
      </rPr>
      <t xml:space="preserve">162</t>
    </r>
  </si>
  <si>
    <r>
      <rPr>
        <sz val="11"/>
        <color theme="1"/>
        <rFont val="Noto Sans CJK SC"/>
        <family val="2"/>
      </rPr>
      <t xml:space="preserve">營收以美元計價（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匯率）；成本以日圓計，不隨匯率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</si>
  <si>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</si>
  <si>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</si>
  <si>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營業費用（毛利 − 營業利益）</t>
    </r>
    <r>
      <rPr>
        <sz val="11"/>
        <color theme="1"/>
        <rFont val="Calibri"/>
        <family val="2"/>
        <charset val="1"/>
      </rPr>
      <t xml:space="preserve">143.8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2,337.6 ≈ 6%</t>
    </r>
    <r>
      <rPr>
        <sz val="11"/>
        <color theme="1"/>
        <rFont val="Noto Sans CJK SC"/>
        <family val="2"/>
      </rPr>
      <t xml:space="preserve">，多為固定</t>
    </r>
  </si>
  <si>
    <r>
      <rPr>
        <sz val="11"/>
        <color theme="1"/>
        <rFont val="Noto Sans CJK SC"/>
        <family val="2"/>
      </rPr>
      <t xml:space="preserve">固定部分＝第二季營業費用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第二季營收（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</si>
  <si>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</si>
  <si>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</si>
  <si>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CBA</t>
    </r>
    <r>
      <rPr>
        <sz val="11"/>
        <color theme="1"/>
        <rFont val="Noto Sans CJK SC"/>
        <family val="2"/>
      </rPr>
      <t xml:space="preserve">）與人事</t>
    </r>
  </si>
  <si>
    <t xml:space="preserve">nonop_q</t>
  </si>
  <si>
    <r>
      <rPr>
        <sz val="11"/>
        <color theme="1"/>
        <rFont val="Noto Sans CJK SC"/>
        <family val="2"/>
      </rPr>
      <t xml:space="preserve">每季業外淨額（利息、匯兌等；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第三季起）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</si>
  <si>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：第一季稅前 − 營業利益＝−</t>
    </r>
    <r>
      <rPr>
        <sz val="11"/>
        <color theme="1"/>
        <rFont val="Calibri"/>
        <family val="2"/>
        <charset val="1"/>
      </rPr>
      <t xml:space="preserve">35.3</t>
    </r>
    <r>
      <rPr>
        <sz val="11"/>
        <color theme="1"/>
        <rFont val="Noto Sans CJK SC"/>
        <family val="2"/>
      </rPr>
      <t xml:space="preserve">；第二季指引 −</t>
    </r>
    <r>
      <rPr>
        <sz val="11"/>
        <color theme="1"/>
        <rFont val="Calibri"/>
        <family val="2"/>
        <charset val="1"/>
      </rPr>
      <t xml:space="preserve">20.0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</si>
  <si>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年第一季已提前償還長期借款 </t>
    </r>
    <r>
      <rPr>
        <sz val="11"/>
        <color theme="1"/>
        <rFont val="Calibri"/>
        <family val="2"/>
        <charset val="1"/>
      </rPr>
      <t xml:space="preserve">¥433.2B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</si>
  <si>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</si>
  <si>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</si>
  <si>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：第一季淨利 </t>
    </r>
    <r>
      <rPr>
        <sz val="11"/>
        <color theme="1"/>
        <rFont val="Calibri"/>
        <family val="2"/>
        <charset val="1"/>
      </rPr>
      <t xml:space="preserve">842.2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1,234.7 →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；第二季指引 </t>
    </r>
    <r>
      <rPr>
        <sz val="11"/>
        <color theme="1"/>
        <rFont val="Calibri"/>
        <family val="2"/>
        <charset val="1"/>
      </rPr>
      <t xml:space="preserve">1,270 ÷ 1,870 → 32.1%</t>
    </r>
  </si>
  <si>
    <t xml:space="preserve">rf</t>
  </si>
  <si>
    <t xml:space="preserve">淨現金收益率</t>
  </si>
  <si>
    <t xml:space="preserve">日圓利率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</si>
  <si>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2026-06-30 </t>
    </r>
    <r>
      <rPr>
        <b val="true"/>
        <sz val="11"/>
        <rFont val="Noto Sans CJK SC"/>
        <family val="2"/>
      </rPr>
      <t xml:space="preserve">資產負債表；股數為分割後）</t>
    </r>
  </si>
  <si>
    <t xml:space="preserve">eq_j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</si>
  <si>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股東權益（歸屬母公司）</t>
    </r>
  </si>
  <si>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1,399.1</t>
    </r>
  </si>
  <si>
    <t xml:space="preserve">nc_j</t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</si>
  <si>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淨現金（現金 − 公司債與借款；不含租賃負債）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</si>
  <si>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：現金 </t>
    </r>
    <r>
      <rPr>
        <sz val="11"/>
        <color theme="1"/>
        <rFont val="Calibri"/>
        <family val="2"/>
        <charset val="1"/>
      </rPr>
      <t xml:space="preserve">791.0</t>
    </r>
    <r>
      <rPr>
        <sz val="11"/>
        <color theme="1"/>
        <rFont val="Noto Sans CJK SC"/>
        <family val="2"/>
      </rPr>
      <t xml:space="preserve">、公司債與借款 </t>
    </r>
    <r>
      <rPr>
        <sz val="11"/>
        <color theme="1"/>
        <rFont val="Calibri"/>
        <family val="2"/>
        <charset val="1"/>
      </rPr>
      <t xml:space="preserve">634.6</t>
    </r>
    <r>
      <rPr>
        <sz val="11"/>
        <color theme="1"/>
        <rFont val="Noto Sans CJK SC"/>
        <family val="2"/>
      </rPr>
      <t xml:space="preserve">（另有租賃負債 </t>
    </r>
    <r>
      <rPr>
        <sz val="11"/>
        <color theme="1"/>
        <rFont val="Calibri"/>
        <family val="2"/>
        <charset val="1"/>
      </rPr>
      <t xml:space="preserve">203.3</t>
    </r>
    <r>
      <rPr>
        <sz val="11"/>
        <color theme="1"/>
        <rFont val="Noto Sans CJK SC"/>
        <family val="2"/>
      </rPr>
      <t xml:space="preserve">）</t>
    </r>
  </si>
  <si>
    <t xml:space="preserve">eq25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</si>
  <si>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）股東權益</t>
    </r>
  </si>
  <si>
    <t xml:space="preserve">sh0</t>
  </si>
  <si>
    <t xml:space="preserve">流通股數（分割後）</t>
  </si>
  <si>
    <t xml:space="preserve">百萬股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</si>
  <si>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548,015,088 </t>
    </r>
    <r>
      <rPr>
        <sz val="11"/>
        <color theme="1"/>
        <rFont val="Noto Sans CJK SC"/>
        <family val="2"/>
      </rPr>
      <t xml:space="preserve">股、庫藏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股；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分割）</t>
    </r>
  </si>
  <si>
    <r>
      <rPr>
        <sz val="11"/>
        <color theme="1"/>
        <rFont val="Calibri"/>
        <family val="2"/>
        <charset val="1"/>
      </rPr>
      <t xml:space="preserve">MarketScreener 1,644.0 </t>
    </r>
    <r>
      <rPr>
        <sz val="11"/>
        <color theme="1"/>
        <rFont val="Noto Sans CJK SC"/>
        <family val="2"/>
      </rPr>
      <t xml:space="preserve">百萬股</t>
    </r>
  </si>
  <si>
    <t xml:space="preserve">dil</t>
  </si>
  <si>
    <t xml:space="preserve">稀釋股數 − 流通股數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</si>
  <si>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：基本 </t>
    </r>
    <r>
      <rPr>
        <sz val="11"/>
        <color theme="1"/>
        <rFont val="Calibri"/>
        <family val="2"/>
        <charset val="1"/>
      </rPr>
      <t xml:space="preserve">EPS 1,539.91 ÷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1,525.09</t>
    </r>
  </si>
  <si>
    <t xml:space="preserve">各年固定</t>
  </si>
  <si>
    <t xml:space="preserve">da_y</t>
  </si>
  <si>
    <t xml:space="preserve">折舊攤銷（年）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</si>
  <si>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Earnings Release FY2026 1Q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https://links.sgx.com/1.0.0/corporate-announcements/DOATO9EIE4EEQ2Y8/898078_Earnings-Release-FY2026-1Q-EN.pdf</t>
    </r>
    <r>
      <rPr>
        <sz val="11"/>
        <color theme="1"/>
        <rFont val="Noto Sans CJK SC"/>
        <family val="2"/>
      </rPr>
      <t xml:space="preserve">：第一季 </t>
    </r>
    <r>
      <rPr>
        <sz val="11"/>
        <color theme="1"/>
        <rFont val="Calibri"/>
        <family val="2"/>
        <charset val="1"/>
      </rPr>
      <t xml:space="preserve">76.1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4 ≈ 304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</si>
  <si>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新廠（北上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）投產後增加</t>
    </r>
  </si>
  <si>
    <t xml:space="preserve">cap_2026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</si>
  <si>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</si>
  <si>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FY2025 ¥283.7B +66%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</si>
  <si>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含合資廠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分攤；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分攤另計於 </t>
    </r>
    <r>
      <rPr>
        <sz val="11"/>
        <color theme="1"/>
        <rFont val="Calibri"/>
        <family val="2"/>
        <charset val="1"/>
      </rPr>
      <t xml:space="preserve">sndk/</t>
    </r>
  </si>
  <si>
    <t xml:space="preserve">cap_2027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</si>
  <si>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</si>
  <si>
    <t xml:space="preserve">cap_2028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</si>
  <si>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</si>
  <si>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cap_2029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</si>
  <si>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</si>
  <si>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：延續 </t>
    </r>
    <r>
      <rPr>
        <sz val="11"/>
        <color theme="1"/>
        <rFont val="Calibri"/>
        <family val="2"/>
        <charset val="1"/>
      </rPr>
      <t xml:space="preserve">FY2026–28 </t>
    </r>
    <r>
      <rPr>
        <sz val="11"/>
        <color theme="1"/>
        <rFont val="Noto Sans CJK SC"/>
        <family val="2"/>
      </rPr>
      <t xml:space="preserve">年均</t>
    </r>
  </si>
  <si>
    <t xml:space="preserve">payout</t>
  </si>
  <si>
    <r>
      <rPr>
        <sz val="11"/>
        <color theme="1"/>
        <rFont val="Noto Sans CJK SC"/>
        <family val="2"/>
      </rPr>
      <t xml:space="preserve">股東回饋（股利＋買回）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</si>
  <si>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無股利；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¥266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</si>
  <si>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以買回計（股數減少）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</si>
  <si>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</si>
  <si>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</si>
  <si>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TYO:285A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</si>
  <si>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Calibri"/>
        <family val="2"/>
        <charset val="1"/>
      </rPr>
      <t xml:space="preserve">MarketScreener 2026-10-16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¥13,375</t>
    </r>
    <r>
      <rPr>
        <sz val="11"/>
        <color theme="1"/>
        <rFont val="Noto Sans CJK SC"/>
        <family val="2"/>
      </rPr>
      <t xml:space="preserve">（同一序列）；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¥19,100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</si>
  <si>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</si>
  <si>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</si>
  <si>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</si>
  <si>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</si>
  <si>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</si>
  <si>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</si>
  <si>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百萬股）：</t>
    </r>
    <r>
      <rPr>
        <sz val="11"/>
        <color theme="1"/>
        <rFont val="Calibri"/>
        <family val="2"/>
        <charset val="1"/>
      </rPr>
      <t xml:space="preserve">10,071,396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</si>
  <si>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10.1 </t>
    </r>
    <r>
      <rPr>
        <sz val="11"/>
        <color theme="1"/>
        <rFont val="Noto Sans CJK SC"/>
        <family val="2"/>
      </rPr>
      <t xml:space="preserve">兆、區間 </t>
    </r>
    <r>
      <rPr>
        <sz val="11"/>
        <color theme="1"/>
        <rFont val="Calibri"/>
        <family val="2"/>
        <charset val="1"/>
      </rPr>
      <t xml:space="preserve">9.1–11.4 </t>
    </r>
    <r>
      <rPr>
        <sz val="11"/>
        <color theme="1"/>
        <rFont val="Noto Sans CJK SC"/>
        <family val="2"/>
      </rPr>
      <t xml:space="preserve">兆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</si>
  <si>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</si>
  <si>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</si>
  <si>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月；每股數字已依分割調整，股數 </t>
    </r>
    <r>
      <rPr>
        <sz val="11"/>
        <color theme="1"/>
        <rFont val="Calibri"/>
        <family val="2"/>
        <charset val="1"/>
      </rPr>
      <t xml:space="preserve">1,644 </t>
    </r>
    <r>
      <rPr>
        <sz val="11"/>
        <color theme="1"/>
        <rFont val="Noto Sans CJK SC"/>
        <family val="2"/>
      </rPr>
      <t xml:space="preserve">百萬股）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</si>
  <si>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</si>
  <si>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</si>
  <si>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</si>
  <si>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</si>
  <si>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</si>
  <si>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</si>
  <si>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</si>
  <si>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</si>
  <si>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</si>
  <si>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</si>
  <si>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cons_bv26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</si>
  <si>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</si>
  <si>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</si>
  <si>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</si>
  <si>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</si>
  <si>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</si>
  <si>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</si>
  <si>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</si>
  <si>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</si>
  <si>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</si>
  <si>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</si>
  <si>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</si>
  <si>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</si>
  <si>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</si>
  <si>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</si>
  <si>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</si>
  <si>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</si>
  <si>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</si>
  <si>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</si>
  <si>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</si>
  <si>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</si>
  <si>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</si>
  <si>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</si>
  <si>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FY2024–FY2025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</si>
  <si>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272.3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737.1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455.8 × 1,617.2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554.5 ÷ 1,399.1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</si>
  <si>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權益未找到，只用兩年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</si>
  <si>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</si>
  <si>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</si>
  <si>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</si>
  <si>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</si>
  <si>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</si>
  <si>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</si>
  <si>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</si>
  <si>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年以前為東芝記憶體事業，十年連續的獨立財報未找到；以同為記憶體循環股的美光十年平均代替（與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同值）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</si>
  <si>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</si>
  <si>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</si>
  <si>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</si>
  <si>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</si>
  <si>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</si>
  <si>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</si>
  <si>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</si>
  <si>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</si>
  <si>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</si>
  <si>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</si>
  <si>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</si>
  <si>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</si>
  <si>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</si>
  <si>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</si>
  <si>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</si>
  <si>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</si>
  <si>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</si>
  <si>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</si>
  <si>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</si>
  <si>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</si>
  <si>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</si>
  <si>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</si>
  <si>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</si>
  <si>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</si>
  <si>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</si>
  <si>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擷取，頁面收盤日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</si>
  <si>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）：平均 </t>
    </r>
    <r>
      <rPr>
        <sz val="11"/>
        <color theme="1"/>
        <rFont val="Calibri"/>
        <family val="2"/>
        <charset val="1"/>
      </rPr>
      <t xml:space="preserve">¥111,256</t>
    </r>
    <r>
      <rPr>
        <sz val="11"/>
        <color theme="1"/>
        <rFont val="Noto Sans CJK SC"/>
        <family val="2"/>
      </rPr>
      <t xml:space="preserve">（分割前）</t>
    </r>
    <r>
      <rPr>
        <sz val="11"/>
        <color theme="1"/>
        <rFont val="Calibri"/>
        <family val="2"/>
        <charset val="1"/>
      </rPr>
      <t xml:space="preserve">÷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¥37,085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</si>
  <si>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）與公司指引。會計年度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月；第一季＝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</si>
  <si>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</si>
  <si>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第二季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</si>
  <si>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第三季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</si>
  <si>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第四季</t>
    </r>
  </si>
  <si>
    <t xml:space="preserve">FY2025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</si>
  <si>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第一季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</si>
  <si>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第二季（指引）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</si>
  <si>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</si>
  <si>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</si>
  <si>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</si>
  <si>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公司財報（第一季前期欄）；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季度表；第二季為公司指引</t>
    </r>
  </si>
  <si>
    <t xml:space="preserve">毛利</t>
  </si>
  <si>
    <t xml:space="preserve">營業利益</t>
  </si>
  <si>
    <t xml:space="preserve">淨利</t>
  </si>
  <si>
    <t xml:space="preserve">毛利率</t>
  </si>
  <si>
    <t xml:space="preserve">營業利益率</t>
  </si>
  <si>
    <t xml:space="preserve">季增：營收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</si>
  <si>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公布（公司公告）；本版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第二季＝公司指引（固定），第三季起＝市場層推導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</si>
  <si>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</si>
  <si>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，美元），位元為季度出貨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</si>
  <si>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</si>
  <si>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</si>
  <si>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</si>
  <si>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</si>
  <si>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</si>
  <si>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</si>
  <si>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</si>
  <si>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</si>
  <si>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</si>
  <si>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</si>
  <si>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</si>
  <si>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</si>
  <si>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</si>
  <si>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</si>
  <si>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</si>
  <si>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</si>
  <si>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</si>
  <si>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</si>
  <si>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</si>
  <si>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</si>
  <si>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</si>
  <si>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</si>
  <si>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</si>
  <si>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</si>
  <si>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</si>
  <si>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</si>
  <si>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Mkt!C43:Z43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</si>
  <si>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</si>
  <si>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Mkt!C91:Z91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</si>
  <si>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</si>
  <si>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Mkt!C139:Z139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</si>
  <si>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</si>
  <si>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</si>
  <si>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Mkt!C47:Z47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</si>
  <si>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</si>
  <si>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Mkt!C95:Z95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</si>
  <si>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</si>
  <si>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Mkt!C143:Z143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</si>
  <si>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</si>
  <si>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</si>
  <si>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</si>
  <si>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</si>
  <si>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</si>
  <si>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</si>
  <si>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sz val="11"/>
        <color theme="1"/>
        <rFont val="Calibri"/>
        <family val="2"/>
        <charset val="1"/>
      </rPr>
      <t xml:space="preserve">PL — Kioxia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</si>
  <si>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</si>
  <si>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</si>
  <si>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</si>
  <si>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</si>
  <si>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</si>
  <si>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</si>
  <si>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</si>
  <si>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</si>
  <si>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</si>
  <si>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</si>
  <si>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</si>
  <si>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</si>
  <si>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</si>
  <si>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</si>
  <si>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</si>
  <si>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</si>
  <si>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</si>
  <si>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</si>
  <si>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</si>
  <si>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</si>
  <si>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</si>
  <si>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</si>
  <si>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</si>
  <si>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</si>
  <si>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</si>
  <si>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</si>
  <si>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</si>
  <si>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FY28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</si>
  <si>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</si>
  <si>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</si>
  <si>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2029Q4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</si>
  <si>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FY29 </t>
    </r>
    <r>
      <rPr>
        <b val="true"/>
        <sz val="11"/>
        <rFont val="Noto Sans CJK SC"/>
        <family val="2"/>
      </rPr>
      <t xml:space="preserve">第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季（</t>
    </r>
    <r>
      <rPr>
        <b val="true"/>
        <sz val="11"/>
        <rFont val="Cambria"/>
        <family val="0"/>
        <charset val="1"/>
      </rPr>
      <t xml:space="preserve">2030Q1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</si>
  <si>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口徑，美元，同字母情境）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</si>
  <si>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可乘份額係數、價格係數（第三季起）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</si>
  <si>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</si>
  <si>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第一季實績、第二季公司指引；之後＝市場層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</si>
  <si>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營業成本（第二季以指引校準，之後每年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</si>
  <si>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¥B/EB</t>
  </si>
  <si>
    <t xml:space="preserve">營業成本</t>
  </si>
  <si>
    <t xml:space="preserve">第二季＝指引營收 − 指引營業利益 − 推估營業費用</t>
  </si>
  <si>
    <t xml:space="preserve">營業費用</t>
  </si>
  <si>
    <r>
      <rPr>
        <sz val="11"/>
        <color theme="1"/>
        <rFont val="Noto Sans CJK SC"/>
        <family val="2"/>
      </rPr>
      <t xml:space="preserve">固定部分以第二季校準（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</si>
  <si>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（營業利益＋業外＋淨現金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淨現金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</si>
  <si>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（稀釋，分割後）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</si>
  <si>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</si>
  <si>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＝第一季實績＋第二季指引＋第三、四季推導</t>
    </r>
  </si>
  <si>
    <t xml:space="preserve">折舊攤銷</t>
  </si>
  <si>
    <t xml:space="preserve">資本支出（含合資廠分攤）</t>
  </si>
  <si>
    <t xml:space="preserve">自由現金流（淨利＋折舊 − 資本支出）</t>
  </si>
  <si>
    <t xml:space="preserve">股東回饋（以買回計）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</si>
  <si>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以後三季的自由現金流</t>
    </r>
  </si>
  <si>
    <t xml:space="preserve">期末權益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</si>
  <si>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權益＋第二至四季淨利 − 回饋（不含其他綜合損益）</t>
    </r>
  </si>
  <si>
    <t xml:space="preserve">期末淨現金</t>
  </si>
  <si>
    <t xml:space="preserve">期末流通股數（分割後）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</si>
  <si>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；分割後）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</si>
  <si>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</si>
  <si>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</si>
  <si>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</si>
  <si>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營收、淨利 − 四季合計；第一季、第二季 − 實績與指引（應為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</si>
  <si>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</si>
  <si>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</si>
  <si>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</si>
  <si>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</si>
  <si>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</si>
  <si>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</si>
  <si>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</si>
  <si>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</si>
  <si>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</si>
  <si>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</si>
  <si>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</si>
  <si>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</si>
  <si>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</si>
  <si>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</si>
  <si>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Kioxia 2024-12 </t>
    </r>
    <r>
      <rPr>
        <sz val="11"/>
        <color theme="1"/>
        <rFont val="Noto Sans CJK SC"/>
        <family val="2"/>
      </rPr>
      <t xml:space="preserve">上市，只有兩個年底：十年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節。每股數字皆為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一股分三股後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</si>
  <si>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</si>
  <si>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</si>
  <si>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</si>
  <si>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</si>
  <si>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</si>
  <si>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</si>
  <si>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</si>
  <si>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</si>
  <si>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</si>
  <si>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</si>
  <si>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</si>
  <si>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</si>
  <si>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</si>
  <si>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</si>
  <si>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</si>
  <si>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</si>
  <si>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</si>
  <si>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</si>
  <si>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</si>
  <si>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</si>
  <si>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</si>
  <si>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</si>
  <si>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</si>
  <si>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</si>
  <si>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剩餘一季的現金流未計入；負值取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</si>
  <si>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</si>
  <si>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</si>
  <si>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</si>
  <si>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</si>
  <si>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</si>
  <si>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</si>
  <si>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</si>
  <si>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</si>
  <si>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</si>
  <si>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</si>
  <si>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</si>
  <si>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</si>
  <si>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</si>
  <si>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</si>
  <si>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</si>
  <si>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</si>
  <si>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</si>
  <si>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</si>
  <si>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SanDisk</t>
  </si>
  <si>
    <t xml:space="preserve">SNDK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</si>
  <si>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年底平均；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模型同口徑）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</si>
  <si>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</si>
  <si>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（僅有落後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）共識每股淨值 </t>
    </r>
    <r>
      <rPr>
        <sz val="11"/>
        <color theme="1"/>
        <rFont val="Calibri"/>
        <family val="2"/>
        <charset val="1"/>
      </rPr>
      <t xml:space="preserve">1.63x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同業表同值）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</si>
  <si>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</si>
  <si>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</t>
    </r>
    <r>
      <rPr>
        <sz val="11"/>
        <color theme="1"/>
        <rFont val="Calibri"/>
        <family val="2"/>
        <charset val="1"/>
      </rPr>
      <t xml:space="preserve">¼ × 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¾ × 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2029-03</t>
    </r>
    <r>
      <rPr>
        <sz val="11"/>
        <color theme="1"/>
        <rFont val="Noto Sans CJK SC"/>
        <family val="2"/>
      </rPr>
      <t xml:space="preserve">）（會計年度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</si>
  <si>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</si>
  <si>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</si>
  <si>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</si>
  <si>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</si>
  <si>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</si>
  <si>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</si>
  <si>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</si>
  <si>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</si>
  <si>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</si>
  <si>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</si>
  <si>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1,238.03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217.4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</si>
  <si>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</si>
  <si>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</si>
  <si>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</si>
  <si>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</si>
  <si>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</si>
  <si>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</si>
  <si>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</si>
  <si>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</si>
  <si>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</si>
  <si>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</si>
  <si>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</si>
  <si>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</si>
  <si>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</si>
  <si>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收盤時）：平均 </t>
    </r>
    <r>
      <rPr>
        <sz val="11"/>
        <color theme="1"/>
        <rFont val="Calibri"/>
        <family val="2"/>
        <charset val="1"/>
      </rPr>
      <t xml:space="preserve">¥36,929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16,333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66,667</t>
    </r>
    <r>
      <rPr>
        <sz val="11"/>
        <color theme="1"/>
        <rFont val="Noto Sans CJK SC"/>
        <family val="2"/>
      </rPr>
      <t xml:space="preserve">；分割後）；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09-09</t>
    </r>
    <r>
      <rPr>
        <sz val="11"/>
        <color theme="1"/>
        <rFont val="Noto Sans CJK SC"/>
        <family val="2"/>
      </rPr>
      <t xml:space="preserve">）分割調整後 </t>
    </r>
    <r>
      <rPr>
        <sz val="11"/>
        <color theme="1"/>
        <rFont val="Calibri"/>
        <family val="2"/>
        <charset val="1"/>
      </rPr>
      <t xml:space="preserve">¥37,085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</si>
  <si>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</si>
  <si>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</si>
  <si>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</si>
  <si>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</si>
  <si>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</si>
  <si>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</si>
  <si>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</si>
  <si>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</si>
  <si>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</si>
  <si>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</si>
  <si>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¼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FY2028 </t>
    </r>
    <r>
      <rPr>
        <sz val="11"/>
        <color theme="1"/>
        <rFont val="Noto Sans CJK SC"/>
        <family val="2"/>
      </rPr>
      <t xml:space="preserve">年底）−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</si>
  <si>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</si>
  <si>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4,871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5,467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</si>
  <si>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</si>
  <si>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</si>
  <si>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</si>
  <si>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</si>
  <si>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</si>
  <si>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</si>
  <si>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／年，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FY2024–FY2025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為高峰期盈餘、收斂期淨利率以美光十年平均代替；營收以美元計、成本以日圓計，日圓貶值（匯率）使盈餘偏高。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</si>
  <si>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</si>
  <si>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</si>
  <si>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</si>
  <si>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</si>
  <si>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</si>
  <si>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</si>
  <si>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（分割後）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</si>
  <si>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341.4</t>
    </r>
  </si>
  <si>
    <t xml:space="preserve">落後（分割後）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</si>
  <si>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2026-06-30 </t>
    </r>
    <r>
      <rPr>
        <sz val="11"/>
        <color theme="1"/>
        <rFont val="Noto Sans CJK SC"/>
        <family val="2"/>
      </rPr>
      <t xml:space="preserve">每股淨值</t>
    </r>
  </si>
  <si>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2,404.3 ÷ 1,644.0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</si>
  <si>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</si>
  <si>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</si>
  <si>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</si>
  <si>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</si>
  <si>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</si>
  <si>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</si>
  <si>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</si>
  <si>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</si>
  <si>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</si>
  <si>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</si>
  <si>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</si>
  <si>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</si>
  <si>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</si>
  <si>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</si>
  <si>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2024-12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年底倍數未找到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</si>
  <si>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</si>
  <si>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</si>
  <si>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</si>
  <si>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</si>
  <si>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</si>
  <si>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</si>
  <si>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</si>
  <si>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</si>
  <si>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</si>
  <si>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</si>
  <si>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</si>
  <si>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</si>
  <si>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</si>
  <si>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</si>
  <si>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</si>
  <si>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</si>
  <si>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</si>
  <si>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</si>
  <si>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</si>
  <si>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</si>
  <si>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</si>
  <si>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</si>
  <si>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</si>
  <si>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</si>
  <si>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</si>
  <si>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</si>
  <si>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</si>
  <si>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</si>
  <si>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</si>
  <si>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</si>
  <si>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</si>
  <si>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</si>
  <si>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</si>
  <si>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</si>
  <si>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</si>
  <si>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</si>
  <si>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</si>
  <si>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</si>
  <si>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</si>
  <si>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</si>
  <si>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</si>
  <si>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</si>
  <si>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</si>
  <si>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</si>
  <si>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</si>
  <si>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</si>
  <si>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</si>
  <si>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</si>
  <si>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</si>
  <si>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</si>
  <si>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</si>
  <si>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</si>
  <si>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</si>
  <si>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</si>
  <si>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</si>
  <si>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</si>
  <si>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</si>
  <si>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</si>
  <si>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</si>
  <si>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</si>
  <si>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</si>
  <si>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</si>
  <si>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</si>
  <si>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</si>
  <si>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</si>
  <si>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</si>
  <si>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</si>
  <si>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</si>
  <si>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營收（四季合計）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2,337.6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</si>
  <si>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決算；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</si>
  <si>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4,157.1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</si>
  <si>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</si>
  <si>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</si>
  <si>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第三季營收（推導）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第二季指引（季增）</t>
    </r>
  </si>
  <si>
    <t xml:space="preserve">公司第二季指引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</si>
  <si>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</si>
  <si>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第二季毛利率（校準值）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</si>
  <si>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第二季營業費用為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g2_ox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</si>
  <si>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2026-10-25 </t>
    </r>
    <r>
      <rPr>
        <b val="true"/>
        <sz val="11"/>
        <rFont val="Noto Sans CJK SC"/>
        <family val="2"/>
      </rPr>
      <t xml:space="preserve">擷取；只作參考）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</si>
  <si>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</si>
  <si>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</si>
  <si>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</si>
  <si>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</si>
  <si>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</si>
  <si>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</si>
  <si>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</si>
  <si>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</si>
  <si>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</si>
  <si>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kx_k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</si>
  <si>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</si>
  <si>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</si>
  <si>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sndk/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</si>
  <si>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</si>
  <si>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</si>
  <si>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</si>
  <si>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</si>
  <si>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</si>
  <si>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</si>
  <si>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</si>
  <si>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</si>
  <si>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</si>
  <si>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</si>
  <si>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</si>
  <si>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（價格；第三季起）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</si>
  <si>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</si>
  <si>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</si>
  <si>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</si>
  <si>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</si>
  <si>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</si>
  <si>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</si>
  <si>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</si>
  <si>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</si>
  <si>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</si>
  <si>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日圓</t>
    </r>
  </si>
  <si>
    <r>
      <rPr>
        <sz val="11"/>
        <color theme="1"/>
        <rFont val="Calibri"/>
        <family val="2"/>
        <charset val="1"/>
      </rPr>
      <t xml:space="preserve">fx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</si>
  <si>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</si>
  <si>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</si>
  <si>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</si>
  <si>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</si>
  <si>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</si>
  <si>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第二季營業費用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</si>
  <si>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g2_ox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</si>
  <si>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</si>
  <si>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</si>
  <si>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</si>
  <si>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</si>
  <si>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</si>
  <si>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</si>
  <si>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 50%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</si>
  <si>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</si>
  <si>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</si>
  <si>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</si>
  <si>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</si>
  <si>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</si>
  <si>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</si>
  <si>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</si>
  <si>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t xml:space="preserve">讀法：第二季為公司指引（固定），價格與匯率係數只作用在第三季起；營業費用校準改變成本起點（第二季營業成本＝營收 − 營業利益 − 營業費用）。</t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</si>
  <si>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（價格；第三季起）（情境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</si>
  <si>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</si>
  <si>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</si>
  <si>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</si>
  <si>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145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</si>
  <si>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170 </t>
    </r>
    <r>
      <rPr>
        <b val="true"/>
        <sz val="11"/>
        <rFont val="Noto Sans CJK SC"/>
        <family val="2"/>
      </rPr>
      <t xml:space="preserve">日圓（情境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</si>
  <si>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</si>
  <si>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</si>
  <si>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55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</si>
  <si>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案例區塊：第二季營業費用 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</si>
  <si>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</si>
  <si>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</si>
  <si>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</si>
  <si>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÷ FCF 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</si>
  <si>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案例區塊：股東回饋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</si>
  <si>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</si>
  <si>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</si>
  <si>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</si>
  <si>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</si>
  <si>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</si>
  <si>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</si>
  <si>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</si>
  <si>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</si>
  <si>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</si>
  <si>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</si>
  <si>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</si>
  <si>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</si>
  <si>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</si>
  <si>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</si>
  <si>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</si>
  <si>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</si>
  <si>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</si>
  <si>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</si>
  <si>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</si>
  <si>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</si>
  <si>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：第二季財報 </t>
    </r>
    <r>
      <rPr>
        <sz val="11"/>
        <color theme="1"/>
        <rFont val="Calibri"/>
        <family val="2"/>
        <charset val="1"/>
      </rPr>
      <t xml:space="preserve">2026-10-30 18:45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JST</t>
    </r>
    <r>
      <rPr>
        <sz val="11"/>
        <color theme="1"/>
        <rFont val="Noto Sans CJK SC"/>
        <family val="2"/>
      </rPr>
      <t xml:space="preserve">）公布（公司新聞頁）</t>
    </r>
  </si>
  <si>
    <t xml:space="preserve">https://www.kioxia-holdings.com/en-jp/news/2026.html</t>
  </si>
  <si>
    <r>
      <rPr>
        <sz val="11"/>
        <color theme="1"/>
        <rFont val="Calibri"/>
        <family val="2"/>
        <charset val="1"/>
      </rPr>
      <t xml:space="preserve">storagenewsletter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FY25 </t>
    </r>
    <r>
      <rPr>
        <sz val="11"/>
        <color theme="1"/>
        <rFont val="Noto Sans CJK SC"/>
        <family val="2"/>
      </rPr>
      <t xml:space="preserve">決算（營收 </t>
    </r>
    <r>
      <rPr>
        <sz val="11"/>
        <color theme="1"/>
        <rFont val="Calibri"/>
        <family val="2"/>
        <charset val="1"/>
      </rPr>
      <t xml:space="preserve">2,337.6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554</t>
    </r>
    <r>
      <rPr>
        <sz val="11"/>
        <color theme="1"/>
        <rFont val="Noto Sans CJK SC"/>
        <family val="2"/>
      </rPr>
      <t xml:space="preserve">）</t>
    </r>
  </si>
  <si>
    <t xml:space="preserve">https://www.storagenewsletter.com/?p=302700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</si>
  <si>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：季度損益、歷史股價、共識</t>
    </r>
  </si>
  <si>
    <t xml:space="preserve">https://stockanalysis.com/quote/tyo/285A/financials/?p=quarterly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</si>
  <si>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預估與共識目標價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</si>
  <si>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</si>
  <si>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</si>
  <si>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</si>
  <si>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</si>
  <si>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</si>
  <si>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newsquawk</t>
    </r>
    <r>
      <rPr>
        <sz val="11"/>
        <color theme="1"/>
        <rFont val="Noto Sans CJK SC"/>
        <family val="2"/>
      </rPr>
      <t xml:space="preserve">：一股分三股公告（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</si>
  <si>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https://www.newsquawk.com/headlines/kioxia-285a-jt-q1-jpy-net-profit-84217bln-exp-9736bln-revenue-177tln-prev-3428bln-yy-announces-a-3-for-1-stock-split-and-announces-a-share-buyback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</si>
  <si>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</si>
  <si>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</si>
  <si>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</si>
  <si>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</si>
  <si>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micron/dist/20261025_</t>
    </r>
    <r>
      <rPr>
        <sz val="11"/>
        <color theme="1"/>
        <rFont val="Noto Sans CJK SC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_v0.4.xlsx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</si>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</sst>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%"/>
    <numFmt numFmtId="167" formatCode="#,##0.000"/>
    <numFmt numFmtId="168" formatCode="#,##0"/>
    <numFmt numFmtId="169" formatCode="0.000"/>
    <numFmt numFmtId="170" formatCode="0.00"/>
    <numFmt numFmtId="171" formatCode="0%"/>
    <numFmt numFmtId="172" formatCode="@"/>
    <numFmt numFmtId="173" formatCode="0.00\x"/>
    <numFmt numFmtId="174" formatCode="0.0"/>
    <numFmt numFmtId="175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¥"&amp;TEXT(Val!B49,"#,##0")&amp;"，相對現價 ¥"&amp;TEXT(px,"#,##0")&amp;"（2026-10-23 收盤）"&amp;TEXT(Val!B52,"+0.0%;−0.0%")&amp;"。主因是現價的倍數低於同業：Kioxia 現價 ÷ 2028-03 共識每股淨值 1.63x，同業中位數 "&amp;TEXT(Val!B32,"0.00")&amp;"x（SanDisk 2.86x、美光 3.35x），Comparable ¥"&amp;TEXT(Val!B34,"#,##0")&amp;"（"&amp;TEXT(Val!B53,"+0%;−0%")&amp;"）；DCF ¥"&amp;TEXT(Val!B24,"#,##0")&amp;" 也高於現價，因現價只有 FY2027 EPS（A）的 "&amp;TEXT(Val!B85,"0.0")&amp;" 倍。股價 10-09 至 10-23 已跌 27%（17,505 → 12,755）。"</f>
        <v>1. 加權目標價 ¥22,268，相對現價 ¥12,755（2026-10-23 收盤）+74.6%。主因是現價的倍數低於同業：Kioxia 現價 ÷ 2028-03 共識每股淨值 1.63x，同業中位數 2.10x（SanDisk 2.86x、美光 3.35x），Comparable ¥20,357（+60%）；DCF ¥24,180 也高於現價，因現價只有 FY2027 EPS（A）的 2.4 倍。股價 10-09 至 10-23 已跌 27%（17,505 → 12,755）。</v>
      </c>
    </row>
    <row r="5" customFormat="false" ht="17.15" hidden="false" customHeight="false" outlineLevel="0" collapsed="false">
      <c r="A5" s="2" t="str">
        <f aca="false">"2. 本模型 FY2026 EPS（A）¥"&amp;TEXT(PL!D10,"#,##0")&amp;"，比共識 ¥3,486 "&amp;TEXT(PL!D10/cons_eps26-1,"+0%;−0%")&amp;"；上半年已由第一季實績與第二季指引鎖定（淨利 ¥2,112B）。追蹤：2026-10-30 第二季財報（實績 vs 指引 ¥2,390B／¥1,890B）與第三季指引。"</f>
        <v>2. 本模型 FY2026 EPS（A）¥3,492，比共識 ¥3,486 +0%；上半年已由第一季實績與第二季指引鎖定（淨利 ¥2,112B）。追蹤：2026-10-30 第二季財報（實績 vs 指引 ¥2,390B／¥1,890B）與第三季指引。</v>
      </c>
    </row>
    <row r="6" customFormat="false" ht="17.15" hidden="false" customHeight="false" outlineLevel="0" collapsed="false">
      <c r="A6" s="2" t="str">
        <f aca="false">"3. 營收以美元計、成本以日圓計：匯率 145／170 日圓使 FY2028 EPS（A）變動 "&amp;TEXT(Sens!H9,"+0%;−0%")&amp;"／"&amp;TEXT(Sens!H10,"+0%;−0%")&amp;"；2027 起季價 ±20% 為 "&amp;TEXT(Sens!H5,"+0%;−0%")&amp;"／"&amp;TEXT(Sens!H6,"+0%;−0%")&amp;"。情境 C 的 FY2029 毛利率降到 "&amp;TEXT(PL!G26,"0%")&amp;"。追蹤：TrendForce 每季初的 NAND 合約價、日圓匯率、SanDisk 2026-10-29 財報（合資群位元）。"</f>
        <v>3. 營收以美元計、成本以日圓計：匯率 145／170 日圓使 FY2028 EPS（A）變動 −13%／+9%；2027 起季價 ±20% 為 −28%／+31%。情境 C 的 FY2029 毛利率降到 51%。追蹤：TrendForce 每季初的 NAND 合約價、日圓匯率、SanDisk 2026-10-29 財報（合資群位元）。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投資建議：強力買進（依上檔空間固定規則；上檔空間：+74.6%，級距：大於 50%）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342.8</v>
      </c>
      <c r="G5" s="8" t="s">
        <v>26</v>
      </c>
      <c r="H5" s="8" t="s">
        <v>27</v>
      </c>
      <c r="I5" s="5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25</v>
      </c>
      <c r="E6" s="7" t="n">
        <v>71.2</v>
      </c>
      <c r="G6" s="8" t="s">
        <v>31</v>
      </c>
      <c r="H6" s="8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25</v>
      </c>
      <c r="E7" s="7" t="n">
        <v>44.9</v>
      </c>
      <c r="G7" s="8" t="s">
        <v>26</v>
      </c>
      <c r="H7" s="8" t="s">
        <v>27</v>
      </c>
      <c r="I7" s="5" t="s">
        <v>35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25</v>
      </c>
      <c r="E8" s="7" t="n">
        <v>18.3</v>
      </c>
      <c r="G8" s="8" t="s">
        <v>26</v>
      </c>
      <c r="H8" s="8" t="s">
        <v>27</v>
      </c>
      <c r="I8" s="5" t="s">
        <v>38</v>
      </c>
    </row>
    <row r="9" customFormat="false" ht="17.15" hidden="false" customHeight="false" outlineLevel="0" collapsed="false">
      <c r="A9" s="0" t="s">
        <v>39</v>
      </c>
      <c r="B9" s="0" t="s">
        <v>40</v>
      </c>
      <c r="C9" s="0" t="s">
        <v>25</v>
      </c>
      <c r="E9" s="7" t="n">
        <v>448.3</v>
      </c>
      <c r="G9" s="8" t="s">
        <v>31</v>
      </c>
      <c r="H9" s="8" t="s">
        <v>32</v>
      </c>
      <c r="I9" s="5" t="s">
        <v>28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25</v>
      </c>
      <c r="E10" s="7" t="n">
        <v>122.1</v>
      </c>
      <c r="G10" s="8" t="s">
        <v>31</v>
      </c>
      <c r="H10" s="8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25</v>
      </c>
      <c r="E11" s="7" t="n">
        <v>85.9</v>
      </c>
      <c r="G11" s="8" t="s">
        <v>31</v>
      </c>
      <c r="H11" s="8" t="s">
        <v>32</v>
      </c>
      <c r="I11" s="5" t="s">
        <v>35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25</v>
      </c>
      <c r="E12" s="7" t="n">
        <v>40.7</v>
      </c>
      <c r="G12" s="8" t="s">
        <v>31</v>
      </c>
      <c r="H12" s="8" t="s">
        <v>32</v>
      </c>
      <c r="I12" s="5" t="s">
        <v>38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25</v>
      </c>
      <c r="E13" s="7" t="n">
        <v>543.6</v>
      </c>
      <c r="G13" s="8" t="s">
        <v>31</v>
      </c>
      <c r="H13" s="8" t="s">
        <v>32</v>
      </c>
      <c r="I13" s="5" t="s">
        <v>28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25</v>
      </c>
      <c r="E14" s="7" t="n">
        <v>176.6</v>
      </c>
      <c r="G14" s="8" t="s">
        <v>31</v>
      </c>
      <c r="H14" s="8" t="s">
        <v>32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25</v>
      </c>
      <c r="E15" s="7" t="n">
        <v>142.8</v>
      </c>
      <c r="G15" s="8" t="s">
        <v>31</v>
      </c>
      <c r="H15" s="8" t="s">
        <v>32</v>
      </c>
      <c r="I15" s="5" t="s">
        <v>35</v>
      </c>
    </row>
    <row r="16" customFormat="false" ht="17.15" hidden="false" customHeight="false" outlineLevel="0" collapsed="false">
      <c r="A16" s="0" t="s">
        <v>53</v>
      </c>
      <c r="B16" s="0" t="s">
        <v>54</v>
      </c>
      <c r="C16" s="0" t="s">
        <v>25</v>
      </c>
      <c r="E16" s="7" t="n">
        <v>87.8</v>
      </c>
      <c r="G16" s="8" t="s">
        <v>31</v>
      </c>
      <c r="H16" s="8" t="s">
        <v>32</v>
      </c>
      <c r="I16" s="5" t="s">
        <v>38</v>
      </c>
    </row>
    <row r="17" customFormat="false" ht="17.15" hidden="false" customHeight="false" outlineLevel="0" collapsed="false">
      <c r="A17" s="0" t="s">
        <v>55</v>
      </c>
      <c r="B17" s="0" t="s">
        <v>56</v>
      </c>
      <c r="C17" s="0" t="s">
        <v>25</v>
      </c>
      <c r="E17" s="7" t="n">
        <v>1002.9</v>
      </c>
      <c r="G17" s="8" t="s">
        <v>31</v>
      </c>
      <c r="H17" s="8" t="s">
        <v>32</v>
      </c>
      <c r="I17" s="5" t="s">
        <v>28</v>
      </c>
    </row>
    <row r="18" customFormat="false" ht="17.15" hidden="false" customHeight="false" outlineLevel="0" collapsed="false">
      <c r="A18" s="0" t="s">
        <v>57</v>
      </c>
      <c r="B18" s="0" t="s">
        <v>58</v>
      </c>
      <c r="C18" s="0" t="s">
        <v>25</v>
      </c>
      <c r="E18" s="7" t="n">
        <v>642.9</v>
      </c>
      <c r="G18" s="8" t="s">
        <v>31</v>
      </c>
      <c r="H18" s="8" t="s">
        <v>32</v>
      </c>
    </row>
    <row r="19" customFormat="false" ht="17.15" hidden="false" customHeight="false" outlineLevel="0" collapsed="false">
      <c r="A19" s="0" t="s">
        <v>59</v>
      </c>
      <c r="B19" s="0" t="s">
        <v>60</v>
      </c>
      <c r="C19" s="0" t="s">
        <v>25</v>
      </c>
      <c r="E19" s="7" t="n">
        <v>595.4</v>
      </c>
      <c r="G19" s="8" t="s">
        <v>31</v>
      </c>
      <c r="H19" s="8" t="s">
        <v>32</v>
      </c>
      <c r="I19" s="5" t="s">
        <v>35</v>
      </c>
    </row>
    <row r="20" customFormat="false" ht="17.15" hidden="false" customHeight="false" outlineLevel="0" collapsed="false">
      <c r="A20" s="0" t="s">
        <v>61</v>
      </c>
      <c r="B20" s="0" t="s">
        <v>62</v>
      </c>
      <c r="C20" s="0" t="s">
        <v>25</v>
      </c>
      <c r="E20" s="7" t="n">
        <v>407.7</v>
      </c>
      <c r="G20" s="8" t="s">
        <v>31</v>
      </c>
      <c r="H20" s="8" t="s">
        <v>32</v>
      </c>
      <c r="I20" s="5" t="s">
        <v>38</v>
      </c>
    </row>
    <row r="21" customFormat="false" ht="17.15" hidden="false" customHeight="false" outlineLevel="0" collapsed="false">
      <c r="A21" s="0" t="s">
        <v>63</v>
      </c>
      <c r="B21" s="0" t="s">
        <v>64</v>
      </c>
      <c r="C21" s="0" t="s">
        <v>25</v>
      </c>
      <c r="E21" s="7" t="n">
        <v>1767.1</v>
      </c>
      <c r="G21" s="8" t="s">
        <v>26</v>
      </c>
      <c r="H21" s="8" t="s">
        <v>65</v>
      </c>
      <c r="I21" s="8" t="s">
        <v>66</v>
      </c>
    </row>
    <row r="22" customFormat="false" ht="17.15" hidden="false" customHeight="false" outlineLevel="0" collapsed="false">
      <c r="A22" s="0" t="s">
        <v>67</v>
      </c>
      <c r="B22" s="0" t="s">
        <v>68</v>
      </c>
      <c r="C22" s="0" t="s">
        <v>25</v>
      </c>
      <c r="E22" s="7" t="n">
        <v>1380.1</v>
      </c>
      <c r="G22" s="8" t="s">
        <v>31</v>
      </c>
      <c r="H22" s="8" t="s">
        <v>69</v>
      </c>
      <c r="I22" s="5" t="s">
        <v>70</v>
      </c>
    </row>
    <row r="23" customFormat="false" ht="17.15" hidden="false" customHeight="false" outlineLevel="0" collapsed="false">
      <c r="A23" s="0" t="s">
        <v>71</v>
      </c>
      <c r="B23" s="0" t="s">
        <v>72</v>
      </c>
      <c r="C23" s="0" t="s">
        <v>25</v>
      </c>
      <c r="E23" s="7" t="n">
        <v>1270</v>
      </c>
      <c r="G23" s="8" t="s">
        <v>26</v>
      </c>
      <c r="H23" s="8" t="s">
        <v>65</v>
      </c>
      <c r="I23" s="5" t="s">
        <v>73</v>
      </c>
    </row>
    <row r="24" customFormat="false" ht="17.15" hidden="false" customHeight="false" outlineLevel="0" collapsed="false">
      <c r="A24" s="0" t="s">
        <v>74</v>
      </c>
      <c r="B24" s="0" t="s">
        <v>75</v>
      </c>
      <c r="C24" s="0" t="s">
        <v>25</v>
      </c>
      <c r="E24" s="7" t="n">
        <v>842.2</v>
      </c>
      <c r="G24" s="8" t="s">
        <v>26</v>
      </c>
      <c r="H24" s="8" t="s">
        <v>65</v>
      </c>
    </row>
    <row r="25" customFormat="false" ht="17.15" hidden="false" customHeight="false" outlineLevel="0" collapsed="false">
      <c r="A25" s="0" t="s">
        <v>76</v>
      </c>
      <c r="B25" s="0" t="s">
        <v>77</v>
      </c>
      <c r="C25" s="0" t="s">
        <v>78</v>
      </c>
      <c r="E25" s="0" t="n">
        <f aca="false">1539.91/3</f>
        <v>513.303333333333</v>
      </c>
      <c r="G25" s="0" t="s">
        <v>79</v>
      </c>
      <c r="H25" s="0" t="s">
        <v>80</v>
      </c>
      <c r="I25" s="0" t="s">
        <v>81</v>
      </c>
    </row>
    <row r="26" customFormat="false" ht="17.15" hidden="false" customHeight="false" outlineLevel="0" collapsed="false">
      <c r="A26" s="0" t="s">
        <v>82</v>
      </c>
      <c r="B26" s="5" t="s">
        <v>83</v>
      </c>
      <c r="C26" s="0" t="s">
        <v>25</v>
      </c>
      <c r="E26" s="7" t="n">
        <v>2390</v>
      </c>
      <c r="G26" s="8" t="s">
        <v>31</v>
      </c>
      <c r="H26" s="8" t="s">
        <v>84</v>
      </c>
      <c r="I26" s="5" t="s">
        <v>85</v>
      </c>
    </row>
    <row r="27" customFormat="false" ht="17.15" hidden="false" customHeight="false" outlineLevel="0" collapsed="false">
      <c r="A27" s="0" t="s">
        <v>86</v>
      </c>
      <c r="B27" s="5" t="s">
        <v>87</v>
      </c>
      <c r="C27" s="0" t="s">
        <v>25</v>
      </c>
      <c r="E27" s="7" t="n">
        <v>1890</v>
      </c>
      <c r="G27" s="8" t="s">
        <v>31</v>
      </c>
      <c r="H27" s="8" t="s">
        <v>88</v>
      </c>
    </row>
    <row r="28" customFormat="false" ht="17.15" hidden="false" customHeight="false" outlineLevel="0" collapsed="false">
      <c r="A28" s="0" t="s">
        <v>89</v>
      </c>
      <c r="B28" s="5" t="s">
        <v>90</v>
      </c>
      <c r="C28" s="0" t="s">
        <v>25</v>
      </c>
      <c r="E28" s="7" t="n">
        <v>1270</v>
      </c>
      <c r="G28" s="8" t="s">
        <v>31</v>
      </c>
      <c r="H28" s="8" t="s">
        <v>91</v>
      </c>
    </row>
    <row r="29" customFormat="false" ht="17.15" hidden="false" customHeight="false" outlineLevel="0" collapsed="false">
      <c r="A29" s="0" t="s">
        <v>92</v>
      </c>
      <c r="B29" s="0" t="s">
        <v>93</v>
      </c>
      <c r="C29" s="0" t="s">
        <v>25</v>
      </c>
      <c r="D29" s="7" t="n">
        <v>55</v>
      </c>
      <c r="E29" s="7" t="n">
        <v>70</v>
      </c>
      <c r="F29" s="7" t="n">
        <v>90</v>
      </c>
      <c r="G29" s="8" t="s">
        <v>94</v>
      </c>
      <c r="H29" s="5" t="s">
        <v>95</v>
      </c>
      <c r="I29" s="5" t="s">
        <v>96</v>
      </c>
    </row>
    <row r="30" customFormat="false" ht="17.15" hidden="false" customHeight="false" outlineLevel="0" collapsed="false">
      <c r="A30" s="0" t="s">
        <v>97</v>
      </c>
      <c r="B30" s="0" t="s">
        <v>98</v>
      </c>
      <c r="C30" s="0" t="s">
        <v>25</v>
      </c>
      <c r="E30" s="0" t="n">
        <f aca="false">p1_rev+p2_rev+p3_rev+p4_rev</f>
        <v>2337.6</v>
      </c>
      <c r="G30" s="0" t="s">
        <v>79</v>
      </c>
      <c r="H30" s="5" t="s">
        <v>99</v>
      </c>
      <c r="I30" s="5" t="s">
        <v>100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25</v>
      </c>
      <c r="E31" s="0" t="n">
        <f aca="false">p1_ni+p2_ni+p3_ni+p4_ni</f>
        <v>554.5</v>
      </c>
      <c r="G31" s="0" t="s">
        <v>79</v>
      </c>
      <c r="H31" s="5" t="s">
        <v>99</v>
      </c>
      <c r="I31" s="5" t="s">
        <v>103</v>
      </c>
    </row>
    <row r="32" customFormat="false" ht="17.15" hidden="false" customHeight="false" outlineLevel="0" collapsed="false">
      <c r="A32" s="0" t="s">
        <v>104</v>
      </c>
      <c r="B32" s="0" t="s">
        <v>105</v>
      </c>
      <c r="C32" s="0" t="s">
        <v>78</v>
      </c>
      <c r="E32" s="7" t="n">
        <v>341.4</v>
      </c>
      <c r="G32" s="8" t="s">
        <v>31</v>
      </c>
      <c r="H32" s="8" t="s">
        <v>106</v>
      </c>
      <c r="I32" s="8" t="s">
        <v>107</v>
      </c>
    </row>
    <row r="33" customFormat="false" ht="17.15" hidden="false" customHeight="false" outlineLevel="0" collapsed="false">
      <c r="A33" s="0" t="s">
        <v>108</v>
      </c>
      <c r="B33" s="5" t="s">
        <v>109</v>
      </c>
      <c r="C33" s="0" t="s">
        <v>110</v>
      </c>
      <c r="E33" s="0" t="n">
        <f aca="false">q1_rev/160/Units!H4</f>
        <v>1.0302588619403</v>
      </c>
      <c r="G33" s="0" t="s">
        <v>79</v>
      </c>
      <c r="H33" s="5" t="s">
        <v>111</v>
      </c>
      <c r="I33" s="5" t="s">
        <v>112</v>
      </c>
    </row>
    <row r="34" customFormat="false" ht="17.15" hidden="false" customHeight="false" outlineLevel="0" collapsed="false">
      <c r="A34" s="1" t="s">
        <v>113</v>
      </c>
    </row>
    <row r="35" customFormat="false" ht="17.15" hidden="false" customHeight="false" outlineLevel="0" collapsed="false">
      <c r="A35" s="0" t="s">
        <v>114</v>
      </c>
      <c r="B35" s="5" t="s">
        <v>115</v>
      </c>
      <c r="C35" s="0" t="s">
        <v>116</v>
      </c>
      <c r="D35" s="7" t="n">
        <v>0.1</v>
      </c>
      <c r="E35" s="7" t="n">
        <v>0.14</v>
      </c>
      <c r="F35" s="7" t="n">
        <v>0.18</v>
      </c>
      <c r="G35" s="8" t="s">
        <v>94</v>
      </c>
      <c r="H35" s="8" t="s">
        <v>117</v>
      </c>
      <c r="I35" s="5" t="s">
        <v>118</v>
      </c>
    </row>
    <row r="36" customFormat="false" ht="17.15" hidden="false" customHeight="false" outlineLevel="0" collapsed="false">
      <c r="A36" s="0" t="s">
        <v>119</v>
      </c>
      <c r="B36" s="5" t="s">
        <v>120</v>
      </c>
      <c r="C36" s="0" t="s">
        <v>116</v>
      </c>
      <c r="D36" s="7" t="n">
        <v>0.08</v>
      </c>
      <c r="E36" s="7" t="n">
        <v>0.12</v>
      </c>
      <c r="F36" s="7" t="n">
        <v>0.16</v>
      </c>
      <c r="G36" s="8" t="s">
        <v>94</v>
      </c>
      <c r="H36" s="8" t="s">
        <v>121</v>
      </c>
      <c r="I36" s="5" t="s">
        <v>122</v>
      </c>
    </row>
    <row r="37" customFormat="false" ht="17.15" hidden="false" customHeight="false" outlineLevel="0" collapsed="false">
      <c r="A37" s="0" t="s">
        <v>123</v>
      </c>
      <c r="B37" s="5" t="s">
        <v>124</v>
      </c>
      <c r="C37" s="0" t="s">
        <v>116</v>
      </c>
      <c r="D37" s="7" t="n">
        <v>0.06</v>
      </c>
      <c r="E37" s="7" t="n">
        <v>0.1</v>
      </c>
      <c r="F37" s="7" t="n">
        <v>0.14</v>
      </c>
      <c r="G37" s="8" t="s">
        <v>94</v>
      </c>
      <c r="H37" s="8" t="s">
        <v>125</v>
      </c>
      <c r="I37" s="5" t="s">
        <v>122</v>
      </c>
    </row>
    <row r="38" customFormat="false" ht="17.15" hidden="false" customHeight="false" outlineLevel="0" collapsed="false">
      <c r="A38" s="0" t="s">
        <v>126</v>
      </c>
      <c r="B38" s="5" t="s">
        <v>127</v>
      </c>
      <c r="C38" s="0" t="s">
        <v>128</v>
      </c>
      <c r="D38" s="7" t="n">
        <v>145</v>
      </c>
      <c r="E38" s="7" t="n">
        <v>160</v>
      </c>
      <c r="F38" s="7" t="n">
        <v>170</v>
      </c>
      <c r="G38" s="8" t="s">
        <v>94</v>
      </c>
      <c r="H38" s="5" t="s">
        <v>129</v>
      </c>
      <c r="I38" s="5" t="s">
        <v>130</v>
      </c>
    </row>
    <row r="39" customFormat="false" ht="17.15" hidden="false" customHeight="false" outlineLevel="0" collapsed="false">
      <c r="A39" s="0" t="s">
        <v>131</v>
      </c>
      <c r="B39" s="5" t="s">
        <v>132</v>
      </c>
      <c r="C39" s="0" t="s">
        <v>116</v>
      </c>
      <c r="D39" s="7" t="n">
        <v>0.005</v>
      </c>
      <c r="E39" s="7" t="n">
        <v>0.01</v>
      </c>
      <c r="F39" s="7" t="n">
        <v>0.02</v>
      </c>
      <c r="G39" s="8" t="s">
        <v>94</v>
      </c>
      <c r="H39" s="8" t="s">
        <v>133</v>
      </c>
      <c r="I39" s="5" t="s">
        <v>134</v>
      </c>
    </row>
    <row r="40" customFormat="false" ht="17.15" hidden="false" customHeight="false" outlineLevel="0" collapsed="false">
      <c r="A40" s="0" t="s">
        <v>135</v>
      </c>
      <c r="B40" s="5" t="s">
        <v>136</v>
      </c>
      <c r="C40" s="0" t="s">
        <v>116</v>
      </c>
      <c r="D40" s="7" t="n">
        <v>0.05</v>
      </c>
      <c r="E40" s="7" t="n">
        <v>0.1</v>
      </c>
      <c r="F40" s="7" t="n">
        <v>0.15</v>
      </c>
      <c r="G40" s="8" t="s">
        <v>94</v>
      </c>
      <c r="H40" s="5" t="s">
        <v>137</v>
      </c>
    </row>
    <row r="41" customFormat="false" ht="17.15" hidden="false" customHeight="false" outlineLevel="0" collapsed="false">
      <c r="A41" s="0" t="s">
        <v>138</v>
      </c>
      <c r="B41" s="5" t="s">
        <v>139</v>
      </c>
      <c r="C41" s="0" t="s">
        <v>25</v>
      </c>
      <c r="D41" s="7" t="n">
        <v>-40</v>
      </c>
      <c r="E41" s="7" t="n">
        <v>-15</v>
      </c>
      <c r="F41" s="7" t="n">
        <v>0</v>
      </c>
      <c r="G41" s="8" t="s">
        <v>94</v>
      </c>
      <c r="H41" s="8" t="s">
        <v>140</v>
      </c>
      <c r="I41" s="8" t="s">
        <v>141</v>
      </c>
    </row>
    <row r="42" customFormat="false" ht="17.15" hidden="false" customHeight="false" outlineLevel="0" collapsed="false">
      <c r="A42" s="0" t="s">
        <v>142</v>
      </c>
      <c r="B42" s="5" t="s">
        <v>143</v>
      </c>
      <c r="C42" s="0" t="s">
        <v>116</v>
      </c>
      <c r="D42" s="7" t="n">
        <v>0.28</v>
      </c>
      <c r="E42" s="7" t="n">
        <v>0.32</v>
      </c>
      <c r="F42" s="7" t="n">
        <v>0.35</v>
      </c>
      <c r="G42" s="8" t="s">
        <v>79</v>
      </c>
      <c r="H42" s="8" t="s">
        <v>144</v>
      </c>
    </row>
    <row r="43" customFormat="false" ht="15" hidden="false" customHeight="false" outlineLevel="0" collapsed="false">
      <c r="A43" s="0" t="s">
        <v>145</v>
      </c>
      <c r="B43" s="5" t="s">
        <v>146</v>
      </c>
      <c r="C43" s="0" t="s">
        <v>116</v>
      </c>
      <c r="D43" s="7" t="n">
        <v>0</v>
      </c>
      <c r="E43" s="7" t="n">
        <v>0.01</v>
      </c>
      <c r="F43" s="7" t="n">
        <v>0.02</v>
      </c>
      <c r="G43" s="8" t="s">
        <v>94</v>
      </c>
      <c r="H43" s="5" t="s">
        <v>147</v>
      </c>
    </row>
    <row r="44" customFormat="false" ht="17.15" hidden="false" customHeight="false" outlineLevel="0" collapsed="false">
      <c r="A44" s="1" t="s">
        <v>148</v>
      </c>
    </row>
    <row r="45" customFormat="false" ht="17.15" hidden="false" customHeight="false" outlineLevel="0" collapsed="false">
      <c r="A45" s="0" t="s">
        <v>149</v>
      </c>
      <c r="B45" s="0" t="s">
        <v>150</v>
      </c>
      <c r="C45" s="0" t="s">
        <v>25</v>
      </c>
      <c r="E45" s="7" t="n">
        <v>2404.3</v>
      </c>
      <c r="G45" s="8" t="s">
        <v>26</v>
      </c>
      <c r="H45" s="8" t="s">
        <v>65</v>
      </c>
      <c r="I45" s="8" t="s">
        <v>151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0" t="s">
        <v>25</v>
      </c>
      <c r="E46" s="0" t="n">
        <f aca="false">791-634.6</f>
        <v>156.4</v>
      </c>
      <c r="G46" s="0" t="s">
        <v>79</v>
      </c>
      <c r="H46" s="0" t="s">
        <v>154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25</v>
      </c>
      <c r="E47" s="7" t="n">
        <v>1399.1</v>
      </c>
      <c r="G47" s="8" t="s">
        <v>26</v>
      </c>
      <c r="H47" s="8" t="s">
        <v>65</v>
      </c>
    </row>
    <row r="48" customFormat="false" ht="17.15" hidden="false" customHeight="false" outlineLevel="0" collapsed="false">
      <c r="A48" s="0" t="s">
        <v>157</v>
      </c>
      <c r="B48" s="5" t="s">
        <v>158</v>
      </c>
      <c r="C48" s="5" t="s">
        <v>159</v>
      </c>
      <c r="E48" s="0" t="n">
        <f aca="false">548.014638*3</f>
        <v>1644.043914</v>
      </c>
      <c r="G48" s="0" t="s">
        <v>79</v>
      </c>
      <c r="H48" s="0" t="s">
        <v>160</v>
      </c>
      <c r="I48" s="0" t="s">
        <v>161</v>
      </c>
    </row>
    <row r="49" customFormat="false" ht="17.15" hidden="false" customHeight="false" outlineLevel="0" collapsed="false">
      <c r="A49" s="0" t="s">
        <v>162</v>
      </c>
      <c r="B49" s="5" t="s">
        <v>163</v>
      </c>
      <c r="C49" s="5" t="s">
        <v>159</v>
      </c>
      <c r="E49" s="0" t="n">
        <f aca="false">sh0*(1539.91/1525.09-1)</f>
        <v>15.9759298175717</v>
      </c>
      <c r="G49" s="0" t="s">
        <v>79</v>
      </c>
      <c r="H49" s="0" t="s">
        <v>164</v>
      </c>
      <c r="I49" s="5" t="s">
        <v>165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0" t="s">
        <v>25</v>
      </c>
      <c r="D50" s="7" t="n">
        <v>280</v>
      </c>
      <c r="E50" s="7" t="n">
        <v>320</v>
      </c>
      <c r="F50" s="7" t="n">
        <v>380</v>
      </c>
      <c r="G50" s="8" t="s">
        <v>94</v>
      </c>
      <c r="H50" s="8" t="s">
        <v>168</v>
      </c>
      <c r="I50" s="5" t="s">
        <v>169</v>
      </c>
    </row>
    <row r="51" customFormat="false" ht="17.15" hidden="false" customHeight="false" outlineLevel="0" collapsed="false">
      <c r="A51" s="0" t="s">
        <v>170</v>
      </c>
      <c r="B51" s="5" t="s">
        <v>171</v>
      </c>
      <c r="C51" s="0" t="s">
        <v>25</v>
      </c>
      <c r="D51" s="7" t="n">
        <v>400</v>
      </c>
      <c r="E51" s="7" t="n">
        <v>450</v>
      </c>
      <c r="F51" s="7" t="n">
        <v>500</v>
      </c>
      <c r="G51" s="8" t="s">
        <v>31</v>
      </c>
      <c r="H51" s="8" t="s">
        <v>172</v>
      </c>
      <c r="I51" s="5" t="s">
        <v>173</v>
      </c>
    </row>
    <row r="52" customFormat="false" ht="17.15" hidden="false" customHeight="false" outlineLevel="0" collapsed="false">
      <c r="A52" s="0" t="s">
        <v>174</v>
      </c>
      <c r="B52" s="5" t="s">
        <v>175</v>
      </c>
      <c r="C52" s="0" t="s">
        <v>25</v>
      </c>
      <c r="D52" s="7" t="n">
        <v>400</v>
      </c>
      <c r="E52" s="7" t="n">
        <v>470</v>
      </c>
      <c r="F52" s="7" t="n">
        <v>550</v>
      </c>
      <c r="G52" s="8" t="s">
        <v>31</v>
      </c>
      <c r="H52" s="5" t="s">
        <v>122</v>
      </c>
      <c r="I52" s="5" t="s">
        <v>173</v>
      </c>
    </row>
    <row r="53" customFormat="false" ht="17.15" hidden="false" customHeight="false" outlineLevel="0" collapsed="false">
      <c r="A53" s="0" t="s">
        <v>176</v>
      </c>
      <c r="B53" s="5" t="s">
        <v>177</v>
      </c>
      <c r="C53" s="0" t="s">
        <v>25</v>
      </c>
      <c r="D53" s="7" t="n">
        <v>400</v>
      </c>
      <c r="E53" s="7" t="n">
        <v>470</v>
      </c>
      <c r="F53" s="7" t="n">
        <v>550</v>
      </c>
      <c r="G53" s="8" t="s">
        <v>31</v>
      </c>
      <c r="H53" s="5" t="s">
        <v>122</v>
      </c>
      <c r="I53" s="5" t="s">
        <v>173</v>
      </c>
    </row>
    <row r="54" customFormat="false" ht="17.15" hidden="false" customHeight="false" outlineLevel="0" collapsed="false">
      <c r="A54" s="0" t="s">
        <v>178</v>
      </c>
      <c r="B54" s="5" t="s">
        <v>179</v>
      </c>
      <c r="C54" s="0" t="s">
        <v>25</v>
      </c>
      <c r="D54" s="7" t="n">
        <v>350</v>
      </c>
      <c r="E54" s="7" t="n">
        <v>470</v>
      </c>
      <c r="F54" s="7" t="n">
        <v>550</v>
      </c>
      <c r="G54" s="8" t="s">
        <v>31</v>
      </c>
      <c r="H54" s="8" t="s">
        <v>180</v>
      </c>
      <c r="I54" s="5" t="s">
        <v>173</v>
      </c>
    </row>
    <row r="55" customFormat="false" ht="17.15" hidden="false" customHeight="false" outlineLevel="0" collapsed="false">
      <c r="A55" s="0" t="s">
        <v>181</v>
      </c>
      <c r="B55" s="5" t="s">
        <v>182</v>
      </c>
      <c r="C55" s="0" t="s">
        <v>116</v>
      </c>
      <c r="D55" s="7" t="n">
        <v>0</v>
      </c>
      <c r="E55" s="7" t="n">
        <v>0.2</v>
      </c>
      <c r="F55" s="7" t="n">
        <v>0.5</v>
      </c>
      <c r="G55" s="8" t="s">
        <v>94</v>
      </c>
      <c r="H55" s="8" t="s">
        <v>183</v>
      </c>
      <c r="I55" s="5" t="s">
        <v>184</v>
      </c>
    </row>
    <row r="56" customFormat="false" ht="17.15" hidden="false" customHeight="false" outlineLevel="0" collapsed="false">
      <c r="A56" s="0" t="s">
        <v>185</v>
      </c>
      <c r="B56" s="5" t="s">
        <v>186</v>
      </c>
      <c r="C56" s="0" t="s">
        <v>78</v>
      </c>
      <c r="E56" s="7" t="n">
        <v>12755</v>
      </c>
      <c r="G56" s="8" t="s">
        <v>26</v>
      </c>
      <c r="H56" s="8" t="s">
        <v>187</v>
      </c>
      <c r="I56" s="8" t="s">
        <v>188</v>
      </c>
    </row>
    <row r="57" customFormat="false" ht="15" hidden="false" customHeight="false" outlineLevel="0" collapsed="false">
      <c r="A57" s="0" t="s">
        <v>189</v>
      </c>
      <c r="B57" s="5" t="s">
        <v>190</v>
      </c>
      <c r="C57" s="0" t="s">
        <v>78</v>
      </c>
      <c r="E57" s="0" t="n">
        <f aca="false">px</f>
        <v>12755</v>
      </c>
      <c r="G57" s="0" t="s">
        <v>94</v>
      </c>
      <c r="H57" s="5" t="s">
        <v>191</v>
      </c>
    </row>
    <row r="58" customFormat="false" ht="17.15" hidden="false" customHeight="false" outlineLevel="0" collapsed="false">
      <c r="A58" s="1" t="s">
        <v>192</v>
      </c>
    </row>
    <row r="59" customFormat="false" ht="17.15" hidden="false" customHeight="false" outlineLevel="0" collapsed="false">
      <c r="A59" s="0" t="s">
        <v>193</v>
      </c>
      <c r="B59" s="5" t="s">
        <v>194</v>
      </c>
      <c r="C59" s="0" t="s">
        <v>25</v>
      </c>
      <c r="D59" s="7" t="n">
        <v>9100</v>
      </c>
      <c r="E59" s="7" t="n">
        <v>10071.4</v>
      </c>
      <c r="F59" s="7" t="n">
        <v>11400</v>
      </c>
      <c r="G59" s="8" t="s">
        <v>31</v>
      </c>
      <c r="H59" s="8" t="s">
        <v>195</v>
      </c>
      <c r="I59" s="8" t="s">
        <v>196</v>
      </c>
    </row>
    <row r="60" customFormat="false" ht="17.15" hidden="false" customHeight="false" outlineLevel="0" collapsed="false">
      <c r="A60" s="0" t="s">
        <v>197</v>
      </c>
      <c r="B60" s="5" t="s">
        <v>198</v>
      </c>
      <c r="C60" s="0" t="s">
        <v>25</v>
      </c>
      <c r="E60" s="7" t="n">
        <v>13477.2</v>
      </c>
      <c r="G60" s="8" t="s">
        <v>31</v>
      </c>
      <c r="H60" s="8" t="s">
        <v>199</v>
      </c>
    </row>
    <row r="61" customFormat="false" ht="17.15" hidden="false" customHeight="false" outlineLevel="0" collapsed="false">
      <c r="A61" s="0" t="s">
        <v>200</v>
      </c>
      <c r="B61" s="5" t="s">
        <v>201</v>
      </c>
      <c r="C61" s="0" t="s">
        <v>25</v>
      </c>
      <c r="E61" s="7" t="n">
        <v>5573.9</v>
      </c>
      <c r="G61" s="8" t="s">
        <v>31</v>
      </c>
      <c r="H61" s="8" t="s">
        <v>199</v>
      </c>
    </row>
    <row r="62" customFormat="false" ht="17.15" hidden="false" customHeight="false" outlineLevel="0" collapsed="false">
      <c r="A62" s="0" t="s">
        <v>202</v>
      </c>
      <c r="B62" s="5" t="s">
        <v>203</v>
      </c>
      <c r="C62" s="0" t="s">
        <v>25</v>
      </c>
      <c r="E62" s="7" t="n">
        <v>7730</v>
      </c>
      <c r="G62" s="8" t="s">
        <v>31</v>
      </c>
      <c r="H62" s="8" t="s">
        <v>199</v>
      </c>
    </row>
    <row r="63" customFormat="false" ht="17.15" hidden="false" customHeight="false" outlineLevel="0" collapsed="false">
      <c r="A63" s="0" t="s">
        <v>204</v>
      </c>
      <c r="B63" s="5" t="s">
        <v>205</v>
      </c>
      <c r="C63" s="0" t="s">
        <v>78</v>
      </c>
      <c r="E63" s="7" t="n">
        <v>3486</v>
      </c>
      <c r="G63" s="8" t="s">
        <v>31</v>
      </c>
      <c r="H63" s="8" t="s">
        <v>199</v>
      </c>
    </row>
    <row r="64" customFormat="false" ht="17.15" hidden="false" customHeight="false" outlineLevel="0" collapsed="false">
      <c r="A64" s="0" t="s">
        <v>206</v>
      </c>
      <c r="B64" s="5" t="s">
        <v>207</v>
      </c>
      <c r="C64" s="0" t="s">
        <v>78</v>
      </c>
      <c r="E64" s="7" t="n">
        <v>4871</v>
      </c>
      <c r="G64" s="8" t="s">
        <v>31</v>
      </c>
      <c r="H64" s="8" t="s">
        <v>199</v>
      </c>
    </row>
    <row r="65" customFormat="false" ht="17.15" hidden="false" customHeight="false" outlineLevel="0" collapsed="false">
      <c r="A65" s="0" t="s">
        <v>208</v>
      </c>
      <c r="B65" s="5" t="s">
        <v>209</v>
      </c>
      <c r="C65" s="0" t="s">
        <v>78</v>
      </c>
      <c r="E65" s="7" t="n">
        <v>5467</v>
      </c>
      <c r="G65" s="8" t="s">
        <v>31</v>
      </c>
      <c r="H65" s="8" t="s">
        <v>199</v>
      </c>
    </row>
    <row r="66" customFormat="false" ht="17.15" hidden="false" customHeight="false" outlineLevel="0" collapsed="false">
      <c r="A66" s="0" t="s">
        <v>210</v>
      </c>
      <c r="B66" s="5" t="s">
        <v>211</v>
      </c>
      <c r="C66" s="0" t="s">
        <v>78</v>
      </c>
      <c r="E66" s="7" t="n">
        <v>3830</v>
      </c>
      <c r="G66" s="8" t="s">
        <v>31</v>
      </c>
      <c r="H66" s="8" t="s">
        <v>199</v>
      </c>
    </row>
    <row r="67" customFormat="false" ht="17.15" hidden="false" customHeight="false" outlineLevel="0" collapsed="false">
      <c r="A67" s="0" t="s">
        <v>212</v>
      </c>
      <c r="B67" s="5" t="s">
        <v>213</v>
      </c>
      <c r="C67" s="0" t="s">
        <v>78</v>
      </c>
      <c r="E67" s="7" t="n">
        <v>7808</v>
      </c>
      <c r="G67" s="8" t="s">
        <v>31</v>
      </c>
      <c r="H67" s="8" t="s">
        <v>199</v>
      </c>
    </row>
    <row r="68" customFormat="false" ht="17.15" hidden="false" customHeight="false" outlineLevel="0" collapsed="false">
      <c r="A68" s="0" t="s">
        <v>214</v>
      </c>
      <c r="B68" s="5" t="s">
        <v>215</v>
      </c>
      <c r="C68" s="0" t="s">
        <v>78</v>
      </c>
      <c r="E68" s="7" t="n">
        <v>11928</v>
      </c>
      <c r="G68" s="8" t="s">
        <v>31</v>
      </c>
      <c r="H68" s="8" t="s">
        <v>199</v>
      </c>
    </row>
    <row r="69" customFormat="false" ht="17.15" hidden="false" customHeight="false" outlineLevel="0" collapsed="false">
      <c r="A69" s="1" t="s">
        <v>216</v>
      </c>
    </row>
    <row r="70" customFormat="false" ht="17.15" hidden="false" customHeight="false" outlineLevel="0" collapsed="false">
      <c r="A70" s="9" t="s">
        <v>217</v>
      </c>
      <c r="B70" s="10" t="s">
        <v>218</v>
      </c>
      <c r="C70" s="9" t="s">
        <v>116</v>
      </c>
      <c r="D70" s="9"/>
      <c r="E70" s="11" t="n">
        <v>0.3</v>
      </c>
      <c r="F70" s="9"/>
      <c r="G70" s="9" t="s">
        <v>94</v>
      </c>
      <c r="H70" s="9" t="s">
        <v>219</v>
      </c>
      <c r="I70" s="10" t="s">
        <v>220</v>
      </c>
    </row>
    <row r="71" customFormat="false" ht="17.15" hidden="false" customHeight="false" outlineLevel="0" collapsed="false">
      <c r="A71" s="9" t="s">
        <v>221</v>
      </c>
      <c r="B71" s="10" t="s">
        <v>222</v>
      </c>
      <c r="C71" s="9" t="s">
        <v>116</v>
      </c>
      <c r="D71" s="9"/>
      <c r="E71" s="11" t="n">
        <v>0.5</v>
      </c>
      <c r="F71" s="9"/>
      <c r="G71" s="9" t="s">
        <v>94</v>
      </c>
      <c r="H71" s="9" t="s">
        <v>219</v>
      </c>
      <c r="I71" s="10" t="s">
        <v>220</v>
      </c>
    </row>
    <row r="72" customFormat="false" ht="17.15" hidden="false" customHeight="false" outlineLevel="0" collapsed="false">
      <c r="A72" s="9" t="s">
        <v>223</v>
      </c>
      <c r="B72" s="10" t="s">
        <v>224</v>
      </c>
      <c r="C72" s="9" t="s">
        <v>116</v>
      </c>
      <c r="D72" s="9"/>
      <c r="E72" s="11" t="n">
        <v>0.2</v>
      </c>
      <c r="F72" s="9"/>
      <c r="G72" s="9" t="s">
        <v>94</v>
      </c>
      <c r="H72" s="9" t="s">
        <v>219</v>
      </c>
      <c r="I72" s="10" t="s">
        <v>220</v>
      </c>
    </row>
    <row r="73" customFormat="false" ht="17.15" hidden="false" customHeight="false" outlineLevel="0" collapsed="false">
      <c r="A73" s="9" t="s">
        <v>225</v>
      </c>
      <c r="B73" s="10" t="s">
        <v>226</v>
      </c>
      <c r="C73" s="9" t="s">
        <v>116</v>
      </c>
      <c r="D73" s="9"/>
      <c r="E73" s="11" t="n">
        <v>0.1</v>
      </c>
      <c r="F73" s="9"/>
      <c r="G73" s="9" t="s">
        <v>94</v>
      </c>
      <c r="H73" s="9" t="s">
        <v>227</v>
      </c>
      <c r="I73" s="10" t="s">
        <v>228</v>
      </c>
    </row>
    <row r="74" customFormat="false" ht="17.15" hidden="false" customHeight="false" outlineLevel="0" collapsed="false">
      <c r="A74" s="9" t="s">
        <v>229</v>
      </c>
      <c r="B74" s="10" t="s">
        <v>230</v>
      </c>
      <c r="C74" s="9" t="s">
        <v>116</v>
      </c>
      <c r="D74" s="9"/>
      <c r="E74" s="11" t="n">
        <v>0.04</v>
      </c>
      <c r="F74" s="9"/>
      <c r="G74" s="9" t="s">
        <v>94</v>
      </c>
      <c r="H74" s="9" t="s">
        <v>231</v>
      </c>
      <c r="I74" s="9"/>
    </row>
    <row r="75" customFormat="false" ht="17.15" hidden="false" customHeight="false" outlineLevel="0" collapsed="false">
      <c r="A75" s="9" t="s">
        <v>232</v>
      </c>
      <c r="B75" s="9" t="s">
        <v>233</v>
      </c>
      <c r="C75" s="9" t="s">
        <v>116</v>
      </c>
      <c r="D75" s="9"/>
      <c r="E75" s="9" t="n">
        <f aca="false">AVERAGE(272.3/737.1,554.5/1399.1)</f>
        <v>0.382873456230138</v>
      </c>
      <c r="F75" s="9"/>
      <c r="G75" s="9" t="s">
        <v>79</v>
      </c>
      <c r="H75" s="9" t="s">
        <v>234</v>
      </c>
      <c r="I75" s="9" t="s">
        <v>235</v>
      </c>
    </row>
    <row r="76" customFormat="false" ht="17.15" hidden="false" customHeight="false" outlineLevel="0" collapsed="false">
      <c r="A76" s="9" t="s">
        <v>236</v>
      </c>
      <c r="B76" s="10" t="s">
        <v>237</v>
      </c>
      <c r="C76" s="9" t="s">
        <v>116</v>
      </c>
      <c r="D76" s="9"/>
      <c r="E76" s="11" t="n">
        <v>0.5</v>
      </c>
      <c r="F76" s="9"/>
      <c r="G76" s="9" t="s">
        <v>94</v>
      </c>
      <c r="H76" s="9" t="s">
        <v>238</v>
      </c>
      <c r="I76" s="9"/>
    </row>
    <row r="77" customFormat="false" ht="17.15" hidden="false" customHeight="false" outlineLevel="0" collapsed="false">
      <c r="A77" s="9" t="s">
        <v>239</v>
      </c>
      <c r="B77" s="10" t="s">
        <v>240</v>
      </c>
      <c r="C77" s="9" t="s">
        <v>116</v>
      </c>
      <c r="D77" s="9"/>
      <c r="E77" s="11" t="n">
        <v>0.146628636185545</v>
      </c>
      <c r="F77" s="9"/>
      <c r="G77" s="9" t="s">
        <v>241</v>
      </c>
      <c r="H77" s="9" t="s">
        <v>242</v>
      </c>
      <c r="I77" s="9" t="s">
        <v>243</v>
      </c>
    </row>
    <row r="78" customFormat="false" ht="17.15" hidden="false" customHeight="false" outlineLevel="0" collapsed="false">
      <c r="A78" s="9" t="s">
        <v>244</v>
      </c>
      <c r="B78" s="10" t="s">
        <v>245</v>
      </c>
      <c r="C78" s="9" t="s">
        <v>110</v>
      </c>
      <c r="D78" s="9"/>
      <c r="E78" s="11" t="n">
        <v>1.2</v>
      </c>
      <c r="F78" s="9"/>
      <c r="G78" s="9" t="s">
        <v>94</v>
      </c>
      <c r="H78" s="10" t="s">
        <v>246</v>
      </c>
      <c r="I78" s="9" t="s">
        <v>247</v>
      </c>
    </row>
    <row r="79" customFormat="false" ht="17.15" hidden="false" customHeight="false" outlineLevel="0" collapsed="false">
      <c r="A79" s="9" t="s">
        <v>248</v>
      </c>
      <c r="B79" s="10" t="s">
        <v>249</v>
      </c>
      <c r="C79" s="9" t="s">
        <v>110</v>
      </c>
      <c r="D79" s="9"/>
      <c r="E79" s="11" t="n">
        <v>0.8</v>
      </c>
      <c r="F79" s="9"/>
      <c r="G79" s="9" t="s">
        <v>94</v>
      </c>
      <c r="H79" s="10" t="s">
        <v>250</v>
      </c>
      <c r="I79" s="9" t="s">
        <v>247</v>
      </c>
    </row>
    <row r="80" customFormat="false" ht="17.15" hidden="false" customHeight="false" outlineLevel="0" collapsed="false">
      <c r="A80" s="9" t="s">
        <v>251</v>
      </c>
      <c r="B80" s="10" t="s">
        <v>252</v>
      </c>
      <c r="C80" s="9" t="s">
        <v>116</v>
      </c>
      <c r="D80" s="9"/>
      <c r="E80" s="9" t="n">
        <f aca="false">nim10*cyc_mA</f>
        <v>0.175954363422654</v>
      </c>
      <c r="F80" s="9"/>
      <c r="G80" s="9" t="s">
        <v>79</v>
      </c>
      <c r="H80" s="10" t="s">
        <v>253</v>
      </c>
      <c r="I80" s="9" t="s">
        <v>254</v>
      </c>
    </row>
    <row r="81" customFormat="false" ht="17.15" hidden="false" customHeight="false" outlineLevel="0" collapsed="false">
      <c r="A81" s="9" t="s">
        <v>255</v>
      </c>
      <c r="B81" s="10" t="s">
        <v>256</v>
      </c>
      <c r="C81" s="9" t="s">
        <v>116</v>
      </c>
      <c r="D81" s="9"/>
      <c r="E81" s="9" t="n">
        <f aca="false">nim10</f>
        <v>0.146628636185545</v>
      </c>
      <c r="F81" s="9"/>
      <c r="G81" s="9" t="s">
        <v>79</v>
      </c>
      <c r="H81" s="10" t="s">
        <v>253</v>
      </c>
      <c r="I81" s="9" t="s">
        <v>254</v>
      </c>
    </row>
    <row r="82" customFormat="false" ht="17.15" hidden="false" customHeight="false" outlineLevel="0" collapsed="false">
      <c r="A82" s="9" t="s">
        <v>257</v>
      </c>
      <c r="B82" s="10" t="s">
        <v>258</v>
      </c>
      <c r="C82" s="9" t="s">
        <v>116</v>
      </c>
      <c r="D82" s="9"/>
      <c r="E82" s="9" t="n">
        <f aca="false">nim10*cyc_mC</f>
        <v>0.117302908948436</v>
      </c>
      <c r="F82" s="9"/>
      <c r="G82" s="9" t="s">
        <v>79</v>
      </c>
      <c r="H82" s="10" t="s">
        <v>253</v>
      </c>
      <c r="I82" s="9" t="s">
        <v>254</v>
      </c>
    </row>
    <row r="83" customFormat="false" ht="17.15" hidden="false" customHeight="false" outlineLevel="0" collapsed="false">
      <c r="A83" s="9" t="s">
        <v>259</v>
      </c>
      <c r="B83" s="10" t="s">
        <v>260</v>
      </c>
      <c r="C83" s="9" t="s">
        <v>116</v>
      </c>
      <c r="D83" s="9"/>
      <c r="E83" s="9" t="n">
        <f aca="false">tp_g+0.02</f>
        <v>0.06</v>
      </c>
      <c r="F83" s="9"/>
      <c r="G83" s="9" t="s">
        <v>94</v>
      </c>
      <c r="H83" s="10" t="s">
        <v>261</v>
      </c>
      <c r="I83" s="9" t="s">
        <v>262</v>
      </c>
    </row>
    <row r="84" customFormat="false" ht="17.15" hidden="false" customHeight="false" outlineLevel="0" collapsed="false">
      <c r="A84" s="9" t="s">
        <v>263</v>
      </c>
      <c r="B84" s="10" t="s">
        <v>264</v>
      </c>
      <c r="C84" s="9" t="s">
        <v>116</v>
      </c>
      <c r="D84" s="9"/>
      <c r="E84" s="9" t="n">
        <f aca="false">tp_g</f>
        <v>0.04</v>
      </c>
      <c r="F84" s="9"/>
      <c r="G84" s="9" t="s">
        <v>94</v>
      </c>
      <c r="H84" s="10" t="s">
        <v>261</v>
      </c>
      <c r="I84" s="9" t="s">
        <v>262</v>
      </c>
    </row>
    <row r="85" customFormat="false" ht="17.15" hidden="false" customHeight="false" outlineLevel="0" collapsed="false">
      <c r="A85" s="9" t="s">
        <v>265</v>
      </c>
      <c r="B85" s="10" t="s">
        <v>266</v>
      </c>
      <c r="C85" s="9" t="s">
        <v>116</v>
      </c>
      <c r="D85" s="9"/>
      <c r="E85" s="9" t="n">
        <f aca="false">tp_g-0.02</f>
        <v>0.02</v>
      </c>
      <c r="F85" s="9"/>
      <c r="G85" s="9" t="s">
        <v>94</v>
      </c>
      <c r="H85" s="10" t="s">
        <v>261</v>
      </c>
      <c r="I85" s="9" t="s">
        <v>262</v>
      </c>
    </row>
    <row r="86" customFormat="false" ht="17.15" hidden="false" customHeight="false" outlineLevel="0" collapsed="false">
      <c r="A86" s="9" t="s">
        <v>267</v>
      </c>
      <c r="B86" s="10" t="s">
        <v>268</v>
      </c>
      <c r="C86" s="9" t="s">
        <v>78</v>
      </c>
      <c r="D86" s="11" t="n">
        <v>16333.33</v>
      </c>
      <c r="E86" s="11" t="n">
        <v>36929.23</v>
      </c>
      <c r="F86" s="11" t="n">
        <v>66666.67</v>
      </c>
      <c r="G86" s="9" t="s">
        <v>31</v>
      </c>
      <c r="H86" s="9" t="s">
        <v>269</v>
      </c>
      <c r="I86" s="9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271</v>
      </c>
    </row>
    <row r="3" customFormat="false" ht="17.15" hidden="false" customHeight="false" outlineLevel="0" collapsed="false">
      <c r="A3" s="6" t="s">
        <v>14</v>
      </c>
      <c r="B3" s="12" t="s">
        <v>272</v>
      </c>
      <c r="C3" s="12" t="s">
        <v>273</v>
      </c>
      <c r="D3" s="12" t="s">
        <v>274</v>
      </c>
      <c r="E3" s="12" t="s">
        <v>275</v>
      </c>
      <c r="F3" s="12" t="s">
        <v>276</v>
      </c>
      <c r="G3" s="12" t="s">
        <v>277</v>
      </c>
      <c r="H3" s="12" t="s">
        <v>278</v>
      </c>
      <c r="I3" s="6" t="s">
        <v>19</v>
      </c>
      <c r="J3" s="6" t="s">
        <v>279</v>
      </c>
    </row>
    <row r="4" customFormat="false" ht="17.15" hidden="false" customHeight="false" outlineLevel="0" collapsed="false">
      <c r="A4" s="5" t="s">
        <v>280</v>
      </c>
      <c r="B4" s="13" t="n">
        <f aca="false">p1_rev</f>
        <v>342.8</v>
      </c>
      <c r="C4" s="13" t="n">
        <f aca="false">p2_rev</f>
        <v>448.3</v>
      </c>
      <c r="D4" s="13" t="n">
        <f aca="false">p3_rev</f>
        <v>543.6</v>
      </c>
      <c r="E4" s="13" t="n">
        <f aca="false">p4_rev</f>
        <v>1002.9</v>
      </c>
      <c r="F4" s="13" t="n">
        <f aca="false">SUM(B4:E4)</f>
        <v>2337.6</v>
      </c>
      <c r="G4" s="13" t="n">
        <f aca="false">q1_rev</f>
        <v>1767.1</v>
      </c>
      <c r="H4" s="13" t="n">
        <f aca="false">g2_rev</f>
        <v>2390</v>
      </c>
      <c r="I4" s="8" t="s">
        <v>281</v>
      </c>
      <c r="J4" s="5" t="s">
        <v>282</v>
      </c>
    </row>
    <row r="5" customFormat="false" ht="17.15" hidden="false" customHeight="false" outlineLevel="0" collapsed="false">
      <c r="A5" s="5" t="s">
        <v>283</v>
      </c>
      <c r="B5" s="13" t="n">
        <f aca="false">p1_gp</f>
        <v>71.2</v>
      </c>
      <c r="C5" s="13" t="n">
        <f aca="false">p2_gp</f>
        <v>122.1</v>
      </c>
      <c r="D5" s="13" t="n">
        <f aca="false">p3_gp</f>
        <v>176.6</v>
      </c>
      <c r="E5" s="13" t="n">
        <f aca="false">p4_gp</f>
        <v>642.9</v>
      </c>
      <c r="F5" s="13" t="n">
        <f aca="false">SUM(B5:E5)</f>
        <v>1012.8</v>
      </c>
      <c r="G5" s="13" t="n">
        <f aca="false">q1_gp</f>
        <v>1380.1</v>
      </c>
      <c r="I5" s="8" t="s">
        <v>281</v>
      </c>
      <c r="J5" s="5" t="s">
        <v>282</v>
      </c>
    </row>
    <row r="6" customFormat="false" ht="17.15" hidden="false" customHeight="false" outlineLevel="0" collapsed="false">
      <c r="A6" s="5" t="s">
        <v>284</v>
      </c>
      <c r="B6" s="13" t="n">
        <f aca="false">p1_op</f>
        <v>44.9</v>
      </c>
      <c r="C6" s="13" t="n">
        <f aca="false">p2_op</f>
        <v>85.9</v>
      </c>
      <c r="D6" s="13" t="n">
        <f aca="false">p3_op</f>
        <v>142.8</v>
      </c>
      <c r="E6" s="13" t="n">
        <f aca="false">p4_op</f>
        <v>595.4</v>
      </c>
      <c r="F6" s="13" t="n">
        <f aca="false">SUM(B6:E6)</f>
        <v>869</v>
      </c>
      <c r="G6" s="13" t="n">
        <f aca="false">q1_op</f>
        <v>1270</v>
      </c>
      <c r="H6" s="13" t="n">
        <f aca="false">g2_op</f>
        <v>1890</v>
      </c>
      <c r="I6" s="8" t="s">
        <v>281</v>
      </c>
      <c r="J6" s="5" t="s">
        <v>282</v>
      </c>
    </row>
    <row r="7" customFormat="false" ht="17.15" hidden="false" customHeight="false" outlineLevel="0" collapsed="false">
      <c r="A7" s="5" t="s">
        <v>285</v>
      </c>
      <c r="B7" s="13" t="n">
        <f aca="false">p1_ni</f>
        <v>18.3</v>
      </c>
      <c r="C7" s="13" t="n">
        <f aca="false">p2_ni</f>
        <v>40.7</v>
      </c>
      <c r="D7" s="13" t="n">
        <f aca="false">p3_ni</f>
        <v>87.8</v>
      </c>
      <c r="E7" s="13" t="n">
        <f aca="false">p4_ni</f>
        <v>407.7</v>
      </c>
      <c r="F7" s="13" t="n">
        <f aca="false">SUM(B7:E7)</f>
        <v>554.5</v>
      </c>
      <c r="G7" s="13" t="n">
        <f aca="false">q1_ni</f>
        <v>842.2</v>
      </c>
      <c r="H7" s="13" t="n">
        <f aca="false">g2_ni</f>
        <v>1270</v>
      </c>
      <c r="I7" s="8" t="s">
        <v>281</v>
      </c>
      <c r="J7" s="5" t="s">
        <v>282</v>
      </c>
    </row>
    <row r="8" customFormat="false" ht="15" hidden="false" customHeight="false" outlineLevel="0" collapsed="false">
      <c r="A8" s="5" t="s">
        <v>286</v>
      </c>
      <c r="B8" s="14" t="n">
        <f aca="false">B5/B4</f>
        <v>0.207701283547258</v>
      </c>
      <c r="C8" s="14" t="n">
        <f aca="false">C5/C4</f>
        <v>0.272362257416908</v>
      </c>
      <c r="D8" s="14" t="n">
        <f aca="false">D5/D4</f>
        <v>0.324871228844739</v>
      </c>
      <c r="E8" s="14" t="n">
        <f aca="false">E5/E4</f>
        <v>0.641040981154652</v>
      </c>
      <c r="F8" s="14" t="n">
        <f aca="false">F5/F4</f>
        <v>0.433264887063655</v>
      </c>
      <c r="G8" s="14" t="n">
        <f aca="false">G5/G4</f>
        <v>0.780997113915455</v>
      </c>
    </row>
    <row r="9" customFormat="false" ht="15" hidden="false" customHeight="false" outlineLevel="0" collapsed="false">
      <c r="A9" s="5" t="s">
        <v>287</v>
      </c>
      <c r="B9" s="14" t="n">
        <f aca="false">B6/B4</f>
        <v>0.13098016336056</v>
      </c>
      <c r="C9" s="14" t="n">
        <f aca="false">C6/C4</f>
        <v>0.19161275931296</v>
      </c>
      <c r="D9" s="14" t="n">
        <f aca="false">D6/D4</f>
        <v>0.262693156732892</v>
      </c>
      <c r="E9" s="14" t="n">
        <f aca="false">E6/E4</f>
        <v>0.593678332834779</v>
      </c>
      <c r="F9" s="14" t="n">
        <f aca="false">F6/F4</f>
        <v>0.371748802190281</v>
      </c>
      <c r="G9" s="14" t="n">
        <f aca="false">G6/G4</f>
        <v>0.718691641672797</v>
      </c>
      <c r="H9" s="14" t="n">
        <f aca="false">H6/H4</f>
        <v>0.790794979079498</v>
      </c>
    </row>
    <row r="10" customFormat="false" ht="15" hidden="false" customHeight="false" outlineLevel="0" collapsed="false">
      <c r="A10" s="5" t="s">
        <v>288</v>
      </c>
      <c r="C10" s="14" t="n">
        <f aca="false">C4/B4-1</f>
        <v>0.307759626604434</v>
      </c>
      <c r="D10" s="14" t="n">
        <f aca="false">D4/C4-1</f>
        <v>0.21258086103056</v>
      </c>
      <c r="E10" s="14" t="n">
        <f aca="false">E4/D4-1</f>
        <v>0.844922737306843</v>
      </c>
      <c r="G10" s="14" t="n">
        <f aca="false">G4/E4-1</f>
        <v>0.76199022833782</v>
      </c>
      <c r="H10" s="14" t="n">
        <f aca="false">H4/G4-1</f>
        <v>0.352498443777941</v>
      </c>
    </row>
    <row r="12" customFormat="false" ht="17.15" hidden="false" customHeight="false" outlineLevel="0" collapsed="false">
      <c r="A12" s="0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290</v>
      </c>
    </row>
    <row r="2" customFormat="false" ht="17.15" hidden="false" customHeight="false" outlineLevel="0" collapsed="false">
      <c r="A2" s="0" t="s">
        <v>291</v>
      </c>
    </row>
    <row r="3" customFormat="false" ht="15" hidden="false" customHeight="false" outlineLevel="0" collapsed="false">
      <c r="A3" s="6" t="s">
        <v>14</v>
      </c>
      <c r="B3" s="6" t="s">
        <v>15</v>
      </c>
      <c r="C3" s="12" t="s">
        <v>292</v>
      </c>
      <c r="D3" s="12" t="s">
        <v>293</v>
      </c>
      <c r="E3" s="12" t="s">
        <v>294</v>
      </c>
      <c r="F3" s="12" t="s">
        <v>295</v>
      </c>
      <c r="G3" s="12" t="s">
        <v>296</v>
      </c>
      <c r="H3" s="12" t="s">
        <v>297</v>
      </c>
      <c r="I3" s="12" t="s">
        <v>298</v>
      </c>
      <c r="J3" s="12" t="s">
        <v>299</v>
      </c>
      <c r="K3" s="12" t="s">
        <v>300</v>
      </c>
      <c r="L3" s="12" t="s">
        <v>301</v>
      </c>
      <c r="M3" s="12" t="s">
        <v>302</v>
      </c>
      <c r="N3" s="12" t="s">
        <v>303</v>
      </c>
      <c r="O3" s="12" t="s">
        <v>304</v>
      </c>
      <c r="P3" s="12" t="s">
        <v>305</v>
      </c>
      <c r="Q3" s="12" t="s">
        <v>306</v>
      </c>
      <c r="R3" s="12" t="s">
        <v>307</v>
      </c>
      <c r="S3" s="12" t="s">
        <v>308</v>
      </c>
      <c r="T3" s="12" t="s">
        <v>309</v>
      </c>
      <c r="U3" s="12" t="s">
        <v>310</v>
      </c>
      <c r="V3" s="12" t="s">
        <v>311</v>
      </c>
      <c r="W3" s="12" t="s">
        <v>312</v>
      </c>
      <c r="X3" s="12" t="s">
        <v>313</v>
      </c>
      <c r="Y3" s="12" t="s">
        <v>314</v>
      </c>
      <c r="Z3" s="12" t="s">
        <v>315</v>
      </c>
      <c r="AA3" s="6" t="s">
        <v>279</v>
      </c>
    </row>
    <row r="4" customFormat="false" ht="17.15" hidden="false" customHeight="false" outlineLevel="0" collapsed="false">
      <c r="A4" s="0" t="s">
        <v>316</v>
      </c>
      <c r="B4" s="0" t="s">
        <v>317</v>
      </c>
      <c r="C4" s="15" t="n">
        <v>1.92</v>
      </c>
      <c r="D4" s="15" t="n">
        <v>2.14</v>
      </c>
      <c r="E4" s="15" t="n">
        <v>2.84</v>
      </c>
      <c r="F4" s="15" t="n">
        <v>3.31</v>
      </c>
      <c r="G4" s="15" t="n">
        <v>5.96</v>
      </c>
      <c r="H4" s="15" t="n">
        <v>10.72</v>
      </c>
      <c r="I4" s="15" t="n">
        <v>14.3197859923946</v>
      </c>
      <c r="J4" s="15" t="n">
        <v>17.6469939469536</v>
      </c>
      <c r="K4" s="15" t="n">
        <v>19.4448271931715</v>
      </c>
      <c r="L4" s="15" t="n">
        <v>20.5604014966272</v>
      </c>
      <c r="M4" s="15" t="n">
        <v>20.6529788219672</v>
      </c>
      <c r="N4" s="15" t="n">
        <v>20.3092156690391</v>
      </c>
      <c r="O4" s="15" t="n">
        <v>20.4006619798858</v>
      </c>
      <c r="P4" s="15" t="n">
        <v>20.492520046061</v>
      </c>
      <c r="Q4" s="15" t="n">
        <v>20.5847917215753</v>
      </c>
      <c r="R4" s="15" t="n">
        <v>20.6774788687878</v>
      </c>
      <c r="S4" s="15" t="n">
        <v>20.8499966018633</v>
      </c>
      <c r="T4" s="15" t="n">
        <v>21.235846897313</v>
      </c>
      <c r="U4" s="15" t="n">
        <v>21.628837743111</v>
      </c>
      <c r="V4" s="15" t="n">
        <v>22.0291012823706</v>
      </c>
      <c r="W4" s="15" t="n">
        <v>21.5407648571837</v>
      </c>
      <c r="X4" s="15" t="n">
        <v>21.5582001656577</v>
      </c>
      <c r="Y4" s="15" t="n">
        <v>21.5756495864431</v>
      </c>
      <c r="Z4" s="15" t="n">
        <v>21.5931131309625</v>
      </c>
      <c r="AA4" s="8" t="s">
        <v>318</v>
      </c>
    </row>
    <row r="5" customFormat="false" ht="17.15" hidden="false" customHeight="false" outlineLevel="0" collapsed="false">
      <c r="A5" s="0" t="s">
        <v>319</v>
      </c>
      <c r="B5" s="0" t="s">
        <v>317</v>
      </c>
      <c r="C5" s="15" t="n">
        <v>1.92</v>
      </c>
      <c r="D5" s="15" t="n">
        <v>2.14</v>
      </c>
      <c r="E5" s="15" t="n">
        <v>2.84</v>
      </c>
      <c r="F5" s="15" t="n">
        <v>3.31</v>
      </c>
      <c r="G5" s="15" t="n">
        <v>5.96</v>
      </c>
      <c r="H5" s="15" t="n">
        <v>10.72</v>
      </c>
      <c r="I5" s="15" t="n">
        <v>14.3197859923946</v>
      </c>
      <c r="J5" s="15" t="n">
        <v>17.6469939469536</v>
      </c>
      <c r="K5" s="15" t="n">
        <v>19.595468438795</v>
      </c>
      <c r="L5" s="15" t="n">
        <v>21.1340789252551</v>
      </c>
      <c r="M5" s="15" t="n">
        <v>20.1119109613647</v>
      </c>
      <c r="N5" s="15" t="n">
        <v>17.0126053627378</v>
      </c>
      <c r="O5" s="15" t="n">
        <v>11.8275130795543</v>
      </c>
      <c r="P5" s="15" t="n">
        <v>9.18584573436248</v>
      </c>
      <c r="Q5" s="15" t="n">
        <v>7.60980594205616</v>
      </c>
      <c r="R5" s="15" t="n">
        <v>7.09219288775088</v>
      </c>
      <c r="S5" s="15" t="n">
        <v>7.84546398497791</v>
      </c>
      <c r="T5" s="15" t="n">
        <v>8.63214068504036</v>
      </c>
      <c r="U5" s="15" t="n">
        <v>9.31679011773699</v>
      </c>
      <c r="V5" s="15" t="n">
        <v>10.0557418217699</v>
      </c>
      <c r="W5" s="15" t="n">
        <v>9.72103033741691</v>
      </c>
      <c r="X5" s="15" t="n">
        <v>9.71928526843708</v>
      </c>
      <c r="Y5" s="15" t="n">
        <v>9.71754051272299</v>
      </c>
      <c r="Z5" s="15" t="n">
        <v>9.7157960702184</v>
      </c>
      <c r="AA5" s="8" t="s">
        <v>320</v>
      </c>
    </row>
    <row r="6" customFormat="false" ht="17.15" hidden="false" customHeight="false" outlineLevel="0" collapsed="false">
      <c r="A6" s="0" t="s">
        <v>321</v>
      </c>
      <c r="B6" s="0" t="s">
        <v>317</v>
      </c>
      <c r="C6" s="15" t="n">
        <v>1.92</v>
      </c>
      <c r="D6" s="15" t="n">
        <v>2.14</v>
      </c>
      <c r="E6" s="15" t="n">
        <v>2.84</v>
      </c>
      <c r="F6" s="15" t="n">
        <v>3.31</v>
      </c>
      <c r="G6" s="15" t="n">
        <v>5.96</v>
      </c>
      <c r="H6" s="15" t="n">
        <v>10.72</v>
      </c>
      <c r="I6" s="15" t="n">
        <v>14.3197859923946</v>
      </c>
      <c r="J6" s="15" t="n">
        <v>17.6469939469536</v>
      </c>
      <c r="K6" s="15" t="n">
        <v>19.3685402243569</v>
      </c>
      <c r="L6" s="15" t="n">
        <v>20.8893326049882</v>
      </c>
      <c r="M6" s="15" t="n">
        <v>19.8790020080699</v>
      </c>
      <c r="N6" s="15" t="n">
        <v>16.8155883753683</v>
      </c>
      <c r="O6" s="15" t="n">
        <v>9.89593993832582</v>
      </c>
      <c r="P6" s="15" t="n">
        <v>6.44794877146862</v>
      </c>
      <c r="Q6" s="15" t="n">
        <v>4.84768076821988</v>
      </c>
      <c r="R6" s="15" t="n">
        <v>3.88754268595575</v>
      </c>
      <c r="S6" s="15" t="n">
        <v>4.13033392340321</v>
      </c>
      <c r="T6" s="15" t="n">
        <v>4.49454962833573</v>
      </c>
      <c r="U6" s="15" t="n">
        <v>5.03062161561029</v>
      </c>
      <c r="V6" s="15" t="n">
        <v>5.73490270837585</v>
      </c>
      <c r="W6" s="15" t="n">
        <v>5.53135935677028</v>
      </c>
      <c r="X6" s="15" t="n">
        <v>5.51841766443906</v>
      </c>
      <c r="Y6" s="15" t="n">
        <v>5.50550625171718</v>
      </c>
      <c r="Z6" s="15" t="n">
        <v>5.49262504775958</v>
      </c>
      <c r="AA6" s="8" t="s">
        <v>322</v>
      </c>
    </row>
    <row r="7" customFormat="false" ht="17.15" hidden="false" customHeight="false" outlineLevel="0" collapsed="false">
      <c r="A7" s="0" t="s">
        <v>323</v>
      </c>
      <c r="B7" s="0" t="s">
        <v>324</v>
      </c>
      <c r="C7" s="15" t="n">
        <v>35.5454438457651</v>
      </c>
      <c r="D7" s="15" t="n">
        <v>33.3561735612603</v>
      </c>
      <c r="E7" s="15" t="n">
        <v>38.3034616573653</v>
      </c>
      <c r="F7" s="15" t="n">
        <v>36.6117929947199</v>
      </c>
      <c r="G7" s="15" t="n">
        <v>38.1333152375469</v>
      </c>
      <c r="H7" s="15" t="n">
        <v>40.1757580440862</v>
      </c>
      <c r="I7" s="15" t="n">
        <v>46.6667956905857</v>
      </c>
      <c r="J7" s="15" t="n">
        <v>48.944548236035</v>
      </c>
      <c r="K7" s="15" t="n">
        <v>52.3600980030596</v>
      </c>
      <c r="L7" s="15" t="n">
        <v>55.3640629793669</v>
      </c>
      <c r="M7" s="15" t="n">
        <v>58.5403692216961</v>
      </c>
      <c r="N7" s="15" t="n">
        <v>61.898904166222</v>
      </c>
      <c r="O7" s="15" t="n">
        <v>65.4501225038245</v>
      </c>
      <c r="P7" s="15" t="n">
        <v>69.2050787242086</v>
      </c>
      <c r="Q7" s="15" t="n">
        <v>73.1754615271202</v>
      </c>
      <c r="R7" s="15" t="n">
        <v>77.3736302077775</v>
      </c>
      <c r="S7" s="15" t="n">
        <v>80.4321433873819</v>
      </c>
      <c r="T7" s="15" t="n">
        <v>84.4542491025558</v>
      </c>
      <c r="U7" s="15" t="n">
        <v>88.6774850338687</v>
      </c>
      <c r="V7" s="15" t="n">
        <v>93.1119089388012</v>
      </c>
      <c r="W7" s="15" t="n">
        <v>94.0045560318226</v>
      </c>
      <c r="X7" s="15" t="n">
        <v>97.1358656143478</v>
      </c>
      <c r="Y7" s="15" t="n">
        <v>100.371479712691</v>
      </c>
      <c r="Z7" s="15" t="n">
        <v>103.714872730049</v>
      </c>
      <c r="AA7" s="8" t="s">
        <v>325</v>
      </c>
    </row>
    <row r="8" customFormat="false" ht="17.15" hidden="false" customHeight="false" outlineLevel="0" collapsed="false">
      <c r="A8" s="0" t="s">
        <v>326</v>
      </c>
      <c r="B8" s="0" t="s">
        <v>324</v>
      </c>
      <c r="C8" s="15" t="n">
        <v>35.5454438457651</v>
      </c>
      <c r="D8" s="15" t="n">
        <v>33.3561735612603</v>
      </c>
      <c r="E8" s="15" t="n">
        <v>38.3034616573653</v>
      </c>
      <c r="F8" s="15" t="n">
        <v>36.6117929947199</v>
      </c>
      <c r="G8" s="15" t="n">
        <v>38.1333152375469</v>
      </c>
      <c r="H8" s="15" t="n">
        <v>40.1757580440862</v>
      </c>
      <c r="I8" s="15" t="n">
        <v>46.6667956905857</v>
      </c>
      <c r="J8" s="15" t="n">
        <v>48.944548236035</v>
      </c>
      <c r="K8" s="15" t="n">
        <v>51.7606758567119</v>
      </c>
      <c r="L8" s="15" t="n">
        <v>54.730251227149</v>
      </c>
      <c r="M8" s="15" t="n">
        <v>57.87019488847</v>
      </c>
      <c r="N8" s="15" t="n">
        <v>61.1902810847732</v>
      </c>
      <c r="O8" s="15" t="n">
        <v>60.7724881001571</v>
      </c>
      <c r="P8" s="15" t="n">
        <v>62.9319899375342</v>
      </c>
      <c r="Q8" s="15" t="n">
        <v>65.1682279483249</v>
      </c>
      <c r="R8" s="15" t="n">
        <v>67.4839288911773</v>
      </c>
      <c r="S8" s="15" t="n">
        <v>71.0966527439941</v>
      </c>
      <c r="T8" s="15" t="n">
        <v>74.5005934271282</v>
      </c>
      <c r="U8" s="15" t="n">
        <v>78.0675067921974</v>
      </c>
      <c r="V8" s="15" t="n">
        <v>81.8051955882886</v>
      </c>
      <c r="W8" s="15" t="n">
        <v>81.6504162967138</v>
      </c>
      <c r="X8" s="15" t="n">
        <v>84.2868388379628</v>
      </c>
      <c r="Y8" s="15" t="n">
        <v>87.0083892221703</v>
      </c>
      <c r="Z8" s="15" t="n">
        <v>89.8178161550287</v>
      </c>
      <c r="AA8" s="8" t="s">
        <v>327</v>
      </c>
    </row>
    <row r="9" customFormat="false" ht="17.15" hidden="false" customHeight="false" outlineLevel="0" collapsed="false">
      <c r="A9" s="0" t="s">
        <v>328</v>
      </c>
      <c r="B9" s="0" t="s">
        <v>324</v>
      </c>
      <c r="C9" s="15" t="n">
        <v>35.5454438457651</v>
      </c>
      <c r="D9" s="15" t="n">
        <v>33.3561735612603</v>
      </c>
      <c r="E9" s="15" t="n">
        <v>38.3034616573653</v>
      </c>
      <c r="F9" s="15" t="n">
        <v>36.6117929947199</v>
      </c>
      <c r="G9" s="15" t="n">
        <v>38.1333152375469</v>
      </c>
      <c r="H9" s="15" t="n">
        <v>40.1757580440862</v>
      </c>
      <c r="I9" s="15" t="n">
        <v>46.6667956905857</v>
      </c>
      <c r="J9" s="15" t="n">
        <v>48.944548236035</v>
      </c>
      <c r="K9" s="15" t="n">
        <v>51.1612537103642</v>
      </c>
      <c r="L9" s="15" t="n">
        <v>54.0964394749311</v>
      </c>
      <c r="M9" s="15" t="n">
        <v>57.2000205552439</v>
      </c>
      <c r="N9" s="15" t="n">
        <v>60.4816580033244</v>
      </c>
      <c r="O9" s="15" t="n">
        <v>54.7589755237042</v>
      </c>
      <c r="P9" s="15" t="n">
        <v>54.8916752581918</v>
      </c>
      <c r="Q9" s="15" t="n">
        <v>55.0246965695417</v>
      </c>
      <c r="R9" s="15" t="n">
        <v>55.1580402370448</v>
      </c>
      <c r="S9" s="15" t="n">
        <v>58.6028612785497</v>
      </c>
      <c r="T9" s="15" t="n">
        <v>60.7338115798019</v>
      </c>
      <c r="U9" s="15" t="n">
        <v>62.9422486980342</v>
      </c>
      <c r="V9" s="15" t="n">
        <v>65.2309902525981</v>
      </c>
      <c r="W9" s="15" t="n">
        <v>64.9589689662811</v>
      </c>
      <c r="X9" s="15" t="n">
        <v>66.9115588802607</v>
      </c>
      <c r="Y9" s="15" t="n">
        <v>68.9228413417491</v>
      </c>
      <c r="Z9" s="15" t="n">
        <v>70.9945805794297</v>
      </c>
      <c r="AA9" s="8" t="s">
        <v>329</v>
      </c>
    </row>
    <row r="10" customFormat="false" ht="17.15" hidden="false" customHeight="false" outlineLevel="0" collapsed="false">
      <c r="A10" s="0" t="s">
        <v>330</v>
      </c>
      <c r="B10" s="0" t="s">
        <v>116</v>
      </c>
      <c r="C10" s="16" t="n">
        <v>0.279077306733167</v>
      </c>
      <c r="D10" s="16" t="n">
        <v>0.255607692307692</v>
      </c>
      <c r="E10" s="16" t="n">
        <v>0.27406432748538</v>
      </c>
      <c r="F10" s="16" t="n">
        <v>0.268969696969697</v>
      </c>
      <c r="G10" s="16" t="n">
        <v>0.270960154241645</v>
      </c>
      <c r="H10" s="16" t="n">
        <v>0.250180832610581</v>
      </c>
      <c r="I10" s="16" t="n">
        <v>0.262052870362358</v>
      </c>
      <c r="J10" s="16" t="n">
        <v>0.262052870362358</v>
      </c>
      <c r="K10" s="16" t="n">
        <v>0.262052870362358</v>
      </c>
      <c r="L10" s="16" t="n">
        <v>0.262052870362358</v>
      </c>
      <c r="M10" s="16" t="n">
        <v>0.262052870362358</v>
      </c>
      <c r="N10" s="16" t="n">
        <v>0.262052870362358</v>
      </c>
      <c r="O10" s="16" t="n">
        <v>0.262052870362358</v>
      </c>
      <c r="P10" s="16" t="n">
        <v>0.262052870362358</v>
      </c>
      <c r="Q10" s="16" t="n">
        <v>0.262052870362358</v>
      </c>
      <c r="R10" s="16" t="n">
        <v>0.262052870362358</v>
      </c>
      <c r="S10" s="16" t="n">
        <v>0.262052870362358</v>
      </c>
      <c r="T10" s="16" t="n">
        <v>0.262052870362358</v>
      </c>
      <c r="U10" s="16" t="n">
        <v>0.262052870362358</v>
      </c>
      <c r="V10" s="16" t="n">
        <v>0.262052870362358</v>
      </c>
      <c r="W10" s="16" t="n">
        <v>0.262052870362358</v>
      </c>
      <c r="X10" s="16" t="n">
        <v>0.262052870362358</v>
      </c>
      <c r="Y10" s="16" t="n">
        <v>0.262052870362358</v>
      </c>
      <c r="Z10" s="16" t="n">
        <v>0.262052870362358</v>
      </c>
      <c r="AA10" s="8" t="s">
        <v>331</v>
      </c>
    </row>
    <row r="11" customFormat="false" ht="17.15" hidden="false" customHeight="false" outlineLevel="0" collapsed="false">
      <c r="A11" s="0" t="s">
        <v>332</v>
      </c>
      <c r="B11" s="0" t="s">
        <v>116</v>
      </c>
      <c r="C11" s="16" t="n">
        <v>0.279077306733167</v>
      </c>
      <c r="D11" s="16" t="n">
        <v>0.255607692307692</v>
      </c>
      <c r="E11" s="16" t="n">
        <v>0.27406432748538</v>
      </c>
      <c r="F11" s="16" t="n">
        <v>0.268969696969697</v>
      </c>
      <c r="G11" s="16" t="n">
        <v>0.270960154241645</v>
      </c>
      <c r="H11" s="16" t="n">
        <v>0.250180832610581</v>
      </c>
      <c r="I11" s="16" t="n">
        <v>0.262052870362358</v>
      </c>
      <c r="J11" s="16" t="n">
        <v>0.262052870362358</v>
      </c>
      <c r="K11" s="16" t="n">
        <v>0.259052870362358</v>
      </c>
      <c r="L11" s="16" t="n">
        <v>0.259052870362358</v>
      </c>
      <c r="M11" s="16" t="n">
        <v>0.259052870362358</v>
      </c>
      <c r="N11" s="16" t="n">
        <v>0.259052870362358</v>
      </c>
      <c r="O11" s="16" t="n">
        <v>0.256052870362358</v>
      </c>
      <c r="P11" s="16" t="n">
        <v>0.256052870362358</v>
      </c>
      <c r="Q11" s="16" t="n">
        <v>0.256052870362358</v>
      </c>
      <c r="R11" s="16" t="n">
        <v>0.256052870362358</v>
      </c>
      <c r="S11" s="16" t="n">
        <v>0.253052870362358</v>
      </c>
      <c r="T11" s="16" t="n">
        <v>0.253052870362358</v>
      </c>
      <c r="U11" s="16" t="n">
        <v>0.253052870362358</v>
      </c>
      <c r="V11" s="16" t="n">
        <v>0.253052870362358</v>
      </c>
      <c r="W11" s="16" t="n">
        <v>0.250052870362358</v>
      </c>
      <c r="X11" s="16" t="n">
        <v>0.250052870362358</v>
      </c>
      <c r="Y11" s="16" t="n">
        <v>0.250052870362358</v>
      </c>
      <c r="Z11" s="16" t="n">
        <v>0.250052870362358</v>
      </c>
      <c r="AA11" s="8" t="s">
        <v>333</v>
      </c>
    </row>
    <row r="12" customFormat="false" ht="17.15" hidden="false" customHeight="false" outlineLevel="0" collapsed="false">
      <c r="A12" s="0" t="s">
        <v>334</v>
      </c>
      <c r="B12" s="0" t="s">
        <v>116</v>
      </c>
      <c r="C12" s="16" t="n">
        <v>0.279077306733167</v>
      </c>
      <c r="D12" s="16" t="n">
        <v>0.255607692307692</v>
      </c>
      <c r="E12" s="16" t="n">
        <v>0.27406432748538</v>
      </c>
      <c r="F12" s="16" t="n">
        <v>0.268969696969697</v>
      </c>
      <c r="G12" s="16" t="n">
        <v>0.270960154241645</v>
      </c>
      <c r="H12" s="16" t="n">
        <v>0.250180832610581</v>
      </c>
      <c r="I12" s="16" t="n">
        <v>0.262052870362358</v>
      </c>
      <c r="J12" s="16" t="n">
        <v>0.262052870362358</v>
      </c>
      <c r="K12" s="16" t="n">
        <v>0.256052870362358</v>
      </c>
      <c r="L12" s="16" t="n">
        <v>0.256052870362358</v>
      </c>
      <c r="M12" s="16" t="n">
        <v>0.256052870362358</v>
      </c>
      <c r="N12" s="16" t="n">
        <v>0.256052870362358</v>
      </c>
      <c r="O12" s="16" t="n">
        <v>0.250052870362358</v>
      </c>
      <c r="P12" s="16" t="n">
        <v>0.250052870362358</v>
      </c>
      <c r="Q12" s="16" t="n">
        <v>0.250052870362358</v>
      </c>
      <c r="R12" s="16" t="n">
        <v>0.250052870362358</v>
      </c>
      <c r="S12" s="16" t="n">
        <v>0.244052870362358</v>
      </c>
      <c r="T12" s="16" t="n">
        <v>0.244052870362358</v>
      </c>
      <c r="U12" s="16" t="n">
        <v>0.244052870362358</v>
      </c>
      <c r="V12" s="16" t="n">
        <v>0.244052870362358</v>
      </c>
      <c r="W12" s="16" t="n">
        <v>0.238052870362358</v>
      </c>
      <c r="X12" s="16" t="n">
        <v>0.238052870362358</v>
      </c>
      <c r="Y12" s="16" t="n">
        <v>0.238052870362358</v>
      </c>
      <c r="Z12" s="16" t="n">
        <v>0.238052870362358</v>
      </c>
      <c r="AA12" s="8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336</v>
      </c>
    </row>
    <row r="3" customFormat="false" ht="15" hidden="false" customHeight="false" outlineLevel="0" collapsed="false">
      <c r="A3" s="6" t="s">
        <v>337</v>
      </c>
      <c r="B3" s="6" t="s">
        <v>15</v>
      </c>
      <c r="C3" s="12" t="s">
        <v>338</v>
      </c>
      <c r="D3" s="12" t="s">
        <v>339</v>
      </c>
      <c r="E3" s="12" t="s">
        <v>340</v>
      </c>
      <c r="F3" s="12" t="s">
        <v>341</v>
      </c>
      <c r="G3" s="12" t="s">
        <v>342</v>
      </c>
      <c r="H3" s="6" t="s">
        <v>343</v>
      </c>
    </row>
    <row r="4" customFormat="false" ht="17.15" hidden="false" customHeight="false" outlineLevel="0" collapsed="false">
      <c r="A4" s="3" t="s">
        <v>344</v>
      </c>
    </row>
    <row r="5" customFormat="false" ht="15" hidden="false" customHeight="false" outlineLevel="0" collapsed="false">
      <c r="A5" s="5" t="s">
        <v>280</v>
      </c>
      <c r="B5" s="0" t="s">
        <v>25</v>
      </c>
      <c r="C5" s="17" t="n">
        <f aca="false">C55</f>
        <v>2337.6</v>
      </c>
      <c r="D5" s="17" t="n">
        <f aca="false">D55</f>
        <v>10271.3683896189</v>
      </c>
      <c r="E5" s="17" t="n">
        <f aca="false">E55</f>
        <v>13504.3460032093</v>
      </c>
      <c r="F5" s="17" t="n">
        <f aca="false">F55</f>
        <v>13616.6902545502</v>
      </c>
      <c r="G5" s="17" t="n">
        <f aca="false">G55</f>
        <v>14247.9939070242</v>
      </c>
    </row>
    <row r="6" customFormat="false" ht="15" hidden="false" customHeight="false" outlineLevel="0" collapsed="false">
      <c r="A6" s="5" t="s">
        <v>286</v>
      </c>
      <c r="B6" s="0" t="s">
        <v>116</v>
      </c>
      <c r="C6" s="14" t="n">
        <f aca="false">C57</f>
        <v>0.433264887063655</v>
      </c>
      <c r="D6" s="14" t="n">
        <f aca="false">D57</f>
        <v>0.834616565629602</v>
      </c>
      <c r="E6" s="14" t="n">
        <f aca="false">E57</f>
        <v>0.861319435556341</v>
      </c>
      <c r="F6" s="14" t="n">
        <f aca="false">F57</f>
        <v>0.852789117469229</v>
      </c>
      <c r="G6" s="14" t="n">
        <f aca="false">G57</f>
        <v>0.854706260143631</v>
      </c>
    </row>
    <row r="7" customFormat="false" ht="15" hidden="false" customHeight="false" outlineLevel="0" collapsed="false">
      <c r="A7" s="5" t="s">
        <v>284</v>
      </c>
      <c r="B7" s="0" t="s">
        <v>25</v>
      </c>
      <c r="C7" s="17" t="n">
        <f aca="false">C59</f>
        <v>869</v>
      </c>
      <c r="D7" s="17" t="n">
        <f aca="false">D59</f>
        <v>8235.84979679659</v>
      </c>
      <c r="E7" s="17" t="n">
        <f aca="false">E59</f>
        <v>11291.168328258</v>
      </c>
      <c r="F7" s="17" t="n">
        <f aca="false">F59</f>
        <v>11250.1200848573</v>
      </c>
      <c r="G7" s="17" t="n">
        <f aca="false">G59</f>
        <v>11786.9035423622</v>
      </c>
    </row>
    <row r="8" customFormat="false" ht="15" hidden="false" customHeight="false" outlineLevel="0" collapsed="false">
      <c r="A8" s="5" t="s">
        <v>287</v>
      </c>
      <c r="B8" s="0" t="s">
        <v>116</v>
      </c>
      <c r="C8" s="14" t="n">
        <f aca="false">C60</f>
        <v>0.371748802190281</v>
      </c>
      <c r="D8" s="14" t="n">
        <f aca="false">D60</f>
        <v>0.801825957787708</v>
      </c>
      <c r="E8" s="14" t="n">
        <f aca="false">E60</f>
        <v>0.836113672263334</v>
      </c>
      <c r="F8" s="14" t="n">
        <f aca="false">F60</f>
        <v>0.826200778202912</v>
      </c>
      <c r="G8" s="14" t="n">
        <f aca="false">G60</f>
        <v>0.82726758723214</v>
      </c>
    </row>
    <row r="9" customFormat="false" ht="15" hidden="false" customHeight="false" outlineLevel="0" collapsed="false">
      <c r="A9" s="5" t="s">
        <v>285</v>
      </c>
      <c r="B9" s="0" t="s">
        <v>25</v>
      </c>
      <c r="C9" s="17" t="n">
        <f aca="false">C61</f>
        <v>554.5</v>
      </c>
      <c r="D9" s="17" t="n">
        <f aca="false">D61</f>
        <v>5543.90962182168</v>
      </c>
      <c r="E9" s="17" t="n">
        <f aca="false">E61</f>
        <v>7663.30488355814</v>
      </c>
      <c r="F9" s="17" t="n">
        <f aca="false">F61</f>
        <v>7676.26445661226</v>
      </c>
      <c r="G9" s="17" t="n">
        <f aca="false">G61</f>
        <v>8082.2200863595</v>
      </c>
    </row>
    <row r="10" customFormat="false" ht="15" hidden="false" customHeight="false" outlineLevel="0" collapsed="false">
      <c r="A10" s="0" t="s">
        <v>345</v>
      </c>
      <c r="B10" s="0" t="s">
        <v>78</v>
      </c>
      <c r="C10" s="17" t="n">
        <f aca="false">C69</f>
        <v>341.4</v>
      </c>
      <c r="D10" s="17" t="n">
        <f aca="false">D69</f>
        <v>3491.51116537153</v>
      </c>
      <c r="E10" s="17" t="n">
        <f aca="false">E69</f>
        <v>5213.07690974852</v>
      </c>
      <c r="F10" s="17" t="n">
        <f aca="false">F69</f>
        <v>5677.69811107696</v>
      </c>
      <c r="G10" s="17" t="n">
        <f aca="false">G69</f>
        <v>6583.62442321542</v>
      </c>
    </row>
    <row r="11" customFormat="false" ht="15" hidden="false" customHeight="false" outlineLevel="0" collapsed="false">
      <c r="A11" s="5" t="s">
        <v>346</v>
      </c>
      <c r="B11" s="0" t="s">
        <v>78</v>
      </c>
      <c r="D11" s="17" t="n">
        <f aca="false">D70</f>
        <v>3934.96220094896</v>
      </c>
      <c r="E11" s="17" t="n">
        <f aca="false">E70</f>
        <v>8490.69735818199</v>
      </c>
      <c r="F11" s="17" t="n">
        <f aca="false">F70</f>
        <v>13859.617529157</v>
      </c>
      <c r="G11" s="17" t="n">
        <f aca="false">G70</f>
        <v>20643.4401206459</v>
      </c>
    </row>
    <row r="12" customFormat="false" ht="15" hidden="false" customHeight="false" outlineLevel="0" collapsed="false">
      <c r="A12" s="5" t="s">
        <v>347</v>
      </c>
      <c r="B12" s="0" t="s">
        <v>25</v>
      </c>
      <c r="D12" s="17" t="n">
        <f aca="false">D64</f>
        <v>5413.90962182168</v>
      </c>
      <c r="E12" s="17" t="n">
        <f aca="false">E64</f>
        <v>7513.30488355814</v>
      </c>
      <c r="F12" s="17" t="n">
        <f aca="false">F64</f>
        <v>7526.26445661226</v>
      </c>
      <c r="G12" s="17" t="n">
        <f aca="false">G64</f>
        <v>7932.2200863595</v>
      </c>
    </row>
    <row r="14" customFormat="false" ht="17.15" hidden="false" customHeight="false" outlineLevel="0" collapsed="false">
      <c r="A14" s="3" t="s">
        <v>348</v>
      </c>
    </row>
    <row r="15" customFormat="false" ht="15" hidden="false" customHeight="false" outlineLevel="0" collapsed="false">
      <c r="A15" s="5" t="s">
        <v>280</v>
      </c>
      <c r="B15" s="0" t="s">
        <v>25</v>
      </c>
      <c r="C15" s="17" t="n">
        <f aca="false">C91</f>
        <v>2337.6</v>
      </c>
      <c r="D15" s="17" t="n">
        <f aca="false">D91</f>
        <v>10296.2003061433</v>
      </c>
      <c r="E15" s="17" t="n">
        <f aca="false">E91</f>
        <v>11553.0934727631</v>
      </c>
      <c r="F15" s="17" t="n">
        <f aca="false">F91</f>
        <v>5230.9635762312</v>
      </c>
      <c r="G15" s="17" t="n">
        <f aca="false">G91</f>
        <v>6218.75836791855</v>
      </c>
    </row>
    <row r="16" customFormat="false" ht="15" hidden="false" customHeight="false" outlineLevel="0" collapsed="false">
      <c r="A16" s="5" t="s">
        <v>286</v>
      </c>
      <c r="B16" s="0" t="s">
        <v>116</v>
      </c>
      <c r="C16" s="14" t="n">
        <f aca="false">C93</f>
        <v>0.433264887063655</v>
      </c>
      <c r="D16" s="14" t="n">
        <f aca="false">D93</f>
        <v>0.834773144943227</v>
      </c>
      <c r="E16" s="14" t="n">
        <f aca="false">E93</f>
        <v>0.8381159225011</v>
      </c>
      <c r="F16" s="14" t="n">
        <f aca="false">F93</f>
        <v>0.642334935118687</v>
      </c>
      <c r="G16" s="14" t="n">
        <f aca="false">G93</f>
        <v>0.686161581161653</v>
      </c>
    </row>
    <row r="17" customFormat="false" ht="15" hidden="false" customHeight="false" outlineLevel="0" collapsed="false">
      <c r="A17" s="5" t="s">
        <v>284</v>
      </c>
      <c r="B17" s="0" t="s">
        <v>25</v>
      </c>
      <c r="C17" s="17" t="n">
        <f aca="false">C95</f>
        <v>869</v>
      </c>
      <c r="D17" s="17" t="n">
        <f aca="false">D95</f>
        <v>8257.9387784958</v>
      </c>
      <c r="E17" s="17" t="n">
        <f aca="false">E95</f>
        <v>9361.95677018696</v>
      </c>
      <c r="F17" s="17" t="n">
        <f aca="false">F95</f>
        <v>3081.84273595753</v>
      </c>
      <c r="G17" s="17" t="n">
        <f aca="false">G95</f>
        <v>3956.41938552455</v>
      </c>
    </row>
    <row r="18" customFormat="false" ht="15" hidden="false" customHeight="false" outlineLevel="0" collapsed="false">
      <c r="A18" s="5" t="s">
        <v>287</v>
      </c>
      <c r="B18" s="0" t="s">
        <v>116</v>
      </c>
      <c r="C18" s="14" t="n">
        <f aca="false">C96</f>
        <v>0.371748802190281</v>
      </c>
      <c r="D18" s="14" t="n">
        <f aca="false">D96</f>
        <v>0.802037502472502</v>
      </c>
      <c r="E18" s="14" t="n">
        <f aca="false">E96</f>
        <v>0.810341991282091</v>
      </c>
      <c r="F18" s="14" t="n">
        <f aca="false">F96</f>
        <v>0.589153927578662</v>
      </c>
      <c r="G18" s="14" t="n">
        <f aca="false">G96</f>
        <v>0.636207286318601</v>
      </c>
    </row>
    <row r="19" customFormat="false" ht="15" hidden="false" customHeight="false" outlineLevel="0" collapsed="false">
      <c r="A19" s="5" t="s">
        <v>285</v>
      </c>
      <c r="B19" s="0" t="s">
        <v>25</v>
      </c>
      <c r="C19" s="17" t="n">
        <f aca="false">C97</f>
        <v>554.5</v>
      </c>
      <c r="D19" s="17" t="n">
        <f aca="false">D97</f>
        <v>5558.93012937714</v>
      </c>
      <c r="E19" s="17" t="n">
        <f aca="false">E97</f>
        <v>6351.52273563095</v>
      </c>
      <c r="F19" s="17" t="n">
        <f aca="false">F97</f>
        <v>2114.78147603677</v>
      </c>
      <c r="G19" s="17" t="n">
        <f aca="false">G97</f>
        <v>2720.18200897198</v>
      </c>
    </row>
    <row r="20" customFormat="false" ht="15" hidden="false" customHeight="false" outlineLevel="0" collapsed="false">
      <c r="A20" s="0" t="s">
        <v>345</v>
      </c>
      <c r="B20" s="0" t="s">
        <v>78</v>
      </c>
      <c r="C20" s="17" t="n">
        <f aca="false">C105</f>
        <v>341.4</v>
      </c>
      <c r="D20" s="17" t="n">
        <f aca="false">D105</f>
        <v>3501.49034319466</v>
      </c>
      <c r="E20" s="17" t="n">
        <f aca="false">E105</f>
        <v>4261.76847716666</v>
      </c>
      <c r="F20" s="17" t="n">
        <f aca="false">F105</f>
        <v>1448.93592362162</v>
      </c>
      <c r="G20" s="17" t="n">
        <f aca="false">G105</f>
        <v>1916.64655894688</v>
      </c>
    </row>
    <row r="21" customFormat="false" ht="15" hidden="false" customHeight="false" outlineLevel="0" collapsed="false">
      <c r="A21" s="5" t="s">
        <v>346</v>
      </c>
      <c r="B21" s="0" t="s">
        <v>78</v>
      </c>
      <c r="D21" s="17" t="n">
        <f aca="false">D106</f>
        <v>3943.19780045704</v>
      </c>
      <c r="E21" s="17" t="n">
        <f aca="false">E106</f>
        <v>7669.9730179476</v>
      </c>
      <c r="F21" s="17" t="n">
        <f aca="false">F106</f>
        <v>9026.42159101716</v>
      </c>
      <c r="G21" s="17" t="n">
        <f aca="false">G106</f>
        <v>10857.8066715888</v>
      </c>
    </row>
    <row r="22" customFormat="false" ht="15" hidden="false" customHeight="false" outlineLevel="0" collapsed="false">
      <c r="A22" s="5" t="s">
        <v>347</v>
      </c>
      <c r="B22" s="0" t="s">
        <v>25</v>
      </c>
      <c r="D22" s="17" t="n">
        <f aca="false">D100</f>
        <v>5428.93012937714</v>
      </c>
      <c r="E22" s="17" t="n">
        <f aca="false">E100</f>
        <v>6201.52273563095</v>
      </c>
      <c r="F22" s="17" t="n">
        <f aca="false">F100</f>
        <v>1964.78147603677</v>
      </c>
      <c r="G22" s="17" t="n">
        <f aca="false">G100</f>
        <v>2570.18200897198</v>
      </c>
    </row>
    <row r="24" customFormat="false" ht="17.15" hidden="false" customHeight="false" outlineLevel="0" collapsed="false">
      <c r="A24" s="3" t="s">
        <v>349</v>
      </c>
    </row>
    <row r="25" customFormat="false" ht="15" hidden="false" customHeight="false" outlineLevel="0" collapsed="false">
      <c r="A25" s="5" t="s">
        <v>280</v>
      </c>
      <c r="B25" s="0" t="s">
        <v>25</v>
      </c>
      <c r="C25" s="17" t="n">
        <f aca="false">C127</f>
        <v>2337.6</v>
      </c>
      <c r="D25" s="17" t="n">
        <f aca="false">D127</f>
        <v>10258.7931375115</v>
      </c>
      <c r="E25" s="17" t="n">
        <f aca="false">E127</f>
        <v>11123.4762852485</v>
      </c>
      <c r="F25" s="17" t="n">
        <f aca="false">F127</f>
        <v>3183.66573843113</v>
      </c>
      <c r="G25" s="17" t="n">
        <f aca="false">G127</f>
        <v>3427.28934706126</v>
      </c>
    </row>
    <row r="26" customFormat="false" ht="15" hidden="false" customHeight="false" outlineLevel="0" collapsed="false">
      <c r="A26" s="5" t="s">
        <v>286</v>
      </c>
      <c r="B26" s="0" t="s">
        <v>116</v>
      </c>
      <c r="C26" s="14" t="n">
        <f aca="false">C129</f>
        <v>0.433264887063655</v>
      </c>
      <c r="D26" s="14" t="n">
        <f aca="false">D129</f>
        <v>0.833948737582653</v>
      </c>
      <c r="E26" s="14" t="n">
        <f aca="false">E129</f>
        <v>0.833301572429675</v>
      </c>
      <c r="F26" s="14" t="n">
        <f aca="false">F129</f>
        <v>0.482604574337129</v>
      </c>
      <c r="G26" s="14" t="n">
        <f aca="false">G129</f>
        <v>0.509124067314184</v>
      </c>
    </row>
    <row r="27" customFormat="false" ht="15" hidden="false" customHeight="false" outlineLevel="0" collapsed="false">
      <c r="A27" s="5" t="s">
        <v>284</v>
      </c>
      <c r="B27" s="0" t="s">
        <v>25</v>
      </c>
      <c r="C27" s="17" t="n">
        <f aca="false">C131</f>
        <v>869</v>
      </c>
      <c r="D27" s="17" t="n">
        <f aca="false">D131</f>
        <v>8218.62892580671</v>
      </c>
      <c r="E27" s="17" t="n">
        <f aca="false">E131</f>
        <v>8952.63162777762</v>
      </c>
      <c r="F27" s="17" t="n">
        <f aca="false">F131</f>
        <v>1278.73671351611</v>
      </c>
      <c r="G27" s="17" t="n">
        <f aca="false">G131</f>
        <v>1462.17649337828</v>
      </c>
    </row>
    <row r="28" customFormat="false" ht="15" hidden="false" customHeight="false" outlineLevel="0" collapsed="false">
      <c r="A28" s="5" t="s">
        <v>287</v>
      </c>
      <c r="B28" s="0" t="s">
        <v>116</v>
      </c>
      <c r="C28" s="14" t="n">
        <f aca="false">C132</f>
        <v>0.371748802190281</v>
      </c>
      <c r="D28" s="14" t="n">
        <f aca="false">D132</f>
        <v>0.801130192961504</v>
      </c>
      <c r="E28" s="14" t="n">
        <f aca="false">E132</f>
        <v>0.8048411663942</v>
      </c>
      <c r="F28" s="14" t="n">
        <f aca="false">F132</f>
        <v>0.401655455872782</v>
      </c>
      <c r="G28" s="14" t="n">
        <f aca="false">G132</f>
        <v>0.42662767724354</v>
      </c>
    </row>
    <row r="29" customFormat="false" ht="15" hidden="false" customHeight="false" outlineLevel="0" collapsed="false">
      <c r="A29" s="5" t="s">
        <v>285</v>
      </c>
      <c r="B29" s="0" t="s">
        <v>25</v>
      </c>
      <c r="C29" s="17" t="n">
        <f aca="false">C133</f>
        <v>554.5</v>
      </c>
      <c r="D29" s="17" t="n">
        <f aca="false">D133</f>
        <v>5532.19942954856</v>
      </c>
      <c r="E29" s="17" t="n">
        <f aca="false">E133</f>
        <v>6073.03622378553</v>
      </c>
      <c r="F29" s="17" t="n">
        <f aca="false">F133</f>
        <v>887.008999145095</v>
      </c>
      <c r="G29" s="17" t="n">
        <f aca="false">G133</f>
        <v>1015.75737840671</v>
      </c>
    </row>
    <row r="30" customFormat="false" ht="15" hidden="false" customHeight="false" outlineLevel="0" collapsed="false">
      <c r="A30" s="0" t="s">
        <v>345</v>
      </c>
      <c r="B30" s="0" t="s">
        <v>78</v>
      </c>
      <c r="C30" s="17" t="n">
        <f aca="false">C141</f>
        <v>341.4</v>
      </c>
      <c r="D30" s="17" t="n">
        <f aca="false">D141</f>
        <v>3483.73331585757</v>
      </c>
      <c r="E30" s="17" t="n">
        <f aca="false">E141</f>
        <v>4061.86499921858</v>
      </c>
      <c r="F30" s="17" t="n">
        <f aca="false">F141</f>
        <v>597.884763045129</v>
      </c>
      <c r="G30" s="17" t="n">
        <f aca="false">G141</f>
        <v>690.989840192096</v>
      </c>
    </row>
    <row r="31" customFormat="false" ht="15" hidden="false" customHeight="false" outlineLevel="0" collapsed="false">
      <c r="A31" s="5" t="s">
        <v>346</v>
      </c>
      <c r="B31" s="0" t="s">
        <v>78</v>
      </c>
      <c r="D31" s="17" t="n">
        <f aca="false">D142</f>
        <v>3928.54332727981</v>
      </c>
      <c r="E31" s="17" t="n">
        <f aca="false">E142</f>
        <v>7480.0806089895</v>
      </c>
      <c r="F31" s="17" t="n">
        <f aca="false">F142</f>
        <v>8042.9373069622</v>
      </c>
      <c r="G31" s="17" t="n">
        <f aca="false">G142</f>
        <v>8697.52624190353</v>
      </c>
    </row>
    <row r="32" customFormat="false" ht="15" hidden="false" customHeight="false" outlineLevel="0" collapsed="false">
      <c r="A32" s="5" t="s">
        <v>347</v>
      </c>
      <c r="B32" s="0" t="s">
        <v>25</v>
      </c>
      <c r="D32" s="17" t="n">
        <f aca="false">D136</f>
        <v>5402.19942954856</v>
      </c>
      <c r="E32" s="17" t="n">
        <f aca="false">E136</f>
        <v>5923.03622378553</v>
      </c>
      <c r="F32" s="17" t="n">
        <f aca="false">F136</f>
        <v>737.008999145095</v>
      </c>
      <c r="G32" s="17" t="n">
        <f aca="false">G136</f>
        <v>865.757378406715</v>
      </c>
    </row>
    <row r="34" customFormat="false" ht="17.15" hidden="false" customHeight="false" outlineLevel="0" collapsed="false">
      <c r="A34" s="5" t="s">
        <v>350</v>
      </c>
      <c r="D34" s="18" t="n">
        <f aca="false">D73+D109+D145</f>
        <v>0</v>
      </c>
    </row>
    <row r="40" customFormat="false" ht="17.15" hidden="false" customHeight="false" outlineLevel="0" collapsed="false">
      <c r="A40" s="3" t="s">
        <v>351</v>
      </c>
    </row>
    <row r="41" customFormat="false" ht="17.15" hidden="false" customHeight="false" outlineLevel="0" collapsed="false">
      <c r="A41" s="12" t="s">
        <v>352</v>
      </c>
      <c r="B41" s="6" t="s">
        <v>15</v>
      </c>
      <c r="C41" s="12" t="s">
        <v>353</v>
      </c>
      <c r="D41" s="12" t="s">
        <v>354</v>
      </c>
      <c r="E41" s="12" t="s">
        <v>355</v>
      </c>
      <c r="F41" s="12" t="s">
        <v>356</v>
      </c>
      <c r="G41" s="12" t="s">
        <v>357</v>
      </c>
      <c r="H41" s="12" t="s">
        <v>358</v>
      </c>
      <c r="I41" s="12" t="s">
        <v>359</v>
      </c>
      <c r="J41" s="12" t="s">
        <v>360</v>
      </c>
      <c r="K41" s="12" t="s">
        <v>361</v>
      </c>
      <c r="L41" s="12" t="s">
        <v>362</v>
      </c>
      <c r="M41" s="12" t="s">
        <v>363</v>
      </c>
      <c r="N41" s="12" t="s">
        <v>364</v>
      </c>
      <c r="O41" s="12" t="s">
        <v>365</v>
      </c>
      <c r="P41" s="12" t="s">
        <v>366</v>
      </c>
      <c r="Q41" s="12" t="s">
        <v>367</v>
      </c>
      <c r="R41" s="12" t="s">
        <v>368</v>
      </c>
      <c r="S41" s="12"/>
      <c r="T41" s="6" t="s">
        <v>343</v>
      </c>
    </row>
    <row r="42" customFormat="false" ht="17.15" hidden="false" customHeight="false" outlineLevel="0" collapsed="false">
      <c r="A42" s="5" t="s">
        <v>369</v>
      </c>
      <c r="B42" s="0" t="s">
        <v>317</v>
      </c>
      <c r="C42" s="19" t="n">
        <f aca="false">Units!H4*1</f>
        <v>10.72</v>
      </c>
      <c r="D42" s="19" t="n">
        <f aca="false">Units!I4*1</f>
        <v>14.3197859923946</v>
      </c>
      <c r="E42" s="19" t="n">
        <f aca="false">Units!J4*1*1</f>
        <v>17.6469939469536</v>
      </c>
      <c r="F42" s="19" t="n">
        <f aca="false">Units!K4*1*1</f>
        <v>19.4448271931715</v>
      </c>
      <c r="G42" s="19" t="n">
        <f aca="false">Units!L4*1*1</f>
        <v>20.5604014966272</v>
      </c>
      <c r="H42" s="19" t="n">
        <f aca="false">Units!M4*1*1</f>
        <v>20.6529788219672</v>
      </c>
      <c r="I42" s="19" t="n">
        <f aca="false">Units!N4*1*1</f>
        <v>20.3092156690391</v>
      </c>
      <c r="J42" s="19" t="n">
        <f aca="false">Units!O4*1*1</f>
        <v>20.4006619798858</v>
      </c>
      <c r="K42" s="19" t="n">
        <f aca="false">Units!P4*1*1</f>
        <v>20.492520046061</v>
      </c>
      <c r="L42" s="19" t="n">
        <f aca="false">Units!Q4*1*1</f>
        <v>20.5847917215753</v>
      </c>
      <c r="M42" s="19" t="n">
        <f aca="false">Units!R4*1*1</f>
        <v>20.6774788687878</v>
      </c>
      <c r="N42" s="19" t="n">
        <f aca="false">Units!S4*1*1</f>
        <v>20.8499966018633</v>
      </c>
      <c r="O42" s="19" t="n">
        <f aca="false">Units!T4*1*1</f>
        <v>21.235846897313</v>
      </c>
      <c r="P42" s="19" t="n">
        <f aca="false">Units!U4*1*1</f>
        <v>21.628837743111</v>
      </c>
      <c r="Q42" s="19" t="n">
        <f aca="false">Units!V4*1*1</f>
        <v>22.0291012823706</v>
      </c>
      <c r="R42" s="19" t="n">
        <f aca="false">Units!W4*1*1</f>
        <v>21.5407648571837</v>
      </c>
      <c r="T42" s="8" t="s">
        <v>370</v>
      </c>
    </row>
    <row r="43" customFormat="false" ht="15" hidden="false" customHeight="false" outlineLevel="0" collapsed="false">
      <c r="A43" s="5" t="s">
        <v>371</v>
      </c>
      <c r="B43" s="0" t="s">
        <v>324</v>
      </c>
      <c r="C43" s="19" t="n">
        <f aca="false">Units!H7*1</f>
        <v>40.1757580440862</v>
      </c>
      <c r="D43" s="19" t="n">
        <f aca="false">Units!I7*1</f>
        <v>46.6667956905857</v>
      </c>
      <c r="E43" s="19" t="n">
        <f aca="false">Units!J7*1</f>
        <v>48.944548236035</v>
      </c>
      <c r="F43" s="19" t="n">
        <f aca="false">Units!K7*1</f>
        <v>52.3600980030596</v>
      </c>
      <c r="G43" s="19" t="n">
        <f aca="false">Units!L7*1</f>
        <v>55.3640629793669</v>
      </c>
      <c r="H43" s="19" t="n">
        <f aca="false">Units!M7*1</f>
        <v>58.5403692216961</v>
      </c>
      <c r="I43" s="19" t="n">
        <f aca="false">Units!N7*1</f>
        <v>61.898904166222</v>
      </c>
      <c r="J43" s="19" t="n">
        <f aca="false">Units!O7*1</f>
        <v>65.4501225038245</v>
      </c>
      <c r="K43" s="19" t="n">
        <f aca="false">Units!P7*1</f>
        <v>69.2050787242086</v>
      </c>
      <c r="L43" s="19" t="n">
        <f aca="false">Units!Q7*1</f>
        <v>73.1754615271202</v>
      </c>
      <c r="M43" s="19" t="n">
        <f aca="false">Units!R7*1</f>
        <v>77.3736302077775</v>
      </c>
      <c r="N43" s="19" t="n">
        <f aca="false">Units!S7*1</f>
        <v>80.4321433873819</v>
      </c>
      <c r="O43" s="19" t="n">
        <f aca="false">Units!T7*1</f>
        <v>84.4542491025558</v>
      </c>
      <c r="P43" s="19" t="n">
        <f aca="false">Units!U7*1</f>
        <v>88.6774850338687</v>
      </c>
      <c r="Q43" s="19" t="n">
        <f aca="false">Units!V7*1</f>
        <v>93.1119089388012</v>
      </c>
      <c r="R43" s="19" t="n">
        <f aca="false">Units!W7*1</f>
        <v>94.0045560318226</v>
      </c>
    </row>
    <row r="44" customFormat="false" ht="17.15" hidden="false" customHeight="false" outlineLevel="0" collapsed="false">
      <c r="A44" s="5" t="s">
        <v>280</v>
      </c>
      <c r="B44" s="0" t="s">
        <v>25</v>
      </c>
      <c r="C44" s="13" t="n">
        <f aca="false">q1_rev</f>
        <v>1767.1</v>
      </c>
      <c r="D44" s="13" t="n">
        <f aca="false">g2_rev</f>
        <v>2390</v>
      </c>
      <c r="E44" s="13" t="n">
        <f aca="false">E42*kx_k*fx</f>
        <v>2908.95550407292</v>
      </c>
      <c r="F44" s="13" t="n">
        <f aca="false">F42*kx_k*fx</f>
        <v>3205.31288554602</v>
      </c>
      <c r="G44" s="13" t="n">
        <f aca="false">G42*kx_k*fx</f>
        <v>3389.20573551212</v>
      </c>
      <c r="H44" s="13" t="n">
        <f aca="false">H42*kx_k*fx</f>
        <v>3404.46631308752</v>
      </c>
      <c r="I44" s="13" t="n">
        <f aca="false">I42*kx_k*fx</f>
        <v>3347.79990753349</v>
      </c>
      <c r="J44" s="13" t="n">
        <f aca="false">J42*kx_k*fx</f>
        <v>3362.87404707614</v>
      </c>
      <c r="K44" s="13" t="n">
        <f aca="false">K42*kx_k*fx</f>
        <v>3378.01606095097</v>
      </c>
      <c r="L44" s="13" t="n">
        <f aca="false">L42*kx_k*fx</f>
        <v>3393.22625477572</v>
      </c>
      <c r="M44" s="13" t="n">
        <f aca="false">M42*kx_k*fx</f>
        <v>3408.5049355443</v>
      </c>
      <c r="N44" s="13" t="n">
        <f aca="false">N42*kx_k*fx</f>
        <v>3436.94300327916</v>
      </c>
      <c r="O44" s="13" t="n">
        <f aca="false">O42*kx_k*fx</f>
        <v>3500.54711308226</v>
      </c>
      <c r="P44" s="13" t="n">
        <f aca="false">P42*kx_k*fx</f>
        <v>3565.32828132943</v>
      </c>
      <c r="Q44" s="13" t="n">
        <f aca="false">Q42*kx_k*fx</f>
        <v>3631.30829067883</v>
      </c>
      <c r="R44" s="13" t="n">
        <f aca="false">R42*kx_k*fx</f>
        <v>3550.8102219337</v>
      </c>
      <c r="T44" s="5" t="s">
        <v>372</v>
      </c>
    </row>
    <row r="45" customFormat="false" ht="17.15" hidden="false" customHeight="false" outlineLevel="0" collapsed="false">
      <c r="A45" s="5" t="s">
        <v>373</v>
      </c>
      <c r="B45" s="0" t="s">
        <v>374</v>
      </c>
      <c r="C45" s="20" t="n">
        <f aca="false">C46/C43</f>
        <v>9.63267449926724</v>
      </c>
      <c r="D45" s="20" t="n">
        <f aca="false">D46/D43</f>
        <v>9.21426023871499</v>
      </c>
      <c r="E45" s="20" t="n">
        <f aca="false">$D45*(1-cd_A)^(1/4)</f>
        <v>8.87329840103618</v>
      </c>
      <c r="F45" s="20" t="n">
        <f aca="false">$D45*(1-cd_A)^(2/4)</f>
        <v>8.5449534172058</v>
      </c>
      <c r="G45" s="20" t="n">
        <f aca="false">$D45*(1-cd_A)^(3/4)</f>
        <v>8.22875841679016</v>
      </c>
      <c r="H45" s="20" t="n">
        <f aca="false">$D45*(1-cd_A)^(4/4)</f>
        <v>7.92426380529489</v>
      </c>
      <c r="I45" s="20" t="n">
        <f aca="false">$D45*(1-cd_A)^(5/4)</f>
        <v>7.63103662489111</v>
      </c>
      <c r="J45" s="20" t="n">
        <f aca="false">$D45*(1-cd_A)^(6/4)</f>
        <v>7.34865993879699</v>
      </c>
      <c r="K45" s="20" t="n">
        <f aca="false">$D45*(1-cd_A)^(7/4)</f>
        <v>7.07673223843954</v>
      </c>
      <c r="L45" s="20" t="n">
        <f aca="false">$D45*(1-cd_A)^(8/4)</f>
        <v>6.81486687255361</v>
      </c>
      <c r="M45" s="20" t="n">
        <f aca="false">$D45*(1-cd_A)^(9/4)</f>
        <v>6.56269149740636</v>
      </c>
      <c r="N45" s="20" t="n">
        <f aca="false">$D45*(1-cd_A)^(10/4)</f>
        <v>6.31984754736541</v>
      </c>
      <c r="O45" s="20" t="n">
        <f aca="false">$D45*(1-cd_A)^(11/4)</f>
        <v>6.085989725058</v>
      </c>
      <c r="P45" s="20" t="n">
        <f aca="false">$D45*(1-cd_A)^(12/4)</f>
        <v>5.8607855103961</v>
      </c>
      <c r="Q45" s="20" t="n">
        <f aca="false">$D45*(1-cd_A)^(13/4)</f>
        <v>5.64391468776947</v>
      </c>
      <c r="R45" s="20" t="n">
        <f aca="false">$D45*(1-cd_A)^(14/4)</f>
        <v>5.43506889073425</v>
      </c>
    </row>
    <row r="46" customFormat="false" ht="15" hidden="false" customHeight="false" outlineLevel="0" collapsed="false">
      <c r="A46" s="5" t="s">
        <v>375</v>
      </c>
      <c r="B46" s="0" t="s">
        <v>25</v>
      </c>
      <c r="C46" s="13" t="n">
        <f aca="false">q1_rev-q1_gp</f>
        <v>387</v>
      </c>
      <c r="D46" s="13" t="n">
        <f aca="false">g2_rev-g2_op-g2_ox</f>
        <v>430</v>
      </c>
      <c r="E46" s="13" t="n">
        <f aca="false">E43*E45</f>
        <v>434.299581602247</v>
      </c>
      <c r="F46" s="13" t="n">
        <f aca="false">F43*F45</f>
        <v>447.414598356475</v>
      </c>
      <c r="G46" s="13" t="n">
        <f aca="false">G43*G45</f>
        <v>455.577499229166</v>
      </c>
      <c r="H46" s="13" t="n">
        <f aca="false">H43*H45</f>
        <v>463.889328972086</v>
      </c>
      <c r="I46" s="13" t="n">
        <f aca="false">I43*I45</f>
        <v>472.352804733065</v>
      </c>
      <c r="J46" s="13" t="n">
        <f aca="false">J43*J45</f>
        <v>480.97069323321</v>
      </c>
      <c r="K46" s="13" t="n">
        <f aca="false">K43*K45</f>
        <v>489.745811671353</v>
      </c>
      <c r="L46" s="13" t="n">
        <f aca="false">L43*L45</f>
        <v>498.681028644993</v>
      </c>
      <c r="M46" s="13" t="n">
        <f aca="false">M43*M45</f>
        <v>507.779265088045</v>
      </c>
      <c r="N46" s="13" t="n">
        <f aca="false">N43*N45</f>
        <v>508.318884116089</v>
      </c>
      <c r="O46" s="13" t="n">
        <f aca="false">O43*O45</f>
        <v>513.987692275643</v>
      </c>
      <c r="P46" s="13" t="n">
        <f aca="false">P43*P45</f>
        <v>519.719719384865</v>
      </c>
      <c r="Q46" s="13" t="n">
        <f aca="false">Q43*Q45</f>
        <v>525.515670465953</v>
      </c>
      <c r="R46" s="13" t="n">
        <f aca="false">R43*R45</f>
        <v>510.921238075844</v>
      </c>
      <c r="T46" s="5" t="s">
        <v>376</v>
      </c>
    </row>
    <row r="47" customFormat="false" ht="15" hidden="false" customHeight="false" outlineLevel="0" collapsed="false">
      <c r="A47" s="5" t="s">
        <v>286</v>
      </c>
      <c r="B47" s="0" t="s">
        <v>116</v>
      </c>
      <c r="C47" s="14" t="n">
        <f aca="false">1-C46/C44</f>
        <v>0.780997113915455</v>
      </c>
      <c r="D47" s="14" t="n">
        <f aca="false">1-D46/D44</f>
        <v>0.820083682008368</v>
      </c>
      <c r="E47" s="14" t="n">
        <f aca="false">1-E46/E44</f>
        <v>0.850702569704428</v>
      </c>
      <c r="F47" s="14" t="n">
        <f aca="false">1-F46/F44</f>
        <v>0.860414688258972</v>
      </c>
      <c r="G47" s="14" t="n">
        <f aca="false">1-G46/G44</f>
        <v>0.865579863017573</v>
      </c>
      <c r="H47" s="14" t="n">
        <f aca="false">1-H46/H44</f>
        <v>0.863740954877776</v>
      </c>
      <c r="I47" s="14" t="n">
        <f aca="false">1-I46/I44</f>
        <v>0.858906500454182</v>
      </c>
      <c r="J47" s="14" t="n">
        <f aca="false">1-J46/J44</f>
        <v>0.856976298695637</v>
      </c>
      <c r="K47" s="14" t="n">
        <f aca="false">1-K46/K44</f>
        <v>0.855019691193096</v>
      </c>
      <c r="L47" s="14" t="n">
        <f aca="false">1-L46/L44</f>
        <v>0.85303631670799</v>
      </c>
      <c r="M47" s="14" t="n">
        <f aca="false">1-M46/M44</f>
        <v>0.851025809059901</v>
      </c>
      <c r="N47" s="14" t="n">
        <f aca="false">1-N46/N44</f>
        <v>0.85210145072784</v>
      </c>
      <c r="O47" s="14" t="n">
        <f aca="false">1-O46/O44</f>
        <v>0.853169325916293</v>
      </c>
      <c r="P47" s="14" t="n">
        <f aca="false">1-P46/P44</f>
        <v>0.854229490701744</v>
      </c>
      <c r="Q47" s="14" t="n">
        <f aca="false">1-Q46/Q44</f>
        <v>0.85528200075579</v>
      </c>
      <c r="R47" s="14" t="n">
        <f aca="false">1-R46/R44</f>
        <v>0.856111364409218</v>
      </c>
    </row>
    <row r="48" customFormat="false" ht="17.15" hidden="false" customHeight="false" outlineLevel="0" collapsed="false">
      <c r="A48" s="5" t="s">
        <v>377</v>
      </c>
      <c r="B48" s="0" t="s">
        <v>25</v>
      </c>
      <c r="C48" s="13" t="n">
        <f aca="false">q1_gp-q1_op</f>
        <v>110.1</v>
      </c>
      <c r="D48" s="13" t="n">
        <f aca="false">g2_ox</f>
        <v>70</v>
      </c>
      <c r="E48" s="13" t="n">
        <f aca="false">(g2_ox-ox_var*g2_rev)*(1+ox_g)^(1/4)+ox_var*E44</f>
        <v>76.3011961075221</v>
      </c>
      <c r="F48" s="13" t="n">
        <f aca="false">(g2_ox-ox_var*g2_rev)*(1+ox_g)^(2/4)+ox_var*F44</f>
        <v>80.4032167561042</v>
      </c>
      <c r="G48" s="13" t="n">
        <f aca="false">(g2_ox-ox_var*g2_rev)*(1+ox_g)^(3/4)+ox_var*G44</f>
        <v>83.4080442426069</v>
      </c>
      <c r="H48" s="13" t="n">
        <f aca="false">(g2_ox-ox_var*g2_rev)*(1+ox_g)^(4/4)+ox_var*H44</f>
        <v>84.7546631308752</v>
      </c>
      <c r="I48" s="13" t="n">
        <f aca="false">(g2_ox-ox_var*g2_rev)*(1+ox_g)^(5/4)+ox_var*I44</f>
        <v>85.4108042488071</v>
      </c>
      <c r="J48" s="13" t="n">
        <f aca="false">(g2_ox-ox_var*g2_rev)*(1+ox_g)^(6/4)+ox_var*J44</f>
        <v>86.8138371614698</v>
      </c>
      <c r="K48" s="13" t="n">
        <f aca="false">(g2_ox-ox_var*g2_rev)*(1+ox_g)^(7/4)+ox_var*K44</f>
        <v>88.247746185744</v>
      </c>
      <c r="L48" s="13" t="n">
        <f aca="false">(g2_ox-ox_var*g2_rev)*(1+ox_g)^(8/4)+ox_var*L44</f>
        <v>89.7132625477572</v>
      </c>
      <c r="M48" s="13" t="n">
        <f aca="false">(g2_ox-ox_var*g2_rev)*(1+ox_g)^(9/4)+ox_var*M44</f>
        <v>91.2111350462625</v>
      </c>
      <c r="N48" s="13" t="n">
        <f aca="false">(g2_ox-ox_var*g2_rev)*(1+ox_g)^(10/4)+ox_var*N44</f>
        <v>92.8730363925709</v>
      </c>
      <c r="O48" s="13" t="n">
        <f aca="false">(g2_ox-ox_var*g2_rev)*(1+ox_g)^(11/4)+ox_var*O44</f>
        <v>94.9198152646803</v>
      </c>
      <c r="P48" s="13" t="n">
        <f aca="false">(g2_ox-ox_var*g2_rev)*(1+ox_g)^(12/4)+ox_var*P44</f>
        <v>97.0123828132943</v>
      </c>
      <c r="Q48" s="13" t="n">
        <f aca="false">(g2_ox-ox_var*g2_rev)*(1+ox_g)^(13/4)+ox_var*Q44</f>
        <v>99.1517771666897</v>
      </c>
      <c r="R48" s="13" t="n">
        <f aca="false">(g2_ox-ox_var*g2_rev)*(1+ox_g)^(14/4)+ox_var*R44</f>
        <v>99.8620692150942</v>
      </c>
      <c r="T48" s="5" t="s">
        <v>378</v>
      </c>
    </row>
    <row r="49" customFormat="false" ht="15" hidden="false" customHeight="false" outlineLevel="0" collapsed="false">
      <c r="A49" s="5" t="s">
        <v>284</v>
      </c>
      <c r="B49" s="0" t="s">
        <v>25</v>
      </c>
      <c r="C49" s="13" t="n">
        <f aca="false">C44-C46-C48</f>
        <v>1270</v>
      </c>
      <c r="D49" s="13" t="n">
        <f aca="false">D44-D46-D48</f>
        <v>1890</v>
      </c>
      <c r="E49" s="13" t="n">
        <f aca="false">E44-E46-E48</f>
        <v>2398.35472636315</v>
      </c>
      <c r="F49" s="13" t="n">
        <f aca="false">F44-F46-F48</f>
        <v>2677.49507043344</v>
      </c>
      <c r="G49" s="13" t="n">
        <f aca="false">G44-G46-G48</f>
        <v>2850.22019204035</v>
      </c>
      <c r="H49" s="13" t="n">
        <f aca="false">H44-H46-H48</f>
        <v>2855.82232098456</v>
      </c>
      <c r="I49" s="13" t="n">
        <f aca="false">I44-I46-I48</f>
        <v>2790.03629855162</v>
      </c>
      <c r="J49" s="13" t="n">
        <f aca="false">J44-J46-J48</f>
        <v>2795.08951668146</v>
      </c>
      <c r="K49" s="13" t="n">
        <f aca="false">K44-K46-K48</f>
        <v>2800.02250309387</v>
      </c>
      <c r="L49" s="13" t="n">
        <f aca="false">L44-L46-L48</f>
        <v>2804.83196358297</v>
      </c>
      <c r="M49" s="13" t="n">
        <f aca="false">M44-M46-M48</f>
        <v>2809.51453540999</v>
      </c>
      <c r="N49" s="13" t="n">
        <f aca="false">N44-N46-N48</f>
        <v>2835.7510827705</v>
      </c>
      <c r="O49" s="13" t="n">
        <f aca="false">O44-O46-O48</f>
        <v>2891.63960554193</v>
      </c>
      <c r="P49" s="13" t="n">
        <f aca="false">P44-P46-P48</f>
        <v>2948.59617913127</v>
      </c>
      <c r="Q49" s="13" t="n">
        <f aca="false">Q44-Q46-Q48</f>
        <v>3006.64084304619</v>
      </c>
      <c r="R49" s="13" t="n">
        <f aca="false">R44-R46-R48</f>
        <v>2940.02691464277</v>
      </c>
    </row>
    <row r="51" customFormat="false" ht="17.15" hidden="false" customHeight="false" outlineLevel="0" collapsed="false">
      <c r="A51" s="5" t="s">
        <v>285</v>
      </c>
      <c r="B51" s="0" t="s">
        <v>25</v>
      </c>
      <c r="C51" s="13" t="n">
        <f aca="false">q1_ni</f>
        <v>842.2</v>
      </c>
      <c r="D51" s="13" t="n">
        <f aca="false">g2_ni</f>
        <v>1270</v>
      </c>
      <c r="E51" s="13" t="n">
        <f aca="false">(E49+nonop_q+rf*nc_j/4)*(1-tax)</f>
        <v>1620.94709392694</v>
      </c>
      <c r="F51" s="13" t="n">
        <f aca="false">(F49+nonop_q+rf*nc_j/4)*(1-tax)</f>
        <v>1810.76252789474</v>
      </c>
      <c r="G51" s="13" t="n">
        <f aca="false">(G49+nonop_q+rf*$D67/4)*(1-tax)</f>
        <v>1934.47733567311</v>
      </c>
      <c r="H51" s="13" t="n">
        <f aca="false">(H49+nonop_q+rf*$D67/4)*(1-tax)</f>
        <v>1938.28678335518</v>
      </c>
      <c r="I51" s="13" t="n">
        <f aca="false">(I49+nonop_q+rf*$D67/4)*(1-tax)</f>
        <v>1893.55228810078</v>
      </c>
      <c r="J51" s="13" t="n">
        <f aca="false">(J49+nonop_q+rf*$D67/4)*(1-tax)</f>
        <v>1896.98847642907</v>
      </c>
      <c r="K51" s="13" t="n">
        <f aca="false">(K49+nonop_q+rf*$E67/4)*(1-tax)</f>
        <v>1910.56100183115</v>
      </c>
      <c r="L51" s="13" t="n">
        <f aca="false">(L49+nonop_q+rf*$E67/4)*(1-tax)</f>
        <v>1913.83143496374</v>
      </c>
      <c r="M51" s="13" t="n">
        <f aca="false">(M49+nonop_q+rf*$E67/4)*(1-tax)</f>
        <v>1917.01558380611</v>
      </c>
      <c r="N51" s="13" t="n">
        <f aca="false">(N49+nonop_q+rf*$E67/4)*(1-tax)</f>
        <v>1934.85643601126</v>
      </c>
      <c r="O51" s="13" t="n">
        <f aca="false">(O49+nonop_q+rf*$F67/4)*(1-tax)</f>
        <v>1983.09635115682</v>
      </c>
      <c r="P51" s="13" t="n">
        <f aca="false">(P49+nonop_q+rf*$F67/4)*(1-tax)</f>
        <v>2021.82682119757</v>
      </c>
      <c r="Q51" s="13" t="n">
        <f aca="false">(Q49+nonop_q+rf*$F67/4)*(1-tax)</f>
        <v>2061.29719265972</v>
      </c>
      <c r="R51" s="13" t="n">
        <f aca="false">(R49+nonop_q+rf*$F67/4)*(1-tax)</f>
        <v>2015.99972134539</v>
      </c>
      <c r="T51" s="5" t="s">
        <v>379</v>
      </c>
    </row>
    <row r="52" customFormat="false" ht="17.15" hidden="false" customHeight="false" outlineLevel="0" collapsed="false">
      <c r="A52" s="5" t="s">
        <v>380</v>
      </c>
      <c r="B52" s="0" t="s">
        <v>78</v>
      </c>
      <c r="C52" s="17" t="n">
        <f aca="false">C51/(sh0+dil)*1000</f>
        <v>507.343332753891</v>
      </c>
      <c r="D52" s="17" t="n">
        <f aca="false">D51/(sh0+dil)*1000</f>
        <v>765.051095461222</v>
      </c>
      <c r="E52" s="17" t="n">
        <f aca="false">E51/(sh0+dil)*1000</f>
        <v>976.462480231096</v>
      </c>
      <c r="F52" s="17" t="n">
        <f aca="false">F51/(sh0+dil)*1000</f>
        <v>1090.80776030394</v>
      </c>
      <c r="G52" s="17" t="n">
        <f aca="false">G51/(sh0+dil)*1000</f>
        <v>1165.33386204852</v>
      </c>
      <c r="H52" s="17" t="n">
        <f aca="false">H51/(sh0+dil)*1000</f>
        <v>1167.62868261723</v>
      </c>
      <c r="I52" s="17" t="n">
        <f aca="false">I51/(sh0+dil)*1000</f>
        <v>1140.68051364142</v>
      </c>
      <c r="J52" s="17" t="n">
        <f aca="false">J51/(sh0+dil)*1000</f>
        <v>1142.75048186565</v>
      </c>
      <c r="K52" s="17" t="n">
        <f aca="false">K51/(sh0+dil)*1000</f>
        <v>1150.92660424914</v>
      </c>
      <c r="L52" s="17" t="n">
        <f aca="false">L51/(sh0+dil)*1000</f>
        <v>1152.89672113947</v>
      </c>
      <c r="M52" s="17" t="n">
        <f aca="false">M51/(sh0+dil)*1000</f>
        <v>1154.81486016307</v>
      </c>
      <c r="N52" s="17" t="n">
        <f aca="false">N51/(sh0+dil)*1000</f>
        <v>1165.56223301623</v>
      </c>
      <c r="O52" s="17" t="n">
        <f aca="false">O51/(sh0+dil)*1000</f>
        <v>1194.62207547849</v>
      </c>
      <c r="P52" s="17" t="n">
        <f aca="false">P51/(sh0+dil)*1000</f>
        <v>1217.95340503156</v>
      </c>
      <c r="Q52" s="17" t="n">
        <f aca="false">Q51/(sh0+dil)*1000</f>
        <v>1241.7304530043</v>
      </c>
      <c r="R52" s="17" t="n">
        <f aca="false">R51/(sh0+dil)*1000</f>
        <v>1214.4431458778</v>
      </c>
    </row>
    <row r="54" customFormat="false" ht="17.15" hidden="false" customHeight="false" outlineLevel="0" collapsed="false">
      <c r="A54" s="12" t="s">
        <v>381</v>
      </c>
      <c r="B54" s="6" t="s">
        <v>15</v>
      </c>
      <c r="C54" s="12" t="s">
        <v>338</v>
      </c>
      <c r="D54" s="12" t="s">
        <v>339</v>
      </c>
      <c r="E54" s="12" t="s">
        <v>340</v>
      </c>
      <c r="F54" s="12" t="s">
        <v>341</v>
      </c>
      <c r="G54" s="12" t="s">
        <v>342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6" t="s">
        <v>343</v>
      </c>
    </row>
    <row r="55" customFormat="false" ht="17.15" hidden="false" customHeight="false" outlineLevel="0" collapsed="false">
      <c r="A55" s="5" t="s">
        <v>280</v>
      </c>
      <c r="B55" s="0" t="s">
        <v>25</v>
      </c>
      <c r="C55" s="13" t="n">
        <f aca="false">a25_rev</f>
        <v>2337.6</v>
      </c>
      <c r="D55" s="13" t="n">
        <f aca="false">SUM(C44:F44)</f>
        <v>10271.3683896189</v>
      </c>
      <c r="E55" s="13" t="n">
        <f aca="false">SUM(G44:J44)</f>
        <v>13504.3460032093</v>
      </c>
      <c r="F55" s="13" t="n">
        <f aca="false">SUM(K44:N44)</f>
        <v>13616.6902545502</v>
      </c>
      <c r="G55" s="13" t="n">
        <f aca="false">SUM(O44:R44)</f>
        <v>14247.9939070242</v>
      </c>
      <c r="T55" s="8" t="s">
        <v>382</v>
      </c>
    </row>
    <row r="56" customFormat="false" ht="15" hidden="false" customHeight="false" outlineLevel="0" collapsed="false">
      <c r="A56" s="5" t="s">
        <v>375</v>
      </c>
      <c r="B56" s="0" t="s">
        <v>25</v>
      </c>
      <c r="C56" s="13" t="n">
        <f aca="false">a25_rev-(p1_gp+p2_gp+p3_gp+p4_gp)</f>
        <v>1324.8</v>
      </c>
      <c r="D56" s="13" t="n">
        <f aca="false">SUM(C46:F46)</f>
        <v>1698.71417995872</v>
      </c>
      <c r="E56" s="13" t="n">
        <f aca="false">SUM(G46:J46)</f>
        <v>1872.79032616753</v>
      </c>
      <c r="F56" s="13" t="n">
        <f aca="false">SUM(K46:N46)</f>
        <v>2004.52498952048</v>
      </c>
      <c r="G56" s="13" t="n">
        <f aca="false">SUM(O46:R46)</f>
        <v>2070.14432020231</v>
      </c>
    </row>
    <row r="57" customFormat="false" ht="15" hidden="false" customHeight="false" outlineLevel="0" collapsed="false">
      <c r="A57" s="5" t="s">
        <v>286</v>
      </c>
      <c r="B57" s="0" t="s">
        <v>116</v>
      </c>
      <c r="C57" s="14" t="n">
        <f aca="false">1-C56/C55</f>
        <v>0.433264887063655</v>
      </c>
      <c r="D57" s="14" t="n">
        <f aca="false">1-D56/D55</f>
        <v>0.834616565629602</v>
      </c>
      <c r="E57" s="14" t="n">
        <f aca="false">1-E56/E55</f>
        <v>0.861319435556341</v>
      </c>
      <c r="F57" s="14" t="n">
        <f aca="false">1-F56/F55</f>
        <v>0.852789117469229</v>
      </c>
      <c r="G57" s="14" t="n">
        <f aca="false">1-G56/G55</f>
        <v>0.854706260143631</v>
      </c>
    </row>
    <row r="58" customFormat="false" ht="15" hidden="false" customHeight="false" outlineLevel="0" collapsed="false">
      <c r="A58" s="5" t="s">
        <v>377</v>
      </c>
      <c r="B58" s="0" t="s">
        <v>25</v>
      </c>
      <c r="D58" s="13" t="n">
        <f aca="false">SUM(C48:F48)</f>
        <v>336.804412863626</v>
      </c>
      <c r="E58" s="13" t="n">
        <f aca="false">SUM(G48:J48)</f>
        <v>340.387348783759</v>
      </c>
      <c r="F58" s="13" t="n">
        <f aca="false">SUM(K48:N48)</f>
        <v>362.045180172334</v>
      </c>
      <c r="G58" s="13" t="n">
        <f aca="false">SUM(O48:R48)</f>
        <v>390.946044459758</v>
      </c>
    </row>
    <row r="59" customFormat="false" ht="15" hidden="false" customHeight="false" outlineLevel="0" collapsed="false">
      <c r="A59" s="5" t="s">
        <v>284</v>
      </c>
      <c r="B59" s="0" t="s">
        <v>25</v>
      </c>
      <c r="C59" s="13" t="n">
        <f aca="false">p1_op+p2_op+p3_op+p4_op</f>
        <v>869</v>
      </c>
      <c r="D59" s="13" t="n">
        <f aca="false">SUM(C49:F49)</f>
        <v>8235.84979679659</v>
      </c>
      <c r="E59" s="13" t="n">
        <f aca="false">SUM(G49:J49)</f>
        <v>11291.168328258</v>
      </c>
      <c r="F59" s="13" t="n">
        <f aca="false">SUM(K49:N49)</f>
        <v>11250.1200848573</v>
      </c>
      <c r="G59" s="13" t="n">
        <f aca="false">SUM(O49:R49)</f>
        <v>11786.9035423622</v>
      </c>
    </row>
    <row r="60" customFormat="false" ht="15" hidden="false" customHeight="false" outlineLevel="0" collapsed="false">
      <c r="A60" s="5" t="s">
        <v>287</v>
      </c>
      <c r="B60" s="0" t="s">
        <v>116</v>
      </c>
      <c r="C60" s="14" t="n">
        <f aca="false">C59/C55</f>
        <v>0.371748802190281</v>
      </c>
      <c r="D60" s="14" t="n">
        <f aca="false">D59/D55</f>
        <v>0.801825957787708</v>
      </c>
      <c r="E60" s="14" t="n">
        <f aca="false">E59/E55</f>
        <v>0.836113672263334</v>
      </c>
      <c r="F60" s="14" t="n">
        <f aca="false">F59/F55</f>
        <v>0.826200778202912</v>
      </c>
      <c r="G60" s="14" t="n">
        <f aca="false">G59/G55</f>
        <v>0.82726758723214</v>
      </c>
    </row>
    <row r="61" customFormat="false" ht="15" hidden="false" customHeight="false" outlineLevel="0" collapsed="false">
      <c r="A61" s="5" t="s">
        <v>285</v>
      </c>
      <c r="B61" s="0" t="s">
        <v>25</v>
      </c>
      <c r="C61" s="13" t="n">
        <f aca="false">a25_ni</f>
        <v>554.5</v>
      </c>
      <c r="D61" s="13" t="n">
        <f aca="false">SUM(C51:F51)</f>
        <v>5543.90962182168</v>
      </c>
      <c r="E61" s="13" t="n">
        <f aca="false">SUM(G51:J51)</f>
        <v>7663.30488355814</v>
      </c>
      <c r="F61" s="13" t="n">
        <f aca="false">SUM(K51:N51)</f>
        <v>7676.26445661226</v>
      </c>
      <c r="G61" s="13" t="n">
        <f aca="false">SUM(O51:R51)</f>
        <v>8082.2200863595</v>
      </c>
    </row>
    <row r="62" customFormat="false" ht="15" hidden="false" customHeight="false" outlineLevel="0" collapsed="false">
      <c r="A62" s="5" t="s">
        <v>383</v>
      </c>
      <c r="B62" s="0" t="s">
        <v>25</v>
      </c>
      <c r="D62" s="13" t="n">
        <f aca="false">da_y</f>
        <v>320</v>
      </c>
      <c r="E62" s="13" t="n">
        <f aca="false">da_y</f>
        <v>320</v>
      </c>
      <c r="F62" s="13" t="n">
        <f aca="false">da_y</f>
        <v>320</v>
      </c>
      <c r="G62" s="13" t="n">
        <f aca="false">da_y</f>
        <v>320</v>
      </c>
    </row>
    <row r="63" customFormat="false" ht="15" hidden="false" customHeight="false" outlineLevel="0" collapsed="false">
      <c r="A63" s="5" t="s">
        <v>384</v>
      </c>
      <c r="B63" s="0" t="s">
        <v>25</v>
      </c>
      <c r="D63" s="13" t="n">
        <f aca="false">cap_2026</f>
        <v>450</v>
      </c>
      <c r="E63" s="13" t="n">
        <f aca="false">cap_2027</f>
        <v>470</v>
      </c>
      <c r="F63" s="13" t="n">
        <f aca="false">cap_2028</f>
        <v>470</v>
      </c>
      <c r="G63" s="13" t="n">
        <f aca="false">cap_2029</f>
        <v>470</v>
      </c>
    </row>
    <row r="64" customFormat="false" ht="15" hidden="false" customHeight="false" outlineLevel="0" collapsed="false">
      <c r="A64" s="5" t="s">
        <v>385</v>
      </c>
      <c r="B64" s="0" t="s">
        <v>25</v>
      </c>
      <c r="D64" s="13" t="n">
        <f aca="false">D61+D62-D63</f>
        <v>5413.90962182168</v>
      </c>
      <c r="E64" s="13" t="n">
        <f aca="false">E61+E62-E63</f>
        <v>7513.30488355814</v>
      </c>
      <c r="F64" s="13" t="n">
        <f aca="false">F61+F62-F63</f>
        <v>7526.26445661226</v>
      </c>
      <c r="G64" s="13" t="n">
        <f aca="false">G61+G62-G63</f>
        <v>7932.2200863595</v>
      </c>
    </row>
    <row r="65" customFormat="false" ht="17.15" hidden="false" customHeight="false" outlineLevel="0" collapsed="false">
      <c r="A65" s="5" t="s">
        <v>386</v>
      </c>
      <c r="B65" s="0" t="s">
        <v>25</v>
      </c>
      <c r="D65" s="13" t="n">
        <f aca="false">MAX(0,payout*(SUM(D51:F51)+0.75*(D62-D63)))</f>
        <v>920.841924364337</v>
      </c>
      <c r="E65" s="13" t="n">
        <f aca="false">MAX(0,payout*E64)</f>
        <v>1502.66097671163</v>
      </c>
      <c r="F65" s="13" t="n">
        <f aca="false">MAX(0,payout*F64)</f>
        <v>1505.25289132245</v>
      </c>
      <c r="G65" s="13" t="n">
        <f aca="false">MAX(0,payout*G64)</f>
        <v>1586.4440172719</v>
      </c>
      <c r="T65" s="8" t="s">
        <v>387</v>
      </c>
    </row>
    <row r="66" customFormat="false" ht="17.15" hidden="false" customHeight="false" outlineLevel="0" collapsed="false">
      <c r="A66" s="5" t="s">
        <v>388</v>
      </c>
      <c r="B66" s="0" t="s">
        <v>25</v>
      </c>
      <c r="C66" s="13" t="n">
        <f aca="false">eq25</f>
        <v>1399.1</v>
      </c>
      <c r="D66" s="13" t="n">
        <f aca="false">eq_j+SUM(D51:F51)-D65</f>
        <v>6185.16769745735</v>
      </c>
      <c r="E66" s="13" t="n">
        <f aca="false">D66+E61-E65</f>
        <v>12345.8116043039</v>
      </c>
      <c r="F66" s="13" t="n">
        <f aca="false">E66+F61-F65</f>
        <v>18516.8231695937</v>
      </c>
      <c r="G66" s="13" t="n">
        <f aca="false">F66+G61-G65</f>
        <v>25012.5992386813</v>
      </c>
      <c r="T66" s="8" t="s">
        <v>389</v>
      </c>
    </row>
    <row r="67" customFormat="false" ht="15" hidden="false" customHeight="false" outlineLevel="0" collapsed="false">
      <c r="A67" s="5" t="s">
        <v>390</v>
      </c>
      <c r="B67" s="0" t="s">
        <v>25</v>
      </c>
      <c r="D67" s="13" t="n">
        <f aca="false">nc_j+(SUM(D51:F51)+0.75*(D62-D63))-D65</f>
        <v>3839.76769745735</v>
      </c>
      <c r="E67" s="13" t="n">
        <f aca="false">D67+E64-E65</f>
        <v>9850.41160430385</v>
      </c>
      <c r="F67" s="13" t="n">
        <f aca="false">E67+F64-F65</f>
        <v>15871.4231695937</v>
      </c>
      <c r="G67" s="13" t="n">
        <f aca="false">F67+G64-G65</f>
        <v>22217.1992386813</v>
      </c>
    </row>
    <row r="68" customFormat="false" ht="15" hidden="false" customHeight="false" outlineLevel="0" collapsed="false">
      <c r="A68" s="5" t="s">
        <v>391</v>
      </c>
      <c r="B68" s="5" t="s">
        <v>159</v>
      </c>
      <c r="D68" s="13" t="n">
        <f aca="false">sh0-D65/bb_px*1000</f>
        <v>1571.84932957316</v>
      </c>
      <c r="E68" s="13" t="n">
        <f aca="false">D68-E65/bb_px*1000</f>
        <v>1454.03976652246</v>
      </c>
      <c r="F68" s="13" t="n">
        <f aca="false">E68-F65/bb_px*1000</f>
        <v>1336.02699574062</v>
      </c>
      <c r="G68" s="13" t="n">
        <f aca="false">F68-G65/bb_px*1000</f>
        <v>1211.64878976085</v>
      </c>
    </row>
    <row r="69" customFormat="false" ht="17.15" hidden="false" customHeight="false" outlineLevel="0" collapsed="false">
      <c r="A69" s="0" t="s">
        <v>392</v>
      </c>
      <c r="B69" s="0" t="s">
        <v>78</v>
      </c>
      <c r="C69" s="17" t="n">
        <f aca="false">a25_eps</f>
        <v>341.4</v>
      </c>
      <c r="D69" s="17" t="n">
        <f aca="false">D61/(D68+dil)*1000</f>
        <v>3491.51116537153</v>
      </c>
      <c r="E69" s="17" t="n">
        <f aca="false">E61/(E68+dil)*1000</f>
        <v>5213.07690974852</v>
      </c>
      <c r="F69" s="17" t="n">
        <f aca="false">F61/(F68+dil)*1000</f>
        <v>5677.69811107696</v>
      </c>
      <c r="G69" s="17" t="n">
        <f aca="false">G61/(G68+dil)*1000</f>
        <v>6583.62442321542</v>
      </c>
    </row>
    <row r="70" customFormat="false" ht="17.15" hidden="false" customHeight="false" outlineLevel="0" collapsed="false">
      <c r="A70" s="5" t="s">
        <v>393</v>
      </c>
      <c r="B70" s="0" t="s">
        <v>78</v>
      </c>
      <c r="D70" s="17" t="n">
        <f aca="false">D66/D68*1000</f>
        <v>3934.96220094896</v>
      </c>
      <c r="E70" s="17" t="n">
        <f aca="false">E66/E68*1000</f>
        <v>8490.69735818199</v>
      </c>
      <c r="F70" s="17" t="n">
        <f aca="false">F66/F68*1000</f>
        <v>13859.617529157</v>
      </c>
      <c r="G70" s="17" t="n">
        <f aca="false">G66/G68*1000</f>
        <v>20643.4401206459</v>
      </c>
    </row>
    <row r="71" customFormat="false" ht="17.15" hidden="false" customHeight="false" outlineLevel="0" collapsed="false">
      <c r="A71" s="0" t="s">
        <v>394</v>
      </c>
      <c r="B71" s="0" t="s">
        <v>116</v>
      </c>
      <c r="D71" s="21" t="n">
        <f aca="false">D61/D66</f>
        <v>0.896323251526506</v>
      </c>
      <c r="E71" s="21" t="n">
        <f aca="false">E61/E66</f>
        <v>0.620721029056255</v>
      </c>
      <c r="F71" s="21" t="n">
        <f aca="false">F61/F66</f>
        <v>0.414556232800095</v>
      </c>
      <c r="G71" s="21" t="n">
        <f aca="false">G61/G66</f>
        <v>0.323125957811717</v>
      </c>
    </row>
    <row r="72" customFormat="false" ht="15" hidden="false" customHeight="false" outlineLevel="0" collapsed="false">
      <c r="A72" s="5" t="s">
        <v>395</v>
      </c>
      <c r="B72" s="0" t="s">
        <v>78</v>
      </c>
      <c r="E72" s="17" t="n">
        <f aca="false">E64/(E68+dil)*1000</f>
        <v>5111.03718297998</v>
      </c>
      <c r="F72" s="17" t="n">
        <f aca="false">F64/(F68+dil)*1000</f>
        <v>5566.75160558913</v>
      </c>
      <c r="G72" s="17" t="n">
        <f aca="false">G64/(G68+dil)*1000</f>
        <v>6461.43724531996</v>
      </c>
    </row>
    <row r="73" customFormat="false" ht="17.15" hidden="false" customHeight="false" outlineLevel="0" collapsed="false">
      <c r="A73" s="5" t="s">
        <v>396</v>
      </c>
      <c r="B73" s="0" t="s">
        <v>25</v>
      </c>
      <c r="D73" s="18" t="n">
        <f aca="false">ABS(C44-q1_rev)+ABS(D49-g2_op)+ABS(C55-2337.6)</f>
        <v>0</v>
      </c>
    </row>
    <row r="76" customFormat="false" ht="17.15" hidden="false" customHeight="false" outlineLevel="0" collapsed="false">
      <c r="A76" s="3" t="s">
        <v>397</v>
      </c>
    </row>
    <row r="77" customFormat="false" ht="17.15" hidden="false" customHeight="false" outlineLevel="0" collapsed="false">
      <c r="A77" s="12" t="s">
        <v>352</v>
      </c>
      <c r="B77" s="6" t="s">
        <v>15</v>
      </c>
      <c r="C77" s="12" t="s">
        <v>353</v>
      </c>
      <c r="D77" s="12" t="s">
        <v>354</v>
      </c>
      <c r="E77" s="12" t="s">
        <v>355</v>
      </c>
      <c r="F77" s="12" t="s">
        <v>356</v>
      </c>
      <c r="G77" s="12" t="s">
        <v>357</v>
      </c>
      <c r="H77" s="12" t="s">
        <v>358</v>
      </c>
      <c r="I77" s="12" t="s">
        <v>359</v>
      </c>
      <c r="J77" s="12" t="s">
        <v>360</v>
      </c>
      <c r="K77" s="12" t="s">
        <v>361</v>
      </c>
      <c r="L77" s="12" t="s">
        <v>362</v>
      </c>
      <c r="M77" s="12" t="s">
        <v>363</v>
      </c>
      <c r="N77" s="12" t="s">
        <v>364</v>
      </c>
      <c r="O77" s="12" t="s">
        <v>365</v>
      </c>
      <c r="P77" s="12" t="s">
        <v>366</v>
      </c>
      <c r="Q77" s="12" t="s">
        <v>367</v>
      </c>
      <c r="R77" s="12" t="s">
        <v>368</v>
      </c>
      <c r="S77" s="12"/>
      <c r="T77" s="6" t="s">
        <v>343</v>
      </c>
    </row>
    <row r="78" customFormat="false" ht="17.15" hidden="false" customHeight="false" outlineLevel="0" collapsed="false">
      <c r="A78" s="5" t="s">
        <v>369</v>
      </c>
      <c r="B78" s="0" t="s">
        <v>317</v>
      </c>
      <c r="C78" s="19" t="n">
        <f aca="false">Units!H5*1</f>
        <v>10.72</v>
      </c>
      <c r="D78" s="19" t="n">
        <f aca="false">Units!I5*1</f>
        <v>14.3197859923946</v>
      </c>
      <c r="E78" s="19" t="n">
        <f aca="false">Units!J5*1*1</f>
        <v>17.6469939469536</v>
      </c>
      <c r="F78" s="19" t="n">
        <f aca="false">Units!K5*1*1</f>
        <v>19.595468438795</v>
      </c>
      <c r="G78" s="19" t="n">
        <f aca="false">Units!L5*1*1</f>
        <v>21.1340789252551</v>
      </c>
      <c r="H78" s="19" t="n">
        <f aca="false">Units!M5*1*1</f>
        <v>20.1119109613647</v>
      </c>
      <c r="I78" s="19" t="n">
        <f aca="false">Units!N5*1*1</f>
        <v>17.0126053627378</v>
      </c>
      <c r="J78" s="19" t="n">
        <f aca="false">Units!O5*1*1</f>
        <v>11.8275130795543</v>
      </c>
      <c r="K78" s="19" t="n">
        <f aca="false">Units!P5*1*1</f>
        <v>9.18584573436248</v>
      </c>
      <c r="L78" s="19" t="n">
        <f aca="false">Units!Q5*1*1</f>
        <v>7.60980594205616</v>
      </c>
      <c r="M78" s="19" t="n">
        <f aca="false">Units!R5*1*1</f>
        <v>7.09219288775088</v>
      </c>
      <c r="N78" s="19" t="n">
        <f aca="false">Units!S5*1*1</f>
        <v>7.84546398497791</v>
      </c>
      <c r="O78" s="19" t="n">
        <f aca="false">Units!T5*1*1</f>
        <v>8.63214068504036</v>
      </c>
      <c r="P78" s="19" t="n">
        <f aca="false">Units!U5*1*1</f>
        <v>9.31679011773699</v>
      </c>
      <c r="Q78" s="19" t="n">
        <f aca="false">Units!V5*1*1</f>
        <v>10.0557418217699</v>
      </c>
      <c r="R78" s="19" t="n">
        <f aca="false">Units!W5*1*1</f>
        <v>9.72103033741691</v>
      </c>
      <c r="T78" s="8" t="s">
        <v>370</v>
      </c>
    </row>
    <row r="79" customFormat="false" ht="15" hidden="false" customHeight="false" outlineLevel="0" collapsed="false">
      <c r="A79" s="5" t="s">
        <v>371</v>
      </c>
      <c r="B79" s="0" t="s">
        <v>324</v>
      </c>
      <c r="C79" s="19" t="n">
        <f aca="false">Units!H8*1</f>
        <v>40.1757580440862</v>
      </c>
      <c r="D79" s="19" t="n">
        <f aca="false">Units!I8*1</f>
        <v>46.6667956905857</v>
      </c>
      <c r="E79" s="19" t="n">
        <f aca="false">Units!J8*1</f>
        <v>48.944548236035</v>
      </c>
      <c r="F79" s="19" t="n">
        <f aca="false">Units!K8*1</f>
        <v>51.7606758567119</v>
      </c>
      <c r="G79" s="19" t="n">
        <f aca="false">Units!L8*1</f>
        <v>54.730251227149</v>
      </c>
      <c r="H79" s="19" t="n">
        <f aca="false">Units!M8*1</f>
        <v>57.87019488847</v>
      </c>
      <c r="I79" s="19" t="n">
        <f aca="false">Units!N8*1</f>
        <v>61.1902810847732</v>
      </c>
      <c r="J79" s="19" t="n">
        <f aca="false">Units!O8*1</f>
        <v>60.7724881001571</v>
      </c>
      <c r="K79" s="19" t="n">
        <f aca="false">Units!P8*1</f>
        <v>62.9319899375342</v>
      </c>
      <c r="L79" s="19" t="n">
        <f aca="false">Units!Q8*1</f>
        <v>65.1682279483249</v>
      </c>
      <c r="M79" s="19" t="n">
        <f aca="false">Units!R8*1</f>
        <v>67.4839288911773</v>
      </c>
      <c r="N79" s="19" t="n">
        <f aca="false">Units!S8*1</f>
        <v>71.0966527439941</v>
      </c>
      <c r="O79" s="19" t="n">
        <f aca="false">Units!T8*1</f>
        <v>74.5005934271282</v>
      </c>
      <c r="P79" s="19" t="n">
        <f aca="false">Units!U8*1</f>
        <v>78.0675067921974</v>
      </c>
      <c r="Q79" s="19" t="n">
        <f aca="false">Units!V8*1</f>
        <v>81.8051955882886</v>
      </c>
      <c r="R79" s="19" t="n">
        <f aca="false">Units!W8*1</f>
        <v>81.6504162967138</v>
      </c>
    </row>
    <row r="80" customFormat="false" ht="17.15" hidden="false" customHeight="false" outlineLevel="0" collapsed="false">
      <c r="A80" s="5" t="s">
        <v>280</v>
      </c>
      <c r="B80" s="0" t="s">
        <v>25</v>
      </c>
      <c r="C80" s="13" t="n">
        <f aca="false">q1_rev</f>
        <v>1767.1</v>
      </c>
      <c r="D80" s="13" t="n">
        <f aca="false">g2_rev</f>
        <v>2390</v>
      </c>
      <c r="E80" s="13" t="n">
        <f aca="false">E78*kx_k*fx</f>
        <v>2908.95550407292</v>
      </c>
      <c r="F80" s="13" t="n">
        <f aca="false">F78*kx_k*fx</f>
        <v>3230.1448020704</v>
      </c>
      <c r="G80" s="13" t="n">
        <f aca="false">G78*kx_k*fx</f>
        <v>3483.77153627036</v>
      </c>
      <c r="H80" s="13" t="n">
        <f aca="false">H78*kx_k*fx</f>
        <v>3315.27591976003</v>
      </c>
      <c r="I80" s="13" t="n">
        <f aca="false">I78*kx_k*fx</f>
        <v>2804.38199034459</v>
      </c>
      <c r="J80" s="13" t="n">
        <f aca="false">J78*kx_k*fx</f>
        <v>1949.6640263881</v>
      </c>
      <c r="K80" s="13" t="n">
        <f aca="false">K78*kx_k*fx</f>
        <v>1514.20783555895</v>
      </c>
      <c r="L80" s="13" t="n">
        <f aca="false">L78*kx_k*fx</f>
        <v>1254.41120151189</v>
      </c>
      <c r="M80" s="13" t="n">
        <f aca="false">M78*kx_k*fx</f>
        <v>1169.08713171125</v>
      </c>
      <c r="N80" s="13" t="n">
        <f aca="false">N78*kx_k*fx</f>
        <v>1293.25740744911</v>
      </c>
      <c r="O80" s="13" t="n">
        <f aca="false">O78*kx_k*fx</f>
        <v>1422.93431012452</v>
      </c>
      <c r="P80" s="13" t="n">
        <f aca="false">P78*kx_k*fx</f>
        <v>1535.79289338181</v>
      </c>
      <c r="Q80" s="13" t="n">
        <f aca="false">Q78*kx_k*fx</f>
        <v>1657.60274004194</v>
      </c>
      <c r="R80" s="13" t="n">
        <f aca="false">R78*kx_k*fx</f>
        <v>1602.42842437028</v>
      </c>
      <c r="T80" s="5" t="s">
        <v>372</v>
      </c>
    </row>
    <row r="81" customFormat="false" ht="17.15" hidden="false" customHeight="false" outlineLevel="0" collapsed="false">
      <c r="A81" s="5" t="s">
        <v>373</v>
      </c>
      <c r="B81" s="0" t="s">
        <v>374</v>
      </c>
      <c r="C81" s="20" t="n">
        <f aca="false">C82/C79</f>
        <v>9.63267449926724</v>
      </c>
      <c r="D81" s="20" t="n">
        <f aca="false">D82/D79</f>
        <v>9.21426023871499</v>
      </c>
      <c r="E81" s="20" t="n">
        <f aca="false">$D81*(1-cd_B)^(1/4)</f>
        <v>8.92444344907711</v>
      </c>
      <c r="F81" s="20" t="n">
        <f aca="false">$D81*(1-cd_B)^(2/4)</f>
        <v>8.64374228775664</v>
      </c>
      <c r="G81" s="20" t="n">
        <f aca="false">$D81*(1-cd_B)^(3/4)</f>
        <v>8.37187004024085</v>
      </c>
      <c r="H81" s="20" t="n">
        <f aca="false">$D81*(1-cd_B)^(4/4)</f>
        <v>8.10854901006919</v>
      </c>
      <c r="I81" s="20" t="n">
        <f aca="false">$D81*(1-cd_B)^(5/4)</f>
        <v>7.85351023518786</v>
      </c>
      <c r="J81" s="20" t="n">
        <f aca="false">$D81*(1-cd_B)^(6/4)</f>
        <v>7.60649321322584</v>
      </c>
      <c r="K81" s="20" t="n">
        <f aca="false">$D81*(1-cd_B)^(7/4)</f>
        <v>7.36724563541195</v>
      </c>
      <c r="L81" s="20" t="n">
        <f aca="false">$D81*(1-cd_B)^(8/4)</f>
        <v>7.13552312886089</v>
      </c>
      <c r="M81" s="20" t="n">
        <f aca="false">$D81*(1-cd_B)^(9/4)</f>
        <v>6.91108900696532</v>
      </c>
      <c r="N81" s="20" t="n">
        <f aca="false">$D81*(1-cd_B)^(10/4)</f>
        <v>6.69371402763874</v>
      </c>
      <c r="O81" s="20" t="n">
        <f aca="false">$D81*(1-cd_B)^(11/4)</f>
        <v>6.48317615916251</v>
      </c>
      <c r="P81" s="20" t="n">
        <f aca="false">$D81*(1-cd_B)^(12/4)</f>
        <v>6.27926035339758</v>
      </c>
      <c r="Q81" s="20" t="n">
        <f aca="false">$D81*(1-cd_B)^(13/4)</f>
        <v>6.08175832612948</v>
      </c>
      <c r="R81" s="20" t="n">
        <f aca="false">$D81*(1-cd_B)^(14/4)</f>
        <v>5.89046834432209</v>
      </c>
    </row>
    <row r="82" customFormat="false" ht="15" hidden="false" customHeight="false" outlineLevel="0" collapsed="false">
      <c r="A82" s="5" t="s">
        <v>375</v>
      </c>
      <c r="B82" s="0" t="s">
        <v>25</v>
      </c>
      <c r="C82" s="13" t="n">
        <f aca="false">q1_rev-q1_gp</f>
        <v>387</v>
      </c>
      <c r="D82" s="13" t="n">
        <f aca="false">g2_rev-g2_op-g2_ox</f>
        <v>430</v>
      </c>
      <c r="E82" s="13" t="n">
        <f aca="false">E79*E81</f>
        <v>436.802852873121</v>
      </c>
      <c r="F82" s="13" t="n">
        <f aca="false">F79*F81</f>
        <v>447.405942745525</v>
      </c>
      <c r="G82" s="13" t="n">
        <f aca="false">G79*G81</f>
        <v>458.194550543424</v>
      </c>
      <c r="H82" s="13" t="n">
        <f aca="false">H79*H81</f>
        <v>469.243311475415</v>
      </c>
      <c r="I82" s="13" t="n">
        <f aca="false">I79*I81</f>
        <v>480.558498793288</v>
      </c>
      <c r="J82" s="13" t="n">
        <f aca="false">J79*J81</f>
        <v>462.265518284693</v>
      </c>
      <c r="K82" s="13" t="n">
        <f aca="false">K79*K81</f>
        <v>463.635428195087</v>
      </c>
      <c r="L82" s="13" t="n">
        <f aca="false">L79*L81</f>
        <v>465.009397792151</v>
      </c>
      <c r="M82" s="13" t="n">
        <f aca="false">M79*M81</f>
        <v>466.387439106645</v>
      </c>
      <c r="N82" s="13" t="n">
        <f aca="false">N79*N81</f>
        <v>475.900661790634</v>
      </c>
      <c r="O82" s="13" t="n">
        <f aca="false">O79*O81</f>
        <v>483.000471150217</v>
      </c>
      <c r="P82" s="13" t="n">
        <f aca="false">P79*P81</f>
        <v>490.206200288842</v>
      </c>
      <c r="Q82" s="13" t="n">
        <f aca="false">Q79*Q81</f>
        <v>497.519429389725</v>
      </c>
      <c r="R82" s="13" t="n">
        <f aca="false">R79*R81</f>
        <v>480.959192496513</v>
      </c>
      <c r="T82" s="5" t="s">
        <v>376</v>
      </c>
    </row>
    <row r="83" customFormat="false" ht="15" hidden="false" customHeight="false" outlineLevel="0" collapsed="false">
      <c r="A83" s="5" t="s">
        <v>286</v>
      </c>
      <c r="B83" s="0" t="s">
        <v>116</v>
      </c>
      <c r="C83" s="14" t="n">
        <f aca="false">1-C82/C80</f>
        <v>0.780997113915455</v>
      </c>
      <c r="D83" s="14" t="n">
        <f aca="false">1-D82/D80</f>
        <v>0.820083682008368</v>
      </c>
      <c r="E83" s="14" t="n">
        <f aca="false">1-E82/E80</f>
        <v>0.849842030150843</v>
      </c>
      <c r="F83" s="14" t="n">
        <f aca="false">1-F82/F80</f>
        <v>0.861490437686027</v>
      </c>
      <c r="G83" s="14" t="n">
        <f aca="false">1-G82/G80</f>
        <v>0.868477440103907</v>
      </c>
      <c r="H83" s="14" t="n">
        <f aca="false">1-H82/H80</f>
        <v>0.858460254038409</v>
      </c>
      <c r="I83" s="14" t="n">
        <f aca="false">1-I82/I80</f>
        <v>0.828640142303068</v>
      </c>
      <c r="J83" s="14" t="n">
        <f aca="false">1-J82/J80</f>
        <v>0.762899908892982</v>
      </c>
      <c r="K83" s="14" t="n">
        <f aca="false">1-K82/K80</f>
        <v>0.693809913469413</v>
      </c>
      <c r="L83" s="14" t="n">
        <f aca="false">1-L82/L80</f>
        <v>0.62930066533869</v>
      </c>
      <c r="M83" s="14" t="n">
        <f aca="false">1-M82/M80</f>
        <v>0.601066997954232</v>
      </c>
      <c r="N83" s="14" t="n">
        <f aca="false">1-N82/N80</f>
        <v>0.632013967946779</v>
      </c>
      <c r="O83" s="14" t="n">
        <f aca="false">1-O82/O80</f>
        <v>0.660560246728501</v>
      </c>
      <c r="P83" s="14" t="n">
        <f aca="false">1-P82/P80</f>
        <v>0.680812300668088</v>
      </c>
      <c r="Q83" s="14" t="n">
        <f aca="false">1-Q82/Q80</f>
        <v>0.699856052737258</v>
      </c>
      <c r="R83" s="14" t="n">
        <f aca="false">1-R82/R80</f>
        <v>0.699856052737258</v>
      </c>
    </row>
    <row r="84" customFormat="false" ht="17.15" hidden="false" customHeight="false" outlineLevel="0" collapsed="false">
      <c r="A84" s="5" t="s">
        <v>377</v>
      </c>
      <c r="B84" s="0" t="s">
        <v>25</v>
      </c>
      <c r="C84" s="13" t="n">
        <f aca="false">q1_gp-q1_op</f>
        <v>110.1</v>
      </c>
      <c r="D84" s="13" t="n">
        <f aca="false">g2_ox</f>
        <v>70</v>
      </c>
      <c r="E84" s="13" t="n">
        <f aca="false">(g2_ox-ox_var*g2_rev)*(1+ox_g)^(1/4)+ox_var*E80</f>
        <v>76.3011961075221</v>
      </c>
      <c r="F84" s="13" t="n">
        <f aca="false">(g2_ox-ox_var*g2_rev)*(1+ox_g)^(2/4)+ox_var*F80</f>
        <v>80.6515359213479</v>
      </c>
      <c r="G84" s="13" t="n">
        <f aca="false">(g2_ox-ox_var*g2_rev)*(1+ox_g)^(3/4)+ox_var*G80</f>
        <v>84.3537022501893</v>
      </c>
      <c r="H84" s="13" t="n">
        <f aca="false">(g2_ox-ox_var*g2_rev)*(1+ox_g)^(4/4)+ox_var*H80</f>
        <v>83.8627591976003</v>
      </c>
      <c r="I84" s="13" t="n">
        <f aca="false">(g2_ox-ox_var*g2_rev)*(1+ox_g)^(5/4)+ox_var*I80</f>
        <v>79.9766250769181</v>
      </c>
      <c r="J84" s="13" t="n">
        <f aca="false">(g2_ox-ox_var*g2_rev)*(1+ox_g)^(6/4)+ox_var*J80</f>
        <v>72.6817369545894</v>
      </c>
      <c r="K84" s="13" t="n">
        <f aca="false">(g2_ox-ox_var*g2_rev)*(1+ox_g)^(7/4)+ox_var*K80</f>
        <v>69.6096639318238</v>
      </c>
      <c r="L84" s="13" t="n">
        <f aca="false">(g2_ox-ox_var*g2_rev)*(1+ox_g)^(8/4)+ox_var*L80</f>
        <v>68.3251120151189</v>
      </c>
      <c r="M84" s="13" t="n">
        <f aca="false">(g2_ox-ox_var*g2_rev)*(1+ox_g)^(9/4)+ox_var*M80</f>
        <v>68.8169570079319</v>
      </c>
      <c r="N84" s="13" t="n">
        <f aca="false">(g2_ox-ox_var*g2_rev)*(1+ox_g)^(10/4)+ox_var*N80</f>
        <v>71.4361804342703</v>
      </c>
      <c r="O84" s="13" t="n">
        <f aca="false">(g2_ox-ox_var*g2_rev)*(1+ox_g)^(11/4)+ox_var*O80</f>
        <v>74.1436872351029</v>
      </c>
      <c r="P84" s="13" t="n">
        <f aca="false">(g2_ox-ox_var*g2_rev)*(1+ox_g)^(12/4)+ox_var*P80</f>
        <v>76.7170289338181</v>
      </c>
      <c r="Q84" s="13" t="n">
        <f aca="false">(g2_ox-ox_var*g2_rev)*(1+ox_g)^(13/4)+ox_var*Q80</f>
        <v>79.4147216603208</v>
      </c>
      <c r="R84" s="13" t="n">
        <f aca="false">(g2_ox-ox_var*g2_rev)*(1+ox_g)^(14/4)+ox_var*R80</f>
        <v>80.37825123946</v>
      </c>
      <c r="T84" s="5" t="s">
        <v>378</v>
      </c>
    </row>
    <row r="85" customFormat="false" ht="15" hidden="false" customHeight="false" outlineLevel="0" collapsed="false">
      <c r="A85" s="5" t="s">
        <v>284</v>
      </c>
      <c r="B85" s="0" t="s">
        <v>25</v>
      </c>
      <c r="C85" s="13" t="n">
        <f aca="false">C80-C82-C84</f>
        <v>1270</v>
      </c>
      <c r="D85" s="13" t="n">
        <f aca="false">D80-D82-D84</f>
        <v>1890</v>
      </c>
      <c r="E85" s="13" t="n">
        <f aca="false">E80-E82-E84</f>
        <v>2395.85145509228</v>
      </c>
      <c r="F85" s="13" t="n">
        <f aca="false">F80-F82-F84</f>
        <v>2702.08732340352</v>
      </c>
      <c r="G85" s="13" t="n">
        <f aca="false">G80-G82-G84</f>
        <v>2941.22328347675</v>
      </c>
      <c r="H85" s="13" t="n">
        <f aca="false">H80-H82-H84</f>
        <v>2762.16984908702</v>
      </c>
      <c r="I85" s="13" t="n">
        <f aca="false">I80-I82-I84</f>
        <v>2243.84686647438</v>
      </c>
      <c r="J85" s="13" t="n">
        <f aca="false">J80-J82-J84</f>
        <v>1414.71677114881</v>
      </c>
      <c r="K85" s="13" t="n">
        <f aca="false">K80-K82-K84</f>
        <v>980.962743432038</v>
      </c>
      <c r="L85" s="13" t="n">
        <f aca="false">L80-L82-L84</f>
        <v>721.076691704618</v>
      </c>
      <c r="M85" s="13" t="n">
        <f aca="false">M80-M82-M84</f>
        <v>633.882735596671</v>
      </c>
      <c r="N85" s="13" t="n">
        <f aca="false">N80-N82-N84</f>
        <v>745.920565224206</v>
      </c>
      <c r="O85" s="13" t="n">
        <f aca="false">O80-O82-O84</f>
        <v>865.790151739197</v>
      </c>
      <c r="P85" s="13" t="n">
        <f aca="false">P80-P82-P84</f>
        <v>968.869664159153</v>
      </c>
      <c r="Q85" s="13" t="n">
        <f aca="false">Q80-Q82-Q84</f>
        <v>1080.66858899189</v>
      </c>
      <c r="R85" s="13" t="n">
        <f aca="false">R80-R82-R84</f>
        <v>1041.09098063431</v>
      </c>
    </row>
    <row r="87" customFormat="false" ht="17.15" hidden="false" customHeight="false" outlineLevel="0" collapsed="false">
      <c r="A87" s="5" t="s">
        <v>285</v>
      </c>
      <c r="B87" s="0" t="s">
        <v>25</v>
      </c>
      <c r="C87" s="13" t="n">
        <f aca="false">q1_ni</f>
        <v>842.2</v>
      </c>
      <c r="D87" s="13" t="n">
        <f aca="false">g2_ni</f>
        <v>1270</v>
      </c>
      <c r="E87" s="13" t="n">
        <f aca="false">(E85+nonop_q+rf*nc_j/4)*(1-tax)</f>
        <v>1619.24486946275</v>
      </c>
      <c r="F87" s="13" t="n">
        <f aca="false">(F85+nonop_q+rf*nc_j/4)*(1-tax)</f>
        <v>1827.48525991439</v>
      </c>
      <c r="G87" s="13" t="n">
        <f aca="false">(G85+nonop_q+rf*$D103/4)*(1-tax)</f>
        <v>1996.37986574014</v>
      </c>
      <c r="H87" s="13" t="n">
        <f aca="false">(H85+nonop_q+rf*$D103/4)*(1-tax)</f>
        <v>1874.62353035512</v>
      </c>
      <c r="I87" s="13" t="n">
        <f aca="false">(I85+nonop_q+rf*$D103/4)*(1-tax)</f>
        <v>1522.16390217853</v>
      </c>
      <c r="J87" s="13" t="n">
        <f aca="false">(J85+nonop_q+rf*$D103/4)*(1-tax)</f>
        <v>958.355437357147</v>
      </c>
      <c r="K87" s="13" t="n">
        <f aca="false">(K85+nonop_q+rf*$E103/4)*(1-tax)</f>
        <v>671.836769430197</v>
      </c>
      <c r="L87" s="13" t="n">
        <f aca="false">(L85+nonop_q+rf*$E103/4)*(1-tax)</f>
        <v>495.114254255551</v>
      </c>
      <c r="M87" s="13" t="n">
        <f aca="false">(M85+nonop_q+rf*$E103/4)*(1-tax)</f>
        <v>435.822364102148</v>
      </c>
      <c r="N87" s="13" t="n">
        <f aca="false">(N85+nonop_q+rf*$E103/4)*(1-tax)</f>
        <v>512.008088248871</v>
      </c>
      <c r="O87" s="13" t="n">
        <f aca="false">(O85+nonop_q+rf*$F103/4)*(1-tax)</f>
        <v>596.191509886475</v>
      </c>
      <c r="P87" s="13" t="n">
        <f aca="false">(P85+nonop_q+rf*$F103/4)*(1-tax)</f>
        <v>666.285578332045</v>
      </c>
      <c r="Q87" s="13" t="n">
        <f aca="false">(Q85+nonop_q+rf*$F103/4)*(1-tax)</f>
        <v>742.308847218309</v>
      </c>
      <c r="R87" s="13" t="n">
        <f aca="false">(R85+nonop_q+rf*$F103/4)*(1-tax)</f>
        <v>715.39607353515</v>
      </c>
      <c r="T87" s="5" t="s">
        <v>379</v>
      </c>
    </row>
    <row r="88" customFormat="false" ht="17.15" hidden="false" customHeight="false" outlineLevel="0" collapsed="false">
      <c r="A88" s="5" t="s">
        <v>380</v>
      </c>
      <c r="B88" s="0" t="s">
        <v>78</v>
      </c>
      <c r="C88" s="17" t="n">
        <f aca="false">C87/(sh0+dil)*1000</f>
        <v>507.343332753891</v>
      </c>
      <c r="D88" s="17" t="n">
        <f aca="false">D87/(sh0+dil)*1000</f>
        <v>765.051095461222</v>
      </c>
      <c r="E88" s="17" t="n">
        <f aca="false">E87/(sh0+dil)*1000</f>
        <v>975.437056064912</v>
      </c>
      <c r="F88" s="17" t="n">
        <f aca="false">F87/(sh0+dil)*1000</f>
        <v>1100.88157483208</v>
      </c>
      <c r="G88" s="17" t="n">
        <f aca="false">G87/(sh0+dil)*1000</f>
        <v>1202.62409704033</v>
      </c>
      <c r="H88" s="17" t="n">
        <f aca="false">H87/(sh0+dil)*1000</f>
        <v>1129.27778383903</v>
      </c>
      <c r="I88" s="17" t="n">
        <f aca="false">I87/(sh0+dil)*1000</f>
        <v>916.955244750562</v>
      </c>
      <c r="J88" s="17" t="n">
        <f aca="false">J87/(sh0+dil)*1000</f>
        <v>577.315651331735</v>
      </c>
      <c r="K88" s="17" t="n">
        <f aca="false">K87/(sh0+dil)*1000</f>
        <v>404.716107420237</v>
      </c>
      <c r="L88" s="17" t="n">
        <f aca="false">L87/(sh0+dil)*1000</f>
        <v>298.258033540689</v>
      </c>
      <c r="M88" s="17" t="n">
        <f aca="false">M87/(sh0+dil)*1000</f>
        <v>262.540454395943</v>
      </c>
      <c r="N88" s="17" t="n">
        <f aca="false">N87/(sh0+dil)*1000</f>
        <v>308.434920314807</v>
      </c>
      <c r="O88" s="17" t="n">
        <f aca="false">O87/(sh0+dil)*1000</f>
        <v>359.147218695534</v>
      </c>
      <c r="P88" s="17" t="n">
        <f aca="false">P87/(sh0+dil)*1000</f>
        <v>401.372056372398</v>
      </c>
      <c r="Q88" s="17" t="n">
        <f aca="false">Q87/(sh0+dil)*1000</f>
        <v>447.168658846397</v>
      </c>
      <c r="R88" s="17" t="n">
        <f aca="false">R87/(sh0+dil)*1000</f>
        <v>430.956338383247</v>
      </c>
    </row>
    <row r="90" customFormat="false" ht="17.15" hidden="false" customHeight="false" outlineLevel="0" collapsed="false">
      <c r="A90" s="12" t="s">
        <v>381</v>
      </c>
      <c r="B90" s="6" t="s">
        <v>15</v>
      </c>
      <c r="C90" s="12" t="s">
        <v>338</v>
      </c>
      <c r="D90" s="12" t="s">
        <v>339</v>
      </c>
      <c r="E90" s="12" t="s">
        <v>340</v>
      </c>
      <c r="F90" s="12" t="s">
        <v>341</v>
      </c>
      <c r="G90" s="12" t="s">
        <v>342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6" t="s">
        <v>343</v>
      </c>
    </row>
    <row r="91" customFormat="false" ht="17.15" hidden="false" customHeight="false" outlineLevel="0" collapsed="false">
      <c r="A91" s="5" t="s">
        <v>280</v>
      </c>
      <c r="B91" s="0" t="s">
        <v>25</v>
      </c>
      <c r="C91" s="13" t="n">
        <f aca="false">a25_rev</f>
        <v>2337.6</v>
      </c>
      <c r="D91" s="13" t="n">
        <f aca="false">SUM(C80:F80)</f>
        <v>10296.2003061433</v>
      </c>
      <c r="E91" s="13" t="n">
        <f aca="false">SUM(G80:J80)</f>
        <v>11553.0934727631</v>
      </c>
      <c r="F91" s="13" t="n">
        <f aca="false">SUM(K80:N80)</f>
        <v>5230.9635762312</v>
      </c>
      <c r="G91" s="13" t="n">
        <f aca="false">SUM(O80:R80)</f>
        <v>6218.75836791855</v>
      </c>
      <c r="T91" s="8" t="s">
        <v>382</v>
      </c>
    </row>
    <row r="92" customFormat="false" ht="15" hidden="false" customHeight="false" outlineLevel="0" collapsed="false">
      <c r="A92" s="5" t="s">
        <v>375</v>
      </c>
      <c r="B92" s="0" t="s">
        <v>25</v>
      </c>
      <c r="C92" s="13" t="n">
        <f aca="false">a25_rev-(p1_gp+p2_gp+p3_gp+p4_gp)</f>
        <v>1324.8</v>
      </c>
      <c r="D92" s="13" t="n">
        <f aca="false">SUM(C82:F82)</f>
        <v>1701.20879561865</v>
      </c>
      <c r="E92" s="13" t="n">
        <f aca="false">SUM(G82:J82)</f>
        <v>1870.26187909682</v>
      </c>
      <c r="F92" s="13" t="n">
        <f aca="false">SUM(K82:N82)</f>
        <v>1870.93292688452</v>
      </c>
      <c r="G92" s="13" t="n">
        <f aca="false">SUM(O82:R82)</f>
        <v>1951.6852933253</v>
      </c>
    </row>
    <row r="93" customFormat="false" ht="15" hidden="false" customHeight="false" outlineLevel="0" collapsed="false">
      <c r="A93" s="5" t="s">
        <v>286</v>
      </c>
      <c r="B93" s="0" t="s">
        <v>116</v>
      </c>
      <c r="C93" s="14" t="n">
        <f aca="false">1-C92/C91</f>
        <v>0.433264887063655</v>
      </c>
      <c r="D93" s="14" t="n">
        <f aca="false">1-D92/D91</f>
        <v>0.834773144943227</v>
      </c>
      <c r="E93" s="14" t="n">
        <f aca="false">1-E92/E91</f>
        <v>0.8381159225011</v>
      </c>
      <c r="F93" s="14" t="n">
        <f aca="false">1-F92/F91</f>
        <v>0.642334935118687</v>
      </c>
      <c r="G93" s="14" t="n">
        <f aca="false">1-G92/G91</f>
        <v>0.686161581161653</v>
      </c>
    </row>
    <row r="94" customFormat="false" ht="15" hidden="false" customHeight="false" outlineLevel="0" collapsed="false">
      <c r="A94" s="5" t="s">
        <v>377</v>
      </c>
      <c r="B94" s="0" t="s">
        <v>25</v>
      </c>
      <c r="D94" s="13" t="n">
        <f aca="false">SUM(C84:F84)</f>
        <v>337.05273202887</v>
      </c>
      <c r="E94" s="13" t="n">
        <f aca="false">SUM(G84:J84)</f>
        <v>320.874823479297</v>
      </c>
      <c r="F94" s="13" t="n">
        <f aca="false">SUM(K84:N84)</f>
        <v>278.187913389145</v>
      </c>
      <c r="G94" s="13" t="n">
        <f aca="false">SUM(O84:R84)</f>
        <v>310.653689068702</v>
      </c>
    </row>
    <row r="95" customFormat="false" ht="15" hidden="false" customHeight="false" outlineLevel="0" collapsed="false">
      <c r="A95" s="5" t="s">
        <v>284</v>
      </c>
      <c r="B95" s="0" t="s">
        <v>25</v>
      </c>
      <c r="C95" s="13" t="n">
        <f aca="false">p1_op+p2_op+p3_op+p4_op</f>
        <v>869</v>
      </c>
      <c r="D95" s="13" t="n">
        <f aca="false">SUM(C85:F85)</f>
        <v>8257.9387784958</v>
      </c>
      <c r="E95" s="13" t="n">
        <f aca="false">SUM(G85:J85)</f>
        <v>9361.95677018696</v>
      </c>
      <c r="F95" s="13" t="n">
        <f aca="false">SUM(K85:N85)</f>
        <v>3081.84273595753</v>
      </c>
      <c r="G95" s="13" t="n">
        <f aca="false">SUM(O85:R85)</f>
        <v>3956.41938552455</v>
      </c>
    </row>
    <row r="96" customFormat="false" ht="15" hidden="false" customHeight="false" outlineLevel="0" collapsed="false">
      <c r="A96" s="5" t="s">
        <v>287</v>
      </c>
      <c r="B96" s="0" t="s">
        <v>116</v>
      </c>
      <c r="C96" s="14" t="n">
        <f aca="false">C95/C91</f>
        <v>0.371748802190281</v>
      </c>
      <c r="D96" s="14" t="n">
        <f aca="false">D95/D91</f>
        <v>0.802037502472502</v>
      </c>
      <c r="E96" s="14" t="n">
        <f aca="false">E95/E91</f>
        <v>0.810341991282091</v>
      </c>
      <c r="F96" s="14" t="n">
        <f aca="false">F95/F91</f>
        <v>0.589153927578662</v>
      </c>
      <c r="G96" s="14" t="n">
        <f aca="false">G95/G91</f>
        <v>0.636207286318601</v>
      </c>
    </row>
    <row r="97" customFormat="false" ht="15" hidden="false" customHeight="false" outlineLevel="0" collapsed="false">
      <c r="A97" s="5" t="s">
        <v>285</v>
      </c>
      <c r="B97" s="0" t="s">
        <v>25</v>
      </c>
      <c r="C97" s="13" t="n">
        <f aca="false">a25_ni</f>
        <v>554.5</v>
      </c>
      <c r="D97" s="13" t="n">
        <f aca="false">SUM(C87:F87)</f>
        <v>5558.93012937714</v>
      </c>
      <c r="E97" s="13" t="n">
        <f aca="false">SUM(G87:J87)</f>
        <v>6351.52273563095</v>
      </c>
      <c r="F97" s="13" t="n">
        <f aca="false">SUM(K87:N87)</f>
        <v>2114.78147603677</v>
      </c>
      <c r="G97" s="13" t="n">
        <f aca="false">SUM(O87:R87)</f>
        <v>2720.18200897198</v>
      </c>
    </row>
    <row r="98" customFormat="false" ht="15" hidden="false" customHeight="false" outlineLevel="0" collapsed="false">
      <c r="A98" s="5" t="s">
        <v>383</v>
      </c>
      <c r="B98" s="0" t="s">
        <v>25</v>
      </c>
      <c r="D98" s="13" t="n">
        <f aca="false">da_y</f>
        <v>320</v>
      </c>
      <c r="E98" s="13" t="n">
        <f aca="false">da_y</f>
        <v>320</v>
      </c>
      <c r="F98" s="13" t="n">
        <f aca="false">da_y</f>
        <v>320</v>
      </c>
      <c r="G98" s="13" t="n">
        <f aca="false">da_y</f>
        <v>320</v>
      </c>
    </row>
    <row r="99" customFormat="false" ht="15" hidden="false" customHeight="false" outlineLevel="0" collapsed="false">
      <c r="A99" s="5" t="s">
        <v>384</v>
      </c>
      <c r="B99" s="0" t="s">
        <v>25</v>
      </c>
      <c r="D99" s="13" t="n">
        <f aca="false">cap_2026</f>
        <v>450</v>
      </c>
      <c r="E99" s="13" t="n">
        <f aca="false">cap_2027</f>
        <v>470</v>
      </c>
      <c r="F99" s="13" t="n">
        <f aca="false">cap_2028</f>
        <v>470</v>
      </c>
      <c r="G99" s="13" t="n">
        <f aca="false">cap_2029</f>
        <v>470</v>
      </c>
    </row>
    <row r="100" customFormat="false" ht="15" hidden="false" customHeight="false" outlineLevel="0" collapsed="false">
      <c r="A100" s="5" t="s">
        <v>385</v>
      </c>
      <c r="B100" s="0" t="s">
        <v>25</v>
      </c>
      <c r="D100" s="13" t="n">
        <f aca="false">D97+D98-D99</f>
        <v>5428.93012937714</v>
      </c>
      <c r="E100" s="13" t="n">
        <f aca="false">E97+E98-E99</f>
        <v>6201.52273563095</v>
      </c>
      <c r="F100" s="13" t="n">
        <f aca="false">F97+F98-F99</f>
        <v>1964.78147603677</v>
      </c>
      <c r="G100" s="13" t="n">
        <f aca="false">G97+G98-G99</f>
        <v>2570.18200897198</v>
      </c>
    </row>
    <row r="101" customFormat="false" ht="17.15" hidden="false" customHeight="false" outlineLevel="0" collapsed="false">
      <c r="A101" s="5" t="s">
        <v>386</v>
      </c>
      <c r="B101" s="0" t="s">
        <v>25</v>
      </c>
      <c r="D101" s="13" t="n">
        <f aca="false">MAX(0,payout*(SUM(D87:F87)+0.75*(D98-D99)))</f>
        <v>923.846025875429</v>
      </c>
      <c r="E101" s="13" t="n">
        <f aca="false">MAX(0,payout*E100)</f>
        <v>1240.30454712619</v>
      </c>
      <c r="F101" s="13" t="n">
        <f aca="false">MAX(0,payout*F100)</f>
        <v>392.956295207353</v>
      </c>
      <c r="G101" s="13" t="n">
        <f aca="false">MAX(0,payout*G100)</f>
        <v>514.036401794396</v>
      </c>
      <c r="T101" s="8" t="s">
        <v>387</v>
      </c>
    </row>
    <row r="102" customFormat="false" ht="17.15" hidden="false" customHeight="false" outlineLevel="0" collapsed="false">
      <c r="A102" s="5" t="s">
        <v>388</v>
      </c>
      <c r="B102" s="0" t="s">
        <v>25</v>
      </c>
      <c r="C102" s="13" t="n">
        <f aca="false">eq25</f>
        <v>1399.1</v>
      </c>
      <c r="D102" s="13" t="n">
        <f aca="false">eq_j+SUM(D87:F87)-D101</f>
        <v>6197.18410350171</v>
      </c>
      <c r="E102" s="13" t="n">
        <f aca="false">D102+E97-E101</f>
        <v>11308.4022920065</v>
      </c>
      <c r="F102" s="13" t="n">
        <f aca="false">E102+F97-F101</f>
        <v>13030.2274728359</v>
      </c>
      <c r="G102" s="13" t="n">
        <f aca="false">F102+G97-G101</f>
        <v>15236.3730800135</v>
      </c>
      <c r="T102" s="8" t="s">
        <v>389</v>
      </c>
    </row>
    <row r="103" customFormat="false" ht="15" hidden="false" customHeight="false" outlineLevel="0" collapsed="false">
      <c r="A103" s="5" t="s">
        <v>390</v>
      </c>
      <c r="B103" s="0" t="s">
        <v>25</v>
      </c>
      <c r="D103" s="13" t="n">
        <f aca="false">nc_j+(SUM(D87:F87)+0.75*(D98-D99))-D101</f>
        <v>3851.78410350171</v>
      </c>
      <c r="E103" s="13" t="n">
        <f aca="false">D103+E100-E101</f>
        <v>8813.00229200647</v>
      </c>
      <c r="F103" s="13" t="n">
        <f aca="false">E103+F100-F101</f>
        <v>10384.8274728359</v>
      </c>
      <c r="G103" s="13" t="n">
        <f aca="false">F103+G100-G101</f>
        <v>12440.9730800135</v>
      </c>
    </row>
    <row r="104" customFormat="false" ht="15" hidden="false" customHeight="false" outlineLevel="0" collapsed="false">
      <c r="A104" s="5" t="s">
        <v>391</v>
      </c>
      <c r="B104" s="5" t="s">
        <v>159</v>
      </c>
      <c r="D104" s="13" t="n">
        <f aca="false">sh0-D101/bb_px*1000</f>
        <v>1571.6138061305</v>
      </c>
      <c r="E104" s="13" t="n">
        <f aca="false">D104-E101/bb_px*1000</f>
        <v>1474.37315171057</v>
      </c>
      <c r="F104" s="13" t="n">
        <f aca="false">E104-F101/bb_px*1000</f>
        <v>1443.56513170216</v>
      </c>
      <c r="G104" s="13" t="n">
        <f aca="false">F104-G101/bb_px*1000</f>
        <v>1403.26435539527</v>
      </c>
    </row>
    <row r="105" customFormat="false" ht="17.15" hidden="false" customHeight="false" outlineLevel="0" collapsed="false">
      <c r="A105" s="0" t="s">
        <v>392</v>
      </c>
      <c r="B105" s="0" t="s">
        <v>78</v>
      </c>
      <c r="C105" s="17" t="n">
        <f aca="false">a25_eps</f>
        <v>341.4</v>
      </c>
      <c r="D105" s="17" t="n">
        <f aca="false">D97/(D104+dil)*1000</f>
        <v>3501.49034319466</v>
      </c>
      <c r="E105" s="17" t="n">
        <f aca="false">E97/(E104+dil)*1000</f>
        <v>4261.76847716666</v>
      </c>
      <c r="F105" s="17" t="n">
        <f aca="false">F97/(F104+dil)*1000</f>
        <v>1448.93592362162</v>
      </c>
      <c r="G105" s="17" t="n">
        <f aca="false">G97/(G104+dil)*1000</f>
        <v>1916.64655894688</v>
      </c>
    </row>
    <row r="106" customFormat="false" ht="17.15" hidden="false" customHeight="false" outlineLevel="0" collapsed="false">
      <c r="A106" s="5" t="s">
        <v>393</v>
      </c>
      <c r="B106" s="0" t="s">
        <v>78</v>
      </c>
      <c r="D106" s="17" t="n">
        <f aca="false">D102/D104*1000</f>
        <v>3943.19780045704</v>
      </c>
      <c r="E106" s="17" t="n">
        <f aca="false">E102/E104*1000</f>
        <v>7669.9730179476</v>
      </c>
      <c r="F106" s="17" t="n">
        <f aca="false">F102/F104*1000</f>
        <v>9026.42159101716</v>
      </c>
      <c r="G106" s="17" t="n">
        <f aca="false">G102/G104*1000</f>
        <v>10857.8066715888</v>
      </c>
    </row>
    <row r="107" customFormat="false" ht="17.15" hidden="false" customHeight="false" outlineLevel="0" collapsed="false">
      <c r="A107" s="0" t="s">
        <v>394</v>
      </c>
      <c r="B107" s="0" t="s">
        <v>116</v>
      </c>
      <c r="D107" s="21" t="n">
        <f aca="false">D97/D102</f>
        <v>0.897009034512316</v>
      </c>
      <c r="E107" s="21" t="n">
        <f aca="false">E97/E102</f>
        <v>0.561664023937371</v>
      </c>
      <c r="F107" s="21" t="n">
        <f aca="false">F97/F102</f>
        <v>0.162298124145987</v>
      </c>
      <c r="G107" s="21" t="n">
        <f aca="false">G97/G102</f>
        <v>0.178532121436447</v>
      </c>
    </row>
    <row r="108" customFormat="false" ht="15" hidden="false" customHeight="false" outlineLevel="0" collapsed="false">
      <c r="A108" s="5" t="s">
        <v>395</v>
      </c>
      <c r="B108" s="0" t="s">
        <v>78</v>
      </c>
      <c r="E108" s="17" t="n">
        <f aca="false">E100/(E104+dil)*1000</f>
        <v>4161.12091623</v>
      </c>
      <c r="F108" s="17" t="n">
        <f aca="false">F100/(F104+dil)*1000</f>
        <v>1346.16389208739</v>
      </c>
      <c r="G108" s="17" t="n">
        <f aca="false">G100/(G104+dil)*1000</f>
        <v>1810.95621069306</v>
      </c>
    </row>
    <row r="109" customFormat="false" ht="17.15" hidden="false" customHeight="false" outlineLevel="0" collapsed="false">
      <c r="A109" s="5" t="s">
        <v>396</v>
      </c>
      <c r="B109" s="0" t="s">
        <v>25</v>
      </c>
      <c r="D109" s="18" t="n">
        <f aca="false">ABS(C80-q1_rev)+ABS(D85-g2_op)+ABS(C91-2337.6)</f>
        <v>0</v>
      </c>
    </row>
    <row r="112" customFormat="false" ht="17.15" hidden="false" customHeight="false" outlineLevel="0" collapsed="false">
      <c r="A112" s="3" t="s">
        <v>398</v>
      </c>
    </row>
    <row r="113" customFormat="false" ht="17.15" hidden="false" customHeight="false" outlineLevel="0" collapsed="false">
      <c r="A113" s="12" t="s">
        <v>352</v>
      </c>
      <c r="B113" s="6" t="s">
        <v>15</v>
      </c>
      <c r="C113" s="12" t="s">
        <v>353</v>
      </c>
      <c r="D113" s="12" t="s">
        <v>354</v>
      </c>
      <c r="E113" s="12" t="s">
        <v>355</v>
      </c>
      <c r="F113" s="12" t="s">
        <v>356</v>
      </c>
      <c r="G113" s="12" t="s">
        <v>357</v>
      </c>
      <c r="H113" s="12" t="s">
        <v>358</v>
      </c>
      <c r="I113" s="12" t="s">
        <v>359</v>
      </c>
      <c r="J113" s="12" t="s">
        <v>360</v>
      </c>
      <c r="K113" s="12" t="s">
        <v>361</v>
      </c>
      <c r="L113" s="12" t="s">
        <v>362</v>
      </c>
      <c r="M113" s="12" t="s">
        <v>363</v>
      </c>
      <c r="N113" s="12" t="s">
        <v>364</v>
      </c>
      <c r="O113" s="12" t="s">
        <v>365</v>
      </c>
      <c r="P113" s="12" t="s">
        <v>366</v>
      </c>
      <c r="Q113" s="12" t="s">
        <v>367</v>
      </c>
      <c r="R113" s="12" t="s">
        <v>368</v>
      </c>
      <c r="S113" s="12"/>
      <c r="T113" s="6" t="s">
        <v>343</v>
      </c>
    </row>
    <row r="114" customFormat="false" ht="17.15" hidden="false" customHeight="false" outlineLevel="0" collapsed="false">
      <c r="A114" s="5" t="s">
        <v>369</v>
      </c>
      <c r="B114" s="0" t="s">
        <v>317</v>
      </c>
      <c r="C114" s="19" t="n">
        <f aca="false">Units!H6*1</f>
        <v>10.72</v>
      </c>
      <c r="D114" s="19" t="n">
        <f aca="false">Units!I6*1</f>
        <v>14.3197859923946</v>
      </c>
      <c r="E114" s="19" t="n">
        <f aca="false">Units!J6*1*1</f>
        <v>17.6469939469536</v>
      </c>
      <c r="F114" s="19" t="n">
        <f aca="false">Units!K6*1*1</f>
        <v>19.3685402243569</v>
      </c>
      <c r="G114" s="19" t="n">
        <f aca="false">Units!L6*1*1</f>
        <v>20.8893326049882</v>
      </c>
      <c r="H114" s="19" t="n">
        <f aca="false">Units!M6*1*1</f>
        <v>19.8790020080699</v>
      </c>
      <c r="I114" s="19" t="n">
        <f aca="false">Units!N6*1*1</f>
        <v>16.8155883753683</v>
      </c>
      <c r="J114" s="19" t="n">
        <f aca="false">Units!O6*1*1</f>
        <v>9.89593993832582</v>
      </c>
      <c r="K114" s="19" t="n">
        <f aca="false">Units!P6*1*1</f>
        <v>6.44794877146862</v>
      </c>
      <c r="L114" s="19" t="n">
        <f aca="false">Units!Q6*1*1</f>
        <v>4.84768076821988</v>
      </c>
      <c r="M114" s="19" t="n">
        <f aca="false">Units!R6*1*1</f>
        <v>3.88754268595575</v>
      </c>
      <c r="N114" s="19" t="n">
        <f aca="false">Units!S6*1*1</f>
        <v>4.13033392340321</v>
      </c>
      <c r="O114" s="19" t="n">
        <f aca="false">Units!T6*1*1</f>
        <v>4.49454962833573</v>
      </c>
      <c r="P114" s="19" t="n">
        <f aca="false">Units!U6*1*1</f>
        <v>5.03062161561029</v>
      </c>
      <c r="Q114" s="19" t="n">
        <f aca="false">Units!V6*1*1</f>
        <v>5.73490270837585</v>
      </c>
      <c r="R114" s="19" t="n">
        <f aca="false">Units!W6*1*1</f>
        <v>5.53135935677028</v>
      </c>
      <c r="T114" s="8" t="s">
        <v>370</v>
      </c>
    </row>
    <row r="115" customFormat="false" ht="15" hidden="false" customHeight="false" outlineLevel="0" collapsed="false">
      <c r="A115" s="5" t="s">
        <v>371</v>
      </c>
      <c r="B115" s="0" t="s">
        <v>324</v>
      </c>
      <c r="C115" s="19" t="n">
        <f aca="false">Units!H9*1</f>
        <v>40.1757580440862</v>
      </c>
      <c r="D115" s="19" t="n">
        <f aca="false">Units!I9*1</f>
        <v>46.6667956905857</v>
      </c>
      <c r="E115" s="19" t="n">
        <f aca="false">Units!J9*1</f>
        <v>48.944548236035</v>
      </c>
      <c r="F115" s="19" t="n">
        <f aca="false">Units!K9*1</f>
        <v>51.1612537103642</v>
      </c>
      <c r="G115" s="19" t="n">
        <f aca="false">Units!L9*1</f>
        <v>54.0964394749311</v>
      </c>
      <c r="H115" s="19" t="n">
        <f aca="false">Units!M9*1</f>
        <v>57.2000205552439</v>
      </c>
      <c r="I115" s="19" t="n">
        <f aca="false">Units!N9*1</f>
        <v>60.4816580033244</v>
      </c>
      <c r="J115" s="19" t="n">
        <f aca="false">Units!O9*1</f>
        <v>54.7589755237042</v>
      </c>
      <c r="K115" s="19" t="n">
        <f aca="false">Units!P9*1</f>
        <v>54.8916752581918</v>
      </c>
      <c r="L115" s="19" t="n">
        <f aca="false">Units!Q9*1</f>
        <v>55.0246965695417</v>
      </c>
      <c r="M115" s="19" t="n">
        <f aca="false">Units!R9*1</f>
        <v>55.1580402370448</v>
      </c>
      <c r="N115" s="19" t="n">
        <f aca="false">Units!S9*1</f>
        <v>58.6028612785497</v>
      </c>
      <c r="O115" s="19" t="n">
        <f aca="false">Units!T9*1</f>
        <v>60.7338115798019</v>
      </c>
      <c r="P115" s="19" t="n">
        <f aca="false">Units!U9*1</f>
        <v>62.9422486980342</v>
      </c>
      <c r="Q115" s="19" t="n">
        <f aca="false">Units!V9*1</f>
        <v>65.2309902525981</v>
      </c>
      <c r="R115" s="19" t="n">
        <f aca="false">Units!W9*1</f>
        <v>64.9589689662811</v>
      </c>
    </row>
    <row r="116" customFormat="false" ht="17.15" hidden="false" customHeight="false" outlineLevel="0" collapsed="false">
      <c r="A116" s="5" t="s">
        <v>280</v>
      </c>
      <c r="B116" s="0" t="s">
        <v>25</v>
      </c>
      <c r="C116" s="13" t="n">
        <f aca="false">q1_rev</f>
        <v>1767.1</v>
      </c>
      <c r="D116" s="13" t="n">
        <f aca="false">g2_rev</f>
        <v>2390</v>
      </c>
      <c r="E116" s="13" t="n">
        <f aca="false">E114*kx_k*fx</f>
        <v>2908.95550407292</v>
      </c>
      <c r="F116" s="13" t="n">
        <f aca="false">F114*kx_k*fx</f>
        <v>3192.73763343853</v>
      </c>
      <c r="G116" s="13" t="n">
        <f aca="false">G114*kx_k*fx</f>
        <v>3443.4272058092</v>
      </c>
      <c r="H116" s="13" t="n">
        <f aca="false">H114*kx_k*fx</f>
        <v>3276.88287765488</v>
      </c>
      <c r="I116" s="13" t="n">
        <f aca="false">I114*kx_k*fx</f>
        <v>2771.90543079415</v>
      </c>
      <c r="J116" s="13" t="n">
        <f aca="false">J114*kx_k*fx</f>
        <v>1631.26077099026</v>
      </c>
      <c r="K116" s="13" t="n">
        <f aca="false">K114*kx_k*fx</f>
        <v>1062.88901810282</v>
      </c>
      <c r="L116" s="13" t="n">
        <f aca="false">L114*kx_k*fx</f>
        <v>799.098571410574</v>
      </c>
      <c r="M116" s="13" t="n">
        <f aca="false">M114*kx_k*fx</f>
        <v>640.828048540336</v>
      </c>
      <c r="N116" s="13" t="n">
        <f aca="false">N114*kx_k*fx</f>
        <v>680.850100377408</v>
      </c>
      <c r="O116" s="13" t="n">
        <f aca="false">O114*kx_k*fx</f>
        <v>740.887933603738</v>
      </c>
      <c r="P116" s="13" t="n">
        <f aca="false">P114*kx_k*fx</f>
        <v>829.254800088148</v>
      </c>
      <c r="Q116" s="13" t="n">
        <f aca="false">Q114*kx_k*fx</f>
        <v>945.349494027142</v>
      </c>
      <c r="R116" s="13" t="n">
        <f aca="false">R114*kx_k*fx</f>
        <v>911.797119342235</v>
      </c>
      <c r="T116" s="5" t="s">
        <v>372</v>
      </c>
    </row>
    <row r="117" customFormat="false" ht="17.15" hidden="false" customHeight="false" outlineLevel="0" collapsed="false">
      <c r="A117" s="5" t="s">
        <v>373</v>
      </c>
      <c r="B117" s="0" t="s">
        <v>374</v>
      </c>
      <c r="C117" s="20" t="n">
        <f aca="false">C118/C115</f>
        <v>9.63267449926724</v>
      </c>
      <c r="D117" s="20" t="n">
        <f aca="false">D118/D115</f>
        <v>9.21426023871499</v>
      </c>
      <c r="E117" s="20" t="n">
        <f aca="false">$D117*(1-cd_C)^(1/4)</f>
        <v>8.97472399304605</v>
      </c>
      <c r="F117" s="20" t="n">
        <f aca="false">$D117*(1-cd_C)^(2/4)</f>
        <v>8.74141479235985</v>
      </c>
      <c r="G117" s="20" t="n">
        <f aca="false">$D117*(1-cd_C)^(3/4)</f>
        <v>8.514170756816</v>
      </c>
      <c r="H117" s="20" t="n">
        <f aca="false">$D117*(1-cd_C)^(4/4)</f>
        <v>8.29283421484349</v>
      </c>
      <c r="I117" s="20" t="n">
        <f aca="false">$D117*(1-cd_C)^(5/4)</f>
        <v>8.07725159374145</v>
      </c>
      <c r="J117" s="20" t="n">
        <f aca="false">$D117*(1-cd_C)^(6/4)</f>
        <v>7.86727331312387</v>
      </c>
      <c r="K117" s="20" t="n">
        <f aca="false">$D117*(1-cd_C)^(7/4)</f>
        <v>7.6627536811344</v>
      </c>
      <c r="L117" s="20" t="n">
        <f aca="false">$D117*(1-cd_C)^(8/4)</f>
        <v>7.46355079335914</v>
      </c>
      <c r="M117" s="20" t="n">
        <f aca="false">$D117*(1-cd_C)^(9/4)</f>
        <v>7.2695264343673</v>
      </c>
      <c r="N117" s="20" t="n">
        <f aca="false">$D117*(1-cd_C)^(10/4)</f>
        <v>7.08054598181148</v>
      </c>
      <c r="O117" s="20" t="n">
        <f aca="false">$D117*(1-cd_C)^(11/4)</f>
        <v>6.89647831302096</v>
      </c>
      <c r="P117" s="20" t="n">
        <f aca="false">$D117*(1-cd_C)^(12/4)</f>
        <v>6.71719571402323</v>
      </c>
      <c r="Q117" s="20" t="n">
        <f aca="false">$D117*(1-cd_C)^(13/4)</f>
        <v>6.54257379093057</v>
      </c>
      <c r="R117" s="20" t="n">
        <f aca="false">$D117*(1-cd_C)^(14/4)</f>
        <v>6.37249138363033</v>
      </c>
    </row>
    <row r="118" customFormat="false" ht="15" hidden="false" customHeight="false" outlineLevel="0" collapsed="false">
      <c r="A118" s="5" t="s">
        <v>375</v>
      </c>
      <c r="B118" s="0" t="s">
        <v>25</v>
      </c>
      <c r="C118" s="13" t="n">
        <f aca="false">q1_rev-q1_gp</f>
        <v>387</v>
      </c>
      <c r="D118" s="13" t="n">
        <f aca="false">g2_rev-g2_op-g2_ox</f>
        <v>430</v>
      </c>
      <c r="E118" s="13" t="n">
        <f aca="false">E115*E117</f>
        <v>439.263811382743</v>
      </c>
      <c r="F118" s="13" t="n">
        <f aca="false">F115*F117</f>
        <v>447.221739979453</v>
      </c>
      <c r="G118" s="13" t="n">
        <f aca="false">G115*G117</f>
        <v>460.586323025325</v>
      </c>
      <c r="H118" s="13" t="n">
        <f aca="false">H115*H117</f>
        <v>474.350287550278</v>
      </c>
      <c r="I118" s="13" t="n">
        <f aca="false">I115*I117</f>
        <v>488.525568499477</v>
      </c>
      <c r="J118" s="13" t="n">
        <f aca="false">J115*J117</f>
        <v>430.803826791641</v>
      </c>
      <c r="K118" s="13" t="n">
        <f aca="false">K115*K117</f>
        <v>420.621386648344</v>
      </c>
      <c r="L118" s="13" t="n">
        <f aca="false">L115*L117</f>
        <v>410.679617735949</v>
      </c>
      <c r="M118" s="13" t="n">
        <f aca="false">M115*M117</f>
        <v>400.972831571092</v>
      </c>
      <c r="N118" s="13" t="n">
        <f aca="false">N115*N117</f>
        <v>414.940253948491</v>
      </c>
      <c r="O118" s="13" t="n">
        <f aca="false">O115*O117</f>
        <v>418.849414427205</v>
      </c>
      <c r="P118" s="13" t="n">
        <f aca="false">P115*P117</f>
        <v>422.79540318542</v>
      </c>
      <c r="Q118" s="13" t="n">
        <f aca="false">Q115*Q117</f>
        <v>426.778567183096</v>
      </c>
      <c r="R118" s="13" t="n">
        <f aca="false">R115*R117</f>
        <v>413.950470027137</v>
      </c>
      <c r="T118" s="5" t="s">
        <v>376</v>
      </c>
    </row>
    <row r="119" customFormat="false" ht="15" hidden="false" customHeight="false" outlineLevel="0" collapsed="false">
      <c r="A119" s="5" t="s">
        <v>286</v>
      </c>
      <c r="B119" s="0" t="s">
        <v>116</v>
      </c>
      <c r="C119" s="14" t="n">
        <f aca="false">1-C118/C116</f>
        <v>0.780997113915455</v>
      </c>
      <c r="D119" s="14" t="n">
        <f aca="false">1-D118/D116</f>
        <v>0.820083682008368</v>
      </c>
      <c r="E119" s="14" t="n">
        <f aca="false">1-E118/E116</f>
        <v>0.848996036285974</v>
      </c>
      <c r="F119" s="14" t="n">
        <f aca="false">1-F118/F116</f>
        <v>0.859925308207113</v>
      </c>
      <c r="G119" s="14" t="n">
        <f aca="false">1-G118/G116</f>
        <v>0.866241887661137</v>
      </c>
      <c r="H119" s="14" t="n">
        <f aca="false">1-H118/H116</f>
        <v>0.855243441630191</v>
      </c>
      <c r="I119" s="14" t="n">
        <f aca="false">1-I118/I116</f>
        <v>0.823758212285217</v>
      </c>
      <c r="J119" s="14" t="n">
        <f aca="false">1-J118/J116</f>
        <v>0.7359074438294</v>
      </c>
      <c r="K119" s="14" t="n">
        <f aca="false">1-K118/K116</f>
        <v>0.60426593982585</v>
      </c>
      <c r="L119" s="14" t="n">
        <f aca="false">1-L118/L116</f>
        <v>0.486071390403045</v>
      </c>
      <c r="M119" s="14" t="n">
        <f aca="false">1-M118/M116</f>
        <v>0.374289511071778</v>
      </c>
      <c r="N119" s="14" t="n">
        <f aca="false">1-N118/N116</f>
        <v>0.390555639606307</v>
      </c>
      <c r="O119" s="14" t="n">
        <f aca="false">1-O118/O116</f>
        <v>0.434665628322642</v>
      </c>
      <c r="P119" s="14" t="n">
        <f aca="false">1-P118/P116</f>
        <v>0.490150188891909</v>
      </c>
      <c r="Q119" s="14" t="n">
        <f aca="false">1-Q118/Q116</f>
        <v>0.548549430787718</v>
      </c>
      <c r="R119" s="14" t="n">
        <f aca="false">1-R118/R116</f>
        <v>0.546005946667436</v>
      </c>
    </row>
    <row r="120" customFormat="false" ht="17.15" hidden="false" customHeight="false" outlineLevel="0" collapsed="false">
      <c r="A120" s="5" t="s">
        <v>377</v>
      </c>
      <c r="B120" s="0" t="s">
        <v>25</v>
      </c>
      <c r="C120" s="13" t="n">
        <f aca="false">q1_gp-q1_op</f>
        <v>110.1</v>
      </c>
      <c r="D120" s="13" t="n">
        <f aca="false">g2_ox</f>
        <v>70</v>
      </c>
      <c r="E120" s="13" t="n">
        <f aca="false">(g2_ox-ox_var*g2_rev)*(1+ox_g)^(1/4)+ox_var*E116</f>
        <v>76.3011961075221</v>
      </c>
      <c r="F120" s="13" t="n">
        <f aca="false">(g2_ox-ox_var*g2_rev)*(1+ox_g)^(2/4)+ox_var*F116</f>
        <v>80.2774642350293</v>
      </c>
      <c r="G120" s="13" t="n">
        <f aca="false">(g2_ox-ox_var*g2_rev)*(1+ox_g)^(3/4)+ox_var*G116</f>
        <v>83.9502589455777</v>
      </c>
      <c r="H120" s="13" t="n">
        <f aca="false">(g2_ox-ox_var*g2_rev)*(1+ox_g)^(4/4)+ox_var*H116</f>
        <v>83.4788287765488</v>
      </c>
      <c r="I120" s="13" t="n">
        <f aca="false">(g2_ox-ox_var*g2_rev)*(1+ox_g)^(5/4)+ox_var*I116</f>
        <v>79.6518594814137</v>
      </c>
      <c r="J120" s="13" t="n">
        <f aca="false">(g2_ox-ox_var*g2_rev)*(1+ox_g)^(6/4)+ox_var*J116</f>
        <v>69.497704400611</v>
      </c>
      <c r="K120" s="13" t="n">
        <f aca="false">(g2_ox-ox_var*g2_rev)*(1+ox_g)^(7/4)+ox_var*K116</f>
        <v>65.0964757572625</v>
      </c>
      <c r="L120" s="13" t="n">
        <f aca="false">(g2_ox-ox_var*g2_rev)*(1+ox_g)^(8/4)+ox_var*L116</f>
        <v>63.7719857141057</v>
      </c>
      <c r="M120" s="13" t="n">
        <f aca="false">(g2_ox-ox_var*g2_rev)*(1+ox_g)^(9/4)+ox_var*M116</f>
        <v>63.5343661762228</v>
      </c>
      <c r="N120" s="13" t="n">
        <f aca="false">(g2_ox-ox_var*g2_rev)*(1+ox_g)^(10/4)+ox_var*N116</f>
        <v>65.3121073635533</v>
      </c>
      <c r="O120" s="13" t="n">
        <f aca="false">(g2_ox-ox_var*g2_rev)*(1+ox_g)^(11/4)+ox_var*O116</f>
        <v>67.3232234698951</v>
      </c>
      <c r="P120" s="13" t="n">
        <f aca="false">(g2_ox-ox_var*g2_rev)*(1+ox_g)^(12/4)+ox_var*P116</f>
        <v>69.6516480008815</v>
      </c>
      <c r="Q120" s="13" t="n">
        <f aca="false">(g2_ox-ox_var*g2_rev)*(1+ox_g)^(13/4)+ox_var*Q116</f>
        <v>72.2921892001728</v>
      </c>
      <c r="R120" s="13" t="n">
        <f aca="false">(g2_ox-ox_var*g2_rev)*(1+ox_g)^(14/4)+ox_var*R116</f>
        <v>73.4719381891795</v>
      </c>
      <c r="T120" s="5" t="s">
        <v>378</v>
      </c>
    </row>
    <row r="121" customFormat="false" ht="15" hidden="false" customHeight="false" outlineLevel="0" collapsed="false">
      <c r="A121" s="5" t="s">
        <v>284</v>
      </c>
      <c r="B121" s="0" t="s">
        <v>25</v>
      </c>
      <c r="C121" s="13" t="n">
        <f aca="false">C116-C118-C120</f>
        <v>1270</v>
      </c>
      <c r="D121" s="13" t="n">
        <f aca="false">D116-D118-D120</f>
        <v>1890</v>
      </c>
      <c r="E121" s="13" t="n">
        <f aca="false">E116-E118-E120</f>
        <v>2393.39049658265</v>
      </c>
      <c r="F121" s="13" t="n">
        <f aca="false">F116-F118-F120</f>
        <v>2665.23842922405</v>
      </c>
      <c r="G121" s="13" t="n">
        <f aca="false">G116-G118-G120</f>
        <v>2898.8906238383</v>
      </c>
      <c r="H121" s="13" t="n">
        <f aca="false">H116-H118-H120</f>
        <v>2719.05376132805</v>
      </c>
      <c r="I121" s="13" t="n">
        <f aca="false">I116-I118-I120</f>
        <v>2203.72800281326</v>
      </c>
      <c r="J121" s="13" t="n">
        <f aca="false">J116-J118-J120</f>
        <v>1130.95923979801</v>
      </c>
      <c r="K121" s="13" t="n">
        <f aca="false">K116-K118-K120</f>
        <v>577.171155697211</v>
      </c>
      <c r="L121" s="13" t="n">
        <f aca="false">L116-L118-L120</f>
        <v>324.646967960519</v>
      </c>
      <c r="M121" s="13" t="n">
        <f aca="false">M116-M118-M120</f>
        <v>176.320850793021</v>
      </c>
      <c r="N121" s="13" t="n">
        <f aca="false">N116-N118-N120</f>
        <v>200.597739065364</v>
      </c>
      <c r="O121" s="13" t="n">
        <f aca="false">O116-O118-O120</f>
        <v>254.715295706637</v>
      </c>
      <c r="P121" s="13" t="n">
        <f aca="false">P116-P118-P120</f>
        <v>336.807748901847</v>
      </c>
      <c r="Q121" s="13" t="n">
        <f aca="false">Q116-Q118-Q120</f>
        <v>446.278737643873</v>
      </c>
      <c r="R121" s="13" t="n">
        <f aca="false">R116-R118-R120</f>
        <v>424.374711125919</v>
      </c>
    </row>
    <row r="123" customFormat="false" ht="17.15" hidden="false" customHeight="false" outlineLevel="0" collapsed="false">
      <c r="A123" s="5" t="s">
        <v>285</v>
      </c>
      <c r="B123" s="0" t="s">
        <v>25</v>
      </c>
      <c r="C123" s="13" t="n">
        <f aca="false">q1_ni</f>
        <v>842.2</v>
      </c>
      <c r="D123" s="13" t="n">
        <f aca="false">g2_ni</f>
        <v>1270</v>
      </c>
      <c r="E123" s="13" t="n">
        <f aca="false">(E121+nonop_q+rf*nc_j/4)*(1-tax)</f>
        <v>1617.57141767621</v>
      </c>
      <c r="F123" s="13" t="n">
        <f aca="false">(F121+nonop_q+rf*nc_j/4)*(1-tax)</f>
        <v>1802.42801187235</v>
      </c>
      <c r="G123" s="13" t="n">
        <f aca="false">(G121+nonop_q+rf*$D139/4)*(1-tax)</f>
        <v>1967.55730343423</v>
      </c>
      <c r="H123" s="13" t="n">
        <f aca="false">(H121+nonop_q+rf*$D139/4)*(1-tax)</f>
        <v>1845.26823692726</v>
      </c>
      <c r="I123" s="13" t="n">
        <f aca="false">(I121+nonop_q+rf*$D139/4)*(1-tax)</f>
        <v>1494.8467211372</v>
      </c>
      <c r="J123" s="13" t="n">
        <f aca="false">(J121+nonop_q+rf*$D139/4)*(1-tax)</f>
        <v>765.363962286829</v>
      </c>
      <c r="K123" s="13" t="n">
        <f aca="false">(K121+nonop_q+rf*$E139/4)*(1-tax)</f>
        <v>396.843394362638</v>
      </c>
      <c r="L123" s="13" t="n">
        <f aca="false">(L121+nonop_q+rf*$E139/4)*(1-tax)</f>
        <v>225.126946701687</v>
      </c>
      <c r="M123" s="13" t="n">
        <f aca="false">(M121+nonop_q+rf*$E139/4)*(1-tax)</f>
        <v>124.265187027789</v>
      </c>
      <c r="N123" s="13" t="n">
        <f aca="false">(N121+nonop_q+rf*$E139/4)*(1-tax)</f>
        <v>140.773471052982</v>
      </c>
      <c r="O123" s="13" t="n">
        <f aca="false">(O121+nonop_q+rf*$F139/4)*(1-tax)</f>
        <v>178.575741807885</v>
      </c>
      <c r="P123" s="13" t="n">
        <f aca="false">(P121+nonop_q+rf*$F139/4)*(1-tax)</f>
        <v>234.398609980627</v>
      </c>
      <c r="Q123" s="13" t="n">
        <f aca="false">(Q121+nonop_q+rf*$F139/4)*(1-tax)</f>
        <v>308.838882325206</v>
      </c>
      <c r="R123" s="13" t="n">
        <f aca="false">(R121+nonop_q+rf*$F139/4)*(1-tax)</f>
        <v>293.944144292997</v>
      </c>
      <c r="T123" s="5" t="s">
        <v>379</v>
      </c>
    </row>
    <row r="124" customFormat="false" ht="17.15" hidden="false" customHeight="false" outlineLevel="0" collapsed="false">
      <c r="A124" s="5" t="s">
        <v>380</v>
      </c>
      <c r="B124" s="0" t="s">
        <v>78</v>
      </c>
      <c r="C124" s="17" t="n">
        <f aca="false">C123/(sh0+dil)*1000</f>
        <v>507.343332753891</v>
      </c>
      <c r="D124" s="17" t="n">
        <f aca="false">D123/(sh0+dil)*1000</f>
        <v>765.051095461222</v>
      </c>
      <c r="E124" s="17" t="n">
        <f aca="false">E123/(sh0+dil)*1000</f>
        <v>974.428964629876</v>
      </c>
      <c r="F124" s="17" t="n">
        <f aca="false">F123/(sh0+dil)*1000</f>
        <v>1085.78702753775</v>
      </c>
      <c r="G124" s="17" t="n">
        <f aca="false">G123/(sh0+dil)*1000</f>
        <v>1185.26131525597</v>
      </c>
      <c r="H124" s="17" t="n">
        <f aca="false">H123/(sh0+dil)*1000</f>
        <v>1111.59408352835</v>
      </c>
      <c r="I124" s="17" t="n">
        <f aca="false">I123/(sh0+dil)*1000</f>
        <v>900.499308309161</v>
      </c>
      <c r="J124" s="17" t="n">
        <f aca="false">J123/(sh0+dil)*1000</f>
        <v>461.057116357544</v>
      </c>
      <c r="K124" s="17" t="n">
        <f aca="false">K123/(sh0+dil)*1000</f>
        <v>239.05942801865</v>
      </c>
      <c r="L124" s="17" t="n">
        <f aca="false">L123/(sh0+dil)*1000</f>
        <v>135.617021410997</v>
      </c>
      <c r="M124" s="17" t="n">
        <f aca="false">M123/(sh0+dil)*1000</f>
        <v>74.8576515459081</v>
      </c>
      <c r="N124" s="17" t="n">
        <f aca="false">N123/(sh0+dil)*1000</f>
        <v>84.8022820794979</v>
      </c>
      <c r="O124" s="17" t="n">
        <f aca="false">O123/(sh0+dil)*1000</f>
        <v>107.574462120412</v>
      </c>
      <c r="P124" s="17" t="n">
        <f aca="false">P123/(sh0+dil)*1000</f>
        <v>141.202293968714</v>
      </c>
      <c r="Q124" s="17" t="n">
        <f aca="false">Q123/(sh0+dil)*1000</f>
        <v>186.045295467652</v>
      </c>
      <c r="R124" s="17" t="n">
        <f aca="false">R123/(sh0+dil)*1000</f>
        <v>177.072668973046</v>
      </c>
    </row>
    <row r="126" customFormat="false" ht="17.15" hidden="false" customHeight="false" outlineLevel="0" collapsed="false">
      <c r="A126" s="12" t="s">
        <v>381</v>
      </c>
      <c r="B126" s="6" t="s">
        <v>15</v>
      </c>
      <c r="C126" s="12" t="s">
        <v>338</v>
      </c>
      <c r="D126" s="12" t="s">
        <v>339</v>
      </c>
      <c r="E126" s="12" t="s">
        <v>340</v>
      </c>
      <c r="F126" s="12" t="s">
        <v>341</v>
      </c>
      <c r="G126" s="12" t="s">
        <v>342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6" t="s">
        <v>343</v>
      </c>
    </row>
    <row r="127" customFormat="false" ht="17.15" hidden="false" customHeight="false" outlineLevel="0" collapsed="false">
      <c r="A127" s="5" t="s">
        <v>280</v>
      </c>
      <c r="B127" s="0" t="s">
        <v>25</v>
      </c>
      <c r="C127" s="13" t="n">
        <f aca="false">a25_rev</f>
        <v>2337.6</v>
      </c>
      <c r="D127" s="13" t="n">
        <f aca="false">SUM(C116:F116)</f>
        <v>10258.7931375115</v>
      </c>
      <c r="E127" s="13" t="n">
        <f aca="false">SUM(G116:J116)</f>
        <v>11123.4762852485</v>
      </c>
      <c r="F127" s="13" t="n">
        <f aca="false">SUM(K116:N116)</f>
        <v>3183.66573843113</v>
      </c>
      <c r="G127" s="13" t="n">
        <f aca="false">SUM(O116:R116)</f>
        <v>3427.28934706126</v>
      </c>
      <c r="T127" s="8" t="s">
        <v>382</v>
      </c>
    </row>
    <row r="128" customFormat="false" ht="15" hidden="false" customHeight="false" outlineLevel="0" collapsed="false">
      <c r="A128" s="5" t="s">
        <v>375</v>
      </c>
      <c r="B128" s="0" t="s">
        <v>25</v>
      </c>
      <c r="C128" s="13" t="n">
        <f aca="false">a25_rev-(p1_gp+p2_gp+p3_gp+p4_gp)</f>
        <v>1324.8</v>
      </c>
      <c r="D128" s="13" t="n">
        <f aca="false">SUM(C118:F118)</f>
        <v>1703.4855513622</v>
      </c>
      <c r="E128" s="13" t="n">
        <f aca="false">SUM(G118:J118)</f>
        <v>1854.26600586672</v>
      </c>
      <c r="F128" s="13" t="n">
        <f aca="false">SUM(K118:N118)</f>
        <v>1647.21408990388</v>
      </c>
      <c r="G128" s="13" t="n">
        <f aca="false">SUM(O118:R118)</f>
        <v>1682.37385482286</v>
      </c>
    </row>
    <row r="129" customFormat="false" ht="15" hidden="false" customHeight="false" outlineLevel="0" collapsed="false">
      <c r="A129" s="5" t="s">
        <v>286</v>
      </c>
      <c r="B129" s="0" t="s">
        <v>116</v>
      </c>
      <c r="C129" s="14" t="n">
        <f aca="false">1-C128/C127</f>
        <v>0.433264887063655</v>
      </c>
      <c r="D129" s="14" t="n">
        <f aca="false">1-D128/D127</f>
        <v>0.833948737582653</v>
      </c>
      <c r="E129" s="14" t="n">
        <f aca="false">1-E128/E127</f>
        <v>0.833301572429675</v>
      </c>
      <c r="F129" s="14" t="n">
        <f aca="false">1-F128/F127</f>
        <v>0.482604574337129</v>
      </c>
      <c r="G129" s="14" t="n">
        <f aca="false">1-G128/G127</f>
        <v>0.509124067314184</v>
      </c>
    </row>
    <row r="130" customFormat="false" ht="15" hidden="false" customHeight="false" outlineLevel="0" collapsed="false">
      <c r="A130" s="5" t="s">
        <v>377</v>
      </c>
      <c r="B130" s="0" t="s">
        <v>25</v>
      </c>
      <c r="D130" s="13" t="n">
        <f aca="false">SUM(C120:F120)</f>
        <v>336.678660342551</v>
      </c>
      <c r="E130" s="13" t="n">
        <f aca="false">SUM(G120:J120)</f>
        <v>316.578651604151</v>
      </c>
      <c r="F130" s="13" t="n">
        <f aca="false">SUM(K120:N120)</f>
        <v>257.714935011144</v>
      </c>
      <c r="G130" s="13" t="n">
        <f aca="false">SUM(O120:R120)</f>
        <v>282.738998860129</v>
      </c>
    </row>
    <row r="131" customFormat="false" ht="15" hidden="false" customHeight="false" outlineLevel="0" collapsed="false">
      <c r="A131" s="5" t="s">
        <v>284</v>
      </c>
      <c r="B131" s="0" t="s">
        <v>25</v>
      </c>
      <c r="C131" s="13" t="n">
        <f aca="false">p1_op+p2_op+p3_op+p4_op</f>
        <v>869</v>
      </c>
      <c r="D131" s="13" t="n">
        <f aca="false">SUM(C121:F121)</f>
        <v>8218.62892580671</v>
      </c>
      <c r="E131" s="13" t="n">
        <f aca="false">SUM(G121:J121)</f>
        <v>8952.63162777762</v>
      </c>
      <c r="F131" s="13" t="n">
        <f aca="false">SUM(K121:N121)</f>
        <v>1278.73671351611</v>
      </c>
      <c r="G131" s="13" t="n">
        <f aca="false">SUM(O121:R121)</f>
        <v>1462.17649337828</v>
      </c>
    </row>
    <row r="132" customFormat="false" ht="15" hidden="false" customHeight="false" outlineLevel="0" collapsed="false">
      <c r="A132" s="5" t="s">
        <v>287</v>
      </c>
      <c r="B132" s="0" t="s">
        <v>116</v>
      </c>
      <c r="C132" s="14" t="n">
        <f aca="false">C131/C127</f>
        <v>0.371748802190281</v>
      </c>
      <c r="D132" s="14" t="n">
        <f aca="false">D131/D127</f>
        <v>0.801130192961504</v>
      </c>
      <c r="E132" s="14" t="n">
        <f aca="false">E131/E127</f>
        <v>0.8048411663942</v>
      </c>
      <c r="F132" s="14" t="n">
        <f aca="false">F131/F127</f>
        <v>0.401655455872782</v>
      </c>
      <c r="G132" s="14" t="n">
        <f aca="false">G131/G127</f>
        <v>0.42662767724354</v>
      </c>
    </row>
    <row r="133" customFormat="false" ht="15" hidden="false" customHeight="false" outlineLevel="0" collapsed="false">
      <c r="A133" s="5" t="s">
        <v>285</v>
      </c>
      <c r="B133" s="0" t="s">
        <v>25</v>
      </c>
      <c r="C133" s="13" t="n">
        <f aca="false">a25_ni</f>
        <v>554.5</v>
      </c>
      <c r="D133" s="13" t="n">
        <f aca="false">SUM(C123:F123)</f>
        <v>5532.19942954856</v>
      </c>
      <c r="E133" s="13" t="n">
        <f aca="false">SUM(G123:J123)</f>
        <v>6073.03622378553</v>
      </c>
      <c r="F133" s="13" t="n">
        <f aca="false">SUM(K123:N123)</f>
        <v>887.008999145095</v>
      </c>
      <c r="G133" s="13" t="n">
        <f aca="false">SUM(O123:R123)</f>
        <v>1015.75737840671</v>
      </c>
    </row>
    <row r="134" customFormat="false" ht="15" hidden="false" customHeight="false" outlineLevel="0" collapsed="false">
      <c r="A134" s="5" t="s">
        <v>383</v>
      </c>
      <c r="B134" s="0" t="s">
        <v>25</v>
      </c>
      <c r="D134" s="13" t="n">
        <f aca="false">da_y</f>
        <v>320</v>
      </c>
      <c r="E134" s="13" t="n">
        <f aca="false">da_y</f>
        <v>320</v>
      </c>
      <c r="F134" s="13" t="n">
        <f aca="false">da_y</f>
        <v>320</v>
      </c>
      <c r="G134" s="13" t="n">
        <f aca="false">da_y</f>
        <v>320</v>
      </c>
    </row>
    <row r="135" customFormat="false" ht="15" hidden="false" customHeight="false" outlineLevel="0" collapsed="false">
      <c r="A135" s="5" t="s">
        <v>384</v>
      </c>
      <c r="B135" s="0" t="s">
        <v>25</v>
      </c>
      <c r="D135" s="13" t="n">
        <f aca="false">cap_2026</f>
        <v>450</v>
      </c>
      <c r="E135" s="13" t="n">
        <f aca="false">cap_2027</f>
        <v>470</v>
      </c>
      <c r="F135" s="13" t="n">
        <f aca="false">cap_2028</f>
        <v>470</v>
      </c>
      <c r="G135" s="13" t="n">
        <f aca="false">cap_2029</f>
        <v>470</v>
      </c>
    </row>
    <row r="136" customFormat="false" ht="15" hidden="false" customHeight="false" outlineLevel="0" collapsed="false">
      <c r="A136" s="5" t="s">
        <v>385</v>
      </c>
      <c r="B136" s="0" t="s">
        <v>25</v>
      </c>
      <c r="D136" s="13" t="n">
        <f aca="false">D133+D134-D135</f>
        <v>5402.19942954856</v>
      </c>
      <c r="E136" s="13" t="n">
        <f aca="false">E133+E134-E135</f>
        <v>5923.03622378553</v>
      </c>
      <c r="F136" s="13" t="n">
        <f aca="false">F133+F134-F135</f>
        <v>737.008999145095</v>
      </c>
      <c r="G136" s="13" t="n">
        <f aca="false">G133+G134-G135</f>
        <v>865.757378406715</v>
      </c>
    </row>
    <row r="137" customFormat="false" ht="17.15" hidden="false" customHeight="false" outlineLevel="0" collapsed="false">
      <c r="A137" s="5" t="s">
        <v>386</v>
      </c>
      <c r="B137" s="0" t="s">
        <v>25</v>
      </c>
      <c r="D137" s="13" t="n">
        <f aca="false">MAX(0,payout*(SUM(D123:F123)+0.75*(D134-D135)))</f>
        <v>918.499885909712</v>
      </c>
      <c r="E137" s="13" t="n">
        <f aca="false">MAX(0,payout*E136)</f>
        <v>1184.60724475711</v>
      </c>
      <c r="F137" s="13" t="n">
        <f aca="false">MAX(0,payout*F136)</f>
        <v>147.401799829019</v>
      </c>
      <c r="G137" s="13" t="n">
        <f aca="false">MAX(0,payout*G136)</f>
        <v>173.151475681343</v>
      </c>
      <c r="T137" s="8" t="s">
        <v>387</v>
      </c>
    </row>
    <row r="138" customFormat="false" ht="17.15" hidden="false" customHeight="false" outlineLevel="0" collapsed="false">
      <c r="A138" s="5" t="s">
        <v>388</v>
      </c>
      <c r="B138" s="0" t="s">
        <v>25</v>
      </c>
      <c r="C138" s="13" t="n">
        <f aca="false">eq25</f>
        <v>1399.1</v>
      </c>
      <c r="D138" s="13" t="n">
        <f aca="false">eq_j+SUM(D123:F123)-D137</f>
        <v>6175.79954363885</v>
      </c>
      <c r="E138" s="13" t="n">
        <f aca="false">D138+E133-E137</f>
        <v>11064.2285226673</v>
      </c>
      <c r="F138" s="13" t="n">
        <f aca="false">E138+F133-F137</f>
        <v>11803.8357219833</v>
      </c>
      <c r="G138" s="13" t="n">
        <f aca="false">F138+G133-G137</f>
        <v>12646.4416247087</v>
      </c>
      <c r="T138" s="8" t="s">
        <v>389</v>
      </c>
    </row>
    <row r="139" customFormat="false" ht="15" hidden="false" customHeight="false" outlineLevel="0" collapsed="false">
      <c r="A139" s="5" t="s">
        <v>390</v>
      </c>
      <c r="B139" s="0" t="s">
        <v>25</v>
      </c>
      <c r="D139" s="13" t="n">
        <f aca="false">nc_j+(SUM(D123:F123)+0.75*(D134-D135))-D137</f>
        <v>3830.39954363885</v>
      </c>
      <c r="E139" s="13" t="n">
        <f aca="false">D139+E136-E137</f>
        <v>8568.82852266727</v>
      </c>
      <c r="F139" s="13" t="n">
        <f aca="false">E139+F136-F137</f>
        <v>9158.43572198334</v>
      </c>
      <c r="G139" s="13" t="n">
        <f aca="false">F139+G136-G137</f>
        <v>9851.04162470871</v>
      </c>
    </row>
    <row r="140" customFormat="false" ht="15" hidden="false" customHeight="false" outlineLevel="0" collapsed="false">
      <c r="A140" s="5" t="s">
        <v>391</v>
      </c>
      <c r="B140" s="5" t="s">
        <v>159</v>
      </c>
      <c r="D140" s="13" t="n">
        <f aca="false">sh0-D137/bb_px*1000</f>
        <v>1572.03294685694</v>
      </c>
      <c r="E140" s="13" t="n">
        <f aca="false">D140-E137/bb_px*1000</f>
        <v>1479.15899587638</v>
      </c>
      <c r="F140" s="13" t="n">
        <f aca="false">E140-F137/bb_px*1000</f>
        <v>1467.60260231863</v>
      </c>
      <c r="G140" s="13" t="n">
        <f aca="false">F140-G137/bb_px*1000</f>
        <v>1454.02741802374</v>
      </c>
    </row>
    <row r="141" customFormat="false" ht="17.15" hidden="false" customHeight="false" outlineLevel="0" collapsed="false">
      <c r="A141" s="0" t="s">
        <v>392</v>
      </c>
      <c r="B141" s="0" t="s">
        <v>78</v>
      </c>
      <c r="C141" s="17" t="n">
        <f aca="false">a25_eps</f>
        <v>341.4</v>
      </c>
      <c r="D141" s="17" t="n">
        <f aca="false">D133/(D140+dil)*1000</f>
        <v>3483.73331585757</v>
      </c>
      <c r="E141" s="17" t="n">
        <f aca="false">E133/(E140+dil)*1000</f>
        <v>4061.86499921858</v>
      </c>
      <c r="F141" s="17" t="n">
        <f aca="false">F133/(F140+dil)*1000</f>
        <v>597.884763045129</v>
      </c>
      <c r="G141" s="17" t="n">
        <f aca="false">G133/(G140+dil)*1000</f>
        <v>690.989840192096</v>
      </c>
    </row>
    <row r="142" customFormat="false" ht="17.15" hidden="false" customHeight="false" outlineLevel="0" collapsed="false">
      <c r="A142" s="5" t="s">
        <v>393</v>
      </c>
      <c r="B142" s="0" t="s">
        <v>78</v>
      </c>
      <c r="D142" s="17" t="n">
        <f aca="false">D138/D140*1000</f>
        <v>3928.54332727981</v>
      </c>
      <c r="E142" s="17" t="n">
        <f aca="false">E138/E140*1000</f>
        <v>7480.0806089895</v>
      </c>
      <c r="F142" s="17" t="n">
        <f aca="false">F138/F140*1000</f>
        <v>8042.9373069622</v>
      </c>
      <c r="G142" s="17" t="n">
        <f aca="false">G138/G140*1000</f>
        <v>8697.52624190353</v>
      </c>
    </row>
    <row r="143" customFormat="false" ht="17.15" hidden="false" customHeight="false" outlineLevel="0" collapsed="false">
      <c r="A143" s="0" t="s">
        <v>394</v>
      </c>
      <c r="B143" s="0" t="s">
        <v>116</v>
      </c>
      <c r="D143" s="21" t="n">
        <f aca="false">D133/D138</f>
        <v>0.895786754485384</v>
      </c>
      <c r="E143" s="21" t="n">
        <f aca="false">E133/E138</f>
        <v>0.548889261582378</v>
      </c>
      <c r="F143" s="21" t="n">
        <f aca="false">F133/F138</f>
        <v>0.0751458271732077</v>
      </c>
      <c r="G143" s="21" t="n">
        <f aca="false">G133/G138</f>
        <v>0.0803196194273431</v>
      </c>
    </row>
    <row r="144" customFormat="false" ht="15" hidden="false" customHeight="false" outlineLevel="0" collapsed="false">
      <c r="A144" s="5" t="s">
        <v>395</v>
      </c>
      <c r="B144" s="0" t="s">
        <v>78</v>
      </c>
      <c r="E144" s="17" t="n">
        <f aca="false">E136/(E140+dil)*1000</f>
        <v>3961.53960555528</v>
      </c>
      <c r="F144" s="17" t="n">
        <f aca="false">F136/(F140+dil)*1000</f>
        <v>496.777880766363</v>
      </c>
      <c r="G144" s="17" t="n">
        <f aca="false">G136/(G140+dil)*1000</f>
        <v>588.949256257186</v>
      </c>
    </row>
    <row r="145" customFormat="false" ht="17.15" hidden="false" customHeight="false" outlineLevel="0" collapsed="false">
      <c r="A145" s="5" t="s">
        <v>396</v>
      </c>
      <c r="B145" s="0" t="s">
        <v>25</v>
      </c>
      <c r="D145" s="18" t="n">
        <f aca="false">ABS(C116-q1_rev)+ABS(D121-g2_op)+ABS(C127-2337.6)</f>
        <v>0</v>
      </c>
    </row>
    <row r="148" customFormat="false" ht="17.15" hidden="false" customHeight="false" outlineLevel="0" collapsed="false">
      <c r="A148" s="3" t="s">
        <v>399</v>
      </c>
    </row>
    <row r="149" customFormat="false" ht="17.15" hidden="false" customHeight="false" outlineLevel="0" collapsed="false">
      <c r="A149" s="5" t="s">
        <v>400</v>
      </c>
    </row>
    <row r="150" customFormat="false" ht="17.15" hidden="false" customHeight="false" outlineLevel="0" collapsed="false">
      <c r="A150" s="6" t="s">
        <v>401</v>
      </c>
      <c r="B150" s="6" t="s">
        <v>15</v>
      </c>
      <c r="C150" s="12" t="s">
        <v>339</v>
      </c>
      <c r="D150" s="12" t="s">
        <v>340</v>
      </c>
      <c r="E150" s="12" t="s">
        <v>341</v>
      </c>
      <c r="F150" s="12" t="s">
        <v>342</v>
      </c>
      <c r="G150" s="12" t="s">
        <v>402</v>
      </c>
      <c r="H150" s="12" t="s">
        <v>403</v>
      </c>
      <c r="I150" s="12" t="s">
        <v>404</v>
      </c>
      <c r="J150" s="6" t="s">
        <v>343</v>
      </c>
    </row>
    <row r="151" customFormat="false" ht="17.15" hidden="false" customHeight="false" outlineLevel="0" collapsed="false">
      <c r="A151" s="3" t="s">
        <v>344</v>
      </c>
    </row>
    <row r="152" customFormat="false" ht="17.15" hidden="false" customHeight="false" outlineLevel="0" collapsed="false">
      <c r="A152" s="5" t="s">
        <v>280</v>
      </c>
      <c r="B152" s="0" t="s">
        <v>25</v>
      </c>
      <c r="C152" s="17" t="n">
        <f aca="false">D5</f>
        <v>10271.3683896189</v>
      </c>
      <c r="D152" s="17" t="n">
        <f aca="false">E5</f>
        <v>13504.3460032093</v>
      </c>
      <c r="E152" s="17" t="n">
        <f aca="false">F5</f>
        <v>13616.6902545502</v>
      </c>
      <c r="F152" s="17" t="n">
        <f aca="false">G5</f>
        <v>14247.9939070242</v>
      </c>
      <c r="G152" s="22" t="n">
        <f aca="false">F152*(1+G153)</f>
        <v>14973.33542592</v>
      </c>
      <c r="H152" s="22" t="n">
        <f aca="false">G152*(1+H153)</f>
        <v>15803.669209404</v>
      </c>
      <c r="I152" s="22" t="n">
        <f aca="false">H152*(1+I153)</f>
        <v>16751.8893619682</v>
      </c>
      <c r="J152" s="8" t="s">
        <v>405</v>
      </c>
    </row>
    <row r="153" customFormat="false" ht="15" hidden="false" customHeight="false" outlineLevel="0" collapsed="false">
      <c r="A153" s="5" t="s">
        <v>406</v>
      </c>
      <c r="B153" s="0" t="s">
        <v>116</v>
      </c>
      <c r="C153" s="14" t="n">
        <f aca="false">C152/C5-1</f>
        <v>3.39398031725656</v>
      </c>
      <c r="D153" s="14" t="n">
        <f aca="false">D152/C152-1</f>
        <v>0.314756271117471</v>
      </c>
      <c r="E153" s="14" t="n">
        <f aca="false">E152/D152-1</f>
        <v>0.00831911825379694</v>
      </c>
      <c r="F153" s="14" t="n">
        <f aca="false">F152/E152-1</f>
        <v>0.0463624890243139</v>
      </c>
      <c r="G153" s="23" t="n">
        <f aca="false">$F153+(fade_gA-$F153)*1/3</f>
        <v>0.0509083260162093</v>
      </c>
      <c r="H153" s="23" t="n">
        <f aca="false">$F153+(fade_gA-$F153)*2/3</f>
        <v>0.0554541630081047</v>
      </c>
      <c r="I153" s="23" t="n">
        <f aca="false">$F153+(fade_gA-$F153)*3/3</f>
        <v>0.06</v>
      </c>
    </row>
    <row r="154" customFormat="false" ht="17.15" hidden="false" customHeight="false" outlineLevel="0" collapsed="false">
      <c r="A154" s="5" t="s">
        <v>407</v>
      </c>
      <c r="B154" s="0" t="s">
        <v>116</v>
      </c>
      <c r="C154" s="14" t="n">
        <f aca="false">C155/C152</f>
        <v>0.539744015746217</v>
      </c>
      <c r="D154" s="14" t="n">
        <f aca="false">D155/D152</f>
        <v>0.567469530308019</v>
      </c>
      <c r="E154" s="14" t="n">
        <f aca="false">E155/E152</f>
        <v>0.563739375216173</v>
      </c>
      <c r="F154" s="14" t="n">
        <f aca="false">F155/F152</f>
        <v>0.567253196421918</v>
      </c>
      <c r="G154" s="23" t="n">
        <f aca="false">$F154+(fade_mA-$F154)*1/3</f>
        <v>0.43682025208883</v>
      </c>
      <c r="H154" s="23" t="n">
        <f aca="false">$F154+(fade_mA-$F154)*2/3</f>
        <v>0.306387307755742</v>
      </c>
      <c r="I154" s="23" t="n">
        <f aca="false">$F154+(fade_mA-$F154)*3/3</f>
        <v>0.175954363422654</v>
      </c>
    </row>
    <row r="155" customFormat="false" ht="15" hidden="false" customHeight="false" outlineLevel="0" collapsed="false">
      <c r="A155" s="5" t="s">
        <v>408</v>
      </c>
      <c r="B155" s="0" t="s">
        <v>25</v>
      </c>
      <c r="C155" s="17" t="n">
        <f aca="false">D9</f>
        <v>5543.90962182168</v>
      </c>
      <c r="D155" s="17" t="n">
        <f aca="false">E9</f>
        <v>7663.30488355814</v>
      </c>
      <c r="E155" s="17" t="n">
        <f aca="false">F9</f>
        <v>7676.26445661226</v>
      </c>
      <c r="F155" s="17" t="n">
        <f aca="false">G9</f>
        <v>8082.2200863595</v>
      </c>
      <c r="G155" s="22" t="n">
        <f aca="false">G152*G154</f>
        <v>6540.65615536097</v>
      </c>
      <c r="H155" s="22" t="n">
        <f aca="false">H152*H154</f>
        <v>4842.0436617316</v>
      </c>
      <c r="I155" s="22" t="n">
        <f aca="false">I152*I154</f>
        <v>2947.56802881185</v>
      </c>
    </row>
    <row r="156" customFormat="false" ht="17.15" hidden="false" customHeight="false" outlineLevel="0" collapsed="false">
      <c r="A156" s="0" t="s">
        <v>409</v>
      </c>
      <c r="B156" s="0" t="s">
        <v>78</v>
      </c>
      <c r="C156" s="17" t="n">
        <f aca="false">D10</f>
        <v>3491.51116537153</v>
      </c>
      <c r="D156" s="17" t="n">
        <f aca="false">E10</f>
        <v>5213.07690974852</v>
      </c>
      <c r="E156" s="17" t="n">
        <f aca="false">F10</f>
        <v>5677.69811107696</v>
      </c>
      <c r="F156" s="17" t="n">
        <f aca="false">G10</f>
        <v>6583.62442321542</v>
      </c>
      <c r="G156" s="22" t="n">
        <f aca="false">$F156*G155/$F155</f>
        <v>5327.89544805442</v>
      </c>
      <c r="H156" s="22" t="n">
        <f aca="false">$F156*H155/$F155</f>
        <v>3944.23766849073</v>
      </c>
      <c r="I156" s="22" t="n">
        <f aca="false">$F156*I155/$F155</f>
        <v>2401.03346063613</v>
      </c>
    </row>
    <row r="158" customFormat="false" ht="17.15" hidden="false" customHeight="false" outlineLevel="0" collapsed="false">
      <c r="A158" s="3" t="s">
        <v>348</v>
      </c>
    </row>
    <row r="159" customFormat="false" ht="17.15" hidden="false" customHeight="false" outlineLevel="0" collapsed="false">
      <c r="A159" s="5" t="s">
        <v>280</v>
      </c>
      <c r="B159" s="0" t="s">
        <v>25</v>
      </c>
      <c r="C159" s="17" t="n">
        <f aca="false">D15</f>
        <v>10296.2003061433</v>
      </c>
      <c r="D159" s="17" t="n">
        <f aca="false">E15</f>
        <v>11553.0934727631</v>
      </c>
      <c r="E159" s="17" t="n">
        <f aca="false">F15</f>
        <v>5230.9635762312</v>
      </c>
      <c r="F159" s="17" t="n">
        <f aca="false">G15</f>
        <v>6218.75836791855</v>
      </c>
      <c r="G159" s="22" t="n">
        <f aca="false">F159*(1+G160)</f>
        <v>7084.55922185682</v>
      </c>
      <c r="H159" s="22" t="n">
        <f aca="false">G159*(1+H160)</f>
        <v>7719.42099286177</v>
      </c>
      <c r="I159" s="22" t="n">
        <f aca="false">H159*(1+I160)</f>
        <v>8028.19783257624</v>
      </c>
      <c r="J159" s="8" t="s">
        <v>405</v>
      </c>
    </row>
    <row r="160" customFormat="false" ht="15" hidden="false" customHeight="false" outlineLevel="0" collapsed="false">
      <c r="A160" s="5" t="s">
        <v>406</v>
      </c>
      <c r="B160" s="0" t="s">
        <v>116</v>
      </c>
      <c r="C160" s="14" t="n">
        <f aca="false">C159/C15-1</f>
        <v>3.40460314260067</v>
      </c>
      <c r="D160" s="14" t="n">
        <f aca="false">D159/C159-1</f>
        <v>0.122073495974027</v>
      </c>
      <c r="E160" s="14" t="n">
        <f aca="false">E159/D159-1</f>
        <v>-0.547223989093188</v>
      </c>
      <c r="F160" s="14" t="n">
        <f aca="false">F159/E159-1</f>
        <v>0.188836105870774</v>
      </c>
      <c r="G160" s="23" t="n">
        <f aca="false">$F160+(fade_gB-$F160)*1/3</f>
        <v>0.139224070580516</v>
      </c>
      <c r="H160" s="23" t="n">
        <f aca="false">$F160+(fade_gB-$F160)*2/3</f>
        <v>0.0896120352902579</v>
      </c>
      <c r="I160" s="23" t="n">
        <f aca="false">$F160+(fade_gB-$F160)*3/3</f>
        <v>0.04</v>
      </c>
    </row>
    <row r="161" customFormat="false" ht="17.15" hidden="false" customHeight="false" outlineLevel="0" collapsed="false">
      <c r="A161" s="5" t="s">
        <v>407</v>
      </c>
      <c r="B161" s="0" t="s">
        <v>116</v>
      </c>
      <c r="C161" s="14" t="n">
        <f aca="false">C162/C159</f>
        <v>0.539901125084014</v>
      </c>
      <c r="D161" s="14" t="n">
        <f aca="false">D162/D159</f>
        <v>0.549768142238695</v>
      </c>
      <c r="E161" s="14" t="n">
        <f aca="false">E162/E159</f>
        <v>0.404281437868551</v>
      </c>
      <c r="F161" s="14" t="n">
        <f aca="false">F162/F159</f>
        <v>0.437415613863517</v>
      </c>
      <c r="G161" s="23" t="n">
        <f aca="false">$F161+(fade_mB-$F161)*1/3</f>
        <v>0.340486621304193</v>
      </c>
      <c r="H161" s="23" t="n">
        <f aca="false">$F161+(fade_mB-$F161)*2/3</f>
        <v>0.243557628744869</v>
      </c>
      <c r="I161" s="23" t="n">
        <f aca="false">$F161+(fade_mB-$F161)*3/3</f>
        <v>0.146628636185545</v>
      </c>
    </row>
    <row r="162" customFormat="false" ht="15" hidden="false" customHeight="false" outlineLevel="0" collapsed="false">
      <c r="A162" s="5" t="s">
        <v>408</v>
      </c>
      <c r="B162" s="0" t="s">
        <v>25</v>
      </c>
      <c r="C162" s="17" t="n">
        <f aca="false">D19</f>
        <v>5558.93012937714</v>
      </c>
      <c r="D162" s="17" t="n">
        <f aca="false">E19</f>
        <v>6351.52273563095</v>
      </c>
      <c r="E162" s="17" t="n">
        <f aca="false">F19</f>
        <v>2114.78147603677</v>
      </c>
      <c r="F162" s="17" t="n">
        <f aca="false">G19</f>
        <v>2720.18200897198</v>
      </c>
      <c r="G162" s="22" t="n">
        <f aca="false">G159*G161</f>
        <v>2412.19763287949</v>
      </c>
      <c r="H162" s="22" t="n">
        <f aca="false">H159*H161</f>
        <v>1880.12387230478</v>
      </c>
      <c r="I162" s="22" t="n">
        <f aca="false">I159*I161</f>
        <v>1177.1636992184</v>
      </c>
    </row>
    <row r="163" customFormat="false" ht="17.15" hidden="false" customHeight="false" outlineLevel="0" collapsed="false">
      <c r="A163" s="0" t="s">
        <v>409</v>
      </c>
      <c r="B163" s="0" t="s">
        <v>78</v>
      </c>
      <c r="C163" s="17" t="n">
        <f aca="false">D20</f>
        <v>3501.49034319466</v>
      </c>
      <c r="D163" s="17" t="n">
        <f aca="false">E20</f>
        <v>4261.76847716666</v>
      </c>
      <c r="E163" s="17" t="n">
        <f aca="false">F20</f>
        <v>1448.93592362162</v>
      </c>
      <c r="F163" s="17" t="n">
        <f aca="false">G20</f>
        <v>1916.64655894688</v>
      </c>
      <c r="G163" s="22" t="n">
        <f aca="false">$F163*G162/$F162</f>
        <v>1699.64005250721</v>
      </c>
      <c r="H163" s="22" t="n">
        <f aca="false">$F163*H162/$F162</f>
        <v>1324.73964549479</v>
      </c>
      <c r="I163" s="22" t="n">
        <f aca="false">$F163*I162/$F162</f>
        <v>829.43227548101</v>
      </c>
    </row>
    <row r="165" customFormat="false" ht="17.15" hidden="false" customHeight="false" outlineLevel="0" collapsed="false">
      <c r="A165" s="3" t="s">
        <v>349</v>
      </c>
    </row>
    <row r="166" customFormat="false" ht="17.15" hidden="false" customHeight="false" outlineLevel="0" collapsed="false">
      <c r="A166" s="5" t="s">
        <v>280</v>
      </c>
      <c r="B166" s="0" t="s">
        <v>25</v>
      </c>
      <c r="C166" s="17" t="n">
        <f aca="false">D25</f>
        <v>10258.7931375115</v>
      </c>
      <c r="D166" s="17" t="n">
        <f aca="false">E25</f>
        <v>11123.4762852485</v>
      </c>
      <c r="E166" s="17" t="n">
        <f aca="false">F25</f>
        <v>3183.66573843113</v>
      </c>
      <c r="F166" s="17" t="n">
        <f aca="false">G25</f>
        <v>3427.28934706126</v>
      </c>
      <c r="G166" s="22" t="n">
        <f aca="false">F166*(1+G167)</f>
        <v>3624.98221911828</v>
      </c>
      <c r="H166" s="22" t="n">
        <f aca="false">G166*(1+H167)</f>
        <v>3765.78013653632</v>
      </c>
      <c r="I166" s="22" t="n">
        <f aca="false">H166*(1+I167)</f>
        <v>3841.09573926704</v>
      </c>
      <c r="J166" s="8" t="s">
        <v>405</v>
      </c>
    </row>
    <row r="167" customFormat="false" ht="15" hidden="false" customHeight="false" outlineLevel="0" collapsed="false">
      <c r="A167" s="5" t="s">
        <v>406</v>
      </c>
      <c r="B167" s="0" t="s">
        <v>116</v>
      </c>
      <c r="C167" s="14" t="n">
        <f aca="false">C166/C25-1</f>
        <v>3.38860076040018</v>
      </c>
      <c r="D167" s="14" t="n">
        <f aca="false">D166/C166-1</f>
        <v>0.0842870244234979</v>
      </c>
      <c r="E167" s="14" t="n">
        <f aca="false">E166/D166-1</f>
        <v>-0.713788598385095</v>
      </c>
      <c r="F167" s="14" t="n">
        <f aca="false">F166/E166-1</f>
        <v>0.0765229859684271</v>
      </c>
      <c r="G167" s="23" t="n">
        <f aca="false">$F167+(fade_gC-$F167)*1/3</f>
        <v>0.0576819906456181</v>
      </c>
      <c r="H167" s="23" t="n">
        <f aca="false">$F167+(fade_gC-$F167)*2/3</f>
        <v>0.038840995322809</v>
      </c>
      <c r="I167" s="23" t="n">
        <f aca="false">$F167+(fade_gC-$F167)*3/3</f>
        <v>0.02</v>
      </c>
    </row>
    <row r="168" customFormat="false" ht="17.15" hidden="false" customHeight="false" outlineLevel="0" collapsed="false">
      <c r="A168" s="5" t="s">
        <v>407</v>
      </c>
      <c r="B168" s="0" t="s">
        <v>116</v>
      </c>
      <c r="C168" s="14" t="n">
        <f aca="false">C169/C166</f>
        <v>0.53926415665016</v>
      </c>
      <c r="D168" s="14" t="n">
        <f aca="false">D169/D166</f>
        <v>0.545965673684165</v>
      </c>
      <c r="E168" s="14" t="n">
        <f aca="false">E169/E166</f>
        <v>0.278612477571908</v>
      </c>
      <c r="F168" s="14" t="n">
        <f aca="false">F169/F166</f>
        <v>0.296373394699715</v>
      </c>
      <c r="G168" s="23" t="n">
        <f aca="false">$F168+(fade_mC-$F168)*1/3</f>
        <v>0.236683232782622</v>
      </c>
      <c r="H168" s="23" t="n">
        <f aca="false">$F168+(fade_mC-$F168)*2/3</f>
        <v>0.176993070865529</v>
      </c>
      <c r="I168" s="23" t="n">
        <f aca="false">$F168+(fade_mC-$F168)*3/3</f>
        <v>0.117302908948436</v>
      </c>
    </row>
    <row r="169" customFormat="false" ht="15" hidden="false" customHeight="false" outlineLevel="0" collapsed="false">
      <c r="A169" s="5" t="s">
        <v>408</v>
      </c>
      <c r="B169" s="0" t="s">
        <v>25</v>
      </c>
      <c r="C169" s="17" t="n">
        <f aca="false">D29</f>
        <v>5532.19942954856</v>
      </c>
      <c r="D169" s="17" t="n">
        <f aca="false">E29</f>
        <v>6073.03622378553</v>
      </c>
      <c r="E169" s="17" t="n">
        <f aca="false">F29</f>
        <v>887.008999145095</v>
      </c>
      <c r="F169" s="17" t="n">
        <f aca="false">G29</f>
        <v>1015.75737840671</v>
      </c>
      <c r="G169" s="22" t="n">
        <f aca="false">G166*G168</f>
        <v>857.972510400436</v>
      </c>
      <c r="H169" s="22" t="n">
        <f aca="false">H166*H168</f>
        <v>666.516990569973</v>
      </c>
      <c r="I169" s="22" t="n">
        <f aca="false">I166*I168</f>
        <v>450.571703765467</v>
      </c>
    </row>
    <row r="170" customFormat="false" ht="17.15" hidden="false" customHeight="false" outlineLevel="0" collapsed="false">
      <c r="A170" s="0" t="s">
        <v>409</v>
      </c>
      <c r="B170" s="0" t="s">
        <v>78</v>
      </c>
      <c r="C170" s="17" t="n">
        <f aca="false">D30</f>
        <v>3483.73331585757</v>
      </c>
      <c r="D170" s="17" t="n">
        <f aca="false">E30</f>
        <v>4061.86499921858</v>
      </c>
      <c r="E170" s="17" t="n">
        <f aca="false">F30</f>
        <v>597.884763045129</v>
      </c>
      <c r="F170" s="17" t="n">
        <f aca="false">G30</f>
        <v>690.989840192096</v>
      </c>
      <c r="G170" s="22" t="n">
        <f aca="false">$F170*G169/$F169</f>
        <v>583.653439742407</v>
      </c>
      <c r="H170" s="22" t="n">
        <f aca="false">$F170*H169/$F169</f>
        <v>453.411886135326</v>
      </c>
      <c r="I170" s="22" t="n">
        <f aca="false">$F170*I169/$F169</f>
        <v>306.51066504517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410</v>
      </c>
    </row>
    <row r="2" customFormat="false" ht="17.15" hidden="false" customHeight="false" outlineLevel="0" collapsed="false">
      <c r="A2" s="0" t="s">
        <v>411</v>
      </c>
    </row>
    <row r="4" customFormat="false" ht="17.15" hidden="false" customHeight="false" outlineLevel="0" collapsed="false">
      <c r="A4" s="1" t="s">
        <v>412</v>
      </c>
    </row>
    <row r="5" customFormat="false" ht="17.15" hidden="false" customHeight="false" outlineLevel="0" collapsed="false">
      <c r="A5" s="1" t="s">
        <v>413</v>
      </c>
    </row>
    <row r="6" customFormat="false" ht="17.15" hidden="false" customHeight="false" outlineLevel="0" collapsed="false">
      <c r="A6" s="6" t="s">
        <v>14</v>
      </c>
      <c r="B6" s="12" t="s">
        <v>414</v>
      </c>
      <c r="C6" s="12" t="s">
        <v>415</v>
      </c>
      <c r="D6" s="12" t="s">
        <v>416</v>
      </c>
      <c r="E6" s="6" t="s">
        <v>343</v>
      </c>
    </row>
    <row r="7" customFormat="false" ht="17.15" hidden="false" customHeight="false" outlineLevel="0" collapsed="false">
      <c r="A7" s="5" t="s">
        <v>417</v>
      </c>
      <c r="E7" s="0" t="s">
        <v>418</v>
      </c>
    </row>
    <row r="8" customFormat="false" ht="15" hidden="false" customHeight="false" outlineLevel="0" collapsed="false">
      <c r="A8" s="0" t="s">
        <v>419</v>
      </c>
      <c r="B8" s="17" t="n">
        <f aca="false">PL!D156</f>
        <v>5213.07690974852</v>
      </c>
      <c r="C8" s="17" t="n">
        <f aca="false">PL!D163</f>
        <v>4261.76847716666</v>
      </c>
      <c r="D8" s="17" t="n">
        <f aca="false">PL!D170</f>
        <v>4061.86499921858</v>
      </c>
    </row>
    <row r="9" customFormat="false" ht="15" hidden="false" customHeight="false" outlineLevel="0" collapsed="false">
      <c r="A9" s="0" t="s">
        <v>420</v>
      </c>
      <c r="B9" s="17" t="n">
        <f aca="false">PL!E156</f>
        <v>5677.69811107696</v>
      </c>
      <c r="C9" s="17" t="n">
        <f aca="false">PL!E163</f>
        <v>1448.93592362162</v>
      </c>
      <c r="D9" s="17" t="n">
        <f aca="false">PL!E170</f>
        <v>597.884763045129</v>
      </c>
    </row>
    <row r="10" customFormat="false" ht="15" hidden="false" customHeight="false" outlineLevel="0" collapsed="false">
      <c r="A10" s="0" t="s">
        <v>421</v>
      </c>
      <c r="B10" s="17" t="n">
        <f aca="false">PL!F156</f>
        <v>6583.62442321542</v>
      </c>
      <c r="C10" s="17" t="n">
        <f aca="false">PL!F163</f>
        <v>1916.64655894688</v>
      </c>
      <c r="D10" s="17" t="n">
        <f aca="false">PL!F170</f>
        <v>690.989840192096</v>
      </c>
    </row>
    <row r="11" customFormat="false" ht="15" hidden="false" customHeight="false" outlineLevel="0" collapsed="false">
      <c r="A11" s="0" t="s">
        <v>422</v>
      </c>
      <c r="B11" s="17" t="n">
        <f aca="false">PL!G156</f>
        <v>5327.89544805442</v>
      </c>
      <c r="C11" s="17" t="n">
        <f aca="false">PL!G163</f>
        <v>1699.64005250721</v>
      </c>
      <c r="D11" s="17" t="n">
        <f aca="false">PL!G170</f>
        <v>583.653439742407</v>
      </c>
    </row>
    <row r="12" customFormat="false" ht="15" hidden="false" customHeight="false" outlineLevel="0" collapsed="false">
      <c r="A12" s="0" t="s">
        <v>423</v>
      </c>
      <c r="B12" s="17" t="n">
        <f aca="false">PL!H156</f>
        <v>3944.23766849073</v>
      </c>
      <c r="C12" s="17" t="n">
        <f aca="false">PL!H163</f>
        <v>1324.73964549479</v>
      </c>
      <c r="D12" s="17" t="n">
        <f aca="false">PL!H170</f>
        <v>453.411886135326</v>
      </c>
    </row>
    <row r="13" customFormat="false" ht="15" hidden="false" customHeight="false" outlineLevel="0" collapsed="false">
      <c r="A13" s="0" t="s">
        <v>424</v>
      </c>
      <c r="B13" s="17" t="n">
        <f aca="false">PL!I156</f>
        <v>2401.03346063613</v>
      </c>
      <c r="C13" s="17" t="n">
        <f aca="false">PL!I163</f>
        <v>829.43227548101</v>
      </c>
      <c r="D13" s="17" t="n">
        <f aca="false">PL!I170</f>
        <v>306.51066504517</v>
      </c>
    </row>
    <row r="14" customFormat="false" ht="17.15" hidden="false" customHeight="false" outlineLevel="0" collapsed="false">
      <c r="A14" s="5" t="s">
        <v>425</v>
      </c>
      <c r="E14" s="5" t="s">
        <v>426</v>
      </c>
    </row>
    <row r="15" customFormat="false" ht="17.15" hidden="false" customHeight="false" outlineLevel="0" collapsed="false">
      <c r="A15" s="5" t="s">
        <v>427</v>
      </c>
      <c r="B15" s="14" t="n">
        <f aca="false">MIN(tp_g/tp_roe,0.8)</f>
        <v>0.104473160385286</v>
      </c>
      <c r="E15" s="8" t="s">
        <v>428</v>
      </c>
    </row>
    <row r="16" customFormat="false" ht="17.15" hidden="false" customHeight="false" outlineLevel="0" collapsed="false">
      <c r="A16" s="0" t="s">
        <v>429</v>
      </c>
      <c r="B16" s="17" t="n">
        <f aca="false">PL!E72</f>
        <v>5111.03718297998</v>
      </c>
      <c r="C16" s="17" t="n">
        <f aca="false">PL!E108</f>
        <v>4161.12091623</v>
      </c>
      <c r="D16" s="17" t="n">
        <f aca="false">PL!E144</f>
        <v>3961.53960555528</v>
      </c>
    </row>
    <row r="17" customFormat="false" ht="17.15" hidden="false" customHeight="false" outlineLevel="0" collapsed="false">
      <c r="A17" s="0" t="s">
        <v>430</v>
      </c>
      <c r="B17" s="17" t="n">
        <f aca="false">PL!F72</f>
        <v>5566.75160558913</v>
      </c>
      <c r="C17" s="17" t="n">
        <f aca="false">PL!F108</f>
        <v>1346.16389208739</v>
      </c>
      <c r="D17" s="17" t="n">
        <f aca="false">PL!F144</f>
        <v>496.777880766363</v>
      </c>
    </row>
    <row r="18" customFormat="false" ht="17.15" hidden="false" customHeight="false" outlineLevel="0" collapsed="false">
      <c r="A18" s="0" t="s">
        <v>431</v>
      </c>
      <c r="B18" s="17" t="n">
        <f aca="false">PL!G72</f>
        <v>6461.43724531996</v>
      </c>
      <c r="C18" s="17" t="n">
        <f aca="false">PL!G108</f>
        <v>1810.95621069306</v>
      </c>
      <c r="D18" s="17" t="n">
        <f aca="false">PL!G144</f>
        <v>588.949256257186</v>
      </c>
    </row>
    <row r="19" customFormat="false" ht="17.15" hidden="false" customHeight="false" outlineLevel="0" collapsed="false">
      <c r="A19" s="0" t="s">
        <v>432</v>
      </c>
      <c r="B19" s="17" t="n">
        <f aca="false">B11*(1-$B$15)</f>
        <v>4771.27337239379</v>
      </c>
      <c r="C19" s="17" t="n">
        <f aca="false">C11*(1-$B$15)</f>
        <v>1522.07328470437</v>
      </c>
      <c r="D19" s="17" t="n">
        <f aca="false">D11*(1-$B$15)</f>
        <v>522.677320322774</v>
      </c>
    </row>
    <row r="20" customFormat="false" ht="17.15" hidden="false" customHeight="false" outlineLevel="0" collapsed="false">
      <c r="A20" s="0" t="s">
        <v>433</v>
      </c>
      <c r="B20" s="17" t="n">
        <f aca="false">B12*(1-$B$15)</f>
        <v>3532.17069395281</v>
      </c>
      <c r="C20" s="17" t="n">
        <f aca="false">C12*(1-$B$15)</f>
        <v>1186.33990804226</v>
      </c>
      <c r="D20" s="17" t="n">
        <f aca="false">D12*(1-$B$15)</f>
        <v>406.042513434515</v>
      </c>
    </row>
    <row r="21" customFormat="false" ht="17.15" hidden="false" customHeight="false" outlineLevel="0" collapsed="false">
      <c r="A21" s="0" t="s">
        <v>434</v>
      </c>
      <c r="B21" s="17" t="n">
        <f aca="false">B13*(1-$B$15)</f>
        <v>2150.18990681265</v>
      </c>
      <c r="C21" s="17" t="n">
        <f aca="false">C13*(1-$B$15)</f>
        <v>742.77886433595</v>
      </c>
      <c r="D21" s="17" t="n">
        <f aca="false">D13*(1-$B$15)</f>
        <v>274.488527176105</v>
      </c>
    </row>
    <row r="22" customFormat="false" ht="17.15" hidden="false" customHeight="false" outlineLevel="0" collapsed="false">
      <c r="A22" s="0" t="s">
        <v>435</v>
      </c>
      <c r="B22" s="17" t="n">
        <f aca="false">MAX(0,SUMPRODUCT(B16:B21,1/(1+tp_r)^{1;2;3;4;5;6})+B21*(1+tp_g)/(tp_r-tp_g)/(1+tp_r)^6)</f>
        <v>41805.2820807948</v>
      </c>
      <c r="C22" s="17" t="n">
        <f aca="false">MAX(0,SUMPRODUCT(C16:C21,1/(1+tp_r)^{1;2;3;4;5;6})+C21*(1+tp_g)/(tp_r-tp_g)/(1+tp_r)^6)</f>
        <v>15718.9750755406</v>
      </c>
      <c r="D22" s="17" t="n">
        <f aca="false">MAX(0,SUMPRODUCT(D16:D21,1/(1+tp_r)^{1;2;3;4;5;6})+D21*(1+tp_g)/(tp_r-tp_g)/(1+tp_r)^6)</f>
        <v>7904.15858822528</v>
      </c>
      <c r="E22" s="8" t="s">
        <v>436</v>
      </c>
    </row>
    <row r="23" customFormat="false" ht="17.15" hidden="false" customHeight="false" outlineLevel="0" collapsed="false">
      <c r="A23" s="0" t="s">
        <v>437</v>
      </c>
      <c r="B23" s="17" t="n">
        <f aca="false">B22*(1+tp_r)</f>
        <v>45985.8102888743</v>
      </c>
      <c r="C23" s="17" t="n">
        <f aca="false">C22*(1+tp_r)</f>
        <v>17290.8725830946</v>
      </c>
      <c r="D23" s="17" t="n">
        <f aca="false">D22*(1+tp_r)</f>
        <v>8694.57444704781</v>
      </c>
    </row>
    <row r="24" customFormat="false" ht="17.15" hidden="false" customHeight="false" outlineLevel="0" collapsed="false">
      <c r="A24" s="0" t="s">
        <v>438</v>
      </c>
      <c r="B24" s="24" t="n">
        <f aca="false">tp_wA*B23+tp_wB*C23+tp_wC*D23</f>
        <v>24180.0942676192</v>
      </c>
      <c r="E24" s="8" t="s">
        <v>439</v>
      </c>
    </row>
    <row r="26" customFormat="false" ht="17.15" hidden="false" customHeight="false" outlineLevel="0" collapsed="false">
      <c r="A26" s="1" t="s">
        <v>440</v>
      </c>
    </row>
    <row r="27" customFormat="false" ht="17.15" hidden="false" customHeight="false" outlineLevel="0" collapsed="false">
      <c r="A27" s="6" t="s">
        <v>441</v>
      </c>
      <c r="B27" s="6" t="s">
        <v>442</v>
      </c>
      <c r="C27" s="6" t="s">
        <v>443</v>
      </c>
      <c r="D27" s="6" t="s">
        <v>444</v>
      </c>
      <c r="E27" s="6" t="s">
        <v>279</v>
      </c>
      <c r="F27" s="6" t="s">
        <v>19</v>
      </c>
    </row>
    <row r="28" customFormat="false" ht="17.15" hidden="false" customHeight="false" outlineLevel="0" collapsed="false">
      <c r="A28" s="5" t="s">
        <v>445</v>
      </c>
      <c r="B28" s="0" t="s">
        <v>446</v>
      </c>
      <c r="C28" s="25" t="n">
        <v>3.35</v>
      </c>
      <c r="D28" s="8" t="s">
        <v>447</v>
      </c>
      <c r="E28" s="8" t="s">
        <v>448</v>
      </c>
      <c r="F28" s="8" t="s">
        <v>31</v>
      </c>
    </row>
    <row r="29" customFormat="false" ht="17.15" hidden="false" customHeight="false" outlineLevel="0" collapsed="false">
      <c r="A29" s="0" t="s">
        <v>449</v>
      </c>
      <c r="B29" s="0" t="s">
        <v>450</v>
      </c>
      <c r="C29" s="25" t="n">
        <v>1.35</v>
      </c>
      <c r="D29" s="8" t="s">
        <v>447</v>
      </c>
      <c r="E29" s="8" t="s">
        <v>451</v>
      </c>
      <c r="F29" s="8" t="s">
        <v>31</v>
      </c>
    </row>
    <row r="30" customFormat="false" ht="17.15" hidden="false" customHeight="false" outlineLevel="0" collapsed="false">
      <c r="A30" s="5" t="s">
        <v>452</v>
      </c>
      <c r="B30" s="0" t="s">
        <v>453</v>
      </c>
      <c r="C30" s="25" t="n">
        <v>1.26</v>
      </c>
      <c r="D30" s="8" t="s">
        <v>447</v>
      </c>
      <c r="E30" s="8" t="s">
        <v>454</v>
      </c>
      <c r="F30" s="8" t="s">
        <v>31</v>
      </c>
    </row>
    <row r="31" customFormat="false" ht="17.15" hidden="false" customHeight="false" outlineLevel="0" collapsed="false">
      <c r="A31" s="0" t="s">
        <v>455</v>
      </c>
      <c r="B31" s="0" t="s">
        <v>456</v>
      </c>
      <c r="C31" s="20" t="n">
        <f aca="false">1238.03/((313.8+553.1)/2)</f>
        <v>2.85622332448956</v>
      </c>
      <c r="D31" s="8" t="s">
        <v>447</v>
      </c>
      <c r="E31" s="5" t="s">
        <v>457</v>
      </c>
      <c r="F31" s="8" t="s">
        <v>31</v>
      </c>
    </row>
    <row r="32" customFormat="false" ht="17.15" hidden="false" customHeight="false" outlineLevel="0" collapsed="false">
      <c r="A32" s="5" t="s">
        <v>458</v>
      </c>
      <c r="B32" s="20" t="n">
        <f aca="false">MEDIAN(C28:C31)</f>
        <v>2.10311166224478</v>
      </c>
      <c r="E32" s="5" t="s">
        <v>459</v>
      </c>
    </row>
    <row r="33" customFormat="false" ht="17.15" hidden="false" customHeight="false" outlineLevel="0" collapsed="false">
      <c r="A33" s="0" t="s">
        <v>460</v>
      </c>
      <c r="B33" s="17" t="n">
        <f aca="false">tp_wA*(0.25*PL!E70+0.75*PL!F70)+tp_wB*(0.25*PL!E106+0.75*PL!F106)+tp_wC*(0.25*PL!E142+0.75*PL!F142)</f>
        <v>9679.31559629267</v>
      </c>
      <c r="E33" s="5" t="s">
        <v>461</v>
      </c>
    </row>
    <row r="34" customFormat="false" ht="17.15" hidden="false" customHeight="false" outlineLevel="0" collapsed="false">
      <c r="A34" s="0" t="s">
        <v>462</v>
      </c>
      <c r="B34" s="24" t="n">
        <f aca="false">B32*B33</f>
        <v>20356.6815131109</v>
      </c>
      <c r="E34" s="5" t="s">
        <v>463</v>
      </c>
    </row>
    <row r="35" customFormat="false" ht="17.15" hidden="false" customHeight="false" outlineLevel="0" collapsed="false">
      <c r="A35" s="0" t="s">
        <v>464</v>
      </c>
      <c r="B35" s="17" t="n">
        <f aca="false">tp_wA*(5/12*B8+7/12*B9)+tp_wB*(5/12*C8+7/12*C9)+tp_wC*(5/12*D8+7/12*D9)</f>
        <v>3363.94849924654</v>
      </c>
      <c r="E35" s="5" t="s">
        <v>465</v>
      </c>
    </row>
    <row r="37" customFormat="false" ht="17.15" hidden="false" customHeight="false" outlineLevel="0" collapsed="false">
      <c r="A37" s="3" t="s">
        <v>466</v>
      </c>
    </row>
    <row r="38" customFormat="false" ht="17.15" hidden="false" customHeight="false" outlineLevel="0" collapsed="false">
      <c r="A38" s="6" t="s">
        <v>467</v>
      </c>
      <c r="B38" s="6" t="s">
        <v>442</v>
      </c>
      <c r="C38" s="6" t="s">
        <v>468</v>
      </c>
      <c r="D38" s="6" t="s">
        <v>444</v>
      </c>
      <c r="E38" s="6" t="s">
        <v>279</v>
      </c>
      <c r="F38" s="6" t="s">
        <v>19</v>
      </c>
    </row>
    <row r="39" customFormat="false" ht="17.15" hidden="false" customHeight="false" outlineLevel="0" collapsed="false">
      <c r="A39" s="5" t="s">
        <v>445</v>
      </c>
      <c r="B39" s="0" t="s">
        <v>446</v>
      </c>
      <c r="C39" s="20" t="n">
        <f aca="false">877.55/173</f>
        <v>5.07254335260116</v>
      </c>
      <c r="D39" s="8" t="s">
        <v>447</v>
      </c>
      <c r="E39" s="5" t="s">
        <v>469</v>
      </c>
      <c r="F39" s="8" t="s">
        <v>31</v>
      </c>
    </row>
    <row r="40" customFormat="false" ht="17.15" hidden="false" customHeight="false" outlineLevel="0" collapsed="false">
      <c r="A40" s="0" t="s">
        <v>449</v>
      </c>
      <c r="B40" s="0" t="s">
        <v>450</v>
      </c>
      <c r="C40" s="20" t="n">
        <f aca="false">1277000/475721</f>
        <v>2.6843464972116</v>
      </c>
      <c r="D40" s="8" t="s">
        <v>447</v>
      </c>
      <c r="E40" s="5" t="s">
        <v>470</v>
      </c>
      <c r="F40" s="8" t="s">
        <v>31</v>
      </c>
    </row>
    <row r="41" customFormat="false" ht="17.15" hidden="false" customHeight="false" outlineLevel="0" collapsed="false">
      <c r="A41" s="5" t="s">
        <v>452</v>
      </c>
      <c r="B41" s="0" t="s">
        <v>453</v>
      </c>
      <c r="C41" s="20" t="n">
        <f aca="false">215500/72279</f>
        <v>2.98150223439727</v>
      </c>
      <c r="D41" s="8" t="s">
        <v>447</v>
      </c>
      <c r="E41" s="5" t="s">
        <v>471</v>
      </c>
      <c r="F41" s="8" t="s">
        <v>31</v>
      </c>
    </row>
    <row r="42" customFormat="false" ht="17.15" hidden="false" customHeight="false" outlineLevel="0" collapsed="false">
      <c r="A42" s="0" t="s">
        <v>455</v>
      </c>
      <c r="B42" s="0" t="s">
        <v>456</v>
      </c>
      <c r="C42" s="20" t="n">
        <f aca="false">1238.03/217.4</f>
        <v>5.69471021159154</v>
      </c>
      <c r="D42" s="8" t="s">
        <v>447</v>
      </c>
      <c r="E42" s="5" t="s">
        <v>472</v>
      </c>
      <c r="F42" s="8" t="s">
        <v>31</v>
      </c>
    </row>
    <row r="43" customFormat="false" ht="17.15" hidden="false" customHeight="false" outlineLevel="0" collapsed="false">
      <c r="A43" s="0" t="s">
        <v>473</v>
      </c>
      <c r="B43" s="0" t="s">
        <v>474</v>
      </c>
      <c r="C43" s="25" t="n">
        <v>11.91</v>
      </c>
      <c r="D43" s="8" t="s">
        <v>447</v>
      </c>
      <c r="E43" s="8" t="s">
        <v>475</v>
      </c>
      <c r="F43" s="8" t="s">
        <v>31</v>
      </c>
    </row>
    <row r="44" customFormat="false" ht="17.15" hidden="false" customHeight="false" outlineLevel="0" collapsed="false">
      <c r="A44" s="5" t="s">
        <v>476</v>
      </c>
      <c r="B44" s="20" t="n">
        <f aca="false">MEDIAN(C39:C43)</f>
        <v>5.07254335260116</v>
      </c>
    </row>
    <row r="45" customFormat="false" ht="17.15" hidden="false" customHeight="false" outlineLevel="0" collapsed="false">
      <c r="A45" s="0" t="s">
        <v>477</v>
      </c>
      <c r="B45" s="17" t="n">
        <f aca="false">B44*B35</f>
        <v>17063.7745983457</v>
      </c>
      <c r="E45" s="5" t="s">
        <v>478</v>
      </c>
    </row>
    <row r="47" customFormat="false" ht="17.15" hidden="false" customHeight="false" outlineLevel="0" collapsed="false">
      <c r="A47" s="1" t="s">
        <v>479</v>
      </c>
    </row>
    <row r="48" customFormat="false" ht="15" hidden="false" customHeight="false" outlineLevel="0" collapsed="false">
      <c r="A48" s="6" t="s">
        <v>14</v>
      </c>
      <c r="B48" s="6" t="s">
        <v>480</v>
      </c>
      <c r="C48" s="12"/>
      <c r="D48" s="12"/>
      <c r="E48" s="6" t="s">
        <v>343</v>
      </c>
    </row>
    <row r="49" customFormat="false" ht="17.15" hidden="false" customHeight="false" outlineLevel="0" collapsed="false">
      <c r="A49" s="5" t="s">
        <v>481</v>
      </c>
      <c r="B49" s="24" t="n">
        <f aca="false">tp_w_dcf*B24+(1-tp_w_dcf)*B34</f>
        <v>22268.387890365</v>
      </c>
      <c r="E49" s="8" t="s">
        <v>482</v>
      </c>
    </row>
    <row r="50" customFormat="false" ht="17.15" hidden="false" customHeight="false" outlineLevel="0" collapsed="false">
      <c r="A50" s="0" t="s">
        <v>483</v>
      </c>
      <c r="B50" s="17" t="n">
        <f aca="false">B34</f>
        <v>20356.6815131109</v>
      </c>
      <c r="E50" s="5" t="s">
        <v>484</v>
      </c>
    </row>
    <row r="51" customFormat="false" ht="17.15" hidden="false" customHeight="false" outlineLevel="0" collapsed="false">
      <c r="A51" s="5" t="s">
        <v>485</v>
      </c>
      <c r="B51" s="17" t="n">
        <f aca="false">cons_tp</f>
        <v>36929.23</v>
      </c>
      <c r="E51" s="8" t="s">
        <v>486</v>
      </c>
    </row>
    <row r="52" customFormat="false" ht="17.15" hidden="false" customHeight="false" outlineLevel="0" collapsed="false">
      <c r="A52" s="5" t="s">
        <v>487</v>
      </c>
      <c r="B52" s="14" t="n">
        <f aca="false">B49/px-1</f>
        <v>0.745855577449238</v>
      </c>
      <c r="E52" s="5" t="s">
        <v>488</v>
      </c>
    </row>
    <row r="53" customFormat="false" ht="17.15" hidden="false" customHeight="false" outlineLevel="0" collapsed="false">
      <c r="A53" s="5" t="s">
        <v>489</v>
      </c>
      <c r="B53" s="14" t="n">
        <f aca="false">B50/px-1</f>
        <v>0.595976598440682</v>
      </c>
    </row>
    <row r="54" customFormat="false" ht="17.15" hidden="false" customHeight="false" outlineLevel="0" collapsed="false">
      <c r="A54" s="5" t="s">
        <v>490</v>
      </c>
      <c r="B54" s="26" t="str">
        <f aca="false">IF(B52&gt;0.5,"大於 50%",IF(B52&gt;0.25,"25%–50%",IF(B52&gt;=0,"0%–25%",IF(B52&gt;=-0.25,"0%～−25%",IF(B52&gt;=-0.5,"−25%～−50%","小於 −50%")))))</f>
        <v>大於 50%</v>
      </c>
      <c r="E54" s="5" t="s">
        <v>491</v>
      </c>
    </row>
    <row r="55" customFormat="false" ht="17.15" hidden="false" customHeight="false" outlineLevel="0" collapsed="false">
      <c r="A55" s="5" t="s">
        <v>492</v>
      </c>
      <c r="B55" s="26" t="str">
        <f aca="false">IF(B52&gt;0.5,"強力買進",IF(B52&gt;0.25,"買進",IF(B52&gt;=-0.25,"中立",IF(B52&gt;=-0.5,"放空","強力放空"))))</f>
        <v>強力買進</v>
      </c>
      <c r="E55" s="5" t="s">
        <v>493</v>
      </c>
    </row>
    <row r="56" customFormat="false" ht="17.15" hidden="false" customHeight="false" outlineLevel="0" collapsed="false">
      <c r="A56" s="0" t="s">
        <v>494</v>
      </c>
      <c r="B56" s="27" t="n">
        <f aca="false">B23/px</f>
        <v>3.6053163691787</v>
      </c>
      <c r="C56" s="27" t="n">
        <f aca="false">C23/px</f>
        <v>1.35561525543666</v>
      </c>
      <c r="D56" s="27" t="n">
        <f aca="false">D23/px</f>
        <v>0.681660089929268</v>
      </c>
      <c r="E56" s="5" t="s">
        <v>495</v>
      </c>
    </row>
    <row r="57" customFormat="false" ht="17.15" hidden="false" customHeight="false" outlineLevel="0" collapsed="false">
      <c r="A57" s="5" t="s">
        <v>496</v>
      </c>
      <c r="B57" s="14" t="n">
        <f aca="false">B33/(0.25*cons_bv27+0.75*cons_bv28)-1</f>
        <v>-0.1118264272075</v>
      </c>
      <c r="E57" s="5" t="s">
        <v>497</v>
      </c>
    </row>
    <row r="58" customFormat="false" ht="17.15" hidden="false" customHeight="false" outlineLevel="0" collapsed="false">
      <c r="A58" s="5" t="s">
        <v>498</v>
      </c>
      <c r="B58" s="14" t="n">
        <f aca="false">B35/(5/12*cons_eps27+7/12*cons_eps28)-1</f>
        <v>-0.355400773011011</v>
      </c>
      <c r="E58" s="5" t="s">
        <v>499</v>
      </c>
    </row>
    <row r="59" customFormat="false" ht="17.15" hidden="false" customHeight="false" outlineLevel="0" collapsed="false">
      <c r="A59" s="5" t="s">
        <v>500</v>
      </c>
      <c r="B59" s="14" t="n">
        <f aca="false">(cons_tp/(0.25*cons_bv27+0.75*cons_bv28))/B32-1</f>
        <v>0.611243273047778</v>
      </c>
      <c r="E59" s="0" t="str">
        <f aca="false">"共識目標價隱含 P/B "&amp;TEXT(cons_tp/(0.25*cons_bv27+0.75*cons_bv28),"0.00")&amp;"x（÷ 共識約 2028 年底每股淨值），同業中位數 "&amp;TEXT(B32,"0.00")&amp;"x"</f>
        <v>共識目標價隱含 P/B 3.39x（÷ 共識約 2028 年底每股淨值），同業中位數 2.10x</v>
      </c>
    </row>
    <row r="60" customFormat="false" ht="17.15" hidden="false" customHeight="false" outlineLevel="0" collapsed="false">
      <c r="A60" s="5" t="s">
        <v>501</v>
      </c>
      <c r="B60" s="26" t="str">
        <f aca="false">TEXT(D23,"#,##0")&amp;"～"&amp;TEXT(B23,"#,##0")</f>
        <v>8,695～45,986</v>
      </c>
      <c r="E60" s="8" t="s">
        <v>502</v>
      </c>
    </row>
    <row r="61" customFormat="false" ht="17.15" hidden="false" customHeight="false" outlineLevel="0" collapsed="false">
      <c r="A61" s="5" t="s">
        <v>503</v>
      </c>
      <c r="B61" s="21" t="n">
        <f aca="false">IF(px/PL!F11&gt;=MAX($B$95:$B$104),1,IF(px/PL!F11&lt;=MIN($B$95:$B$104),0,PERCENTRANK($B$95:$B$104,px/PL!F11)))</f>
        <v>0</v>
      </c>
      <c r="C61" s="21" t="n">
        <f aca="false">IF(px/PL!F21&gt;=MAX($B$95:$B$104),1,IF(px/PL!F21&lt;=MIN($B$95:$B$104),0,PERCENTRANK($B$95:$B$104,px/PL!F21)))</f>
        <v>0.357</v>
      </c>
      <c r="D61" s="21" t="n">
        <f aca="false">IF(px/PL!F31&gt;=MAX($B$95:$B$104),1,IF(px/PL!F31&lt;=MIN($B$95:$B$104),0,PERCENTRANK($B$95:$B$104,px/PL!F31)))</f>
        <v>0.406</v>
      </c>
      <c r="E61" s="5" t="s">
        <v>504</v>
      </c>
    </row>
    <row r="62" customFormat="false" ht="17.15" hidden="false" customHeight="false" outlineLevel="0" collapsed="false">
      <c r="A62" s="5" t="s">
        <v>505</v>
      </c>
      <c r="B62" s="0" t="s">
        <v>506</v>
      </c>
    </row>
    <row r="80" customFormat="false" ht="17.15" hidden="false" customHeight="false" outlineLevel="0" collapsed="false">
      <c r="A80" s="1" t="s">
        <v>507</v>
      </c>
    </row>
    <row r="81" customFormat="false" ht="17.15" hidden="false" customHeight="false" outlineLevel="0" collapsed="false">
      <c r="A81" s="6" t="s">
        <v>14</v>
      </c>
      <c r="B81" s="12" t="s">
        <v>508</v>
      </c>
      <c r="C81" s="12" t="s">
        <v>509</v>
      </c>
      <c r="D81" s="12" t="s">
        <v>510</v>
      </c>
      <c r="E81" s="6" t="s">
        <v>511</v>
      </c>
    </row>
    <row r="82" customFormat="false" ht="17.15" hidden="false" customHeight="false" outlineLevel="0" collapsed="false">
      <c r="A82" s="5" t="s">
        <v>512</v>
      </c>
      <c r="B82" s="17" t="n">
        <f aca="false">px</f>
        <v>12755</v>
      </c>
      <c r="E82" s="8" t="s">
        <v>513</v>
      </c>
    </row>
    <row r="83" customFormat="false" ht="17.15" hidden="false" customHeight="false" outlineLevel="0" collapsed="false">
      <c r="A83" s="0" t="s">
        <v>514</v>
      </c>
      <c r="B83" s="28" t="n">
        <f aca="false">px/a25_eps</f>
        <v>37.3608670181605</v>
      </c>
      <c r="E83" s="5" t="s">
        <v>515</v>
      </c>
    </row>
    <row r="84" customFormat="false" ht="17.15" hidden="false" customHeight="false" outlineLevel="0" collapsed="false">
      <c r="A84" s="0" t="s">
        <v>516</v>
      </c>
      <c r="B84" s="20" t="n">
        <f aca="false">px/(eq_j/sh0*1000)</f>
        <v>8.72178185878218</v>
      </c>
      <c r="E84" s="5" t="s">
        <v>517</v>
      </c>
    </row>
    <row r="85" customFormat="false" ht="17.15" hidden="false" customHeight="false" outlineLevel="0" collapsed="false">
      <c r="A85" s="5" t="s">
        <v>518</v>
      </c>
      <c r="B85" s="28" t="n">
        <f aca="false">px/PL!E10</f>
        <v>2.44673159840554</v>
      </c>
      <c r="C85" s="28" t="n">
        <f aca="false">px/PL!E20</f>
        <v>2.9928890009717</v>
      </c>
      <c r="D85" s="28" t="n">
        <f aca="false">px/PL!E30</f>
        <v>3.14018314307684</v>
      </c>
      <c r="E85" s="8" t="s">
        <v>519</v>
      </c>
    </row>
    <row r="86" customFormat="false" ht="17.15" hidden="false" customHeight="false" outlineLevel="0" collapsed="false">
      <c r="A86" s="5" t="s">
        <v>520</v>
      </c>
      <c r="B86" s="28" t="n">
        <f aca="false">px/PL!F10</f>
        <v>2.24650901658817</v>
      </c>
      <c r="C86" s="28" t="n">
        <f aca="false">px/PL!F20</f>
        <v>8.803011777166</v>
      </c>
      <c r="D86" s="28" t="n">
        <f aca="false">px/PL!F30</f>
        <v>21.3335424957756</v>
      </c>
      <c r="E86" s="8" t="s">
        <v>519</v>
      </c>
    </row>
    <row r="87" customFormat="false" ht="17.15" hidden="false" customHeight="false" outlineLevel="0" collapsed="false">
      <c r="A87" s="5" t="s">
        <v>521</v>
      </c>
      <c r="B87" s="20" t="n">
        <f aca="false">px/PL!F11</f>
        <v>0.920299566215793</v>
      </c>
      <c r="C87" s="20" t="n">
        <f aca="false">px/PL!F21</f>
        <v>1.41307381572931</v>
      </c>
      <c r="D87" s="20" t="n">
        <f aca="false">px/PL!F31</f>
        <v>1.58586341198493</v>
      </c>
      <c r="E87" s="8" t="s">
        <v>522</v>
      </c>
    </row>
    <row r="90" customFormat="false" ht="17.15" hidden="false" customHeight="false" outlineLevel="0" collapsed="false">
      <c r="A90" s="1" t="s">
        <v>523</v>
      </c>
    </row>
    <row r="91" customFormat="false" ht="17.15" hidden="false" customHeight="false" outlineLevel="0" collapsed="false">
      <c r="A91" s="5" t="s">
        <v>524</v>
      </c>
    </row>
    <row r="93" customFormat="false" ht="17.15" hidden="false" customHeight="false" outlineLevel="0" collapsed="false">
      <c r="A93" s="1" t="s">
        <v>525</v>
      </c>
    </row>
    <row r="94" customFormat="false" ht="17.15" hidden="false" customHeight="false" outlineLevel="0" collapsed="false">
      <c r="A94" s="6" t="s">
        <v>526</v>
      </c>
      <c r="B94" s="6" t="s">
        <v>527</v>
      </c>
      <c r="C94" s="6" t="s">
        <v>528</v>
      </c>
    </row>
    <row r="95" customFormat="false" ht="17.15" hidden="false" customHeight="false" outlineLevel="0" collapsed="false">
      <c r="A95" s="0" t="s">
        <v>529</v>
      </c>
      <c r="B95" s="25" t="n">
        <v>1.29</v>
      </c>
      <c r="C95" s="5" t="s">
        <v>530</v>
      </c>
    </row>
    <row r="96" customFormat="false" ht="17.15" hidden="false" customHeight="false" outlineLevel="0" collapsed="false">
      <c r="A96" s="0" t="s">
        <v>531</v>
      </c>
      <c r="B96" s="25" t="n">
        <v>1.78</v>
      </c>
      <c r="C96" s="5" t="s">
        <v>532</v>
      </c>
    </row>
    <row r="97" customFormat="false" ht="15" hidden="false" customHeight="false" outlineLevel="0" collapsed="false">
      <c r="A97" s="0" t="s">
        <v>533</v>
      </c>
      <c r="B97" s="25" t="n">
        <v>1.79</v>
      </c>
    </row>
    <row r="98" customFormat="false" ht="15" hidden="false" customHeight="false" outlineLevel="0" collapsed="false">
      <c r="A98" s="0" t="s">
        <v>534</v>
      </c>
      <c r="B98" s="25" t="n">
        <v>1.33</v>
      </c>
    </row>
    <row r="99" customFormat="false" ht="15" hidden="false" customHeight="false" outlineLevel="0" collapsed="false">
      <c r="A99" s="0" t="s">
        <v>535</v>
      </c>
      <c r="B99" s="25" t="n">
        <v>1.27</v>
      </c>
    </row>
    <row r="100" customFormat="false" ht="15" hidden="false" customHeight="false" outlineLevel="0" collapsed="false">
      <c r="A100" s="0" t="s">
        <v>536</v>
      </c>
      <c r="B100" s="25" t="n">
        <v>1.83</v>
      </c>
    </row>
    <row r="101" customFormat="false" ht="15" hidden="false" customHeight="false" outlineLevel="0" collapsed="false">
      <c r="A101" s="0" t="s">
        <v>537</v>
      </c>
      <c r="B101" s="25" t="n">
        <v>1.22</v>
      </c>
    </row>
    <row r="102" customFormat="false" ht="15" hidden="false" customHeight="false" outlineLevel="0" collapsed="false">
      <c r="A102" s="0" t="s">
        <v>538</v>
      </c>
      <c r="B102" s="25" t="n">
        <v>1.72</v>
      </c>
    </row>
    <row r="103" customFormat="false" ht="15" hidden="false" customHeight="false" outlineLevel="0" collapsed="false">
      <c r="A103" s="0" t="s">
        <v>539</v>
      </c>
      <c r="B103" s="25" t="n">
        <v>2.35</v>
      </c>
    </row>
    <row r="104" customFormat="false" ht="15" hidden="false" customHeight="false" outlineLevel="0" collapsed="false">
      <c r="A104" s="0" t="s">
        <v>540</v>
      </c>
      <c r="B104" s="25" t="n">
        <v>2.46</v>
      </c>
    </row>
    <row r="105" customFormat="false" ht="17.15" hidden="false" customHeight="false" outlineLevel="0" collapsed="false">
      <c r="A105" s="0" t="s">
        <v>541</v>
      </c>
      <c r="B105" s="20" t="n">
        <f aca="false">PERCENTILE(B95:B104,0.25)</f>
        <v>1.3</v>
      </c>
    </row>
    <row r="106" customFormat="false" ht="15" hidden="false" customHeight="false" outlineLevel="0" collapsed="false">
      <c r="A106" s="5" t="s">
        <v>542</v>
      </c>
      <c r="B106" s="20" t="n">
        <f aca="false">MEDIAN(B95:B104)</f>
        <v>1.75</v>
      </c>
    </row>
    <row r="107" customFormat="false" ht="17.15" hidden="false" customHeight="false" outlineLevel="0" collapsed="false">
      <c r="A107" s="0" t="s">
        <v>543</v>
      </c>
      <c r="B107" s="20" t="n">
        <f aca="false">PERCENTILE(B95:B104,0.75)</f>
        <v>1.82</v>
      </c>
    </row>
    <row r="108" customFormat="false" ht="15" hidden="false" customHeight="false" outlineLevel="0" collapsed="false">
      <c r="A108" s="5" t="s">
        <v>544</v>
      </c>
      <c r="B108" s="20" t="n">
        <f aca="false">MIN(B95:B104)</f>
        <v>1.22</v>
      </c>
    </row>
    <row r="109" customFormat="false" ht="15" hidden="false" customHeight="false" outlineLevel="0" collapsed="false">
      <c r="A109" s="5" t="s">
        <v>545</v>
      </c>
      <c r="B109" s="20" t="n">
        <f aca="false">MAX(B95:B104)</f>
        <v>2.46</v>
      </c>
    </row>
    <row r="110" customFormat="false" ht="17.15" hidden="false" customHeight="false" outlineLevel="0" collapsed="false">
      <c r="A110" s="3" t="s">
        <v>546</v>
      </c>
      <c r="B110" s="20" t="n">
        <f aca="false">ROUND(AVERAGE(B105),2)</f>
        <v>1.3</v>
      </c>
    </row>
    <row r="111" customFormat="false" ht="17.15" hidden="false" customHeight="false" outlineLevel="0" collapsed="false">
      <c r="A111" s="3" t="s">
        <v>547</v>
      </c>
      <c r="B111" s="20" t="n">
        <f aca="false">ROUND(AVERAGE(B106),2)</f>
        <v>1.75</v>
      </c>
    </row>
    <row r="112" customFormat="false" ht="17.15" hidden="false" customHeight="false" outlineLevel="0" collapsed="false">
      <c r="A112" s="3" t="s">
        <v>548</v>
      </c>
      <c r="B112" s="20" t="n">
        <f aca="false">ROUND(AVERAGE(B107),2)</f>
        <v>1.82</v>
      </c>
    </row>
    <row r="113" customFormat="false" ht="17.15" hidden="false" customHeight="false" outlineLevel="0" collapsed="false">
      <c r="A113" s="3" t="s">
        <v>549</v>
      </c>
      <c r="B113" s="20" t="n">
        <f aca="false">ROUND(MIN(B108),2)</f>
        <v>1.22</v>
      </c>
    </row>
    <row r="114" customFormat="false" ht="17.15" hidden="false" customHeight="false" outlineLevel="0" collapsed="false">
      <c r="A114" s="3" t="s">
        <v>550</v>
      </c>
      <c r="B114" s="20" t="n">
        <f aca="false">ROUND(MAX(B109),2)</f>
        <v>2.46</v>
      </c>
    </row>
    <row r="116" customFormat="false" ht="17.15" hidden="false" customHeight="false" outlineLevel="0" collapsed="false">
      <c r="A116" s="1" t="s">
        <v>551</v>
      </c>
    </row>
    <row r="117" customFormat="false" ht="17.15" hidden="false" customHeight="false" outlineLevel="0" collapsed="false">
      <c r="A117" s="6" t="s">
        <v>552</v>
      </c>
      <c r="B117" s="6" t="s">
        <v>553</v>
      </c>
      <c r="C117" s="6" t="s">
        <v>554</v>
      </c>
      <c r="D117" s="6" t="s">
        <v>17</v>
      </c>
      <c r="E117" s="6" t="s">
        <v>555</v>
      </c>
      <c r="F117" s="6" t="s">
        <v>556</v>
      </c>
      <c r="G117" s="6" t="s">
        <v>557</v>
      </c>
      <c r="H117" s="6" t="s">
        <v>558</v>
      </c>
    </row>
    <row r="118" customFormat="false" ht="17.15" hidden="false" customHeight="false" outlineLevel="0" collapsed="false">
      <c r="A118" s="5" t="s">
        <v>559</v>
      </c>
      <c r="B118" s="5" t="s">
        <v>560</v>
      </c>
      <c r="C118" s="20" t="n">
        <f aca="false">B110</f>
        <v>1.3</v>
      </c>
      <c r="D118" s="8" t="s">
        <v>561</v>
      </c>
      <c r="E118" s="17" t="n">
        <f aca="false">PL!E70</f>
        <v>8490.69735818199</v>
      </c>
      <c r="F118" s="13" t="n">
        <f aca="false">C118*E118</f>
        <v>11037.9065656366</v>
      </c>
      <c r="G118" s="14" t="n">
        <f aca="false">F118/px-1</f>
        <v>-0.134621202223709</v>
      </c>
      <c r="H118" s="20" t="n">
        <f aca="false">px/E118</f>
        <v>1.50223232108359</v>
      </c>
    </row>
    <row r="119" customFormat="false" ht="17.15" hidden="false" customHeight="false" outlineLevel="0" collapsed="false">
      <c r="A119" s="5" t="s">
        <v>562</v>
      </c>
      <c r="B119" s="5" t="s">
        <v>563</v>
      </c>
      <c r="C119" s="20" t="n">
        <f aca="false">B111</f>
        <v>1.75</v>
      </c>
      <c r="D119" s="8" t="s">
        <v>561</v>
      </c>
      <c r="E119" s="17" t="n">
        <f aca="false">PL!E70</f>
        <v>8490.69735818199</v>
      </c>
      <c r="F119" s="13" t="n">
        <f aca="false">C119*E119</f>
        <v>14858.7203768185</v>
      </c>
      <c r="G119" s="14" t="n">
        <f aca="false">F119/px-1</f>
        <v>0.164932997006546</v>
      </c>
      <c r="H119" s="20" t="n">
        <f aca="false">px/E119</f>
        <v>1.50223232108359</v>
      </c>
    </row>
    <row r="120" customFormat="false" ht="17.15" hidden="false" customHeight="false" outlineLevel="0" collapsed="false">
      <c r="A120" s="5" t="s">
        <v>564</v>
      </c>
      <c r="B120" s="5" t="s">
        <v>565</v>
      </c>
      <c r="C120" s="20" t="n">
        <f aca="false">B112</f>
        <v>1.82</v>
      </c>
      <c r="D120" s="8" t="s">
        <v>566</v>
      </c>
      <c r="E120" s="17" t="n">
        <f aca="false">PL!F142</f>
        <v>8042.9373069622</v>
      </c>
      <c r="F120" s="13" t="n">
        <f aca="false">C120*E120</f>
        <v>14638.1458986712</v>
      </c>
      <c r="G120" s="14" t="n">
        <f aca="false">F120/px-1</f>
        <v>0.14763981957438</v>
      </c>
      <c r="H120" s="20" t="n">
        <f aca="false">px/E120</f>
        <v>1.58586341198493</v>
      </c>
    </row>
    <row r="123" customFormat="false" ht="17.15" hidden="false" customHeight="false" outlineLevel="0" collapsed="false">
      <c r="A123" s="1" t="s">
        <v>567</v>
      </c>
    </row>
    <row r="124" customFormat="false" ht="17.15" hidden="false" customHeight="false" outlineLevel="0" collapsed="false">
      <c r="A124" s="6" t="s">
        <v>526</v>
      </c>
      <c r="B124" s="6" t="s">
        <v>568</v>
      </c>
      <c r="C124" s="6" t="s">
        <v>528</v>
      </c>
    </row>
    <row r="125" customFormat="false" ht="17.15" hidden="false" customHeight="false" outlineLevel="0" collapsed="false">
      <c r="A125" s="0" t="s">
        <v>529</v>
      </c>
      <c r="C125" s="5" t="s">
        <v>569</v>
      </c>
    </row>
    <row r="126" customFormat="false" ht="17.15" hidden="false" customHeight="false" outlineLevel="0" collapsed="false">
      <c r="A126" s="0" t="s">
        <v>531</v>
      </c>
      <c r="B126" s="25" t="n">
        <v>6.51314207113382</v>
      </c>
      <c r="C126" s="5" t="s">
        <v>570</v>
      </c>
    </row>
    <row r="127" customFormat="false" ht="15" hidden="false" customHeight="false" outlineLevel="0" collapsed="false">
      <c r="A127" s="0" t="s">
        <v>533</v>
      </c>
      <c r="B127" s="25" t="n">
        <v>4.08958330385568</v>
      </c>
    </row>
    <row r="128" customFormat="false" ht="15" hidden="false" customHeight="false" outlineLevel="0" collapsed="false">
      <c r="A128" s="0" t="s">
        <v>534</v>
      </c>
      <c r="B128" s="25" t="n">
        <v>7.55927926500871</v>
      </c>
    </row>
    <row r="129" customFormat="false" ht="15" hidden="false" customHeight="false" outlineLevel="0" collapsed="false">
      <c r="A129" s="0" t="s">
        <v>535</v>
      </c>
      <c r="B129" s="25" t="n">
        <v>18.4313062895422</v>
      </c>
    </row>
    <row r="130" customFormat="false" ht="15" hidden="false" customHeight="false" outlineLevel="0" collapsed="false">
      <c r="A130" s="0" t="s">
        <v>536</v>
      </c>
      <c r="B130" s="25" t="n">
        <v>13.7173502815219</v>
      </c>
    </row>
    <row r="131" customFormat="false" ht="15" hidden="false" customHeight="false" outlineLevel="0" collapsed="false">
      <c r="A131" s="0" t="s">
        <v>537</v>
      </c>
      <c r="B131" s="25" t="n">
        <v>7.00892598135145</v>
      </c>
    </row>
    <row r="132" customFormat="false" ht="15" hidden="false" customHeight="false" outlineLevel="0" collapsed="false">
      <c r="A132" s="0" t="s">
        <v>538</v>
      </c>
    </row>
    <row r="133" customFormat="false" ht="15" hidden="false" customHeight="false" outlineLevel="0" collapsed="false">
      <c r="A133" s="0" t="s">
        <v>539</v>
      </c>
      <c r="B133" s="25" t="n">
        <v>136.321143958869</v>
      </c>
    </row>
    <row r="134" customFormat="false" ht="15" hidden="false" customHeight="false" outlineLevel="0" collapsed="false">
      <c r="A134" s="0" t="s">
        <v>540</v>
      </c>
      <c r="B134" s="25" t="n">
        <v>15.6043916149432</v>
      </c>
    </row>
    <row r="135" customFormat="false" ht="17.15" hidden="false" customHeight="false" outlineLevel="0" collapsed="false">
      <c r="A135" s="0" t="s">
        <v>541</v>
      </c>
      <c r="B135" s="20" t="n">
        <f aca="false">PERCENTILE(B125:B134,0.25)</f>
        <v>6.88498000379704</v>
      </c>
    </row>
    <row r="136" customFormat="false" ht="15" hidden="false" customHeight="false" outlineLevel="0" collapsed="false">
      <c r="A136" s="5" t="s">
        <v>542</v>
      </c>
      <c r="B136" s="20" t="n">
        <f aca="false">MEDIAN(B125:B134)</f>
        <v>10.6383147732653</v>
      </c>
    </row>
    <row r="137" customFormat="false" ht="17.15" hidden="false" customHeight="false" outlineLevel="0" collapsed="false">
      <c r="A137" s="0" t="s">
        <v>543</v>
      </c>
      <c r="B137" s="20" t="n">
        <f aca="false">PERCENTILE(B125:B134,0.75)</f>
        <v>16.311120283593</v>
      </c>
    </row>
    <row r="138" customFormat="false" ht="15" hidden="false" customHeight="false" outlineLevel="0" collapsed="false">
      <c r="A138" s="5" t="s">
        <v>544</v>
      </c>
      <c r="B138" s="20" t="n">
        <f aca="false">MIN(B125:B134)</f>
        <v>4.08958330385568</v>
      </c>
    </row>
    <row r="139" customFormat="false" ht="15" hidden="false" customHeight="false" outlineLevel="0" collapsed="false">
      <c r="A139" s="5" t="s">
        <v>545</v>
      </c>
      <c r="B139" s="20" t="n">
        <f aca="false">MAX(B125:B134)</f>
        <v>136.321143958869</v>
      </c>
    </row>
    <row r="140" customFormat="false" ht="17.15" hidden="false" customHeight="false" outlineLevel="0" collapsed="false">
      <c r="A140" s="3" t="s">
        <v>571</v>
      </c>
      <c r="B140" s="20" t="n">
        <f aca="false">ROUND(AVERAGE(B135),2)</f>
        <v>6.88</v>
      </c>
    </row>
    <row r="141" customFormat="false" ht="17.15" hidden="false" customHeight="false" outlineLevel="0" collapsed="false">
      <c r="A141" s="3" t="s">
        <v>572</v>
      </c>
      <c r="B141" s="20" t="n">
        <f aca="false">ROUND(AVERAGE(B136),2)</f>
        <v>10.64</v>
      </c>
    </row>
    <row r="142" customFormat="false" ht="17.15" hidden="false" customHeight="false" outlineLevel="0" collapsed="false">
      <c r="A142" s="3" t="s">
        <v>573</v>
      </c>
      <c r="B142" s="20" t="n">
        <f aca="false">ROUND(AVERAGE(B137),2)</f>
        <v>16.31</v>
      </c>
    </row>
    <row r="143" customFormat="false" ht="17.15" hidden="false" customHeight="false" outlineLevel="0" collapsed="false">
      <c r="A143" s="3" t="s">
        <v>574</v>
      </c>
      <c r="B143" s="20" t="n">
        <f aca="false">ROUND(MIN(B138),2)</f>
        <v>4.09</v>
      </c>
    </row>
    <row r="144" customFormat="false" ht="17.15" hidden="false" customHeight="false" outlineLevel="0" collapsed="false">
      <c r="A144" s="3" t="s">
        <v>575</v>
      </c>
      <c r="B144" s="20" t="n">
        <f aca="false">ROUND(MAX(B139),2)</f>
        <v>136.32</v>
      </c>
    </row>
    <row r="146" customFormat="false" ht="17.15" hidden="false" customHeight="false" outlineLevel="0" collapsed="false">
      <c r="A146" s="1" t="s">
        <v>576</v>
      </c>
    </row>
    <row r="147" customFormat="false" ht="17.15" hidden="false" customHeight="false" outlineLevel="0" collapsed="false">
      <c r="A147" s="6" t="s">
        <v>552</v>
      </c>
      <c r="B147" s="6" t="s">
        <v>553</v>
      </c>
      <c r="C147" s="6" t="s">
        <v>554</v>
      </c>
      <c r="D147" s="6" t="s">
        <v>17</v>
      </c>
      <c r="E147" s="6" t="s">
        <v>555</v>
      </c>
      <c r="F147" s="6" t="s">
        <v>556</v>
      </c>
      <c r="G147" s="6" t="s">
        <v>557</v>
      </c>
      <c r="H147" s="6" t="s">
        <v>558</v>
      </c>
    </row>
    <row r="148" customFormat="false" ht="17.15" hidden="false" customHeight="false" outlineLevel="0" collapsed="false">
      <c r="A148" s="5" t="s">
        <v>577</v>
      </c>
      <c r="B148" s="5" t="s">
        <v>560</v>
      </c>
      <c r="C148" s="20" t="n">
        <f aca="false">B140</f>
        <v>6.88</v>
      </c>
      <c r="D148" s="8" t="s">
        <v>578</v>
      </c>
      <c r="E148" s="17" t="n">
        <f aca="false">PL!E69</f>
        <v>5213.07690974852</v>
      </c>
      <c r="F148" s="13" t="n">
        <f aca="false">C148*E148</f>
        <v>35865.9691390698</v>
      </c>
      <c r="G148" s="14" t="n">
        <f aca="false">F148/px-1</f>
        <v>1.81191447581888</v>
      </c>
      <c r="H148" s="20" t="n">
        <f aca="false">px/E148</f>
        <v>2.44673159840554</v>
      </c>
    </row>
    <row r="149" customFormat="false" ht="17.15" hidden="false" customHeight="false" outlineLevel="0" collapsed="false">
      <c r="A149" s="5" t="s">
        <v>579</v>
      </c>
      <c r="B149" s="5" t="s">
        <v>563</v>
      </c>
      <c r="C149" s="20" t="n">
        <f aca="false">B141</f>
        <v>10.64</v>
      </c>
      <c r="D149" s="8" t="s">
        <v>578</v>
      </c>
      <c r="E149" s="17" t="n">
        <f aca="false">PL!E69</f>
        <v>5213.07690974852</v>
      </c>
      <c r="F149" s="13" t="n">
        <f aca="false">C149*E149</f>
        <v>55467.1383197243</v>
      </c>
      <c r="G149" s="14" t="n">
        <f aca="false">F149/px-1</f>
        <v>3.34865843353385</v>
      </c>
      <c r="H149" s="20" t="n">
        <f aca="false">px/E149</f>
        <v>2.44673159840554</v>
      </c>
    </row>
    <row r="150" customFormat="false" ht="17.15" hidden="false" customHeight="false" outlineLevel="0" collapsed="false">
      <c r="A150" s="5" t="s">
        <v>580</v>
      </c>
      <c r="B150" s="5" t="s">
        <v>565</v>
      </c>
      <c r="C150" s="20" t="n">
        <f aca="false">B142</f>
        <v>16.31</v>
      </c>
      <c r="D150" s="8" t="s">
        <v>581</v>
      </c>
      <c r="E150" s="17" t="n">
        <f aca="false">PL!F141</f>
        <v>597.884763045129</v>
      </c>
      <c r="F150" s="13" t="n">
        <f aca="false">C150*E150</f>
        <v>9751.50048526606</v>
      </c>
      <c r="G150" s="14" t="n">
        <f aca="false">F150/px-1</f>
        <v>-0.235476245765107</v>
      </c>
      <c r="H150" s="20" t="n">
        <f aca="false">px/E150</f>
        <v>21.3335424957756</v>
      </c>
    </row>
    <row r="153" customFormat="false" ht="15" hidden="false" customHeight="false" outlineLevel="0" collapsed="false">
      <c r="A153" s="3" t="s">
        <v>582</v>
      </c>
    </row>
    <row r="154" customFormat="false" ht="15" hidden="false" customHeight="false" outlineLevel="0" collapsed="false">
      <c r="A154" s="6" t="s">
        <v>14</v>
      </c>
      <c r="B154" s="6" t="s">
        <v>480</v>
      </c>
      <c r="C154" s="12"/>
      <c r="D154" s="12"/>
      <c r="E154" s="6" t="s">
        <v>343</v>
      </c>
    </row>
    <row r="155" customFormat="false" ht="17.15" hidden="false" customHeight="false" outlineLevel="0" collapsed="false">
      <c r="A155" s="5" t="s">
        <v>583</v>
      </c>
      <c r="B155" s="17" t="n">
        <f aca="false">tp_wA*B157+tp_wB*B158+tp_wC*B159</f>
        <v>13291.9681066088</v>
      </c>
      <c r="E155" s="5" t="s">
        <v>584</v>
      </c>
    </row>
    <row r="156" customFormat="false" ht="17.15" hidden="false" customHeight="false" outlineLevel="0" collapsed="false">
      <c r="A156" s="5" t="s">
        <v>585</v>
      </c>
      <c r="B156" s="14" t="n">
        <f aca="false">B155/px-1</f>
        <v>0.0420986363472198</v>
      </c>
    </row>
    <row r="157" customFormat="false" ht="17.15" hidden="false" customHeight="false" outlineLevel="0" collapsed="false">
      <c r="A157" s="5" t="s">
        <v>586</v>
      </c>
      <c r="B157" s="17" t="n">
        <f aca="false">B112*PL!E11</f>
        <v>15453.0691918912</v>
      </c>
    </row>
    <row r="158" customFormat="false" ht="17.15" hidden="false" customHeight="false" outlineLevel="0" collapsed="false">
      <c r="A158" s="5" t="s">
        <v>587</v>
      </c>
      <c r="B158" s="17" t="n">
        <f aca="false">B111*PL!E21</f>
        <v>13422.4527814083</v>
      </c>
    </row>
    <row r="159" customFormat="false" ht="17.15" hidden="false" customHeight="false" outlineLevel="0" collapsed="false">
      <c r="A159" s="5" t="s">
        <v>588</v>
      </c>
      <c r="B159" s="17" t="n">
        <f aca="false">B110*PL!E31</f>
        <v>9724.10479168636</v>
      </c>
    </row>
    <row r="160" customFormat="false" ht="17.15" hidden="false" customHeight="false" outlineLevel="0" collapsed="false">
      <c r="A160" s="5" t="s">
        <v>589</v>
      </c>
      <c r="B160" s="5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591</v>
      </c>
    </row>
    <row r="3" customFormat="false" ht="17.15" hidden="false" customHeight="false" outlineLevel="0" collapsed="false">
      <c r="A3" s="6" t="s">
        <v>14</v>
      </c>
      <c r="B3" s="6" t="s">
        <v>592</v>
      </c>
      <c r="C3" s="6" t="s">
        <v>593</v>
      </c>
      <c r="D3" s="6" t="s">
        <v>594</v>
      </c>
      <c r="E3" s="6" t="s">
        <v>595</v>
      </c>
      <c r="F3" s="6" t="s">
        <v>596</v>
      </c>
      <c r="G3" s="6" t="s">
        <v>597</v>
      </c>
      <c r="H3" s="6" t="s">
        <v>598</v>
      </c>
      <c r="I3" s="6" t="s">
        <v>599</v>
      </c>
      <c r="J3" s="6" t="s">
        <v>343</v>
      </c>
    </row>
    <row r="4" customFormat="false" ht="17.15" hidden="false" customHeight="false" outlineLevel="0" collapsed="false">
      <c r="A4" s="1" t="s">
        <v>600</v>
      </c>
    </row>
    <row r="5" customFormat="false" ht="17.15" hidden="false" customHeight="false" outlineLevel="0" collapsed="false">
      <c r="A5" s="0" t="s">
        <v>601</v>
      </c>
      <c r="B5" s="17" t="n">
        <v>2337.6</v>
      </c>
      <c r="C5" s="17" t="n">
        <f aca="false">PL!C5</f>
        <v>2337.6</v>
      </c>
      <c r="D5" s="14" t="n">
        <f aca="false">C5/B5-1</f>
        <v>0</v>
      </c>
      <c r="E5" s="17" t="n">
        <f aca="false">PL!C15</f>
        <v>2337.6</v>
      </c>
      <c r="F5" s="14" t="n">
        <f aca="false">E5/B5-1</f>
        <v>0</v>
      </c>
      <c r="G5" s="17" t="n">
        <f aca="false">PL!C25</f>
        <v>2337.6</v>
      </c>
      <c r="H5" s="14" t="n">
        <f aca="false">G5/B5-1</f>
        <v>0</v>
      </c>
      <c r="I5" s="8" t="s">
        <v>602</v>
      </c>
    </row>
    <row r="6" customFormat="false" ht="17.15" hidden="false" customHeight="false" outlineLevel="0" collapsed="false">
      <c r="A6" s="0" t="s">
        <v>603</v>
      </c>
      <c r="B6" s="17" t="n">
        <v>4157.1</v>
      </c>
      <c r="C6" s="17" t="n">
        <f aca="false">PL!C44+PL!D44</f>
        <v>4157.1</v>
      </c>
      <c r="D6" s="14" t="n">
        <f aca="false">C6/B6-1</f>
        <v>0</v>
      </c>
      <c r="E6" s="17" t="n">
        <f aca="false">PL!C80+PL!D80</f>
        <v>4157.1</v>
      </c>
      <c r="F6" s="14" t="n">
        <f aca="false">E6/B6-1</f>
        <v>0</v>
      </c>
      <c r="G6" s="17" t="n">
        <f aca="false">PL!C116+PL!D116</f>
        <v>4157.1</v>
      </c>
      <c r="H6" s="14" t="n">
        <f aca="false">G6/B6-1</f>
        <v>0</v>
      </c>
      <c r="I6" s="8" t="s">
        <v>604</v>
      </c>
      <c r="J6" s="5" t="s">
        <v>605</v>
      </c>
    </row>
    <row r="7" customFormat="false" ht="17.15" hidden="false" customHeight="false" outlineLevel="0" collapsed="false">
      <c r="A7" s="0" t="s">
        <v>606</v>
      </c>
      <c r="B7" s="17" t="n">
        <f aca="false">g2_rev</f>
        <v>2390</v>
      </c>
      <c r="C7" s="17" t="n">
        <f aca="false">PL!E44</f>
        <v>2908.95550407292</v>
      </c>
      <c r="D7" s="14" t="n">
        <f aca="false">C7/B7-1</f>
        <v>0.21713619417277</v>
      </c>
      <c r="E7" s="17" t="n">
        <f aca="false">PL!E80</f>
        <v>2908.95550407292</v>
      </c>
      <c r="F7" s="14" t="n">
        <f aca="false">E7/B7-1</f>
        <v>0.21713619417277</v>
      </c>
      <c r="G7" s="17" t="n">
        <f aca="false">PL!E116</f>
        <v>2908.95550407292</v>
      </c>
      <c r="H7" s="14" t="n">
        <f aca="false">G7/B7-1</f>
        <v>0.21713619417277</v>
      </c>
      <c r="I7" s="5" t="s">
        <v>607</v>
      </c>
      <c r="J7" s="5" t="s">
        <v>608</v>
      </c>
    </row>
    <row r="8" customFormat="false" ht="17.15" hidden="false" customHeight="false" outlineLevel="0" collapsed="false">
      <c r="A8" s="0" t="s">
        <v>609</v>
      </c>
      <c r="B8" s="14" t="n">
        <f aca="false">q1_gp/q1_rev</f>
        <v>0.780997113915455</v>
      </c>
      <c r="C8" s="14" t="n">
        <f aca="false">PL!D47</f>
        <v>0.820083682008368</v>
      </c>
      <c r="D8" s="14" t="n">
        <f aca="false">C8-B8</f>
        <v>0.0390865680929136</v>
      </c>
      <c r="E8" s="14" t="n">
        <f aca="false">PL!D83</f>
        <v>0.820083682008368</v>
      </c>
      <c r="F8" s="14" t="n">
        <f aca="false">E8-B8</f>
        <v>0.0390865680929136</v>
      </c>
      <c r="G8" s="14" t="n">
        <f aca="false">PL!D119</f>
        <v>0.820083682008368</v>
      </c>
      <c r="H8" s="14" t="n">
        <f aca="false">G8-B8</f>
        <v>0.0390865680929136</v>
      </c>
      <c r="I8" s="8" t="s">
        <v>604</v>
      </c>
      <c r="J8" s="5" t="s">
        <v>610</v>
      </c>
    </row>
    <row r="9" customFormat="false" ht="17.15" hidden="false" customHeight="false" outlineLevel="0" collapsed="false">
      <c r="A9" s="1" t="s">
        <v>611</v>
      </c>
    </row>
    <row r="10" customFormat="false" ht="17.15" hidden="false" customHeight="false" outlineLevel="0" collapsed="false">
      <c r="A10" s="0" t="s">
        <v>612</v>
      </c>
      <c r="B10" s="17" t="n">
        <f aca="false">cons_rev26</f>
        <v>10071.4</v>
      </c>
      <c r="C10" s="17" t="n">
        <f aca="false">PL!D5</f>
        <v>10271.3683896189</v>
      </c>
      <c r="D10" s="14" t="n">
        <f aca="false">C10/B10-1</f>
        <v>0.0198550737354233</v>
      </c>
      <c r="E10" s="17" t="n">
        <f aca="false">PL!D15</f>
        <v>10296.2003061433</v>
      </c>
      <c r="F10" s="14" t="n">
        <f aca="false">E10/B10-1</f>
        <v>0.0223206610941196</v>
      </c>
      <c r="G10" s="17" t="n">
        <f aca="false">PL!D25</f>
        <v>10258.7931375115</v>
      </c>
      <c r="H10" s="14" t="n">
        <f aca="false">G10/B10-1</f>
        <v>0.0186064636010339</v>
      </c>
      <c r="I10" s="8" t="s">
        <v>199</v>
      </c>
    </row>
    <row r="11" customFormat="false" ht="17.15" hidden="false" customHeight="false" outlineLevel="0" collapsed="false">
      <c r="A11" s="0" t="s">
        <v>613</v>
      </c>
      <c r="B11" s="17" t="n">
        <f aca="false">cons_ni26</f>
        <v>5573.9</v>
      </c>
      <c r="C11" s="17" t="n">
        <f aca="false">PL!D9</f>
        <v>5543.90962182168</v>
      </c>
      <c r="D11" s="14" t="n">
        <f aca="false">C11/B11-1</f>
        <v>-0.0053805016556302</v>
      </c>
      <c r="E11" s="17" t="n">
        <f aca="false">PL!D19</f>
        <v>5558.93012937714</v>
      </c>
      <c r="F11" s="14" t="n">
        <f aca="false">E11/B11-1</f>
        <v>-0.0026857085026385</v>
      </c>
      <c r="G11" s="17" t="n">
        <f aca="false">PL!D29</f>
        <v>5532.19942954856</v>
      </c>
      <c r="H11" s="14" t="n">
        <f aca="false">G11/B11-1</f>
        <v>-0.00748139910142631</v>
      </c>
      <c r="I11" s="8" t="s">
        <v>199</v>
      </c>
    </row>
    <row r="12" customFormat="false" ht="17.15" hidden="false" customHeight="false" outlineLevel="0" collapsed="false">
      <c r="A12" s="0" t="s">
        <v>614</v>
      </c>
      <c r="B12" s="17" t="n">
        <f aca="false">cons_eps26</f>
        <v>3486</v>
      </c>
      <c r="C12" s="17" t="n">
        <f aca="false">PL!D10</f>
        <v>3491.51116537153</v>
      </c>
      <c r="D12" s="14" t="n">
        <f aca="false">C12/B12-1</f>
        <v>0.00158094244736851</v>
      </c>
      <c r="E12" s="17" t="n">
        <f aca="false">PL!D20</f>
        <v>3501.49034319466</v>
      </c>
      <c r="F12" s="14" t="n">
        <f aca="false">E12/B12-1</f>
        <v>0.00444358668808342</v>
      </c>
      <c r="G12" s="17" t="n">
        <f aca="false">PL!D30</f>
        <v>3483.73331585757</v>
      </c>
      <c r="H12" s="14" t="n">
        <f aca="false">G12/B12-1</f>
        <v>-0.000650224940455524</v>
      </c>
      <c r="I12" s="8" t="s">
        <v>199</v>
      </c>
      <c r="J12" s="5" t="s">
        <v>615</v>
      </c>
    </row>
    <row r="13" customFormat="false" ht="17.15" hidden="false" customHeight="false" outlineLevel="0" collapsed="false">
      <c r="A13" s="0" t="s">
        <v>616</v>
      </c>
      <c r="B13" s="17" t="n">
        <f aca="false">cons_rev27</f>
        <v>13477.2</v>
      </c>
      <c r="C13" s="17" t="n">
        <f aca="false">PL!E5</f>
        <v>13504.3460032093</v>
      </c>
      <c r="D13" s="14" t="n">
        <f aca="false">C13/B13-1</f>
        <v>0.00201421684098069</v>
      </c>
      <c r="E13" s="17" t="n">
        <f aca="false">PL!E15</f>
        <v>11553.0934727631</v>
      </c>
      <c r="F13" s="14" t="n">
        <f aca="false">E13/B13-1</f>
        <v>-0.14276752791655</v>
      </c>
      <c r="G13" s="17" t="n">
        <f aca="false">PL!E25</f>
        <v>11123.4762852485</v>
      </c>
      <c r="H13" s="14" t="n">
        <f aca="false">G13/B13-1</f>
        <v>-0.174644860560911</v>
      </c>
      <c r="I13" s="8" t="s">
        <v>199</v>
      </c>
    </row>
    <row r="14" customFormat="false" ht="17.15" hidden="false" customHeight="false" outlineLevel="0" collapsed="false">
      <c r="A14" s="0" t="s">
        <v>617</v>
      </c>
      <c r="B14" s="17" t="n">
        <f aca="false">cons_eps27</f>
        <v>4871</v>
      </c>
      <c r="C14" s="17" t="n">
        <f aca="false">PL!E10</f>
        <v>5213.07690974852</v>
      </c>
      <c r="D14" s="14" t="n">
        <f aca="false">C14/B14-1</f>
        <v>0.0702272448672798</v>
      </c>
      <c r="E14" s="17" t="n">
        <f aca="false">PL!E20</f>
        <v>4261.76847716666</v>
      </c>
      <c r="F14" s="14" t="n">
        <f aca="false">E14/B14-1</f>
        <v>-0.125073192944639</v>
      </c>
      <c r="G14" s="17" t="n">
        <f aca="false">PL!E30</f>
        <v>4061.86499921858</v>
      </c>
      <c r="H14" s="14" t="n">
        <f aca="false">G14/B14-1</f>
        <v>-0.166112708023284</v>
      </c>
      <c r="I14" s="8" t="s">
        <v>199</v>
      </c>
    </row>
    <row r="15" customFormat="false" ht="17.15" hidden="false" customHeight="false" outlineLevel="0" collapsed="false">
      <c r="A15" s="0" t="s">
        <v>618</v>
      </c>
      <c r="B15" s="17" t="n">
        <f aca="false">cons_eps28</f>
        <v>5467</v>
      </c>
      <c r="C15" s="17" t="n">
        <f aca="false">PL!F10</f>
        <v>5677.69811107696</v>
      </c>
      <c r="D15" s="14" t="n">
        <f aca="false">C15/B15-1</f>
        <v>0.0385399873928953</v>
      </c>
      <c r="E15" s="17" t="n">
        <f aca="false">PL!F20</f>
        <v>1448.93592362162</v>
      </c>
      <c r="F15" s="14" t="n">
        <f aca="false">E15/B15-1</f>
        <v>-0.73496690623347</v>
      </c>
      <c r="G15" s="17" t="n">
        <f aca="false">PL!F30</f>
        <v>597.884763045129</v>
      </c>
      <c r="H15" s="14" t="n">
        <f aca="false">G15/B15-1</f>
        <v>-0.890637504473179</v>
      </c>
      <c r="I15" s="8" t="s">
        <v>199</v>
      </c>
    </row>
    <row r="16" customFormat="false" ht="17.15" hidden="false" customHeight="false" outlineLevel="0" collapsed="false">
      <c r="A16" s="0" t="s">
        <v>619</v>
      </c>
      <c r="B16" s="17" t="n">
        <f aca="false">cons_bv27</f>
        <v>7808</v>
      </c>
      <c r="C16" s="17" t="n">
        <f aca="false">PL!E11</f>
        <v>8490.69735818199</v>
      </c>
      <c r="D16" s="14" t="n">
        <f aca="false">C16/B16-1</f>
        <v>0.0874356247671611</v>
      </c>
      <c r="E16" s="17" t="n">
        <f aca="false">PL!E21</f>
        <v>7669.9730179476</v>
      </c>
      <c r="F16" s="14" t="n">
        <f aca="false">E16/B16-1</f>
        <v>-0.0176776360210553</v>
      </c>
      <c r="G16" s="17" t="n">
        <f aca="false">PL!E31</f>
        <v>7480.0806089895</v>
      </c>
      <c r="H16" s="14" t="n">
        <f aca="false">G16/B16-1</f>
        <v>-0.0419978728240902</v>
      </c>
      <c r="I16" s="8" t="s">
        <v>199</v>
      </c>
    </row>
    <row r="17" customFormat="false" ht="17.15" hidden="false" customHeight="false" outlineLevel="0" collapsed="false">
      <c r="A17" s="1" t="s">
        <v>620</v>
      </c>
    </row>
    <row r="18" customFormat="false" ht="17.15" hidden="false" customHeight="false" outlineLevel="0" collapsed="false">
      <c r="A18" s="0" t="s">
        <v>621</v>
      </c>
      <c r="C18" s="29" t="n">
        <f aca="false">kx_k</f>
        <v>1.0302588619403</v>
      </c>
      <c r="I18" s="8" t="s">
        <v>622</v>
      </c>
    </row>
    <row r="19" customFormat="false" ht="17.15" hidden="false" customHeight="false" outlineLevel="0" collapsed="false">
      <c r="A19" s="0" t="s">
        <v>623</v>
      </c>
      <c r="C19" s="14" t="n">
        <v>0.262052870362357</v>
      </c>
      <c r="E19" s="14" t="n">
        <v>0.259052870362357</v>
      </c>
      <c r="G19" s="14" t="n">
        <v>0.256052870362357</v>
      </c>
      <c r="I19" s="8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625</v>
      </c>
    </row>
    <row r="3" customFormat="false" ht="17.15" hidden="false" customHeight="false" outlineLevel="0" collapsed="false">
      <c r="A3" s="6" t="s">
        <v>626</v>
      </c>
      <c r="B3" s="6" t="s">
        <v>627</v>
      </c>
      <c r="C3" s="12" t="s">
        <v>628</v>
      </c>
      <c r="D3" s="12" t="s">
        <v>629</v>
      </c>
      <c r="E3" s="6" t="s">
        <v>630</v>
      </c>
      <c r="F3" s="12" t="s">
        <v>631</v>
      </c>
      <c r="G3" s="12" t="s">
        <v>632</v>
      </c>
      <c r="H3" s="6" t="s">
        <v>630</v>
      </c>
      <c r="I3" s="12" t="s">
        <v>633</v>
      </c>
    </row>
    <row r="4" customFormat="false" ht="17.15" hidden="false" customHeight="false" outlineLevel="0" collapsed="false">
      <c r="A4" s="5" t="s">
        <v>634</v>
      </c>
      <c r="B4" s="0" t="s">
        <v>635</v>
      </c>
      <c r="C4" s="17" t="n">
        <f aca="false">PL!E55</f>
        <v>13504.3460032093</v>
      </c>
      <c r="D4" s="17" t="n">
        <f aca="false">PL!E69</f>
        <v>5213.07690974852</v>
      </c>
      <c r="E4" s="14" t="n">
        <f aca="false">D4/D$4-1</f>
        <v>0</v>
      </c>
      <c r="F4" s="17" t="n">
        <f aca="false">PL!F55</f>
        <v>13616.6902545502</v>
      </c>
      <c r="G4" s="17" t="n">
        <f aca="false">PL!F69</f>
        <v>5677.69811107696</v>
      </c>
      <c r="H4" s="14" t="n">
        <f aca="false">G4/G$4-1</f>
        <v>0</v>
      </c>
      <c r="I4" s="14" t="n">
        <f aca="false">PL!E57</f>
        <v>0.861319435556341</v>
      </c>
    </row>
    <row r="5" customFormat="false" ht="17.15" hidden="false" customHeight="false" outlineLevel="0" collapsed="false">
      <c r="A5" s="5" t="s">
        <v>636</v>
      </c>
      <c r="B5" s="5" t="s">
        <v>637</v>
      </c>
      <c r="C5" s="17" t="n">
        <f aca="false">E75</f>
        <v>10803.4768025674</v>
      </c>
      <c r="D5" s="17" t="n">
        <f aca="false">E89</f>
        <v>3864.09871548453</v>
      </c>
      <c r="E5" s="14" t="n">
        <f aca="false">D5/D$4-1</f>
        <v>-0.258768135904802</v>
      </c>
      <c r="F5" s="17" t="n">
        <f aca="false">F75</f>
        <v>10893.3522036401</v>
      </c>
      <c r="G5" s="17" t="n">
        <f aca="false">F89</f>
        <v>4097.48031216383</v>
      </c>
      <c r="H5" s="14" t="n">
        <f aca="false">G5/G$4-1</f>
        <v>-0.278320151582238</v>
      </c>
      <c r="I5" s="14" t="n">
        <f aca="false">E77</f>
        <v>0.826649294445427</v>
      </c>
    </row>
    <row r="6" customFormat="false" ht="17.15" hidden="false" customHeight="false" outlineLevel="0" collapsed="false">
      <c r="A6" s="5" t="s">
        <v>638</v>
      </c>
      <c r="B6" s="5" t="s">
        <v>639</v>
      </c>
      <c r="C6" s="17" t="n">
        <f aca="false">E125</f>
        <v>16205.2152038511</v>
      </c>
      <c r="D6" s="17" t="n">
        <f aca="false">E139</f>
        <v>6640.41142939202</v>
      </c>
      <c r="E6" s="14" t="n">
        <f aca="false">D6/D$4-1</f>
        <v>0.273798860894295</v>
      </c>
      <c r="F6" s="17" t="n">
        <f aca="false">F125</f>
        <v>16340.0283054602</v>
      </c>
      <c r="G6" s="17" t="n">
        <f aca="false">F139</f>
        <v>7431.6821117692</v>
      </c>
      <c r="H6" s="14" t="n">
        <f aca="false">G6/G$4-1</f>
        <v>0.308925195806077</v>
      </c>
      <c r="I6" s="14" t="n">
        <f aca="false">E127</f>
        <v>0.884432862963618</v>
      </c>
    </row>
    <row r="7" customFormat="false" ht="17.15" hidden="false" customHeight="false" outlineLevel="0" collapsed="false">
      <c r="A7" s="5" t="s">
        <v>640</v>
      </c>
      <c r="B7" s="5" t="s">
        <v>641</v>
      </c>
      <c r="C7" s="17" t="n">
        <f aca="false">E175</f>
        <v>12153.9114028883</v>
      </c>
      <c r="D7" s="17" t="n">
        <f aca="false">E189</f>
        <v>4529.20215138084</v>
      </c>
      <c r="E7" s="14" t="n">
        <f aca="false">D7/D$4-1</f>
        <v>-0.131184475158773</v>
      </c>
      <c r="F7" s="17" t="n">
        <f aca="false">F175</f>
        <v>12255.0212290951</v>
      </c>
      <c r="G7" s="17" t="n">
        <f aca="false">F189</f>
        <v>4867.52332222511</v>
      </c>
      <c r="H7" s="14" t="n">
        <f aca="false">G7/G$4-1</f>
        <v>-0.142694235058259</v>
      </c>
      <c r="I7" s="14" t="n">
        <f aca="false">E177</f>
        <v>0.84591048395149</v>
      </c>
    </row>
    <row r="8" customFormat="false" ht="17.15" hidden="false" customHeight="false" outlineLevel="0" collapsed="false">
      <c r="A8" s="5" t="s">
        <v>642</v>
      </c>
      <c r="B8" s="5" t="s">
        <v>643</v>
      </c>
      <c r="C8" s="17" t="n">
        <f aca="false">E225</f>
        <v>14854.7806035302</v>
      </c>
      <c r="D8" s="17" t="n">
        <f aca="false">E239</f>
        <v>5916.52904441349</v>
      </c>
      <c r="E8" s="14" t="n">
        <f aca="false">D8/D$4-1</f>
        <v>0.134939911081976</v>
      </c>
      <c r="F8" s="17" t="n">
        <f aca="false">F225</f>
        <v>14978.3592800052</v>
      </c>
      <c r="G8" s="17" t="n">
        <f aca="false">F239</f>
        <v>6531.22589632293</v>
      </c>
      <c r="H8" s="14" t="n">
        <f aca="false">G8/G$4-1</f>
        <v>0.150329899291541</v>
      </c>
      <c r="I8" s="14" t="n">
        <f aca="false">E227</f>
        <v>0.873926759596674</v>
      </c>
    </row>
    <row r="9" customFormat="false" ht="17.15" hidden="false" customHeight="false" outlineLevel="0" collapsed="false">
      <c r="A9" s="5" t="s">
        <v>644</v>
      </c>
      <c r="B9" s="0" t="s">
        <v>645</v>
      </c>
      <c r="C9" s="17" t="n">
        <f aca="false">E275</f>
        <v>12238.3135654084</v>
      </c>
      <c r="D9" s="17" t="n">
        <f aca="false">E289</f>
        <v>4571.38624478011</v>
      </c>
      <c r="E9" s="14" t="n">
        <f aca="false">D9/D$4-1</f>
        <v>-0.123092499128191</v>
      </c>
      <c r="F9" s="17" t="n">
        <f aca="false">F275</f>
        <v>12340.1255431861</v>
      </c>
      <c r="G9" s="17" t="n">
        <f aca="false">F289</f>
        <v>4916.95173476514</v>
      </c>
      <c r="H9" s="14" t="n">
        <f aca="false">G9/G$4-1</f>
        <v>-0.133988521655921</v>
      </c>
      <c r="I9" s="14" t="n">
        <f aca="false">E277</f>
        <v>0.846973170269066</v>
      </c>
    </row>
    <row r="10" customFormat="false" ht="17.15" hidden="false" customHeight="false" outlineLevel="0" collapsed="false">
      <c r="A10" s="5" t="s">
        <v>646</v>
      </c>
      <c r="B10" s="0" t="s">
        <v>647</v>
      </c>
      <c r="C10" s="17" t="n">
        <f aca="false">E325</f>
        <v>14348.3676284098</v>
      </c>
      <c r="D10" s="17" t="n">
        <f aca="false">E339</f>
        <v>5650.38719241874</v>
      </c>
      <c r="E10" s="14" t="n">
        <f aca="false">D10/D$4-1</f>
        <v>0.0838871726316655</v>
      </c>
      <c r="F10" s="17" t="n">
        <f aca="false">F325</f>
        <v>14467.7333954595</v>
      </c>
      <c r="G10" s="17" t="n">
        <f aca="false">F339</f>
        <v>6205.85385780329</v>
      </c>
      <c r="H10" s="14" t="n">
        <f aca="false">G10/G$4-1</f>
        <v>0.0930228653221135</v>
      </c>
      <c r="I10" s="14" t="n">
        <f aca="false">E327</f>
        <v>0.869477115817733</v>
      </c>
    </row>
    <row r="11" customFormat="false" ht="17.15" hidden="false" customHeight="false" outlineLevel="0" collapsed="false">
      <c r="A11" s="5" t="s">
        <v>648</v>
      </c>
      <c r="B11" s="0" t="s">
        <v>123</v>
      </c>
      <c r="C11" s="17" t="n">
        <f aca="false">E375</f>
        <v>13504.3460032093</v>
      </c>
      <c r="D11" s="17" t="n">
        <f aca="false">E389</f>
        <v>5162.99075572885</v>
      </c>
      <c r="E11" s="14" t="n">
        <f aca="false">D11/D$4-1</f>
        <v>-0.0096077911158402</v>
      </c>
      <c r="F11" s="17" t="n">
        <f aca="false">F375</f>
        <v>13616.6902545502</v>
      </c>
      <c r="G11" s="17" t="n">
        <f aca="false">F389</f>
        <v>5560.85234946007</v>
      </c>
      <c r="H11" s="14" t="n">
        <f aca="false">G11/G$4-1</f>
        <v>-0.0205797771087767</v>
      </c>
      <c r="I11" s="14" t="n">
        <f aca="false">E377</f>
        <v>0.853992804479194</v>
      </c>
    </row>
    <row r="12" customFormat="false" ht="17.15" hidden="false" customHeight="false" outlineLevel="0" collapsed="false">
      <c r="A12" s="5" t="s">
        <v>649</v>
      </c>
      <c r="B12" s="0" t="s">
        <v>650</v>
      </c>
      <c r="C12" s="17" t="n">
        <f aca="false">E425</f>
        <v>13504.3460032093</v>
      </c>
      <c r="D12" s="17" t="n">
        <f aca="false">E439</f>
        <v>5262.80472261901</v>
      </c>
      <c r="E12" s="14" t="n">
        <f aca="false">D12/D$4-1</f>
        <v>0.00953905222029161</v>
      </c>
      <c r="F12" s="17" t="n">
        <f aca="false">F425</f>
        <v>13616.6902545502</v>
      </c>
      <c r="G12" s="17" t="n">
        <f aca="false">F439</f>
        <v>5789.19014988163</v>
      </c>
      <c r="H12" s="14" t="n">
        <f aca="false">G12/G$4-1</f>
        <v>0.0196368381381804</v>
      </c>
      <c r="I12" s="14" t="n">
        <f aca="false">E427</f>
        <v>0.868578310805409</v>
      </c>
    </row>
    <row r="13" customFormat="false" ht="17.15" hidden="false" customHeight="false" outlineLevel="0" collapsed="false">
      <c r="A13" s="5" t="s">
        <v>651</v>
      </c>
      <c r="B13" s="0" t="s">
        <v>652</v>
      </c>
      <c r="C13" s="17" t="n">
        <f aca="false">E475</f>
        <v>13504.3460032093</v>
      </c>
      <c r="D13" s="17" t="n">
        <f aca="false">E489</f>
        <v>5213.83354604886</v>
      </c>
      <c r="E13" s="14" t="n">
        <f aca="false">D13/D$4-1</f>
        <v>0.000145141979188246</v>
      </c>
      <c r="F13" s="17" t="n">
        <f aca="false">F475</f>
        <v>13616.6902545502</v>
      </c>
      <c r="G13" s="17" t="n">
        <f aca="false">F489</f>
        <v>5679.74116087038</v>
      </c>
      <c r="H13" s="14" t="n">
        <f aca="false">G13/G$4-1</f>
        <v>0.00035983769363046</v>
      </c>
      <c r="I13" s="14" t="n">
        <f aca="false">E477</f>
        <v>0.856481741447842</v>
      </c>
    </row>
    <row r="14" customFormat="false" ht="17.15" hidden="false" customHeight="false" outlineLevel="0" collapsed="false">
      <c r="A14" s="5" t="s">
        <v>653</v>
      </c>
      <c r="B14" s="0" t="s">
        <v>654</v>
      </c>
      <c r="C14" s="17" t="n">
        <f aca="false">E525</f>
        <v>13504.3460032093</v>
      </c>
      <c r="D14" s="17" t="n">
        <f aca="false">E539</f>
        <v>5212.06809247396</v>
      </c>
      <c r="E14" s="14" t="n">
        <f aca="false">D14/D$4-1</f>
        <v>-0.000193516668182792</v>
      </c>
      <c r="F14" s="17" t="n">
        <f aca="false">F525</f>
        <v>13616.6902545502</v>
      </c>
      <c r="G14" s="17" t="n">
        <f aca="false">F539</f>
        <v>5674.97431555028</v>
      </c>
      <c r="H14" s="14" t="n">
        <f aca="false">G14/G$4-1</f>
        <v>-0.000479735884754029</v>
      </c>
      <c r="I14" s="14" t="n">
        <f aca="false">E527</f>
        <v>0.867769694367674</v>
      </c>
    </row>
    <row r="15" customFormat="false" ht="17.15" hidden="false" customHeight="false" outlineLevel="0" collapsed="false">
      <c r="A15" s="5" t="s">
        <v>655</v>
      </c>
      <c r="B15" s="0" t="s">
        <v>656</v>
      </c>
      <c r="C15" s="17" t="n">
        <f aca="false">E575</f>
        <v>13504.3460032093</v>
      </c>
      <c r="D15" s="17" t="n">
        <f aca="false">E589</f>
        <v>5198.30714650193</v>
      </c>
      <c r="E15" s="14" t="n">
        <f aca="false">D15/D$4-1</f>
        <v>-0.00283321414632676</v>
      </c>
      <c r="F15" s="17" t="n">
        <f aca="false">F575</f>
        <v>13616.6902545502</v>
      </c>
      <c r="G15" s="17" t="n">
        <f aca="false">F589</f>
        <v>5665.34034839887</v>
      </c>
      <c r="H15" s="14" t="n">
        <f aca="false">G15/G$4-1</f>
        <v>-0.00217654451440119</v>
      </c>
      <c r="I15" s="14" t="n">
        <f aca="false">E577</f>
        <v>0.861319435556341</v>
      </c>
    </row>
    <row r="16" customFormat="false" ht="17.15" hidden="false" customHeight="false" outlineLevel="0" collapsed="false">
      <c r="A16" s="5" t="s">
        <v>657</v>
      </c>
      <c r="B16" s="0" t="s">
        <v>658</v>
      </c>
      <c r="C16" s="17" t="n">
        <f aca="false">E625</f>
        <v>13504.3460032093</v>
      </c>
      <c r="D16" s="17" t="n">
        <f aca="false">E639</f>
        <v>4956.63163069124</v>
      </c>
      <c r="E16" s="14" t="n">
        <f aca="false">D16/D$4-1</f>
        <v>-0.0491926905159842</v>
      </c>
      <c r="F16" s="17" t="n">
        <f aca="false">F625</f>
        <v>13616.6902545502</v>
      </c>
      <c r="G16" s="17" t="n">
        <f aca="false">F639</f>
        <v>5373.50757249348</v>
      </c>
      <c r="H16" s="14" t="n">
        <f aca="false">G16/G$4-1</f>
        <v>-0.0535763847658649</v>
      </c>
      <c r="I16" s="14" t="n">
        <f aca="false">E627</f>
        <v>0.861319435556341</v>
      </c>
    </row>
    <row r="17" customFormat="false" ht="17.15" hidden="false" customHeight="false" outlineLevel="0" collapsed="false">
      <c r="A17" s="5" t="s">
        <v>659</v>
      </c>
      <c r="B17" s="0" t="s">
        <v>660</v>
      </c>
      <c r="C17" s="17" t="n">
        <f aca="false">E675</f>
        <v>13504.3460032093</v>
      </c>
      <c r="D17" s="17" t="n">
        <f aca="false">E689</f>
        <v>5559.28974000587</v>
      </c>
      <c r="E17" s="14" t="n">
        <f aca="false">D17/D$4-1</f>
        <v>0.0664123772296417</v>
      </c>
      <c r="F17" s="17" t="n">
        <f aca="false">F675</f>
        <v>13616.6902545502</v>
      </c>
      <c r="G17" s="17" t="n">
        <f aca="false">F689</f>
        <v>6092.83959334408</v>
      </c>
      <c r="H17" s="14" t="n">
        <f aca="false">G17/G$4-1</f>
        <v>0.0731179210562818</v>
      </c>
      <c r="I17" s="14" t="n">
        <f aca="false">E677</f>
        <v>0.861319435556341</v>
      </c>
    </row>
    <row r="18" customFormat="false" ht="17.15" hidden="false" customHeight="false" outlineLevel="0" collapsed="false">
      <c r="A18" s="5" t="s">
        <v>661</v>
      </c>
      <c r="B18" s="0" t="s">
        <v>662</v>
      </c>
      <c r="C18" s="17" t="n">
        <f aca="false">E725</f>
        <v>13504.3460032093</v>
      </c>
      <c r="D18" s="17" t="n">
        <f aca="false">E739</f>
        <v>6456.93984773995</v>
      </c>
      <c r="E18" s="14" t="n">
        <f aca="false">D18/D$4-1</f>
        <v>0.238604371185354</v>
      </c>
      <c r="F18" s="17" t="n">
        <f aca="false">F725</f>
        <v>13616.6902545502</v>
      </c>
      <c r="G18" s="17" t="n">
        <f aca="false">F739</f>
        <v>8584.51175099781</v>
      </c>
      <c r="H18" s="14" t="n">
        <f aca="false">G18/G$4-1</f>
        <v>0.511970447010871</v>
      </c>
      <c r="I18" s="14" t="n">
        <f aca="false">E727</f>
        <v>0.861319435556341</v>
      </c>
    </row>
    <row r="19" customFormat="false" ht="17.15" hidden="false" customHeight="false" outlineLevel="0" collapsed="false">
      <c r="A19" s="5" t="s">
        <v>663</v>
      </c>
      <c r="B19" s="0" t="s">
        <v>664</v>
      </c>
      <c r="C19" s="17" t="n">
        <f aca="false">E775</f>
        <v>13504.3460032093</v>
      </c>
      <c r="D19" s="17" t="n">
        <f aca="false">E789</f>
        <v>4620.16561862658</v>
      </c>
      <c r="E19" s="14" t="n">
        <f aca="false">D19/D$4-1</f>
        <v>-0.113735381500547</v>
      </c>
      <c r="F19" s="17" t="n">
        <f aca="false">F775</f>
        <v>13616.6902545502</v>
      </c>
      <c r="G19" s="17" t="n">
        <f aca="false">F789</f>
        <v>4634.15355227257</v>
      </c>
      <c r="H19" s="14" t="n">
        <f aca="false">G19/G$4-1</f>
        <v>-0.183797119605299</v>
      </c>
      <c r="I19" s="14" t="n">
        <f aca="false">E777</f>
        <v>0.861319435556341</v>
      </c>
    </row>
    <row r="20" customFormat="false" ht="17.15" hidden="false" customHeight="false" outlineLevel="0" collapsed="false">
      <c r="A20" s="5" t="s">
        <v>665</v>
      </c>
      <c r="B20" s="0" t="s">
        <v>666</v>
      </c>
      <c r="C20" s="17" t="n">
        <f aca="false">PL!E91</f>
        <v>11553.0934727631</v>
      </c>
      <c r="D20" s="17" t="n">
        <f aca="false">PL!E105</f>
        <v>4261.76847716666</v>
      </c>
      <c r="E20" s="14" t="n">
        <f aca="false">D20/D$4-1</f>
        <v>-0.182485017783432</v>
      </c>
      <c r="F20" s="17" t="n">
        <f aca="false">PL!F91</f>
        <v>5230.9635762312</v>
      </c>
      <c r="G20" s="17" t="n">
        <f aca="false">PL!F105</f>
        <v>1448.93592362162</v>
      </c>
      <c r="H20" s="14" t="n">
        <f aca="false">G20/G$4-1</f>
        <v>-0.744802225254843</v>
      </c>
      <c r="I20" s="14" t="n">
        <f aca="false">PL!E93</f>
        <v>0.8381159225011</v>
      </c>
    </row>
    <row r="21" customFormat="false" ht="17.15" hidden="false" customHeight="false" outlineLevel="0" collapsed="false">
      <c r="A21" s="5" t="s">
        <v>667</v>
      </c>
      <c r="B21" s="0" t="s">
        <v>668</v>
      </c>
      <c r="C21" s="17" t="n">
        <f aca="false">PL!E127</f>
        <v>11123.4762852485</v>
      </c>
      <c r="D21" s="17" t="n">
        <f aca="false">PL!E141</f>
        <v>4061.86499921858</v>
      </c>
      <c r="E21" s="14" t="n">
        <f aca="false">D21/D$4-1</f>
        <v>-0.220831560796112</v>
      </c>
      <c r="F21" s="17" t="n">
        <f aca="false">PL!F127</f>
        <v>3183.66573843113</v>
      </c>
      <c r="G21" s="17" t="n">
        <f aca="false">PL!F141</f>
        <v>597.884763045129</v>
      </c>
      <c r="H21" s="14" t="n">
        <f aca="false">G21/G$4-1</f>
        <v>-0.894695922300152</v>
      </c>
      <c r="I21" s="14" t="n">
        <f aca="false">PL!E129</f>
        <v>0.833301572429675</v>
      </c>
    </row>
    <row r="23" customFormat="false" ht="15" hidden="false" customHeight="false" outlineLevel="0" collapsed="false">
      <c r="A23" s="5" t="s">
        <v>669</v>
      </c>
    </row>
    <row r="60" customFormat="false" ht="17.15" hidden="false" customHeight="false" outlineLevel="0" collapsed="false">
      <c r="A60" s="3" t="s">
        <v>670</v>
      </c>
    </row>
    <row r="61" customFormat="false" ht="17.15" hidden="false" customHeight="false" outlineLevel="0" collapsed="false">
      <c r="A61" s="12" t="s">
        <v>352</v>
      </c>
      <c r="B61" s="6" t="s">
        <v>15</v>
      </c>
      <c r="C61" s="12" t="s">
        <v>353</v>
      </c>
      <c r="D61" s="12" t="s">
        <v>354</v>
      </c>
      <c r="E61" s="12" t="s">
        <v>355</v>
      </c>
      <c r="F61" s="12" t="s">
        <v>356</v>
      </c>
      <c r="G61" s="12" t="s">
        <v>357</v>
      </c>
      <c r="H61" s="12" t="s">
        <v>358</v>
      </c>
      <c r="I61" s="12" t="s">
        <v>359</v>
      </c>
      <c r="J61" s="12" t="s">
        <v>360</v>
      </c>
      <c r="K61" s="12" t="s">
        <v>361</v>
      </c>
      <c r="L61" s="12" t="s">
        <v>362</v>
      </c>
      <c r="M61" s="12" t="s">
        <v>363</v>
      </c>
      <c r="N61" s="12" t="s">
        <v>364</v>
      </c>
      <c r="O61" s="12" t="s">
        <v>365</v>
      </c>
      <c r="P61" s="12" t="s">
        <v>366</v>
      </c>
      <c r="Q61" s="12" t="s">
        <v>367</v>
      </c>
      <c r="R61" s="12" t="s">
        <v>368</v>
      </c>
      <c r="S61" s="12"/>
      <c r="T61" s="6" t="s">
        <v>343</v>
      </c>
    </row>
    <row r="62" customFormat="false" ht="17.15" hidden="false" customHeight="false" outlineLevel="0" collapsed="false">
      <c r="A62" s="5" t="s">
        <v>369</v>
      </c>
      <c r="B62" s="0" t="s">
        <v>317</v>
      </c>
      <c r="C62" s="19" t="n">
        <f aca="false">Units!H4*1</f>
        <v>10.72</v>
      </c>
      <c r="D62" s="19" t="n">
        <f aca="false">Units!I4*1</f>
        <v>14.3197859923946</v>
      </c>
      <c r="E62" s="19" t="n">
        <f aca="false">Units!J4*1*0.8</f>
        <v>14.1175951575629</v>
      </c>
      <c r="F62" s="19" t="n">
        <f aca="false">Units!K4*1*0.8</f>
        <v>15.5558617545372</v>
      </c>
      <c r="G62" s="19" t="n">
        <f aca="false">Units!L4*1*0.8</f>
        <v>16.4483211973018</v>
      </c>
      <c r="H62" s="19" t="n">
        <f aca="false">Units!M4*1*0.8</f>
        <v>16.5223830575738</v>
      </c>
      <c r="I62" s="19" t="n">
        <f aca="false">Units!N4*1*0.8</f>
        <v>16.2473725352313</v>
      </c>
      <c r="J62" s="19" t="n">
        <f aca="false">Units!O4*1*0.8</f>
        <v>16.3205295839086</v>
      </c>
      <c r="K62" s="19" t="n">
        <f aca="false">Units!P4*1*0.8</f>
        <v>16.3940160368488</v>
      </c>
      <c r="L62" s="19" t="n">
        <f aca="false">Units!Q4*1*0.8</f>
        <v>16.4678333772602</v>
      </c>
      <c r="M62" s="19" t="n">
        <f aca="false">Units!R4*1*0.8</f>
        <v>16.5419830950302</v>
      </c>
      <c r="N62" s="19" t="n">
        <f aca="false">Units!S4*1*0.8</f>
        <v>16.6799972814906</v>
      </c>
      <c r="O62" s="19" t="n">
        <f aca="false">Units!T4*1*0.8</f>
        <v>16.9886775178504</v>
      </c>
      <c r="P62" s="19" t="n">
        <f aca="false">Units!U4*1*0.8</f>
        <v>17.3030701944888</v>
      </c>
      <c r="Q62" s="19" t="n">
        <f aca="false">Units!V4*1*0.8</f>
        <v>17.6232810258965</v>
      </c>
      <c r="R62" s="19" t="n">
        <f aca="false">Units!W4*1*0.8</f>
        <v>17.232611885747</v>
      </c>
      <c r="T62" s="8" t="s">
        <v>370</v>
      </c>
    </row>
    <row r="63" customFormat="false" ht="15" hidden="false" customHeight="false" outlineLevel="0" collapsed="false">
      <c r="A63" s="5" t="s">
        <v>371</v>
      </c>
      <c r="B63" s="0" t="s">
        <v>324</v>
      </c>
      <c r="C63" s="19" t="n">
        <f aca="false">Units!H7*1</f>
        <v>40.1757580440862</v>
      </c>
      <c r="D63" s="19" t="n">
        <f aca="false">Units!I7*1</f>
        <v>46.6667956905857</v>
      </c>
      <c r="E63" s="19" t="n">
        <f aca="false">Units!J7*1</f>
        <v>48.944548236035</v>
      </c>
      <c r="F63" s="19" t="n">
        <f aca="false">Units!K7*1</f>
        <v>52.3600980030596</v>
      </c>
      <c r="G63" s="19" t="n">
        <f aca="false">Units!L7*1</f>
        <v>55.3640629793669</v>
      </c>
      <c r="H63" s="19" t="n">
        <f aca="false">Units!M7*1</f>
        <v>58.5403692216961</v>
      </c>
      <c r="I63" s="19" t="n">
        <f aca="false">Units!N7*1</f>
        <v>61.898904166222</v>
      </c>
      <c r="J63" s="19" t="n">
        <f aca="false">Units!O7*1</f>
        <v>65.4501225038245</v>
      </c>
      <c r="K63" s="19" t="n">
        <f aca="false">Units!P7*1</f>
        <v>69.2050787242086</v>
      </c>
      <c r="L63" s="19" t="n">
        <f aca="false">Units!Q7*1</f>
        <v>73.1754615271202</v>
      </c>
      <c r="M63" s="19" t="n">
        <f aca="false">Units!R7*1</f>
        <v>77.3736302077775</v>
      </c>
      <c r="N63" s="19" t="n">
        <f aca="false">Units!S7*1</f>
        <v>80.4321433873819</v>
      </c>
      <c r="O63" s="19" t="n">
        <f aca="false">Units!T7*1</f>
        <v>84.4542491025558</v>
      </c>
      <c r="P63" s="19" t="n">
        <f aca="false">Units!U7*1</f>
        <v>88.6774850338687</v>
      </c>
      <c r="Q63" s="19" t="n">
        <f aca="false">Units!V7*1</f>
        <v>93.1119089388012</v>
      </c>
      <c r="R63" s="19" t="n">
        <f aca="false">Units!W7*1</f>
        <v>94.0045560318226</v>
      </c>
    </row>
    <row r="64" customFormat="false" ht="17.15" hidden="false" customHeight="false" outlineLevel="0" collapsed="false">
      <c r="A64" s="5" t="s">
        <v>280</v>
      </c>
      <c r="B64" s="0" t="s">
        <v>25</v>
      </c>
      <c r="C64" s="13" t="n">
        <f aca="false">q1_rev</f>
        <v>1767.1</v>
      </c>
      <c r="D64" s="13" t="n">
        <f aca="false">g2_rev</f>
        <v>2390</v>
      </c>
      <c r="E64" s="13" t="n">
        <f aca="false">E62*kx_k*fx</f>
        <v>2327.16440325834</v>
      </c>
      <c r="F64" s="13" t="n">
        <f aca="false">F62*kx_k*fx</f>
        <v>2564.25030843682</v>
      </c>
      <c r="G64" s="13" t="n">
        <f aca="false">G62*kx_k*fx</f>
        <v>2711.3645884097</v>
      </c>
      <c r="H64" s="13" t="n">
        <f aca="false">H62*kx_k*fx</f>
        <v>2723.57305047002</v>
      </c>
      <c r="I64" s="13" t="n">
        <f aca="false">I62*kx_k*fx</f>
        <v>2678.23992602679</v>
      </c>
      <c r="J64" s="13" t="n">
        <f aca="false">J62*kx_k*fx</f>
        <v>2690.29923766091</v>
      </c>
      <c r="K64" s="13" t="n">
        <f aca="false">K62*kx_k*fx</f>
        <v>2702.41284876078</v>
      </c>
      <c r="L64" s="13" t="n">
        <f aca="false">L62*kx_k*fx</f>
        <v>2714.58100382058</v>
      </c>
      <c r="M64" s="13" t="n">
        <f aca="false">M62*kx_k*fx</f>
        <v>2726.80394843544</v>
      </c>
      <c r="N64" s="13" t="n">
        <f aca="false">N62*kx_k*fx</f>
        <v>2749.55440262333</v>
      </c>
      <c r="O64" s="13" t="n">
        <f aca="false">O62*kx_k*fx</f>
        <v>2800.43769046581</v>
      </c>
      <c r="P64" s="13" t="n">
        <f aca="false">P62*kx_k*fx</f>
        <v>2852.26262506354</v>
      </c>
      <c r="Q64" s="13" t="n">
        <f aca="false">Q62*kx_k*fx</f>
        <v>2905.04663254307</v>
      </c>
      <c r="R64" s="13" t="n">
        <f aca="false">R62*kx_k*fx</f>
        <v>2840.64817754696</v>
      </c>
      <c r="T64" s="5" t="s">
        <v>372</v>
      </c>
    </row>
    <row r="65" customFormat="false" ht="17.15" hidden="false" customHeight="false" outlineLevel="0" collapsed="false">
      <c r="A65" s="5" t="s">
        <v>373</v>
      </c>
      <c r="B65" s="0" t="s">
        <v>374</v>
      </c>
      <c r="C65" s="20" t="n">
        <f aca="false">C66/C63</f>
        <v>9.63267449926724</v>
      </c>
      <c r="D65" s="20" t="n">
        <f aca="false">D66/D63</f>
        <v>9.21426023871499</v>
      </c>
      <c r="E65" s="20" t="n">
        <f aca="false">$D65*(1-cd_A)^(1/4)</f>
        <v>8.87329840103618</v>
      </c>
      <c r="F65" s="20" t="n">
        <f aca="false">$D65*(1-cd_A)^(2/4)</f>
        <v>8.5449534172058</v>
      </c>
      <c r="G65" s="20" t="n">
        <f aca="false">$D65*(1-cd_A)^(3/4)</f>
        <v>8.22875841679016</v>
      </c>
      <c r="H65" s="20" t="n">
        <f aca="false">$D65*(1-cd_A)^(4/4)</f>
        <v>7.92426380529489</v>
      </c>
      <c r="I65" s="20" t="n">
        <f aca="false">$D65*(1-cd_A)^(5/4)</f>
        <v>7.63103662489111</v>
      </c>
      <c r="J65" s="20" t="n">
        <f aca="false">$D65*(1-cd_A)^(6/4)</f>
        <v>7.34865993879699</v>
      </c>
      <c r="K65" s="20" t="n">
        <f aca="false">$D65*(1-cd_A)^(7/4)</f>
        <v>7.07673223843954</v>
      </c>
      <c r="L65" s="20" t="n">
        <f aca="false">$D65*(1-cd_A)^(8/4)</f>
        <v>6.81486687255361</v>
      </c>
      <c r="M65" s="20" t="n">
        <f aca="false">$D65*(1-cd_A)^(9/4)</f>
        <v>6.56269149740636</v>
      </c>
      <c r="N65" s="20" t="n">
        <f aca="false">$D65*(1-cd_A)^(10/4)</f>
        <v>6.31984754736541</v>
      </c>
      <c r="O65" s="20" t="n">
        <f aca="false">$D65*(1-cd_A)^(11/4)</f>
        <v>6.085989725058</v>
      </c>
      <c r="P65" s="20" t="n">
        <f aca="false">$D65*(1-cd_A)^(12/4)</f>
        <v>5.8607855103961</v>
      </c>
      <c r="Q65" s="20" t="n">
        <f aca="false">$D65*(1-cd_A)^(13/4)</f>
        <v>5.64391468776947</v>
      </c>
      <c r="R65" s="20" t="n">
        <f aca="false">$D65*(1-cd_A)^(14/4)</f>
        <v>5.43506889073425</v>
      </c>
    </row>
    <row r="66" customFormat="false" ht="15" hidden="false" customHeight="false" outlineLevel="0" collapsed="false">
      <c r="A66" s="5" t="s">
        <v>375</v>
      </c>
      <c r="B66" s="0" t="s">
        <v>25</v>
      </c>
      <c r="C66" s="13" t="n">
        <f aca="false">q1_rev-q1_gp</f>
        <v>387</v>
      </c>
      <c r="D66" s="13" t="n">
        <f aca="false">g2_rev-g2_op-g2_ox</f>
        <v>430</v>
      </c>
      <c r="E66" s="13" t="n">
        <f aca="false">E63*E65</f>
        <v>434.299581602247</v>
      </c>
      <c r="F66" s="13" t="n">
        <f aca="false">F63*F65</f>
        <v>447.414598356475</v>
      </c>
      <c r="G66" s="13" t="n">
        <f aca="false">G63*G65</f>
        <v>455.577499229166</v>
      </c>
      <c r="H66" s="13" t="n">
        <f aca="false">H63*H65</f>
        <v>463.889328972086</v>
      </c>
      <c r="I66" s="13" t="n">
        <f aca="false">I63*I65</f>
        <v>472.352804733065</v>
      </c>
      <c r="J66" s="13" t="n">
        <f aca="false">J63*J65</f>
        <v>480.97069323321</v>
      </c>
      <c r="K66" s="13" t="n">
        <f aca="false">K63*K65</f>
        <v>489.745811671353</v>
      </c>
      <c r="L66" s="13" t="n">
        <f aca="false">L63*L65</f>
        <v>498.681028644993</v>
      </c>
      <c r="M66" s="13" t="n">
        <f aca="false">M63*M65</f>
        <v>507.779265088045</v>
      </c>
      <c r="N66" s="13" t="n">
        <f aca="false">N63*N65</f>
        <v>508.318884116089</v>
      </c>
      <c r="O66" s="13" t="n">
        <f aca="false">O63*O65</f>
        <v>513.987692275643</v>
      </c>
      <c r="P66" s="13" t="n">
        <f aca="false">P63*P65</f>
        <v>519.719719384865</v>
      </c>
      <c r="Q66" s="13" t="n">
        <f aca="false">Q63*Q65</f>
        <v>525.515670465953</v>
      </c>
      <c r="R66" s="13" t="n">
        <f aca="false">R63*R65</f>
        <v>510.921238075844</v>
      </c>
      <c r="T66" s="5" t="s">
        <v>376</v>
      </c>
    </row>
    <row r="67" customFormat="false" ht="15" hidden="false" customHeight="false" outlineLevel="0" collapsed="false">
      <c r="A67" s="5" t="s">
        <v>286</v>
      </c>
      <c r="B67" s="0" t="s">
        <v>116</v>
      </c>
      <c r="C67" s="14" t="n">
        <f aca="false">1-C66/C64</f>
        <v>0.780997113915455</v>
      </c>
      <c r="D67" s="14" t="n">
        <f aca="false">1-D66/D64</f>
        <v>0.820083682008368</v>
      </c>
      <c r="E67" s="14" t="n">
        <f aca="false">1-E66/E64</f>
        <v>0.813378212130535</v>
      </c>
      <c r="F67" s="14" t="n">
        <f aca="false">1-F66/F64</f>
        <v>0.825518360323715</v>
      </c>
      <c r="G67" s="14" t="n">
        <f aca="false">1-G66/G64</f>
        <v>0.831974828771967</v>
      </c>
      <c r="H67" s="14" t="n">
        <f aca="false">1-H66/H64</f>
        <v>0.829676193597219</v>
      </c>
      <c r="I67" s="14" t="n">
        <f aca="false">1-I66/I64</f>
        <v>0.823633125567728</v>
      </c>
      <c r="J67" s="14" t="n">
        <f aca="false">1-J66/J64</f>
        <v>0.821220373369547</v>
      </c>
      <c r="K67" s="14" t="n">
        <f aca="false">1-K66/K64</f>
        <v>0.81877461399137</v>
      </c>
      <c r="L67" s="14" t="n">
        <f aca="false">1-L66/L64</f>
        <v>0.816295395884987</v>
      </c>
      <c r="M67" s="14" t="n">
        <f aca="false">1-M66/M64</f>
        <v>0.813782261324877</v>
      </c>
      <c r="N67" s="14" t="n">
        <f aca="false">1-N66/N64</f>
        <v>0.8151268134098</v>
      </c>
      <c r="O67" s="14" t="n">
        <f aca="false">1-O66/O64</f>
        <v>0.816461657395366</v>
      </c>
      <c r="P67" s="14" t="n">
        <f aca="false">1-P66/P64</f>
        <v>0.81778686337718</v>
      </c>
      <c r="Q67" s="14" t="n">
        <f aca="false">1-Q66/Q64</f>
        <v>0.819102500944737</v>
      </c>
      <c r="R67" s="14" t="n">
        <f aca="false">1-R66/R64</f>
        <v>0.820139205511522</v>
      </c>
    </row>
    <row r="68" customFormat="false" ht="17.15" hidden="false" customHeight="false" outlineLevel="0" collapsed="false">
      <c r="A68" s="5" t="s">
        <v>377</v>
      </c>
      <c r="B68" s="0" t="s">
        <v>25</v>
      </c>
      <c r="C68" s="13" t="n">
        <f aca="false">q1_gp-q1_op</f>
        <v>110.1</v>
      </c>
      <c r="D68" s="13" t="n">
        <f aca="false">g2_ox</f>
        <v>70</v>
      </c>
      <c r="E68" s="13" t="n">
        <f aca="false">(g2_ox-ox_var*g2_rev)*(1+ox_g)^(1/4)+ox_var*E64</f>
        <v>70.4832850993763</v>
      </c>
      <c r="F68" s="13" t="n">
        <f aca="false">(g2_ox-ox_var*g2_rev)*(1+ox_g)^(2/4)+ox_var*F64</f>
        <v>73.9925909850122</v>
      </c>
      <c r="G68" s="13" t="n">
        <f aca="false">(g2_ox-ox_var*g2_rev)*(1+ox_g)^(3/4)+ox_var*G64</f>
        <v>76.6296327715827</v>
      </c>
      <c r="H68" s="13" t="n">
        <f aca="false">(g2_ox-ox_var*g2_rev)*(1+ox_g)^(4/4)+ox_var*H64</f>
        <v>77.9457305047002</v>
      </c>
      <c r="I68" s="13" t="n">
        <f aca="false">(g2_ox-ox_var*g2_rev)*(1+ox_g)^(5/4)+ox_var*I64</f>
        <v>78.7152044337401</v>
      </c>
      <c r="J68" s="13" t="n">
        <f aca="false">(g2_ox-ox_var*g2_rev)*(1+ox_g)^(6/4)+ox_var*J64</f>
        <v>80.0880890673175</v>
      </c>
      <c r="K68" s="13" t="n">
        <f aca="false">(g2_ox-ox_var*g2_rev)*(1+ox_g)^(7/4)+ox_var*K64</f>
        <v>81.491714063842</v>
      </c>
      <c r="L68" s="13" t="n">
        <f aca="false">(g2_ox-ox_var*g2_rev)*(1+ox_g)^(8/4)+ox_var*L64</f>
        <v>82.9268100382058</v>
      </c>
      <c r="M68" s="13" t="n">
        <f aca="false">(g2_ox-ox_var*g2_rev)*(1+ox_g)^(9/4)+ox_var*M64</f>
        <v>84.3941251751739</v>
      </c>
      <c r="N68" s="13" t="n">
        <f aca="false">(g2_ox-ox_var*g2_rev)*(1+ox_g)^(10/4)+ox_var*N64</f>
        <v>85.9991503860125</v>
      </c>
      <c r="O68" s="13" t="n">
        <f aca="false">(g2_ox-ox_var*g2_rev)*(1+ox_g)^(11/4)+ox_var*O64</f>
        <v>87.9187210385158</v>
      </c>
      <c r="P68" s="13" t="n">
        <f aca="false">(g2_ox-ox_var*g2_rev)*(1+ox_g)^(12/4)+ox_var*P64</f>
        <v>89.8817262506354</v>
      </c>
      <c r="Q68" s="13" t="n">
        <f aca="false">(g2_ox-ox_var*g2_rev)*(1+ox_g)^(13/4)+ox_var*Q64</f>
        <v>91.8891605853321</v>
      </c>
      <c r="R68" s="13" t="n">
        <f aca="false">(g2_ox-ox_var*g2_rev)*(1+ox_g)^(14/4)+ox_var*R64</f>
        <v>92.7604487712268</v>
      </c>
      <c r="T68" s="5" t="s">
        <v>378</v>
      </c>
    </row>
    <row r="69" customFormat="false" ht="15" hidden="false" customHeight="false" outlineLevel="0" collapsed="false">
      <c r="A69" s="5" t="s">
        <v>284</v>
      </c>
      <c r="B69" s="0" t="s">
        <v>25</v>
      </c>
      <c r="C69" s="13" t="n">
        <f aca="false">C64-C66-C68</f>
        <v>1270</v>
      </c>
      <c r="D69" s="13" t="n">
        <f aca="false">D64-D66-D68</f>
        <v>1890</v>
      </c>
      <c r="E69" s="13" t="n">
        <f aca="false">E64-E66-E68</f>
        <v>1822.38153655671</v>
      </c>
      <c r="F69" s="13" t="n">
        <f aca="false">F64-F66-F68</f>
        <v>2042.84311909533</v>
      </c>
      <c r="G69" s="13" t="n">
        <f aca="false">G64-G66-G68</f>
        <v>2179.15745640895</v>
      </c>
      <c r="H69" s="13" t="n">
        <f aca="false">H64-H66-H68</f>
        <v>2181.73799099323</v>
      </c>
      <c r="I69" s="13" t="n">
        <f aca="false">I64-I66-I68</f>
        <v>2127.17191685999</v>
      </c>
      <c r="J69" s="13" t="n">
        <f aca="false">J64-J66-J68</f>
        <v>2129.24045536038</v>
      </c>
      <c r="K69" s="13" t="n">
        <f aca="false">K64-K66-K68</f>
        <v>2131.17532302558</v>
      </c>
      <c r="L69" s="13" t="n">
        <f aca="false">L64-L66-L68</f>
        <v>2132.97316513738</v>
      </c>
      <c r="M69" s="13" t="n">
        <f aca="false">M64-M66-M68</f>
        <v>2134.63055817222</v>
      </c>
      <c r="N69" s="13" t="n">
        <f aca="false">N64-N66-N68</f>
        <v>2155.23636812123</v>
      </c>
      <c r="O69" s="13" t="n">
        <f aca="false">O64-O66-O68</f>
        <v>2198.53127715165</v>
      </c>
      <c r="P69" s="13" t="n">
        <f aca="false">P64-P66-P68</f>
        <v>2242.66117942804</v>
      </c>
      <c r="Q69" s="13" t="n">
        <f aca="false">Q64-Q66-Q68</f>
        <v>2287.64180149178</v>
      </c>
      <c r="R69" s="13" t="n">
        <f aca="false">R64-R66-R68</f>
        <v>2236.96649069989</v>
      </c>
    </row>
    <row r="71" customFormat="false" ht="17.15" hidden="false" customHeight="false" outlineLevel="0" collapsed="false">
      <c r="A71" s="5" t="s">
        <v>285</v>
      </c>
      <c r="B71" s="0" t="s">
        <v>25</v>
      </c>
      <c r="C71" s="13" t="n">
        <f aca="false">q1_ni</f>
        <v>842.2</v>
      </c>
      <c r="D71" s="13" t="n">
        <f aca="false">g2_ni</f>
        <v>1270</v>
      </c>
      <c r="E71" s="13" t="n">
        <f aca="false">(E69+nonop_q+rf*nc_j/4)*(1-tax)</f>
        <v>1229.28532485856</v>
      </c>
      <c r="F71" s="13" t="n">
        <f aca="false">(F69+nonop_q+rf*nc_j/4)*(1-tax)</f>
        <v>1379.19920098482</v>
      </c>
      <c r="G71" s="13" t="n">
        <f aca="false">(G69+nonop_q+rf*$D87/4)*(1-tax)</f>
        <v>1477.03508931323</v>
      </c>
      <c r="H71" s="13" t="n">
        <f aca="false">(H69+nonop_q+rf*$D87/4)*(1-tax)</f>
        <v>1478.78985283054</v>
      </c>
      <c r="I71" s="13" t="n">
        <f aca="false">(I69+nonop_q+rf*$D87/4)*(1-tax)</f>
        <v>1441.68492241994</v>
      </c>
      <c r="J71" s="13" t="n">
        <f aca="false">(J69+nonop_q+rf*$D87/4)*(1-tax)</f>
        <v>1443.09152860021</v>
      </c>
      <c r="K71" s="13" t="n">
        <f aca="false">(K69+nonop_q+rf*$E87/4)*(1-tax)</f>
        <v>1452.14645650724</v>
      </c>
      <c r="L71" s="13" t="n">
        <f aca="false">(L69+nonop_q+rf*$E87/4)*(1-tax)</f>
        <v>1453.36898914327</v>
      </c>
      <c r="M71" s="13" t="n">
        <f aca="false">(M69+nonop_q+rf*$E87/4)*(1-tax)</f>
        <v>1454.49601640696</v>
      </c>
      <c r="N71" s="13" t="n">
        <f aca="false">(N69+nonop_q+rf*$E87/4)*(1-tax)</f>
        <v>1468.50796717229</v>
      </c>
      <c r="O71" s="13" t="n">
        <f aca="false">(O69+nonop_q+rf*$F87/4)*(1-tax)</f>
        <v>1505.67129173672</v>
      </c>
      <c r="P71" s="13" t="n">
        <f aca="false">(P69+nonop_q+rf*$F87/4)*(1-tax)</f>
        <v>1535.67962528467</v>
      </c>
      <c r="Q71" s="13" t="n">
        <f aca="false">(Q69+nonop_q+rf*$F87/4)*(1-tax)</f>
        <v>1566.26644828801</v>
      </c>
      <c r="R71" s="13" t="n">
        <f aca="false">(R69+nonop_q+rf*$F87/4)*(1-tax)</f>
        <v>1531.80723694953</v>
      </c>
      <c r="T71" s="5" t="s">
        <v>379</v>
      </c>
    </row>
    <row r="72" customFormat="false" ht="17.15" hidden="false" customHeight="false" outlineLevel="0" collapsed="false">
      <c r="A72" s="5" t="s">
        <v>380</v>
      </c>
      <c r="B72" s="0" t="s">
        <v>78</v>
      </c>
      <c r="C72" s="17" t="n">
        <f aca="false">C71/(sh0+dil)*1000</f>
        <v>507.343332753891</v>
      </c>
      <c r="D72" s="17" t="n">
        <f aca="false">D71/(sh0+dil)*1000</f>
        <v>765.051095461222</v>
      </c>
      <c r="E72" s="17" t="n">
        <f aca="false">E71/(sh0+dil)*1000</f>
        <v>740.524475919251</v>
      </c>
      <c r="F72" s="17" t="n">
        <f aca="false">F71/(sh0+dil)*1000</f>
        <v>830.832960293451</v>
      </c>
      <c r="G72" s="17" t="n">
        <f aca="false">G71/(sh0+dil)*1000</f>
        <v>889.769537884844</v>
      </c>
      <c r="H72" s="17" t="n">
        <f aca="false">H71/(sh0+dil)*1000</f>
        <v>890.826611704683</v>
      </c>
      <c r="I72" s="17" t="n">
        <f aca="false">I71/(sh0+dil)*1000</f>
        <v>868.47451118685</v>
      </c>
      <c r="J72" s="17" t="n">
        <f aca="false">J71/(sh0+dil)*1000</f>
        <v>869.321854178266</v>
      </c>
      <c r="K72" s="17" t="n">
        <f aca="false">K71/(sh0+dil)*1000</f>
        <v>874.776564819685</v>
      </c>
      <c r="L72" s="17" t="n">
        <f aca="false">L71/(sh0+dil)*1000</f>
        <v>875.51302145939</v>
      </c>
      <c r="M72" s="17" t="n">
        <f aca="false">M71/(sh0+dil)*1000</f>
        <v>876.191945430023</v>
      </c>
      <c r="N72" s="17" t="n">
        <f aca="false">N71/(sh0+dil)*1000</f>
        <v>884.632778723378</v>
      </c>
      <c r="O72" s="17" t="n">
        <f aca="false">O71/(sh0+dil)*1000</f>
        <v>907.020056021805</v>
      </c>
      <c r="P72" s="17" t="n">
        <f aca="false">P71/(sh0+dil)*1000</f>
        <v>925.097149292532</v>
      </c>
      <c r="Q72" s="17" t="n">
        <f aca="false">Q71/(sh0+dil)*1000</f>
        <v>943.522726021183</v>
      </c>
      <c r="R72" s="17" t="n">
        <f aca="false">R71/(sh0+dil)*1000</f>
        <v>922.764413120996</v>
      </c>
    </row>
    <row r="74" customFormat="false" ht="17.15" hidden="false" customHeight="false" outlineLevel="0" collapsed="false">
      <c r="A74" s="12" t="s">
        <v>381</v>
      </c>
      <c r="B74" s="6" t="s">
        <v>15</v>
      </c>
      <c r="C74" s="12" t="s">
        <v>338</v>
      </c>
      <c r="D74" s="12" t="s">
        <v>339</v>
      </c>
      <c r="E74" s="12" t="s">
        <v>340</v>
      </c>
      <c r="F74" s="12" t="s">
        <v>341</v>
      </c>
      <c r="G74" s="12" t="s">
        <v>342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6" t="s">
        <v>343</v>
      </c>
    </row>
    <row r="75" customFormat="false" ht="17.15" hidden="false" customHeight="false" outlineLevel="0" collapsed="false">
      <c r="A75" s="5" t="s">
        <v>280</v>
      </c>
      <c r="B75" s="0" t="s">
        <v>25</v>
      </c>
      <c r="C75" s="13" t="n">
        <f aca="false">a25_rev</f>
        <v>2337.6</v>
      </c>
      <c r="D75" s="13" t="n">
        <f aca="false">SUM(C64:F64)</f>
        <v>9048.51471169515</v>
      </c>
      <c r="E75" s="13" t="n">
        <f aca="false">SUM(G64:J64)</f>
        <v>10803.4768025674</v>
      </c>
      <c r="F75" s="13" t="n">
        <f aca="false">SUM(K64:N64)</f>
        <v>10893.3522036401</v>
      </c>
      <c r="G75" s="13" t="n">
        <f aca="false">SUM(O64:R64)</f>
        <v>11398.3951256194</v>
      </c>
      <c r="T75" s="8" t="s">
        <v>382</v>
      </c>
    </row>
    <row r="76" customFormat="false" ht="15" hidden="false" customHeight="false" outlineLevel="0" collapsed="false">
      <c r="A76" s="5" t="s">
        <v>375</v>
      </c>
      <c r="B76" s="0" t="s">
        <v>25</v>
      </c>
      <c r="C76" s="13" t="n">
        <f aca="false">a25_rev-(p1_gp+p2_gp+p3_gp+p4_gp)</f>
        <v>1324.8</v>
      </c>
      <c r="D76" s="13" t="n">
        <f aca="false">SUM(C66:F66)</f>
        <v>1698.71417995872</v>
      </c>
      <c r="E76" s="13" t="n">
        <f aca="false">SUM(G66:J66)</f>
        <v>1872.79032616753</v>
      </c>
      <c r="F76" s="13" t="n">
        <f aca="false">SUM(K66:N66)</f>
        <v>2004.52498952048</v>
      </c>
      <c r="G76" s="13" t="n">
        <f aca="false">SUM(O66:R66)</f>
        <v>2070.14432020231</v>
      </c>
    </row>
    <row r="77" customFormat="false" ht="15" hidden="false" customHeight="false" outlineLevel="0" collapsed="false">
      <c r="A77" s="5" t="s">
        <v>286</v>
      </c>
      <c r="B77" s="0" t="s">
        <v>116</v>
      </c>
      <c r="C77" s="14" t="n">
        <f aca="false">1-C76/C75</f>
        <v>0.433264887063655</v>
      </c>
      <c r="D77" s="14" t="n">
        <f aca="false">1-D76/D75</f>
        <v>0.81226596473749</v>
      </c>
      <c r="E77" s="14" t="n">
        <f aca="false">1-E76/E75</f>
        <v>0.826649294445427</v>
      </c>
      <c r="F77" s="14" t="n">
        <f aca="false">1-F76/F75</f>
        <v>0.815986396836536</v>
      </c>
      <c r="G77" s="14" t="n">
        <f aca="false">1-G76/G75</f>
        <v>0.818382825179539</v>
      </c>
    </row>
    <row r="78" customFormat="false" ht="15" hidden="false" customHeight="false" outlineLevel="0" collapsed="false">
      <c r="A78" s="5" t="s">
        <v>377</v>
      </c>
      <c r="B78" s="0" t="s">
        <v>25</v>
      </c>
      <c r="D78" s="13" t="n">
        <f aca="false">SUM(C68:F68)</f>
        <v>324.575876084388</v>
      </c>
      <c r="E78" s="13" t="n">
        <f aca="false">SUM(G68:J68)</f>
        <v>313.37865677734</v>
      </c>
      <c r="F78" s="13" t="n">
        <f aca="false">SUM(K68:N68)</f>
        <v>334.811799663234</v>
      </c>
      <c r="G78" s="13" t="n">
        <f aca="false">SUM(O68:R68)</f>
        <v>362.45005664571</v>
      </c>
    </row>
    <row r="79" customFormat="false" ht="15" hidden="false" customHeight="false" outlineLevel="0" collapsed="false">
      <c r="A79" s="5" t="s">
        <v>284</v>
      </c>
      <c r="B79" s="0" t="s">
        <v>25</v>
      </c>
      <c r="C79" s="13" t="n">
        <f aca="false">p1_op+p2_op+p3_op+p4_op</f>
        <v>869</v>
      </c>
      <c r="D79" s="13" t="n">
        <f aca="false">SUM(C69:F69)</f>
        <v>7025.22465565204</v>
      </c>
      <c r="E79" s="13" t="n">
        <f aca="false">SUM(G69:J69)</f>
        <v>8617.30781962255</v>
      </c>
      <c r="F79" s="13" t="n">
        <f aca="false">SUM(K69:N69)</f>
        <v>8554.01541445641</v>
      </c>
      <c r="G79" s="13" t="n">
        <f aca="false">SUM(O69:R69)</f>
        <v>8965.80074877136</v>
      </c>
    </row>
    <row r="80" customFormat="false" ht="15" hidden="false" customHeight="false" outlineLevel="0" collapsed="false">
      <c r="A80" s="5" t="s">
        <v>287</v>
      </c>
      <c r="B80" s="0" t="s">
        <v>116</v>
      </c>
      <c r="C80" s="14" t="n">
        <f aca="false">C79/C75</f>
        <v>0.371748802190281</v>
      </c>
      <c r="D80" s="14" t="n">
        <f aca="false">D79/D75</f>
        <v>0.776395339952532</v>
      </c>
      <c r="E80" s="14" t="n">
        <f aca="false">E79/E75</f>
        <v>0.797642090329168</v>
      </c>
      <c r="F80" s="14" t="n">
        <f aca="false">F79/F75</f>
        <v>0.785250972753639</v>
      </c>
      <c r="G80" s="14" t="n">
        <f aca="false">G79/G75</f>
        <v>0.786584484040175</v>
      </c>
    </row>
    <row r="81" customFormat="false" ht="15" hidden="false" customHeight="false" outlineLevel="0" collapsed="false">
      <c r="A81" s="5" t="s">
        <v>285</v>
      </c>
      <c r="B81" s="0" t="s">
        <v>25</v>
      </c>
      <c r="C81" s="13" t="n">
        <f aca="false">a25_ni</f>
        <v>554.5</v>
      </c>
      <c r="D81" s="13" t="n">
        <f aca="false">SUM(C71:F71)</f>
        <v>4720.68452584339</v>
      </c>
      <c r="E81" s="13" t="n">
        <f aca="false">SUM(G71:J71)</f>
        <v>5840.60139316392</v>
      </c>
      <c r="F81" s="13" t="n">
        <f aca="false">SUM(K71:N71)</f>
        <v>5828.51942922976</v>
      </c>
      <c r="G81" s="13" t="n">
        <f aca="false">SUM(O71:R71)</f>
        <v>6139.42460225893</v>
      </c>
    </row>
    <row r="82" customFormat="false" ht="15" hidden="false" customHeight="false" outlineLevel="0" collapsed="false">
      <c r="A82" s="5" t="s">
        <v>383</v>
      </c>
      <c r="B82" s="0" t="s">
        <v>25</v>
      </c>
      <c r="D82" s="13" t="n">
        <f aca="false">da_y</f>
        <v>320</v>
      </c>
      <c r="E82" s="13" t="n">
        <f aca="false">da_y</f>
        <v>320</v>
      </c>
      <c r="F82" s="13" t="n">
        <f aca="false">da_y</f>
        <v>320</v>
      </c>
      <c r="G82" s="13" t="n">
        <f aca="false">da_y</f>
        <v>320</v>
      </c>
    </row>
    <row r="83" customFormat="false" ht="15" hidden="false" customHeight="false" outlineLevel="0" collapsed="false">
      <c r="A83" s="5" t="s">
        <v>384</v>
      </c>
      <c r="B83" s="0" t="s">
        <v>25</v>
      </c>
      <c r="D83" s="13" t="n">
        <f aca="false">cap_2026</f>
        <v>450</v>
      </c>
      <c r="E83" s="13" t="n">
        <f aca="false">cap_2027</f>
        <v>470</v>
      </c>
      <c r="F83" s="13" t="n">
        <f aca="false">cap_2028</f>
        <v>470</v>
      </c>
      <c r="G83" s="13" t="n">
        <f aca="false">cap_2029</f>
        <v>470</v>
      </c>
    </row>
    <row r="84" customFormat="false" ht="15" hidden="false" customHeight="false" outlineLevel="0" collapsed="false">
      <c r="A84" s="5" t="s">
        <v>385</v>
      </c>
      <c r="B84" s="0" t="s">
        <v>25</v>
      </c>
      <c r="D84" s="13" t="n">
        <f aca="false">D81+D82-D83</f>
        <v>4590.68452584339</v>
      </c>
      <c r="E84" s="13" t="n">
        <f aca="false">E81+E82-E83</f>
        <v>5690.60139316392</v>
      </c>
      <c r="F84" s="13" t="n">
        <f aca="false">F81+F82-F83</f>
        <v>5678.51942922976</v>
      </c>
      <c r="G84" s="13" t="n">
        <f aca="false">G81+G82-G83</f>
        <v>5989.42460225893</v>
      </c>
    </row>
    <row r="85" customFormat="false" ht="17.15" hidden="false" customHeight="false" outlineLevel="0" collapsed="false">
      <c r="A85" s="5" t="s">
        <v>386</v>
      </c>
      <c r="B85" s="0" t="s">
        <v>25</v>
      </c>
      <c r="D85" s="13" t="n">
        <f aca="false">MAX(0,payout*(SUM(D71:F71)+0.75*(D82-D83)))</f>
        <v>756.196905168678</v>
      </c>
      <c r="E85" s="13" t="n">
        <f aca="false">MAX(0,payout*E84)</f>
        <v>1138.12027863278</v>
      </c>
      <c r="F85" s="13" t="n">
        <f aca="false">MAX(0,payout*F84)</f>
        <v>1135.70388584595</v>
      </c>
      <c r="G85" s="13" t="n">
        <f aca="false">MAX(0,payout*G84)</f>
        <v>1197.88492045179</v>
      </c>
      <c r="T85" s="8" t="s">
        <v>387</v>
      </c>
    </row>
    <row r="86" customFormat="false" ht="17.15" hidden="false" customHeight="false" outlineLevel="0" collapsed="false">
      <c r="A86" s="5" t="s">
        <v>388</v>
      </c>
      <c r="B86" s="0" t="s">
        <v>25</v>
      </c>
      <c r="C86" s="13" t="n">
        <f aca="false">eq25</f>
        <v>1399.1</v>
      </c>
      <c r="D86" s="13" t="n">
        <f aca="false">eq_j+SUM(D71:F71)-D85</f>
        <v>5526.58762067471</v>
      </c>
      <c r="E86" s="13" t="n">
        <f aca="false">D86+E81-E85</f>
        <v>10229.0687352058</v>
      </c>
      <c r="F86" s="13" t="n">
        <f aca="false">E86+F81-F85</f>
        <v>14921.8842785897</v>
      </c>
      <c r="G86" s="13" t="n">
        <f aca="false">F86+G81-G85</f>
        <v>19863.4239603968</v>
      </c>
      <c r="T86" s="8" t="s">
        <v>389</v>
      </c>
    </row>
    <row r="87" customFormat="false" ht="15" hidden="false" customHeight="false" outlineLevel="0" collapsed="false">
      <c r="A87" s="5" t="s">
        <v>390</v>
      </c>
      <c r="B87" s="0" t="s">
        <v>25</v>
      </c>
      <c r="D87" s="13" t="n">
        <f aca="false">nc_j+(SUM(D71:F71)+0.75*(D82-D83))-D85</f>
        <v>3181.18762067471</v>
      </c>
      <c r="E87" s="13" t="n">
        <f aca="false">D87+E84-E85</f>
        <v>7733.66873520585</v>
      </c>
      <c r="F87" s="13" t="n">
        <f aca="false">E87+F84-F85</f>
        <v>12276.4842785897</v>
      </c>
      <c r="G87" s="13" t="n">
        <f aca="false">F87+G84-G85</f>
        <v>17068.0239603968</v>
      </c>
    </row>
    <row r="88" customFormat="false" ht="15" hidden="false" customHeight="false" outlineLevel="0" collapsed="false">
      <c r="A88" s="5" t="s">
        <v>391</v>
      </c>
      <c r="B88" s="5" t="s">
        <v>159</v>
      </c>
      <c r="D88" s="13" t="n">
        <f aca="false">sh0-D85/bb_px*1000</f>
        <v>1584.75760234428</v>
      </c>
      <c r="E88" s="13" t="n">
        <f aca="false">D88-E85/bb_px*1000</f>
        <v>1495.52825866472</v>
      </c>
      <c r="F88" s="13" t="n">
        <f aca="false">E88-F85/bb_px*1000</f>
        <v>1406.48836169522</v>
      </c>
      <c r="G88" s="13" t="n">
        <f aca="false">F88-G85/bb_px*1000</f>
        <v>1312.57343261237</v>
      </c>
    </row>
    <row r="89" customFormat="false" ht="17.15" hidden="false" customHeight="false" outlineLevel="0" collapsed="false">
      <c r="A89" s="0" t="s">
        <v>392</v>
      </c>
      <c r="B89" s="0" t="s">
        <v>78</v>
      </c>
      <c r="C89" s="17" t="n">
        <f aca="false">a25_eps</f>
        <v>341.4</v>
      </c>
      <c r="D89" s="17" t="n">
        <f aca="false">D81/(D88+dil)*1000</f>
        <v>2949.0758024341</v>
      </c>
      <c r="E89" s="17" t="n">
        <f aca="false">E81/(E88+dil)*1000</f>
        <v>3864.09871548453</v>
      </c>
      <c r="F89" s="17" t="n">
        <f aca="false">F81/(F88+dil)*1000</f>
        <v>4097.48031216383</v>
      </c>
      <c r="G89" s="17" t="n">
        <f aca="false">G81/(G88+dil)*1000</f>
        <v>4621.14903358186</v>
      </c>
    </row>
    <row r="90" customFormat="false" ht="17.15" hidden="false" customHeight="false" outlineLevel="0" collapsed="false">
      <c r="A90" s="5" t="s">
        <v>393</v>
      </c>
      <c r="B90" s="0" t="s">
        <v>78</v>
      </c>
      <c r="D90" s="17" t="n">
        <f aca="false">D86/D88*1000</f>
        <v>3487.33939657359</v>
      </c>
      <c r="E90" s="17" t="n">
        <f aca="false">E86/E88*1000</f>
        <v>6839.76961046449</v>
      </c>
      <c r="F90" s="17" t="n">
        <f aca="false">F86/F88*1000</f>
        <v>10609.3194120743</v>
      </c>
      <c r="G90" s="17" t="n">
        <f aca="false">G86/G88*1000</f>
        <v>15133.1906214674</v>
      </c>
    </row>
    <row r="91" customFormat="false" ht="17.15" hidden="false" customHeight="false" outlineLevel="0" collapsed="false">
      <c r="A91" s="0" t="s">
        <v>394</v>
      </c>
      <c r="B91" s="0" t="s">
        <v>116</v>
      </c>
      <c r="D91" s="21" t="n">
        <f aca="false">D81/D86</f>
        <v>0.854177088984082</v>
      </c>
      <c r="E91" s="21" t="n">
        <f aca="false">E81/E86</f>
        <v>0.570980755370434</v>
      </c>
      <c r="F91" s="21" t="n">
        <f aca="false">F81/F86</f>
        <v>0.390602106303202</v>
      </c>
      <c r="G91" s="21" t="n">
        <f aca="false">G81/G86</f>
        <v>0.309081889129466</v>
      </c>
    </row>
    <row r="92" customFormat="false" ht="15" hidden="false" customHeight="false" outlineLevel="0" collapsed="false">
      <c r="A92" s="5" t="s">
        <v>395</v>
      </c>
      <c r="B92" s="0" t="s">
        <v>78</v>
      </c>
      <c r="E92" s="17" t="n">
        <f aca="false">E84/(E88+dil)*1000</f>
        <v>3764.8598240921</v>
      </c>
      <c r="F92" s="17" t="n">
        <f aca="false">F84/(F88+dil)*1000</f>
        <v>3992.02951041438</v>
      </c>
      <c r="G92" s="17" t="n">
        <f aca="false">G84/(G88+dil)*1000</f>
        <v>4508.2439325432</v>
      </c>
    </row>
    <row r="93" customFormat="false" ht="17.15" hidden="false" customHeight="false" outlineLevel="0" collapsed="false">
      <c r="A93" s="5" t="s">
        <v>396</v>
      </c>
      <c r="B93" s="0" t="s">
        <v>25</v>
      </c>
      <c r="D93" s="18" t="n">
        <f aca="false">ABS(C64-q1_rev)+ABS(D69-g2_op)+ABS(C75-2337.6)</f>
        <v>0</v>
      </c>
    </row>
    <row r="110" customFormat="false" ht="17.15" hidden="false" customHeight="false" outlineLevel="0" collapsed="false">
      <c r="A110" s="3" t="s">
        <v>671</v>
      </c>
    </row>
    <row r="111" customFormat="false" ht="17.15" hidden="false" customHeight="false" outlineLevel="0" collapsed="false">
      <c r="A111" s="12" t="s">
        <v>352</v>
      </c>
      <c r="B111" s="6" t="s">
        <v>15</v>
      </c>
      <c r="C111" s="12" t="s">
        <v>353</v>
      </c>
      <c r="D111" s="12" t="s">
        <v>354</v>
      </c>
      <c r="E111" s="12" t="s">
        <v>355</v>
      </c>
      <c r="F111" s="12" t="s">
        <v>356</v>
      </c>
      <c r="G111" s="12" t="s">
        <v>357</v>
      </c>
      <c r="H111" s="12" t="s">
        <v>358</v>
      </c>
      <c r="I111" s="12" t="s">
        <v>359</v>
      </c>
      <c r="J111" s="12" t="s">
        <v>360</v>
      </c>
      <c r="K111" s="12" t="s">
        <v>361</v>
      </c>
      <c r="L111" s="12" t="s">
        <v>362</v>
      </c>
      <c r="M111" s="12" t="s">
        <v>363</v>
      </c>
      <c r="N111" s="12" t="s">
        <v>364</v>
      </c>
      <c r="O111" s="12" t="s">
        <v>365</v>
      </c>
      <c r="P111" s="12" t="s">
        <v>366</v>
      </c>
      <c r="Q111" s="12" t="s">
        <v>367</v>
      </c>
      <c r="R111" s="12" t="s">
        <v>368</v>
      </c>
      <c r="S111" s="12"/>
      <c r="T111" s="6" t="s">
        <v>343</v>
      </c>
    </row>
    <row r="112" customFormat="false" ht="17.15" hidden="false" customHeight="false" outlineLevel="0" collapsed="false">
      <c r="A112" s="5" t="s">
        <v>369</v>
      </c>
      <c r="B112" s="0" t="s">
        <v>317</v>
      </c>
      <c r="C112" s="19" t="n">
        <f aca="false">Units!H4*1</f>
        <v>10.72</v>
      </c>
      <c r="D112" s="19" t="n">
        <f aca="false">Units!I4*1</f>
        <v>14.3197859923946</v>
      </c>
      <c r="E112" s="19" t="n">
        <f aca="false">Units!J4*1*1.2</f>
        <v>21.1763927363443</v>
      </c>
      <c r="F112" s="19" t="n">
        <f aca="false">Units!K4*1*1.2</f>
        <v>23.3337926318058</v>
      </c>
      <c r="G112" s="19" t="n">
        <f aca="false">Units!L4*1*1.2</f>
        <v>24.6724817959526</v>
      </c>
      <c r="H112" s="19" t="n">
        <f aca="false">Units!M4*1*1.2</f>
        <v>24.7835745863606</v>
      </c>
      <c r="I112" s="19" t="n">
        <f aca="false">Units!N4*1*1.2</f>
        <v>24.3710588028469</v>
      </c>
      <c r="J112" s="19" t="n">
        <f aca="false">Units!O4*1*1.2</f>
        <v>24.480794375863</v>
      </c>
      <c r="K112" s="19" t="n">
        <f aca="false">Units!P4*1*1.2</f>
        <v>24.5910240552732</v>
      </c>
      <c r="L112" s="19" t="n">
        <f aca="false">Units!Q4*1*1.2</f>
        <v>24.7017500658904</v>
      </c>
      <c r="M112" s="19" t="n">
        <f aca="false">Units!R4*1*1.2</f>
        <v>24.8129746425454</v>
      </c>
      <c r="N112" s="19" t="n">
        <f aca="false">Units!S4*1*1.2</f>
        <v>25.019995922236</v>
      </c>
      <c r="O112" s="19" t="n">
        <f aca="false">Units!T4*1*1.2</f>
        <v>25.4830162767756</v>
      </c>
      <c r="P112" s="19" t="n">
        <f aca="false">Units!U4*1*1.2</f>
        <v>25.9546052917332</v>
      </c>
      <c r="Q112" s="19" t="n">
        <f aca="false">Units!V4*1*1.2</f>
        <v>26.4349215388447</v>
      </c>
      <c r="R112" s="19" t="n">
        <f aca="false">Units!W4*1*1.2</f>
        <v>25.8489178286204</v>
      </c>
      <c r="T112" s="8" t="s">
        <v>370</v>
      </c>
    </row>
    <row r="113" customFormat="false" ht="15" hidden="false" customHeight="false" outlineLevel="0" collapsed="false">
      <c r="A113" s="5" t="s">
        <v>371</v>
      </c>
      <c r="B113" s="0" t="s">
        <v>324</v>
      </c>
      <c r="C113" s="19" t="n">
        <f aca="false">Units!H7*1</f>
        <v>40.1757580440862</v>
      </c>
      <c r="D113" s="19" t="n">
        <f aca="false">Units!I7*1</f>
        <v>46.6667956905857</v>
      </c>
      <c r="E113" s="19" t="n">
        <f aca="false">Units!J7*1</f>
        <v>48.944548236035</v>
      </c>
      <c r="F113" s="19" t="n">
        <f aca="false">Units!K7*1</f>
        <v>52.3600980030596</v>
      </c>
      <c r="G113" s="19" t="n">
        <f aca="false">Units!L7*1</f>
        <v>55.3640629793669</v>
      </c>
      <c r="H113" s="19" t="n">
        <f aca="false">Units!M7*1</f>
        <v>58.5403692216961</v>
      </c>
      <c r="I113" s="19" t="n">
        <f aca="false">Units!N7*1</f>
        <v>61.898904166222</v>
      </c>
      <c r="J113" s="19" t="n">
        <f aca="false">Units!O7*1</f>
        <v>65.4501225038245</v>
      </c>
      <c r="K113" s="19" t="n">
        <f aca="false">Units!P7*1</f>
        <v>69.2050787242086</v>
      </c>
      <c r="L113" s="19" t="n">
        <f aca="false">Units!Q7*1</f>
        <v>73.1754615271202</v>
      </c>
      <c r="M113" s="19" t="n">
        <f aca="false">Units!R7*1</f>
        <v>77.3736302077775</v>
      </c>
      <c r="N113" s="19" t="n">
        <f aca="false">Units!S7*1</f>
        <v>80.4321433873819</v>
      </c>
      <c r="O113" s="19" t="n">
        <f aca="false">Units!T7*1</f>
        <v>84.4542491025558</v>
      </c>
      <c r="P113" s="19" t="n">
        <f aca="false">Units!U7*1</f>
        <v>88.6774850338687</v>
      </c>
      <c r="Q113" s="19" t="n">
        <f aca="false">Units!V7*1</f>
        <v>93.1119089388012</v>
      </c>
      <c r="R113" s="19" t="n">
        <f aca="false">Units!W7*1</f>
        <v>94.0045560318226</v>
      </c>
    </row>
    <row r="114" customFormat="false" ht="17.15" hidden="false" customHeight="false" outlineLevel="0" collapsed="false">
      <c r="A114" s="5" t="s">
        <v>280</v>
      </c>
      <c r="B114" s="0" t="s">
        <v>25</v>
      </c>
      <c r="C114" s="13" t="n">
        <f aca="false">q1_rev</f>
        <v>1767.1</v>
      </c>
      <c r="D114" s="13" t="n">
        <f aca="false">g2_rev</f>
        <v>2390</v>
      </c>
      <c r="E114" s="13" t="n">
        <f aca="false">E112*kx_k*fx</f>
        <v>3490.7466048875</v>
      </c>
      <c r="F114" s="13" t="n">
        <f aca="false">F112*kx_k*fx</f>
        <v>3846.37546265523</v>
      </c>
      <c r="G114" s="13" t="n">
        <f aca="false">G112*kx_k*fx</f>
        <v>4067.04688261454</v>
      </c>
      <c r="H114" s="13" t="n">
        <f aca="false">H112*kx_k*fx</f>
        <v>4085.35957570503</v>
      </c>
      <c r="I114" s="13" t="n">
        <f aca="false">I112*kx_k*fx</f>
        <v>4017.35988904019</v>
      </c>
      <c r="J114" s="13" t="n">
        <f aca="false">J112*kx_k*fx</f>
        <v>4035.44885649136</v>
      </c>
      <c r="K114" s="13" t="n">
        <f aca="false">K112*kx_k*fx</f>
        <v>4053.61927314116</v>
      </c>
      <c r="L114" s="13" t="n">
        <f aca="false">L112*kx_k*fx</f>
        <v>4071.87150573086</v>
      </c>
      <c r="M114" s="13" t="n">
        <f aca="false">M112*kx_k*fx</f>
        <v>4090.20592265316</v>
      </c>
      <c r="N114" s="13" t="n">
        <f aca="false">N112*kx_k*fx</f>
        <v>4124.331603935</v>
      </c>
      <c r="O114" s="13" t="n">
        <f aca="false">O112*kx_k*fx</f>
        <v>4200.65653569871</v>
      </c>
      <c r="P114" s="13" t="n">
        <f aca="false">P112*kx_k*fx</f>
        <v>4278.39393759531</v>
      </c>
      <c r="Q114" s="13" t="n">
        <f aca="false">Q112*kx_k*fx</f>
        <v>4357.5699488146</v>
      </c>
      <c r="R114" s="13" t="n">
        <f aca="false">R112*kx_k*fx</f>
        <v>4260.97226632045</v>
      </c>
      <c r="T114" s="5" t="s">
        <v>372</v>
      </c>
    </row>
    <row r="115" customFormat="false" ht="17.15" hidden="false" customHeight="false" outlineLevel="0" collapsed="false">
      <c r="A115" s="5" t="s">
        <v>373</v>
      </c>
      <c r="B115" s="0" t="s">
        <v>374</v>
      </c>
      <c r="C115" s="20" t="n">
        <f aca="false">C116/C113</f>
        <v>9.63267449926724</v>
      </c>
      <c r="D115" s="20" t="n">
        <f aca="false">D116/D113</f>
        <v>9.21426023871499</v>
      </c>
      <c r="E115" s="20" t="n">
        <f aca="false">$D115*(1-cd_A)^(1/4)</f>
        <v>8.87329840103618</v>
      </c>
      <c r="F115" s="20" t="n">
        <f aca="false">$D115*(1-cd_A)^(2/4)</f>
        <v>8.5449534172058</v>
      </c>
      <c r="G115" s="20" t="n">
        <f aca="false">$D115*(1-cd_A)^(3/4)</f>
        <v>8.22875841679016</v>
      </c>
      <c r="H115" s="20" t="n">
        <f aca="false">$D115*(1-cd_A)^(4/4)</f>
        <v>7.92426380529489</v>
      </c>
      <c r="I115" s="20" t="n">
        <f aca="false">$D115*(1-cd_A)^(5/4)</f>
        <v>7.63103662489111</v>
      </c>
      <c r="J115" s="20" t="n">
        <f aca="false">$D115*(1-cd_A)^(6/4)</f>
        <v>7.34865993879699</v>
      </c>
      <c r="K115" s="20" t="n">
        <f aca="false">$D115*(1-cd_A)^(7/4)</f>
        <v>7.07673223843954</v>
      </c>
      <c r="L115" s="20" t="n">
        <f aca="false">$D115*(1-cd_A)^(8/4)</f>
        <v>6.81486687255361</v>
      </c>
      <c r="M115" s="20" t="n">
        <f aca="false">$D115*(1-cd_A)^(9/4)</f>
        <v>6.56269149740636</v>
      </c>
      <c r="N115" s="20" t="n">
        <f aca="false">$D115*(1-cd_A)^(10/4)</f>
        <v>6.31984754736541</v>
      </c>
      <c r="O115" s="20" t="n">
        <f aca="false">$D115*(1-cd_A)^(11/4)</f>
        <v>6.085989725058</v>
      </c>
      <c r="P115" s="20" t="n">
        <f aca="false">$D115*(1-cd_A)^(12/4)</f>
        <v>5.8607855103961</v>
      </c>
      <c r="Q115" s="20" t="n">
        <f aca="false">$D115*(1-cd_A)^(13/4)</f>
        <v>5.64391468776947</v>
      </c>
      <c r="R115" s="20" t="n">
        <f aca="false">$D115*(1-cd_A)^(14/4)</f>
        <v>5.43506889073425</v>
      </c>
    </row>
    <row r="116" customFormat="false" ht="15" hidden="false" customHeight="false" outlineLevel="0" collapsed="false">
      <c r="A116" s="5" t="s">
        <v>375</v>
      </c>
      <c r="B116" s="0" t="s">
        <v>25</v>
      </c>
      <c r="C116" s="13" t="n">
        <f aca="false">q1_rev-q1_gp</f>
        <v>387</v>
      </c>
      <c r="D116" s="13" t="n">
        <f aca="false">g2_rev-g2_op-g2_ox</f>
        <v>430</v>
      </c>
      <c r="E116" s="13" t="n">
        <f aca="false">E113*E115</f>
        <v>434.299581602247</v>
      </c>
      <c r="F116" s="13" t="n">
        <f aca="false">F113*F115</f>
        <v>447.414598356475</v>
      </c>
      <c r="G116" s="13" t="n">
        <f aca="false">G113*G115</f>
        <v>455.577499229166</v>
      </c>
      <c r="H116" s="13" t="n">
        <f aca="false">H113*H115</f>
        <v>463.889328972086</v>
      </c>
      <c r="I116" s="13" t="n">
        <f aca="false">I113*I115</f>
        <v>472.352804733065</v>
      </c>
      <c r="J116" s="13" t="n">
        <f aca="false">J113*J115</f>
        <v>480.97069323321</v>
      </c>
      <c r="K116" s="13" t="n">
        <f aca="false">K113*K115</f>
        <v>489.745811671353</v>
      </c>
      <c r="L116" s="13" t="n">
        <f aca="false">L113*L115</f>
        <v>498.681028644993</v>
      </c>
      <c r="M116" s="13" t="n">
        <f aca="false">M113*M115</f>
        <v>507.779265088045</v>
      </c>
      <c r="N116" s="13" t="n">
        <f aca="false">N113*N115</f>
        <v>508.318884116089</v>
      </c>
      <c r="O116" s="13" t="n">
        <f aca="false">O113*O115</f>
        <v>513.987692275643</v>
      </c>
      <c r="P116" s="13" t="n">
        <f aca="false">P113*P115</f>
        <v>519.719719384865</v>
      </c>
      <c r="Q116" s="13" t="n">
        <f aca="false">Q113*Q115</f>
        <v>525.515670465953</v>
      </c>
      <c r="R116" s="13" t="n">
        <f aca="false">R113*R115</f>
        <v>510.921238075844</v>
      </c>
      <c r="T116" s="5" t="s">
        <v>376</v>
      </c>
    </row>
    <row r="117" customFormat="false" ht="15" hidden="false" customHeight="false" outlineLevel="0" collapsed="false">
      <c r="A117" s="5" t="s">
        <v>286</v>
      </c>
      <c r="B117" s="0" t="s">
        <v>116</v>
      </c>
      <c r="C117" s="14" t="n">
        <f aca="false">1-C116/C114</f>
        <v>0.780997113915455</v>
      </c>
      <c r="D117" s="14" t="n">
        <f aca="false">1-D116/D114</f>
        <v>0.820083682008368</v>
      </c>
      <c r="E117" s="14" t="n">
        <f aca="false">1-E116/E114</f>
        <v>0.87558547475369</v>
      </c>
      <c r="F117" s="14" t="n">
        <f aca="false">1-F116/F114</f>
        <v>0.883678906882477</v>
      </c>
      <c r="G117" s="14" t="n">
        <f aca="false">1-G116/G114</f>
        <v>0.887983219181311</v>
      </c>
      <c r="H117" s="14" t="n">
        <f aca="false">1-H116/H114</f>
        <v>0.88645079573148</v>
      </c>
      <c r="I117" s="14" t="n">
        <f aca="false">1-I116/I114</f>
        <v>0.882422083711818</v>
      </c>
      <c r="J117" s="14" t="n">
        <f aca="false">1-J116/J114</f>
        <v>0.880813582246365</v>
      </c>
      <c r="K117" s="14" t="n">
        <f aca="false">1-K116/K114</f>
        <v>0.879183075994247</v>
      </c>
      <c r="L117" s="14" t="n">
        <f aca="false">1-L116/L114</f>
        <v>0.877530263923325</v>
      </c>
      <c r="M117" s="14" t="n">
        <f aca="false">1-M116/M114</f>
        <v>0.875854840883251</v>
      </c>
      <c r="N117" s="14" t="n">
        <f aca="false">1-N116/N114</f>
        <v>0.876751208939867</v>
      </c>
      <c r="O117" s="14" t="n">
        <f aca="false">1-O116/O114</f>
        <v>0.877641104930244</v>
      </c>
      <c r="P117" s="14" t="n">
        <f aca="false">1-P116/P114</f>
        <v>0.878524575584787</v>
      </c>
      <c r="Q117" s="14" t="n">
        <f aca="false">1-Q116/Q114</f>
        <v>0.879401667296492</v>
      </c>
      <c r="R117" s="14" t="n">
        <f aca="false">1-R116/R114</f>
        <v>0.880092803674348</v>
      </c>
    </row>
    <row r="118" customFormat="false" ht="17.15" hidden="false" customHeight="false" outlineLevel="0" collapsed="false">
      <c r="A118" s="5" t="s">
        <v>377</v>
      </c>
      <c r="B118" s="0" t="s">
        <v>25</v>
      </c>
      <c r="C118" s="13" t="n">
        <f aca="false">q1_gp-q1_op</f>
        <v>110.1</v>
      </c>
      <c r="D118" s="13" t="n">
        <f aca="false">g2_ox</f>
        <v>70</v>
      </c>
      <c r="E118" s="13" t="n">
        <f aca="false">(g2_ox-ox_var*g2_rev)*(1+ox_g)^(1/4)+ox_var*E114</f>
        <v>82.119107115668</v>
      </c>
      <c r="F118" s="13" t="n">
        <f aca="false">(g2_ox-ox_var*g2_rev)*(1+ox_g)^(2/4)+ox_var*F114</f>
        <v>86.8138425271962</v>
      </c>
      <c r="G118" s="13" t="n">
        <f aca="false">(g2_ox-ox_var*g2_rev)*(1+ox_g)^(3/4)+ox_var*G114</f>
        <v>90.1864557136311</v>
      </c>
      <c r="H118" s="13" t="n">
        <f aca="false">(g2_ox-ox_var*g2_rev)*(1+ox_g)^(4/4)+ox_var*H114</f>
        <v>91.5635957570503</v>
      </c>
      <c r="I118" s="13" t="n">
        <f aca="false">(g2_ox-ox_var*g2_rev)*(1+ox_g)^(5/4)+ox_var*I114</f>
        <v>92.1064040638741</v>
      </c>
      <c r="J118" s="13" t="n">
        <f aca="false">(g2_ox-ox_var*g2_rev)*(1+ox_g)^(6/4)+ox_var*J114</f>
        <v>93.539585255622</v>
      </c>
      <c r="K118" s="13" t="n">
        <f aca="false">(g2_ox-ox_var*g2_rev)*(1+ox_g)^(7/4)+ox_var*K114</f>
        <v>95.0037783076459</v>
      </c>
      <c r="L118" s="13" t="n">
        <f aca="false">(g2_ox-ox_var*g2_rev)*(1+ox_g)^(8/4)+ox_var*L114</f>
        <v>96.4997150573086</v>
      </c>
      <c r="M118" s="13" t="n">
        <f aca="false">(g2_ox-ox_var*g2_rev)*(1+ox_g)^(9/4)+ox_var*M114</f>
        <v>98.0281449173511</v>
      </c>
      <c r="N118" s="13" t="n">
        <f aca="false">(g2_ox-ox_var*g2_rev)*(1+ox_g)^(10/4)+ox_var*N114</f>
        <v>99.7469223991292</v>
      </c>
      <c r="O118" s="13" t="n">
        <f aca="false">(g2_ox-ox_var*g2_rev)*(1+ox_g)^(11/4)+ox_var*O114</f>
        <v>101.920909490845</v>
      </c>
      <c r="P118" s="13" t="n">
        <f aca="false">(g2_ox-ox_var*g2_rev)*(1+ox_g)^(12/4)+ox_var*P114</f>
        <v>104.143039375953</v>
      </c>
      <c r="Q118" s="13" t="n">
        <f aca="false">(g2_ox-ox_var*g2_rev)*(1+ox_g)^(13/4)+ox_var*Q114</f>
        <v>106.414393748047</v>
      </c>
      <c r="R118" s="13" t="n">
        <f aca="false">(g2_ox-ox_var*g2_rev)*(1+ox_g)^(14/4)+ox_var*R114</f>
        <v>106.963689658962</v>
      </c>
      <c r="T118" s="5" t="s">
        <v>378</v>
      </c>
    </row>
    <row r="119" customFormat="false" ht="15" hidden="false" customHeight="false" outlineLevel="0" collapsed="false">
      <c r="A119" s="5" t="s">
        <v>284</v>
      </c>
      <c r="B119" s="0" t="s">
        <v>25</v>
      </c>
      <c r="C119" s="13" t="n">
        <f aca="false">C114-C116-C118</f>
        <v>1270</v>
      </c>
      <c r="D119" s="13" t="n">
        <f aca="false">D114-D116-D118</f>
        <v>1890</v>
      </c>
      <c r="E119" s="13" t="n">
        <f aca="false">E114-E116-E118</f>
        <v>2974.32791616959</v>
      </c>
      <c r="F119" s="13" t="n">
        <f aca="false">F114-F116-F118</f>
        <v>3312.14702177155</v>
      </c>
      <c r="G119" s="13" t="n">
        <f aca="false">G114-G116-G118</f>
        <v>3521.28292767175</v>
      </c>
      <c r="H119" s="13" t="n">
        <f aca="false">H114-H116-H118</f>
        <v>3529.90665097589</v>
      </c>
      <c r="I119" s="13" t="n">
        <f aca="false">I114-I116-I118</f>
        <v>3452.90068024325</v>
      </c>
      <c r="J119" s="13" t="n">
        <f aca="false">J114-J116-J118</f>
        <v>3460.93857800253</v>
      </c>
      <c r="K119" s="13" t="n">
        <f aca="false">K114-K116-K118</f>
        <v>3468.86968316216</v>
      </c>
      <c r="L119" s="13" t="n">
        <f aca="false">L114-L116-L118</f>
        <v>3476.69076202856</v>
      </c>
      <c r="M119" s="13" t="n">
        <f aca="false">M114-M116-M118</f>
        <v>3484.39851264777</v>
      </c>
      <c r="N119" s="13" t="n">
        <f aca="false">N114-N116-N118</f>
        <v>3516.26579741978</v>
      </c>
      <c r="O119" s="13" t="n">
        <f aca="false">O114-O116-O118</f>
        <v>3584.74793393222</v>
      </c>
      <c r="P119" s="13" t="n">
        <f aca="false">P114-P116-P118</f>
        <v>3654.53117883449</v>
      </c>
      <c r="Q119" s="13" t="n">
        <f aca="false">Q114-Q116-Q118</f>
        <v>3725.6398846006</v>
      </c>
      <c r="R119" s="13" t="n">
        <f aca="false">R114-R116-R118</f>
        <v>3643.08733858564</v>
      </c>
    </row>
    <row r="121" customFormat="false" ht="17.15" hidden="false" customHeight="false" outlineLevel="0" collapsed="false">
      <c r="A121" s="5" t="s">
        <v>285</v>
      </c>
      <c r="B121" s="0" t="s">
        <v>25</v>
      </c>
      <c r="C121" s="13" t="n">
        <f aca="false">q1_ni</f>
        <v>842.2</v>
      </c>
      <c r="D121" s="13" t="n">
        <f aca="false">g2_ni</f>
        <v>1270</v>
      </c>
      <c r="E121" s="13" t="n">
        <f aca="false">(E119+nonop_q+rf*nc_j/4)*(1-tax)</f>
        <v>2012.60886299532</v>
      </c>
      <c r="F121" s="13" t="n">
        <f aca="false">(F119+nonop_q+rf*nc_j/4)*(1-tax)</f>
        <v>2242.32585480466</v>
      </c>
      <c r="G121" s="13" t="n">
        <f aca="false">(G119+nonop_q+rf*$D137/4)*(1-tax)</f>
        <v>2391.919582033</v>
      </c>
      <c r="H121" s="13" t="n">
        <f aca="false">(H119+nonop_q+rf*$D137/4)*(1-tax)</f>
        <v>2397.78371387981</v>
      </c>
      <c r="I121" s="13" t="n">
        <f aca="false">(I119+nonop_q+rf*$D137/4)*(1-tax)</f>
        <v>2345.41965378162</v>
      </c>
      <c r="J121" s="13" t="n">
        <f aca="false">(J119+nonop_q+rf*$D137/4)*(1-tax)</f>
        <v>2350.88542425793</v>
      </c>
      <c r="K121" s="13" t="n">
        <f aca="false">(K119+nonop_q+rf*$E137/4)*(1-tax)</f>
        <v>2368.97554715505</v>
      </c>
      <c r="L121" s="13" t="n">
        <f aca="false">(L119+nonop_q+rf*$E137/4)*(1-tax)</f>
        <v>2374.2938807842</v>
      </c>
      <c r="M121" s="13" t="n">
        <f aca="false">(M119+nonop_q+rf*$E137/4)*(1-tax)</f>
        <v>2379.53515120526</v>
      </c>
      <c r="N121" s="13" t="n">
        <f aca="false">(N119+nonop_q+rf*$E137/4)*(1-tax)</f>
        <v>2401.20490485023</v>
      </c>
      <c r="O121" s="13" t="n">
        <f aca="false">(O119+nonop_q+rf*$F137/4)*(1-tax)</f>
        <v>2460.52141057693</v>
      </c>
      <c r="P121" s="13" t="n">
        <f aca="false">(P119+nonop_q+rf*$F137/4)*(1-tax)</f>
        <v>2507.97401711047</v>
      </c>
      <c r="Q121" s="13" t="n">
        <f aca="false">(Q119+nonop_q+rf*$F137/4)*(1-tax)</f>
        <v>2556.32793703142</v>
      </c>
      <c r="R121" s="13" t="n">
        <f aca="false">(R119+nonop_q+rf*$F137/4)*(1-tax)</f>
        <v>2500.19220574125</v>
      </c>
      <c r="T121" s="5" t="s">
        <v>379</v>
      </c>
    </row>
    <row r="122" customFormat="false" ht="17.15" hidden="false" customHeight="false" outlineLevel="0" collapsed="false">
      <c r="A122" s="5" t="s">
        <v>380</v>
      </c>
      <c r="B122" s="0" t="s">
        <v>78</v>
      </c>
      <c r="C122" s="17" t="n">
        <f aca="false">C121/(sh0+dil)*1000</f>
        <v>507.343332753891</v>
      </c>
      <c r="D122" s="17" t="n">
        <f aca="false">D121/(sh0+dil)*1000</f>
        <v>765.051095461222</v>
      </c>
      <c r="E122" s="17" t="n">
        <f aca="false">E121/(sh0+dil)*1000</f>
        <v>1212.40048454294</v>
      </c>
      <c r="F122" s="17" t="n">
        <f aca="false">F121/(sh0+dil)*1000</f>
        <v>1350.78256031443</v>
      </c>
      <c r="G122" s="17" t="n">
        <f aca="false">G121/(sh0+dil)*1000</f>
        <v>1440.8981862122</v>
      </c>
      <c r="H122" s="17" t="n">
        <f aca="false">H121/(sh0+dil)*1000</f>
        <v>1444.43075352979</v>
      </c>
      <c r="I122" s="17" t="n">
        <f aca="false">I121/(sh0+dil)*1000</f>
        <v>1412.88651609599</v>
      </c>
      <c r="J122" s="17" t="n">
        <f aca="false">J121/(sh0+dil)*1000</f>
        <v>1416.17910955303</v>
      </c>
      <c r="K122" s="17" t="n">
        <f aca="false">K121/(sh0+dil)*1000</f>
        <v>1427.0766436786</v>
      </c>
      <c r="L122" s="17" t="n">
        <f aca="false">L121/(sh0+dil)*1000</f>
        <v>1430.28042081955</v>
      </c>
      <c r="M122" s="17" t="n">
        <f aca="false">M121/(sh0+dil)*1000</f>
        <v>1433.43777489612</v>
      </c>
      <c r="N122" s="17" t="n">
        <f aca="false">N121/(sh0+dil)*1000</f>
        <v>1446.49168730908</v>
      </c>
      <c r="O122" s="17" t="n">
        <f aca="false">O121/(sh0+dil)*1000</f>
        <v>1482.22409493517</v>
      </c>
      <c r="P122" s="17" t="n">
        <f aca="false">P121/(sh0+dil)*1000</f>
        <v>1510.80966077059</v>
      </c>
      <c r="Q122" s="17" t="n">
        <f aca="false">Q121/(sh0+dil)*1000</f>
        <v>1539.93817998741</v>
      </c>
      <c r="R122" s="17" t="n">
        <f aca="false">R121/(sh0+dil)*1000</f>
        <v>1506.12187863461</v>
      </c>
    </row>
    <row r="124" customFormat="false" ht="17.15" hidden="false" customHeight="false" outlineLevel="0" collapsed="false">
      <c r="A124" s="12" t="s">
        <v>381</v>
      </c>
      <c r="B124" s="6" t="s">
        <v>15</v>
      </c>
      <c r="C124" s="12" t="s">
        <v>338</v>
      </c>
      <c r="D124" s="12" t="s">
        <v>339</v>
      </c>
      <c r="E124" s="12" t="s">
        <v>340</v>
      </c>
      <c r="F124" s="12" t="s">
        <v>341</v>
      </c>
      <c r="G124" s="12" t="s">
        <v>342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6" t="s">
        <v>343</v>
      </c>
    </row>
    <row r="125" customFormat="false" ht="17.15" hidden="false" customHeight="false" outlineLevel="0" collapsed="false">
      <c r="A125" s="5" t="s">
        <v>280</v>
      </c>
      <c r="B125" s="0" t="s">
        <v>25</v>
      </c>
      <c r="C125" s="13" t="n">
        <f aca="false">a25_rev</f>
        <v>2337.6</v>
      </c>
      <c r="D125" s="13" t="n">
        <f aca="false">SUM(C114:F114)</f>
        <v>11494.2220675427</v>
      </c>
      <c r="E125" s="13" t="n">
        <f aca="false">SUM(G114:J114)</f>
        <v>16205.2152038511</v>
      </c>
      <c r="F125" s="13" t="n">
        <f aca="false">SUM(K114:N114)</f>
        <v>16340.0283054602</v>
      </c>
      <c r="G125" s="13" t="n">
        <f aca="false">SUM(O114:R114)</f>
        <v>17097.5926884291</v>
      </c>
      <c r="T125" s="8" t="s">
        <v>382</v>
      </c>
    </row>
    <row r="126" customFormat="false" ht="15" hidden="false" customHeight="false" outlineLevel="0" collapsed="false">
      <c r="A126" s="5" t="s">
        <v>375</v>
      </c>
      <c r="B126" s="0" t="s">
        <v>25</v>
      </c>
      <c r="C126" s="13" t="n">
        <f aca="false">a25_rev-(p1_gp+p2_gp+p3_gp+p4_gp)</f>
        <v>1324.8</v>
      </c>
      <c r="D126" s="13" t="n">
        <f aca="false">SUM(C116:F116)</f>
        <v>1698.71417995872</v>
      </c>
      <c r="E126" s="13" t="n">
        <f aca="false">SUM(G116:J116)</f>
        <v>1872.79032616753</v>
      </c>
      <c r="F126" s="13" t="n">
        <f aca="false">SUM(K116:N116)</f>
        <v>2004.52498952048</v>
      </c>
      <c r="G126" s="13" t="n">
        <f aca="false">SUM(O116:R116)</f>
        <v>2070.14432020231</v>
      </c>
    </row>
    <row r="127" customFormat="false" ht="15" hidden="false" customHeight="false" outlineLevel="0" collapsed="false">
      <c r="A127" s="5" t="s">
        <v>286</v>
      </c>
      <c r="B127" s="0" t="s">
        <v>116</v>
      </c>
      <c r="C127" s="14" t="n">
        <f aca="false">1-C126/C125</f>
        <v>0.433264887063655</v>
      </c>
      <c r="D127" s="14" t="n">
        <f aca="false">1-D126/D125</f>
        <v>0.852211470252038</v>
      </c>
      <c r="E127" s="14" t="n">
        <f aca="false">1-E126/E125</f>
        <v>0.884432862963618</v>
      </c>
      <c r="F127" s="14" t="n">
        <f aca="false">1-F126/F125</f>
        <v>0.877324264557691</v>
      </c>
      <c r="G127" s="14" t="n">
        <f aca="false">1-G126/G125</f>
        <v>0.878921883453026</v>
      </c>
    </row>
    <row r="128" customFormat="false" ht="15" hidden="false" customHeight="false" outlineLevel="0" collapsed="false">
      <c r="A128" s="5" t="s">
        <v>377</v>
      </c>
      <c r="B128" s="0" t="s">
        <v>25</v>
      </c>
      <c r="D128" s="13" t="n">
        <f aca="false">SUM(C118:F118)</f>
        <v>349.032949642864</v>
      </c>
      <c r="E128" s="13" t="n">
        <f aca="false">SUM(G118:J118)</f>
        <v>367.396040790178</v>
      </c>
      <c r="F128" s="13" t="n">
        <f aca="false">SUM(K118:N118)</f>
        <v>389.278560681435</v>
      </c>
      <c r="G128" s="13" t="n">
        <f aca="false">SUM(O118:R118)</f>
        <v>419.442032273807</v>
      </c>
    </row>
    <row r="129" customFormat="false" ht="15" hidden="false" customHeight="false" outlineLevel="0" collapsed="false">
      <c r="A129" s="5" t="s">
        <v>284</v>
      </c>
      <c r="B129" s="0" t="s">
        <v>25</v>
      </c>
      <c r="C129" s="13" t="n">
        <f aca="false">p1_op+p2_op+p3_op+p4_op</f>
        <v>869</v>
      </c>
      <c r="D129" s="13" t="n">
        <f aca="false">SUM(C119:F119)</f>
        <v>9446.47493794114</v>
      </c>
      <c r="E129" s="13" t="n">
        <f aca="false">SUM(G119:J119)</f>
        <v>13965.0288368934</v>
      </c>
      <c r="F129" s="13" t="n">
        <f aca="false">SUM(K119:N119)</f>
        <v>13946.2247552583</v>
      </c>
      <c r="G129" s="13" t="n">
        <f aca="false">SUM(O119:R119)</f>
        <v>14608.0063359529</v>
      </c>
    </row>
    <row r="130" customFormat="false" ht="15" hidden="false" customHeight="false" outlineLevel="0" collapsed="false">
      <c r="A130" s="5" t="s">
        <v>287</v>
      </c>
      <c r="B130" s="0" t="s">
        <v>116</v>
      </c>
      <c r="C130" s="14" t="n">
        <f aca="false">C129/C125</f>
        <v>0.371748802190281</v>
      </c>
      <c r="D130" s="14" t="n">
        <f aca="false">D129/D125</f>
        <v>0.821845522248609</v>
      </c>
      <c r="E130" s="14" t="n">
        <f aca="false">E129/E125</f>
        <v>0.861761393552779</v>
      </c>
      <c r="F130" s="14" t="n">
        <f aca="false">F129/F125</f>
        <v>0.853500648502427</v>
      </c>
      <c r="G130" s="14" t="n">
        <f aca="false">G129/G125</f>
        <v>0.854389656026783</v>
      </c>
    </row>
    <row r="131" customFormat="false" ht="15" hidden="false" customHeight="false" outlineLevel="0" collapsed="false">
      <c r="A131" s="5" t="s">
        <v>285</v>
      </c>
      <c r="B131" s="0" t="s">
        <v>25</v>
      </c>
      <c r="C131" s="13" t="n">
        <f aca="false">a25_ni</f>
        <v>554.5</v>
      </c>
      <c r="D131" s="13" t="n">
        <f aca="false">SUM(C121:F121)</f>
        <v>6367.13471779998</v>
      </c>
      <c r="E131" s="13" t="n">
        <f aca="false">SUM(G121:J121)</f>
        <v>9486.00837395235</v>
      </c>
      <c r="F131" s="13" t="n">
        <f aca="false">SUM(K121:N121)</f>
        <v>9524.00948399476</v>
      </c>
      <c r="G131" s="13" t="n">
        <f aca="false">SUM(O121:R121)</f>
        <v>10025.0155704601</v>
      </c>
    </row>
    <row r="132" customFormat="false" ht="15" hidden="false" customHeight="false" outlineLevel="0" collapsed="false">
      <c r="A132" s="5" t="s">
        <v>383</v>
      </c>
      <c r="B132" s="0" t="s">
        <v>25</v>
      </c>
      <c r="D132" s="13" t="n">
        <f aca="false">da_y</f>
        <v>320</v>
      </c>
      <c r="E132" s="13" t="n">
        <f aca="false">da_y</f>
        <v>320</v>
      </c>
      <c r="F132" s="13" t="n">
        <f aca="false">da_y</f>
        <v>320</v>
      </c>
      <c r="G132" s="13" t="n">
        <f aca="false">da_y</f>
        <v>320</v>
      </c>
    </row>
    <row r="133" customFormat="false" ht="15" hidden="false" customHeight="false" outlineLevel="0" collapsed="false">
      <c r="A133" s="5" t="s">
        <v>384</v>
      </c>
      <c r="B133" s="0" t="s">
        <v>25</v>
      </c>
      <c r="D133" s="13" t="n">
        <f aca="false">cap_2026</f>
        <v>450</v>
      </c>
      <c r="E133" s="13" t="n">
        <f aca="false">cap_2027</f>
        <v>470</v>
      </c>
      <c r="F133" s="13" t="n">
        <f aca="false">cap_2028</f>
        <v>470</v>
      </c>
      <c r="G133" s="13" t="n">
        <f aca="false">cap_2029</f>
        <v>470</v>
      </c>
    </row>
    <row r="134" customFormat="false" ht="15" hidden="false" customHeight="false" outlineLevel="0" collapsed="false">
      <c r="A134" s="5" t="s">
        <v>385</v>
      </c>
      <c r="B134" s="0" t="s">
        <v>25</v>
      </c>
      <c r="D134" s="13" t="n">
        <f aca="false">D131+D132-D133</f>
        <v>6237.13471779998</v>
      </c>
      <c r="E134" s="13" t="n">
        <f aca="false">E131+E132-E133</f>
        <v>9336.00837395235</v>
      </c>
      <c r="F134" s="13" t="n">
        <f aca="false">F131+F132-F133</f>
        <v>9374.00948399476</v>
      </c>
      <c r="G134" s="13" t="n">
        <f aca="false">G131+G132-G133</f>
        <v>9875.01557046007</v>
      </c>
    </row>
    <row r="135" customFormat="false" ht="17.15" hidden="false" customHeight="false" outlineLevel="0" collapsed="false">
      <c r="A135" s="5" t="s">
        <v>386</v>
      </c>
      <c r="B135" s="0" t="s">
        <v>25</v>
      </c>
      <c r="D135" s="13" t="n">
        <f aca="false">MAX(0,payout*(SUM(D121:F121)+0.75*(D132-D133)))</f>
        <v>1085.48694356</v>
      </c>
      <c r="E135" s="13" t="n">
        <f aca="false">MAX(0,payout*E134)</f>
        <v>1867.20167479047</v>
      </c>
      <c r="F135" s="13" t="n">
        <f aca="false">MAX(0,payout*F134)</f>
        <v>1874.80189679895</v>
      </c>
      <c r="G135" s="13" t="n">
        <f aca="false">MAX(0,payout*G134)</f>
        <v>1975.00311409201</v>
      </c>
      <c r="T135" s="8" t="s">
        <v>387</v>
      </c>
    </row>
    <row r="136" customFormat="false" ht="17.15" hidden="false" customHeight="false" outlineLevel="0" collapsed="false">
      <c r="A136" s="5" t="s">
        <v>388</v>
      </c>
      <c r="B136" s="0" t="s">
        <v>25</v>
      </c>
      <c r="C136" s="13" t="n">
        <f aca="false">eq25</f>
        <v>1399.1</v>
      </c>
      <c r="D136" s="13" t="n">
        <f aca="false">eq_j+SUM(D121:F121)-D135</f>
        <v>6843.74777423998</v>
      </c>
      <c r="E136" s="13" t="n">
        <f aca="false">D136+E131-E135</f>
        <v>14462.5544734019</v>
      </c>
      <c r="F136" s="13" t="n">
        <f aca="false">E136+F131-F135</f>
        <v>22111.7620605977</v>
      </c>
      <c r="G136" s="13" t="n">
        <f aca="false">F136+G131-G135</f>
        <v>30161.7745169657</v>
      </c>
      <c r="T136" s="8" t="s">
        <v>389</v>
      </c>
    </row>
    <row r="137" customFormat="false" ht="15" hidden="false" customHeight="false" outlineLevel="0" collapsed="false">
      <c r="A137" s="5" t="s">
        <v>390</v>
      </c>
      <c r="B137" s="0" t="s">
        <v>25</v>
      </c>
      <c r="D137" s="13" t="n">
        <f aca="false">nc_j+(SUM(D121:F121)+0.75*(D132-D133))-D135</f>
        <v>4498.34777423998</v>
      </c>
      <c r="E137" s="13" t="n">
        <f aca="false">D137+E134-E135</f>
        <v>11967.1544734019</v>
      </c>
      <c r="F137" s="13" t="n">
        <f aca="false">E137+F134-F135</f>
        <v>19466.3620605977</v>
      </c>
      <c r="G137" s="13" t="n">
        <f aca="false">F137+G134-G135</f>
        <v>27366.3745169657</v>
      </c>
    </row>
    <row r="138" customFormat="false" ht="15" hidden="false" customHeight="false" outlineLevel="0" collapsed="false">
      <c r="A138" s="5" t="s">
        <v>391</v>
      </c>
      <c r="B138" s="5" t="s">
        <v>159</v>
      </c>
      <c r="D138" s="13" t="n">
        <f aca="false">sh0-D135/bb_px*1000</f>
        <v>1558.94105680204</v>
      </c>
      <c r="E138" s="13" t="n">
        <f aca="false">D138-E135/bb_px*1000</f>
        <v>1412.55127438021</v>
      </c>
      <c r="F138" s="13" t="n">
        <f aca="false">E138-F135/bb_px*1000</f>
        <v>1265.56562978601</v>
      </c>
      <c r="G138" s="13" t="n">
        <f aca="false">F138-G135/bb_px*1000</f>
        <v>1110.72414690933</v>
      </c>
    </row>
    <row r="139" customFormat="false" ht="17.15" hidden="false" customHeight="false" outlineLevel="0" collapsed="false">
      <c r="A139" s="0" t="s">
        <v>392</v>
      </c>
      <c r="B139" s="0" t="s">
        <v>78</v>
      </c>
      <c r="C139" s="17" t="n">
        <f aca="false">a25_eps</f>
        <v>341.4</v>
      </c>
      <c r="D139" s="17" t="n">
        <f aca="false">D131/(D138+dil)*1000</f>
        <v>4042.83830315802</v>
      </c>
      <c r="E139" s="17" t="n">
        <f aca="false">E131/(E138+dil)*1000</f>
        <v>6640.41142939202</v>
      </c>
      <c r="F139" s="17" t="n">
        <f aca="false">F131/(F138+dil)*1000</f>
        <v>7431.6821117692</v>
      </c>
      <c r="G139" s="17" t="n">
        <f aca="false">G131/(G138+dil)*1000</f>
        <v>8897.67896313898</v>
      </c>
    </row>
    <row r="140" customFormat="false" ht="17.15" hidden="false" customHeight="false" outlineLevel="0" collapsed="false">
      <c r="A140" s="5" t="s">
        <v>393</v>
      </c>
      <c r="B140" s="0" t="s">
        <v>78</v>
      </c>
      <c r="D140" s="17" t="n">
        <f aca="false">D136/D138*1000</f>
        <v>4389.99777725979</v>
      </c>
      <c r="E140" s="17" t="n">
        <f aca="false">E136/E138*1000</f>
        <v>10238.6049524097</v>
      </c>
      <c r="F140" s="17" t="n">
        <f aca="false">F136/F138*1000</f>
        <v>17471.8414756068</v>
      </c>
      <c r="G140" s="17" t="n">
        <f aca="false">G136/G138*1000</f>
        <v>27155.0542957879</v>
      </c>
    </row>
    <row r="141" customFormat="false" ht="17.15" hidden="false" customHeight="false" outlineLevel="0" collapsed="false">
      <c r="A141" s="0" t="s">
        <v>394</v>
      </c>
      <c r="B141" s="0" t="s">
        <v>116</v>
      </c>
      <c r="D141" s="21" t="n">
        <f aca="false">D131/D136</f>
        <v>0.930357886911907</v>
      </c>
      <c r="E141" s="21" t="n">
        <f aca="false">E131/E136</f>
        <v>0.655901306466856</v>
      </c>
      <c r="F141" s="21" t="n">
        <f aca="false">F131/F136</f>
        <v>0.430721416859228</v>
      </c>
      <c r="G141" s="21" t="n">
        <f aca="false">G131/G136</f>
        <v>0.332374859603207</v>
      </c>
    </row>
    <row r="142" customFormat="false" ht="15" hidden="false" customHeight="false" outlineLevel="0" collapsed="false">
      <c r="A142" s="5" t="s">
        <v>395</v>
      </c>
      <c r="B142" s="0" t="s">
        <v>78</v>
      </c>
      <c r="E142" s="17" t="n">
        <f aca="false">E134/(E138+dil)*1000</f>
        <v>6535.40817879993</v>
      </c>
      <c r="F142" s="17" t="n">
        <f aca="false">F134/(F138+dil)*1000</f>
        <v>7314.63557599677</v>
      </c>
      <c r="G142" s="17" t="n">
        <f aca="false">G134/(G138+dil)*1000</f>
        <v>8764.54681635174</v>
      </c>
    </row>
    <row r="143" customFormat="false" ht="17.15" hidden="false" customHeight="false" outlineLevel="0" collapsed="false">
      <c r="A143" s="5" t="s">
        <v>396</v>
      </c>
      <c r="B143" s="0" t="s">
        <v>25</v>
      </c>
      <c r="D143" s="18" t="n">
        <f aca="false">ABS(C114-q1_rev)+ABS(D119-g2_op)+ABS(C125-2337.6)</f>
        <v>0</v>
      </c>
    </row>
    <row r="160" customFormat="false" ht="17.15" hidden="false" customHeight="false" outlineLevel="0" collapsed="false">
      <c r="A160" s="3" t="s">
        <v>672</v>
      </c>
    </row>
    <row r="161" customFormat="false" ht="17.15" hidden="false" customHeight="false" outlineLevel="0" collapsed="false">
      <c r="A161" s="12" t="s">
        <v>352</v>
      </c>
      <c r="B161" s="6" t="s">
        <v>15</v>
      </c>
      <c r="C161" s="12" t="s">
        <v>353</v>
      </c>
      <c r="D161" s="12" t="s">
        <v>354</v>
      </c>
      <c r="E161" s="12" t="s">
        <v>355</v>
      </c>
      <c r="F161" s="12" t="s">
        <v>356</v>
      </c>
      <c r="G161" s="12" t="s">
        <v>357</v>
      </c>
      <c r="H161" s="12" t="s">
        <v>358</v>
      </c>
      <c r="I161" s="12" t="s">
        <v>359</v>
      </c>
      <c r="J161" s="12" t="s">
        <v>360</v>
      </c>
      <c r="K161" s="12" t="s">
        <v>361</v>
      </c>
      <c r="L161" s="12" t="s">
        <v>362</v>
      </c>
      <c r="M161" s="12" t="s">
        <v>363</v>
      </c>
      <c r="N161" s="12" t="s">
        <v>364</v>
      </c>
      <c r="O161" s="12" t="s">
        <v>365</v>
      </c>
      <c r="P161" s="12" t="s">
        <v>366</v>
      </c>
      <c r="Q161" s="12" t="s">
        <v>367</v>
      </c>
      <c r="R161" s="12" t="s">
        <v>368</v>
      </c>
      <c r="S161" s="12"/>
      <c r="T161" s="6" t="s">
        <v>343</v>
      </c>
    </row>
    <row r="162" customFormat="false" ht="17.15" hidden="false" customHeight="false" outlineLevel="0" collapsed="false">
      <c r="A162" s="5" t="s">
        <v>369</v>
      </c>
      <c r="B162" s="0" t="s">
        <v>317</v>
      </c>
      <c r="C162" s="19" t="n">
        <f aca="false">Units!H4*0.9</f>
        <v>9.648</v>
      </c>
      <c r="D162" s="19" t="n">
        <f aca="false">Units!I4*0.9</f>
        <v>12.8878073931551</v>
      </c>
      <c r="E162" s="19" t="n">
        <f aca="false">Units!J4*0.9*1</f>
        <v>15.8822945522582</v>
      </c>
      <c r="F162" s="19" t="n">
        <f aca="false">Units!K4*0.9*1</f>
        <v>17.5003444738543</v>
      </c>
      <c r="G162" s="19" t="n">
        <f aca="false">Units!L4*0.9*1</f>
        <v>18.5043613469645</v>
      </c>
      <c r="H162" s="19" t="n">
        <f aca="false">Units!M4*0.9*1</f>
        <v>18.5876809397705</v>
      </c>
      <c r="I162" s="19" t="n">
        <f aca="false">Units!N4*0.9*1</f>
        <v>18.2782941021352</v>
      </c>
      <c r="J162" s="19" t="n">
        <f aca="false">Units!O4*0.9*1</f>
        <v>18.3605957818972</v>
      </c>
      <c r="K162" s="19" t="n">
        <f aca="false">Units!P4*0.9*1</f>
        <v>18.4432680414549</v>
      </c>
      <c r="L162" s="19" t="n">
        <f aca="false">Units!Q4*0.9*1</f>
        <v>18.5263125494178</v>
      </c>
      <c r="M162" s="19" t="n">
        <f aca="false">Units!R4*0.9*1</f>
        <v>18.609730981909</v>
      </c>
      <c r="N162" s="19" t="n">
        <f aca="false">Units!S4*0.9*1</f>
        <v>18.764996941677</v>
      </c>
      <c r="O162" s="19" t="n">
        <f aca="false">Units!T4*0.9*1</f>
        <v>19.1122622075817</v>
      </c>
      <c r="P162" s="19" t="n">
        <f aca="false">Units!U4*0.9*1</f>
        <v>19.4659539687999</v>
      </c>
      <c r="Q162" s="19" t="n">
        <f aca="false">Units!V4*0.9*1</f>
        <v>19.8261911541335</v>
      </c>
      <c r="R162" s="19" t="n">
        <f aca="false">Units!W4*0.9*1</f>
        <v>19.3866883714653</v>
      </c>
      <c r="T162" s="8" t="s">
        <v>370</v>
      </c>
    </row>
    <row r="163" customFormat="false" ht="15" hidden="false" customHeight="false" outlineLevel="0" collapsed="false">
      <c r="A163" s="5" t="s">
        <v>371</v>
      </c>
      <c r="B163" s="0" t="s">
        <v>324</v>
      </c>
      <c r="C163" s="19" t="n">
        <f aca="false">Units!H7*0.9</f>
        <v>36.1581822396776</v>
      </c>
      <c r="D163" s="19" t="n">
        <f aca="false">Units!I7*0.9</f>
        <v>42.0001161215271</v>
      </c>
      <c r="E163" s="19" t="n">
        <f aca="false">Units!J7*0.9</f>
        <v>44.0500934124315</v>
      </c>
      <c r="F163" s="19" t="n">
        <f aca="false">Units!K7*0.9</f>
        <v>47.1240882027536</v>
      </c>
      <c r="G163" s="19" t="n">
        <f aca="false">Units!L7*0.9</f>
        <v>49.8276566814302</v>
      </c>
      <c r="H163" s="19" t="n">
        <f aca="false">Units!M7*0.9</f>
        <v>52.6863322995265</v>
      </c>
      <c r="I163" s="19" t="n">
        <f aca="false">Units!N7*0.9</f>
        <v>55.7090137495998</v>
      </c>
      <c r="J163" s="19" t="n">
        <f aca="false">Units!O7*0.9</f>
        <v>58.9051102534421</v>
      </c>
      <c r="K163" s="19" t="n">
        <f aca="false">Units!P7*0.9</f>
        <v>62.2845708517878</v>
      </c>
      <c r="L163" s="19" t="n">
        <f aca="false">Units!Q7*0.9</f>
        <v>65.8579153744082</v>
      </c>
      <c r="M163" s="19" t="n">
        <f aca="false">Units!R7*0.9</f>
        <v>69.6362671869998</v>
      </c>
      <c r="N163" s="19" t="n">
        <f aca="false">Units!S7*0.9</f>
        <v>72.3889290486437</v>
      </c>
      <c r="O163" s="19" t="n">
        <f aca="false">Units!T7*0.9</f>
        <v>76.0088241923002</v>
      </c>
      <c r="P163" s="19" t="n">
        <f aca="false">Units!U7*0.9</f>
        <v>79.8097365304818</v>
      </c>
      <c r="Q163" s="19" t="n">
        <f aca="false">Units!V7*0.9</f>
        <v>83.8007180449211</v>
      </c>
      <c r="R163" s="19" t="n">
        <f aca="false">Units!W7*0.9</f>
        <v>84.6041004286404</v>
      </c>
    </row>
    <row r="164" customFormat="false" ht="17.15" hidden="false" customHeight="false" outlineLevel="0" collapsed="false">
      <c r="A164" s="5" t="s">
        <v>280</v>
      </c>
      <c r="B164" s="0" t="s">
        <v>25</v>
      </c>
      <c r="C164" s="13" t="n">
        <f aca="false">q1_rev</f>
        <v>1767.1</v>
      </c>
      <c r="D164" s="13" t="n">
        <f aca="false">g2_rev</f>
        <v>2390</v>
      </c>
      <c r="E164" s="13" t="n">
        <f aca="false">E162*kx_k*fx</f>
        <v>2618.05995366563</v>
      </c>
      <c r="F164" s="13" t="n">
        <f aca="false">F162*kx_k*fx</f>
        <v>2884.78159699142</v>
      </c>
      <c r="G164" s="13" t="n">
        <f aca="false">G162*kx_k*fx</f>
        <v>3050.28516196091</v>
      </c>
      <c r="H164" s="13" t="n">
        <f aca="false">H162*kx_k*fx</f>
        <v>3064.01968177877</v>
      </c>
      <c r="I164" s="13" t="n">
        <f aca="false">I162*kx_k*fx</f>
        <v>3013.01991678014</v>
      </c>
      <c r="J164" s="13" t="n">
        <f aca="false">J162*kx_k*fx</f>
        <v>3026.58664236852</v>
      </c>
      <c r="K164" s="13" t="n">
        <f aca="false">K162*kx_k*fx</f>
        <v>3040.21445485587</v>
      </c>
      <c r="L164" s="13" t="n">
        <f aca="false">L162*kx_k*fx</f>
        <v>3053.90362929815</v>
      </c>
      <c r="M164" s="13" t="n">
        <f aca="false">M162*kx_k*fx</f>
        <v>3067.65444198987</v>
      </c>
      <c r="N164" s="13" t="n">
        <f aca="false">N162*kx_k*fx</f>
        <v>3093.24870295125</v>
      </c>
      <c r="O164" s="13" t="n">
        <f aca="false">O162*kx_k*fx</f>
        <v>3150.49240177403</v>
      </c>
      <c r="P164" s="13" t="n">
        <f aca="false">P162*kx_k*fx</f>
        <v>3208.79545319648</v>
      </c>
      <c r="Q164" s="13" t="n">
        <f aca="false">Q162*kx_k*fx</f>
        <v>3268.17746161095</v>
      </c>
      <c r="R164" s="13" t="n">
        <f aca="false">R162*kx_k*fx</f>
        <v>3195.72919974033</v>
      </c>
      <c r="T164" s="5" t="s">
        <v>372</v>
      </c>
    </row>
    <row r="165" customFormat="false" ht="17.15" hidden="false" customHeight="false" outlineLevel="0" collapsed="false">
      <c r="A165" s="5" t="s">
        <v>373</v>
      </c>
      <c r="B165" s="0" t="s">
        <v>374</v>
      </c>
      <c r="C165" s="20" t="n">
        <f aca="false">C166/C163</f>
        <v>10.7029716658525</v>
      </c>
      <c r="D165" s="20" t="n">
        <f aca="false">D166/D163</f>
        <v>10.2380669319055</v>
      </c>
      <c r="E165" s="20" t="n">
        <f aca="false">$D165*(1-cd_A)^(1/4)</f>
        <v>9.85922044559576</v>
      </c>
      <c r="F165" s="20" t="n">
        <f aca="false">$D165*(1-cd_A)^(2/4)</f>
        <v>9.49439268578422</v>
      </c>
      <c r="G165" s="20" t="n">
        <f aca="false">$D165*(1-cd_A)^(3/4)</f>
        <v>9.14306490754462</v>
      </c>
      <c r="H165" s="20" t="n">
        <f aca="false">$D165*(1-cd_A)^(4/4)</f>
        <v>8.80473756143877</v>
      </c>
      <c r="I165" s="20" t="n">
        <f aca="false">$D165*(1-cd_A)^(5/4)</f>
        <v>8.47892958321235</v>
      </c>
      <c r="J165" s="20" t="n">
        <f aca="false">$D165*(1-cd_A)^(6/4)</f>
        <v>8.16517770977443</v>
      </c>
      <c r="K165" s="20" t="n">
        <f aca="false">$D165*(1-cd_A)^(7/4)</f>
        <v>7.86303582048837</v>
      </c>
      <c r="L165" s="20" t="n">
        <f aca="false">$D165*(1-cd_A)^(8/4)</f>
        <v>7.57207430283734</v>
      </c>
      <c r="M165" s="20" t="n">
        <f aca="false">$D165*(1-cd_A)^(9/4)</f>
        <v>7.29187944156262</v>
      </c>
      <c r="N165" s="20" t="n">
        <f aca="false">$D165*(1-cd_A)^(10/4)</f>
        <v>7.02205283040601</v>
      </c>
      <c r="O165" s="20" t="n">
        <f aca="false">$D165*(1-cd_A)^(11/4)</f>
        <v>6.76221080562</v>
      </c>
      <c r="P165" s="20" t="n">
        <f aca="false">$D165*(1-cd_A)^(12/4)</f>
        <v>6.51198390044011</v>
      </c>
      <c r="Q165" s="20" t="n">
        <f aca="false">$D165*(1-cd_A)^(13/4)</f>
        <v>6.27101631974385</v>
      </c>
      <c r="R165" s="20" t="n">
        <f aca="false">$D165*(1-cd_A)^(14/4)</f>
        <v>6.03896543414917</v>
      </c>
    </row>
    <row r="166" customFormat="false" ht="15" hidden="false" customHeight="false" outlineLevel="0" collapsed="false">
      <c r="A166" s="5" t="s">
        <v>375</v>
      </c>
      <c r="B166" s="0" t="s">
        <v>25</v>
      </c>
      <c r="C166" s="13" t="n">
        <f aca="false">q1_rev-q1_gp</f>
        <v>387</v>
      </c>
      <c r="D166" s="13" t="n">
        <f aca="false">g2_rev-g2_op-g2_ox</f>
        <v>430</v>
      </c>
      <c r="E166" s="13" t="n">
        <f aca="false">E163*E165</f>
        <v>434.299581602248</v>
      </c>
      <c r="F166" s="13" t="n">
        <f aca="false">F163*F165</f>
        <v>447.414598356475</v>
      </c>
      <c r="G166" s="13" t="n">
        <f aca="false">G163*G165</f>
        <v>455.577499229166</v>
      </c>
      <c r="H166" s="13" t="n">
        <f aca="false">H163*H165</f>
        <v>463.889328972086</v>
      </c>
      <c r="I166" s="13" t="n">
        <f aca="false">I163*I165</f>
        <v>472.352804733065</v>
      </c>
      <c r="J166" s="13" t="n">
        <f aca="false">J163*J165</f>
        <v>480.97069323321</v>
      </c>
      <c r="K166" s="13" t="n">
        <f aca="false">K163*K165</f>
        <v>489.745811671353</v>
      </c>
      <c r="L166" s="13" t="n">
        <f aca="false">L163*L165</f>
        <v>498.681028644993</v>
      </c>
      <c r="M166" s="13" t="n">
        <f aca="false">M163*M165</f>
        <v>507.779265088045</v>
      </c>
      <c r="N166" s="13" t="n">
        <f aca="false">N163*N165</f>
        <v>508.318884116089</v>
      </c>
      <c r="O166" s="13" t="n">
        <f aca="false">O163*O165</f>
        <v>513.987692275643</v>
      </c>
      <c r="P166" s="13" t="n">
        <f aca="false">P163*P165</f>
        <v>519.719719384865</v>
      </c>
      <c r="Q166" s="13" t="n">
        <f aca="false">Q163*Q165</f>
        <v>525.515670465953</v>
      </c>
      <c r="R166" s="13" t="n">
        <f aca="false">R163*R165</f>
        <v>510.921238075844</v>
      </c>
      <c r="T166" s="5" t="s">
        <v>376</v>
      </c>
    </row>
    <row r="167" customFormat="false" ht="15" hidden="false" customHeight="false" outlineLevel="0" collapsed="false">
      <c r="A167" s="5" t="s">
        <v>286</v>
      </c>
      <c r="B167" s="0" t="s">
        <v>116</v>
      </c>
      <c r="C167" s="14" t="n">
        <f aca="false">1-C166/C164</f>
        <v>0.780997113915455</v>
      </c>
      <c r="D167" s="14" t="n">
        <f aca="false">1-D166/D164</f>
        <v>0.820083682008368</v>
      </c>
      <c r="E167" s="14" t="n">
        <f aca="false">1-E166/E164</f>
        <v>0.834113966338253</v>
      </c>
      <c r="F167" s="14" t="n">
        <f aca="false">1-F166/F164</f>
        <v>0.844905209176636</v>
      </c>
      <c r="G167" s="14" t="n">
        <f aca="false">1-G166/G164</f>
        <v>0.850644292241748</v>
      </c>
      <c r="H167" s="14" t="n">
        <f aca="false">1-H166/H164</f>
        <v>0.848601060975306</v>
      </c>
      <c r="I167" s="14" t="n">
        <f aca="false">1-I166/I164</f>
        <v>0.843229444949091</v>
      </c>
      <c r="J167" s="14" t="n">
        <f aca="false">1-J166/J164</f>
        <v>0.841084776328486</v>
      </c>
      <c r="K167" s="14" t="n">
        <f aca="false">1-K166/K164</f>
        <v>0.838910767992329</v>
      </c>
      <c r="L167" s="14" t="n">
        <f aca="false">1-L166/L164</f>
        <v>0.836707018564433</v>
      </c>
      <c r="M167" s="14" t="n">
        <f aca="false">1-M166/M164</f>
        <v>0.834473121177668</v>
      </c>
      <c r="N167" s="14" t="n">
        <f aca="false">1-N166/N164</f>
        <v>0.835668278586489</v>
      </c>
      <c r="O167" s="14" t="n">
        <f aca="false">1-O166/O164</f>
        <v>0.836854806573659</v>
      </c>
      <c r="P167" s="14" t="n">
        <f aca="false">1-P166/P164</f>
        <v>0.838032767446383</v>
      </c>
      <c r="Q167" s="14" t="n">
        <f aca="false">1-Q166/Q164</f>
        <v>0.839202223061989</v>
      </c>
      <c r="R167" s="14" t="n">
        <f aca="false">1-R166/R164</f>
        <v>0.840123738232464</v>
      </c>
    </row>
    <row r="168" customFormat="false" ht="17.15" hidden="false" customHeight="false" outlineLevel="0" collapsed="false">
      <c r="A168" s="5" t="s">
        <v>377</v>
      </c>
      <c r="B168" s="0" t="s">
        <v>25</v>
      </c>
      <c r="C168" s="13" t="n">
        <f aca="false">q1_gp-q1_op</f>
        <v>110.1</v>
      </c>
      <c r="D168" s="13" t="n">
        <f aca="false">g2_ox</f>
        <v>70</v>
      </c>
      <c r="E168" s="13" t="n">
        <f aca="false">(g2_ox-ox_var*g2_rev)*(1+ox_g)^(1/4)+ox_var*E164</f>
        <v>73.3922406034492</v>
      </c>
      <c r="F168" s="13" t="n">
        <f aca="false">(g2_ox-ox_var*g2_rev)*(1+ox_g)^(2/4)+ox_var*F164</f>
        <v>77.1979038705582</v>
      </c>
      <c r="G168" s="13" t="n">
        <f aca="false">(g2_ox-ox_var*g2_rev)*(1+ox_g)^(3/4)+ox_var*G164</f>
        <v>80.0188385070948</v>
      </c>
      <c r="H168" s="13" t="n">
        <f aca="false">(g2_ox-ox_var*g2_rev)*(1+ox_g)^(4/4)+ox_var*H164</f>
        <v>81.3501968177877</v>
      </c>
      <c r="I168" s="13" t="n">
        <f aca="false">(g2_ox-ox_var*g2_rev)*(1+ox_g)^(5/4)+ox_var*I164</f>
        <v>82.0630043412736</v>
      </c>
      <c r="J168" s="13" t="n">
        <f aca="false">(g2_ox-ox_var*g2_rev)*(1+ox_g)^(6/4)+ox_var*J164</f>
        <v>83.4509631143936</v>
      </c>
      <c r="K168" s="13" t="n">
        <f aca="false">(g2_ox-ox_var*g2_rev)*(1+ox_g)^(7/4)+ox_var*K164</f>
        <v>84.869730124793</v>
      </c>
      <c r="L168" s="13" t="n">
        <f aca="false">(g2_ox-ox_var*g2_rev)*(1+ox_g)^(8/4)+ox_var*L164</f>
        <v>86.3200362929815</v>
      </c>
      <c r="M168" s="13" t="n">
        <f aca="false">(g2_ox-ox_var*g2_rev)*(1+ox_g)^(9/4)+ox_var*M164</f>
        <v>87.8026301107182</v>
      </c>
      <c r="N168" s="13" t="n">
        <f aca="false">(g2_ox-ox_var*g2_rev)*(1+ox_g)^(10/4)+ox_var*N164</f>
        <v>89.4360933892917</v>
      </c>
      <c r="O168" s="13" t="n">
        <f aca="false">(g2_ox-ox_var*g2_rev)*(1+ox_g)^(11/4)+ox_var*O164</f>
        <v>91.419268151598</v>
      </c>
      <c r="P168" s="13" t="n">
        <f aca="false">(g2_ox-ox_var*g2_rev)*(1+ox_g)^(12/4)+ox_var*P164</f>
        <v>93.4470545319649</v>
      </c>
      <c r="Q168" s="13" t="n">
        <f aca="false">(g2_ox-ox_var*g2_rev)*(1+ox_g)^(13/4)+ox_var*Q164</f>
        <v>95.5204688760109</v>
      </c>
      <c r="R168" s="13" t="n">
        <f aca="false">(g2_ox-ox_var*g2_rev)*(1+ox_g)^(14/4)+ox_var*R164</f>
        <v>96.3112589931605</v>
      </c>
      <c r="T168" s="5" t="s">
        <v>378</v>
      </c>
    </row>
    <row r="169" customFormat="false" ht="15" hidden="false" customHeight="false" outlineLevel="0" collapsed="false">
      <c r="A169" s="5" t="s">
        <v>284</v>
      </c>
      <c r="B169" s="0" t="s">
        <v>25</v>
      </c>
      <c r="C169" s="13" t="n">
        <f aca="false">C164-C166-C168</f>
        <v>1270</v>
      </c>
      <c r="D169" s="13" t="n">
        <f aca="false">D164-D166-D168</f>
        <v>1890</v>
      </c>
      <c r="E169" s="13" t="n">
        <f aca="false">E164-E166-E168</f>
        <v>2110.36813145993</v>
      </c>
      <c r="F169" s="13" t="n">
        <f aca="false">F164-F166-F168</f>
        <v>2360.16909476439</v>
      </c>
      <c r="G169" s="13" t="n">
        <f aca="false">G164-G166-G168</f>
        <v>2514.68882422465</v>
      </c>
      <c r="H169" s="13" t="n">
        <f aca="false">H164-H166-H168</f>
        <v>2518.7801559889</v>
      </c>
      <c r="I169" s="13" t="n">
        <f aca="false">I164-I166-I168</f>
        <v>2458.6041077058</v>
      </c>
      <c r="J169" s="13" t="n">
        <f aca="false">J164-J166-J168</f>
        <v>2462.16498602092</v>
      </c>
      <c r="K169" s="13" t="n">
        <f aca="false">K164-K166-K168</f>
        <v>2465.59891305973</v>
      </c>
      <c r="L169" s="13" t="n">
        <f aca="false">L164-L166-L168</f>
        <v>2468.90256436017</v>
      </c>
      <c r="M169" s="13" t="n">
        <f aca="false">M164-M166-M168</f>
        <v>2472.07254679111</v>
      </c>
      <c r="N169" s="13" t="n">
        <f aca="false">N164-N166-N168</f>
        <v>2495.49372544587</v>
      </c>
      <c r="O169" s="13" t="n">
        <f aca="false">O164-O166-O168</f>
        <v>2545.08544134679</v>
      </c>
      <c r="P169" s="13" t="n">
        <f aca="false">P164-P166-P168</f>
        <v>2595.62867927965</v>
      </c>
      <c r="Q169" s="13" t="n">
        <f aca="false">Q164-Q166-Q168</f>
        <v>2647.14132226899</v>
      </c>
      <c r="R169" s="13" t="n">
        <f aca="false">R164-R166-R168</f>
        <v>2588.49670267133</v>
      </c>
    </row>
    <row r="171" customFormat="false" ht="17.15" hidden="false" customHeight="false" outlineLevel="0" collapsed="false">
      <c r="A171" s="5" t="s">
        <v>285</v>
      </c>
      <c r="B171" s="0" t="s">
        <v>25</v>
      </c>
      <c r="C171" s="13" t="n">
        <f aca="false">q1_ni</f>
        <v>842.2</v>
      </c>
      <c r="D171" s="13" t="n">
        <f aca="false">g2_ni</f>
        <v>1270</v>
      </c>
      <c r="E171" s="13" t="n">
        <f aca="false">(E169+nonop_q+rf*nc_j/4)*(1-tax)</f>
        <v>1425.11620939275</v>
      </c>
      <c r="F171" s="13" t="n">
        <f aca="false">(F169+nonop_q+rf*nc_j/4)*(1-tax)</f>
        <v>1594.98086443978</v>
      </c>
      <c r="G171" s="13" t="n">
        <f aca="false">(G169+nonop_q+rf*$D187/4)*(1-tax)</f>
        <v>1705.75621249317</v>
      </c>
      <c r="H171" s="13" t="n">
        <f aca="false">(H169+nonop_q+rf*$D187/4)*(1-tax)</f>
        <v>1708.53831809286</v>
      </c>
      <c r="I171" s="13" t="n">
        <f aca="false">(I169+nonop_q+rf*$D187/4)*(1-tax)</f>
        <v>1667.61860526036</v>
      </c>
      <c r="J171" s="13" t="n">
        <f aca="false">(J169+nonop_q+rf*$D187/4)*(1-tax)</f>
        <v>1670.04000251464</v>
      </c>
      <c r="K171" s="13" t="n">
        <f aca="false">(K169+nonop_q+rf*$E187/4)*(1-tax)</f>
        <v>1681.3537291692</v>
      </c>
      <c r="L171" s="13" t="n">
        <f aca="false">(L169+nonop_q+rf*$E187/4)*(1-tax)</f>
        <v>1683.6002120535</v>
      </c>
      <c r="M171" s="13" t="n">
        <f aca="false">(M169+nonop_q+rf*$E187/4)*(1-tax)</f>
        <v>1685.75580010654</v>
      </c>
      <c r="N171" s="13" t="n">
        <f aca="false">(N169+nonop_q+rf*$E187/4)*(1-tax)</f>
        <v>1701.68220159177</v>
      </c>
      <c r="O171" s="13" t="n">
        <f aca="false">(O169+nonop_q+rf*$F187/4)*(1-tax)</f>
        <v>1744.38382144677</v>
      </c>
      <c r="P171" s="13" t="n">
        <f aca="false">(P169+nonop_q+rf*$F187/4)*(1-tax)</f>
        <v>1778.75322324112</v>
      </c>
      <c r="Q171" s="13" t="n">
        <f aca="false">(Q169+nonop_q+rf*$F187/4)*(1-tax)</f>
        <v>1813.78182047387</v>
      </c>
      <c r="R171" s="13" t="n">
        <f aca="false">(R169+nonop_q+rf*$F187/4)*(1-tax)</f>
        <v>1773.90347914746</v>
      </c>
      <c r="T171" s="5" t="s">
        <v>379</v>
      </c>
    </row>
    <row r="172" customFormat="false" ht="17.15" hidden="false" customHeight="false" outlineLevel="0" collapsed="false">
      <c r="A172" s="5" t="s">
        <v>380</v>
      </c>
      <c r="B172" s="0" t="s">
        <v>78</v>
      </c>
      <c r="C172" s="17" t="n">
        <f aca="false">C171/(sh0+dil)*1000</f>
        <v>507.343332753891</v>
      </c>
      <c r="D172" s="17" t="n">
        <f aca="false">D171/(sh0+dil)*1000</f>
        <v>765.051095461222</v>
      </c>
      <c r="E172" s="17" t="n">
        <f aca="false">E171/(sh0+dil)*1000</f>
        <v>858.493478075173</v>
      </c>
      <c r="F172" s="17" t="n">
        <f aca="false">F171/(sh0+dil)*1000</f>
        <v>960.820360298695</v>
      </c>
      <c r="G172" s="17" t="n">
        <f aca="false">G171/(sh0+dil)*1000</f>
        <v>1027.55169996668</v>
      </c>
      <c r="H172" s="17" t="n">
        <f aca="false">H171/(sh0+dil)*1000</f>
        <v>1029.22764716096</v>
      </c>
      <c r="I172" s="17" t="n">
        <f aca="false">I171/(sh0+dil)*1000</f>
        <v>1004.57751241413</v>
      </c>
      <c r="J172" s="17" t="n">
        <f aca="false">J171/(sh0+dil)*1000</f>
        <v>1006.03616802196</v>
      </c>
      <c r="K172" s="17" t="n">
        <f aca="false">K171/(sh0+dil)*1000</f>
        <v>1012.85158453441</v>
      </c>
      <c r="L172" s="17" t="n">
        <f aca="false">L171/(sh0+dil)*1000</f>
        <v>1014.20487129943</v>
      </c>
      <c r="M172" s="17" t="n">
        <f aca="false">M171/(sh0+dil)*1000</f>
        <v>1015.50340279655</v>
      </c>
      <c r="N172" s="17" t="n">
        <f aca="false">N171/(sh0+dil)*1000</f>
        <v>1025.0975058698</v>
      </c>
      <c r="O172" s="17" t="n">
        <f aca="false">O171/(sh0+dil)*1000</f>
        <v>1050.82106575015</v>
      </c>
      <c r="P172" s="17" t="n">
        <f aca="false">P171/(sh0+dil)*1000</f>
        <v>1071.52527716205</v>
      </c>
      <c r="Q172" s="17" t="n">
        <f aca="false">Q171/(sh0+dil)*1000</f>
        <v>1092.62658951274</v>
      </c>
      <c r="R172" s="17" t="n">
        <f aca="false">R171/(sh0+dil)*1000</f>
        <v>1068.6037794994</v>
      </c>
    </row>
    <row r="174" customFormat="false" ht="17.15" hidden="false" customHeight="false" outlineLevel="0" collapsed="false">
      <c r="A174" s="12" t="s">
        <v>381</v>
      </c>
      <c r="B174" s="6" t="s">
        <v>15</v>
      </c>
      <c r="C174" s="12" t="s">
        <v>338</v>
      </c>
      <c r="D174" s="12" t="s">
        <v>339</v>
      </c>
      <c r="E174" s="12" t="s">
        <v>340</v>
      </c>
      <c r="F174" s="12" t="s">
        <v>341</v>
      </c>
      <c r="G174" s="12" t="s">
        <v>342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6" t="s">
        <v>343</v>
      </c>
    </row>
    <row r="175" customFormat="false" ht="17.15" hidden="false" customHeight="false" outlineLevel="0" collapsed="false">
      <c r="A175" s="5" t="s">
        <v>280</v>
      </c>
      <c r="B175" s="0" t="s">
        <v>25</v>
      </c>
      <c r="C175" s="13" t="n">
        <f aca="false">a25_rev</f>
        <v>2337.6</v>
      </c>
      <c r="D175" s="13" t="n">
        <f aca="false">SUM(C164:F164)</f>
        <v>9659.94155065705</v>
      </c>
      <c r="E175" s="13" t="n">
        <f aca="false">SUM(G164:J164)</f>
        <v>12153.9114028883</v>
      </c>
      <c r="F175" s="13" t="n">
        <f aca="false">SUM(K164:N164)</f>
        <v>12255.0212290951</v>
      </c>
      <c r="G175" s="13" t="n">
        <f aca="false">SUM(O164:R164)</f>
        <v>12823.1945163218</v>
      </c>
      <c r="T175" s="8" t="s">
        <v>382</v>
      </c>
    </row>
    <row r="176" customFormat="false" ht="15" hidden="false" customHeight="false" outlineLevel="0" collapsed="false">
      <c r="A176" s="5" t="s">
        <v>375</v>
      </c>
      <c r="B176" s="0" t="s">
        <v>25</v>
      </c>
      <c r="C176" s="13" t="n">
        <f aca="false">a25_rev-(p1_gp+p2_gp+p3_gp+p4_gp)</f>
        <v>1324.8</v>
      </c>
      <c r="D176" s="13" t="n">
        <f aca="false">SUM(C166:F166)</f>
        <v>1698.71417995872</v>
      </c>
      <c r="E176" s="13" t="n">
        <f aca="false">SUM(G166:J166)</f>
        <v>1872.79032616753</v>
      </c>
      <c r="F176" s="13" t="n">
        <f aca="false">SUM(K166:N166)</f>
        <v>2004.52498952048</v>
      </c>
      <c r="G176" s="13" t="n">
        <f aca="false">SUM(O166:R166)</f>
        <v>2070.14432020231</v>
      </c>
    </row>
    <row r="177" customFormat="false" ht="15" hidden="false" customHeight="false" outlineLevel="0" collapsed="false">
      <c r="A177" s="5" t="s">
        <v>286</v>
      </c>
      <c r="B177" s="0" t="s">
        <v>116</v>
      </c>
      <c r="C177" s="14" t="n">
        <f aca="false">1-C176/C175</f>
        <v>0.433264887063655</v>
      </c>
      <c r="D177" s="14" t="n">
        <f aca="false">1-D176/D175</f>
        <v>0.82414860679533</v>
      </c>
      <c r="E177" s="14" t="n">
        <f aca="false">1-E176/E175</f>
        <v>0.84591048395149</v>
      </c>
      <c r="F177" s="14" t="n">
        <f aca="false">1-F176/F175</f>
        <v>0.836432352743588</v>
      </c>
      <c r="G177" s="14" t="n">
        <f aca="false">1-G176/G175</f>
        <v>0.838562511270701</v>
      </c>
    </row>
    <row r="178" customFormat="false" ht="15" hidden="false" customHeight="false" outlineLevel="0" collapsed="false">
      <c r="A178" s="5" t="s">
        <v>377</v>
      </c>
      <c r="B178" s="0" t="s">
        <v>25</v>
      </c>
      <c r="D178" s="13" t="n">
        <f aca="false">SUM(C168:F168)</f>
        <v>330.690144474007</v>
      </c>
      <c r="E178" s="13" t="n">
        <f aca="false">SUM(G168:J168)</f>
        <v>326.88300278055</v>
      </c>
      <c r="F178" s="13" t="n">
        <f aca="false">SUM(K168:N168)</f>
        <v>348.428489917784</v>
      </c>
      <c r="G178" s="13" t="n">
        <f aca="false">SUM(O168:R168)</f>
        <v>376.698050552734</v>
      </c>
    </row>
    <row r="179" customFormat="false" ht="15" hidden="false" customHeight="false" outlineLevel="0" collapsed="false">
      <c r="A179" s="5" t="s">
        <v>284</v>
      </c>
      <c r="B179" s="0" t="s">
        <v>25</v>
      </c>
      <c r="C179" s="13" t="n">
        <f aca="false">p1_op+p2_op+p3_op+p4_op</f>
        <v>869</v>
      </c>
      <c r="D179" s="13" t="n">
        <f aca="false">SUM(C169:F169)</f>
        <v>7630.53722622432</v>
      </c>
      <c r="E179" s="13" t="n">
        <f aca="false">SUM(G169:J169)</f>
        <v>9954.23807394026</v>
      </c>
      <c r="F179" s="13" t="n">
        <f aca="false">SUM(K169:N169)</f>
        <v>9902.06774965688</v>
      </c>
      <c r="G179" s="13" t="n">
        <f aca="false">SUM(O169:R169)</f>
        <v>10376.3521455668</v>
      </c>
    </row>
    <row r="180" customFormat="false" ht="15" hidden="false" customHeight="false" outlineLevel="0" collapsed="false">
      <c r="A180" s="5" t="s">
        <v>287</v>
      </c>
      <c r="B180" s="0" t="s">
        <v>116</v>
      </c>
      <c r="C180" s="14" t="n">
        <f aca="false">C179/C175</f>
        <v>0.371748802190281</v>
      </c>
      <c r="D180" s="14" t="n">
        <f aca="false">D179/D175</f>
        <v>0.789915465451787</v>
      </c>
      <c r="E180" s="14" t="n">
        <f aca="false">E179/E175</f>
        <v>0.819015191403705</v>
      </c>
      <c r="F180" s="14" t="n">
        <f aca="false">F179/F175</f>
        <v>0.808000864669902</v>
      </c>
      <c r="G180" s="14" t="n">
        <f aca="false">G179/G175</f>
        <v>0.809186208035711</v>
      </c>
    </row>
    <row r="181" customFormat="false" ht="15" hidden="false" customHeight="false" outlineLevel="0" collapsed="false">
      <c r="A181" s="5" t="s">
        <v>285</v>
      </c>
      <c r="B181" s="0" t="s">
        <v>25</v>
      </c>
      <c r="C181" s="13" t="n">
        <f aca="false">a25_ni</f>
        <v>554.5</v>
      </c>
      <c r="D181" s="13" t="n">
        <f aca="false">SUM(C171:F171)</f>
        <v>5132.29707383254</v>
      </c>
      <c r="E181" s="13" t="n">
        <f aca="false">SUM(G171:J171)</f>
        <v>6751.95313836103</v>
      </c>
      <c r="F181" s="13" t="n">
        <f aca="false">SUM(K171:N171)</f>
        <v>6752.39194292101</v>
      </c>
      <c r="G181" s="13" t="n">
        <f aca="false">SUM(O171:R171)</f>
        <v>7110.82234430922</v>
      </c>
    </row>
    <row r="182" customFormat="false" ht="15" hidden="false" customHeight="false" outlineLevel="0" collapsed="false">
      <c r="A182" s="5" t="s">
        <v>383</v>
      </c>
      <c r="B182" s="0" t="s">
        <v>25</v>
      </c>
      <c r="D182" s="13" t="n">
        <f aca="false">da_y</f>
        <v>320</v>
      </c>
      <c r="E182" s="13" t="n">
        <f aca="false">da_y</f>
        <v>320</v>
      </c>
      <c r="F182" s="13" t="n">
        <f aca="false">da_y</f>
        <v>320</v>
      </c>
      <c r="G182" s="13" t="n">
        <f aca="false">da_y</f>
        <v>320</v>
      </c>
    </row>
    <row r="183" customFormat="false" ht="15" hidden="false" customHeight="false" outlineLevel="0" collapsed="false">
      <c r="A183" s="5" t="s">
        <v>384</v>
      </c>
      <c r="B183" s="0" t="s">
        <v>25</v>
      </c>
      <c r="D183" s="13" t="n">
        <f aca="false">cap_2026</f>
        <v>450</v>
      </c>
      <c r="E183" s="13" t="n">
        <f aca="false">cap_2027</f>
        <v>470</v>
      </c>
      <c r="F183" s="13" t="n">
        <f aca="false">cap_2028</f>
        <v>470</v>
      </c>
      <c r="G183" s="13" t="n">
        <f aca="false">cap_2029</f>
        <v>470</v>
      </c>
    </row>
    <row r="184" customFormat="false" ht="15" hidden="false" customHeight="false" outlineLevel="0" collapsed="false">
      <c r="A184" s="5" t="s">
        <v>385</v>
      </c>
      <c r="B184" s="0" t="s">
        <v>25</v>
      </c>
      <c r="D184" s="13" t="n">
        <f aca="false">D181+D182-D183</f>
        <v>5002.29707383254</v>
      </c>
      <c r="E184" s="13" t="n">
        <f aca="false">E181+E182-E183</f>
        <v>6601.95313836103</v>
      </c>
      <c r="F184" s="13" t="n">
        <f aca="false">F181+F182-F183</f>
        <v>6602.39194292101</v>
      </c>
      <c r="G184" s="13" t="n">
        <f aca="false">G181+G182-G183</f>
        <v>6960.82234430922</v>
      </c>
    </row>
    <row r="185" customFormat="false" ht="17.15" hidden="false" customHeight="false" outlineLevel="0" collapsed="false">
      <c r="A185" s="5" t="s">
        <v>386</v>
      </c>
      <c r="B185" s="0" t="s">
        <v>25</v>
      </c>
      <c r="D185" s="13" t="n">
        <f aca="false">MAX(0,payout*(SUM(D171:F171)+0.75*(D182-D183)))</f>
        <v>838.519414766507</v>
      </c>
      <c r="E185" s="13" t="n">
        <f aca="false">MAX(0,payout*E184)</f>
        <v>1320.39062767221</v>
      </c>
      <c r="F185" s="13" t="n">
        <f aca="false">MAX(0,payout*F184)</f>
        <v>1320.4783885842</v>
      </c>
      <c r="G185" s="13" t="n">
        <f aca="false">MAX(0,payout*G184)</f>
        <v>1392.16446886184</v>
      </c>
      <c r="T185" s="8" t="s">
        <v>387</v>
      </c>
    </row>
    <row r="186" customFormat="false" ht="17.15" hidden="false" customHeight="false" outlineLevel="0" collapsed="false">
      <c r="A186" s="5" t="s">
        <v>388</v>
      </c>
      <c r="B186" s="0" t="s">
        <v>25</v>
      </c>
      <c r="C186" s="13" t="n">
        <f aca="false">eq25</f>
        <v>1399.1</v>
      </c>
      <c r="D186" s="13" t="n">
        <f aca="false">eq_j+SUM(D171:F171)-D185</f>
        <v>5855.87765906603</v>
      </c>
      <c r="E186" s="13" t="n">
        <f aca="false">D186+E181-E185</f>
        <v>11287.4401697549</v>
      </c>
      <c r="F186" s="13" t="n">
        <f aca="false">E186+F181-F185</f>
        <v>16719.3537240917</v>
      </c>
      <c r="G186" s="13" t="n">
        <f aca="false">F186+G181-G185</f>
        <v>22438.011599539</v>
      </c>
      <c r="T186" s="8" t="s">
        <v>389</v>
      </c>
    </row>
    <row r="187" customFormat="false" ht="15" hidden="false" customHeight="false" outlineLevel="0" collapsed="false">
      <c r="A187" s="5" t="s">
        <v>390</v>
      </c>
      <c r="B187" s="0" t="s">
        <v>25</v>
      </c>
      <c r="D187" s="13" t="n">
        <f aca="false">nc_j+(SUM(D171:F171)+0.75*(D182-D183))-D185</f>
        <v>3510.47765906603</v>
      </c>
      <c r="E187" s="13" t="n">
        <f aca="false">D187+E184-E185</f>
        <v>8792.04016975485</v>
      </c>
      <c r="F187" s="13" t="n">
        <f aca="false">E187+F184-F185</f>
        <v>14073.9537240917</v>
      </c>
      <c r="G187" s="13" t="n">
        <f aca="false">F187+G184-G185</f>
        <v>19642.611599539</v>
      </c>
    </row>
    <row r="188" customFormat="false" ht="15" hidden="false" customHeight="false" outlineLevel="0" collapsed="false">
      <c r="A188" s="5" t="s">
        <v>391</v>
      </c>
      <c r="B188" s="5" t="s">
        <v>159</v>
      </c>
      <c r="D188" s="13" t="n">
        <f aca="false">sh0-D185/bb_px*1000</f>
        <v>1578.30346595872</v>
      </c>
      <c r="E188" s="13" t="n">
        <f aca="false">D188-E185/bb_px*1000</f>
        <v>1474.78401259359</v>
      </c>
      <c r="F188" s="13" t="n">
        <f aca="false">E188-F185/bb_px*1000</f>
        <v>1371.25767871792</v>
      </c>
      <c r="G188" s="13" t="n">
        <f aca="false">F188-G185/bb_px*1000</f>
        <v>1262.11111118661</v>
      </c>
    </row>
    <row r="189" customFormat="false" ht="17.15" hidden="false" customHeight="false" outlineLevel="0" collapsed="false">
      <c r="A189" s="0" t="s">
        <v>392</v>
      </c>
      <c r="B189" s="0" t="s">
        <v>78</v>
      </c>
      <c r="C189" s="17" t="n">
        <f aca="false">a25_eps</f>
        <v>341.4</v>
      </c>
      <c r="D189" s="17" t="n">
        <f aca="false">D181/(D188+dil)*1000</f>
        <v>3219.19551079282</v>
      </c>
      <c r="E189" s="17" t="n">
        <f aca="false">E181/(E188+dil)*1000</f>
        <v>4529.20215138084</v>
      </c>
      <c r="F189" s="17" t="n">
        <f aca="false">F181/(F188+dil)*1000</f>
        <v>4867.52332222511</v>
      </c>
      <c r="G189" s="17" t="n">
        <f aca="false">G181/(G188+dil)*1000</f>
        <v>5563.64481930925</v>
      </c>
    </row>
    <row r="190" customFormat="false" ht="17.15" hidden="false" customHeight="false" outlineLevel="0" collapsed="false">
      <c r="A190" s="5" t="s">
        <v>393</v>
      </c>
      <c r="B190" s="0" t="s">
        <v>78</v>
      </c>
      <c r="D190" s="17" t="n">
        <f aca="false">D186/D188*1000</f>
        <v>3710.23556962726</v>
      </c>
      <c r="E190" s="17" t="n">
        <f aca="false">E186/E188*1000</f>
        <v>7653.62254633102</v>
      </c>
      <c r="F190" s="17" t="n">
        <f aca="false">F186/F188*1000</f>
        <v>12192.7147490789</v>
      </c>
      <c r="G190" s="17" t="n">
        <f aca="false">G186/G188*1000</f>
        <v>17778.158674511</v>
      </c>
    </row>
    <row r="191" customFormat="false" ht="17.15" hidden="false" customHeight="false" outlineLevel="0" collapsed="false">
      <c r="A191" s="0" t="s">
        <v>394</v>
      </c>
      <c r="B191" s="0" t="s">
        <v>116</v>
      </c>
      <c r="D191" s="21" t="n">
        <f aca="false">D181/D186</f>
        <v>0.876435160131249</v>
      </c>
      <c r="E191" s="21" t="n">
        <f aca="false">E181/E186</f>
        <v>0.598182850745305</v>
      </c>
      <c r="F191" s="21" t="n">
        <f aca="false">F181/F186</f>
        <v>0.403866803367596</v>
      </c>
      <c r="G191" s="21" t="n">
        <f aca="false">G181/G186</f>
        <v>0.316909647397424</v>
      </c>
    </row>
    <row r="192" customFormat="false" ht="15" hidden="false" customHeight="false" outlineLevel="0" collapsed="false">
      <c r="A192" s="5" t="s">
        <v>395</v>
      </c>
      <c r="B192" s="0" t="s">
        <v>78</v>
      </c>
      <c r="E192" s="17" t="n">
        <f aca="false">E184/(E188+dil)*1000</f>
        <v>4428.58232941448</v>
      </c>
      <c r="F192" s="17" t="n">
        <f aca="false">F184/(F188+dil)*1000</f>
        <v>4759.39445403949</v>
      </c>
      <c r="G192" s="17" t="n">
        <f aca="false">G184/(G188+dil)*1000</f>
        <v>5446.28192054913</v>
      </c>
    </row>
    <row r="193" customFormat="false" ht="17.15" hidden="false" customHeight="false" outlineLevel="0" collapsed="false">
      <c r="A193" s="5" t="s">
        <v>396</v>
      </c>
      <c r="B193" s="0" t="s">
        <v>25</v>
      </c>
      <c r="D193" s="18" t="n">
        <f aca="false">ABS(C164-q1_rev)+ABS(D169-g2_op)+ABS(C175-2337.6)</f>
        <v>0</v>
      </c>
    </row>
    <row r="210" customFormat="false" ht="17.15" hidden="false" customHeight="false" outlineLevel="0" collapsed="false">
      <c r="A210" s="3" t="s">
        <v>673</v>
      </c>
    </row>
    <row r="211" customFormat="false" ht="17.15" hidden="false" customHeight="false" outlineLevel="0" collapsed="false">
      <c r="A211" s="12" t="s">
        <v>352</v>
      </c>
      <c r="B211" s="6" t="s">
        <v>15</v>
      </c>
      <c r="C211" s="12" t="s">
        <v>353</v>
      </c>
      <c r="D211" s="12" t="s">
        <v>354</v>
      </c>
      <c r="E211" s="12" t="s">
        <v>355</v>
      </c>
      <c r="F211" s="12" t="s">
        <v>356</v>
      </c>
      <c r="G211" s="12" t="s">
        <v>357</v>
      </c>
      <c r="H211" s="12" t="s">
        <v>358</v>
      </c>
      <c r="I211" s="12" t="s">
        <v>359</v>
      </c>
      <c r="J211" s="12" t="s">
        <v>360</v>
      </c>
      <c r="K211" s="12" t="s">
        <v>361</v>
      </c>
      <c r="L211" s="12" t="s">
        <v>362</v>
      </c>
      <c r="M211" s="12" t="s">
        <v>363</v>
      </c>
      <c r="N211" s="12" t="s">
        <v>364</v>
      </c>
      <c r="O211" s="12" t="s">
        <v>365</v>
      </c>
      <c r="P211" s="12" t="s">
        <v>366</v>
      </c>
      <c r="Q211" s="12" t="s">
        <v>367</v>
      </c>
      <c r="R211" s="12" t="s">
        <v>368</v>
      </c>
      <c r="S211" s="12"/>
      <c r="T211" s="6" t="s">
        <v>343</v>
      </c>
    </row>
    <row r="212" customFormat="false" ht="17.15" hidden="false" customHeight="false" outlineLevel="0" collapsed="false">
      <c r="A212" s="5" t="s">
        <v>369</v>
      </c>
      <c r="B212" s="0" t="s">
        <v>317</v>
      </c>
      <c r="C212" s="19" t="n">
        <f aca="false">Units!H4*1.1</f>
        <v>11.792</v>
      </c>
      <c r="D212" s="19" t="n">
        <f aca="false">Units!I4*1.1</f>
        <v>15.7517645916341</v>
      </c>
      <c r="E212" s="19" t="n">
        <f aca="false">Units!J4*1.1*1</f>
        <v>19.411693341649</v>
      </c>
      <c r="F212" s="19" t="n">
        <f aca="false">Units!K4*1.1*1</f>
        <v>21.3893099124887</v>
      </c>
      <c r="G212" s="19" t="n">
        <f aca="false">Units!L4*1.1*1</f>
        <v>22.6164416462899</v>
      </c>
      <c r="H212" s="19" t="n">
        <f aca="false">Units!M4*1.1*1</f>
        <v>22.7182767041639</v>
      </c>
      <c r="I212" s="19" t="n">
        <f aca="false">Units!N4*1.1*1</f>
        <v>22.340137235943</v>
      </c>
      <c r="J212" s="19" t="n">
        <f aca="false">Units!O4*1.1*1</f>
        <v>22.4407281778744</v>
      </c>
      <c r="K212" s="19" t="n">
        <f aca="false">Units!P4*1.1*1</f>
        <v>22.5417720506671</v>
      </c>
      <c r="L212" s="19" t="n">
        <f aca="false">Units!Q4*1.1*1</f>
        <v>22.6432708937328</v>
      </c>
      <c r="M212" s="19" t="n">
        <f aca="false">Units!R4*1.1*1</f>
        <v>22.7452267556666</v>
      </c>
      <c r="N212" s="19" t="n">
        <f aca="false">Units!S4*1.1*1</f>
        <v>22.9349962620496</v>
      </c>
      <c r="O212" s="19" t="n">
        <f aca="false">Units!T4*1.1*1</f>
        <v>23.3594315870443</v>
      </c>
      <c r="P212" s="19" t="n">
        <f aca="false">Units!U4*1.1*1</f>
        <v>23.7917215174221</v>
      </c>
      <c r="Q212" s="19" t="n">
        <f aca="false">Units!V4*1.1*1</f>
        <v>24.2320114106077</v>
      </c>
      <c r="R212" s="19" t="n">
        <f aca="false">Units!W4*1.1*1</f>
        <v>23.6948413429021</v>
      </c>
      <c r="T212" s="8" t="s">
        <v>370</v>
      </c>
    </row>
    <row r="213" customFormat="false" ht="15" hidden="false" customHeight="false" outlineLevel="0" collapsed="false">
      <c r="A213" s="5" t="s">
        <v>371</v>
      </c>
      <c r="B213" s="0" t="s">
        <v>324</v>
      </c>
      <c r="C213" s="19" t="n">
        <f aca="false">Units!H7*1.1</f>
        <v>44.1933338484948</v>
      </c>
      <c r="D213" s="19" t="n">
        <f aca="false">Units!I7*1.1</f>
        <v>51.3334752596443</v>
      </c>
      <c r="E213" s="19" t="n">
        <f aca="false">Units!J7*1.1</f>
        <v>53.8390030596385</v>
      </c>
      <c r="F213" s="19" t="n">
        <f aca="false">Units!K7*1.1</f>
        <v>57.5961078033656</v>
      </c>
      <c r="G213" s="19" t="n">
        <f aca="false">Units!L7*1.1</f>
        <v>60.9004692773036</v>
      </c>
      <c r="H213" s="19" t="n">
        <f aca="false">Units!M7*1.1</f>
        <v>64.3944061438657</v>
      </c>
      <c r="I213" s="19" t="n">
        <f aca="false">Units!N7*1.1</f>
        <v>68.0887945828442</v>
      </c>
      <c r="J213" s="19" t="n">
        <f aca="false">Units!O7*1.1</f>
        <v>71.995134754207</v>
      </c>
      <c r="K213" s="19" t="n">
        <f aca="false">Units!P7*1.1</f>
        <v>76.1255865966295</v>
      </c>
      <c r="L213" s="19" t="n">
        <f aca="false">Units!Q7*1.1</f>
        <v>80.4930076798322</v>
      </c>
      <c r="M213" s="19" t="n">
        <f aca="false">Units!R7*1.1</f>
        <v>85.1109932285552</v>
      </c>
      <c r="N213" s="19" t="n">
        <f aca="false">Units!S7*1.1</f>
        <v>88.4753577261201</v>
      </c>
      <c r="O213" s="19" t="n">
        <f aca="false">Units!T7*1.1</f>
        <v>92.8996740128114</v>
      </c>
      <c r="P213" s="19" t="n">
        <f aca="false">Units!U7*1.1</f>
        <v>97.5452335372556</v>
      </c>
      <c r="Q213" s="19" t="n">
        <f aca="false">Units!V7*1.1</f>
        <v>102.423099832681</v>
      </c>
      <c r="R213" s="19" t="n">
        <f aca="false">Units!W7*1.1</f>
        <v>103.405011635005</v>
      </c>
    </row>
    <row r="214" customFormat="false" ht="17.15" hidden="false" customHeight="false" outlineLevel="0" collapsed="false">
      <c r="A214" s="5" t="s">
        <v>280</v>
      </c>
      <c r="B214" s="0" t="s">
        <v>25</v>
      </c>
      <c r="C214" s="13" t="n">
        <f aca="false">q1_rev</f>
        <v>1767.1</v>
      </c>
      <c r="D214" s="13" t="n">
        <f aca="false">g2_rev</f>
        <v>2390</v>
      </c>
      <c r="E214" s="13" t="n">
        <f aca="false">E212*kx_k*fx</f>
        <v>3199.85105448021</v>
      </c>
      <c r="F214" s="13" t="n">
        <f aca="false">F212*kx_k*fx</f>
        <v>3525.84417410062</v>
      </c>
      <c r="G214" s="13" t="n">
        <f aca="false">G212*kx_k*fx</f>
        <v>3728.12630906333</v>
      </c>
      <c r="H214" s="13" t="n">
        <f aca="false">H212*kx_k*fx</f>
        <v>3744.91294439627</v>
      </c>
      <c r="I214" s="13" t="n">
        <f aca="false">I212*kx_k*fx</f>
        <v>3682.57989828684</v>
      </c>
      <c r="J214" s="13" t="n">
        <f aca="false">J212*kx_k*fx</f>
        <v>3699.16145178375</v>
      </c>
      <c r="K214" s="13" t="n">
        <f aca="false">K212*kx_k*fx</f>
        <v>3715.81766704607</v>
      </c>
      <c r="L214" s="13" t="n">
        <f aca="false">L212*kx_k*fx</f>
        <v>3732.54888025329</v>
      </c>
      <c r="M214" s="13" t="n">
        <f aca="false">M212*kx_k*fx</f>
        <v>3749.35542909873</v>
      </c>
      <c r="N214" s="13" t="n">
        <f aca="false">N212*kx_k*fx</f>
        <v>3780.63730360708</v>
      </c>
      <c r="O214" s="13" t="n">
        <f aca="false">O212*kx_k*fx</f>
        <v>3850.60182439048</v>
      </c>
      <c r="P214" s="13" t="n">
        <f aca="false">P212*kx_k*fx</f>
        <v>3921.86110946237</v>
      </c>
      <c r="Q214" s="13" t="n">
        <f aca="false">Q212*kx_k*fx</f>
        <v>3994.43911974672</v>
      </c>
      <c r="R214" s="13" t="n">
        <f aca="false">R212*kx_k*fx</f>
        <v>3905.89124412707</v>
      </c>
      <c r="T214" s="5" t="s">
        <v>372</v>
      </c>
    </row>
    <row r="215" customFormat="false" ht="17.15" hidden="false" customHeight="false" outlineLevel="0" collapsed="false">
      <c r="A215" s="5" t="s">
        <v>373</v>
      </c>
      <c r="B215" s="0" t="s">
        <v>374</v>
      </c>
      <c r="C215" s="20" t="n">
        <f aca="false">C216/C213</f>
        <v>8.75697681751568</v>
      </c>
      <c r="D215" s="20" t="n">
        <f aca="false">D216/D213</f>
        <v>8.37660021701363</v>
      </c>
      <c r="E215" s="20" t="n">
        <f aca="false">$D215*(1-cd_A)^(1/4)</f>
        <v>8.06663491003289</v>
      </c>
      <c r="F215" s="20" t="n">
        <f aca="false">$D215*(1-cd_A)^(2/4)</f>
        <v>7.76813947018709</v>
      </c>
      <c r="G215" s="20" t="n">
        <f aca="false">$D215*(1-cd_A)^(3/4)</f>
        <v>7.48068946980923</v>
      </c>
      <c r="H215" s="20" t="n">
        <f aca="false">$D215*(1-cd_A)^(4/4)</f>
        <v>7.20387618663172</v>
      </c>
      <c r="I215" s="20" t="n">
        <f aca="false">$D215*(1-cd_A)^(5/4)</f>
        <v>6.93730602262829</v>
      </c>
      <c r="J215" s="20" t="n">
        <f aca="false">$D215*(1-cd_A)^(6/4)</f>
        <v>6.6805999443609</v>
      </c>
      <c r="K215" s="20" t="n">
        <f aca="false">$D215*(1-cd_A)^(7/4)</f>
        <v>6.43339294403594</v>
      </c>
      <c r="L215" s="20" t="n">
        <f aca="false">$D215*(1-cd_A)^(8/4)</f>
        <v>6.19533352050328</v>
      </c>
      <c r="M215" s="20" t="n">
        <f aca="false">$D215*(1-cd_A)^(9/4)</f>
        <v>5.96608317946033</v>
      </c>
      <c r="N215" s="20" t="n">
        <f aca="false">$D215*(1-cd_A)^(10/4)</f>
        <v>5.74531595215037</v>
      </c>
      <c r="O215" s="20" t="n">
        <f aca="false">$D215*(1-cd_A)^(11/4)</f>
        <v>5.53271793187091</v>
      </c>
      <c r="P215" s="20" t="n">
        <f aca="false">$D215*(1-cd_A)^(12/4)</f>
        <v>5.32798682763282</v>
      </c>
      <c r="Q215" s="20" t="n">
        <f aca="false">$D215*(1-cd_A)^(13/4)</f>
        <v>5.13083153433588</v>
      </c>
      <c r="R215" s="20" t="n">
        <f aca="false">$D215*(1-cd_A)^(14/4)</f>
        <v>4.94097171884932</v>
      </c>
    </row>
    <row r="216" customFormat="false" ht="15" hidden="false" customHeight="false" outlineLevel="0" collapsed="false">
      <c r="A216" s="5" t="s">
        <v>375</v>
      </c>
      <c r="B216" s="0" t="s">
        <v>25</v>
      </c>
      <c r="C216" s="13" t="n">
        <f aca="false">q1_rev-q1_gp</f>
        <v>387</v>
      </c>
      <c r="D216" s="13" t="n">
        <f aca="false">g2_rev-g2_op-g2_ox</f>
        <v>430</v>
      </c>
      <c r="E216" s="13" t="n">
        <f aca="false">E213*E215</f>
        <v>434.299581602248</v>
      </c>
      <c r="F216" s="13" t="n">
        <f aca="false">F213*F215</f>
        <v>447.414598356475</v>
      </c>
      <c r="G216" s="13" t="n">
        <f aca="false">G213*G215</f>
        <v>455.577499229166</v>
      </c>
      <c r="H216" s="13" t="n">
        <f aca="false">H213*H215</f>
        <v>463.889328972086</v>
      </c>
      <c r="I216" s="13" t="n">
        <f aca="false">I213*I215</f>
        <v>472.352804733065</v>
      </c>
      <c r="J216" s="13" t="n">
        <f aca="false">J213*J215</f>
        <v>480.97069323321</v>
      </c>
      <c r="K216" s="13" t="n">
        <f aca="false">K213*K215</f>
        <v>489.745811671353</v>
      </c>
      <c r="L216" s="13" t="n">
        <f aca="false">L213*L215</f>
        <v>498.681028644993</v>
      </c>
      <c r="M216" s="13" t="n">
        <f aca="false">M213*M215</f>
        <v>507.779265088045</v>
      </c>
      <c r="N216" s="13" t="n">
        <f aca="false">N213*N215</f>
        <v>508.318884116089</v>
      </c>
      <c r="O216" s="13" t="n">
        <f aca="false">O213*O215</f>
        <v>513.987692275643</v>
      </c>
      <c r="P216" s="13" t="n">
        <f aca="false">P213*P215</f>
        <v>519.719719384865</v>
      </c>
      <c r="Q216" s="13" t="n">
        <f aca="false">Q213*Q215</f>
        <v>525.515670465953</v>
      </c>
      <c r="R216" s="13" t="n">
        <f aca="false">R213*R215</f>
        <v>510.921238075844</v>
      </c>
      <c r="T216" s="5" t="s">
        <v>376</v>
      </c>
    </row>
    <row r="217" customFormat="false" ht="15" hidden="false" customHeight="false" outlineLevel="0" collapsed="false">
      <c r="A217" s="5" t="s">
        <v>286</v>
      </c>
      <c r="B217" s="0" t="s">
        <v>116</v>
      </c>
      <c r="C217" s="14" t="n">
        <f aca="false">1-C216/C214</f>
        <v>0.780997113915455</v>
      </c>
      <c r="D217" s="14" t="n">
        <f aca="false">1-D216/D214</f>
        <v>0.820083682008368</v>
      </c>
      <c r="E217" s="14" t="n">
        <f aca="false">1-E216/E214</f>
        <v>0.864275063367662</v>
      </c>
      <c r="F217" s="14" t="n">
        <f aca="false">1-F216/F214</f>
        <v>0.873104262053611</v>
      </c>
      <c r="G217" s="14" t="n">
        <f aca="false">1-G216/G214</f>
        <v>0.877799875470521</v>
      </c>
      <c r="H217" s="14" t="n">
        <f aca="false">1-H216/H214</f>
        <v>0.876128140797978</v>
      </c>
      <c r="I217" s="14" t="n">
        <f aca="false">1-I216/I214</f>
        <v>0.871733182231075</v>
      </c>
      <c r="J217" s="14" t="n">
        <f aca="false">1-J216/J214</f>
        <v>0.86997845335967</v>
      </c>
      <c r="K217" s="14" t="n">
        <f aca="false">1-K216/K214</f>
        <v>0.868199719266451</v>
      </c>
      <c r="L217" s="14" t="n">
        <f aca="false">1-L216/L214</f>
        <v>0.866396651552718</v>
      </c>
      <c r="M217" s="14" t="n">
        <f aca="false">1-M216/M214</f>
        <v>0.864568917327183</v>
      </c>
      <c r="N217" s="14" t="n">
        <f aca="false">1-N216/N214</f>
        <v>0.865546773388946</v>
      </c>
      <c r="O217" s="14" t="n">
        <f aca="false">1-O216/O214</f>
        <v>0.866517569014812</v>
      </c>
      <c r="P217" s="14" t="n">
        <f aca="false">1-P216/P214</f>
        <v>0.867481355183404</v>
      </c>
      <c r="Q217" s="14" t="n">
        <f aca="false">1-Q216/Q214</f>
        <v>0.868438182505264</v>
      </c>
      <c r="R217" s="14" t="n">
        <f aca="false">1-R216/R214</f>
        <v>0.869192149462925</v>
      </c>
    </row>
    <row r="218" customFormat="false" ht="17.15" hidden="false" customHeight="false" outlineLevel="0" collapsed="false">
      <c r="A218" s="5" t="s">
        <v>377</v>
      </c>
      <c r="B218" s="0" t="s">
        <v>25</v>
      </c>
      <c r="C218" s="13" t="n">
        <f aca="false">q1_gp-q1_op</f>
        <v>110.1</v>
      </c>
      <c r="D218" s="13" t="n">
        <f aca="false">g2_ox</f>
        <v>70</v>
      </c>
      <c r="E218" s="13" t="n">
        <f aca="false">(g2_ox-ox_var*g2_rev)*(1+ox_g)^(1/4)+ox_var*E214</f>
        <v>79.2101516115951</v>
      </c>
      <c r="F218" s="13" t="n">
        <f aca="false">(g2_ox-ox_var*g2_rev)*(1+ox_g)^(2/4)+ox_var*F214</f>
        <v>83.6085296416502</v>
      </c>
      <c r="G218" s="13" t="n">
        <f aca="false">(g2_ox-ox_var*g2_rev)*(1+ox_g)^(3/4)+ox_var*G214</f>
        <v>86.797249978119</v>
      </c>
      <c r="H218" s="13" t="n">
        <f aca="false">(g2_ox-ox_var*g2_rev)*(1+ox_g)^(4/4)+ox_var*H214</f>
        <v>88.1591294439627</v>
      </c>
      <c r="I218" s="13" t="n">
        <f aca="false">(g2_ox-ox_var*g2_rev)*(1+ox_g)^(5/4)+ox_var*I214</f>
        <v>88.7586041563406</v>
      </c>
      <c r="J218" s="13" t="n">
        <f aca="false">(g2_ox-ox_var*g2_rev)*(1+ox_g)^(6/4)+ox_var*J214</f>
        <v>90.1767112085459</v>
      </c>
      <c r="K218" s="13" t="n">
        <f aca="false">(g2_ox-ox_var*g2_rev)*(1+ox_g)^(7/4)+ox_var*K214</f>
        <v>91.625762246695</v>
      </c>
      <c r="L218" s="13" t="n">
        <f aca="false">(g2_ox-ox_var*g2_rev)*(1+ox_g)^(8/4)+ox_var*L214</f>
        <v>93.1064888025329</v>
      </c>
      <c r="M218" s="13" t="n">
        <f aca="false">(g2_ox-ox_var*g2_rev)*(1+ox_g)^(9/4)+ox_var*M214</f>
        <v>94.6196399818068</v>
      </c>
      <c r="N218" s="13" t="n">
        <f aca="false">(g2_ox-ox_var*g2_rev)*(1+ox_g)^(10/4)+ox_var*N214</f>
        <v>96.30997939585</v>
      </c>
      <c r="O218" s="13" t="n">
        <f aca="false">(g2_ox-ox_var*g2_rev)*(1+ox_g)^(11/4)+ox_var*O214</f>
        <v>98.4203623777626</v>
      </c>
      <c r="P218" s="13" t="n">
        <f aca="false">(g2_ox-ox_var*g2_rev)*(1+ox_g)^(12/4)+ox_var*P214</f>
        <v>100.577711094624</v>
      </c>
      <c r="Q218" s="13" t="n">
        <f aca="false">(g2_ox-ox_var*g2_rev)*(1+ox_g)^(13/4)+ox_var*Q214</f>
        <v>102.783085457369</v>
      </c>
      <c r="R218" s="13" t="n">
        <f aca="false">(g2_ox-ox_var*g2_rev)*(1+ox_g)^(14/4)+ox_var*R214</f>
        <v>103.412879437028</v>
      </c>
      <c r="T218" s="5" t="s">
        <v>378</v>
      </c>
    </row>
    <row r="219" customFormat="false" ht="15" hidden="false" customHeight="false" outlineLevel="0" collapsed="false">
      <c r="A219" s="5" t="s">
        <v>284</v>
      </c>
      <c r="B219" s="0" t="s">
        <v>25</v>
      </c>
      <c r="C219" s="13" t="n">
        <f aca="false">C214-C216-C218</f>
        <v>1270</v>
      </c>
      <c r="D219" s="13" t="n">
        <f aca="false">D214-D216-D218</f>
        <v>1890</v>
      </c>
      <c r="E219" s="13" t="n">
        <f aca="false">E214-E216-E218</f>
        <v>2686.34132126637</v>
      </c>
      <c r="F219" s="13" t="n">
        <f aca="false">F214-F216-F218</f>
        <v>2994.8210461025</v>
      </c>
      <c r="G219" s="13" t="n">
        <f aca="false">G214-G216-G218</f>
        <v>3185.75155985605</v>
      </c>
      <c r="H219" s="13" t="n">
        <f aca="false">H214-H216-H218</f>
        <v>3192.86448598023</v>
      </c>
      <c r="I219" s="13" t="n">
        <f aca="false">I214-I216-I218</f>
        <v>3121.46848939743</v>
      </c>
      <c r="J219" s="13" t="n">
        <f aca="false">J214-J216-J218</f>
        <v>3128.014047342</v>
      </c>
      <c r="K219" s="13" t="n">
        <f aca="false">K214-K216-K218</f>
        <v>3134.44609312802</v>
      </c>
      <c r="L219" s="13" t="n">
        <f aca="false">L214-L216-L218</f>
        <v>3140.76136280577</v>
      </c>
      <c r="M219" s="13" t="n">
        <f aca="false">M214-M216-M218</f>
        <v>3146.95652402888</v>
      </c>
      <c r="N219" s="13" t="n">
        <f aca="false">N214-N216-N218</f>
        <v>3176.00844009514</v>
      </c>
      <c r="O219" s="13" t="n">
        <f aca="false">O214-O216-O218</f>
        <v>3238.19376973708</v>
      </c>
      <c r="P219" s="13" t="n">
        <f aca="false">P214-P216-P218</f>
        <v>3301.56367898288</v>
      </c>
      <c r="Q219" s="13" t="n">
        <f aca="false">Q214-Q216-Q218</f>
        <v>3366.14036382339</v>
      </c>
      <c r="R219" s="13" t="n">
        <f aca="false">R214-R216-R218</f>
        <v>3291.5571266142</v>
      </c>
    </row>
    <row r="221" customFormat="false" ht="17.15" hidden="false" customHeight="false" outlineLevel="0" collapsed="false">
      <c r="A221" s="5" t="s">
        <v>285</v>
      </c>
      <c r="B221" s="0" t="s">
        <v>25</v>
      </c>
      <c r="C221" s="13" t="n">
        <f aca="false">q1_ni</f>
        <v>842.2</v>
      </c>
      <c r="D221" s="13" t="n">
        <f aca="false">g2_ni</f>
        <v>1270</v>
      </c>
      <c r="E221" s="13" t="n">
        <f aca="false">(E219+nonop_q+rf*nc_j/4)*(1-tax)</f>
        <v>1816.77797846113</v>
      </c>
      <c r="F221" s="13" t="n">
        <f aca="false">(F219+nonop_q+rf*nc_j/4)*(1-tax)</f>
        <v>2026.5441913497</v>
      </c>
      <c r="G221" s="13" t="n">
        <f aca="false">(G219+nonop_q+rf*$D237/4)*(1-tax)</f>
        <v>2163.19845885305</v>
      </c>
      <c r="H221" s="13" t="n">
        <f aca="false">(H219+nonop_q+rf*$D237/4)*(1-tax)</f>
        <v>2168.0352486175</v>
      </c>
      <c r="I221" s="13" t="n">
        <f aca="false">(I219+nonop_q+rf*$D237/4)*(1-tax)</f>
        <v>2119.4859709412</v>
      </c>
      <c r="J221" s="13" t="n">
        <f aca="false">(J219+nonop_q+rf*$D237/4)*(1-tax)</f>
        <v>2123.9369503435</v>
      </c>
      <c r="K221" s="13" t="n">
        <f aca="false">(K219+nonop_q+rf*$E237/4)*(1-tax)</f>
        <v>2139.7682744931</v>
      </c>
      <c r="L221" s="13" t="n">
        <f aca="false">(L219+nonop_q+rf*$E237/4)*(1-tax)</f>
        <v>2144.06265787397</v>
      </c>
      <c r="M221" s="13" t="n">
        <f aca="false">(M219+nonop_q+rf*$E237/4)*(1-tax)</f>
        <v>2148.27536750569</v>
      </c>
      <c r="N221" s="13" t="n">
        <f aca="false">(N219+nonop_q+rf*$E237/4)*(1-tax)</f>
        <v>2168.03067043075</v>
      </c>
      <c r="O221" s="13" t="n">
        <f aca="false">(O219+nonop_q+rf*$F237/4)*(1-tax)</f>
        <v>2221.80888086688</v>
      </c>
      <c r="P221" s="13" t="n">
        <f aca="false">(P219+nonop_q+rf*$F237/4)*(1-tax)</f>
        <v>2264.90041915402</v>
      </c>
      <c r="Q221" s="13" t="n">
        <f aca="false">(Q219+nonop_q+rf*$F237/4)*(1-tax)</f>
        <v>2308.81256484557</v>
      </c>
      <c r="R221" s="13" t="n">
        <f aca="false">(R219+nonop_q+rf*$F237/4)*(1-tax)</f>
        <v>2258.09596354332</v>
      </c>
      <c r="T221" s="5" t="s">
        <v>379</v>
      </c>
    </row>
    <row r="222" customFormat="false" ht="17.15" hidden="false" customHeight="false" outlineLevel="0" collapsed="false">
      <c r="A222" s="5" t="s">
        <v>380</v>
      </c>
      <c r="B222" s="0" t="s">
        <v>78</v>
      </c>
      <c r="C222" s="17" t="n">
        <f aca="false">C221/(sh0+dil)*1000</f>
        <v>507.343332753891</v>
      </c>
      <c r="D222" s="17" t="n">
        <f aca="false">D221/(sh0+dil)*1000</f>
        <v>765.051095461222</v>
      </c>
      <c r="E222" s="17" t="n">
        <f aca="false">E221/(sh0+dil)*1000</f>
        <v>1094.43148238702</v>
      </c>
      <c r="F222" s="17" t="n">
        <f aca="false">F221/(sh0+dil)*1000</f>
        <v>1220.79516030918</v>
      </c>
      <c r="G222" s="17" t="n">
        <f aca="false">G221/(sh0+dil)*1000</f>
        <v>1303.11602413036</v>
      </c>
      <c r="H222" s="17" t="n">
        <f aca="false">H221/(sh0+dil)*1000</f>
        <v>1306.02971807351</v>
      </c>
      <c r="I222" s="17" t="n">
        <f aca="false">I221/(sh0+dil)*1000</f>
        <v>1276.7835148687</v>
      </c>
      <c r="J222" s="17" t="n">
        <f aca="false">J221/(sh0+dil)*1000</f>
        <v>1279.46479570934</v>
      </c>
      <c r="K222" s="17" t="n">
        <f aca="false">K221/(sh0+dil)*1000</f>
        <v>1289.00162396387</v>
      </c>
      <c r="L222" s="17" t="n">
        <f aca="false">L221/(sh0+dil)*1000</f>
        <v>1291.58857097951</v>
      </c>
      <c r="M222" s="17" t="n">
        <f aca="false">M221/(sh0+dil)*1000</f>
        <v>1294.1263175296</v>
      </c>
      <c r="N222" s="17" t="n">
        <f aca="false">N221/(sh0+dil)*1000</f>
        <v>1306.02696016265</v>
      </c>
      <c r="O222" s="17" t="n">
        <f aca="false">O221/(sh0+dil)*1000</f>
        <v>1338.42308520683</v>
      </c>
      <c r="P222" s="17" t="n">
        <f aca="false">P221/(sh0+dil)*1000</f>
        <v>1364.38153290107</v>
      </c>
      <c r="Q222" s="17" t="n">
        <f aca="false">Q221/(sh0+dil)*1000</f>
        <v>1390.83431649586</v>
      </c>
      <c r="R222" s="17" t="n">
        <f aca="false">R221/(sh0+dil)*1000</f>
        <v>1360.28251225621</v>
      </c>
    </row>
    <row r="224" customFormat="false" ht="17.15" hidden="false" customHeight="false" outlineLevel="0" collapsed="false">
      <c r="A224" s="12" t="s">
        <v>381</v>
      </c>
      <c r="B224" s="6" t="s">
        <v>15</v>
      </c>
      <c r="C224" s="12" t="s">
        <v>338</v>
      </c>
      <c r="D224" s="12" t="s">
        <v>339</v>
      </c>
      <c r="E224" s="12" t="s">
        <v>340</v>
      </c>
      <c r="F224" s="12" t="s">
        <v>341</v>
      </c>
      <c r="G224" s="12" t="s">
        <v>342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6" t="s">
        <v>343</v>
      </c>
    </row>
    <row r="225" customFormat="false" ht="17.15" hidden="false" customHeight="false" outlineLevel="0" collapsed="false">
      <c r="A225" s="5" t="s">
        <v>280</v>
      </c>
      <c r="B225" s="0" t="s">
        <v>25</v>
      </c>
      <c r="C225" s="13" t="n">
        <f aca="false">a25_rev</f>
        <v>2337.6</v>
      </c>
      <c r="D225" s="13" t="n">
        <f aca="false">SUM(C214:F214)</f>
        <v>10882.7952285808</v>
      </c>
      <c r="E225" s="13" t="n">
        <f aca="false">SUM(G214:J214)</f>
        <v>14854.7806035302</v>
      </c>
      <c r="F225" s="13" t="n">
        <f aca="false">SUM(K214:N214)</f>
        <v>14978.3592800052</v>
      </c>
      <c r="G225" s="13" t="n">
        <f aca="false">SUM(O214:R214)</f>
        <v>15672.7932977266</v>
      </c>
      <c r="T225" s="8" t="s">
        <v>382</v>
      </c>
    </row>
    <row r="226" customFormat="false" ht="15" hidden="false" customHeight="false" outlineLevel="0" collapsed="false">
      <c r="A226" s="5" t="s">
        <v>375</v>
      </c>
      <c r="B226" s="0" t="s">
        <v>25</v>
      </c>
      <c r="C226" s="13" t="n">
        <f aca="false">a25_rev-(p1_gp+p2_gp+p3_gp+p4_gp)</f>
        <v>1324.8</v>
      </c>
      <c r="D226" s="13" t="n">
        <f aca="false">SUM(C216:F216)</f>
        <v>1698.71417995872</v>
      </c>
      <c r="E226" s="13" t="n">
        <f aca="false">SUM(G216:J216)</f>
        <v>1872.79032616753</v>
      </c>
      <c r="F226" s="13" t="n">
        <f aca="false">SUM(K216:N216)</f>
        <v>2004.52498952048</v>
      </c>
      <c r="G226" s="13" t="n">
        <f aca="false">SUM(O216:R216)</f>
        <v>2070.14432020231</v>
      </c>
    </row>
    <row r="227" customFormat="false" ht="15" hidden="false" customHeight="false" outlineLevel="0" collapsed="false">
      <c r="A227" s="5" t="s">
        <v>286</v>
      </c>
      <c r="B227" s="0" t="s">
        <v>116</v>
      </c>
      <c r="C227" s="14" t="n">
        <f aca="false">1-C226/C225</f>
        <v>0.433264887063655</v>
      </c>
      <c r="D227" s="14" t="n">
        <f aca="false">1-D226/D225</f>
        <v>0.843908284197291</v>
      </c>
      <c r="E227" s="14" t="n">
        <f aca="false">1-E226/E225</f>
        <v>0.873926759596674</v>
      </c>
      <c r="F227" s="14" t="n">
        <f aca="false">1-F226/F225</f>
        <v>0.866171924972026</v>
      </c>
      <c r="G227" s="14" t="n">
        <f aca="false">1-G226/G225</f>
        <v>0.867914781948756</v>
      </c>
    </row>
    <row r="228" customFormat="false" ht="15" hidden="false" customHeight="false" outlineLevel="0" collapsed="false">
      <c r="A228" s="5" t="s">
        <v>377</v>
      </c>
      <c r="B228" s="0" t="s">
        <v>25</v>
      </c>
      <c r="D228" s="13" t="n">
        <f aca="false">SUM(C218:F218)</f>
        <v>342.918681253245</v>
      </c>
      <c r="E228" s="13" t="n">
        <f aca="false">SUM(G218:J218)</f>
        <v>353.891694786968</v>
      </c>
      <c r="F228" s="13" t="n">
        <f aca="false">SUM(K218:N218)</f>
        <v>375.661870426885</v>
      </c>
      <c r="G228" s="13" t="n">
        <f aca="false">SUM(O218:R218)</f>
        <v>405.194038366783</v>
      </c>
    </row>
    <row r="229" customFormat="false" ht="15" hidden="false" customHeight="false" outlineLevel="0" collapsed="false">
      <c r="A229" s="5" t="s">
        <v>284</v>
      </c>
      <c r="B229" s="0" t="s">
        <v>25</v>
      </c>
      <c r="C229" s="13" t="n">
        <f aca="false">p1_op+p2_op+p3_op+p4_op</f>
        <v>869</v>
      </c>
      <c r="D229" s="13" t="n">
        <f aca="false">SUM(C219:F219)</f>
        <v>8841.16236736887</v>
      </c>
      <c r="E229" s="13" t="n">
        <f aca="false">SUM(G219:J219)</f>
        <v>12628.0985825757</v>
      </c>
      <c r="F229" s="13" t="n">
        <f aca="false">SUM(K219:N219)</f>
        <v>12598.1724200578</v>
      </c>
      <c r="G229" s="13" t="n">
        <f aca="false">SUM(O219:R219)</f>
        <v>13197.4549391576</v>
      </c>
    </row>
    <row r="230" customFormat="false" ht="15" hidden="false" customHeight="false" outlineLevel="0" collapsed="false">
      <c r="A230" s="5" t="s">
        <v>287</v>
      </c>
      <c r="B230" s="0" t="s">
        <v>116</v>
      </c>
      <c r="C230" s="14" t="n">
        <f aca="false">C229/C225</f>
        <v>0.371748802190281</v>
      </c>
      <c r="D230" s="14" t="n">
        <f aca="false">D229/D225</f>
        <v>0.812398118467749</v>
      </c>
      <c r="E230" s="14" t="n">
        <f aca="false">E229/E225</f>
        <v>0.850103338421213</v>
      </c>
      <c r="F230" s="14" t="n">
        <f aca="false">F229/F225</f>
        <v>0.841091616548102</v>
      </c>
      <c r="G230" s="14" t="n">
        <f aca="false">G229/G225</f>
        <v>0.842061442938309</v>
      </c>
    </row>
    <row r="231" customFormat="false" ht="15" hidden="false" customHeight="false" outlineLevel="0" collapsed="false">
      <c r="A231" s="5" t="s">
        <v>285</v>
      </c>
      <c r="B231" s="0" t="s">
        <v>25</v>
      </c>
      <c r="C231" s="13" t="n">
        <f aca="false">a25_ni</f>
        <v>554.5</v>
      </c>
      <c r="D231" s="13" t="n">
        <f aca="false">SUM(C221:F221)</f>
        <v>5955.52216981083</v>
      </c>
      <c r="E231" s="13" t="n">
        <f aca="false">SUM(G221:J221)</f>
        <v>8574.65662875525</v>
      </c>
      <c r="F231" s="13" t="n">
        <f aca="false">SUM(K221:N221)</f>
        <v>8600.13697030351</v>
      </c>
      <c r="G231" s="13" t="n">
        <f aca="false">SUM(O221:R221)</f>
        <v>9053.61782840979</v>
      </c>
    </row>
    <row r="232" customFormat="false" ht="15" hidden="false" customHeight="false" outlineLevel="0" collapsed="false">
      <c r="A232" s="5" t="s">
        <v>383</v>
      </c>
      <c r="B232" s="0" t="s">
        <v>25</v>
      </c>
      <c r="D232" s="13" t="n">
        <f aca="false">da_y</f>
        <v>320</v>
      </c>
      <c r="E232" s="13" t="n">
        <f aca="false">da_y</f>
        <v>320</v>
      </c>
      <c r="F232" s="13" t="n">
        <f aca="false">da_y</f>
        <v>320</v>
      </c>
      <c r="G232" s="13" t="n">
        <f aca="false">da_y</f>
        <v>320</v>
      </c>
    </row>
    <row r="233" customFormat="false" ht="15" hidden="false" customHeight="false" outlineLevel="0" collapsed="false">
      <c r="A233" s="5" t="s">
        <v>384</v>
      </c>
      <c r="B233" s="0" t="s">
        <v>25</v>
      </c>
      <c r="D233" s="13" t="n">
        <f aca="false">cap_2026</f>
        <v>450</v>
      </c>
      <c r="E233" s="13" t="n">
        <f aca="false">cap_2027</f>
        <v>470</v>
      </c>
      <c r="F233" s="13" t="n">
        <f aca="false">cap_2028</f>
        <v>470</v>
      </c>
      <c r="G233" s="13" t="n">
        <f aca="false">cap_2029</f>
        <v>470</v>
      </c>
    </row>
    <row r="234" customFormat="false" ht="15" hidden="false" customHeight="false" outlineLevel="0" collapsed="false">
      <c r="A234" s="5" t="s">
        <v>385</v>
      </c>
      <c r="B234" s="0" t="s">
        <v>25</v>
      </c>
      <c r="D234" s="13" t="n">
        <f aca="false">D231+D232-D233</f>
        <v>5825.52216981083</v>
      </c>
      <c r="E234" s="13" t="n">
        <f aca="false">E231+E232-E233</f>
        <v>8424.65662875525</v>
      </c>
      <c r="F234" s="13" t="n">
        <f aca="false">F231+F232-F233</f>
        <v>8450.13697030351</v>
      </c>
      <c r="G234" s="13" t="n">
        <f aca="false">G231+G232-G233</f>
        <v>8903.61782840979</v>
      </c>
    </row>
    <row r="235" customFormat="false" ht="17.15" hidden="false" customHeight="false" outlineLevel="0" collapsed="false">
      <c r="A235" s="5" t="s">
        <v>386</v>
      </c>
      <c r="B235" s="0" t="s">
        <v>25</v>
      </c>
      <c r="D235" s="13" t="n">
        <f aca="false">MAX(0,payout*(SUM(D221:F221)+0.75*(D232-D233)))</f>
        <v>1003.16443396217</v>
      </c>
      <c r="E235" s="13" t="n">
        <f aca="false">MAX(0,payout*E234)</f>
        <v>1684.93132575105</v>
      </c>
      <c r="F235" s="13" t="n">
        <f aca="false">MAX(0,payout*F234)</f>
        <v>1690.0273940607</v>
      </c>
      <c r="G235" s="13" t="n">
        <f aca="false">MAX(0,payout*G234)</f>
        <v>1780.72356568196</v>
      </c>
      <c r="T235" s="8" t="s">
        <v>387</v>
      </c>
    </row>
    <row r="236" customFormat="false" ht="17.15" hidden="false" customHeight="false" outlineLevel="0" collapsed="false">
      <c r="A236" s="5" t="s">
        <v>388</v>
      </c>
      <c r="B236" s="0" t="s">
        <v>25</v>
      </c>
      <c r="C236" s="13" t="n">
        <f aca="false">eq25</f>
        <v>1399.1</v>
      </c>
      <c r="D236" s="13" t="n">
        <f aca="false">eq_j+SUM(D221:F221)-D235</f>
        <v>6514.45773584867</v>
      </c>
      <c r="E236" s="13" t="n">
        <f aca="false">D236+E231-E235</f>
        <v>13404.1830388529</v>
      </c>
      <c r="F236" s="13" t="n">
        <f aca="false">E236+F231-F235</f>
        <v>20314.2926150957</v>
      </c>
      <c r="G236" s="13" t="n">
        <f aca="false">F236+G231-G235</f>
        <v>27587.1868778235</v>
      </c>
      <c r="T236" s="8" t="s">
        <v>389</v>
      </c>
    </row>
    <row r="237" customFormat="false" ht="15" hidden="false" customHeight="false" outlineLevel="0" collapsed="false">
      <c r="A237" s="5" t="s">
        <v>390</v>
      </c>
      <c r="B237" s="0" t="s">
        <v>25</v>
      </c>
      <c r="D237" s="13" t="n">
        <f aca="false">nc_j+(SUM(D221:F221)+0.75*(D232-D233))-D235</f>
        <v>4169.05773584866</v>
      </c>
      <c r="E237" s="13" t="n">
        <f aca="false">D237+E234-E235</f>
        <v>10908.7830388529</v>
      </c>
      <c r="F237" s="13" t="n">
        <f aca="false">E237+F234-F235</f>
        <v>17668.8926150957</v>
      </c>
      <c r="G237" s="13" t="n">
        <f aca="false">F237+G234-G235</f>
        <v>24791.7868778235</v>
      </c>
    </row>
    <row r="238" customFormat="false" ht="15" hidden="false" customHeight="false" outlineLevel="0" collapsed="false">
      <c r="A238" s="5" t="s">
        <v>391</v>
      </c>
      <c r="B238" s="5" t="s">
        <v>159</v>
      </c>
      <c r="D238" s="13" t="n">
        <f aca="false">sh0-D235/bb_px*1000</f>
        <v>1565.3951931876</v>
      </c>
      <c r="E238" s="13" t="n">
        <f aca="false">D238-E235/bb_px*1000</f>
        <v>1433.29552045134</v>
      </c>
      <c r="F238" s="13" t="n">
        <f aca="false">E238-F235/bb_px*1000</f>
        <v>1300.79631276331</v>
      </c>
      <c r="G238" s="13" t="n">
        <f aca="false">F238-G235/bb_px*1000</f>
        <v>1161.18646833509</v>
      </c>
    </row>
    <row r="239" customFormat="false" ht="17.15" hidden="false" customHeight="false" outlineLevel="0" collapsed="false">
      <c r="A239" s="0" t="s">
        <v>392</v>
      </c>
      <c r="B239" s="0" t="s">
        <v>78</v>
      </c>
      <c r="C239" s="17" t="n">
        <f aca="false">a25_eps</f>
        <v>341.4</v>
      </c>
      <c r="D239" s="17" t="n">
        <f aca="false">D231/(D238+dil)*1000</f>
        <v>3766.04965347616</v>
      </c>
      <c r="E239" s="17" t="n">
        <f aca="false">E231/(E238+dil)*1000</f>
        <v>5916.52904441349</v>
      </c>
      <c r="F239" s="17" t="n">
        <f aca="false">F231/(F238+dil)*1000</f>
        <v>6531.22589632293</v>
      </c>
      <c r="G239" s="17" t="n">
        <f aca="false">G231/(G238+dil)*1000</f>
        <v>7691.05251970139</v>
      </c>
    </row>
    <row r="240" customFormat="false" ht="17.15" hidden="false" customHeight="false" outlineLevel="0" collapsed="false">
      <c r="A240" s="5" t="s">
        <v>393</v>
      </c>
      <c r="B240" s="0" t="s">
        <v>78</v>
      </c>
      <c r="D240" s="17" t="n">
        <f aca="false">D236/D238*1000</f>
        <v>4161.54193151912</v>
      </c>
      <c r="E240" s="17" t="n">
        <f aca="false">E236/E238*1000</f>
        <v>9352.00232442781</v>
      </c>
      <c r="F240" s="17" t="n">
        <f aca="false">F236/F238*1000</f>
        <v>15616.8128828267</v>
      </c>
      <c r="G240" s="17" t="n">
        <f aca="false">G236/G238*1000</f>
        <v>23757.7578021366</v>
      </c>
    </row>
    <row r="241" customFormat="false" ht="17.15" hidden="false" customHeight="false" outlineLevel="0" collapsed="false">
      <c r="A241" s="0" t="s">
        <v>394</v>
      </c>
      <c r="B241" s="0" t="s">
        <v>116</v>
      </c>
      <c r="D241" s="21" t="n">
        <f aca="false">D231/D236</f>
        <v>0.914200753354796</v>
      </c>
      <c r="E241" s="21" t="n">
        <f aca="false">E231/E236</f>
        <v>0.639700055117203</v>
      </c>
      <c r="F241" s="21" t="n">
        <f aca="false">F231/F236</f>
        <v>0.423353996777259</v>
      </c>
      <c r="G241" s="21" t="n">
        <f aca="false">G231/G236</f>
        <v>0.328181987837539</v>
      </c>
    </row>
    <row r="242" customFormat="false" ht="15" hidden="false" customHeight="false" outlineLevel="0" collapsed="false">
      <c r="A242" s="5" t="s">
        <v>395</v>
      </c>
      <c r="B242" s="0" t="s">
        <v>78</v>
      </c>
      <c r="E242" s="17" t="n">
        <f aca="false">E234/(E238+dil)*1000</f>
        <v>5813.02876503369</v>
      </c>
      <c r="F242" s="17" t="n">
        <f aca="false">F234/(F238+dil)*1000</f>
        <v>6417.31097987087</v>
      </c>
      <c r="G242" s="17" t="n">
        <f aca="false">G234/(G238+dil)*1000</f>
        <v>7563.62745053897</v>
      </c>
    </row>
    <row r="243" customFormat="false" ht="17.15" hidden="false" customHeight="false" outlineLevel="0" collapsed="false">
      <c r="A243" s="5" t="s">
        <v>396</v>
      </c>
      <c r="B243" s="0" t="s">
        <v>25</v>
      </c>
      <c r="D243" s="18" t="n">
        <f aca="false">ABS(C214-q1_rev)+ABS(D219-g2_op)+ABS(C225-2337.6)</f>
        <v>0</v>
      </c>
    </row>
    <row r="260" customFormat="false" ht="17.15" hidden="false" customHeight="false" outlineLevel="0" collapsed="false">
      <c r="A260" s="3" t="s">
        <v>674</v>
      </c>
    </row>
    <row r="261" customFormat="false" ht="17.15" hidden="false" customHeight="false" outlineLevel="0" collapsed="false">
      <c r="A261" s="12" t="s">
        <v>352</v>
      </c>
      <c r="B261" s="6" t="s">
        <v>15</v>
      </c>
      <c r="C261" s="12" t="s">
        <v>353</v>
      </c>
      <c r="D261" s="12" t="s">
        <v>354</v>
      </c>
      <c r="E261" s="12" t="s">
        <v>355</v>
      </c>
      <c r="F261" s="12" t="s">
        <v>356</v>
      </c>
      <c r="G261" s="12" t="s">
        <v>357</v>
      </c>
      <c r="H261" s="12" t="s">
        <v>358</v>
      </c>
      <c r="I261" s="12" t="s">
        <v>359</v>
      </c>
      <c r="J261" s="12" t="s">
        <v>360</v>
      </c>
      <c r="K261" s="12" t="s">
        <v>361</v>
      </c>
      <c r="L261" s="12" t="s">
        <v>362</v>
      </c>
      <c r="M261" s="12" t="s">
        <v>363</v>
      </c>
      <c r="N261" s="12" t="s">
        <v>364</v>
      </c>
      <c r="O261" s="12" t="s">
        <v>365</v>
      </c>
      <c r="P261" s="12" t="s">
        <v>366</v>
      </c>
      <c r="Q261" s="12" t="s">
        <v>367</v>
      </c>
      <c r="R261" s="12" t="s">
        <v>368</v>
      </c>
      <c r="S261" s="12"/>
      <c r="T261" s="6" t="s">
        <v>343</v>
      </c>
    </row>
    <row r="262" customFormat="false" ht="17.15" hidden="false" customHeight="false" outlineLevel="0" collapsed="false">
      <c r="A262" s="5" t="s">
        <v>369</v>
      </c>
      <c r="B262" s="0" t="s">
        <v>317</v>
      </c>
      <c r="C262" s="19" t="n">
        <f aca="false">Units!H4*1</f>
        <v>10.72</v>
      </c>
      <c r="D262" s="19" t="n">
        <f aca="false">Units!I4*1</f>
        <v>14.3197859923946</v>
      </c>
      <c r="E262" s="19" t="n">
        <f aca="false">Units!J4*1*1</f>
        <v>17.6469939469536</v>
      </c>
      <c r="F262" s="19" t="n">
        <f aca="false">Units!K4*1*1</f>
        <v>19.4448271931715</v>
      </c>
      <c r="G262" s="19" t="n">
        <f aca="false">Units!L4*1*1</f>
        <v>20.5604014966272</v>
      </c>
      <c r="H262" s="19" t="n">
        <f aca="false">Units!M4*1*1</f>
        <v>20.6529788219672</v>
      </c>
      <c r="I262" s="19" t="n">
        <f aca="false">Units!N4*1*1</f>
        <v>20.3092156690391</v>
      </c>
      <c r="J262" s="19" t="n">
        <f aca="false">Units!O4*1*1</f>
        <v>20.4006619798858</v>
      </c>
      <c r="K262" s="19" t="n">
        <f aca="false">Units!P4*1*1</f>
        <v>20.492520046061</v>
      </c>
      <c r="L262" s="19" t="n">
        <f aca="false">Units!Q4*1*1</f>
        <v>20.5847917215753</v>
      </c>
      <c r="M262" s="19" t="n">
        <f aca="false">Units!R4*1*1</f>
        <v>20.6774788687878</v>
      </c>
      <c r="N262" s="19" t="n">
        <f aca="false">Units!S4*1*1</f>
        <v>20.8499966018633</v>
      </c>
      <c r="O262" s="19" t="n">
        <f aca="false">Units!T4*1*1</f>
        <v>21.235846897313</v>
      </c>
      <c r="P262" s="19" t="n">
        <f aca="false">Units!U4*1*1</f>
        <v>21.628837743111</v>
      </c>
      <c r="Q262" s="19" t="n">
        <f aca="false">Units!V4*1*1</f>
        <v>22.0291012823706</v>
      </c>
      <c r="R262" s="19" t="n">
        <f aca="false">Units!W4*1*1</f>
        <v>21.5407648571837</v>
      </c>
      <c r="T262" s="8" t="s">
        <v>370</v>
      </c>
    </row>
    <row r="263" customFormat="false" ht="15" hidden="false" customHeight="false" outlineLevel="0" collapsed="false">
      <c r="A263" s="5" t="s">
        <v>371</v>
      </c>
      <c r="B263" s="0" t="s">
        <v>324</v>
      </c>
      <c r="C263" s="19" t="n">
        <f aca="false">Units!H7*1</f>
        <v>40.1757580440862</v>
      </c>
      <c r="D263" s="19" t="n">
        <f aca="false">Units!I7*1</f>
        <v>46.6667956905857</v>
      </c>
      <c r="E263" s="19" t="n">
        <f aca="false">Units!J7*1</f>
        <v>48.944548236035</v>
      </c>
      <c r="F263" s="19" t="n">
        <f aca="false">Units!K7*1</f>
        <v>52.3600980030596</v>
      </c>
      <c r="G263" s="19" t="n">
        <f aca="false">Units!L7*1</f>
        <v>55.3640629793669</v>
      </c>
      <c r="H263" s="19" t="n">
        <f aca="false">Units!M7*1</f>
        <v>58.5403692216961</v>
      </c>
      <c r="I263" s="19" t="n">
        <f aca="false">Units!N7*1</f>
        <v>61.898904166222</v>
      </c>
      <c r="J263" s="19" t="n">
        <f aca="false">Units!O7*1</f>
        <v>65.4501225038245</v>
      </c>
      <c r="K263" s="19" t="n">
        <f aca="false">Units!P7*1</f>
        <v>69.2050787242086</v>
      </c>
      <c r="L263" s="19" t="n">
        <f aca="false">Units!Q7*1</f>
        <v>73.1754615271202</v>
      </c>
      <c r="M263" s="19" t="n">
        <f aca="false">Units!R7*1</f>
        <v>77.3736302077775</v>
      </c>
      <c r="N263" s="19" t="n">
        <f aca="false">Units!S7*1</f>
        <v>80.4321433873819</v>
      </c>
      <c r="O263" s="19" t="n">
        <f aca="false">Units!T7*1</f>
        <v>84.4542491025558</v>
      </c>
      <c r="P263" s="19" t="n">
        <f aca="false">Units!U7*1</f>
        <v>88.6774850338687</v>
      </c>
      <c r="Q263" s="19" t="n">
        <f aca="false">Units!V7*1</f>
        <v>93.1119089388012</v>
      </c>
      <c r="R263" s="19" t="n">
        <f aca="false">Units!W7*1</f>
        <v>94.0045560318226</v>
      </c>
    </row>
    <row r="264" customFormat="false" ht="17.15" hidden="false" customHeight="false" outlineLevel="0" collapsed="false">
      <c r="A264" s="5" t="s">
        <v>280</v>
      </c>
      <c r="B264" s="0" t="s">
        <v>25</v>
      </c>
      <c r="C264" s="13" t="n">
        <f aca="false">q1_rev</f>
        <v>1767.1</v>
      </c>
      <c r="D264" s="13" t="n">
        <f aca="false">g2_rev</f>
        <v>2390</v>
      </c>
      <c r="E264" s="13" t="n">
        <f aca="false">E262*kx_k*fx_lo</f>
        <v>2636.24092556608</v>
      </c>
      <c r="F264" s="13" t="n">
        <f aca="false">F262*kx_k*fx_lo</f>
        <v>2904.81480252608</v>
      </c>
      <c r="G264" s="13" t="n">
        <f aca="false">G262*kx_k*fx_lo</f>
        <v>3071.46769780786</v>
      </c>
      <c r="H264" s="13" t="n">
        <f aca="false">H262*kx_k*fx_lo</f>
        <v>3085.29759623557</v>
      </c>
      <c r="I264" s="13" t="n">
        <f aca="false">I262*kx_k*fx_lo</f>
        <v>3033.94366620222</v>
      </c>
      <c r="J264" s="13" t="n">
        <f aca="false">J262*kx_k*fx_lo</f>
        <v>3047.60460516275</v>
      </c>
      <c r="K264" s="13" t="n">
        <f aca="false">K262*kx_k*fx_lo</f>
        <v>3061.32705523682</v>
      </c>
      <c r="L264" s="13" t="n">
        <f aca="false">L262*kx_k*fx_lo</f>
        <v>3075.1112933905</v>
      </c>
      <c r="M264" s="13" t="n">
        <f aca="false">M262*kx_k*fx_lo</f>
        <v>3088.95759783702</v>
      </c>
      <c r="N264" s="13" t="n">
        <f aca="false">N262*kx_k*fx_lo</f>
        <v>3114.72959672174</v>
      </c>
      <c r="O264" s="13" t="n">
        <f aca="false">O262*kx_k*fx_lo</f>
        <v>3172.3708212308</v>
      </c>
      <c r="P264" s="13" t="n">
        <f aca="false">P262*kx_k*fx_lo</f>
        <v>3231.07875495479</v>
      </c>
      <c r="Q264" s="13" t="n">
        <f aca="false">Q262*kx_k*fx_lo</f>
        <v>3290.87313842769</v>
      </c>
      <c r="R264" s="13" t="n">
        <f aca="false">R262*kx_k*fx_lo</f>
        <v>3217.92176362742</v>
      </c>
      <c r="T264" s="5" t="s">
        <v>372</v>
      </c>
    </row>
    <row r="265" customFormat="false" ht="17.15" hidden="false" customHeight="false" outlineLevel="0" collapsed="false">
      <c r="A265" s="5" t="s">
        <v>373</v>
      </c>
      <c r="B265" s="0" t="s">
        <v>374</v>
      </c>
      <c r="C265" s="20" t="n">
        <f aca="false">C266/C263</f>
        <v>9.63267449926724</v>
      </c>
      <c r="D265" s="20" t="n">
        <f aca="false">D266/D263</f>
        <v>9.21426023871499</v>
      </c>
      <c r="E265" s="20" t="n">
        <f aca="false">$D265*(1-cd_A)^(1/4)</f>
        <v>8.87329840103618</v>
      </c>
      <c r="F265" s="20" t="n">
        <f aca="false">$D265*(1-cd_A)^(2/4)</f>
        <v>8.5449534172058</v>
      </c>
      <c r="G265" s="20" t="n">
        <f aca="false">$D265*(1-cd_A)^(3/4)</f>
        <v>8.22875841679016</v>
      </c>
      <c r="H265" s="20" t="n">
        <f aca="false">$D265*(1-cd_A)^(4/4)</f>
        <v>7.92426380529489</v>
      </c>
      <c r="I265" s="20" t="n">
        <f aca="false">$D265*(1-cd_A)^(5/4)</f>
        <v>7.63103662489111</v>
      </c>
      <c r="J265" s="20" t="n">
        <f aca="false">$D265*(1-cd_A)^(6/4)</f>
        <v>7.34865993879699</v>
      </c>
      <c r="K265" s="20" t="n">
        <f aca="false">$D265*(1-cd_A)^(7/4)</f>
        <v>7.07673223843954</v>
      </c>
      <c r="L265" s="20" t="n">
        <f aca="false">$D265*(1-cd_A)^(8/4)</f>
        <v>6.81486687255361</v>
      </c>
      <c r="M265" s="20" t="n">
        <f aca="false">$D265*(1-cd_A)^(9/4)</f>
        <v>6.56269149740636</v>
      </c>
      <c r="N265" s="20" t="n">
        <f aca="false">$D265*(1-cd_A)^(10/4)</f>
        <v>6.31984754736541</v>
      </c>
      <c r="O265" s="20" t="n">
        <f aca="false">$D265*(1-cd_A)^(11/4)</f>
        <v>6.085989725058</v>
      </c>
      <c r="P265" s="20" t="n">
        <f aca="false">$D265*(1-cd_A)^(12/4)</f>
        <v>5.8607855103961</v>
      </c>
      <c r="Q265" s="20" t="n">
        <f aca="false">$D265*(1-cd_A)^(13/4)</f>
        <v>5.64391468776947</v>
      </c>
      <c r="R265" s="20" t="n">
        <f aca="false">$D265*(1-cd_A)^(14/4)</f>
        <v>5.43506889073425</v>
      </c>
    </row>
    <row r="266" customFormat="false" ht="15" hidden="false" customHeight="false" outlineLevel="0" collapsed="false">
      <c r="A266" s="5" t="s">
        <v>375</v>
      </c>
      <c r="B266" s="0" t="s">
        <v>25</v>
      </c>
      <c r="C266" s="13" t="n">
        <f aca="false">q1_rev-q1_gp</f>
        <v>387</v>
      </c>
      <c r="D266" s="13" t="n">
        <f aca="false">g2_rev-g2_op-g2_ox</f>
        <v>430</v>
      </c>
      <c r="E266" s="13" t="n">
        <f aca="false">E263*E265</f>
        <v>434.299581602247</v>
      </c>
      <c r="F266" s="13" t="n">
        <f aca="false">F263*F265</f>
        <v>447.414598356475</v>
      </c>
      <c r="G266" s="13" t="n">
        <f aca="false">G263*G265</f>
        <v>455.577499229166</v>
      </c>
      <c r="H266" s="13" t="n">
        <f aca="false">H263*H265</f>
        <v>463.889328972086</v>
      </c>
      <c r="I266" s="13" t="n">
        <f aca="false">I263*I265</f>
        <v>472.352804733065</v>
      </c>
      <c r="J266" s="13" t="n">
        <f aca="false">J263*J265</f>
        <v>480.97069323321</v>
      </c>
      <c r="K266" s="13" t="n">
        <f aca="false">K263*K265</f>
        <v>489.745811671353</v>
      </c>
      <c r="L266" s="13" t="n">
        <f aca="false">L263*L265</f>
        <v>498.681028644993</v>
      </c>
      <c r="M266" s="13" t="n">
        <f aca="false">M263*M265</f>
        <v>507.779265088045</v>
      </c>
      <c r="N266" s="13" t="n">
        <f aca="false">N263*N265</f>
        <v>508.318884116089</v>
      </c>
      <c r="O266" s="13" t="n">
        <f aca="false">O263*O265</f>
        <v>513.987692275643</v>
      </c>
      <c r="P266" s="13" t="n">
        <f aca="false">P263*P265</f>
        <v>519.719719384865</v>
      </c>
      <c r="Q266" s="13" t="n">
        <f aca="false">Q263*Q265</f>
        <v>525.515670465953</v>
      </c>
      <c r="R266" s="13" t="n">
        <f aca="false">R263*R265</f>
        <v>510.921238075844</v>
      </c>
      <c r="T266" s="5" t="s">
        <v>376</v>
      </c>
    </row>
    <row r="267" customFormat="false" ht="15" hidden="false" customHeight="false" outlineLevel="0" collapsed="false">
      <c r="A267" s="5" t="s">
        <v>286</v>
      </c>
      <c r="B267" s="0" t="s">
        <v>116</v>
      </c>
      <c r="C267" s="14" t="n">
        <f aca="false">1-C266/C264</f>
        <v>0.780997113915455</v>
      </c>
      <c r="D267" s="14" t="n">
        <f aca="false">1-D266/D264</f>
        <v>0.820083682008368</v>
      </c>
      <c r="E267" s="14" t="n">
        <f aca="false">1-E266/E264</f>
        <v>0.835258007949714</v>
      </c>
      <c r="F267" s="14" t="n">
        <f aca="false">1-F266/F264</f>
        <v>0.845974828423693</v>
      </c>
      <c r="G267" s="14" t="n">
        <f aca="false">1-G266/G264</f>
        <v>0.851674331605598</v>
      </c>
      <c r="H267" s="14" t="n">
        <f aca="false">1-H266/H264</f>
        <v>0.84964519158927</v>
      </c>
      <c r="I267" s="14" t="n">
        <f aca="false">1-I266/I264</f>
        <v>0.844310621190822</v>
      </c>
      <c r="J267" s="14" t="n">
        <f aca="false">1-J266/J264</f>
        <v>0.84218074338829</v>
      </c>
      <c r="K267" s="14" t="n">
        <f aca="false">1-K266/K264</f>
        <v>0.840021728213071</v>
      </c>
      <c r="L267" s="14" t="n">
        <f aca="false">1-L266/L264</f>
        <v>0.837833177057092</v>
      </c>
      <c r="M267" s="14" t="n">
        <f aca="false">1-M266/M264</f>
        <v>0.835614685859202</v>
      </c>
      <c r="N267" s="14" t="n">
        <f aca="false">1-N266/N264</f>
        <v>0.836801600803134</v>
      </c>
      <c r="O267" s="14" t="n">
        <f aca="false">1-O266/O264</f>
        <v>0.837979945838668</v>
      </c>
      <c r="P267" s="14" t="n">
        <f aca="false">1-P266/P264</f>
        <v>0.839149782843304</v>
      </c>
      <c r="Q267" s="14" t="n">
        <f aca="false">1-Q266/Q264</f>
        <v>0.840311173247768</v>
      </c>
      <c r="R267" s="14" t="n">
        <f aca="false">1-R266/R264</f>
        <v>0.841226333141206</v>
      </c>
    </row>
    <row r="268" customFormat="false" ht="17.15" hidden="false" customHeight="false" outlineLevel="0" collapsed="false">
      <c r="A268" s="5" t="s">
        <v>377</v>
      </c>
      <c r="B268" s="0" t="s">
        <v>25</v>
      </c>
      <c r="C268" s="13" t="n">
        <f aca="false">q1_gp-q1_op</f>
        <v>110.1</v>
      </c>
      <c r="D268" s="13" t="n">
        <f aca="false">g2_ox</f>
        <v>70</v>
      </c>
      <c r="E268" s="13" t="n">
        <f aca="false">(g2_ox-ox_var*g2_rev)*(1+ox_g)^(1/4)+ox_var*E264</f>
        <v>73.5740503224538</v>
      </c>
      <c r="F268" s="13" t="n">
        <f aca="false">(g2_ox-ox_var*g2_rev)*(1+ox_g)^(2/4)+ox_var*F264</f>
        <v>77.3982359259048</v>
      </c>
      <c r="G268" s="13" t="n">
        <f aca="false">(g2_ox-ox_var*g2_rev)*(1+ox_g)^(3/4)+ox_var*G264</f>
        <v>80.2306638655643</v>
      </c>
      <c r="H268" s="13" t="n">
        <f aca="false">(g2_ox-ox_var*g2_rev)*(1+ox_g)^(4/4)+ox_var*H264</f>
        <v>81.5629759623557</v>
      </c>
      <c r="I268" s="13" t="n">
        <f aca="false">(g2_ox-ox_var*g2_rev)*(1+ox_g)^(5/4)+ox_var*I264</f>
        <v>82.2722418354944</v>
      </c>
      <c r="J268" s="13" t="n">
        <f aca="false">(g2_ox-ox_var*g2_rev)*(1+ox_g)^(6/4)+ox_var*J264</f>
        <v>83.6611427423359</v>
      </c>
      <c r="K268" s="13" t="n">
        <f aca="false">(g2_ox-ox_var*g2_rev)*(1+ox_g)^(7/4)+ox_var*K264</f>
        <v>85.0808561286024</v>
      </c>
      <c r="L268" s="13" t="n">
        <f aca="false">(g2_ox-ox_var*g2_rev)*(1+ox_g)^(8/4)+ox_var*L264</f>
        <v>86.532112933905</v>
      </c>
      <c r="M268" s="13" t="n">
        <f aca="false">(g2_ox-ox_var*g2_rev)*(1+ox_g)^(9/4)+ox_var*M264</f>
        <v>88.0156616691897</v>
      </c>
      <c r="N268" s="13" t="n">
        <f aca="false">(g2_ox-ox_var*g2_rev)*(1+ox_g)^(10/4)+ox_var*N264</f>
        <v>89.6509023269966</v>
      </c>
      <c r="O268" s="13" t="n">
        <f aca="false">(g2_ox-ox_var*g2_rev)*(1+ox_g)^(11/4)+ox_var*O264</f>
        <v>91.6380523461657</v>
      </c>
      <c r="P268" s="13" t="n">
        <f aca="false">(g2_ox-ox_var*g2_rev)*(1+ox_g)^(12/4)+ox_var*P264</f>
        <v>93.6698875495479</v>
      </c>
      <c r="Q268" s="13" t="n">
        <f aca="false">(g2_ox-ox_var*g2_rev)*(1+ox_g)^(13/4)+ox_var*Q264</f>
        <v>95.7474256441783</v>
      </c>
      <c r="R268" s="13" t="n">
        <f aca="false">(g2_ox-ox_var*g2_rev)*(1+ox_g)^(14/4)+ox_var*R264</f>
        <v>96.5331846320314</v>
      </c>
      <c r="T268" s="5" t="s">
        <v>378</v>
      </c>
    </row>
    <row r="269" customFormat="false" ht="15" hidden="false" customHeight="false" outlineLevel="0" collapsed="false">
      <c r="A269" s="5" t="s">
        <v>284</v>
      </c>
      <c r="B269" s="0" t="s">
        <v>25</v>
      </c>
      <c r="C269" s="13" t="n">
        <f aca="false">C264-C266-C268</f>
        <v>1270</v>
      </c>
      <c r="D269" s="13" t="n">
        <f aca="false">D264-D266-D268</f>
        <v>1890</v>
      </c>
      <c r="E269" s="13" t="n">
        <f aca="false">E264-E266-E268</f>
        <v>2128.36729364138</v>
      </c>
      <c r="F269" s="13" t="n">
        <f aca="false">F264-F266-F268</f>
        <v>2380.0019682437</v>
      </c>
      <c r="G269" s="13" t="n">
        <f aca="false">G264-G266-G268</f>
        <v>2535.65953471313</v>
      </c>
      <c r="H269" s="13" t="n">
        <f aca="false">H264-H266-H268</f>
        <v>2539.84529130113</v>
      </c>
      <c r="I269" s="13" t="n">
        <f aca="false">I264-I266-I268</f>
        <v>2479.31861963366</v>
      </c>
      <c r="J269" s="13" t="n">
        <f aca="false">J264-J266-J268</f>
        <v>2482.9727691872</v>
      </c>
      <c r="K269" s="13" t="n">
        <f aca="false">K264-K266-K268</f>
        <v>2486.50038743686</v>
      </c>
      <c r="L269" s="13" t="n">
        <f aca="false">L264-L266-L268</f>
        <v>2489.8981518116</v>
      </c>
      <c r="M269" s="13" t="n">
        <f aca="false">M264-M266-M268</f>
        <v>2493.16267107979</v>
      </c>
      <c r="N269" s="13" t="n">
        <f aca="false">N264-N266-N268</f>
        <v>2516.75981027866</v>
      </c>
      <c r="O269" s="13" t="n">
        <f aca="false">O264-O266-O268</f>
        <v>2566.74507660899</v>
      </c>
      <c r="P269" s="13" t="n">
        <f aca="false">P264-P266-P268</f>
        <v>2617.68914802038</v>
      </c>
      <c r="Q269" s="13" t="n">
        <f aca="false">Q264-Q266-Q268</f>
        <v>2669.61004231756</v>
      </c>
      <c r="R269" s="13" t="n">
        <f aca="false">R264-R266-R268</f>
        <v>2610.46734091954</v>
      </c>
    </row>
    <row r="271" customFormat="false" ht="17.15" hidden="false" customHeight="false" outlineLevel="0" collapsed="false">
      <c r="A271" s="5" t="s">
        <v>285</v>
      </c>
      <c r="B271" s="0" t="s">
        <v>25</v>
      </c>
      <c r="C271" s="13" t="n">
        <f aca="false">q1_ni</f>
        <v>842.2</v>
      </c>
      <c r="D271" s="13" t="n">
        <f aca="false">g2_ni</f>
        <v>1270</v>
      </c>
      <c r="E271" s="13" t="n">
        <f aca="false">(E269+nonop_q+rf*nc_j/4)*(1-tax)</f>
        <v>1437.35563967614</v>
      </c>
      <c r="F271" s="13" t="n">
        <f aca="false">(F269+nonop_q+rf*nc_j/4)*(1-tax)</f>
        <v>1608.46721840572</v>
      </c>
      <c r="G271" s="13" t="n">
        <f aca="false">(G269+nonop_q+rf*$D287/4)*(1-tax)</f>
        <v>1720.05128269192</v>
      </c>
      <c r="H271" s="13" t="n">
        <f aca="false">(H269+nonop_q+rf*$D287/4)*(1-tax)</f>
        <v>1722.89759717176</v>
      </c>
      <c r="I271" s="13" t="n">
        <f aca="false">(I269+nonop_q+rf*$D287/4)*(1-tax)</f>
        <v>1681.73946043788</v>
      </c>
      <c r="J271" s="13" t="n">
        <f aca="false">(J269+nonop_q+rf*$D287/4)*(1-tax)</f>
        <v>1684.22428213429</v>
      </c>
      <c r="K271" s="13" t="n">
        <f aca="false">(K269+nonop_q+rf*$E287/4)*(1-tax)</f>
        <v>1695.67918371057</v>
      </c>
      <c r="L271" s="13" t="n">
        <f aca="false">(L269+nonop_q+rf*$E287/4)*(1-tax)</f>
        <v>1697.98966348539</v>
      </c>
      <c r="M271" s="13" t="n">
        <f aca="false">(M269+nonop_q+rf*$E287/4)*(1-tax)</f>
        <v>1700.20953658776</v>
      </c>
      <c r="N271" s="13" t="n">
        <f aca="false">(N269+nonop_q+rf*$E287/4)*(1-tax)</f>
        <v>1716.25559124299</v>
      </c>
      <c r="O271" s="13" t="n">
        <f aca="false">(O269+nonop_q+rf*$F287/4)*(1-tax)</f>
        <v>1759.30335455365</v>
      </c>
      <c r="P271" s="13" t="n">
        <f aca="false">(P269+nonop_q+rf*$F287/4)*(1-tax)</f>
        <v>1793.9453231134</v>
      </c>
      <c r="Q271" s="13" t="n">
        <f aca="false">(Q269+nonop_q+rf*$F287/4)*(1-tax)</f>
        <v>1829.25153123548</v>
      </c>
      <c r="R271" s="13" t="n">
        <f aca="false">(R269+nonop_q+rf*$F287/4)*(1-tax)</f>
        <v>1789.03449428483</v>
      </c>
      <c r="T271" s="5" t="s">
        <v>379</v>
      </c>
    </row>
    <row r="272" customFormat="false" ht="17.15" hidden="false" customHeight="false" outlineLevel="0" collapsed="false">
      <c r="A272" s="5" t="s">
        <v>380</v>
      </c>
      <c r="B272" s="0" t="s">
        <v>78</v>
      </c>
      <c r="C272" s="17" t="n">
        <f aca="false">C271/(sh0+dil)*1000</f>
        <v>507.343332753891</v>
      </c>
      <c r="D272" s="17" t="n">
        <f aca="false">D271/(sh0+dil)*1000</f>
        <v>765.051095461222</v>
      </c>
      <c r="E272" s="17" t="n">
        <f aca="false">E271/(sh0+dil)*1000</f>
        <v>865.866540709919</v>
      </c>
      <c r="F272" s="17" t="n">
        <f aca="false">F271/(sh0+dil)*1000</f>
        <v>968.944572799023</v>
      </c>
      <c r="G272" s="17" t="n">
        <f aca="false">G271/(sh0+dil)*1000</f>
        <v>1036.1630850968</v>
      </c>
      <c r="H272" s="17" t="n">
        <f aca="false">H271/(sh0+dil)*1000</f>
        <v>1037.87771187698</v>
      </c>
      <c r="I272" s="17" t="n">
        <f aca="false">I271/(sh0+dil)*1000</f>
        <v>1013.08394999084</v>
      </c>
      <c r="J272" s="17" t="n">
        <f aca="false">J271/(sh0+dil)*1000</f>
        <v>1014.58081263719</v>
      </c>
      <c r="K272" s="17" t="n">
        <f aca="false">K271/(sh0+dil)*1000</f>
        <v>1021.48127326658</v>
      </c>
      <c r="L272" s="17" t="n">
        <f aca="false">L271/(sh0+dil)*1000</f>
        <v>1022.87311191443</v>
      </c>
      <c r="M272" s="17" t="n">
        <f aca="false">M271/(sh0+dil)*1000</f>
        <v>1024.21036888196</v>
      </c>
      <c r="N272" s="17" t="n">
        <f aca="false">N271/(sh0+dil)*1000</f>
        <v>1033.87655131645</v>
      </c>
      <c r="O272" s="17" t="n">
        <f aca="false">O271/(sh0+dil)*1000</f>
        <v>1059.80862885817</v>
      </c>
      <c r="P272" s="17" t="n">
        <f aca="false">P271/(sh0+dil)*1000</f>
        <v>1080.67703515389</v>
      </c>
      <c r="Q272" s="17" t="n">
        <f aca="false">Q271/(sh0+dil)*1000</f>
        <v>1101.94558098096</v>
      </c>
      <c r="R272" s="17" t="n">
        <f aca="false">R271/(sh0+dil)*1000</f>
        <v>1077.71873989805</v>
      </c>
    </row>
    <row r="274" customFormat="false" ht="17.15" hidden="false" customHeight="false" outlineLevel="0" collapsed="false">
      <c r="A274" s="12" t="s">
        <v>381</v>
      </c>
      <c r="B274" s="6" t="s">
        <v>15</v>
      </c>
      <c r="C274" s="12" t="s">
        <v>338</v>
      </c>
      <c r="D274" s="12" t="s">
        <v>339</v>
      </c>
      <c r="E274" s="12" t="s">
        <v>340</v>
      </c>
      <c r="F274" s="12" t="s">
        <v>341</v>
      </c>
      <c r="G274" s="12" t="s">
        <v>342</v>
      </c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6" t="s">
        <v>343</v>
      </c>
    </row>
    <row r="275" customFormat="false" ht="17.15" hidden="false" customHeight="false" outlineLevel="0" collapsed="false">
      <c r="A275" s="5" t="s">
        <v>280</v>
      </c>
      <c r="B275" s="0" t="s">
        <v>25</v>
      </c>
      <c r="C275" s="13" t="n">
        <f aca="false">a25_rev</f>
        <v>2337.6</v>
      </c>
      <c r="D275" s="13" t="n">
        <f aca="false">SUM(C264:F264)</f>
        <v>9698.15572809217</v>
      </c>
      <c r="E275" s="13" t="n">
        <f aca="false">SUM(G264:J264)</f>
        <v>12238.3135654084</v>
      </c>
      <c r="F275" s="13" t="n">
        <f aca="false">SUM(K264:N264)</f>
        <v>12340.1255431861</v>
      </c>
      <c r="G275" s="13" t="n">
        <f aca="false">SUM(O264:R264)</f>
        <v>12912.2444782407</v>
      </c>
      <c r="T275" s="8" t="s">
        <v>382</v>
      </c>
    </row>
    <row r="276" customFormat="false" ht="15" hidden="false" customHeight="false" outlineLevel="0" collapsed="false">
      <c r="A276" s="5" t="s">
        <v>375</v>
      </c>
      <c r="B276" s="0" t="s">
        <v>25</v>
      </c>
      <c r="C276" s="13" t="n">
        <f aca="false">a25_rev-(p1_gp+p2_gp+p3_gp+p4_gp)</f>
        <v>1324.8</v>
      </c>
      <c r="D276" s="13" t="n">
        <f aca="false">SUM(C266:F266)</f>
        <v>1698.71417995872</v>
      </c>
      <c r="E276" s="13" t="n">
        <f aca="false">SUM(G266:J266)</f>
        <v>1872.79032616753</v>
      </c>
      <c r="F276" s="13" t="n">
        <f aca="false">SUM(K266:N266)</f>
        <v>2004.52498952048</v>
      </c>
      <c r="G276" s="13" t="n">
        <f aca="false">SUM(O266:R266)</f>
        <v>2070.14432020231</v>
      </c>
    </row>
    <row r="277" customFormat="false" ht="15" hidden="false" customHeight="false" outlineLevel="0" collapsed="false">
      <c r="A277" s="5" t="s">
        <v>286</v>
      </c>
      <c r="B277" s="0" t="s">
        <v>116</v>
      </c>
      <c r="C277" s="14" t="n">
        <f aca="false">1-C276/C275</f>
        <v>0.433264887063655</v>
      </c>
      <c r="D277" s="14" t="n">
        <f aca="false">1-D276/D275</f>
        <v>0.824841523730317</v>
      </c>
      <c r="E277" s="14" t="n">
        <f aca="false">1-E276/E275</f>
        <v>0.846973170269066</v>
      </c>
      <c r="F277" s="14" t="n">
        <f aca="false">1-F276/F275</f>
        <v>0.837560405483287</v>
      </c>
      <c r="G277" s="14" t="n">
        <f aca="false">1-G276/G275</f>
        <v>0.839675873261938</v>
      </c>
    </row>
    <row r="278" customFormat="false" ht="15" hidden="false" customHeight="false" outlineLevel="0" collapsed="false">
      <c r="A278" s="5" t="s">
        <v>377</v>
      </c>
      <c r="B278" s="0" t="s">
        <v>25</v>
      </c>
      <c r="D278" s="13" t="n">
        <f aca="false">SUM(C268:F268)</f>
        <v>331.072286248358</v>
      </c>
      <c r="E278" s="13" t="n">
        <f aca="false">SUM(G268:J268)</f>
        <v>327.72702440575</v>
      </c>
      <c r="F278" s="13" t="n">
        <f aca="false">SUM(K268:N268)</f>
        <v>349.279533058694</v>
      </c>
      <c r="G278" s="13" t="n">
        <f aca="false">SUM(O268:R268)</f>
        <v>377.588550171923</v>
      </c>
    </row>
    <row r="279" customFormat="false" ht="15" hidden="false" customHeight="false" outlineLevel="0" collapsed="false">
      <c r="A279" s="5" t="s">
        <v>284</v>
      </c>
      <c r="B279" s="0" t="s">
        <v>25</v>
      </c>
      <c r="C279" s="13" t="n">
        <f aca="false">p1_op+p2_op+p3_op+p4_op</f>
        <v>869</v>
      </c>
      <c r="D279" s="13" t="n">
        <f aca="false">SUM(C269:F269)</f>
        <v>7668.36926188509</v>
      </c>
      <c r="E279" s="13" t="n">
        <f aca="false">SUM(G269:J269)</f>
        <v>10037.7962148351</v>
      </c>
      <c r="F279" s="13" t="n">
        <f aca="false">SUM(K269:N269)</f>
        <v>9986.3210206069</v>
      </c>
      <c r="G279" s="13" t="n">
        <f aca="false">SUM(O269:R269)</f>
        <v>10464.5116078665</v>
      </c>
    </row>
    <row r="280" customFormat="false" ht="15" hidden="false" customHeight="false" outlineLevel="0" collapsed="false">
      <c r="A280" s="5" t="s">
        <v>287</v>
      </c>
      <c r="B280" s="0" t="s">
        <v>116</v>
      </c>
      <c r="C280" s="14" t="n">
        <f aca="false">C279/C275</f>
        <v>0.371748802190281</v>
      </c>
      <c r="D280" s="14" t="n">
        <f aca="false">D279/D275</f>
        <v>0.790703869568984</v>
      </c>
      <c r="E280" s="14" t="n">
        <f aca="false">E279/E275</f>
        <v>0.820194396980231</v>
      </c>
      <c r="F280" s="14" t="n">
        <f aca="false">F279/F275</f>
        <v>0.809256031120454</v>
      </c>
      <c r="G280" s="14" t="n">
        <f aca="false">G279/G275</f>
        <v>0.81043319970443</v>
      </c>
    </row>
    <row r="281" customFormat="false" ht="15" hidden="false" customHeight="false" outlineLevel="0" collapsed="false">
      <c r="A281" s="5" t="s">
        <v>285</v>
      </c>
      <c r="B281" s="0" t="s">
        <v>25</v>
      </c>
      <c r="C281" s="13" t="n">
        <f aca="false">a25_ni</f>
        <v>554.5</v>
      </c>
      <c r="D281" s="13" t="n">
        <f aca="false">SUM(C271:F271)</f>
        <v>5158.02285808186</v>
      </c>
      <c r="E281" s="13" t="n">
        <f aca="false">SUM(G271:J271)</f>
        <v>6808.91262243585</v>
      </c>
      <c r="F281" s="13" t="n">
        <f aca="false">SUM(K271:N271)</f>
        <v>6810.13397502671</v>
      </c>
      <c r="G281" s="13" t="n">
        <f aca="false">SUM(O271:R271)</f>
        <v>7171.53470318736</v>
      </c>
    </row>
    <row r="282" customFormat="false" ht="15" hidden="false" customHeight="false" outlineLevel="0" collapsed="false">
      <c r="A282" s="5" t="s">
        <v>383</v>
      </c>
      <c r="B282" s="0" t="s">
        <v>25</v>
      </c>
      <c r="D282" s="13" t="n">
        <f aca="false">da_y</f>
        <v>320</v>
      </c>
      <c r="E282" s="13" t="n">
        <f aca="false">da_y</f>
        <v>320</v>
      </c>
      <c r="F282" s="13" t="n">
        <f aca="false">da_y</f>
        <v>320</v>
      </c>
      <c r="G282" s="13" t="n">
        <f aca="false">da_y</f>
        <v>320</v>
      </c>
    </row>
    <row r="283" customFormat="false" ht="15" hidden="false" customHeight="false" outlineLevel="0" collapsed="false">
      <c r="A283" s="5" t="s">
        <v>384</v>
      </c>
      <c r="B283" s="0" t="s">
        <v>25</v>
      </c>
      <c r="D283" s="13" t="n">
        <f aca="false">cap_2026</f>
        <v>450</v>
      </c>
      <c r="E283" s="13" t="n">
        <f aca="false">cap_2027</f>
        <v>470</v>
      </c>
      <c r="F283" s="13" t="n">
        <f aca="false">cap_2028</f>
        <v>470</v>
      </c>
      <c r="G283" s="13" t="n">
        <f aca="false">cap_2029</f>
        <v>470</v>
      </c>
    </row>
    <row r="284" customFormat="false" ht="15" hidden="false" customHeight="false" outlineLevel="0" collapsed="false">
      <c r="A284" s="5" t="s">
        <v>385</v>
      </c>
      <c r="B284" s="0" t="s">
        <v>25</v>
      </c>
      <c r="D284" s="13" t="n">
        <f aca="false">D281+D282-D283</f>
        <v>5028.02285808186</v>
      </c>
      <c r="E284" s="13" t="n">
        <f aca="false">E281+E282-E283</f>
        <v>6658.91262243585</v>
      </c>
      <c r="F284" s="13" t="n">
        <f aca="false">F281+F282-F283</f>
        <v>6660.13397502671</v>
      </c>
      <c r="G284" s="13" t="n">
        <f aca="false">G281+G282-G283</f>
        <v>7021.53470318736</v>
      </c>
    </row>
    <row r="285" customFormat="false" ht="17.15" hidden="false" customHeight="false" outlineLevel="0" collapsed="false">
      <c r="A285" s="5" t="s">
        <v>386</v>
      </c>
      <c r="B285" s="0" t="s">
        <v>25</v>
      </c>
      <c r="D285" s="13" t="n">
        <f aca="false">MAX(0,payout*(SUM(D271:F271)+0.75*(D282-D283)))</f>
        <v>843.664571616372</v>
      </c>
      <c r="E285" s="13" t="n">
        <f aca="false">MAX(0,payout*E284)</f>
        <v>1331.78252448717</v>
      </c>
      <c r="F285" s="13" t="n">
        <f aca="false">MAX(0,payout*F284)</f>
        <v>1332.02679500534</v>
      </c>
      <c r="G285" s="13" t="n">
        <f aca="false">MAX(0,payout*G284)</f>
        <v>1404.30694063747</v>
      </c>
      <c r="T285" s="8" t="s">
        <v>387</v>
      </c>
    </row>
    <row r="286" customFormat="false" ht="17.15" hidden="false" customHeight="false" outlineLevel="0" collapsed="false">
      <c r="A286" s="5" t="s">
        <v>388</v>
      </c>
      <c r="B286" s="0" t="s">
        <v>25</v>
      </c>
      <c r="C286" s="13" t="n">
        <f aca="false">eq25</f>
        <v>1399.1</v>
      </c>
      <c r="D286" s="13" t="n">
        <f aca="false">eq_j+SUM(D271:F271)-D285</f>
        <v>5876.45828646549</v>
      </c>
      <c r="E286" s="13" t="n">
        <f aca="false">D286+E281-E285</f>
        <v>11353.5883844142</v>
      </c>
      <c r="F286" s="13" t="n">
        <f aca="false">E286+F281-F285</f>
        <v>16831.6955644355</v>
      </c>
      <c r="G286" s="13" t="n">
        <f aca="false">F286+G281-G285</f>
        <v>22598.9233269854</v>
      </c>
      <c r="T286" s="8" t="s">
        <v>389</v>
      </c>
    </row>
    <row r="287" customFormat="false" ht="15" hidden="false" customHeight="false" outlineLevel="0" collapsed="false">
      <c r="A287" s="5" t="s">
        <v>390</v>
      </c>
      <c r="B287" s="0" t="s">
        <v>25</v>
      </c>
      <c r="D287" s="13" t="n">
        <f aca="false">nc_j+(SUM(D271:F271)+0.75*(D282-D283))-D285</f>
        <v>3531.05828646549</v>
      </c>
      <c r="E287" s="13" t="n">
        <f aca="false">D287+E284-E285</f>
        <v>8858.18838441416</v>
      </c>
      <c r="F287" s="13" t="n">
        <f aca="false">E287+F284-F285</f>
        <v>14186.2955644355</v>
      </c>
      <c r="G287" s="13" t="n">
        <f aca="false">F287+G284-G285</f>
        <v>19803.5233269854</v>
      </c>
    </row>
    <row r="288" customFormat="false" ht="15" hidden="false" customHeight="false" outlineLevel="0" collapsed="false">
      <c r="A288" s="5" t="s">
        <v>391</v>
      </c>
      <c r="B288" s="5" t="s">
        <v>159</v>
      </c>
      <c r="D288" s="13" t="n">
        <f aca="false">sh0-D285/bb_px*1000</f>
        <v>1577.90008243462</v>
      </c>
      <c r="E288" s="13" t="n">
        <f aca="false">D288-E285/bb_px*1000</f>
        <v>1473.48749721415</v>
      </c>
      <c r="F288" s="13" t="n">
        <f aca="false">E288-F285/bb_px*1000</f>
        <v>1369.05576103184</v>
      </c>
      <c r="G288" s="13" t="n">
        <f aca="false">F288-G285/bb_px*1000</f>
        <v>1258.9572160975</v>
      </c>
    </row>
    <row r="289" customFormat="false" ht="17.15" hidden="false" customHeight="false" outlineLevel="0" collapsed="false">
      <c r="A289" s="0" t="s">
        <v>392</v>
      </c>
      <c r="B289" s="0" t="s">
        <v>78</v>
      </c>
      <c r="C289" s="17" t="n">
        <f aca="false">a25_eps</f>
        <v>341.4</v>
      </c>
      <c r="D289" s="17" t="n">
        <f aca="false">D281/(D288+dil)*1000</f>
        <v>3236.1506280488</v>
      </c>
      <c r="E289" s="17" t="n">
        <f aca="false">E281/(E288+dil)*1000</f>
        <v>4571.38624478011</v>
      </c>
      <c r="F289" s="17" t="n">
        <f aca="false">F281/(F288+dil)*1000</f>
        <v>4916.95173476514</v>
      </c>
      <c r="G289" s="17" t="n">
        <f aca="false">G281/(G288+dil)*1000</f>
        <v>5625.02804650203</v>
      </c>
    </row>
    <row r="290" customFormat="false" ht="17.15" hidden="false" customHeight="false" outlineLevel="0" collapsed="false">
      <c r="A290" s="5" t="s">
        <v>393</v>
      </c>
      <c r="B290" s="0" t="s">
        <v>78</v>
      </c>
      <c r="D290" s="17" t="n">
        <f aca="false">D286/D288*1000</f>
        <v>3724.22712431727</v>
      </c>
      <c r="E290" s="17" t="n">
        <f aca="false">E286/E288*1000</f>
        <v>7705.24921716665</v>
      </c>
      <c r="F290" s="17" t="n">
        <f aca="false">F286/F288*1000</f>
        <v>12294.3827735327</v>
      </c>
      <c r="G290" s="17" t="n">
        <f aca="false">G286/G288*1000</f>
        <v>17950.5093882676</v>
      </c>
    </row>
    <row r="291" customFormat="false" ht="17.15" hidden="false" customHeight="false" outlineLevel="0" collapsed="false">
      <c r="A291" s="0" t="s">
        <v>394</v>
      </c>
      <c r="B291" s="0" t="s">
        <v>116</v>
      </c>
      <c r="D291" s="21" t="n">
        <f aca="false">D281/D286</f>
        <v>0.87774346496455</v>
      </c>
      <c r="E291" s="21" t="n">
        <f aca="false">E281/E286</f>
        <v>0.599714591712951</v>
      </c>
      <c r="F291" s="21" t="n">
        <f aca="false">F281/F286</f>
        <v>0.40460177936061</v>
      </c>
      <c r="G291" s="21" t="n">
        <f aca="false">G281/G286</f>
        <v>0.317339662576925</v>
      </c>
    </row>
    <row r="292" customFormat="false" ht="15" hidden="false" customHeight="false" outlineLevel="0" collapsed="false">
      <c r="A292" s="5" t="s">
        <v>395</v>
      </c>
      <c r="B292" s="0" t="s">
        <v>78</v>
      </c>
      <c r="E292" s="17" t="n">
        <f aca="false">E284/(E288+dil)*1000</f>
        <v>4470.67883748316</v>
      </c>
      <c r="F292" s="17" t="n">
        <f aca="false">F284/(F288+dil)*1000</f>
        <v>4808.65096374956</v>
      </c>
      <c r="G292" s="17" t="n">
        <f aca="false">G284/(G288+dil)*1000</f>
        <v>5507.37481858133</v>
      </c>
    </row>
    <row r="293" customFormat="false" ht="17.15" hidden="false" customHeight="false" outlineLevel="0" collapsed="false">
      <c r="A293" s="5" t="s">
        <v>396</v>
      </c>
      <c r="B293" s="0" t="s">
        <v>25</v>
      </c>
      <c r="D293" s="18" t="n">
        <f aca="false">ABS(C264-q1_rev)+ABS(D269-g2_op)+ABS(C275-2337.6)</f>
        <v>0</v>
      </c>
    </row>
    <row r="310" customFormat="false" ht="17.15" hidden="false" customHeight="false" outlineLevel="0" collapsed="false">
      <c r="A310" s="3" t="s">
        <v>675</v>
      </c>
    </row>
    <row r="311" customFormat="false" ht="17.15" hidden="false" customHeight="false" outlineLevel="0" collapsed="false">
      <c r="A311" s="12" t="s">
        <v>352</v>
      </c>
      <c r="B311" s="6" t="s">
        <v>15</v>
      </c>
      <c r="C311" s="12" t="s">
        <v>353</v>
      </c>
      <c r="D311" s="12" t="s">
        <v>354</v>
      </c>
      <c r="E311" s="12" t="s">
        <v>355</v>
      </c>
      <c r="F311" s="12" t="s">
        <v>356</v>
      </c>
      <c r="G311" s="12" t="s">
        <v>357</v>
      </c>
      <c r="H311" s="12" t="s">
        <v>358</v>
      </c>
      <c r="I311" s="12" t="s">
        <v>359</v>
      </c>
      <c r="J311" s="12" t="s">
        <v>360</v>
      </c>
      <c r="K311" s="12" t="s">
        <v>361</v>
      </c>
      <c r="L311" s="12" t="s">
        <v>362</v>
      </c>
      <c r="M311" s="12" t="s">
        <v>363</v>
      </c>
      <c r="N311" s="12" t="s">
        <v>364</v>
      </c>
      <c r="O311" s="12" t="s">
        <v>365</v>
      </c>
      <c r="P311" s="12" t="s">
        <v>366</v>
      </c>
      <c r="Q311" s="12" t="s">
        <v>367</v>
      </c>
      <c r="R311" s="12" t="s">
        <v>368</v>
      </c>
      <c r="S311" s="12"/>
      <c r="T311" s="6" t="s">
        <v>343</v>
      </c>
    </row>
    <row r="312" customFormat="false" ht="17.15" hidden="false" customHeight="false" outlineLevel="0" collapsed="false">
      <c r="A312" s="5" t="s">
        <v>369</v>
      </c>
      <c r="B312" s="0" t="s">
        <v>317</v>
      </c>
      <c r="C312" s="19" t="n">
        <f aca="false">Units!H4*1</f>
        <v>10.72</v>
      </c>
      <c r="D312" s="19" t="n">
        <f aca="false">Units!I4*1</f>
        <v>14.3197859923946</v>
      </c>
      <c r="E312" s="19" t="n">
        <f aca="false">Units!J4*1*1</f>
        <v>17.6469939469536</v>
      </c>
      <c r="F312" s="19" t="n">
        <f aca="false">Units!K4*1*1</f>
        <v>19.4448271931715</v>
      </c>
      <c r="G312" s="19" t="n">
        <f aca="false">Units!L4*1*1</f>
        <v>20.5604014966272</v>
      </c>
      <c r="H312" s="19" t="n">
        <f aca="false">Units!M4*1*1</f>
        <v>20.6529788219672</v>
      </c>
      <c r="I312" s="19" t="n">
        <f aca="false">Units!N4*1*1</f>
        <v>20.3092156690391</v>
      </c>
      <c r="J312" s="19" t="n">
        <f aca="false">Units!O4*1*1</f>
        <v>20.4006619798858</v>
      </c>
      <c r="K312" s="19" t="n">
        <f aca="false">Units!P4*1*1</f>
        <v>20.492520046061</v>
      </c>
      <c r="L312" s="19" t="n">
        <f aca="false">Units!Q4*1*1</f>
        <v>20.5847917215753</v>
      </c>
      <c r="M312" s="19" t="n">
        <f aca="false">Units!R4*1*1</f>
        <v>20.6774788687878</v>
      </c>
      <c r="N312" s="19" t="n">
        <f aca="false">Units!S4*1*1</f>
        <v>20.8499966018633</v>
      </c>
      <c r="O312" s="19" t="n">
        <f aca="false">Units!T4*1*1</f>
        <v>21.235846897313</v>
      </c>
      <c r="P312" s="19" t="n">
        <f aca="false">Units!U4*1*1</f>
        <v>21.628837743111</v>
      </c>
      <c r="Q312" s="19" t="n">
        <f aca="false">Units!V4*1*1</f>
        <v>22.0291012823706</v>
      </c>
      <c r="R312" s="19" t="n">
        <f aca="false">Units!W4*1*1</f>
        <v>21.5407648571837</v>
      </c>
      <c r="T312" s="8" t="s">
        <v>370</v>
      </c>
    </row>
    <row r="313" customFormat="false" ht="15" hidden="false" customHeight="false" outlineLevel="0" collapsed="false">
      <c r="A313" s="5" t="s">
        <v>371</v>
      </c>
      <c r="B313" s="0" t="s">
        <v>324</v>
      </c>
      <c r="C313" s="19" t="n">
        <f aca="false">Units!H7*1</f>
        <v>40.1757580440862</v>
      </c>
      <c r="D313" s="19" t="n">
        <f aca="false">Units!I7*1</f>
        <v>46.6667956905857</v>
      </c>
      <c r="E313" s="19" t="n">
        <f aca="false">Units!J7*1</f>
        <v>48.944548236035</v>
      </c>
      <c r="F313" s="19" t="n">
        <f aca="false">Units!K7*1</f>
        <v>52.3600980030596</v>
      </c>
      <c r="G313" s="19" t="n">
        <f aca="false">Units!L7*1</f>
        <v>55.3640629793669</v>
      </c>
      <c r="H313" s="19" t="n">
        <f aca="false">Units!M7*1</f>
        <v>58.5403692216961</v>
      </c>
      <c r="I313" s="19" t="n">
        <f aca="false">Units!N7*1</f>
        <v>61.898904166222</v>
      </c>
      <c r="J313" s="19" t="n">
        <f aca="false">Units!O7*1</f>
        <v>65.4501225038245</v>
      </c>
      <c r="K313" s="19" t="n">
        <f aca="false">Units!P7*1</f>
        <v>69.2050787242086</v>
      </c>
      <c r="L313" s="19" t="n">
        <f aca="false">Units!Q7*1</f>
        <v>73.1754615271202</v>
      </c>
      <c r="M313" s="19" t="n">
        <f aca="false">Units!R7*1</f>
        <v>77.3736302077775</v>
      </c>
      <c r="N313" s="19" t="n">
        <f aca="false">Units!S7*1</f>
        <v>80.4321433873819</v>
      </c>
      <c r="O313" s="19" t="n">
        <f aca="false">Units!T7*1</f>
        <v>84.4542491025558</v>
      </c>
      <c r="P313" s="19" t="n">
        <f aca="false">Units!U7*1</f>
        <v>88.6774850338687</v>
      </c>
      <c r="Q313" s="19" t="n">
        <f aca="false">Units!V7*1</f>
        <v>93.1119089388012</v>
      </c>
      <c r="R313" s="19" t="n">
        <f aca="false">Units!W7*1</f>
        <v>94.0045560318226</v>
      </c>
    </row>
    <row r="314" customFormat="false" ht="17.15" hidden="false" customHeight="false" outlineLevel="0" collapsed="false">
      <c r="A314" s="5" t="s">
        <v>280</v>
      </c>
      <c r="B314" s="0" t="s">
        <v>25</v>
      </c>
      <c r="C314" s="13" t="n">
        <f aca="false">q1_rev</f>
        <v>1767.1</v>
      </c>
      <c r="D314" s="13" t="n">
        <f aca="false">g2_rev</f>
        <v>2390</v>
      </c>
      <c r="E314" s="13" t="n">
        <f aca="false">E312*kx_k*fx_hi</f>
        <v>3090.76522307748</v>
      </c>
      <c r="F314" s="13" t="n">
        <f aca="false">F312*kx_k*fx_hi</f>
        <v>3405.64494089265</v>
      </c>
      <c r="G314" s="13" t="n">
        <f aca="false">G312*kx_k*fx_hi</f>
        <v>3601.03109398163</v>
      </c>
      <c r="H314" s="13" t="n">
        <f aca="false">H312*kx_k*fx_hi</f>
        <v>3617.24545765549</v>
      </c>
      <c r="I314" s="13" t="n">
        <f aca="false">I312*kx_k*fx_hi</f>
        <v>3557.03740175433</v>
      </c>
      <c r="J314" s="13" t="n">
        <f aca="false">J312*kx_k*fx_hi</f>
        <v>3573.0536750184</v>
      </c>
      <c r="K314" s="13" t="n">
        <f aca="false">K312*kx_k*fx_hi</f>
        <v>3589.1420647604</v>
      </c>
      <c r="L314" s="13" t="n">
        <f aca="false">L312*kx_k*fx_hi</f>
        <v>3605.3028956992</v>
      </c>
      <c r="M314" s="13" t="n">
        <f aca="false">M312*kx_k*fx_hi</f>
        <v>3621.53649401582</v>
      </c>
      <c r="N314" s="13" t="n">
        <f aca="false">N312*kx_k*fx_hi</f>
        <v>3651.75194098411</v>
      </c>
      <c r="O314" s="13" t="n">
        <f aca="false">O312*kx_k*fx_hi</f>
        <v>3719.3313076499</v>
      </c>
      <c r="P314" s="13" t="n">
        <f aca="false">P312*kx_k*fx_hi</f>
        <v>3788.16129891251</v>
      </c>
      <c r="Q314" s="13" t="n">
        <f aca="false">Q312*kx_k*fx_hi</f>
        <v>3858.26505884626</v>
      </c>
      <c r="R314" s="13" t="n">
        <f aca="false">R312*kx_k*fx_hi</f>
        <v>3772.73586080456</v>
      </c>
      <c r="T314" s="5" t="s">
        <v>372</v>
      </c>
    </row>
    <row r="315" customFormat="false" ht="17.15" hidden="false" customHeight="false" outlineLevel="0" collapsed="false">
      <c r="A315" s="5" t="s">
        <v>373</v>
      </c>
      <c r="B315" s="0" t="s">
        <v>374</v>
      </c>
      <c r="C315" s="20" t="n">
        <f aca="false">C316/C313</f>
        <v>9.63267449926724</v>
      </c>
      <c r="D315" s="20" t="n">
        <f aca="false">D316/D313</f>
        <v>9.21426023871499</v>
      </c>
      <c r="E315" s="20" t="n">
        <f aca="false">$D315*(1-cd_A)^(1/4)</f>
        <v>8.87329840103618</v>
      </c>
      <c r="F315" s="20" t="n">
        <f aca="false">$D315*(1-cd_A)^(2/4)</f>
        <v>8.5449534172058</v>
      </c>
      <c r="G315" s="20" t="n">
        <f aca="false">$D315*(1-cd_A)^(3/4)</f>
        <v>8.22875841679016</v>
      </c>
      <c r="H315" s="20" t="n">
        <f aca="false">$D315*(1-cd_A)^(4/4)</f>
        <v>7.92426380529489</v>
      </c>
      <c r="I315" s="20" t="n">
        <f aca="false">$D315*(1-cd_A)^(5/4)</f>
        <v>7.63103662489111</v>
      </c>
      <c r="J315" s="20" t="n">
        <f aca="false">$D315*(1-cd_A)^(6/4)</f>
        <v>7.34865993879699</v>
      </c>
      <c r="K315" s="20" t="n">
        <f aca="false">$D315*(1-cd_A)^(7/4)</f>
        <v>7.07673223843954</v>
      </c>
      <c r="L315" s="20" t="n">
        <f aca="false">$D315*(1-cd_A)^(8/4)</f>
        <v>6.81486687255361</v>
      </c>
      <c r="M315" s="20" t="n">
        <f aca="false">$D315*(1-cd_A)^(9/4)</f>
        <v>6.56269149740636</v>
      </c>
      <c r="N315" s="20" t="n">
        <f aca="false">$D315*(1-cd_A)^(10/4)</f>
        <v>6.31984754736541</v>
      </c>
      <c r="O315" s="20" t="n">
        <f aca="false">$D315*(1-cd_A)^(11/4)</f>
        <v>6.085989725058</v>
      </c>
      <c r="P315" s="20" t="n">
        <f aca="false">$D315*(1-cd_A)^(12/4)</f>
        <v>5.8607855103961</v>
      </c>
      <c r="Q315" s="20" t="n">
        <f aca="false">$D315*(1-cd_A)^(13/4)</f>
        <v>5.64391468776947</v>
      </c>
      <c r="R315" s="20" t="n">
        <f aca="false">$D315*(1-cd_A)^(14/4)</f>
        <v>5.43506889073425</v>
      </c>
    </row>
    <row r="316" customFormat="false" ht="15" hidden="false" customHeight="false" outlineLevel="0" collapsed="false">
      <c r="A316" s="5" t="s">
        <v>375</v>
      </c>
      <c r="B316" s="0" t="s">
        <v>25</v>
      </c>
      <c r="C316" s="13" t="n">
        <f aca="false">q1_rev-q1_gp</f>
        <v>387</v>
      </c>
      <c r="D316" s="13" t="n">
        <f aca="false">g2_rev-g2_op-g2_ox</f>
        <v>430</v>
      </c>
      <c r="E316" s="13" t="n">
        <f aca="false">E313*E315</f>
        <v>434.299581602247</v>
      </c>
      <c r="F316" s="13" t="n">
        <f aca="false">F313*F315</f>
        <v>447.414598356475</v>
      </c>
      <c r="G316" s="13" t="n">
        <f aca="false">G313*G315</f>
        <v>455.577499229166</v>
      </c>
      <c r="H316" s="13" t="n">
        <f aca="false">H313*H315</f>
        <v>463.889328972086</v>
      </c>
      <c r="I316" s="13" t="n">
        <f aca="false">I313*I315</f>
        <v>472.352804733065</v>
      </c>
      <c r="J316" s="13" t="n">
        <f aca="false">J313*J315</f>
        <v>480.97069323321</v>
      </c>
      <c r="K316" s="13" t="n">
        <f aca="false">K313*K315</f>
        <v>489.745811671353</v>
      </c>
      <c r="L316" s="13" t="n">
        <f aca="false">L313*L315</f>
        <v>498.681028644993</v>
      </c>
      <c r="M316" s="13" t="n">
        <f aca="false">M313*M315</f>
        <v>507.779265088045</v>
      </c>
      <c r="N316" s="13" t="n">
        <f aca="false">N313*N315</f>
        <v>508.318884116089</v>
      </c>
      <c r="O316" s="13" t="n">
        <f aca="false">O313*O315</f>
        <v>513.987692275643</v>
      </c>
      <c r="P316" s="13" t="n">
        <f aca="false">P313*P315</f>
        <v>519.719719384865</v>
      </c>
      <c r="Q316" s="13" t="n">
        <f aca="false">Q313*Q315</f>
        <v>525.515670465953</v>
      </c>
      <c r="R316" s="13" t="n">
        <f aca="false">R313*R315</f>
        <v>510.921238075844</v>
      </c>
      <c r="T316" s="5" t="s">
        <v>376</v>
      </c>
    </row>
    <row r="317" customFormat="false" ht="15" hidden="false" customHeight="false" outlineLevel="0" collapsed="false">
      <c r="A317" s="5" t="s">
        <v>286</v>
      </c>
      <c r="B317" s="0" t="s">
        <v>116</v>
      </c>
      <c r="C317" s="14" t="n">
        <f aca="false">1-C316/C314</f>
        <v>0.780997113915455</v>
      </c>
      <c r="D317" s="14" t="n">
        <f aca="false">1-D316/D314</f>
        <v>0.820083682008368</v>
      </c>
      <c r="E317" s="14" t="n">
        <f aca="false">1-E316/E314</f>
        <v>0.85948477148652</v>
      </c>
      <c r="F317" s="14" t="n">
        <f aca="false">1-F316/F314</f>
        <v>0.868625588949621</v>
      </c>
      <c r="G317" s="14" t="n">
        <f aca="false">1-G316/G314</f>
        <v>0.873486929898892</v>
      </c>
      <c r="H317" s="14" t="n">
        <f aca="false">1-H316/H314</f>
        <v>0.871756192826142</v>
      </c>
      <c r="I317" s="14" t="n">
        <f aca="false">1-I316/I314</f>
        <v>0.867206118074524</v>
      </c>
      <c r="J317" s="14" t="n">
        <f aca="false">1-J316/J314</f>
        <v>0.865389457595894</v>
      </c>
      <c r="K317" s="14" t="n">
        <f aca="false">1-K316/K314</f>
        <v>0.863547944652326</v>
      </c>
      <c r="L317" s="14" t="n">
        <f aca="false">1-L316/L314</f>
        <v>0.861681239254579</v>
      </c>
      <c r="M317" s="14" t="n">
        <f aca="false">1-M316/M314</f>
        <v>0.85978899676226</v>
      </c>
      <c r="N317" s="14" t="n">
        <f aca="false">1-N316/N314</f>
        <v>0.860801365390908</v>
      </c>
      <c r="O317" s="14" t="n">
        <f aca="false">1-O316/O314</f>
        <v>0.861806424391805</v>
      </c>
      <c r="P317" s="14" t="n">
        <f aca="false">1-P316/P314</f>
        <v>0.862804226542818</v>
      </c>
      <c r="Q317" s="14" t="n">
        <f aca="false">1-Q316/Q314</f>
        <v>0.863794824240743</v>
      </c>
      <c r="R317" s="14" t="n">
        <f aca="false">1-R316/R314</f>
        <v>0.864575401796911</v>
      </c>
    </row>
    <row r="318" customFormat="false" ht="17.15" hidden="false" customHeight="false" outlineLevel="0" collapsed="false">
      <c r="A318" s="5" t="s">
        <v>377</v>
      </c>
      <c r="B318" s="0" t="s">
        <v>25</v>
      </c>
      <c r="C318" s="13" t="n">
        <f aca="false">q1_gp-q1_op</f>
        <v>110.1</v>
      </c>
      <c r="D318" s="13" t="n">
        <f aca="false">g2_ox</f>
        <v>70</v>
      </c>
      <c r="E318" s="13" t="n">
        <f aca="false">(g2_ox-ox_var*g2_rev)*(1+ox_g)^(1/4)+ox_var*E314</f>
        <v>78.1192932975677</v>
      </c>
      <c r="F318" s="13" t="n">
        <f aca="false">(g2_ox-ox_var*g2_rev)*(1+ox_g)^(2/4)+ox_var*F314</f>
        <v>82.4065373095705</v>
      </c>
      <c r="G318" s="13" t="n">
        <f aca="false">(g2_ox-ox_var*g2_rev)*(1+ox_g)^(3/4)+ox_var*G314</f>
        <v>85.526297827302</v>
      </c>
      <c r="H318" s="13" t="n">
        <f aca="false">(g2_ox-ox_var*g2_rev)*(1+ox_g)^(4/4)+ox_var*H314</f>
        <v>86.8824545765549</v>
      </c>
      <c r="I318" s="13" t="n">
        <f aca="false">(g2_ox-ox_var*g2_rev)*(1+ox_g)^(5/4)+ox_var*I314</f>
        <v>87.5031791910155</v>
      </c>
      <c r="J318" s="13" t="n">
        <f aca="false">(g2_ox-ox_var*g2_rev)*(1+ox_g)^(6/4)+ox_var*J314</f>
        <v>88.9156334408924</v>
      </c>
      <c r="K318" s="13" t="n">
        <f aca="false">(g2_ox-ox_var*g2_rev)*(1+ox_g)^(7/4)+ox_var*K314</f>
        <v>90.3590062238383</v>
      </c>
      <c r="L318" s="13" t="n">
        <f aca="false">(g2_ox-ox_var*g2_rev)*(1+ox_g)^(8/4)+ox_var*L314</f>
        <v>91.834028956992</v>
      </c>
      <c r="M318" s="13" t="n">
        <f aca="false">(g2_ox-ox_var*g2_rev)*(1+ox_g)^(9/4)+ox_var*M314</f>
        <v>93.3414506309777</v>
      </c>
      <c r="N318" s="13" t="n">
        <f aca="false">(g2_ox-ox_var*g2_rev)*(1+ox_g)^(10/4)+ox_var*N314</f>
        <v>95.0211257696203</v>
      </c>
      <c r="O318" s="13" t="n">
        <f aca="false">(g2_ox-ox_var*g2_rev)*(1+ox_g)^(11/4)+ox_var*O314</f>
        <v>97.1076572103567</v>
      </c>
      <c r="P318" s="13" t="n">
        <f aca="false">(g2_ox-ox_var*g2_rev)*(1+ox_g)^(12/4)+ox_var*P314</f>
        <v>99.2407129891252</v>
      </c>
      <c r="Q318" s="13" t="n">
        <f aca="false">(g2_ox-ox_var*g2_rev)*(1+ox_g)^(13/4)+ox_var*Q314</f>
        <v>101.421344848364</v>
      </c>
      <c r="R318" s="13" t="n">
        <f aca="false">(g2_ox-ox_var*g2_rev)*(1+ox_g)^(14/4)+ox_var*R314</f>
        <v>102.081325603803</v>
      </c>
      <c r="T318" s="5" t="s">
        <v>378</v>
      </c>
    </row>
    <row r="319" customFormat="false" ht="15" hidden="false" customHeight="false" outlineLevel="0" collapsed="false">
      <c r="A319" s="5" t="s">
        <v>284</v>
      </c>
      <c r="B319" s="0" t="s">
        <v>25</v>
      </c>
      <c r="C319" s="13" t="n">
        <f aca="false">C314-C316-C318</f>
        <v>1270</v>
      </c>
      <c r="D319" s="13" t="n">
        <f aca="false">D314-D316-D318</f>
        <v>1890</v>
      </c>
      <c r="E319" s="13" t="n">
        <f aca="false">E314-E316-E318</f>
        <v>2578.34634817766</v>
      </c>
      <c r="F319" s="13" t="n">
        <f aca="false">F314-F316-F318</f>
        <v>2875.8238052266</v>
      </c>
      <c r="G319" s="13" t="n">
        <f aca="false">G314-G316-G318</f>
        <v>3059.92729692516</v>
      </c>
      <c r="H319" s="13" t="n">
        <f aca="false">H314-H316-H318</f>
        <v>3066.47367410685</v>
      </c>
      <c r="I319" s="13" t="n">
        <f aca="false">I314-I316-I318</f>
        <v>2997.18141783025</v>
      </c>
      <c r="J319" s="13" t="n">
        <f aca="false">J314-J316-J318</f>
        <v>3003.16734834429</v>
      </c>
      <c r="K319" s="13" t="n">
        <f aca="false">K314-K316-K318</f>
        <v>3009.03724686521</v>
      </c>
      <c r="L319" s="13" t="n">
        <f aca="false">L314-L316-L318</f>
        <v>3014.78783809722</v>
      </c>
      <c r="M319" s="13" t="n">
        <f aca="false">M314-M316-M318</f>
        <v>3020.4157782968</v>
      </c>
      <c r="N319" s="13" t="n">
        <f aca="false">N314-N316-N318</f>
        <v>3048.4119310984</v>
      </c>
      <c r="O319" s="13" t="n">
        <f aca="false">O314-O316-O318</f>
        <v>3108.2359581639</v>
      </c>
      <c r="P319" s="13" t="n">
        <f aca="false">P314-P316-P318</f>
        <v>3169.20086653852</v>
      </c>
      <c r="Q319" s="13" t="n">
        <f aca="false">Q314-Q316-Q318</f>
        <v>3231.32804353194</v>
      </c>
      <c r="R319" s="13" t="n">
        <f aca="false">R314-R316-R318</f>
        <v>3159.73329712491</v>
      </c>
    </row>
    <row r="321" customFormat="false" ht="17.15" hidden="false" customHeight="false" outlineLevel="0" collapsed="false">
      <c r="A321" s="5" t="s">
        <v>285</v>
      </c>
      <c r="B321" s="0" t="s">
        <v>25</v>
      </c>
      <c r="C321" s="13" t="n">
        <f aca="false">q1_ni</f>
        <v>842.2</v>
      </c>
      <c r="D321" s="13" t="n">
        <f aca="false">g2_ni</f>
        <v>1270</v>
      </c>
      <c r="E321" s="13" t="n">
        <f aca="false">(E319+nonop_q+rf*nc_j/4)*(1-tax)</f>
        <v>1743.34139676081</v>
      </c>
      <c r="F321" s="13" t="n">
        <f aca="false">(F319+nonop_q+rf*nc_j/4)*(1-tax)</f>
        <v>1945.62606755409</v>
      </c>
      <c r="G321" s="13" t="n">
        <f aca="false">(G319+nonop_q+rf*$D337/4)*(1-tax)</f>
        <v>2077.42803766058</v>
      </c>
      <c r="H321" s="13" t="n">
        <f aca="false">(H319+nonop_q+rf*$D337/4)*(1-tax)</f>
        <v>2081.87957414413</v>
      </c>
      <c r="I321" s="13" t="n">
        <f aca="false">(I319+nonop_q+rf*$D337/4)*(1-tax)</f>
        <v>2034.76083987604</v>
      </c>
      <c r="J321" s="13" t="n">
        <f aca="false">(J319+nonop_q+rf*$D337/4)*(1-tax)</f>
        <v>2038.83127262559</v>
      </c>
      <c r="K321" s="13" t="n">
        <f aca="false">(K319+nonop_q+rf*$E337/4)*(1-tax)</f>
        <v>2053.81554724487</v>
      </c>
      <c r="L321" s="13" t="n">
        <f aca="false">(L319+nonop_q+rf*$E337/4)*(1-tax)</f>
        <v>2057.72594928263</v>
      </c>
      <c r="M321" s="13" t="n">
        <f aca="false">(M319+nonop_q+rf*$E337/4)*(1-tax)</f>
        <v>2061.55294861835</v>
      </c>
      <c r="N321" s="13" t="n">
        <f aca="false">(N319+nonop_q+rf*$E337/4)*(1-tax)</f>
        <v>2080.59033252344</v>
      </c>
      <c r="O321" s="13" t="n">
        <f aca="false">(O319+nonop_q+rf*$F337/4)*(1-tax)</f>
        <v>2132.29168222561</v>
      </c>
      <c r="P321" s="13" t="n">
        <f aca="false">(P319+nonop_q+rf*$F337/4)*(1-tax)</f>
        <v>2173.74781992035</v>
      </c>
      <c r="Q321" s="13" t="n">
        <f aca="false">(Q319+nonop_q+rf*$F337/4)*(1-tax)</f>
        <v>2215.99430027588</v>
      </c>
      <c r="R321" s="13" t="n">
        <f aca="false">(R319+nonop_q+rf*$F337/4)*(1-tax)</f>
        <v>2167.3098727191</v>
      </c>
      <c r="T321" s="5" t="s">
        <v>379</v>
      </c>
    </row>
    <row r="322" customFormat="false" ht="17.15" hidden="false" customHeight="false" outlineLevel="0" collapsed="false">
      <c r="A322" s="5" t="s">
        <v>380</v>
      </c>
      <c r="B322" s="0" t="s">
        <v>78</v>
      </c>
      <c r="C322" s="17" t="n">
        <f aca="false">C321/(sh0+dil)*1000</f>
        <v>507.343332753891</v>
      </c>
      <c r="D322" s="17" t="n">
        <f aca="false">D321/(sh0+dil)*1000</f>
        <v>765.051095461222</v>
      </c>
      <c r="E322" s="17" t="n">
        <f aca="false">E321/(sh0+dil)*1000</f>
        <v>1050.19310657855</v>
      </c>
      <c r="F322" s="17" t="n">
        <f aca="false">F321/(sh0+dil)*1000</f>
        <v>1172.04988530722</v>
      </c>
      <c r="G322" s="17" t="n">
        <f aca="false">G321/(sh0+dil)*1000</f>
        <v>1251.44771334967</v>
      </c>
      <c r="H322" s="17" t="n">
        <f aca="false">H321/(sh0+dil)*1000</f>
        <v>1254.12932977741</v>
      </c>
      <c r="I322" s="17" t="n">
        <f aca="false">I321/(sh0+dil)*1000</f>
        <v>1225.74488940847</v>
      </c>
      <c r="J322" s="17" t="n">
        <f aca="false">J321/(sh0+dil)*1000</f>
        <v>1228.19692801796</v>
      </c>
      <c r="K322" s="17" t="n">
        <f aca="false">K321/(sh0+dil)*1000</f>
        <v>1237.22349157085</v>
      </c>
      <c r="L322" s="17" t="n">
        <f aca="false">L321/(sh0+dil)*1000</f>
        <v>1239.5791272895</v>
      </c>
      <c r="M322" s="17" t="n">
        <f aca="false">M321/(sh0+dil)*1000</f>
        <v>1241.88452101715</v>
      </c>
      <c r="N322" s="17" t="n">
        <f aca="false">N321/(sh0+dil)*1000</f>
        <v>1253.35268748274</v>
      </c>
      <c r="O322" s="17" t="n">
        <f aca="false">O321/(sh0+dil)*1000</f>
        <v>1284.4977065587</v>
      </c>
      <c r="P322" s="17" t="n">
        <f aca="false">P321/(sh0+dil)*1000</f>
        <v>1309.47098495001</v>
      </c>
      <c r="Q322" s="17" t="n">
        <f aca="false">Q321/(sh0+dil)*1000</f>
        <v>1334.92036768652</v>
      </c>
      <c r="R322" s="17" t="n">
        <f aca="false">R321/(sh0+dil)*1000</f>
        <v>1305.5927498643</v>
      </c>
    </row>
    <row r="324" customFormat="false" ht="17.15" hidden="false" customHeight="false" outlineLevel="0" collapsed="false">
      <c r="A324" s="12" t="s">
        <v>381</v>
      </c>
      <c r="B324" s="6" t="s">
        <v>15</v>
      </c>
      <c r="C324" s="12" t="s">
        <v>338</v>
      </c>
      <c r="D324" s="12" t="s">
        <v>339</v>
      </c>
      <c r="E324" s="12" t="s">
        <v>340</v>
      </c>
      <c r="F324" s="12" t="s">
        <v>341</v>
      </c>
      <c r="G324" s="12" t="s">
        <v>342</v>
      </c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6" t="s">
        <v>343</v>
      </c>
    </row>
    <row r="325" customFormat="false" ht="17.15" hidden="false" customHeight="false" outlineLevel="0" collapsed="false">
      <c r="A325" s="5" t="s">
        <v>280</v>
      </c>
      <c r="B325" s="0" t="s">
        <v>25</v>
      </c>
      <c r="C325" s="13" t="n">
        <f aca="false">a25_rev</f>
        <v>2337.6</v>
      </c>
      <c r="D325" s="13" t="n">
        <f aca="false">SUM(C314:F314)</f>
        <v>10653.5101639701</v>
      </c>
      <c r="E325" s="13" t="n">
        <f aca="false">SUM(G314:J314)</f>
        <v>14348.3676284098</v>
      </c>
      <c r="F325" s="13" t="n">
        <f aca="false">SUM(K314:N314)</f>
        <v>14467.7333954595</v>
      </c>
      <c r="G325" s="13" t="n">
        <f aca="false">SUM(O314:R314)</f>
        <v>15138.4935262132</v>
      </c>
      <c r="T325" s="8" t="s">
        <v>382</v>
      </c>
    </row>
    <row r="326" customFormat="false" ht="15" hidden="false" customHeight="false" outlineLevel="0" collapsed="false">
      <c r="A326" s="5" t="s">
        <v>375</v>
      </c>
      <c r="B326" s="0" t="s">
        <v>25</v>
      </c>
      <c r="C326" s="13" t="n">
        <f aca="false">a25_rev-(p1_gp+p2_gp+p3_gp+p4_gp)</f>
        <v>1324.8</v>
      </c>
      <c r="D326" s="13" t="n">
        <f aca="false">SUM(C316:F316)</f>
        <v>1698.71417995872</v>
      </c>
      <c r="E326" s="13" t="n">
        <f aca="false">SUM(G316:J316)</f>
        <v>1872.79032616753</v>
      </c>
      <c r="F326" s="13" t="n">
        <f aca="false">SUM(K316:N316)</f>
        <v>2004.52498952048</v>
      </c>
      <c r="G326" s="13" t="n">
        <f aca="false">SUM(O316:R316)</f>
        <v>2070.14432020231</v>
      </c>
    </row>
    <row r="327" customFormat="false" ht="15" hidden="false" customHeight="false" outlineLevel="0" collapsed="false">
      <c r="A327" s="5" t="s">
        <v>286</v>
      </c>
      <c r="B327" s="0" t="s">
        <v>116</v>
      </c>
      <c r="C327" s="14" t="n">
        <f aca="false">1-C326/C325</f>
        <v>0.433264887063655</v>
      </c>
      <c r="D327" s="14" t="n">
        <f aca="false">1-D326/D325</f>
        <v>0.840548875083095</v>
      </c>
      <c r="E327" s="14" t="n">
        <f aca="false">1-E326/E325</f>
        <v>0.869477115817733</v>
      </c>
      <c r="F327" s="14" t="n">
        <f aca="false">1-F326/F325</f>
        <v>0.861448581147509</v>
      </c>
      <c r="G327" s="14" t="n">
        <f aca="false">1-G326/G325</f>
        <v>0.863252950723418</v>
      </c>
    </row>
    <row r="328" customFormat="false" ht="15" hidden="false" customHeight="false" outlineLevel="0" collapsed="false">
      <c r="A328" s="5" t="s">
        <v>377</v>
      </c>
      <c r="B328" s="0" t="s">
        <v>25</v>
      </c>
      <c r="D328" s="13" t="n">
        <f aca="false">SUM(C318:F318)</f>
        <v>340.625830607138</v>
      </c>
      <c r="E328" s="13" t="n">
        <f aca="false">SUM(G318:J318)</f>
        <v>348.827565035765</v>
      </c>
      <c r="F328" s="13" t="n">
        <f aca="false">SUM(K318:N318)</f>
        <v>370.555611581428</v>
      </c>
      <c r="G328" s="13" t="n">
        <f aca="false">SUM(O318:R318)</f>
        <v>399.851040651649</v>
      </c>
    </row>
    <row r="329" customFormat="false" ht="15" hidden="false" customHeight="false" outlineLevel="0" collapsed="false">
      <c r="A329" s="5" t="s">
        <v>284</v>
      </c>
      <c r="B329" s="0" t="s">
        <v>25</v>
      </c>
      <c r="C329" s="13" t="n">
        <f aca="false">p1_op+p2_op+p3_op+p4_op</f>
        <v>869</v>
      </c>
      <c r="D329" s="13" t="n">
        <f aca="false">SUM(C319:F319)</f>
        <v>8614.17015340426</v>
      </c>
      <c r="E329" s="13" t="n">
        <f aca="false">SUM(G319:J319)</f>
        <v>12126.7497372066</v>
      </c>
      <c r="F329" s="13" t="n">
        <f aca="false">SUM(K319:N319)</f>
        <v>12092.6527943576</v>
      </c>
      <c r="G329" s="13" t="n">
        <f aca="false">SUM(O319:R319)</f>
        <v>12668.4981653593</v>
      </c>
    </row>
    <row r="330" customFormat="false" ht="15" hidden="false" customHeight="false" outlineLevel="0" collapsed="false">
      <c r="A330" s="5" t="s">
        <v>287</v>
      </c>
      <c r="B330" s="0" t="s">
        <v>116</v>
      </c>
      <c r="C330" s="14" t="n">
        <f aca="false">C329/C325</f>
        <v>0.371748802190281</v>
      </c>
      <c r="D330" s="14" t="n">
        <f aca="false">D329/D325</f>
        <v>0.808575767124825</v>
      </c>
      <c r="E330" s="14" t="n">
        <f aca="false">E329/E325</f>
        <v>0.845165809189021</v>
      </c>
      <c r="F330" s="14" t="n">
        <f aca="false">F329/F325</f>
        <v>0.835836026543917</v>
      </c>
      <c r="G330" s="14" t="n">
        <f aca="false">G329/G325</f>
        <v>0.836840082100838</v>
      </c>
    </row>
    <row r="331" customFormat="false" ht="15" hidden="false" customHeight="false" outlineLevel="0" collapsed="false">
      <c r="A331" s="5" t="s">
        <v>285</v>
      </c>
      <c r="B331" s="0" t="s">
        <v>25</v>
      </c>
      <c r="C331" s="13" t="n">
        <f aca="false">a25_ni</f>
        <v>554.5</v>
      </c>
      <c r="D331" s="13" t="n">
        <f aca="false">SUM(C321:F321)</f>
        <v>5801.1674643149</v>
      </c>
      <c r="E331" s="13" t="n">
        <f aca="false">SUM(G321:J321)</f>
        <v>8232.89972430633</v>
      </c>
      <c r="F331" s="13" t="n">
        <f aca="false">SUM(K321:N321)</f>
        <v>8253.68477766929</v>
      </c>
      <c r="G331" s="13" t="n">
        <f aca="false">SUM(O321:R321)</f>
        <v>8689.34367514093</v>
      </c>
    </row>
    <row r="332" customFormat="false" ht="15" hidden="false" customHeight="false" outlineLevel="0" collapsed="false">
      <c r="A332" s="5" t="s">
        <v>383</v>
      </c>
      <c r="B332" s="0" t="s">
        <v>25</v>
      </c>
      <c r="D332" s="13" t="n">
        <f aca="false">da_y</f>
        <v>320</v>
      </c>
      <c r="E332" s="13" t="n">
        <f aca="false">da_y</f>
        <v>320</v>
      </c>
      <c r="F332" s="13" t="n">
        <f aca="false">da_y</f>
        <v>320</v>
      </c>
      <c r="G332" s="13" t="n">
        <f aca="false">da_y</f>
        <v>320</v>
      </c>
    </row>
    <row r="333" customFormat="false" ht="15" hidden="false" customHeight="false" outlineLevel="0" collapsed="false">
      <c r="A333" s="5" t="s">
        <v>384</v>
      </c>
      <c r="B333" s="0" t="s">
        <v>25</v>
      </c>
      <c r="D333" s="13" t="n">
        <f aca="false">cap_2026</f>
        <v>450</v>
      </c>
      <c r="E333" s="13" t="n">
        <f aca="false">cap_2027</f>
        <v>470</v>
      </c>
      <c r="F333" s="13" t="n">
        <f aca="false">cap_2028</f>
        <v>470</v>
      </c>
      <c r="G333" s="13" t="n">
        <f aca="false">cap_2029</f>
        <v>470</v>
      </c>
    </row>
    <row r="334" customFormat="false" ht="15" hidden="false" customHeight="false" outlineLevel="0" collapsed="false">
      <c r="A334" s="5" t="s">
        <v>385</v>
      </c>
      <c r="B334" s="0" t="s">
        <v>25</v>
      </c>
      <c r="D334" s="13" t="n">
        <f aca="false">D331+D332-D333</f>
        <v>5671.1674643149</v>
      </c>
      <c r="E334" s="13" t="n">
        <f aca="false">E331+E332-E333</f>
        <v>8082.89972430633</v>
      </c>
      <c r="F334" s="13" t="n">
        <f aca="false">F331+F332-F333</f>
        <v>8103.68477766929</v>
      </c>
      <c r="G334" s="13" t="n">
        <f aca="false">G331+G332-G333</f>
        <v>8539.34367514093</v>
      </c>
    </row>
    <row r="335" customFormat="false" ht="17.15" hidden="false" customHeight="false" outlineLevel="0" collapsed="false">
      <c r="A335" s="5" t="s">
        <v>386</v>
      </c>
      <c r="B335" s="0" t="s">
        <v>25</v>
      </c>
      <c r="D335" s="13" t="n">
        <f aca="false">MAX(0,payout*(SUM(D321:F321)+0.75*(D332-D333)))</f>
        <v>972.29349286298</v>
      </c>
      <c r="E335" s="13" t="n">
        <f aca="false">MAX(0,payout*E334)</f>
        <v>1616.57994486127</v>
      </c>
      <c r="F335" s="13" t="n">
        <f aca="false">MAX(0,payout*F334)</f>
        <v>1620.73695553386</v>
      </c>
      <c r="G335" s="13" t="n">
        <f aca="false">MAX(0,payout*G334)</f>
        <v>1707.86873502819</v>
      </c>
      <c r="T335" s="8" t="s">
        <v>387</v>
      </c>
    </row>
    <row r="336" customFormat="false" ht="17.15" hidden="false" customHeight="false" outlineLevel="0" collapsed="false">
      <c r="A336" s="5" t="s">
        <v>388</v>
      </c>
      <c r="B336" s="0" t="s">
        <v>25</v>
      </c>
      <c r="C336" s="13" t="n">
        <f aca="false">eq25</f>
        <v>1399.1</v>
      </c>
      <c r="D336" s="13" t="n">
        <f aca="false">eq_j+SUM(D321:F321)-D335</f>
        <v>6390.97397145192</v>
      </c>
      <c r="E336" s="13" t="n">
        <f aca="false">D336+E331-E335</f>
        <v>13007.293750897</v>
      </c>
      <c r="F336" s="13" t="n">
        <f aca="false">E336+F331-F335</f>
        <v>19640.2415730324</v>
      </c>
      <c r="G336" s="13" t="n">
        <f aca="false">F336+G331-G335</f>
        <v>26621.7165131452</v>
      </c>
      <c r="T336" s="8" t="s">
        <v>389</v>
      </c>
    </row>
    <row r="337" customFormat="false" ht="15" hidden="false" customHeight="false" outlineLevel="0" collapsed="false">
      <c r="A337" s="5" t="s">
        <v>390</v>
      </c>
      <c r="B337" s="0" t="s">
        <v>25</v>
      </c>
      <c r="D337" s="13" t="n">
        <f aca="false">nc_j+(SUM(D321:F321)+0.75*(D332-D333))-D335</f>
        <v>4045.57397145192</v>
      </c>
      <c r="E337" s="13" t="n">
        <f aca="false">D337+E334-E335</f>
        <v>10511.893750897</v>
      </c>
      <c r="F337" s="13" t="n">
        <f aca="false">E337+F334-F335</f>
        <v>16994.8415730324</v>
      </c>
      <c r="G337" s="13" t="n">
        <f aca="false">F337+G334-G335</f>
        <v>23826.3165131452</v>
      </c>
    </row>
    <row r="338" customFormat="false" ht="15" hidden="false" customHeight="false" outlineLevel="0" collapsed="false">
      <c r="A338" s="5" t="s">
        <v>391</v>
      </c>
      <c r="B338" s="5" t="s">
        <v>159</v>
      </c>
      <c r="D338" s="13" t="n">
        <f aca="false">sh0-D335/bb_px*1000</f>
        <v>1567.81549433219</v>
      </c>
      <c r="E338" s="13" t="n">
        <f aca="false">D338-E335/bb_px*1000</f>
        <v>1441.07461272801</v>
      </c>
      <c r="F338" s="13" t="n">
        <f aca="false">E338-F335/bb_px*1000</f>
        <v>1314.0078188798</v>
      </c>
      <c r="G338" s="13" t="n">
        <f aca="false">F338-G335/bb_px*1000</f>
        <v>1180.10983886975</v>
      </c>
    </row>
    <row r="339" customFormat="false" ht="17.15" hidden="false" customHeight="false" outlineLevel="0" collapsed="false">
      <c r="A339" s="0" t="s">
        <v>392</v>
      </c>
      <c r="B339" s="0" t="s">
        <v>78</v>
      </c>
      <c r="C339" s="17" t="n">
        <f aca="false">a25_eps</f>
        <v>341.4</v>
      </c>
      <c r="D339" s="17" t="n">
        <f aca="false">D331/(D338+dil)*1000</f>
        <v>3662.83550716232</v>
      </c>
      <c r="E339" s="17" t="n">
        <f aca="false">E331/(E338+dil)*1000</f>
        <v>5650.38719241874</v>
      </c>
      <c r="F339" s="17" t="n">
        <f aca="false">F331/(F338+dil)*1000</f>
        <v>6205.85385780329</v>
      </c>
      <c r="G339" s="17" t="n">
        <f aca="false">G331/(G338+dil)*1000</f>
        <v>7264.81653960089</v>
      </c>
    </row>
    <row r="340" customFormat="false" ht="17.15" hidden="false" customHeight="false" outlineLevel="0" collapsed="false">
      <c r="A340" s="5" t="s">
        <v>393</v>
      </c>
      <c r="B340" s="0" t="s">
        <v>78</v>
      </c>
      <c r="D340" s="17" t="n">
        <f aca="false">D336/D338*1000</f>
        <v>4076.35591978517</v>
      </c>
      <c r="E340" s="17" t="n">
        <f aca="false">E336/E338*1000</f>
        <v>9026.10707038526</v>
      </c>
      <c r="F340" s="17" t="n">
        <f aca="false">F336/F338*1000</f>
        <v>14946.8224548129</v>
      </c>
      <c r="G340" s="17" t="n">
        <f aca="false">G336/G338*1000</f>
        <v>22558.6768589626</v>
      </c>
    </row>
    <row r="341" customFormat="false" ht="17.15" hidden="false" customHeight="false" outlineLevel="0" collapsed="false">
      <c r="A341" s="0" t="s">
        <v>394</v>
      </c>
      <c r="B341" s="0" t="s">
        <v>116</v>
      </c>
      <c r="D341" s="21" t="n">
        <f aca="false">D331/D336</f>
        <v>0.90771257874439</v>
      </c>
      <c r="E341" s="21" t="n">
        <f aca="false">E331/E336</f>
        <v>0.632944860166519</v>
      </c>
      <c r="F341" s="21" t="n">
        <f aca="false">F331/F336</f>
        <v>0.420243546749559</v>
      </c>
      <c r="G341" s="21" t="n">
        <f aca="false">G331/G336</f>
        <v>0.326400578672316</v>
      </c>
    </row>
    <row r="342" customFormat="false" ht="15" hidden="false" customHeight="false" outlineLevel="0" collapsed="false">
      <c r="A342" s="5" t="s">
        <v>395</v>
      </c>
      <c r="B342" s="0" t="s">
        <v>78</v>
      </c>
      <c r="E342" s="17" t="n">
        <f aca="false">E334/(E338+dil)*1000</f>
        <v>5547.43949388665</v>
      </c>
      <c r="F342" s="17" t="n">
        <f aca="false">F334/(F338+dil)*1000</f>
        <v>6093.07052481376</v>
      </c>
      <c r="G342" s="17" t="n">
        <f aca="false">G334/(G338+dil)*1000</f>
        <v>7139.40747285427</v>
      </c>
    </row>
    <row r="343" customFormat="false" ht="17.15" hidden="false" customHeight="false" outlineLevel="0" collapsed="false">
      <c r="A343" s="5" t="s">
        <v>396</v>
      </c>
      <c r="B343" s="0" t="s">
        <v>25</v>
      </c>
      <c r="D343" s="18" t="n">
        <f aca="false">ABS(C314-q1_rev)+ABS(D319-g2_op)+ABS(C325-2337.6)</f>
        <v>0</v>
      </c>
    </row>
    <row r="360" customFormat="false" ht="17.15" hidden="false" customHeight="false" outlineLevel="0" collapsed="false">
      <c r="A360" s="3" t="s">
        <v>676</v>
      </c>
    </row>
    <row r="361" customFormat="false" ht="17.15" hidden="false" customHeight="false" outlineLevel="0" collapsed="false">
      <c r="A361" s="12" t="s">
        <v>352</v>
      </c>
      <c r="B361" s="6" t="s">
        <v>15</v>
      </c>
      <c r="C361" s="12" t="s">
        <v>353</v>
      </c>
      <c r="D361" s="12" t="s">
        <v>354</v>
      </c>
      <c r="E361" s="12" t="s">
        <v>355</v>
      </c>
      <c r="F361" s="12" t="s">
        <v>356</v>
      </c>
      <c r="G361" s="12" t="s">
        <v>357</v>
      </c>
      <c r="H361" s="12" t="s">
        <v>358</v>
      </c>
      <c r="I361" s="12" t="s">
        <v>359</v>
      </c>
      <c r="J361" s="12" t="s">
        <v>360</v>
      </c>
      <c r="K361" s="12" t="s">
        <v>361</v>
      </c>
      <c r="L361" s="12" t="s">
        <v>362</v>
      </c>
      <c r="M361" s="12" t="s">
        <v>363</v>
      </c>
      <c r="N361" s="12" t="s">
        <v>364</v>
      </c>
      <c r="O361" s="12" t="s">
        <v>365</v>
      </c>
      <c r="P361" s="12" t="s">
        <v>366</v>
      </c>
      <c r="Q361" s="12" t="s">
        <v>367</v>
      </c>
      <c r="R361" s="12" t="s">
        <v>368</v>
      </c>
      <c r="S361" s="12"/>
      <c r="T361" s="6" t="s">
        <v>343</v>
      </c>
    </row>
    <row r="362" customFormat="false" ht="17.15" hidden="false" customHeight="false" outlineLevel="0" collapsed="false">
      <c r="A362" s="5" t="s">
        <v>369</v>
      </c>
      <c r="B362" s="0" t="s">
        <v>317</v>
      </c>
      <c r="C362" s="19" t="n">
        <f aca="false">Units!H4*1</f>
        <v>10.72</v>
      </c>
      <c r="D362" s="19" t="n">
        <f aca="false">Units!I4*1</f>
        <v>14.3197859923946</v>
      </c>
      <c r="E362" s="19" t="n">
        <f aca="false">Units!J4*1*1</f>
        <v>17.6469939469536</v>
      </c>
      <c r="F362" s="19" t="n">
        <f aca="false">Units!K4*1*1</f>
        <v>19.4448271931715</v>
      </c>
      <c r="G362" s="19" t="n">
        <f aca="false">Units!L4*1*1</f>
        <v>20.5604014966272</v>
      </c>
      <c r="H362" s="19" t="n">
        <f aca="false">Units!M4*1*1</f>
        <v>20.6529788219672</v>
      </c>
      <c r="I362" s="19" t="n">
        <f aca="false">Units!N4*1*1</f>
        <v>20.3092156690391</v>
      </c>
      <c r="J362" s="19" t="n">
        <f aca="false">Units!O4*1*1</f>
        <v>20.4006619798858</v>
      </c>
      <c r="K362" s="19" t="n">
        <f aca="false">Units!P4*1*1</f>
        <v>20.492520046061</v>
      </c>
      <c r="L362" s="19" t="n">
        <f aca="false">Units!Q4*1*1</f>
        <v>20.5847917215753</v>
      </c>
      <c r="M362" s="19" t="n">
        <f aca="false">Units!R4*1*1</f>
        <v>20.6774788687878</v>
      </c>
      <c r="N362" s="19" t="n">
        <f aca="false">Units!S4*1*1</f>
        <v>20.8499966018633</v>
      </c>
      <c r="O362" s="19" t="n">
        <f aca="false">Units!T4*1*1</f>
        <v>21.235846897313</v>
      </c>
      <c r="P362" s="19" t="n">
        <f aca="false">Units!U4*1*1</f>
        <v>21.628837743111</v>
      </c>
      <c r="Q362" s="19" t="n">
        <f aca="false">Units!V4*1*1</f>
        <v>22.0291012823706</v>
      </c>
      <c r="R362" s="19" t="n">
        <f aca="false">Units!W4*1*1</f>
        <v>21.5407648571837</v>
      </c>
      <c r="T362" s="8" t="s">
        <v>370</v>
      </c>
    </row>
    <row r="363" customFormat="false" ht="15" hidden="false" customHeight="false" outlineLevel="0" collapsed="false">
      <c r="A363" s="5" t="s">
        <v>371</v>
      </c>
      <c r="B363" s="0" t="s">
        <v>324</v>
      </c>
      <c r="C363" s="19" t="n">
        <f aca="false">Units!H7*1</f>
        <v>40.1757580440862</v>
      </c>
      <c r="D363" s="19" t="n">
        <f aca="false">Units!I7*1</f>
        <v>46.6667956905857</v>
      </c>
      <c r="E363" s="19" t="n">
        <f aca="false">Units!J7*1</f>
        <v>48.944548236035</v>
      </c>
      <c r="F363" s="19" t="n">
        <f aca="false">Units!K7*1</f>
        <v>52.3600980030596</v>
      </c>
      <c r="G363" s="19" t="n">
        <f aca="false">Units!L7*1</f>
        <v>55.3640629793669</v>
      </c>
      <c r="H363" s="19" t="n">
        <f aca="false">Units!M7*1</f>
        <v>58.5403692216961</v>
      </c>
      <c r="I363" s="19" t="n">
        <f aca="false">Units!N7*1</f>
        <v>61.898904166222</v>
      </c>
      <c r="J363" s="19" t="n">
        <f aca="false">Units!O7*1</f>
        <v>65.4501225038245</v>
      </c>
      <c r="K363" s="19" t="n">
        <f aca="false">Units!P7*1</f>
        <v>69.2050787242086</v>
      </c>
      <c r="L363" s="19" t="n">
        <f aca="false">Units!Q7*1</f>
        <v>73.1754615271202</v>
      </c>
      <c r="M363" s="19" t="n">
        <f aca="false">Units!R7*1</f>
        <v>77.3736302077775</v>
      </c>
      <c r="N363" s="19" t="n">
        <f aca="false">Units!S7*1</f>
        <v>80.4321433873819</v>
      </c>
      <c r="O363" s="19" t="n">
        <f aca="false">Units!T7*1</f>
        <v>84.4542491025558</v>
      </c>
      <c r="P363" s="19" t="n">
        <f aca="false">Units!U7*1</f>
        <v>88.6774850338687</v>
      </c>
      <c r="Q363" s="19" t="n">
        <f aca="false">Units!V7*1</f>
        <v>93.1119089388012</v>
      </c>
      <c r="R363" s="19" t="n">
        <f aca="false">Units!W7*1</f>
        <v>94.0045560318226</v>
      </c>
    </row>
    <row r="364" customFormat="false" ht="17.15" hidden="false" customHeight="false" outlineLevel="0" collapsed="false">
      <c r="A364" s="5" t="s">
        <v>280</v>
      </c>
      <c r="B364" s="0" t="s">
        <v>25</v>
      </c>
      <c r="C364" s="13" t="n">
        <f aca="false">q1_rev</f>
        <v>1767.1</v>
      </c>
      <c r="D364" s="13" t="n">
        <f aca="false">g2_rev</f>
        <v>2390</v>
      </c>
      <c r="E364" s="13" t="n">
        <f aca="false">E362*kx_k*fx</f>
        <v>2908.95550407292</v>
      </c>
      <c r="F364" s="13" t="n">
        <f aca="false">F362*kx_k*fx</f>
        <v>3205.31288554602</v>
      </c>
      <c r="G364" s="13" t="n">
        <f aca="false">G362*kx_k*fx</f>
        <v>3389.20573551212</v>
      </c>
      <c r="H364" s="13" t="n">
        <f aca="false">H362*kx_k*fx</f>
        <v>3404.46631308752</v>
      </c>
      <c r="I364" s="13" t="n">
        <f aca="false">I362*kx_k*fx</f>
        <v>3347.79990753349</v>
      </c>
      <c r="J364" s="13" t="n">
        <f aca="false">J362*kx_k*fx</f>
        <v>3362.87404707614</v>
      </c>
      <c r="K364" s="13" t="n">
        <f aca="false">K362*kx_k*fx</f>
        <v>3378.01606095097</v>
      </c>
      <c r="L364" s="13" t="n">
        <f aca="false">L362*kx_k*fx</f>
        <v>3393.22625477572</v>
      </c>
      <c r="M364" s="13" t="n">
        <f aca="false">M362*kx_k*fx</f>
        <v>3408.5049355443</v>
      </c>
      <c r="N364" s="13" t="n">
        <f aca="false">N362*kx_k*fx</f>
        <v>3436.94300327916</v>
      </c>
      <c r="O364" s="13" t="n">
        <f aca="false">O362*kx_k*fx</f>
        <v>3500.54711308226</v>
      </c>
      <c r="P364" s="13" t="n">
        <f aca="false">P362*kx_k*fx</f>
        <v>3565.32828132943</v>
      </c>
      <c r="Q364" s="13" t="n">
        <f aca="false">Q362*kx_k*fx</f>
        <v>3631.30829067883</v>
      </c>
      <c r="R364" s="13" t="n">
        <f aca="false">R362*kx_k*fx</f>
        <v>3550.8102219337</v>
      </c>
      <c r="T364" s="5" t="s">
        <v>372</v>
      </c>
    </row>
    <row r="365" customFormat="false" ht="17.15" hidden="false" customHeight="false" outlineLevel="0" collapsed="false">
      <c r="A365" s="5" t="s">
        <v>373</v>
      </c>
      <c r="B365" s="0" t="s">
        <v>374</v>
      </c>
      <c r="C365" s="20" t="n">
        <f aca="false">C366/C363</f>
        <v>9.63267449926724</v>
      </c>
      <c r="D365" s="20" t="n">
        <f aca="false">D366/D363</f>
        <v>9.21426023871499</v>
      </c>
      <c r="E365" s="20" t="n">
        <f aca="false">$D365*(1-cd_C)^(1/4)</f>
        <v>8.97472399304605</v>
      </c>
      <c r="F365" s="20" t="n">
        <f aca="false">$D365*(1-cd_C)^(2/4)</f>
        <v>8.74141479235985</v>
      </c>
      <c r="G365" s="20" t="n">
        <f aca="false">$D365*(1-cd_C)^(3/4)</f>
        <v>8.514170756816</v>
      </c>
      <c r="H365" s="20" t="n">
        <f aca="false">$D365*(1-cd_C)^(4/4)</f>
        <v>8.29283421484349</v>
      </c>
      <c r="I365" s="20" t="n">
        <f aca="false">$D365*(1-cd_C)^(5/4)</f>
        <v>8.07725159374145</v>
      </c>
      <c r="J365" s="20" t="n">
        <f aca="false">$D365*(1-cd_C)^(6/4)</f>
        <v>7.86727331312387</v>
      </c>
      <c r="K365" s="20" t="n">
        <f aca="false">$D365*(1-cd_C)^(7/4)</f>
        <v>7.6627536811344</v>
      </c>
      <c r="L365" s="20" t="n">
        <f aca="false">$D365*(1-cd_C)^(8/4)</f>
        <v>7.46355079335914</v>
      </c>
      <c r="M365" s="20" t="n">
        <f aca="false">$D365*(1-cd_C)^(9/4)</f>
        <v>7.2695264343673</v>
      </c>
      <c r="N365" s="20" t="n">
        <f aca="false">$D365*(1-cd_C)^(10/4)</f>
        <v>7.08054598181148</v>
      </c>
      <c r="O365" s="20" t="n">
        <f aca="false">$D365*(1-cd_C)^(11/4)</f>
        <v>6.89647831302096</v>
      </c>
      <c r="P365" s="20" t="n">
        <f aca="false">$D365*(1-cd_C)^(12/4)</f>
        <v>6.71719571402323</v>
      </c>
      <c r="Q365" s="20" t="n">
        <f aca="false">$D365*(1-cd_C)^(13/4)</f>
        <v>6.54257379093057</v>
      </c>
      <c r="R365" s="20" t="n">
        <f aca="false">$D365*(1-cd_C)^(14/4)</f>
        <v>6.37249138363033</v>
      </c>
    </row>
    <row r="366" customFormat="false" ht="15" hidden="false" customHeight="false" outlineLevel="0" collapsed="false">
      <c r="A366" s="5" t="s">
        <v>375</v>
      </c>
      <c r="B366" s="0" t="s">
        <v>25</v>
      </c>
      <c r="C366" s="13" t="n">
        <f aca="false">q1_rev-q1_gp</f>
        <v>387</v>
      </c>
      <c r="D366" s="13" t="n">
        <f aca="false">g2_rev-g2_op-g2_ox</f>
        <v>430</v>
      </c>
      <c r="E366" s="13" t="n">
        <f aca="false">E363*E365</f>
        <v>439.263811382743</v>
      </c>
      <c r="F366" s="13" t="n">
        <f aca="false">F363*F365</f>
        <v>457.701335213357</v>
      </c>
      <c r="G366" s="13" t="n">
        <f aca="false">G363*G365</f>
        <v>471.379085997445</v>
      </c>
      <c r="H366" s="13" t="n">
        <f aca="false">H363*H365</f>
        <v>485.465576831252</v>
      </c>
      <c r="I366" s="13" t="n">
        <f aca="false">I363*I365</f>
        <v>499.973022327466</v>
      </c>
      <c r="J366" s="13" t="n">
        <f aca="false">J363*J365</f>
        <v>514.914002115026</v>
      </c>
      <c r="K366" s="13" t="n">
        <f aca="false">K363*K365</f>
        <v>530.301471747126</v>
      </c>
      <c r="L366" s="13" t="n">
        <f aca="false">L363*L365</f>
        <v>546.14877393516</v>
      </c>
      <c r="M366" s="13" t="n">
        <f aca="false">M363*M365</f>
        <v>562.469650118399</v>
      </c>
      <c r="N366" s="13" t="n">
        <f aca="false">N363*N365</f>
        <v>569.503489670012</v>
      </c>
      <c r="O366" s="13" t="n">
        <f aca="false">O363*O365</f>
        <v>582.436897378246</v>
      </c>
      <c r="P366" s="13" t="n">
        <f aca="false">P363*P365</f>
        <v>595.664022399862</v>
      </c>
      <c r="Q366" s="13" t="n">
        <f aca="false">Q363*Q365</f>
        <v>609.191535046515</v>
      </c>
      <c r="R366" s="13" t="n">
        <f aca="false">R363*R365</f>
        <v>599.043223334784</v>
      </c>
      <c r="T366" s="5" t="s">
        <v>376</v>
      </c>
    </row>
    <row r="367" customFormat="false" ht="15" hidden="false" customHeight="false" outlineLevel="0" collapsed="false">
      <c r="A367" s="5" t="s">
        <v>286</v>
      </c>
      <c r="B367" s="0" t="s">
        <v>116</v>
      </c>
      <c r="C367" s="14" t="n">
        <f aca="false">1-C366/C364</f>
        <v>0.780997113915455</v>
      </c>
      <c r="D367" s="14" t="n">
        <f aca="false">1-D366/D364</f>
        <v>0.820083682008368</v>
      </c>
      <c r="E367" s="14" t="n">
        <f aca="false">1-E366/E364</f>
        <v>0.848996036285974</v>
      </c>
      <c r="F367" s="14" t="n">
        <f aca="false">1-F366/F364</f>
        <v>0.857205411279096</v>
      </c>
      <c r="G367" s="14" t="n">
        <f aca="false">1-G366/G364</f>
        <v>0.860917535616581</v>
      </c>
      <c r="H367" s="14" t="n">
        <f aca="false">1-H366/H364</f>
        <v>0.857403324872091</v>
      </c>
      <c r="I367" s="14" t="n">
        <f aca="false">1-I366/I364</f>
        <v>0.850656241072716</v>
      </c>
      <c r="J367" s="14" t="n">
        <f aca="false">1-J366/J364</f>
        <v>0.846882757157462</v>
      </c>
      <c r="K367" s="14" t="n">
        <f aca="false">1-K366/K364</f>
        <v>0.843013928241112</v>
      </c>
      <c r="L367" s="14" t="n">
        <f aca="false">1-L366/L364</f>
        <v>0.839047345231844</v>
      </c>
      <c r="M367" s="14" t="n">
        <f aca="false">1-M366/M364</f>
        <v>0.834980538167072</v>
      </c>
      <c r="N367" s="14" t="n">
        <f aca="false">1-N366/N364</f>
        <v>0.83429940818726</v>
      </c>
      <c r="O367" s="14" t="n">
        <f aca="false">1-O366/O364</f>
        <v>0.833615466793302</v>
      </c>
      <c r="P367" s="14" t="n">
        <f aca="false">1-P366/P364</f>
        <v>0.832928702380878</v>
      </c>
      <c r="Q367" s="14" t="n">
        <f aca="false">1-Q366/Q364</f>
        <v>0.832239103297772</v>
      </c>
      <c r="R367" s="14" t="n">
        <f aca="false">1-R366/R364</f>
        <v>0.831293934090187</v>
      </c>
    </row>
    <row r="368" customFormat="false" ht="17.15" hidden="false" customHeight="false" outlineLevel="0" collapsed="false">
      <c r="A368" s="5" t="s">
        <v>377</v>
      </c>
      <c r="B368" s="0" t="s">
        <v>25</v>
      </c>
      <c r="C368" s="13" t="n">
        <f aca="false">q1_gp-q1_op</f>
        <v>110.1</v>
      </c>
      <c r="D368" s="13" t="n">
        <f aca="false">g2_ox</f>
        <v>70</v>
      </c>
      <c r="E368" s="13" t="n">
        <f aca="false">(g2_ox-ox_var*g2_rev)*(1+ox_g)^(1/4)+ox_var*E364</f>
        <v>76.3011961075221</v>
      </c>
      <c r="F368" s="13" t="n">
        <f aca="false">(g2_ox-ox_var*g2_rev)*(1+ox_g)^(2/4)+ox_var*F364</f>
        <v>80.4032167561042</v>
      </c>
      <c r="G368" s="13" t="n">
        <f aca="false">(g2_ox-ox_var*g2_rev)*(1+ox_g)^(3/4)+ox_var*G364</f>
        <v>83.4080442426069</v>
      </c>
      <c r="H368" s="13" t="n">
        <f aca="false">(g2_ox-ox_var*g2_rev)*(1+ox_g)^(4/4)+ox_var*H364</f>
        <v>84.7546631308752</v>
      </c>
      <c r="I368" s="13" t="n">
        <f aca="false">(g2_ox-ox_var*g2_rev)*(1+ox_g)^(5/4)+ox_var*I364</f>
        <v>85.4108042488071</v>
      </c>
      <c r="J368" s="13" t="n">
        <f aca="false">(g2_ox-ox_var*g2_rev)*(1+ox_g)^(6/4)+ox_var*J364</f>
        <v>86.8138371614698</v>
      </c>
      <c r="K368" s="13" t="n">
        <f aca="false">(g2_ox-ox_var*g2_rev)*(1+ox_g)^(7/4)+ox_var*K364</f>
        <v>88.247746185744</v>
      </c>
      <c r="L368" s="13" t="n">
        <f aca="false">(g2_ox-ox_var*g2_rev)*(1+ox_g)^(8/4)+ox_var*L364</f>
        <v>89.7132625477572</v>
      </c>
      <c r="M368" s="13" t="n">
        <f aca="false">(g2_ox-ox_var*g2_rev)*(1+ox_g)^(9/4)+ox_var*M364</f>
        <v>91.2111350462625</v>
      </c>
      <c r="N368" s="13" t="n">
        <f aca="false">(g2_ox-ox_var*g2_rev)*(1+ox_g)^(10/4)+ox_var*N364</f>
        <v>92.8730363925709</v>
      </c>
      <c r="O368" s="13" t="n">
        <f aca="false">(g2_ox-ox_var*g2_rev)*(1+ox_g)^(11/4)+ox_var*O364</f>
        <v>94.9198152646803</v>
      </c>
      <c r="P368" s="13" t="n">
        <f aca="false">(g2_ox-ox_var*g2_rev)*(1+ox_g)^(12/4)+ox_var*P364</f>
        <v>97.0123828132943</v>
      </c>
      <c r="Q368" s="13" t="n">
        <f aca="false">(g2_ox-ox_var*g2_rev)*(1+ox_g)^(13/4)+ox_var*Q364</f>
        <v>99.1517771666897</v>
      </c>
      <c r="R368" s="13" t="n">
        <f aca="false">(g2_ox-ox_var*g2_rev)*(1+ox_g)^(14/4)+ox_var*R364</f>
        <v>99.8620692150942</v>
      </c>
      <c r="T368" s="5" t="s">
        <v>378</v>
      </c>
    </row>
    <row r="369" customFormat="false" ht="15" hidden="false" customHeight="false" outlineLevel="0" collapsed="false">
      <c r="A369" s="5" t="s">
        <v>284</v>
      </c>
      <c r="B369" s="0" t="s">
        <v>25</v>
      </c>
      <c r="C369" s="13" t="n">
        <f aca="false">C364-C366-C368</f>
        <v>1270</v>
      </c>
      <c r="D369" s="13" t="n">
        <f aca="false">D364-D366-D368</f>
        <v>1890</v>
      </c>
      <c r="E369" s="13" t="n">
        <f aca="false">E364-E366-E368</f>
        <v>2393.39049658265</v>
      </c>
      <c r="F369" s="13" t="n">
        <f aca="false">F364-F366-F368</f>
        <v>2667.20833357656</v>
      </c>
      <c r="G369" s="13" t="n">
        <f aca="false">G364-G366-G368</f>
        <v>2834.41860527207</v>
      </c>
      <c r="H369" s="13" t="n">
        <f aca="false">H364-H366-H368</f>
        <v>2834.24607312539</v>
      </c>
      <c r="I369" s="13" t="n">
        <f aca="false">I364-I366-I368</f>
        <v>2762.41608095722</v>
      </c>
      <c r="J369" s="13" t="n">
        <f aca="false">J364-J366-J368</f>
        <v>2761.14620779964</v>
      </c>
      <c r="K369" s="13" t="n">
        <f aca="false">K364-K366-K368</f>
        <v>2759.4668430181</v>
      </c>
      <c r="L369" s="13" t="n">
        <f aca="false">L364-L366-L368</f>
        <v>2757.3642182928</v>
      </c>
      <c r="M369" s="13" t="n">
        <f aca="false">M364-M366-M368</f>
        <v>2754.82415037964</v>
      </c>
      <c r="N369" s="13" t="n">
        <f aca="false">N364-N366-N368</f>
        <v>2774.56647721658</v>
      </c>
      <c r="O369" s="13" t="n">
        <f aca="false">O364-O366-O368</f>
        <v>2823.19040043933</v>
      </c>
      <c r="P369" s="13" t="n">
        <f aca="false">P364-P366-P368</f>
        <v>2872.65187611627</v>
      </c>
      <c r="Q369" s="13" t="n">
        <f aca="false">Q364-Q366-Q368</f>
        <v>2922.96497846563</v>
      </c>
      <c r="R369" s="13" t="n">
        <f aca="false">R364-R366-R368</f>
        <v>2851.90492938383</v>
      </c>
    </row>
    <row r="371" customFormat="false" ht="17.15" hidden="false" customHeight="false" outlineLevel="0" collapsed="false">
      <c r="A371" s="5" t="s">
        <v>285</v>
      </c>
      <c r="B371" s="0" t="s">
        <v>25</v>
      </c>
      <c r="C371" s="13" t="n">
        <f aca="false">q1_ni</f>
        <v>842.2</v>
      </c>
      <c r="D371" s="13" t="n">
        <f aca="false">g2_ni</f>
        <v>1270</v>
      </c>
      <c r="E371" s="13" t="n">
        <f aca="false">(E369+nonop_q+rf*nc_j/4)*(1-tax)</f>
        <v>1617.57141767621</v>
      </c>
      <c r="F371" s="13" t="n">
        <f aca="false">(F369+nonop_q+rf*nc_j/4)*(1-tax)</f>
        <v>1803.76754683206</v>
      </c>
      <c r="G371" s="13" t="n">
        <f aca="false">(G369+nonop_q+rf*$D387/4)*(1-tax)</f>
        <v>1923.71815257674</v>
      </c>
      <c r="H371" s="13" t="n">
        <f aca="false">(H369+nonop_q+rf*$D387/4)*(1-tax)</f>
        <v>1923.600830717</v>
      </c>
      <c r="I371" s="13" t="n">
        <f aca="false">(I369+nonop_q+rf*$D387/4)*(1-tax)</f>
        <v>1874.75643604264</v>
      </c>
      <c r="J371" s="13" t="n">
        <f aca="false">(J369+nonop_q+rf*$D387/4)*(1-tax)</f>
        <v>1873.89292229549</v>
      </c>
      <c r="K371" s="13" t="n">
        <f aca="false">(K369+nonop_q+rf*$E387/4)*(1-tax)</f>
        <v>1882.87747118866</v>
      </c>
      <c r="L371" s="13" t="n">
        <f aca="false">(L369+nonop_q+rf*$E387/4)*(1-tax)</f>
        <v>1881.44768637546</v>
      </c>
      <c r="M371" s="13" t="n">
        <f aca="false">(M369+nonop_q+rf*$E387/4)*(1-tax)</f>
        <v>1879.72044019451</v>
      </c>
      <c r="N371" s="13" t="n">
        <f aca="false">(N369+nonop_q+rf*$E387/4)*(1-tax)</f>
        <v>1893.14522244363</v>
      </c>
      <c r="O371" s="13" t="n">
        <f aca="false">(O369+nonop_q+rf*$F387/4)*(1-tax)</f>
        <v>1936.25606975057</v>
      </c>
      <c r="P371" s="13" t="n">
        <f aca="false">(P369+nonop_q+rf*$F387/4)*(1-tax)</f>
        <v>1969.88987321089</v>
      </c>
      <c r="Q371" s="13" t="n">
        <f aca="false">(Q369+nonop_q+rf*$F387/4)*(1-tax)</f>
        <v>2004.10278280845</v>
      </c>
      <c r="R371" s="13" t="n">
        <f aca="false">(R369+nonop_q+rf*$F387/4)*(1-tax)</f>
        <v>1955.78194943283</v>
      </c>
      <c r="T371" s="5" t="s">
        <v>379</v>
      </c>
    </row>
    <row r="372" customFormat="false" ht="17.15" hidden="false" customHeight="false" outlineLevel="0" collapsed="false">
      <c r="A372" s="5" t="s">
        <v>380</v>
      </c>
      <c r="B372" s="0" t="s">
        <v>78</v>
      </c>
      <c r="C372" s="17" t="n">
        <f aca="false">C371/(sh0+dil)*1000</f>
        <v>507.343332753891</v>
      </c>
      <c r="D372" s="17" t="n">
        <f aca="false">D371/(sh0+dil)*1000</f>
        <v>765.051095461222</v>
      </c>
      <c r="E372" s="17" t="n">
        <f aca="false">E371/(sh0+dil)*1000</f>
        <v>974.428964629876</v>
      </c>
      <c r="F372" s="17" t="n">
        <f aca="false">F371/(sh0+dil)*1000</f>
        <v>1086.59396666242</v>
      </c>
      <c r="G372" s="17" t="n">
        <f aca="false">G371/(sh0+dil)*1000</f>
        <v>1158.85250392714</v>
      </c>
      <c r="H372" s="17" t="n">
        <f aca="false">H371/(sh0+dil)*1000</f>
        <v>1158.78182895288</v>
      </c>
      <c r="I372" s="17" t="n">
        <f aca="false">I371/(sh0+dil)*1000</f>
        <v>1129.35784654913</v>
      </c>
      <c r="J372" s="17" t="n">
        <f aca="false">J371/(sh0+dil)*1000</f>
        <v>1128.83766376314</v>
      </c>
      <c r="K372" s="17" t="n">
        <f aca="false">K371/(sh0+dil)*1000</f>
        <v>1134.24997791507</v>
      </c>
      <c r="L372" s="17" t="n">
        <f aca="false">L371/(sh0+dil)*1000</f>
        <v>1133.38867205868</v>
      </c>
      <c r="M372" s="17" t="n">
        <f aca="false">M371/(sh0+dil)*1000</f>
        <v>1132.34817474934</v>
      </c>
      <c r="N372" s="17" t="n">
        <f aca="false">N371/(sh0+dil)*1000</f>
        <v>1140.43529629738</v>
      </c>
      <c r="O372" s="17" t="n">
        <f aca="false">O371/(sh0+dil)*1000</f>
        <v>1166.40537579222</v>
      </c>
      <c r="P372" s="17" t="n">
        <f aca="false">P371/(sh0+dil)*1000</f>
        <v>1186.66646097477</v>
      </c>
      <c r="Q372" s="17" t="n">
        <f aca="false">Q371/(sh0+dil)*1000</f>
        <v>1207.2764011059</v>
      </c>
      <c r="R372" s="17" t="n">
        <f aca="false">R371/(sh0+dil)*1000</f>
        <v>1178.16781330462</v>
      </c>
    </row>
    <row r="374" customFormat="false" ht="17.15" hidden="false" customHeight="false" outlineLevel="0" collapsed="false">
      <c r="A374" s="12" t="s">
        <v>381</v>
      </c>
      <c r="B374" s="6" t="s">
        <v>15</v>
      </c>
      <c r="C374" s="12" t="s">
        <v>338</v>
      </c>
      <c r="D374" s="12" t="s">
        <v>339</v>
      </c>
      <c r="E374" s="12" t="s">
        <v>340</v>
      </c>
      <c r="F374" s="12" t="s">
        <v>341</v>
      </c>
      <c r="G374" s="12" t="s">
        <v>342</v>
      </c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6" t="s">
        <v>343</v>
      </c>
    </row>
    <row r="375" customFormat="false" ht="17.15" hidden="false" customHeight="false" outlineLevel="0" collapsed="false">
      <c r="A375" s="5" t="s">
        <v>280</v>
      </c>
      <c r="B375" s="0" t="s">
        <v>25</v>
      </c>
      <c r="C375" s="13" t="n">
        <f aca="false">a25_rev</f>
        <v>2337.6</v>
      </c>
      <c r="D375" s="13" t="n">
        <f aca="false">SUM(C364:F364)</f>
        <v>10271.3683896189</v>
      </c>
      <c r="E375" s="13" t="n">
        <f aca="false">SUM(G364:J364)</f>
        <v>13504.3460032093</v>
      </c>
      <c r="F375" s="13" t="n">
        <f aca="false">SUM(K364:N364)</f>
        <v>13616.6902545502</v>
      </c>
      <c r="G375" s="13" t="n">
        <f aca="false">SUM(O364:R364)</f>
        <v>14247.9939070242</v>
      </c>
      <c r="T375" s="8" t="s">
        <v>382</v>
      </c>
    </row>
    <row r="376" customFormat="false" ht="15" hidden="false" customHeight="false" outlineLevel="0" collapsed="false">
      <c r="A376" s="5" t="s">
        <v>375</v>
      </c>
      <c r="B376" s="0" t="s">
        <v>25</v>
      </c>
      <c r="C376" s="13" t="n">
        <f aca="false">a25_rev-(p1_gp+p2_gp+p3_gp+p4_gp)</f>
        <v>1324.8</v>
      </c>
      <c r="D376" s="13" t="n">
        <f aca="false">SUM(C366:F366)</f>
        <v>1713.9651465961</v>
      </c>
      <c r="E376" s="13" t="n">
        <f aca="false">SUM(G366:J366)</f>
        <v>1971.73168727119</v>
      </c>
      <c r="F376" s="13" t="n">
        <f aca="false">SUM(K366:N366)</f>
        <v>2208.4233854707</v>
      </c>
      <c r="G376" s="13" t="n">
        <f aca="false">SUM(O366:R366)</f>
        <v>2386.33567815941</v>
      </c>
    </row>
    <row r="377" customFormat="false" ht="15" hidden="false" customHeight="false" outlineLevel="0" collapsed="false">
      <c r="A377" s="5" t="s">
        <v>286</v>
      </c>
      <c r="B377" s="0" t="s">
        <v>116</v>
      </c>
      <c r="C377" s="14" t="n">
        <f aca="false">1-C376/C375</f>
        <v>0.433264887063655</v>
      </c>
      <c r="D377" s="14" t="n">
        <f aca="false">1-D376/D375</f>
        <v>0.833131761847003</v>
      </c>
      <c r="E377" s="14" t="n">
        <f aca="false">1-E376/E375</f>
        <v>0.853992804479194</v>
      </c>
      <c r="F377" s="14" t="n">
        <f aca="false">1-F376/F375</f>
        <v>0.837814965003502</v>
      </c>
      <c r="G377" s="14" t="n">
        <f aca="false">1-G376/G375</f>
        <v>0.832514268764324</v>
      </c>
    </row>
    <row r="378" customFormat="false" ht="15" hidden="false" customHeight="false" outlineLevel="0" collapsed="false">
      <c r="A378" s="5" t="s">
        <v>377</v>
      </c>
      <c r="B378" s="0" t="s">
        <v>25</v>
      </c>
      <c r="D378" s="13" t="n">
        <f aca="false">SUM(C368:F368)</f>
        <v>336.804412863626</v>
      </c>
      <c r="E378" s="13" t="n">
        <f aca="false">SUM(G368:J368)</f>
        <v>340.387348783759</v>
      </c>
      <c r="F378" s="13" t="n">
        <f aca="false">SUM(K368:N368)</f>
        <v>362.045180172334</v>
      </c>
      <c r="G378" s="13" t="n">
        <f aca="false">SUM(O368:R368)</f>
        <v>390.946044459758</v>
      </c>
    </row>
    <row r="379" customFormat="false" ht="15" hidden="false" customHeight="false" outlineLevel="0" collapsed="false">
      <c r="A379" s="5" t="s">
        <v>284</v>
      </c>
      <c r="B379" s="0" t="s">
        <v>25</v>
      </c>
      <c r="C379" s="13" t="n">
        <f aca="false">p1_op+p2_op+p3_op+p4_op</f>
        <v>869</v>
      </c>
      <c r="D379" s="13" t="n">
        <f aca="false">SUM(C369:F369)</f>
        <v>8220.59883015922</v>
      </c>
      <c r="E379" s="13" t="n">
        <f aca="false">SUM(G369:J369)</f>
        <v>11192.2269671543</v>
      </c>
      <c r="F379" s="13" t="n">
        <f aca="false">SUM(K369:N369)</f>
        <v>11046.2216889071</v>
      </c>
      <c r="G379" s="13" t="n">
        <f aca="false">SUM(O369:R369)</f>
        <v>11470.7121844051</v>
      </c>
    </row>
    <row r="380" customFormat="false" ht="15" hidden="false" customHeight="false" outlineLevel="0" collapsed="false">
      <c r="A380" s="5" t="s">
        <v>287</v>
      </c>
      <c r="B380" s="0" t="s">
        <v>116</v>
      </c>
      <c r="C380" s="14" t="n">
        <f aca="false">C379/C375</f>
        <v>0.371748802190281</v>
      </c>
      <c r="D380" s="14" t="n">
        <f aca="false">D379/D375</f>
        <v>0.800341154005108</v>
      </c>
      <c r="E380" s="14" t="n">
        <f aca="false">E379/E375</f>
        <v>0.828787041186187</v>
      </c>
      <c r="F380" s="14" t="n">
        <f aca="false">F379/F375</f>
        <v>0.811226625737184</v>
      </c>
      <c r="G380" s="14" t="n">
        <f aca="false">G379/G375</f>
        <v>0.805075595852833</v>
      </c>
    </row>
    <row r="381" customFormat="false" ht="15" hidden="false" customHeight="false" outlineLevel="0" collapsed="false">
      <c r="A381" s="5" t="s">
        <v>285</v>
      </c>
      <c r="B381" s="0" t="s">
        <v>25</v>
      </c>
      <c r="C381" s="13" t="n">
        <f aca="false">a25_ni</f>
        <v>554.5</v>
      </c>
      <c r="D381" s="13" t="n">
        <f aca="false">SUM(C371:F371)</f>
        <v>5533.53896450827</v>
      </c>
      <c r="E381" s="13" t="n">
        <f aca="false">SUM(G371:J371)</f>
        <v>7595.96834163186</v>
      </c>
      <c r="F381" s="13" t="n">
        <f aca="false">SUM(K371:N371)</f>
        <v>7537.19082020224</v>
      </c>
      <c r="G381" s="13" t="n">
        <f aca="false">SUM(O371:R371)</f>
        <v>7866.03067520274</v>
      </c>
    </row>
    <row r="382" customFormat="false" ht="15" hidden="false" customHeight="false" outlineLevel="0" collapsed="false">
      <c r="A382" s="5" t="s">
        <v>383</v>
      </c>
      <c r="B382" s="0" t="s">
        <v>25</v>
      </c>
      <c r="D382" s="13" t="n">
        <f aca="false">da_y</f>
        <v>320</v>
      </c>
      <c r="E382" s="13" t="n">
        <f aca="false">da_y</f>
        <v>320</v>
      </c>
      <c r="F382" s="13" t="n">
        <f aca="false">da_y</f>
        <v>320</v>
      </c>
      <c r="G382" s="13" t="n">
        <f aca="false">da_y</f>
        <v>320</v>
      </c>
    </row>
    <row r="383" customFormat="false" ht="15" hidden="false" customHeight="false" outlineLevel="0" collapsed="false">
      <c r="A383" s="5" t="s">
        <v>384</v>
      </c>
      <c r="B383" s="0" t="s">
        <v>25</v>
      </c>
      <c r="D383" s="13" t="n">
        <f aca="false">cap_2026</f>
        <v>450</v>
      </c>
      <c r="E383" s="13" t="n">
        <f aca="false">cap_2027</f>
        <v>470</v>
      </c>
      <c r="F383" s="13" t="n">
        <f aca="false">cap_2028</f>
        <v>470</v>
      </c>
      <c r="G383" s="13" t="n">
        <f aca="false">cap_2029</f>
        <v>470</v>
      </c>
    </row>
    <row r="384" customFormat="false" ht="15" hidden="false" customHeight="false" outlineLevel="0" collapsed="false">
      <c r="A384" s="5" t="s">
        <v>385</v>
      </c>
      <c r="B384" s="0" t="s">
        <v>25</v>
      </c>
      <c r="D384" s="13" t="n">
        <f aca="false">D381+D382-D383</f>
        <v>5403.53896450827</v>
      </c>
      <c r="E384" s="13" t="n">
        <f aca="false">E381+E382-E383</f>
        <v>7445.96834163186</v>
      </c>
      <c r="F384" s="13" t="n">
        <f aca="false">F381+F382-F383</f>
        <v>7387.19082020224</v>
      </c>
      <c r="G384" s="13" t="n">
        <f aca="false">G381+G382-G383</f>
        <v>7716.03067520274</v>
      </c>
    </row>
    <row r="385" customFormat="false" ht="17.15" hidden="false" customHeight="false" outlineLevel="0" collapsed="false">
      <c r="A385" s="5" t="s">
        <v>386</v>
      </c>
      <c r="B385" s="0" t="s">
        <v>25</v>
      </c>
      <c r="D385" s="13" t="n">
        <f aca="false">MAX(0,payout*(SUM(D371:F371)+0.75*(D382-D383)))</f>
        <v>918.767792901653</v>
      </c>
      <c r="E385" s="13" t="n">
        <f aca="false">MAX(0,payout*E384)</f>
        <v>1489.19366832637</v>
      </c>
      <c r="F385" s="13" t="n">
        <f aca="false">MAX(0,payout*F384)</f>
        <v>1477.43816404045</v>
      </c>
      <c r="G385" s="13" t="n">
        <f aca="false">MAX(0,payout*G384)</f>
        <v>1543.20613504055</v>
      </c>
      <c r="T385" s="8" t="s">
        <v>387</v>
      </c>
    </row>
    <row r="386" customFormat="false" ht="17.15" hidden="false" customHeight="false" outlineLevel="0" collapsed="false">
      <c r="A386" s="5" t="s">
        <v>388</v>
      </c>
      <c r="B386" s="0" t="s">
        <v>25</v>
      </c>
      <c r="C386" s="13" t="n">
        <f aca="false">eq25</f>
        <v>1399.1</v>
      </c>
      <c r="D386" s="13" t="n">
        <f aca="false">eq_j+SUM(D371:F371)-D385</f>
        <v>6176.87117160661</v>
      </c>
      <c r="E386" s="13" t="n">
        <f aca="false">D386+E381-E385</f>
        <v>12283.6458449121</v>
      </c>
      <c r="F386" s="13" t="n">
        <f aca="false">E386+F381-F385</f>
        <v>18343.3985010739</v>
      </c>
      <c r="G386" s="13" t="n">
        <f aca="false">F386+G381-G385</f>
        <v>24666.2230412361</v>
      </c>
      <c r="T386" s="8" t="s">
        <v>389</v>
      </c>
    </row>
    <row r="387" customFormat="false" ht="15" hidden="false" customHeight="false" outlineLevel="0" collapsed="false">
      <c r="A387" s="5" t="s">
        <v>390</v>
      </c>
      <c r="B387" s="0" t="s">
        <v>25</v>
      </c>
      <c r="D387" s="13" t="n">
        <f aca="false">nc_j+(SUM(D371:F371)+0.75*(D382-D383))-D385</f>
        <v>3831.47117160661</v>
      </c>
      <c r="E387" s="13" t="n">
        <f aca="false">D387+E384-E385</f>
        <v>9788.2458449121</v>
      </c>
      <c r="F387" s="13" t="n">
        <f aca="false">E387+F384-F385</f>
        <v>15697.9985010739</v>
      </c>
      <c r="G387" s="13" t="n">
        <f aca="false">F387+G384-G385</f>
        <v>21870.8230412361</v>
      </c>
    </row>
    <row r="388" customFormat="false" ht="15" hidden="false" customHeight="false" outlineLevel="0" collapsed="false">
      <c r="A388" s="5" t="s">
        <v>391</v>
      </c>
      <c r="B388" s="5" t="s">
        <v>159</v>
      </c>
      <c r="D388" s="13" t="n">
        <f aca="false">sh0-D385/bb_px*1000</f>
        <v>1572.01194278074</v>
      </c>
      <c r="E388" s="13" t="n">
        <f aca="false">D388-E385/bb_px*1000</f>
        <v>1455.25822515421</v>
      </c>
      <c r="F388" s="13" t="n">
        <f aca="false">E388-F385/bb_px*1000</f>
        <v>1339.42614643681</v>
      </c>
      <c r="G388" s="13" t="n">
        <f aca="false">F388-G385/bb_px*1000</f>
        <v>1218.437817543</v>
      </c>
    </row>
    <row r="389" customFormat="false" ht="17.15" hidden="false" customHeight="false" outlineLevel="0" collapsed="false">
      <c r="A389" s="0" t="s">
        <v>392</v>
      </c>
      <c r="B389" s="0" t="s">
        <v>78</v>
      </c>
      <c r="C389" s="17" t="n">
        <f aca="false">a25_eps</f>
        <v>341.4</v>
      </c>
      <c r="D389" s="17" t="n">
        <f aca="false">D381/(D388+dil)*1000</f>
        <v>3484.62293698385</v>
      </c>
      <c r="E389" s="17" t="n">
        <f aca="false">E381/(E388+dil)*1000</f>
        <v>5162.99075572885</v>
      </c>
      <c r="F389" s="17" t="n">
        <f aca="false">F381/(F388+dil)*1000</f>
        <v>5560.85234946007</v>
      </c>
      <c r="G389" s="17" t="n">
        <f aca="false">G381/(G388+dil)*1000</f>
        <v>6372.2805194141</v>
      </c>
    </row>
    <row r="390" customFormat="false" ht="17.15" hidden="false" customHeight="false" outlineLevel="0" collapsed="false">
      <c r="A390" s="5" t="s">
        <v>393</v>
      </c>
      <c r="B390" s="0" t="s">
        <v>78</v>
      </c>
      <c r="D390" s="17" t="n">
        <f aca="false">D386/D388*1000</f>
        <v>3929.27750960995</v>
      </c>
      <c r="E390" s="17" t="n">
        <f aca="false">E386/E388*1000</f>
        <v>8440.87024047599</v>
      </c>
      <c r="F390" s="17" t="n">
        <f aca="false">F386/F388*1000</f>
        <v>13694.9682144638</v>
      </c>
      <c r="G390" s="17" t="n">
        <f aca="false">G386/G388*1000</f>
        <v>20244.1377689474</v>
      </c>
    </row>
    <row r="391" customFormat="false" ht="17.15" hidden="false" customHeight="false" outlineLevel="0" collapsed="false">
      <c r="A391" s="0" t="s">
        <v>394</v>
      </c>
      <c r="B391" s="0" t="s">
        <v>116</v>
      </c>
      <c r="D391" s="21" t="n">
        <f aca="false">D381/D386</f>
        <v>0.895848207089769</v>
      </c>
      <c r="E391" s="21" t="n">
        <f aca="false">E381/E386</f>
        <v>0.618380604385311</v>
      </c>
      <c r="F391" s="21" t="n">
        <f aca="false">F381/F386</f>
        <v>0.410893914765085</v>
      </c>
      <c r="G391" s="21" t="n">
        <f aca="false">G381/G386</f>
        <v>0.318898870818309</v>
      </c>
    </row>
    <row r="392" customFormat="false" ht="15" hidden="false" customHeight="false" outlineLevel="0" collapsed="false">
      <c r="A392" s="5" t="s">
        <v>395</v>
      </c>
      <c r="B392" s="0" t="s">
        <v>78</v>
      </c>
      <c r="E392" s="17" t="n">
        <f aca="false">E384/(E388+dil)*1000</f>
        <v>5061.0355370486</v>
      </c>
      <c r="F392" s="17" t="n">
        <f aca="false">F384/(F388+dil)*1000</f>
        <v>5450.18408162436</v>
      </c>
      <c r="G392" s="17" t="n">
        <f aca="false">G384/(G388+dil)*1000</f>
        <v>6250.76534646603</v>
      </c>
    </row>
    <row r="393" customFormat="false" ht="17.15" hidden="false" customHeight="false" outlineLevel="0" collapsed="false">
      <c r="A393" s="5" t="s">
        <v>396</v>
      </c>
      <c r="B393" s="0" t="s">
        <v>25</v>
      </c>
      <c r="D393" s="18" t="n">
        <f aca="false">ABS(C364-q1_rev)+ABS(D369-g2_op)+ABS(C375-2337.6)</f>
        <v>0</v>
      </c>
    </row>
    <row r="410" customFormat="false" ht="17.15" hidden="false" customHeight="false" outlineLevel="0" collapsed="false">
      <c r="A410" s="3" t="s">
        <v>677</v>
      </c>
    </row>
    <row r="411" customFormat="false" ht="17.15" hidden="false" customHeight="false" outlineLevel="0" collapsed="false">
      <c r="A411" s="12" t="s">
        <v>352</v>
      </c>
      <c r="B411" s="6" t="s">
        <v>15</v>
      </c>
      <c r="C411" s="12" t="s">
        <v>353</v>
      </c>
      <c r="D411" s="12" t="s">
        <v>354</v>
      </c>
      <c r="E411" s="12" t="s">
        <v>355</v>
      </c>
      <c r="F411" s="12" t="s">
        <v>356</v>
      </c>
      <c r="G411" s="12" t="s">
        <v>357</v>
      </c>
      <c r="H411" s="12" t="s">
        <v>358</v>
      </c>
      <c r="I411" s="12" t="s">
        <v>359</v>
      </c>
      <c r="J411" s="12" t="s">
        <v>360</v>
      </c>
      <c r="K411" s="12" t="s">
        <v>361</v>
      </c>
      <c r="L411" s="12" t="s">
        <v>362</v>
      </c>
      <c r="M411" s="12" t="s">
        <v>363</v>
      </c>
      <c r="N411" s="12" t="s">
        <v>364</v>
      </c>
      <c r="O411" s="12" t="s">
        <v>365</v>
      </c>
      <c r="P411" s="12" t="s">
        <v>366</v>
      </c>
      <c r="Q411" s="12" t="s">
        <v>367</v>
      </c>
      <c r="R411" s="12" t="s">
        <v>368</v>
      </c>
      <c r="S411" s="12"/>
      <c r="T411" s="6" t="s">
        <v>343</v>
      </c>
    </row>
    <row r="412" customFormat="false" ht="17.15" hidden="false" customHeight="false" outlineLevel="0" collapsed="false">
      <c r="A412" s="5" t="s">
        <v>369</v>
      </c>
      <c r="B412" s="0" t="s">
        <v>317</v>
      </c>
      <c r="C412" s="19" t="n">
        <f aca="false">Units!H4*1</f>
        <v>10.72</v>
      </c>
      <c r="D412" s="19" t="n">
        <f aca="false">Units!I4*1</f>
        <v>14.3197859923946</v>
      </c>
      <c r="E412" s="19" t="n">
        <f aca="false">Units!J4*1*1</f>
        <v>17.6469939469536</v>
      </c>
      <c r="F412" s="19" t="n">
        <f aca="false">Units!K4*1*1</f>
        <v>19.4448271931715</v>
      </c>
      <c r="G412" s="19" t="n">
        <f aca="false">Units!L4*1*1</f>
        <v>20.5604014966272</v>
      </c>
      <c r="H412" s="19" t="n">
        <f aca="false">Units!M4*1*1</f>
        <v>20.6529788219672</v>
      </c>
      <c r="I412" s="19" t="n">
        <f aca="false">Units!N4*1*1</f>
        <v>20.3092156690391</v>
      </c>
      <c r="J412" s="19" t="n">
        <f aca="false">Units!O4*1*1</f>
        <v>20.4006619798858</v>
      </c>
      <c r="K412" s="19" t="n">
        <f aca="false">Units!P4*1*1</f>
        <v>20.492520046061</v>
      </c>
      <c r="L412" s="19" t="n">
        <f aca="false">Units!Q4*1*1</f>
        <v>20.5847917215753</v>
      </c>
      <c r="M412" s="19" t="n">
        <f aca="false">Units!R4*1*1</f>
        <v>20.6774788687878</v>
      </c>
      <c r="N412" s="19" t="n">
        <f aca="false">Units!S4*1*1</f>
        <v>20.8499966018633</v>
      </c>
      <c r="O412" s="19" t="n">
        <f aca="false">Units!T4*1*1</f>
        <v>21.235846897313</v>
      </c>
      <c r="P412" s="19" t="n">
        <f aca="false">Units!U4*1*1</f>
        <v>21.628837743111</v>
      </c>
      <c r="Q412" s="19" t="n">
        <f aca="false">Units!V4*1*1</f>
        <v>22.0291012823706</v>
      </c>
      <c r="R412" s="19" t="n">
        <f aca="false">Units!W4*1*1</f>
        <v>21.5407648571837</v>
      </c>
      <c r="T412" s="8" t="s">
        <v>370</v>
      </c>
    </row>
    <row r="413" customFormat="false" ht="15" hidden="false" customHeight="false" outlineLevel="0" collapsed="false">
      <c r="A413" s="5" t="s">
        <v>371</v>
      </c>
      <c r="B413" s="0" t="s">
        <v>324</v>
      </c>
      <c r="C413" s="19" t="n">
        <f aca="false">Units!H7*1</f>
        <v>40.1757580440862</v>
      </c>
      <c r="D413" s="19" t="n">
        <f aca="false">Units!I7*1</f>
        <v>46.6667956905857</v>
      </c>
      <c r="E413" s="19" t="n">
        <f aca="false">Units!J7*1</f>
        <v>48.944548236035</v>
      </c>
      <c r="F413" s="19" t="n">
        <f aca="false">Units!K7*1</f>
        <v>52.3600980030596</v>
      </c>
      <c r="G413" s="19" t="n">
        <f aca="false">Units!L7*1</f>
        <v>55.3640629793669</v>
      </c>
      <c r="H413" s="19" t="n">
        <f aca="false">Units!M7*1</f>
        <v>58.5403692216961</v>
      </c>
      <c r="I413" s="19" t="n">
        <f aca="false">Units!N7*1</f>
        <v>61.898904166222</v>
      </c>
      <c r="J413" s="19" t="n">
        <f aca="false">Units!O7*1</f>
        <v>65.4501225038245</v>
      </c>
      <c r="K413" s="19" t="n">
        <f aca="false">Units!P7*1</f>
        <v>69.2050787242086</v>
      </c>
      <c r="L413" s="19" t="n">
        <f aca="false">Units!Q7*1</f>
        <v>73.1754615271202</v>
      </c>
      <c r="M413" s="19" t="n">
        <f aca="false">Units!R7*1</f>
        <v>77.3736302077775</v>
      </c>
      <c r="N413" s="19" t="n">
        <f aca="false">Units!S7*1</f>
        <v>80.4321433873819</v>
      </c>
      <c r="O413" s="19" t="n">
        <f aca="false">Units!T7*1</f>
        <v>84.4542491025558</v>
      </c>
      <c r="P413" s="19" t="n">
        <f aca="false">Units!U7*1</f>
        <v>88.6774850338687</v>
      </c>
      <c r="Q413" s="19" t="n">
        <f aca="false">Units!V7*1</f>
        <v>93.1119089388012</v>
      </c>
      <c r="R413" s="19" t="n">
        <f aca="false">Units!W7*1</f>
        <v>94.0045560318226</v>
      </c>
    </row>
    <row r="414" customFormat="false" ht="17.15" hidden="false" customHeight="false" outlineLevel="0" collapsed="false">
      <c r="A414" s="5" t="s">
        <v>280</v>
      </c>
      <c r="B414" s="0" t="s">
        <v>25</v>
      </c>
      <c r="C414" s="13" t="n">
        <f aca="false">q1_rev</f>
        <v>1767.1</v>
      </c>
      <c r="D414" s="13" t="n">
        <f aca="false">g2_rev</f>
        <v>2390</v>
      </c>
      <c r="E414" s="13" t="n">
        <f aca="false">E412*kx_k*fx</f>
        <v>2908.95550407292</v>
      </c>
      <c r="F414" s="13" t="n">
        <f aca="false">F412*kx_k*fx</f>
        <v>3205.31288554602</v>
      </c>
      <c r="G414" s="13" t="n">
        <f aca="false">G412*kx_k*fx</f>
        <v>3389.20573551212</v>
      </c>
      <c r="H414" s="13" t="n">
        <f aca="false">H412*kx_k*fx</f>
        <v>3404.46631308752</v>
      </c>
      <c r="I414" s="13" t="n">
        <f aca="false">I412*kx_k*fx</f>
        <v>3347.79990753349</v>
      </c>
      <c r="J414" s="13" t="n">
        <f aca="false">J412*kx_k*fx</f>
        <v>3362.87404707614</v>
      </c>
      <c r="K414" s="13" t="n">
        <f aca="false">K412*kx_k*fx</f>
        <v>3378.01606095097</v>
      </c>
      <c r="L414" s="13" t="n">
        <f aca="false">L412*kx_k*fx</f>
        <v>3393.22625477572</v>
      </c>
      <c r="M414" s="13" t="n">
        <f aca="false">M412*kx_k*fx</f>
        <v>3408.5049355443</v>
      </c>
      <c r="N414" s="13" t="n">
        <f aca="false">N412*kx_k*fx</f>
        <v>3436.94300327916</v>
      </c>
      <c r="O414" s="13" t="n">
        <f aca="false">O412*kx_k*fx</f>
        <v>3500.54711308226</v>
      </c>
      <c r="P414" s="13" t="n">
        <f aca="false">P412*kx_k*fx</f>
        <v>3565.32828132943</v>
      </c>
      <c r="Q414" s="13" t="n">
        <f aca="false">Q412*kx_k*fx</f>
        <v>3631.30829067883</v>
      </c>
      <c r="R414" s="13" t="n">
        <f aca="false">R412*kx_k*fx</f>
        <v>3550.8102219337</v>
      </c>
      <c r="T414" s="5" t="s">
        <v>372</v>
      </c>
    </row>
    <row r="415" customFormat="false" ht="17.15" hidden="false" customHeight="false" outlineLevel="0" collapsed="false">
      <c r="A415" s="5" t="s">
        <v>373</v>
      </c>
      <c r="B415" s="0" t="s">
        <v>374</v>
      </c>
      <c r="C415" s="20" t="n">
        <f aca="false">C416/C413</f>
        <v>9.63267449926724</v>
      </c>
      <c r="D415" s="20" t="n">
        <f aca="false">D416/D413</f>
        <v>9.21426023871499</v>
      </c>
      <c r="E415" s="20" t="n">
        <f aca="false">$D415*(1-cd_A_hi)^(1/4)</f>
        <v>8.76827045370406</v>
      </c>
      <c r="F415" s="20" t="n">
        <f aca="false">$D415*(1-cd_A_hi)^(2/4)</f>
        <v>8.34386752245903</v>
      </c>
      <c r="G415" s="20" t="n">
        <f aca="false">$D415*(1-cd_A_hi)^(3/4)</f>
        <v>7.94000659536412</v>
      </c>
      <c r="H415" s="20" t="n">
        <f aca="false">$D415*(1-cd_A_hi)^(4/4)</f>
        <v>7.55569339574629</v>
      </c>
      <c r="I415" s="20" t="n">
        <f aca="false">$D415*(1-cd_A_hi)^(5/4)</f>
        <v>7.18998177203733</v>
      </c>
      <c r="J415" s="20" t="n">
        <f aca="false">$D415*(1-cd_A_hi)^(6/4)</f>
        <v>6.8419713684164</v>
      </c>
      <c r="K415" s="20" t="n">
        <f aca="false">$D415*(1-cd_A_hi)^(7/4)</f>
        <v>6.51080540819858</v>
      </c>
      <c r="L415" s="20" t="n">
        <f aca="false">$D415*(1-cd_A_hi)^(8/4)</f>
        <v>6.19566858451196</v>
      </c>
      <c r="M415" s="20" t="n">
        <f aca="false">$D415*(1-cd_A_hi)^(9/4)</f>
        <v>5.89578505307061</v>
      </c>
      <c r="N415" s="20" t="n">
        <f aca="false">$D415*(1-cd_A_hi)^(10/4)</f>
        <v>5.61041652210145</v>
      </c>
      <c r="O415" s="20" t="n">
        <f aca="false">$D415*(1-cd_A_hi)^(11/4)</f>
        <v>5.33886043472283</v>
      </c>
      <c r="P415" s="20" t="n">
        <f aca="false">$D415*(1-cd_A_hi)^(12/4)</f>
        <v>5.08044823929981</v>
      </c>
      <c r="Q415" s="20" t="n">
        <f aca="false">$D415*(1-cd_A_hi)^(13/4)</f>
        <v>4.8345437435179</v>
      </c>
      <c r="R415" s="20" t="n">
        <f aca="false">$D415*(1-cd_A_hi)^(14/4)</f>
        <v>4.60054154812319</v>
      </c>
    </row>
    <row r="416" customFormat="false" ht="15" hidden="false" customHeight="false" outlineLevel="0" collapsed="false">
      <c r="A416" s="5" t="s">
        <v>375</v>
      </c>
      <c r="B416" s="0" t="s">
        <v>25</v>
      </c>
      <c r="C416" s="13" t="n">
        <f aca="false">q1_rev-q1_gp</f>
        <v>387</v>
      </c>
      <c r="D416" s="13" t="n">
        <f aca="false">g2_rev-g2_op-g2_ox</f>
        <v>430</v>
      </c>
      <c r="E416" s="13" t="n">
        <f aca="false">E413*E415</f>
        <v>429.159036167919</v>
      </c>
      <c r="F416" s="13" t="n">
        <f aca="false">F413*F415</f>
        <v>436.885721200501</v>
      </c>
      <c r="G416" s="13" t="n">
        <f aca="false">G413*G415</f>
        <v>439.591025202327</v>
      </c>
      <c r="H416" s="13" t="n">
        <f aca="false">H413*H415</f>
        <v>442.313081112919</v>
      </c>
      <c r="I416" s="13" t="n">
        <f aca="false">I413*I415</f>
        <v>445.051992664222</v>
      </c>
      <c r="J416" s="13" t="n">
        <f aca="false">J413*J415</f>
        <v>447.807864230513</v>
      </c>
      <c r="K416" s="13" t="n">
        <f aca="false">K413*K415</f>
        <v>450.580800832386</v>
      </c>
      <c r="L416" s="13" t="n">
        <f aca="false">L413*L415</f>
        <v>453.370908140742</v>
      </c>
      <c r="M416" s="13" t="n">
        <f aca="false">M413*M415</f>
        <v>456.178292480827</v>
      </c>
      <c r="N416" s="13" t="n">
        <f aca="false">N413*N415</f>
        <v>451.2578261686</v>
      </c>
      <c r="O416" s="13" t="n">
        <f aca="false">O413*O415</f>
        <v>450.889449077861</v>
      </c>
      <c r="P416" s="13" t="n">
        <f aca="false">P413*P415</f>
        <v>450.521372705853</v>
      </c>
      <c r="Q416" s="13" t="n">
        <f aca="false">Q413*Q415</f>
        <v>450.15359680709</v>
      </c>
      <c r="R416" s="13" t="n">
        <f aca="false">R413*R415</f>
        <v>432.471865737274</v>
      </c>
      <c r="T416" s="5" t="s">
        <v>376</v>
      </c>
    </row>
    <row r="417" customFormat="false" ht="15" hidden="false" customHeight="false" outlineLevel="0" collapsed="false">
      <c r="A417" s="5" t="s">
        <v>286</v>
      </c>
      <c r="B417" s="0" t="s">
        <v>116</v>
      </c>
      <c r="C417" s="14" t="n">
        <f aca="false">1-C416/C414</f>
        <v>0.780997113915455</v>
      </c>
      <c r="D417" s="14" t="n">
        <f aca="false">1-D416/D414</f>
        <v>0.820083682008368</v>
      </c>
      <c r="E417" s="14" t="n">
        <f aca="false">1-E416/E414</f>
        <v>0.85246971445007</v>
      </c>
      <c r="F417" s="14" t="n">
        <f aca="false">1-F416/F414</f>
        <v>0.863699508659331</v>
      </c>
      <c r="G417" s="14" t="n">
        <f aca="false">1-G416/G414</f>
        <v>0.870296742214174</v>
      </c>
      <c r="H417" s="14" t="n">
        <f aca="false">1-H416/H414</f>
        <v>0.870078584883461</v>
      </c>
      <c r="I417" s="14" t="n">
        <f aca="false">1-I416/I414</f>
        <v>0.867061352244281</v>
      </c>
      <c r="J417" s="14" t="n">
        <f aca="false">1-J416/J414</f>
        <v>0.866837753076164</v>
      </c>
      <c r="K417" s="14" t="n">
        <f aca="false">1-K416/K414</f>
        <v>0.866613777820364</v>
      </c>
      <c r="L417" s="14" t="n">
        <f aca="false">1-L416/L414</f>
        <v>0.866389425844311</v>
      </c>
      <c r="M417" s="14" t="n">
        <f aca="false">1-M416/M414</f>
        <v>0.866164696514374</v>
      </c>
      <c r="N417" s="14" t="n">
        <f aca="false">1-N416/N414</f>
        <v>0.868703721377382</v>
      </c>
      <c r="O417" s="14" t="n">
        <f aca="false">1-O416/O414</f>
        <v>0.871194577729637</v>
      </c>
      <c r="P417" s="14" t="n">
        <f aca="false">1-P416/P414</f>
        <v>0.873638179388669</v>
      </c>
      <c r="Q417" s="14" t="n">
        <f aca="false">1-Q416/Q414</f>
        <v>0.876035422835735</v>
      </c>
      <c r="R417" s="14" t="n">
        <f aca="false">1-R416/R414</f>
        <v>0.878204736748291</v>
      </c>
    </row>
    <row r="418" customFormat="false" ht="17.15" hidden="false" customHeight="false" outlineLevel="0" collapsed="false">
      <c r="A418" s="5" t="s">
        <v>377</v>
      </c>
      <c r="B418" s="0" t="s">
        <v>25</v>
      </c>
      <c r="C418" s="13" t="n">
        <f aca="false">q1_gp-q1_op</f>
        <v>110.1</v>
      </c>
      <c r="D418" s="13" t="n">
        <f aca="false">g2_ox</f>
        <v>70</v>
      </c>
      <c r="E418" s="13" t="n">
        <f aca="false">(g2_ox-ox_var*g2_rev)*(1+ox_g)^(1/4)+ox_var*E414</f>
        <v>76.3011961075221</v>
      </c>
      <c r="F418" s="13" t="n">
        <f aca="false">(g2_ox-ox_var*g2_rev)*(1+ox_g)^(2/4)+ox_var*F414</f>
        <v>80.4032167561042</v>
      </c>
      <c r="G418" s="13" t="n">
        <f aca="false">(g2_ox-ox_var*g2_rev)*(1+ox_g)^(3/4)+ox_var*G414</f>
        <v>83.4080442426069</v>
      </c>
      <c r="H418" s="13" t="n">
        <f aca="false">(g2_ox-ox_var*g2_rev)*(1+ox_g)^(4/4)+ox_var*H414</f>
        <v>84.7546631308752</v>
      </c>
      <c r="I418" s="13" t="n">
        <f aca="false">(g2_ox-ox_var*g2_rev)*(1+ox_g)^(5/4)+ox_var*I414</f>
        <v>85.4108042488071</v>
      </c>
      <c r="J418" s="13" t="n">
        <f aca="false">(g2_ox-ox_var*g2_rev)*(1+ox_g)^(6/4)+ox_var*J414</f>
        <v>86.8138371614698</v>
      </c>
      <c r="K418" s="13" t="n">
        <f aca="false">(g2_ox-ox_var*g2_rev)*(1+ox_g)^(7/4)+ox_var*K414</f>
        <v>88.247746185744</v>
      </c>
      <c r="L418" s="13" t="n">
        <f aca="false">(g2_ox-ox_var*g2_rev)*(1+ox_g)^(8/4)+ox_var*L414</f>
        <v>89.7132625477572</v>
      </c>
      <c r="M418" s="13" t="n">
        <f aca="false">(g2_ox-ox_var*g2_rev)*(1+ox_g)^(9/4)+ox_var*M414</f>
        <v>91.2111350462625</v>
      </c>
      <c r="N418" s="13" t="n">
        <f aca="false">(g2_ox-ox_var*g2_rev)*(1+ox_g)^(10/4)+ox_var*N414</f>
        <v>92.8730363925709</v>
      </c>
      <c r="O418" s="13" t="n">
        <f aca="false">(g2_ox-ox_var*g2_rev)*(1+ox_g)^(11/4)+ox_var*O414</f>
        <v>94.9198152646803</v>
      </c>
      <c r="P418" s="13" t="n">
        <f aca="false">(g2_ox-ox_var*g2_rev)*(1+ox_g)^(12/4)+ox_var*P414</f>
        <v>97.0123828132943</v>
      </c>
      <c r="Q418" s="13" t="n">
        <f aca="false">(g2_ox-ox_var*g2_rev)*(1+ox_g)^(13/4)+ox_var*Q414</f>
        <v>99.1517771666897</v>
      </c>
      <c r="R418" s="13" t="n">
        <f aca="false">(g2_ox-ox_var*g2_rev)*(1+ox_g)^(14/4)+ox_var*R414</f>
        <v>99.8620692150942</v>
      </c>
      <c r="T418" s="5" t="s">
        <v>378</v>
      </c>
    </row>
    <row r="419" customFormat="false" ht="15" hidden="false" customHeight="false" outlineLevel="0" collapsed="false">
      <c r="A419" s="5" t="s">
        <v>284</v>
      </c>
      <c r="B419" s="0" t="s">
        <v>25</v>
      </c>
      <c r="C419" s="13" t="n">
        <f aca="false">C414-C416-C418</f>
        <v>1270</v>
      </c>
      <c r="D419" s="13" t="n">
        <f aca="false">D414-D416-D418</f>
        <v>1890</v>
      </c>
      <c r="E419" s="13" t="n">
        <f aca="false">E414-E416-E418</f>
        <v>2403.49527179748</v>
      </c>
      <c r="F419" s="13" t="n">
        <f aca="false">F414-F416-F418</f>
        <v>2688.02394758942</v>
      </c>
      <c r="G419" s="13" t="n">
        <f aca="false">G414-G416-G418</f>
        <v>2866.20666606719</v>
      </c>
      <c r="H419" s="13" t="n">
        <f aca="false">H414-H416-H418</f>
        <v>2877.39856884373</v>
      </c>
      <c r="I419" s="13" t="n">
        <f aca="false">I414-I416-I418</f>
        <v>2817.33711062046</v>
      </c>
      <c r="J419" s="13" t="n">
        <f aca="false">J414-J416-J418</f>
        <v>2828.25234568416</v>
      </c>
      <c r="K419" s="13" t="n">
        <f aca="false">K414-K416-K418</f>
        <v>2839.18751393284</v>
      </c>
      <c r="L419" s="13" t="n">
        <f aca="false">L414-L416-L418</f>
        <v>2850.14208408722</v>
      </c>
      <c r="M419" s="13" t="n">
        <f aca="false">M414-M416-M418</f>
        <v>2861.11550801721</v>
      </c>
      <c r="N419" s="13" t="n">
        <f aca="false">N414-N416-N418</f>
        <v>2892.81214071799</v>
      </c>
      <c r="O419" s="13" t="n">
        <f aca="false">O414-O416-O418</f>
        <v>2954.73784873972</v>
      </c>
      <c r="P419" s="13" t="n">
        <f aca="false">P414-P416-P418</f>
        <v>3017.79452581028</v>
      </c>
      <c r="Q419" s="13" t="n">
        <f aca="false">Q414-Q416-Q418</f>
        <v>3082.00291670505</v>
      </c>
      <c r="R419" s="13" t="n">
        <f aca="false">R414-R416-R418</f>
        <v>3018.47628698134</v>
      </c>
    </row>
    <row r="421" customFormat="false" ht="17.15" hidden="false" customHeight="false" outlineLevel="0" collapsed="false">
      <c r="A421" s="5" t="s">
        <v>285</v>
      </c>
      <c r="B421" s="0" t="s">
        <v>25</v>
      </c>
      <c r="C421" s="13" t="n">
        <f aca="false">q1_ni</f>
        <v>842.2</v>
      </c>
      <c r="D421" s="13" t="n">
        <f aca="false">g2_ni</f>
        <v>1270</v>
      </c>
      <c r="E421" s="13" t="n">
        <f aca="false">(E419+nonop_q+rf*nc_j/4)*(1-tax)</f>
        <v>1624.44266482229</v>
      </c>
      <c r="F421" s="13" t="n">
        <f aca="false">(F419+nonop_q+rf*nc_j/4)*(1-tax)</f>
        <v>1817.9221643608</v>
      </c>
      <c r="G421" s="13" t="n">
        <f aca="false">(G419+nonop_q+rf*$D437/4)*(1-tax)</f>
        <v>1945.36262909337</v>
      </c>
      <c r="H421" s="13" t="n">
        <f aca="false">(H419+nonop_q+rf*$D437/4)*(1-tax)</f>
        <v>1952.97312298142</v>
      </c>
      <c r="I421" s="13" t="n">
        <f aca="false">(I419+nonop_q+rf*$D437/4)*(1-tax)</f>
        <v>1912.1313313896</v>
      </c>
      <c r="J421" s="13" t="n">
        <f aca="false">(J419+nonop_q+rf*$D437/4)*(1-tax)</f>
        <v>1919.55369123291</v>
      </c>
      <c r="K421" s="13" t="n">
        <f aca="false">(K419+nonop_q+rf*$E437/4)*(1-tax)</f>
        <v>1937.29843389561</v>
      </c>
      <c r="L421" s="13" t="n">
        <f aca="false">(L419+nonop_q+rf*$E437/4)*(1-tax)</f>
        <v>1944.74754160059</v>
      </c>
      <c r="M421" s="13" t="n">
        <f aca="false">(M419+nonop_q+rf*$E437/4)*(1-tax)</f>
        <v>1952.20946987298</v>
      </c>
      <c r="N421" s="13" t="n">
        <f aca="false">(N419+nonop_q+rf*$E437/4)*(1-tax)</f>
        <v>1973.76318010951</v>
      </c>
      <c r="O421" s="13" t="n">
        <f aca="false">(O419+nonop_q+rf*$F437/4)*(1-tax)</f>
        <v>2026.28756689493</v>
      </c>
      <c r="P421" s="13" t="n">
        <f aca="false">(P419+nonop_q+rf*$F437/4)*(1-tax)</f>
        <v>2069.16610730292</v>
      </c>
      <c r="Q421" s="13" t="n">
        <f aca="false">(Q419+nonop_q+rf*$F437/4)*(1-tax)</f>
        <v>2112.82781311136</v>
      </c>
      <c r="R421" s="13" t="n">
        <f aca="false">(R419+nonop_q+rf*$F437/4)*(1-tax)</f>
        <v>2069.62970489924</v>
      </c>
      <c r="T421" s="5" t="s">
        <v>379</v>
      </c>
    </row>
    <row r="422" customFormat="false" ht="17.15" hidden="false" customHeight="false" outlineLevel="0" collapsed="false">
      <c r="A422" s="5" t="s">
        <v>380</v>
      </c>
      <c r="B422" s="0" t="s">
        <v>78</v>
      </c>
      <c r="C422" s="17" t="n">
        <f aca="false">C421/(sh0+dil)*1000</f>
        <v>507.343332753891</v>
      </c>
      <c r="D422" s="17" t="n">
        <f aca="false">D421/(sh0+dil)*1000</f>
        <v>765.051095461222</v>
      </c>
      <c r="E422" s="17" t="n">
        <f aca="false">E421/(sh0+dil)*1000</f>
        <v>978.568220658454</v>
      </c>
      <c r="F422" s="17" t="n">
        <f aca="false">F421/(sh0+dil)*1000</f>
        <v>1095.12074276179</v>
      </c>
      <c r="G422" s="17" t="n">
        <f aca="false">G421/(sh0+dil)*1000</f>
        <v>1171.89118933639</v>
      </c>
      <c r="H422" s="17" t="n">
        <f aca="false">H421/(sh0+dil)*1000</f>
        <v>1176.47576940414</v>
      </c>
      <c r="I422" s="17" t="n">
        <f aca="false">I421/(sh0+dil)*1000</f>
        <v>1151.87257460263</v>
      </c>
      <c r="J422" s="17" t="n">
        <f aca="false">J421/(sh0+dil)*1000</f>
        <v>1156.34382226329</v>
      </c>
      <c r="K422" s="17" t="n">
        <f aca="false">K421/(sh0+dil)*1000</f>
        <v>1167.03329849381</v>
      </c>
      <c r="L422" s="17" t="n">
        <f aca="false">L421/(sh0+dil)*1000</f>
        <v>1171.52065913153</v>
      </c>
      <c r="M422" s="17" t="n">
        <f aca="false">M421/(sh0+dil)*1000</f>
        <v>1176.01574291031</v>
      </c>
      <c r="N422" s="17" t="n">
        <f aca="false">N421/(sh0+dil)*1000</f>
        <v>1188.99975049119</v>
      </c>
      <c r="O422" s="17" t="n">
        <f aca="false">O421/(sh0+dil)*1000</f>
        <v>1220.64056911214</v>
      </c>
      <c r="P422" s="17" t="n">
        <f aca="false">P421/(sh0+dil)*1000</f>
        <v>1246.47070636483</v>
      </c>
      <c r="Q422" s="17" t="n">
        <f aca="false">Q421/(sh0+dil)*1000</f>
        <v>1272.77262436361</v>
      </c>
      <c r="R422" s="17" t="n">
        <f aca="false">R421/(sh0+dil)*1000</f>
        <v>1246.74997868681</v>
      </c>
    </row>
    <row r="424" customFormat="false" ht="17.15" hidden="false" customHeight="false" outlineLevel="0" collapsed="false">
      <c r="A424" s="12" t="s">
        <v>381</v>
      </c>
      <c r="B424" s="6" t="s">
        <v>15</v>
      </c>
      <c r="C424" s="12" t="s">
        <v>338</v>
      </c>
      <c r="D424" s="12" t="s">
        <v>339</v>
      </c>
      <c r="E424" s="12" t="s">
        <v>340</v>
      </c>
      <c r="F424" s="12" t="s">
        <v>341</v>
      </c>
      <c r="G424" s="12" t="s">
        <v>342</v>
      </c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6" t="s">
        <v>343</v>
      </c>
    </row>
    <row r="425" customFormat="false" ht="17.15" hidden="false" customHeight="false" outlineLevel="0" collapsed="false">
      <c r="A425" s="5" t="s">
        <v>280</v>
      </c>
      <c r="B425" s="0" t="s">
        <v>25</v>
      </c>
      <c r="C425" s="13" t="n">
        <f aca="false">a25_rev</f>
        <v>2337.6</v>
      </c>
      <c r="D425" s="13" t="n">
        <f aca="false">SUM(C414:F414)</f>
        <v>10271.3683896189</v>
      </c>
      <c r="E425" s="13" t="n">
        <f aca="false">SUM(G414:J414)</f>
        <v>13504.3460032093</v>
      </c>
      <c r="F425" s="13" t="n">
        <f aca="false">SUM(K414:N414)</f>
        <v>13616.6902545502</v>
      </c>
      <c r="G425" s="13" t="n">
        <f aca="false">SUM(O414:R414)</f>
        <v>14247.9939070242</v>
      </c>
      <c r="T425" s="8" t="s">
        <v>382</v>
      </c>
    </row>
    <row r="426" customFormat="false" ht="15" hidden="false" customHeight="false" outlineLevel="0" collapsed="false">
      <c r="A426" s="5" t="s">
        <v>375</v>
      </c>
      <c r="B426" s="0" t="s">
        <v>25</v>
      </c>
      <c r="C426" s="13" t="n">
        <f aca="false">a25_rev-(p1_gp+p2_gp+p3_gp+p4_gp)</f>
        <v>1324.8</v>
      </c>
      <c r="D426" s="13" t="n">
        <f aca="false">SUM(C416:F416)</f>
        <v>1683.04475736842</v>
      </c>
      <c r="E426" s="13" t="n">
        <f aca="false">SUM(G416:J416)</f>
        <v>1774.76396320998</v>
      </c>
      <c r="F426" s="13" t="n">
        <f aca="false">SUM(K416:N416)</f>
        <v>1811.38782762256</v>
      </c>
      <c r="G426" s="13" t="n">
        <f aca="false">SUM(O416:R416)</f>
        <v>1784.03628432808</v>
      </c>
    </row>
    <row r="427" customFormat="false" ht="15" hidden="false" customHeight="false" outlineLevel="0" collapsed="false">
      <c r="A427" s="5" t="s">
        <v>286</v>
      </c>
      <c r="B427" s="0" t="s">
        <v>116</v>
      </c>
      <c r="C427" s="14" t="n">
        <f aca="false">1-C426/C425</f>
        <v>0.433264887063655</v>
      </c>
      <c r="D427" s="14" t="n">
        <f aca="false">1-D426/D425</f>
        <v>0.836142109451606</v>
      </c>
      <c r="E427" s="14" t="n">
        <f aca="false">1-E426/E425</f>
        <v>0.868578310805409</v>
      </c>
      <c r="F427" s="14" t="n">
        <f aca="false">1-F426/F425</f>
        <v>0.866972972597562</v>
      </c>
      <c r="G427" s="14" t="n">
        <f aca="false">1-G426/G425</f>
        <v>0.87478684396064</v>
      </c>
    </row>
    <row r="428" customFormat="false" ht="15" hidden="false" customHeight="false" outlineLevel="0" collapsed="false">
      <c r="A428" s="5" t="s">
        <v>377</v>
      </c>
      <c r="B428" s="0" t="s">
        <v>25</v>
      </c>
      <c r="D428" s="13" t="n">
        <f aca="false">SUM(C418:F418)</f>
        <v>336.804412863626</v>
      </c>
      <c r="E428" s="13" t="n">
        <f aca="false">SUM(G418:J418)</f>
        <v>340.387348783759</v>
      </c>
      <c r="F428" s="13" t="n">
        <f aca="false">SUM(K418:N418)</f>
        <v>362.045180172334</v>
      </c>
      <c r="G428" s="13" t="n">
        <f aca="false">SUM(O418:R418)</f>
        <v>390.946044459758</v>
      </c>
    </row>
    <row r="429" customFormat="false" ht="15" hidden="false" customHeight="false" outlineLevel="0" collapsed="false">
      <c r="A429" s="5" t="s">
        <v>284</v>
      </c>
      <c r="B429" s="0" t="s">
        <v>25</v>
      </c>
      <c r="C429" s="13" t="n">
        <f aca="false">p1_op+p2_op+p3_op+p4_op</f>
        <v>869</v>
      </c>
      <c r="D429" s="13" t="n">
        <f aca="false">SUM(C419:F419)</f>
        <v>8251.5192193869</v>
      </c>
      <c r="E429" s="13" t="n">
        <f aca="false">SUM(G419:J419)</f>
        <v>11389.1946912155</v>
      </c>
      <c r="F429" s="13" t="n">
        <f aca="false">SUM(K419:N419)</f>
        <v>11443.2572467553</v>
      </c>
      <c r="G429" s="13" t="n">
        <f aca="false">SUM(O419:R419)</f>
        <v>12073.0115782364</v>
      </c>
    </row>
    <row r="430" customFormat="false" ht="15" hidden="false" customHeight="false" outlineLevel="0" collapsed="false">
      <c r="A430" s="5" t="s">
        <v>287</v>
      </c>
      <c r="B430" s="0" t="s">
        <v>116</v>
      </c>
      <c r="C430" s="14" t="n">
        <f aca="false">C429/C425</f>
        <v>0.371748802190281</v>
      </c>
      <c r="D430" s="14" t="n">
        <f aca="false">D429/D425</f>
        <v>0.803351501609711</v>
      </c>
      <c r="E430" s="14" t="n">
        <f aca="false">E429/E425</f>
        <v>0.843372547512402</v>
      </c>
      <c r="F430" s="14" t="n">
        <f aca="false">F429/F425</f>
        <v>0.840384633331245</v>
      </c>
      <c r="G430" s="14" t="n">
        <f aca="false">G429/G425</f>
        <v>0.847348171049149</v>
      </c>
    </row>
    <row r="431" customFormat="false" ht="15" hidden="false" customHeight="false" outlineLevel="0" collapsed="false">
      <c r="A431" s="5" t="s">
        <v>285</v>
      </c>
      <c r="B431" s="0" t="s">
        <v>25</v>
      </c>
      <c r="C431" s="13" t="n">
        <f aca="false">a25_ni</f>
        <v>554.5</v>
      </c>
      <c r="D431" s="13" t="n">
        <f aca="false">SUM(C421:F421)</f>
        <v>5554.56482918309</v>
      </c>
      <c r="E431" s="13" t="n">
        <f aca="false">SUM(G421:J421)</f>
        <v>7730.02077469731</v>
      </c>
      <c r="F431" s="13" t="n">
        <f aca="false">SUM(K421:N421)</f>
        <v>7808.01862547869</v>
      </c>
      <c r="G431" s="13" t="n">
        <f aca="false">SUM(O421:R421)</f>
        <v>8277.91119220845</v>
      </c>
    </row>
    <row r="432" customFormat="false" ht="15" hidden="false" customHeight="false" outlineLevel="0" collapsed="false">
      <c r="A432" s="5" t="s">
        <v>383</v>
      </c>
      <c r="B432" s="0" t="s">
        <v>25</v>
      </c>
      <c r="D432" s="13" t="n">
        <f aca="false">da_y</f>
        <v>320</v>
      </c>
      <c r="E432" s="13" t="n">
        <f aca="false">da_y</f>
        <v>320</v>
      </c>
      <c r="F432" s="13" t="n">
        <f aca="false">da_y</f>
        <v>320</v>
      </c>
      <c r="G432" s="13" t="n">
        <f aca="false">da_y</f>
        <v>320</v>
      </c>
    </row>
    <row r="433" customFormat="false" ht="15" hidden="false" customHeight="false" outlineLevel="0" collapsed="false">
      <c r="A433" s="5" t="s">
        <v>384</v>
      </c>
      <c r="B433" s="0" t="s">
        <v>25</v>
      </c>
      <c r="D433" s="13" t="n">
        <f aca="false">cap_2026</f>
        <v>450</v>
      </c>
      <c r="E433" s="13" t="n">
        <f aca="false">cap_2027</f>
        <v>470</v>
      </c>
      <c r="F433" s="13" t="n">
        <f aca="false">cap_2028</f>
        <v>470</v>
      </c>
      <c r="G433" s="13" t="n">
        <f aca="false">cap_2029</f>
        <v>470</v>
      </c>
    </row>
    <row r="434" customFormat="false" ht="15" hidden="false" customHeight="false" outlineLevel="0" collapsed="false">
      <c r="A434" s="5" t="s">
        <v>385</v>
      </c>
      <c r="B434" s="0" t="s">
        <v>25</v>
      </c>
      <c r="D434" s="13" t="n">
        <f aca="false">D431+D432-D433</f>
        <v>5424.56482918309</v>
      </c>
      <c r="E434" s="13" t="n">
        <f aca="false">E431+E432-E433</f>
        <v>7580.02077469731</v>
      </c>
      <c r="F434" s="13" t="n">
        <f aca="false">F431+F432-F433</f>
        <v>7658.01862547869</v>
      </c>
      <c r="G434" s="13" t="n">
        <f aca="false">G431+G432-G433</f>
        <v>8127.91119220845</v>
      </c>
    </row>
    <row r="435" customFormat="false" ht="17.15" hidden="false" customHeight="false" outlineLevel="0" collapsed="false">
      <c r="A435" s="5" t="s">
        <v>386</v>
      </c>
      <c r="B435" s="0" t="s">
        <v>25</v>
      </c>
      <c r="D435" s="13" t="n">
        <f aca="false">MAX(0,payout*(SUM(D421:F421)+0.75*(D432-D433)))</f>
        <v>922.972965836618</v>
      </c>
      <c r="E435" s="13" t="n">
        <f aca="false">MAX(0,payout*E434)</f>
        <v>1516.00415493946</v>
      </c>
      <c r="F435" s="13" t="n">
        <f aca="false">MAX(0,payout*F434)</f>
        <v>1531.60372509574</v>
      </c>
      <c r="G435" s="13" t="n">
        <f aca="false">MAX(0,payout*G434)</f>
        <v>1625.58223844169</v>
      </c>
      <c r="T435" s="8" t="s">
        <v>387</v>
      </c>
    </row>
    <row r="436" customFormat="false" ht="17.15" hidden="false" customHeight="false" outlineLevel="0" collapsed="false">
      <c r="A436" s="5" t="s">
        <v>388</v>
      </c>
      <c r="B436" s="0" t="s">
        <v>25</v>
      </c>
      <c r="C436" s="13" t="n">
        <f aca="false">eq25</f>
        <v>1399.1</v>
      </c>
      <c r="D436" s="13" t="n">
        <f aca="false">eq_j+SUM(D421:F421)-D435</f>
        <v>6193.69186334647</v>
      </c>
      <c r="E436" s="13" t="n">
        <f aca="false">D436+E431-E435</f>
        <v>12407.7084831043</v>
      </c>
      <c r="F436" s="13" t="n">
        <f aca="false">E436+F431-F435</f>
        <v>18684.1233834873</v>
      </c>
      <c r="G436" s="13" t="n">
        <f aca="false">F436+G431-G435</f>
        <v>25336.452337254</v>
      </c>
      <c r="T436" s="8" t="s">
        <v>389</v>
      </c>
    </row>
    <row r="437" customFormat="false" ht="15" hidden="false" customHeight="false" outlineLevel="0" collapsed="false">
      <c r="A437" s="5" t="s">
        <v>390</v>
      </c>
      <c r="B437" s="0" t="s">
        <v>25</v>
      </c>
      <c r="D437" s="13" t="n">
        <f aca="false">nc_j+(SUM(D421:F421)+0.75*(D432-D433))-D435</f>
        <v>3848.29186334647</v>
      </c>
      <c r="E437" s="13" t="n">
        <f aca="false">D437+E434-E435</f>
        <v>9912.30848310432</v>
      </c>
      <c r="F437" s="13" t="n">
        <f aca="false">E437+F434-F435</f>
        <v>16038.7233834873</v>
      </c>
      <c r="G437" s="13" t="n">
        <f aca="false">F437+G434-G435</f>
        <v>22541.052337254</v>
      </c>
    </row>
    <row r="438" customFormat="false" ht="15" hidden="false" customHeight="false" outlineLevel="0" collapsed="false">
      <c r="A438" s="5" t="s">
        <v>391</v>
      </c>
      <c r="B438" s="5" t="s">
        <v>159</v>
      </c>
      <c r="D438" s="13" t="n">
        <f aca="false">sh0-D435/bb_px*1000</f>
        <v>1571.68225458513</v>
      </c>
      <c r="E438" s="13" t="n">
        <f aca="false">D438-E435/bb_px*1000</f>
        <v>1452.82657799247</v>
      </c>
      <c r="F438" s="13" t="n">
        <f aca="false">E438-F435/bb_px*1000</f>
        <v>1332.74788531542</v>
      </c>
      <c r="G438" s="13" t="n">
        <f aca="false">F438-G435/bb_px*1000</f>
        <v>1205.30121824825</v>
      </c>
    </row>
    <row r="439" customFormat="false" ht="17.15" hidden="false" customHeight="false" outlineLevel="0" collapsed="false">
      <c r="A439" s="0" t="s">
        <v>392</v>
      </c>
      <c r="B439" s="0" t="s">
        <v>78</v>
      </c>
      <c r="C439" s="17" t="n">
        <f aca="false">a25_eps</f>
        <v>341.4</v>
      </c>
      <c r="D439" s="17" t="n">
        <f aca="false">D431/(D438+dil)*1000</f>
        <v>3498.58986257346</v>
      </c>
      <c r="E439" s="17" t="n">
        <f aca="false">E431/(E438+dil)*1000</f>
        <v>5262.80472261901</v>
      </c>
      <c r="F439" s="17" t="n">
        <f aca="false">F431/(F438+dil)*1000</f>
        <v>5789.19014988163</v>
      </c>
      <c r="G439" s="17" t="n">
        <f aca="false">G431/(G438+dil)*1000</f>
        <v>6778.07752754437</v>
      </c>
    </row>
    <row r="440" customFormat="false" ht="17.15" hidden="false" customHeight="false" outlineLevel="0" collapsed="false">
      <c r="A440" s="5" t="s">
        <v>393</v>
      </c>
      <c r="B440" s="0" t="s">
        <v>78</v>
      </c>
      <c r="D440" s="17" t="n">
        <f aca="false">D436/D438*1000</f>
        <v>3940.80409400651</v>
      </c>
      <c r="E440" s="17" t="n">
        <f aca="false">E436/E438*1000</f>
        <v>8540.39199933239</v>
      </c>
      <c r="F440" s="17" t="n">
        <f aca="false">F436/F438*1000</f>
        <v>14019.2481934161</v>
      </c>
      <c r="G440" s="17" t="n">
        <f aca="false">G436/G438*1000</f>
        <v>21020.8468668747</v>
      </c>
    </row>
    <row r="441" customFormat="false" ht="17.15" hidden="false" customHeight="false" outlineLevel="0" collapsed="false">
      <c r="A441" s="0" t="s">
        <v>394</v>
      </c>
      <c r="B441" s="0" t="s">
        <v>116</v>
      </c>
      <c r="D441" s="21" t="n">
        <f aca="false">D431/D436</f>
        <v>0.896810004716951</v>
      </c>
      <c r="E441" s="21" t="n">
        <f aca="false">E431/E436</f>
        <v>0.62300148212084</v>
      </c>
      <c r="F441" s="21" t="n">
        <f aca="false">F431/F436</f>
        <v>0.417895903662212</v>
      </c>
      <c r="G441" s="21" t="n">
        <f aca="false">G431/G436</f>
        <v>0.326719427093462</v>
      </c>
    </row>
    <row r="442" customFormat="false" ht="15" hidden="false" customHeight="false" outlineLevel="0" collapsed="false">
      <c r="A442" s="5" t="s">
        <v>395</v>
      </c>
      <c r="B442" s="0" t="s">
        <v>78</v>
      </c>
      <c r="E442" s="17" t="n">
        <f aca="false">E434/(E438+dil)*1000</f>
        <v>5160.68071397768</v>
      </c>
      <c r="F442" s="17" t="n">
        <f aca="false">F434/(F438+dil)*1000</f>
        <v>5677.97390359239</v>
      </c>
      <c r="G442" s="17" t="n">
        <f aca="false">G434/(G438+dil)*1000</f>
        <v>6655.25528343904</v>
      </c>
    </row>
    <row r="443" customFormat="false" ht="17.15" hidden="false" customHeight="false" outlineLevel="0" collapsed="false">
      <c r="A443" s="5" t="s">
        <v>396</v>
      </c>
      <c r="B443" s="0" t="s">
        <v>25</v>
      </c>
      <c r="D443" s="18" t="n">
        <f aca="false">ABS(C414-q1_rev)+ABS(D419-g2_op)+ABS(C425-2337.6)</f>
        <v>0</v>
      </c>
    </row>
    <row r="460" customFormat="false" ht="17.15" hidden="false" customHeight="false" outlineLevel="0" collapsed="false">
      <c r="A460" s="3" t="s">
        <v>678</v>
      </c>
    </row>
    <row r="461" customFormat="false" ht="17.15" hidden="false" customHeight="false" outlineLevel="0" collapsed="false">
      <c r="A461" s="12" t="s">
        <v>352</v>
      </c>
      <c r="B461" s="6" t="s">
        <v>15</v>
      </c>
      <c r="C461" s="12" t="s">
        <v>353</v>
      </c>
      <c r="D461" s="12" t="s">
        <v>354</v>
      </c>
      <c r="E461" s="12" t="s">
        <v>355</v>
      </c>
      <c r="F461" s="12" t="s">
        <v>356</v>
      </c>
      <c r="G461" s="12" t="s">
        <v>357</v>
      </c>
      <c r="H461" s="12" t="s">
        <v>358</v>
      </c>
      <c r="I461" s="12" t="s">
        <v>359</v>
      </c>
      <c r="J461" s="12" t="s">
        <v>360</v>
      </c>
      <c r="K461" s="12" t="s">
        <v>361</v>
      </c>
      <c r="L461" s="12" t="s">
        <v>362</v>
      </c>
      <c r="M461" s="12" t="s">
        <v>363</v>
      </c>
      <c r="N461" s="12" t="s">
        <v>364</v>
      </c>
      <c r="O461" s="12" t="s">
        <v>365</v>
      </c>
      <c r="P461" s="12" t="s">
        <v>366</v>
      </c>
      <c r="Q461" s="12" t="s">
        <v>367</v>
      </c>
      <c r="R461" s="12" t="s">
        <v>368</v>
      </c>
      <c r="S461" s="12"/>
      <c r="T461" s="6" t="s">
        <v>343</v>
      </c>
    </row>
    <row r="462" customFormat="false" ht="17.15" hidden="false" customHeight="false" outlineLevel="0" collapsed="false">
      <c r="A462" s="5" t="s">
        <v>369</v>
      </c>
      <c r="B462" s="0" t="s">
        <v>317</v>
      </c>
      <c r="C462" s="19" t="n">
        <f aca="false">Units!H4*1</f>
        <v>10.72</v>
      </c>
      <c r="D462" s="19" t="n">
        <f aca="false">Units!I4*1</f>
        <v>14.3197859923946</v>
      </c>
      <c r="E462" s="19" t="n">
        <f aca="false">Units!J4*1*1</f>
        <v>17.6469939469536</v>
      </c>
      <c r="F462" s="19" t="n">
        <f aca="false">Units!K4*1*1</f>
        <v>19.4448271931715</v>
      </c>
      <c r="G462" s="19" t="n">
        <f aca="false">Units!L4*1*1</f>
        <v>20.5604014966272</v>
      </c>
      <c r="H462" s="19" t="n">
        <f aca="false">Units!M4*1*1</f>
        <v>20.6529788219672</v>
      </c>
      <c r="I462" s="19" t="n">
        <f aca="false">Units!N4*1*1</f>
        <v>20.3092156690391</v>
      </c>
      <c r="J462" s="19" t="n">
        <f aca="false">Units!O4*1*1</f>
        <v>20.4006619798858</v>
      </c>
      <c r="K462" s="19" t="n">
        <f aca="false">Units!P4*1*1</f>
        <v>20.492520046061</v>
      </c>
      <c r="L462" s="19" t="n">
        <f aca="false">Units!Q4*1*1</f>
        <v>20.5847917215753</v>
      </c>
      <c r="M462" s="19" t="n">
        <f aca="false">Units!R4*1*1</f>
        <v>20.6774788687878</v>
      </c>
      <c r="N462" s="19" t="n">
        <f aca="false">Units!S4*1*1</f>
        <v>20.8499966018633</v>
      </c>
      <c r="O462" s="19" t="n">
        <f aca="false">Units!T4*1*1</f>
        <v>21.235846897313</v>
      </c>
      <c r="P462" s="19" t="n">
        <f aca="false">Units!U4*1*1</f>
        <v>21.628837743111</v>
      </c>
      <c r="Q462" s="19" t="n">
        <f aca="false">Units!V4*1*1</f>
        <v>22.0291012823706</v>
      </c>
      <c r="R462" s="19" t="n">
        <f aca="false">Units!W4*1*1</f>
        <v>21.5407648571837</v>
      </c>
      <c r="T462" s="8" t="s">
        <v>370</v>
      </c>
    </row>
    <row r="463" customFormat="false" ht="15" hidden="false" customHeight="false" outlineLevel="0" collapsed="false">
      <c r="A463" s="5" t="s">
        <v>371</v>
      </c>
      <c r="B463" s="0" t="s">
        <v>324</v>
      </c>
      <c r="C463" s="19" t="n">
        <f aca="false">Units!H7*1</f>
        <v>40.1757580440862</v>
      </c>
      <c r="D463" s="19" t="n">
        <f aca="false">Units!I7*1</f>
        <v>46.6667956905857</v>
      </c>
      <c r="E463" s="19" t="n">
        <f aca="false">Units!J7*1</f>
        <v>48.944548236035</v>
      </c>
      <c r="F463" s="19" t="n">
        <f aca="false">Units!K7*1</f>
        <v>52.3600980030596</v>
      </c>
      <c r="G463" s="19" t="n">
        <f aca="false">Units!L7*1</f>
        <v>55.3640629793669</v>
      </c>
      <c r="H463" s="19" t="n">
        <f aca="false">Units!M7*1</f>
        <v>58.5403692216961</v>
      </c>
      <c r="I463" s="19" t="n">
        <f aca="false">Units!N7*1</f>
        <v>61.898904166222</v>
      </c>
      <c r="J463" s="19" t="n">
        <f aca="false">Units!O7*1</f>
        <v>65.4501225038245</v>
      </c>
      <c r="K463" s="19" t="n">
        <f aca="false">Units!P7*1</f>
        <v>69.2050787242086</v>
      </c>
      <c r="L463" s="19" t="n">
        <f aca="false">Units!Q7*1</f>
        <v>73.1754615271202</v>
      </c>
      <c r="M463" s="19" t="n">
        <f aca="false">Units!R7*1</f>
        <v>77.3736302077775</v>
      </c>
      <c r="N463" s="19" t="n">
        <f aca="false">Units!S7*1</f>
        <v>80.4321433873819</v>
      </c>
      <c r="O463" s="19" t="n">
        <f aca="false">Units!T7*1</f>
        <v>84.4542491025558</v>
      </c>
      <c r="P463" s="19" t="n">
        <f aca="false">Units!U7*1</f>
        <v>88.6774850338687</v>
      </c>
      <c r="Q463" s="19" t="n">
        <f aca="false">Units!V7*1</f>
        <v>93.1119089388012</v>
      </c>
      <c r="R463" s="19" t="n">
        <f aca="false">Units!W7*1</f>
        <v>94.0045560318226</v>
      </c>
    </row>
    <row r="464" customFormat="false" ht="17.15" hidden="false" customHeight="false" outlineLevel="0" collapsed="false">
      <c r="A464" s="5" t="s">
        <v>280</v>
      </c>
      <c r="B464" s="0" t="s">
        <v>25</v>
      </c>
      <c r="C464" s="13" t="n">
        <f aca="false">q1_rev</f>
        <v>1767.1</v>
      </c>
      <c r="D464" s="13" t="n">
        <f aca="false">g2_rev</f>
        <v>2390</v>
      </c>
      <c r="E464" s="13" t="n">
        <f aca="false">E462*kx_k*fx</f>
        <v>2908.95550407292</v>
      </c>
      <c r="F464" s="13" t="n">
        <f aca="false">F462*kx_k*fx</f>
        <v>3205.31288554602</v>
      </c>
      <c r="G464" s="13" t="n">
        <f aca="false">G462*kx_k*fx</f>
        <v>3389.20573551212</v>
      </c>
      <c r="H464" s="13" t="n">
        <f aca="false">H462*kx_k*fx</f>
        <v>3404.46631308752</v>
      </c>
      <c r="I464" s="13" t="n">
        <f aca="false">I462*kx_k*fx</f>
        <v>3347.79990753349</v>
      </c>
      <c r="J464" s="13" t="n">
        <f aca="false">J462*kx_k*fx</f>
        <v>3362.87404707614</v>
      </c>
      <c r="K464" s="13" t="n">
        <f aca="false">K462*kx_k*fx</f>
        <v>3378.01606095097</v>
      </c>
      <c r="L464" s="13" t="n">
        <f aca="false">L462*kx_k*fx</f>
        <v>3393.22625477572</v>
      </c>
      <c r="M464" s="13" t="n">
        <f aca="false">M462*kx_k*fx</f>
        <v>3408.5049355443</v>
      </c>
      <c r="N464" s="13" t="n">
        <f aca="false">N462*kx_k*fx</f>
        <v>3436.94300327916</v>
      </c>
      <c r="O464" s="13" t="n">
        <f aca="false">O462*kx_k*fx</f>
        <v>3500.54711308226</v>
      </c>
      <c r="P464" s="13" t="n">
        <f aca="false">P462*kx_k*fx</f>
        <v>3565.32828132943</v>
      </c>
      <c r="Q464" s="13" t="n">
        <f aca="false">Q462*kx_k*fx</f>
        <v>3631.30829067883</v>
      </c>
      <c r="R464" s="13" t="n">
        <f aca="false">R462*kx_k*fx</f>
        <v>3550.8102219337</v>
      </c>
      <c r="T464" s="5" t="s">
        <v>372</v>
      </c>
    </row>
    <row r="465" customFormat="false" ht="17.15" hidden="false" customHeight="false" outlineLevel="0" collapsed="false">
      <c r="A465" s="5" t="s">
        <v>373</v>
      </c>
      <c r="B465" s="0" t="s">
        <v>374</v>
      </c>
      <c r="C465" s="20" t="n">
        <f aca="false">C466/C463</f>
        <v>9.63267449926724</v>
      </c>
      <c r="D465" s="20" t="n">
        <f aca="false">D466/D463</f>
        <v>9.53568792146086</v>
      </c>
      <c r="E465" s="20" t="n">
        <f aca="false">$D465*(1-cd_A)^(1/4)</f>
        <v>9.1828320661886</v>
      </c>
      <c r="F465" s="20" t="n">
        <f aca="false">$D465*(1-cd_A)^(2/4)</f>
        <v>8.84303318757345</v>
      </c>
      <c r="G465" s="20" t="n">
        <f aca="false">$D465*(1-cd_A)^(3/4)</f>
        <v>8.51580812900377</v>
      </c>
      <c r="H465" s="20" t="n">
        <f aca="false">$D465*(1-cd_A)^(4/4)</f>
        <v>8.20069161245634</v>
      </c>
      <c r="I465" s="20" t="n">
        <f aca="false">$D465*(1-cd_A)^(5/4)</f>
        <v>7.8972355769222</v>
      </c>
      <c r="J465" s="20" t="n">
        <f aca="false">$D465*(1-cd_A)^(6/4)</f>
        <v>7.60500854131316</v>
      </c>
      <c r="K465" s="20" t="n">
        <f aca="false">$D465*(1-cd_A)^(7/4)</f>
        <v>7.32359499094324</v>
      </c>
      <c r="L465" s="20" t="n">
        <f aca="false">$D465*(1-cd_A)^(8/4)</f>
        <v>7.05259478671245</v>
      </c>
      <c r="M465" s="20" t="n">
        <f aca="false">$D465*(1-cd_A)^(9/4)</f>
        <v>6.79162259615309</v>
      </c>
      <c r="N465" s="20" t="n">
        <f aca="false">$D465*(1-cd_A)^(10/4)</f>
        <v>6.54030734552932</v>
      </c>
      <c r="O465" s="20" t="n">
        <f aca="false">$D465*(1-cd_A)^(11/4)</f>
        <v>6.29829169221119</v>
      </c>
      <c r="P465" s="20" t="n">
        <f aca="false">$D465*(1-cd_A)^(12/4)</f>
        <v>6.06523151657271</v>
      </c>
      <c r="Q465" s="20" t="n">
        <f aca="false">$D465*(1-cd_A)^(13/4)</f>
        <v>5.84079543269166</v>
      </c>
      <c r="R465" s="20" t="n">
        <f aca="false">$D465*(1-cd_A)^(14/4)</f>
        <v>5.62466431715522</v>
      </c>
    </row>
    <row r="466" customFormat="false" ht="15" hidden="false" customHeight="false" outlineLevel="0" collapsed="false">
      <c r="A466" s="5" t="s">
        <v>375</v>
      </c>
      <c r="B466" s="0" t="s">
        <v>25</v>
      </c>
      <c r="C466" s="13" t="n">
        <f aca="false">q1_rev-q1_gp</f>
        <v>387</v>
      </c>
      <c r="D466" s="13" t="n">
        <f aca="false">g2_rev-g2_op-g2_ox_lo</f>
        <v>445</v>
      </c>
      <c r="E466" s="13" t="n">
        <f aca="false">E463*E465</f>
        <v>449.449567006977</v>
      </c>
      <c r="F466" s="13" t="n">
        <f aca="false">F463*F465</f>
        <v>463.022084345654</v>
      </c>
      <c r="G466" s="13" t="n">
        <f aca="false">G463*G465</f>
        <v>471.469737574369</v>
      </c>
      <c r="H466" s="13" t="n">
        <f aca="false">H463*H465</f>
        <v>480.071514866461</v>
      </c>
      <c r="I466" s="13" t="n">
        <f aca="false">I463*I465</f>
        <v>488.830228153986</v>
      </c>
      <c r="J466" s="13" t="n">
        <f aca="false">J463*J465</f>
        <v>497.748740671578</v>
      </c>
      <c r="K466" s="13" t="n">
        <f aca="false">K463*K465</f>
        <v>506.829967892447</v>
      </c>
      <c r="L466" s="13" t="n">
        <f aca="false">L463*L465</f>
        <v>516.076878481446</v>
      </c>
      <c r="M466" s="13" t="n">
        <f aca="false">M463*M465</f>
        <v>525.492495265535</v>
      </c>
      <c r="N466" s="13" t="n">
        <f aca="false">N463*N465</f>
        <v>526.050938213161</v>
      </c>
      <c r="O466" s="13" t="n">
        <f aca="false">O463*O465</f>
        <v>531.917495494561</v>
      </c>
      <c r="P466" s="13" t="n">
        <f aca="false">P463*P465</f>
        <v>537.849477037825</v>
      </c>
      <c r="Q466" s="13" t="n">
        <f aca="false">Q463*Q465</f>
        <v>543.847612458952</v>
      </c>
      <c r="R466" s="13" t="n">
        <f aca="false">R463*R465</f>
        <v>528.744071962211</v>
      </c>
      <c r="T466" s="5" t="s">
        <v>376</v>
      </c>
    </row>
    <row r="467" customFormat="false" ht="15" hidden="false" customHeight="false" outlineLevel="0" collapsed="false">
      <c r="A467" s="5" t="s">
        <v>286</v>
      </c>
      <c r="B467" s="0" t="s">
        <v>116</v>
      </c>
      <c r="C467" s="14" t="n">
        <f aca="false">1-C466/C464</f>
        <v>0.780997113915455</v>
      </c>
      <c r="D467" s="14" t="n">
        <f aca="false">1-D466/D464</f>
        <v>0.813807531380753</v>
      </c>
      <c r="E467" s="14" t="n">
        <f aca="false">1-E466/E464</f>
        <v>0.845494519810396</v>
      </c>
      <c r="F467" s="14" t="n">
        <f aca="false">1-F466/F464</f>
        <v>0.855545433198239</v>
      </c>
      <c r="G467" s="14" t="n">
        <f aca="false">1-G466/G464</f>
        <v>0.860890788471675</v>
      </c>
      <c r="H467" s="14" t="n">
        <f aca="false">1-H466/H464</f>
        <v>0.858987732373512</v>
      </c>
      <c r="I467" s="14" t="n">
        <f aca="false">1-I466/I464</f>
        <v>0.853984634190956</v>
      </c>
      <c r="J467" s="14" t="n">
        <f aca="false">1-J466/J464</f>
        <v>0.851987099812927</v>
      </c>
      <c r="K467" s="14" t="n">
        <f aca="false">1-K466/K464</f>
        <v>0.849962238560297</v>
      </c>
      <c r="L467" s="14" t="n">
        <f aca="false">1-L466/L464</f>
        <v>0.847909676593152</v>
      </c>
      <c r="M467" s="14" t="n">
        <f aca="false">1-M466/M464</f>
        <v>0.84582903495734</v>
      </c>
      <c r="N467" s="14" t="n">
        <f aca="false">1-N466/N464</f>
        <v>0.846942199009044</v>
      </c>
      <c r="O467" s="14" t="n">
        <f aca="false">1-O466/O464</f>
        <v>0.848047325657559</v>
      </c>
      <c r="P467" s="14" t="n">
        <f aca="false">1-P466/P464</f>
        <v>0.849144472935526</v>
      </c>
      <c r="Q467" s="14" t="n">
        <f aca="false">1-Q466/Q464</f>
        <v>0.850233698456573</v>
      </c>
      <c r="R467" s="14" t="n">
        <f aca="false">1-R466/R464</f>
        <v>0.851091993400237</v>
      </c>
    </row>
    <row r="468" customFormat="false" ht="17.15" hidden="false" customHeight="false" outlineLevel="0" collapsed="false">
      <c r="A468" s="5" t="s">
        <v>377</v>
      </c>
      <c r="B468" s="0" t="s">
        <v>25</v>
      </c>
      <c r="C468" s="13" t="n">
        <f aca="false">q1_gp-q1_op</f>
        <v>110.1</v>
      </c>
      <c r="D468" s="13" t="n">
        <f aca="false">g2_ox_lo</f>
        <v>55</v>
      </c>
      <c r="E468" s="13" t="n">
        <f aca="false">(g2_ox_lo-ox_var*g2_rev)*(1+ox_g)^(1/4)+ox_var*E464</f>
        <v>60.9394907712554</v>
      </c>
      <c r="F468" s="13" t="n">
        <f aca="false">(g2_ox_lo-ox_var*g2_rev)*(1+ox_g)^(2/4)+ox_var*F464</f>
        <v>64.6710840335519</v>
      </c>
      <c r="G468" s="13" t="n">
        <f aca="false">(g2_ox_lo-ox_var*g2_rev)*(1+ox_g)^(3/4)+ox_var*G464</f>
        <v>67.2965517629478</v>
      </c>
      <c r="H468" s="13" t="n">
        <f aca="false">(g2_ox_lo-ox_var*g2_rev)*(1+ox_g)^(4/4)+ox_var*H464</f>
        <v>68.2546631308752</v>
      </c>
      <c r="I468" s="13" t="n">
        <f aca="false">(g2_ox_lo-ox_var*g2_rev)*(1+ox_g)^(5/4)+ox_var*I464</f>
        <v>68.5129283789138</v>
      </c>
      <c r="J468" s="13" t="n">
        <f aca="false">(g2_ox_lo-ox_var*g2_rev)*(1+ox_g)^(6/4)+ox_var*J464</f>
        <v>69.5084911666623</v>
      </c>
      <c r="K468" s="13" t="n">
        <f aca="false">(g2_ox_lo-ox_var*g2_rev)*(1+ox_g)^(7/4)+ox_var*K464</f>
        <v>70.5251044581189</v>
      </c>
      <c r="L468" s="13" t="n">
        <f aca="false">(g2_ox_lo-ox_var*g2_rev)*(1+ox_g)^(8/4)+ox_var*L464</f>
        <v>71.5632625477572</v>
      </c>
      <c r="M468" s="13" t="n">
        <f aca="false">(g2_ox_lo-ox_var*g2_rev)*(1+ox_g)^(9/4)+ox_var*M464</f>
        <v>72.6234715893798</v>
      </c>
      <c r="N468" s="13" t="n">
        <f aca="false">(g2_ox_lo-ox_var*g2_rev)*(1+ox_g)^(10/4)+ox_var*N464</f>
        <v>73.8371557982826</v>
      </c>
      <c r="O468" s="13" t="n">
        <f aca="false">(g2_ox_lo-ox_var*g2_rev)*(1+ox_g)^(11/4)+ox_var*O464</f>
        <v>75.4249093642927</v>
      </c>
      <c r="P468" s="13" t="n">
        <f aca="false">(g2_ox_lo-ox_var*g2_rev)*(1+ox_g)^(12/4)+ox_var*P464</f>
        <v>77.0473828132943</v>
      </c>
      <c r="Q468" s="13" t="n">
        <f aca="false">(g2_ox_lo-ox_var*g2_rev)*(1+ox_g)^(13/4)+ox_var*Q464</f>
        <v>78.7053473641188</v>
      </c>
      <c r="R468" s="13" t="n">
        <f aca="false">(g2_ox_lo-ox_var*g2_rev)*(1+ox_g)^(14/4)+ox_var*R464</f>
        <v>78.9226005613771</v>
      </c>
      <c r="T468" s="5" t="s">
        <v>378</v>
      </c>
    </row>
    <row r="469" customFormat="false" ht="15" hidden="false" customHeight="false" outlineLevel="0" collapsed="false">
      <c r="A469" s="5" t="s">
        <v>284</v>
      </c>
      <c r="B469" s="0" t="s">
        <v>25</v>
      </c>
      <c r="C469" s="13" t="n">
        <f aca="false">C464-C466-C468</f>
        <v>1270</v>
      </c>
      <c r="D469" s="13" t="n">
        <f aca="false">D464-D466-D468</f>
        <v>1890</v>
      </c>
      <c r="E469" s="13" t="n">
        <f aca="false">E464-E466-E468</f>
        <v>2398.56644629469</v>
      </c>
      <c r="F469" s="13" t="n">
        <f aca="false">F464-F466-F468</f>
        <v>2677.61971716682</v>
      </c>
      <c r="G469" s="13" t="n">
        <f aca="false">G464-G466-G468</f>
        <v>2850.4394461748</v>
      </c>
      <c r="H469" s="13" t="n">
        <f aca="false">H464-H466-H468</f>
        <v>2856.14013509019</v>
      </c>
      <c r="I469" s="13" t="n">
        <f aca="false">I464-I466-I468</f>
        <v>2790.45675100059</v>
      </c>
      <c r="J469" s="13" t="n">
        <f aca="false">J464-J466-J468</f>
        <v>2795.6168152379</v>
      </c>
      <c r="K469" s="13" t="n">
        <f aca="false">K464-K466-K468</f>
        <v>2800.6609886004</v>
      </c>
      <c r="L469" s="13" t="n">
        <f aca="false">L464-L466-L468</f>
        <v>2805.58611374652</v>
      </c>
      <c r="M469" s="13" t="n">
        <f aca="false">M464-M466-M468</f>
        <v>2810.38896868939</v>
      </c>
      <c r="N469" s="13" t="n">
        <f aca="false">N464-N466-N468</f>
        <v>2837.05490926772</v>
      </c>
      <c r="O469" s="13" t="n">
        <f aca="false">O464-O466-O468</f>
        <v>2893.2047082234</v>
      </c>
      <c r="P469" s="13" t="n">
        <f aca="false">P464-P466-P468</f>
        <v>2950.43142147831</v>
      </c>
      <c r="Q469" s="13" t="n">
        <f aca="false">Q464-Q466-Q468</f>
        <v>3008.75533085576</v>
      </c>
      <c r="R469" s="13" t="n">
        <f aca="false">R464-R466-R468</f>
        <v>2943.14354941012</v>
      </c>
    </row>
    <row r="471" customFormat="false" ht="17.15" hidden="false" customHeight="false" outlineLevel="0" collapsed="false">
      <c r="A471" s="5" t="s">
        <v>285</v>
      </c>
      <c r="B471" s="0" t="s">
        <v>25</v>
      </c>
      <c r="C471" s="13" t="n">
        <f aca="false">q1_ni</f>
        <v>842.2</v>
      </c>
      <c r="D471" s="13" t="n">
        <f aca="false">g2_ni</f>
        <v>1270</v>
      </c>
      <c r="E471" s="13" t="n">
        <f aca="false">(E469+nonop_q+rf*nc_j/4)*(1-tax)</f>
        <v>1621.09106348039</v>
      </c>
      <c r="F471" s="13" t="n">
        <f aca="false">(F469+nonop_q+rf*nc_j/4)*(1-tax)</f>
        <v>1810.84728767343</v>
      </c>
      <c r="G471" s="13" t="n">
        <f aca="false">(G469+nonop_q+rf*$D487/4)*(1-tax)</f>
        <v>1934.62673955643</v>
      </c>
      <c r="H471" s="13" t="n">
        <f aca="false">(H469+nonop_q+rf*$D487/4)*(1-tax)</f>
        <v>1938.5032080189</v>
      </c>
      <c r="I471" s="13" t="n">
        <f aca="false">(I469+nonop_q+rf*$D487/4)*(1-tax)</f>
        <v>1893.83850683797</v>
      </c>
      <c r="J471" s="13" t="n">
        <f aca="false">(J469+nonop_q+rf*$D487/4)*(1-tax)</f>
        <v>1897.34735051934</v>
      </c>
      <c r="K471" s="13" t="n">
        <f aca="false">(K469+nonop_q+rf*$E487/4)*(1-tax)</f>
        <v>1910.99685790055</v>
      </c>
      <c r="L471" s="13" t="n">
        <f aca="false">(L469+nonop_q+rf*$E487/4)*(1-tax)</f>
        <v>1914.34594299991</v>
      </c>
      <c r="M471" s="13" t="n">
        <f aca="false">(M469+nonop_q+rf*$E487/4)*(1-tax)</f>
        <v>1917.61188436106</v>
      </c>
      <c r="N471" s="13" t="n">
        <f aca="false">(N469+nonop_q+rf*$E487/4)*(1-tax)</f>
        <v>1935.74472395433</v>
      </c>
      <c r="O471" s="13" t="n">
        <f aca="false">(O469+nonop_q+rf*$F487/4)*(1-tax)</f>
        <v>1984.16561844072</v>
      </c>
      <c r="P471" s="13" t="n">
        <f aca="false">(P469+nonop_q+rf*$F487/4)*(1-tax)</f>
        <v>2023.07978345406</v>
      </c>
      <c r="Q471" s="13" t="n">
        <f aca="false">(Q469+nonop_q+rf*$F487/4)*(1-tax)</f>
        <v>2062.74004183073</v>
      </c>
      <c r="R471" s="13" t="n">
        <f aca="false">(R469+nonop_q+rf*$F487/4)*(1-tax)</f>
        <v>2018.12403044769</v>
      </c>
      <c r="T471" s="5" t="s">
        <v>379</v>
      </c>
    </row>
    <row r="472" customFormat="false" ht="17.15" hidden="false" customHeight="false" outlineLevel="0" collapsed="false">
      <c r="A472" s="5" t="s">
        <v>380</v>
      </c>
      <c r="B472" s="0" t="s">
        <v>78</v>
      </c>
      <c r="C472" s="17" t="n">
        <f aca="false">C471/(sh0+dil)*1000</f>
        <v>507.343332753891</v>
      </c>
      <c r="D472" s="17" t="n">
        <f aca="false">D471/(sh0+dil)*1000</f>
        <v>765.051095461222</v>
      </c>
      <c r="E472" s="17" t="n">
        <f aca="false">E471/(sh0+dil)*1000</f>
        <v>976.549207840998</v>
      </c>
      <c r="F472" s="17" t="n">
        <f aca="false">F471/(sh0+dil)*1000</f>
        <v>1090.85881980122</v>
      </c>
      <c r="G472" s="17" t="n">
        <f aca="false">G471/(sh0+dil)*1000</f>
        <v>1165.42386331199</v>
      </c>
      <c r="H472" s="17" t="n">
        <f aca="false">H471/(sh0+dil)*1000</f>
        <v>1167.75905736216</v>
      </c>
      <c r="I472" s="17" t="n">
        <f aca="false">I471/(sh0+dil)*1000</f>
        <v>1140.85293250633</v>
      </c>
      <c r="J472" s="17" t="n">
        <f aca="false">J471/(sh0+dil)*1000</f>
        <v>1142.96666849234</v>
      </c>
      <c r="K472" s="17" t="n">
        <f aca="false">K471/(sh0+dil)*1000</f>
        <v>1151.18916500769</v>
      </c>
      <c r="L472" s="17" t="n">
        <f aca="false">L471/(sh0+dil)*1000</f>
        <v>1153.20666203451</v>
      </c>
      <c r="M472" s="17" t="n">
        <f aca="false">M471/(sh0+dil)*1000</f>
        <v>1155.17407307078</v>
      </c>
      <c r="N472" s="17" t="n">
        <f aca="false">N471/(sh0+dil)*1000</f>
        <v>1166.09733983822</v>
      </c>
      <c r="O472" s="17" t="n">
        <f aca="false">O471/(sh0+dil)*1000</f>
        <v>1195.26620469651</v>
      </c>
      <c r="P472" s="17" t="n">
        <f aca="false">P471/(sh0+dil)*1000</f>
        <v>1218.7081925488</v>
      </c>
      <c r="Q472" s="17" t="n">
        <f aca="false">Q471/(sh0+dil)*1000</f>
        <v>1242.59962886167</v>
      </c>
      <c r="R472" s="17" t="n">
        <f aca="false">R471/(sh0+dil)*1000</f>
        <v>1215.72283485876</v>
      </c>
    </row>
    <row r="474" customFormat="false" ht="17.15" hidden="false" customHeight="false" outlineLevel="0" collapsed="false">
      <c r="A474" s="12" t="s">
        <v>381</v>
      </c>
      <c r="B474" s="6" t="s">
        <v>15</v>
      </c>
      <c r="C474" s="12" t="s">
        <v>338</v>
      </c>
      <c r="D474" s="12" t="s">
        <v>339</v>
      </c>
      <c r="E474" s="12" t="s">
        <v>340</v>
      </c>
      <c r="F474" s="12" t="s">
        <v>341</v>
      </c>
      <c r="G474" s="12" t="s">
        <v>342</v>
      </c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6" t="s">
        <v>343</v>
      </c>
    </row>
    <row r="475" customFormat="false" ht="17.15" hidden="false" customHeight="false" outlineLevel="0" collapsed="false">
      <c r="A475" s="5" t="s">
        <v>280</v>
      </c>
      <c r="B475" s="0" t="s">
        <v>25</v>
      </c>
      <c r="C475" s="13" t="n">
        <f aca="false">a25_rev</f>
        <v>2337.6</v>
      </c>
      <c r="D475" s="13" t="n">
        <f aca="false">SUM(C464:F464)</f>
        <v>10271.3683896189</v>
      </c>
      <c r="E475" s="13" t="n">
        <f aca="false">SUM(G464:J464)</f>
        <v>13504.3460032093</v>
      </c>
      <c r="F475" s="13" t="n">
        <f aca="false">SUM(K464:N464)</f>
        <v>13616.6902545502</v>
      </c>
      <c r="G475" s="13" t="n">
        <f aca="false">SUM(O464:R464)</f>
        <v>14247.9939070242</v>
      </c>
      <c r="T475" s="8" t="s">
        <v>382</v>
      </c>
    </row>
    <row r="476" customFormat="false" ht="15" hidden="false" customHeight="false" outlineLevel="0" collapsed="false">
      <c r="A476" s="5" t="s">
        <v>375</v>
      </c>
      <c r="B476" s="0" t="s">
        <v>25</v>
      </c>
      <c r="C476" s="13" t="n">
        <f aca="false">a25_rev-(p1_gp+p2_gp+p3_gp+p4_gp)</f>
        <v>1324.8</v>
      </c>
      <c r="D476" s="13" t="n">
        <f aca="false">SUM(C466:F466)</f>
        <v>1744.47165135263</v>
      </c>
      <c r="E476" s="13" t="n">
        <f aca="false">SUM(G466:J466)</f>
        <v>1938.12022126639</v>
      </c>
      <c r="F476" s="13" t="n">
        <f aca="false">SUM(K466:N466)</f>
        <v>2074.45027985259</v>
      </c>
      <c r="G476" s="13" t="n">
        <f aca="false">SUM(O466:R466)</f>
        <v>2142.35865695355</v>
      </c>
    </row>
    <row r="477" customFormat="false" ht="15" hidden="false" customHeight="false" outlineLevel="0" collapsed="false">
      <c r="A477" s="5" t="s">
        <v>286</v>
      </c>
      <c r="B477" s="0" t="s">
        <v>116</v>
      </c>
      <c r="C477" s="14" t="n">
        <f aca="false">1-C476/C475</f>
        <v>0.433264887063655</v>
      </c>
      <c r="D477" s="14" t="n">
        <f aca="false">1-D476/D475</f>
        <v>0.83016170921143</v>
      </c>
      <c r="E477" s="14" t="n">
        <f aca="false">1-E476/E475</f>
        <v>0.856481741447842</v>
      </c>
      <c r="F477" s="14" t="n">
        <f aca="false">1-F476/F475</f>
        <v>0.847653854125132</v>
      </c>
      <c r="G477" s="14" t="n">
        <f aca="false">1-G476/G475</f>
        <v>0.849637873869572</v>
      </c>
    </row>
    <row r="478" customFormat="false" ht="15" hidden="false" customHeight="false" outlineLevel="0" collapsed="false">
      <c r="A478" s="5" t="s">
        <v>377</v>
      </c>
      <c r="B478" s="0" t="s">
        <v>25</v>
      </c>
      <c r="D478" s="13" t="n">
        <f aca="false">SUM(C468:F468)</f>
        <v>290.710574804807</v>
      </c>
      <c r="E478" s="13" t="n">
        <f aca="false">SUM(G468:J468)</f>
        <v>273.572634439399</v>
      </c>
      <c r="F478" s="13" t="n">
        <f aca="false">SUM(K468:N468)</f>
        <v>288.548994393539</v>
      </c>
      <c r="G478" s="13" t="n">
        <f aca="false">SUM(O468:R468)</f>
        <v>310.100240103083</v>
      </c>
    </row>
    <row r="479" customFormat="false" ht="15" hidden="false" customHeight="false" outlineLevel="0" collapsed="false">
      <c r="A479" s="5" t="s">
        <v>284</v>
      </c>
      <c r="B479" s="0" t="s">
        <v>25</v>
      </c>
      <c r="C479" s="13" t="n">
        <f aca="false">p1_op+p2_op+p3_op+p4_op</f>
        <v>869</v>
      </c>
      <c r="D479" s="13" t="n">
        <f aca="false">SUM(C469:F469)</f>
        <v>8236.1861634615</v>
      </c>
      <c r="E479" s="13" t="n">
        <f aca="false">SUM(G469:J469)</f>
        <v>11292.6531475035</v>
      </c>
      <c r="F479" s="13" t="n">
        <f aca="false">SUM(K469:N469)</f>
        <v>11253.690980304</v>
      </c>
      <c r="G479" s="13" t="n">
        <f aca="false">SUM(O469:R469)</f>
        <v>11795.5350099676</v>
      </c>
    </row>
    <row r="480" customFormat="false" ht="15" hidden="false" customHeight="false" outlineLevel="0" collapsed="false">
      <c r="A480" s="5" t="s">
        <v>287</v>
      </c>
      <c r="B480" s="0" t="s">
        <v>116</v>
      </c>
      <c r="C480" s="14" t="n">
        <f aca="false">C479/C475</f>
        <v>0.371748802190281</v>
      </c>
      <c r="D480" s="14" t="n">
        <f aca="false">D479/D475</f>
        <v>0.80185870577728</v>
      </c>
      <c r="E480" s="14" t="n">
        <f aca="false">E479/E475</f>
        <v>0.836223623477939</v>
      </c>
      <c r="F480" s="14" t="n">
        <f aca="false">F479/F475</f>
        <v>0.82646302221228</v>
      </c>
      <c r="G480" s="14" t="n">
        <f aca="false">G479/G475</f>
        <v>0.827873389540995</v>
      </c>
    </row>
    <row r="481" customFormat="false" ht="15" hidden="false" customHeight="false" outlineLevel="0" collapsed="false">
      <c r="A481" s="5" t="s">
        <v>285</v>
      </c>
      <c r="B481" s="0" t="s">
        <v>25</v>
      </c>
      <c r="C481" s="13" t="n">
        <f aca="false">a25_ni</f>
        <v>554.5</v>
      </c>
      <c r="D481" s="13" t="n">
        <f aca="false">SUM(C471:F471)</f>
        <v>5544.13835115382</v>
      </c>
      <c r="E481" s="13" t="n">
        <f aca="false">SUM(G471:J471)</f>
        <v>7664.31580493264</v>
      </c>
      <c r="F481" s="13" t="n">
        <f aca="false">SUM(K471:N471)</f>
        <v>7678.69940921585</v>
      </c>
      <c r="G481" s="13" t="n">
        <f aca="false">SUM(O471:R471)</f>
        <v>8088.1094741732</v>
      </c>
    </row>
    <row r="482" customFormat="false" ht="15" hidden="false" customHeight="false" outlineLevel="0" collapsed="false">
      <c r="A482" s="5" t="s">
        <v>383</v>
      </c>
      <c r="B482" s="0" t="s">
        <v>25</v>
      </c>
      <c r="D482" s="13" t="n">
        <f aca="false">da_y</f>
        <v>320</v>
      </c>
      <c r="E482" s="13" t="n">
        <f aca="false">da_y</f>
        <v>320</v>
      </c>
      <c r="F482" s="13" t="n">
        <f aca="false">da_y</f>
        <v>320</v>
      </c>
      <c r="G482" s="13" t="n">
        <f aca="false">da_y</f>
        <v>320</v>
      </c>
    </row>
    <row r="483" customFormat="false" ht="15" hidden="false" customHeight="false" outlineLevel="0" collapsed="false">
      <c r="A483" s="5" t="s">
        <v>384</v>
      </c>
      <c r="B483" s="0" t="s">
        <v>25</v>
      </c>
      <c r="D483" s="13" t="n">
        <f aca="false">cap_2026</f>
        <v>450</v>
      </c>
      <c r="E483" s="13" t="n">
        <f aca="false">cap_2027</f>
        <v>470</v>
      </c>
      <c r="F483" s="13" t="n">
        <f aca="false">cap_2028</f>
        <v>470</v>
      </c>
      <c r="G483" s="13" t="n">
        <f aca="false">cap_2029</f>
        <v>470</v>
      </c>
    </row>
    <row r="484" customFormat="false" ht="15" hidden="false" customHeight="false" outlineLevel="0" collapsed="false">
      <c r="A484" s="5" t="s">
        <v>385</v>
      </c>
      <c r="B484" s="0" t="s">
        <v>25</v>
      </c>
      <c r="D484" s="13" t="n">
        <f aca="false">D481+D482-D483</f>
        <v>5414.13835115382</v>
      </c>
      <c r="E484" s="13" t="n">
        <f aca="false">E481+E482-E483</f>
        <v>7514.31580493264</v>
      </c>
      <c r="F484" s="13" t="n">
        <f aca="false">F481+F482-F483</f>
        <v>7528.69940921585</v>
      </c>
      <c r="G484" s="13" t="n">
        <f aca="false">G481+G482-G483</f>
        <v>7938.1094741732</v>
      </c>
    </row>
    <row r="485" customFormat="false" ht="17.15" hidden="false" customHeight="false" outlineLevel="0" collapsed="false">
      <c r="A485" s="5" t="s">
        <v>386</v>
      </c>
      <c r="B485" s="0" t="s">
        <v>25</v>
      </c>
      <c r="D485" s="13" t="n">
        <f aca="false">MAX(0,payout*(SUM(D471:F471)+0.75*(D482-D483)))</f>
        <v>920.887670230765</v>
      </c>
      <c r="E485" s="13" t="n">
        <f aca="false">MAX(0,payout*E484)</f>
        <v>1502.86316098653</v>
      </c>
      <c r="F485" s="13" t="n">
        <f aca="false">MAX(0,payout*F484)</f>
        <v>1505.73988184317</v>
      </c>
      <c r="G485" s="13" t="n">
        <f aca="false">MAX(0,payout*G484)</f>
        <v>1587.62189483464</v>
      </c>
      <c r="T485" s="8" t="s">
        <v>387</v>
      </c>
    </row>
    <row r="486" customFormat="false" ht="17.15" hidden="false" customHeight="false" outlineLevel="0" collapsed="false">
      <c r="A486" s="5" t="s">
        <v>388</v>
      </c>
      <c r="B486" s="0" t="s">
        <v>25</v>
      </c>
      <c r="C486" s="13" t="n">
        <f aca="false">eq25</f>
        <v>1399.1</v>
      </c>
      <c r="D486" s="13" t="n">
        <f aca="false">eq_j+SUM(D471:F471)-D485</f>
        <v>6185.35068092306</v>
      </c>
      <c r="E486" s="13" t="n">
        <f aca="false">D486+E481-E485</f>
        <v>12346.8033248692</v>
      </c>
      <c r="F486" s="13" t="n">
        <f aca="false">E486+F481-F485</f>
        <v>18519.7628522418</v>
      </c>
      <c r="G486" s="13" t="n">
        <f aca="false">F486+G481-G485</f>
        <v>25020.2504315804</v>
      </c>
      <c r="T486" s="8" t="s">
        <v>389</v>
      </c>
    </row>
    <row r="487" customFormat="false" ht="15" hidden="false" customHeight="false" outlineLevel="0" collapsed="false">
      <c r="A487" s="5" t="s">
        <v>390</v>
      </c>
      <c r="B487" s="0" t="s">
        <v>25</v>
      </c>
      <c r="D487" s="13" t="n">
        <f aca="false">nc_j+(SUM(D471:F471)+0.75*(D482-D483))-D485</f>
        <v>3839.95068092306</v>
      </c>
      <c r="E487" s="13" t="n">
        <f aca="false">D487+E484-E485</f>
        <v>9851.40332486917</v>
      </c>
      <c r="F487" s="13" t="n">
        <f aca="false">E487+F484-F485</f>
        <v>15874.3628522418</v>
      </c>
      <c r="G487" s="13" t="n">
        <f aca="false">F487+G484-G485</f>
        <v>22224.8504315804</v>
      </c>
    </row>
    <row r="488" customFormat="false" ht="15" hidden="false" customHeight="false" outlineLevel="0" collapsed="false">
      <c r="A488" s="5" t="s">
        <v>391</v>
      </c>
      <c r="B488" s="5" t="s">
        <v>159</v>
      </c>
      <c r="D488" s="13" t="n">
        <f aca="false">sh0-D485/bb_px*1000</f>
        <v>1571.84574306854</v>
      </c>
      <c r="E488" s="13" t="n">
        <f aca="false">D488-E485/bb_px*1000</f>
        <v>1454.02032864388</v>
      </c>
      <c r="F488" s="13" t="n">
        <f aca="false">E488-F485/bb_px*1000</f>
        <v>1335.96937749977</v>
      </c>
      <c r="G488" s="13" t="n">
        <f aca="false">F488-G485/bb_px*1000</f>
        <v>1211.49882518031</v>
      </c>
    </row>
    <row r="489" customFormat="false" ht="17.15" hidden="false" customHeight="false" outlineLevel="0" collapsed="false">
      <c r="A489" s="0" t="s">
        <v>392</v>
      </c>
      <c r="B489" s="0" t="s">
        <v>78</v>
      </c>
      <c r="C489" s="17" t="n">
        <f aca="false">a25_eps</f>
        <v>341.4</v>
      </c>
      <c r="D489" s="17" t="n">
        <f aca="false">D481/(D488+dil)*1000</f>
        <v>3491.66310412963</v>
      </c>
      <c r="E489" s="17" t="n">
        <f aca="false">E481/(E488+dil)*1000</f>
        <v>5213.83354604886</v>
      </c>
      <c r="F489" s="17" t="n">
        <f aca="false">F481/(F488+dil)*1000</f>
        <v>5679.74116087038</v>
      </c>
      <c r="G489" s="17" t="n">
        <f aca="false">G481/(G488+dil)*1000</f>
        <v>6589.22673663226</v>
      </c>
    </row>
    <row r="490" customFormat="false" ht="17.15" hidden="false" customHeight="false" outlineLevel="0" collapsed="false">
      <c r="A490" s="5" t="s">
        <v>393</v>
      </c>
      <c r="B490" s="0" t="s">
        <v>78</v>
      </c>
      <c r="D490" s="17" t="n">
        <f aca="false">D486/D488*1000</f>
        <v>3935.08759253187</v>
      </c>
      <c r="E490" s="17" t="n">
        <f aca="false">E486/E488*1000</f>
        <v>8491.492919074</v>
      </c>
      <c r="F490" s="17" t="n">
        <f aca="false">F486/F488*1000</f>
        <v>13862.4156841836</v>
      </c>
      <c r="G490" s="17" t="n">
        <f aca="false">G486/G488*1000</f>
        <v>20652.3109321683</v>
      </c>
    </row>
    <row r="491" customFormat="false" ht="17.15" hidden="false" customHeight="false" outlineLevel="0" collapsed="false">
      <c r="A491" s="0" t="s">
        <v>394</v>
      </c>
      <c r="B491" s="0" t="s">
        <v>116</v>
      </c>
      <c r="D491" s="21" t="n">
        <f aca="false">D481/D486</f>
        <v>0.89633371447364</v>
      </c>
      <c r="E491" s="21" t="n">
        <f aca="false">E481/E486</f>
        <v>0.62075304864499</v>
      </c>
      <c r="F491" s="21" t="n">
        <f aca="false">F481/F486</f>
        <v>0.414621907984439</v>
      </c>
      <c r="G491" s="21" t="n">
        <f aca="false">G481/G486</f>
        <v>0.323262530736481</v>
      </c>
    </row>
    <row r="492" customFormat="false" ht="15" hidden="false" customHeight="false" outlineLevel="0" collapsed="false">
      <c r="A492" s="5" t="s">
        <v>395</v>
      </c>
      <c r="B492" s="0" t="s">
        <v>78</v>
      </c>
      <c r="E492" s="17" t="n">
        <f aca="false">E484/(E488+dil)*1000</f>
        <v>5111.79247000082</v>
      </c>
      <c r="F492" s="17" t="n">
        <f aca="false">F484/(F488+dil)*1000</f>
        <v>5568.78992697938</v>
      </c>
      <c r="G492" s="17" t="n">
        <f aca="false">G484/(G488+dil)*1000</f>
        <v>6467.02463073212</v>
      </c>
    </row>
    <row r="493" customFormat="false" ht="17.15" hidden="false" customHeight="false" outlineLevel="0" collapsed="false">
      <c r="A493" s="5" t="s">
        <v>396</v>
      </c>
      <c r="B493" s="0" t="s">
        <v>25</v>
      </c>
      <c r="D493" s="18" t="n">
        <f aca="false">ABS(C464-q1_rev)+ABS(D469-g2_op)+ABS(C475-2337.6)</f>
        <v>0</v>
      </c>
    </row>
    <row r="510" customFormat="false" ht="17.15" hidden="false" customHeight="false" outlineLevel="0" collapsed="false">
      <c r="A510" s="3" t="s">
        <v>679</v>
      </c>
    </row>
    <row r="511" customFormat="false" ht="17.15" hidden="false" customHeight="false" outlineLevel="0" collapsed="false">
      <c r="A511" s="12" t="s">
        <v>352</v>
      </c>
      <c r="B511" s="6" t="s">
        <v>15</v>
      </c>
      <c r="C511" s="12" t="s">
        <v>353</v>
      </c>
      <c r="D511" s="12" t="s">
        <v>354</v>
      </c>
      <c r="E511" s="12" t="s">
        <v>355</v>
      </c>
      <c r="F511" s="12" t="s">
        <v>356</v>
      </c>
      <c r="G511" s="12" t="s">
        <v>357</v>
      </c>
      <c r="H511" s="12" t="s">
        <v>358</v>
      </c>
      <c r="I511" s="12" t="s">
        <v>359</v>
      </c>
      <c r="J511" s="12" t="s">
        <v>360</v>
      </c>
      <c r="K511" s="12" t="s">
        <v>361</v>
      </c>
      <c r="L511" s="12" t="s">
        <v>362</v>
      </c>
      <c r="M511" s="12" t="s">
        <v>363</v>
      </c>
      <c r="N511" s="12" t="s">
        <v>364</v>
      </c>
      <c r="O511" s="12" t="s">
        <v>365</v>
      </c>
      <c r="P511" s="12" t="s">
        <v>366</v>
      </c>
      <c r="Q511" s="12" t="s">
        <v>367</v>
      </c>
      <c r="R511" s="12" t="s">
        <v>368</v>
      </c>
      <c r="S511" s="12"/>
      <c r="T511" s="6" t="s">
        <v>343</v>
      </c>
    </row>
    <row r="512" customFormat="false" ht="17.15" hidden="false" customHeight="false" outlineLevel="0" collapsed="false">
      <c r="A512" s="5" t="s">
        <v>369</v>
      </c>
      <c r="B512" s="0" t="s">
        <v>317</v>
      </c>
      <c r="C512" s="19" t="n">
        <f aca="false">Units!H4*1</f>
        <v>10.72</v>
      </c>
      <c r="D512" s="19" t="n">
        <f aca="false">Units!I4*1</f>
        <v>14.3197859923946</v>
      </c>
      <c r="E512" s="19" t="n">
        <f aca="false">Units!J4*1*1</f>
        <v>17.6469939469536</v>
      </c>
      <c r="F512" s="19" t="n">
        <f aca="false">Units!K4*1*1</f>
        <v>19.4448271931715</v>
      </c>
      <c r="G512" s="19" t="n">
        <f aca="false">Units!L4*1*1</f>
        <v>20.5604014966272</v>
      </c>
      <c r="H512" s="19" t="n">
        <f aca="false">Units!M4*1*1</f>
        <v>20.6529788219672</v>
      </c>
      <c r="I512" s="19" t="n">
        <f aca="false">Units!N4*1*1</f>
        <v>20.3092156690391</v>
      </c>
      <c r="J512" s="19" t="n">
        <f aca="false">Units!O4*1*1</f>
        <v>20.4006619798858</v>
      </c>
      <c r="K512" s="19" t="n">
        <f aca="false">Units!P4*1*1</f>
        <v>20.492520046061</v>
      </c>
      <c r="L512" s="19" t="n">
        <f aca="false">Units!Q4*1*1</f>
        <v>20.5847917215753</v>
      </c>
      <c r="M512" s="19" t="n">
        <f aca="false">Units!R4*1*1</f>
        <v>20.6774788687878</v>
      </c>
      <c r="N512" s="19" t="n">
        <f aca="false">Units!S4*1*1</f>
        <v>20.8499966018633</v>
      </c>
      <c r="O512" s="19" t="n">
        <f aca="false">Units!T4*1*1</f>
        <v>21.235846897313</v>
      </c>
      <c r="P512" s="19" t="n">
        <f aca="false">Units!U4*1*1</f>
        <v>21.628837743111</v>
      </c>
      <c r="Q512" s="19" t="n">
        <f aca="false">Units!V4*1*1</f>
        <v>22.0291012823706</v>
      </c>
      <c r="R512" s="19" t="n">
        <f aca="false">Units!W4*1*1</f>
        <v>21.5407648571837</v>
      </c>
      <c r="T512" s="8" t="s">
        <v>370</v>
      </c>
    </row>
    <row r="513" customFormat="false" ht="15" hidden="false" customHeight="false" outlineLevel="0" collapsed="false">
      <c r="A513" s="5" t="s">
        <v>371</v>
      </c>
      <c r="B513" s="0" t="s">
        <v>324</v>
      </c>
      <c r="C513" s="19" t="n">
        <f aca="false">Units!H7*1</f>
        <v>40.1757580440862</v>
      </c>
      <c r="D513" s="19" t="n">
        <f aca="false">Units!I7*1</f>
        <v>46.6667956905857</v>
      </c>
      <c r="E513" s="19" t="n">
        <f aca="false">Units!J7*1</f>
        <v>48.944548236035</v>
      </c>
      <c r="F513" s="19" t="n">
        <f aca="false">Units!K7*1</f>
        <v>52.3600980030596</v>
      </c>
      <c r="G513" s="19" t="n">
        <f aca="false">Units!L7*1</f>
        <v>55.3640629793669</v>
      </c>
      <c r="H513" s="19" t="n">
        <f aca="false">Units!M7*1</f>
        <v>58.5403692216961</v>
      </c>
      <c r="I513" s="19" t="n">
        <f aca="false">Units!N7*1</f>
        <v>61.898904166222</v>
      </c>
      <c r="J513" s="19" t="n">
        <f aca="false">Units!O7*1</f>
        <v>65.4501225038245</v>
      </c>
      <c r="K513" s="19" t="n">
        <f aca="false">Units!P7*1</f>
        <v>69.2050787242086</v>
      </c>
      <c r="L513" s="19" t="n">
        <f aca="false">Units!Q7*1</f>
        <v>73.1754615271202</v>
      </c>
      <c r="M513" s="19" t="n">
        <f aca="false">Units!R7*1</f>
        <v>77.3736302077775</v>
      </c>
      <c r="N513" s="19" t="n">
        <f aca="false">Units!S7*1</f>
        <v>80.4321433873819</v>
      </c>
      <c r="O513" s="19" t="n">
        <f aca="false">Units!T7*1</f>
        <v>84.4542491025558</v>
      </c>
      <c r="P513" s="19" t="n">
        <f aca="false">Units!U7*1</f>
        <v>88.6774850338687</v>
      </c>
      <c r="Q513" s="19" t="n">
        <f aca="false">Units!V7*1</f>
        <v>93.1119089388012</v>
      </c>
      <c r="R513" s="19" t="n">
        <f aca="false">Units!W7*1</f>
        <v>94.0045560318226</v>
      </c>
    </row>
    <row r="514" customFormat="false" ht="17.15" hidden="false" customHeight="false" outlineLevel="0" collapsed="false">
      <c r="A514" s="5" t="s">
        <v>280</v>
      </c>
      <c r="B514" s="0" t="s">
        <v>25</v>
      </c>
      <c r="C514" s="13" t="n">
        <f aca="false">q1_rev</f>
        <v>1767.1</v>
      </c>
      <c r="D514" s="13" t="n">
        <f aca="false">g2_rev</f>
        <v>2390</v>
      </c>
      <c r="E514" s="13" t="n">
        <f aca="false">E512*kx_k*fx</f>
        <v>2908.95550407292</v>
      </c>
      <c r="F514" s="13" t="n">
        <f aca="false">F512*kx_k*fx</f>
        <v>3205.31288554602</v>
      </c>
      <c r="G514" s="13" t="n">
        <f aca="false">G512*kx_k*fx</f>
        <v>3389.20573551212</v>
      </c>
      <c r="H514" s="13" t="n">
        <f aca="false">H512*kx_k*fx</f>
        <v>3404.46631308752</v>
      </c>
      <c r="I514" s="13" t="n">
        <f aca="false">I512*kx_k*fx</f>
        <v>3347.79990753349</v>
      </c>
      <c r="J514" s="13" t="n">
        <f aca="false">J512*kx_k*fx</f>
        <v>3362.87404707614</v>
      </c>
      <c r="K514" s="13" t="n">
        <f aca="false">K512*kx_k*fx</f>
        <v>3378.01606095097</v>
      </c>
      <c r="L514" s="13" t="n">
        <f aca="false">L512*kx_k*fx</f>
        <v>3393.22625477572</v>
      </c>
      <c r="M514" s="13" t="n">
        <f aca="false">M512*kx_k*fx</f>
        <v>3408.5049355443</v>
      </c>
      <c r="N514" s="13" t="n">
        <f aca="false">N512*kx_k*fx</f>
        <v>3436.94300327916</v>
      </c>
      <c r="O514" s="13" t="n">
        <f aca="false">O512*kx_k*fx</f>
        <v>3500.54711308226</v>
      </c>
      <c r="P514" s="13" t="n">
        <f aca="false">P512*kx_k*fx</f>
        <v>3565.32828132943</v>
      </c>
      <c r="Q514" s="13" t="n">
        <f aca="false">Q512*kx_k*fx</f>
        <v>3631.30829067883</v>
      </c>
      <c r="R514" s="13" t="n">
        <f aca="false">R512*kx_k*fx</f>
        <v>3550.8102219337</v>
      </c>
      <c r="T514" s="5" t="s">
        <v>372</v>
      </c>
    </row>
    <row r="515" customFormat="false" ht="17.15" hidden="false" customHeight="false" outlineLevel="0" collapsed="false">
      <c r="A515" s="5" t="s">
        <v>373</v>
      </c>
      <c r="B515" s="0" t="s">
        <v>374</v>
      </c>
      <c r="C515" s="20" t="n">
        <f aca="false">C516/C513</f>
        <v>9.63267449926724</v>
      </c>
      <c r="D515" s="20" t="n">
        <f aca="false">D516/D513</f>
        <v>8.78568999505383</v>
      </c>
      <c r="E515" s="20" t="n">
        <f aca="false">$D515*(1-cd_A)^(1/4)</f>
        <v>8.46058684749962</v>
      </c>
      <c r="F515" s="20" t="n">
        <f aca="false">$D515*(1-cd_A)^(2/4)</f>
        <v>8.14751372338228</v>
      </c>
      <c r="G515" s="20" t="n">
        <f aca="false">$D515*(1-cd_A)^(3/4)</f>
        <v>7.84602546717201</v>
      </c>
      <c r="H515" s="20" t="n">
        <f aca="false">$D515*(1-cd_A)^(4/4)</f>
        <v>7.55569339574629</v>
      </c>
      <c r="I515" s="20" t="n">
        <f aca="false">$D515*(1-cd_A)^(5/4)</f>
        <v>7.27610468884967</v>
      </c>
      <c r="J515" s="20" t="n">
        <f aca="false">$D515*(1-cd_A)^(6/4)</f>
        <v>7.00686180210876</v>
      </c>
      <c r="K515" s="20" t="n">
        <f aca="false">$D515*(1-cd_A)^(7/4)</f>
        <v>6.74758190176793</v>
      </c>
      <c r="L515" s="20" t="n">
        <f aca="false">$D515*(1-cd_A)^(8/4)</f>
        <v>6.49789632034181</v>
      </c>
      <c r="M515" s="20" t="n">
        <f aca="false">$D515*(1-cd_A)^(9/4)</f>
        <v>6.25745003241071</v>
      </c>
      <c r="N515" s="20" t="n">
        <f aca="false">$D515*(1-cd_A)^(10/4)</f>
        <v>6.02590114981353</v>
      </c>
      <c r="O515" s="20" t="n">
        <f aca="false">$D515*(1-cd_A)^(11/4)</f>
        <v>5.80292043552042</v>
      </c>
      <c r="P515" s="20" t="n">
        <f aca="false">$D515*(1-cd_A)^(12/4)</f>
        <v>5.58819083549396</v>
      </c>
      <c r="Q515" s="20" t="n">
        <f aca="false">$D515*(1-cd_A)^(13/4)</f>
        <v>5.38140702787321</v>
      </c>
      <c r="R515" s="20" t="n">
        <f aca="false">$D515*(1-cd_A)^(14/4)</f>
        <v>5.18227498883964</v>
      </c>
    </row>
    <row r="516" customFormat="false" ht="15" hidden="false" customHeight="false" outlineLevel="0" collapsed="false">
      <c r="A516" s="5" t="s">
        <v>375</v>
      </c>
      <c r="B516" s="0" t="s">
        <v>25</v>
      </c>
      <c r="C516" s="13" t="n">
        <f aca="false">q1_rev-q1_gp</f>
        <v>387</v>
      </c>
      <c r="D516" s="13" t="n">
        <f aca="false">g2_rev-g2_op-g2_ox_hi</f>
        <v>410</v>
      </c>
      <c r="E516" s="13" t="n">
        <f aca="false">E513*E515</f>
        <v>414.099601062608</v>
      </c>
      <c r="F516" s="13" t="n">
        <f aca="false">F513*F515</f>
        <v>426.604617037569</v>
      </c>
      <c r="G516" s="13" t="n">
        <f aca="false">G513*G515</f>
        <v>434.387848102228</v>
      </c>
      <c r="H516" s="13" t="n">
        <f aca="false">H513*H515</f>
        <v>442.313081112919</v>
      </c>
      <c r="I516" s="13" t="n">
        <f aca="false">I513*I515</f>
        <v>450.382906838504</v>
      </c>
      <c r="J516" s="13" t="n">
        <f aca="false">J513*J515</f>
        <v>458.599963315387</v>
      </c>
      <c r="K516" s="13" t="n">
        <f aca="false">K513*K515</f>
        <v>466.966936709895</v>
      </c>
      <c r="L516" s="13" t="n">
        <f aca="false">L513*L515</f>
        <v>475.486562196388</v>
      </c>
      <c r="M516" s="13" t="n">
        <f aca="false">M513*M515</f>
        <v>484.161624851392</v>
      </c>
      <c r="N516" s="13" t="n">
        <f aca="false">N513*N515</f>
        <v>484.676145319991</v>
      </c>
      <c r="O516" s="13" t="n">
        <f aca="false">O513*O515</f>
        <v>490.081287983753</v>
      </c>
      <c r="P516" s="13" t="n">
        <f aca="false">P513*P515</f>
        <v>495.546709180918</v>
      </c>
      <c r="Q516" s="13" t="n">
        <f aca="false">Q513*Q515</f>
        <v>501.073081141955</v>
      </c>
      <c r="R516" s="13" t="n">
        <f aca="false">R513*R515</f>
        <v>487.157459560689</v>
      </c>
      <c r="T516" s="5" t="s">
        <v>376</v>
      </c>
    </row>
    <row r="517" customFormat="false" ht="15" hidden="false" customHeight="false" outlineLevel="0" collapsed="false">
      <c r="A517" s="5" t="s">
        <v>286</v>
      </c>
      <c r="B517" s="0" t="s">
        <v>116</v>
      </c>
      <c r="C517" s="14" t="n">
        <f aca="false">1-C516/C514</f>
        <v>0.780997113915455</v>
      </c>
      <c r="D517" s="14" t="n">
        <f aca="false">1-D516/D514</f>
        <v>0.828451882845188</v>
      </c>
      <c r="E517" s="14" t="n">
        <f aca="false">1-E516/E514</f>
        <v>0.857646636229803</v>
      </c>
      <c r="F517" s="14" t="n">
        <f aca="false">1-F516/F514</f>
        <v>0.86690702833995</v>
      </c>
      <c r="G517" s="14" t="n">
        <f aca="false">1-G516/G514</f>
        <v>0.871831962412105</v>
      </c>
      <c r="H517" s="14" t="n">
        <f aca="false">1-H516/H514</f>
        <v>0.870078584883461</v>
      </c>
      <c r="I517" s="14" t="n">
        <f aca="false">1-I516/I514</f>
        <v>0.86546898880515</v>
      </c>
      <c r="J517" s="14" t="n">
        <f aca="false">1-J516/J514</f>
        <v>0.863628563872585</v>
      </c>
      <c r="K517" s="14" t="n">
        <f aca="false">1-K516/K514</f>
        <v>0.861762961370161</v>
      </c>
      <c r="L517" s="14" t="n">
        <f aca="false">1-L516/L514</f>
        <v>0.859871836861107</v>
      </c>
      <c r="M517" s="14" t="n">
        <f aca="false">1-M516/M514</f>
        <v>0.85795484119665</v>
      </c>
      <c r="N517" s="14" t="n">
        <f aca="false">1-N516/N514</f>
        <v>0.858980453019569</v>
      </c>
      <c r="O517" s="14" t="n">
        <f aca="false">1-O516/O514</f>
        <v>0.859998659594605</v>
      </c>
      <c r="P517" s="14" t="n">
        <f aca="false">1-P516/P514</f>
        <v>0.861009514390035</v>
      </c>
      <c r="Q517" s="14" t="n">
        <f aca="false">1-Q516/Q514</f>
        <v>0.862013070488079</v>
      </c>
      <c r="R517" s="14" t="n">
        <f aca="false">1-R516/R514</f>
        <v>0.862803859087859</v>
      </c>
    </row>
    <row r="518" customFormat="false" ht="17.15" hidden="false" customHeight="false" outlineLevel="0" collapsed="false">
      <c r="A518" s="5" t="s">
        <v>377</v>
      </c>
      <c r="B518" s="0" t="s">
        <v>25</v>
      </c>
      <c r="C518" s="13" t="n">
        <f aca="false">q1_gp-q1_op</f>
        <v>110.1</v>
      </c>
      <c r="D518" s="13" t="n">
        <f aca="false">g2_ox_hi</f>
        <v>90</v>
      </c>
      <c r="E518" s="13" t="n">
        <f aca="false">(g2_ox_hi-ox_var*g2_rev)*(1+ox_g)^(1/4)+ox_var*E514</f>
        <v>96.783469889211</v>
      </c>
      <c r="F518" s="13" t="n">
        <f aca="false">(g2_ox_hi-ox_var*g2_rev)*(1+ox_g)^(2/4)+ox_var*F514</f>
        <v>101.379393719507</v>
      </c>
      <c r="G518" s="13" t="n">
        <f aca="false">(g2_ox_hi-ox_var*g2_rev)*(1+ox_g)^(3/4)+ox_var*G514</f>
        <v>104.890034215486</v>
      </c>
      <c r="H518" s="13" t="n">
        <f aca="false">(g2_ox_hi-ox_var*g2_rev)*(1+ox_g)^(4/4)+ox_var*H514</f>
        <v>106.754663130875</v>
      </c>
      <c r="I518" s="13" t="n">
        <f aca="false">(g2_ox_hi-ox_var*g2_rev)*(1+ox_g)^(5/4)+ox_var*I514</f>
        <v>107.941305408665</v>
      </c>
      <c r="J518" s="13" t="n">
        <f aca="false">(g2_ox_hi-ox_var*g2_rev)*(1+ox_g)^(6/4)+ox_var*J514</f>
        <v>109.887631821213</v>
      </c>
      <c r="K518" s="13" t="n">
        <f aca="false">(g2_ox_hi-ox_var*g2_rev)*(1+ox_g)^(7/4)+ox_var*K514</f>
        <v>111.877935155911</v>
      </c>
      <c r="L518" s="13" t="n">
        <f aca="false">(g2_ox_hi-ox_var*g2_rev)*(1+ox_g)^(8/4)+ox_var*L514</f>
        <v>113.913262547757</v>
      </c>
      <c r="M518" s="13" t="n">
        <f aca="false">(g2_ox_hi-ox_var*g2_rev)*(1+ox_g)^(9/4)+ox_var*M514</f>
        <v>115.994686322106</v>
      </c>
      <c r="N518" s="13" t="n">
        <f aca="false">(g2_ox_hi-ox_var*g2_rev)*(1+ox_g)^(10/4)+ox_var*N514</f>
        <v>118.254210518289</v>
      </c>
      <c r="O518" s="13" t="n">
        <f aca="false">(g2_ox_hi-ox_var*g2_rev)*(1+ox_g)^(11/4)+ox_var*O514</f>
        <v>120.913023131864</v>
      </c>
      <c r="P518" s="13" t="n">
        <f aca="false">(g2_ox_hi-ox_var*g2_rev)*(1+ox_g)^(12/4)+ox_var*P514</f>
        <v>123.632382813294</v>
      </c>
      <c r="Q518" s="13" t="n">
        <f aca="false">(g2_ox_hi-ox_var*g2_rev)*(1+ox_g)^(13/4)+ox_var*Q514</f>
        <v>126.413683570118</v>
      </c>
      <c r="R518" s="13" t="n">
        <f aca="false">(g2_ox_hi-ox_var*g2_rev)*(1+ox_g)^(14/4)+ox_var*R514</f>
        <v>127.781360753384</v>
      </c>
      <c r="T518" s="5" t="s">
        <v>378</v>
      </c>
    </row>
    <row r="519" customFormat="false" ht="15" hidden="false" customHeight="false" outlineLevel="0" collapsed="false">
      <c r="A519" s="5" t="s">
        <v>284</v>
      </c>
      <c r="B519" s="0" t="s">
        <v>25</v>
      </c>
      <c r="C519" s="13" t="n">
        <f aca="false">C514-C516-C518</f>
        <v>1270</v>
      </c>
      <c r="D519" s="13" t="n">
        <f aca="false">D514-D516-D518</f>
        <v>1890</v>
      </c>
      <c r="E519" s="13" t="n">
        <f aca="false">E514-E516-E518</f>
        <v>2398.0724331211</v>
      </c>
      <c r="F519" s="13" t="n">
        <f aca="false">F514-F516-F518</f>
        <v>2677.32887478895</v>
      </c>
      <c r="G519" s="13" t="n">
        <f aca="false">G514-G516-G518</f>
        <v>2849.92785319441</v>
      </c>
      <c r="H519" s="13" t="n">
        <f aca="false">H514-H516-H518</f>
        <v>2855.39856884373</v>
      </c>
      <c r="I519" s="13" t="n">
        <f aca="false">I514-I516-I518</f>
        <v>2789.47569528632</v>
      </c>
      <c r="J519" s="13" t="n">
        <f aca="false">J514-J516-J518</f>
        <v>2794.38645193954</v>
      </c>
      <c r="K519" s="13" t="n">
        <f aca="false">K514-K516-K518</f>
        <v>2799.17118908516</v>
      </c>
      <c r="L519" s="13" t="n">
        <f aca="false">L514-L516-L518</f>
        <v>2803.82643003157</v>
      </c>
      <c r="M519" s="13" t="n">
        <f aca="false">M514-M516-M518</f>
        <v>2808.3486243708</v>
      </c>
      <c r="N519" s="13" t="n">
        <f aca="false">N514-N516-N518</f>
        <v>2834.01264744088</v>
      </c>
      <c r="O519" s="13" t="n">
        <f aca="false">O514-O516-O518</f>
        <v>2889.55280196664</v>
      </c>
      <c r="P519" s="13" t="n">
        <f aca="false">P514-P516-P518</f>
        <v>2946.14918933521</v>
      </c>
      <c r="Q519" s="13" t="n">
        <f aca="false">Q514-Q516-Q518</f>
        <v>3003.82152596676</v>
      </c>
      <c r="R519" s="13" t="n">
        <f aca="false">R514-R516-R518</f>
        <v>2935.87140161963</v>
      </c>
    </row>
    <row r="521" customFormat="false" ht="17.15" hidden="false" customHeight="false" outlineLevel="0" collapsed="false">
      <c r="A521" s="5" t="s">
        <v>285</v>
      </c>
      <c r="B521" s="0" t="s">
        <v>25</v>
      </c>
      <c r="C521" s="13" t="n">
        <f aca="false">q1_ni</f>
        <v>842.2</v>
      </c>
      <c r="D521" s="13" t="n">
        <f aca="false">g2_ni</f>
        <v>1270</v>
      </c>
      <c r="E521" s="13" t="n">
        <f aca="false">(E519+nonop_q+rf*nc_j/4)*(1-tax)</f>
        <v>1620.75513452235</v>
      </c>
      <c r="F521" s="13" t="n">
        <f aca="false">(F519+nonop_q+rf*nc_j/4)*(1-tax)</f>
        <v>1810.64951485648</v>
      </c>
      <c r="G521" s="13" t="n">
        <f aca="false">(G519+nonop_q+rf*$D537/4)*(1-tax)</f>
        <v>1934.27813049535</v>
      </c>
      <c r="H521" s="13" t="n">
        <f aca="false">(H519+nonop_q+rf*$D537/4)*(1-tax)</f>
        <v>1937.99821713689</v>
      </c>
      <c r="I521" s="13" t="n">
        <f aca="false">(I519+nonop_q+rf*$D537/4)*(1-tax)</f>
        <v>1893.17066311785</v>
      </c>
      <c r="J521" s="13" t="n">
        <f aca="false">(J519+nonop_q+rf*$D537/4)*(1-tax)</f>
        <v>1896.50997764204</v>
      </c>
      <c r="K521" s="13" t="n">
        <f aca="false">(K519+nonop_q+rf*$E537/4)*(1-tax)</f>
        <v>1909.97986040528</v>
      </c>
      <c r="L521" s="13" t="n">
        <f aca="false">(L519+nonop_q+rf*$E537/4)*(1-tax)</f>
        <v>1913.14542424884</v>
      </c>
      <c r="M521" s="13" t="n">
        <f aca="false">(M519+nonop_q+rf*$E537/4)*(1-tax)</f>
        <v>1916.22051639952</v>
      </c>
      <c r="N521" s="13" t="n">
        <f aca="false">(N519+nonop_q+rf*$E537/4)*(1-tax)</f>
        <v>1933.67205208717</v>
      </c>
      <c r="O521" s="13" t="n">
        <f aca="false">(O519+nonop_q+rf*$F537/4)*(1-tax)</f>
        <v>1981.67066144496</v>
      </c>
      <c r="P521" s="13" t="n">
        <f aca="false">(P519+nonop_q+rf*$F537/4)*(1-tax)</f>
        <v>2020.15620485558</v>
      </c>
      <c r="Q521" s="13" t="n">
        <f aca="false">(Q519+nonop_q+rf*$F537/4)*(1-tax)</f>
        <v>2059.37339376504</v>
      </c>
      <c r="R521" s="13" t="n">
        <f aca="false">(R519+nonop_q+rf*$F537/4)*(1-tax)</f>
        <v>2013.16730920899</v>
      </c>
      <c r="T521" s="5" t="s">
        <v>379</v>
      </c>
    </row>
    <row r="522" customFormat="false" ht="17.15" hidden="false" customHeight="false" outlineLevel="0" collapsed="false">
      <c r="A522" s="5" t="s">
        <v>380</v>
      </c>
      <c r="B522" s="0" t="s">
        <v>78</v>
      </c>
      <c r="C522" s="17" t="n">
        <f aca="false">C521/(sh0+dil)*1000</f>
        <v>507.343332753891</v>
      </c>
      <c r="D522" s="17" t="n">
        <f aca="false">D521/(sh0+dil)*1000</f>
        <v>765.051095461222</v>
      </c>
      <c r="E522" s="17" t="n">
        <f aca="false">E521/(sh0+dil)*1000</f>
        <v>976.346843417892</v>
      </c>
      <c r="F522" s="17" t="n">
        <f aca="false">F521/(sh0+dil)*1000</f>
        <v>1090.73968097424</v>
      </c>
      <c r="G522" s="17" t="n">
        <f aca="false">G521/(sh0+dil)*1000</f>
        <v>1165.2138603639</v>
      </c>
      <c r="H522" s="17" t="n">
        <f aca="false">H521/(sh0+dil)*1000</f>
        <v>1167.45484962399</v>
      </c>
      <c r="I522" s="17" t="n">
        <f aca="false">I521/(sh0+dil)*1000</f>
        <v>1140.45062182154</v>
      </c>
      <c r="J522" s="17" t="n">
        <f aca="false">J521/(sh0+dil)*1000</f>
        <v>1142.46223303006</v>
      </c>
      <c r="K522" s="17" t="n">
        <f aca="false">K521/(sh0+dil)*1000</f>
        <v>1150.57652323774</v>
      </c>
      <c r="L522" s="17" t="n">
        <f aca="false">L521/(sh0+dil)*1000</f>
        <v>1152.48346661275</v>
      </c>
      <c r="M522" s="17" t="n">
        <f aca="false">M521/(sh0+dil)*1000</f>
        <v>1154.33590961946</v>
      </c>
      <c r="N522" s="17" t="n">
        <f aca="false">N521/(sh0+dil)*1000</f>
        <v>1164.84875725357</v>
      </c>
      <c r="O522" s="17" t="n">
        <f aca="false">O521/(sh0+dil)*1000</f>
        <v>1193.76323652112</v>
      </c>
      <c r="P522" s="17" t="n">
        <f aca="false">P521/(sh0+dil)*1000</f>
        <v>1216.94702167524</v>
      </c>
      <c r="Q522" s="17" t="n">
        <f aca="false">Q521/(sh0+dil)*1000</f>
        <v>1240.57155186113</v>
      </c>
      <c r="R522" s="17" t="n">
        <f aca="false">R521/(sh0+dil)*1000</f>
        <v>1212.7368939032</v>
      </c>
    </row>
    <row r="524" customFormat="false" ht="17.15" hidden="false" customHeight="false" outlineLevel="0" collapsed="false">
      <c r="A524" s="12" t="s">
        <v>381</v>
      </c>
      <c r="B524" s="6" t="s">
        <v>15</v>
      </c>
      <c r="C524" s="12" t="s">
        <v>338</v>
      </c>
      <c r="D524" s="12" t="s">
        <v>339</v>
      </c>
      <c r="E524" s="12" t="s">
        <v>340</v>
      </c>
      <c r="F524" s="12" t="s">
        <v>341</v>
      </c>
      <c r="G524" s="12" t="s">
        <v>342</v>
      </c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6" t="s">
        <v>343</v>
      </c>
    </row>
    <row r="525" customFormat="false" ht="17.15" hidden="false" customHeight="false" outlineLevel="0" collapsed="false">
      <c r="A525" s="5" t="s">
        <v>280</v>
      </c>
      <c r="B525" s="0" t="s">
        <v>25</v>
      </c>
      <c r="C525" s="13" t="n">
        <f aca="false">a25_rev</f>
        <v>2337.6</v>
      </c>
      <c r="D525" s="13" t="n">
        <f aca="false">SUM(C514:F514)</f>
        <v>10271.3683896189</v>
      </c>
      <c r="E525" s="13" t="n">
        <f aca="false">SUM(G514:J514)</f>
        <v>13504.3460032093</v>
      </c>
      <c r="F525" s="13" t="n">
        <f aca="false">SUM(K514:N514)</f>
        <v>13616.6902545502</v>
      </c>
      <c r="G525" s="13" t="n">
        <f aca="false">SUM(O514:R514)</f>
        <v>14247.9939070242</v>
      </c>
      <c r="T525" s="8" t="s">
        <v>382</v>
      </c>
    </row>
    <row r="526" customFormat="false" ht="15" hidden="false" customHeight="false" outlineLevel="0" collapsed="false">
      <c r="A526" s="5" t="s">
        <v>375</v>
      </c>
      <c r="B526" s="0" t="s">
        <v>25</v>
      </c>
      <c r="C526" s="13" t="n">
        <f aca="false">a25_rev-(p1_gp+p2_gp+p3_gp+p4_gp)</f>
        <v>1324.8</v>
      </c>
      <c r="D526" s="13" t="n">
        <f aca="false">SUM(C516:F516)</f>
        <v>1637.70421810018</v>
      </c>
      <c r="E526" s="13" t="n">
        <f aca="false">SUM(G516:J516)</f>
        <v>1785.68379936904</v>
      </c>
      <c r="F526" s="13" t="n">
        <f aca="false">SUM(K516:N516)</f>
        <v>1911.29126907767</v>
      </c>
      <c r="G526" s="13" t="n">
        <f aca="false">SUM(O516:R516)</f>
        <v>1973.85853786732</v>
      </c>
    </row>
    <row r="527" customFormat="false" ht="15" hidden="false" customHeight="false" outlineLevel="0" collapsed="false">
      <c r="A527" s="5" t="s">
        <v>286</v>
      </c>
      <c r="B527" s="0" t="s">
        <v>116</v>
      </c>
      <c r="C527" s="14" t="n">
        <f aca="false">1-C526/C525</f>
        <v>0.433264887063655</v>
      </c>
      <c r="D527" s="14" t="n">
        <f aca="false">1-D526/D525</f>
        <v>0.840556374187166</v>
      </c>
      <c r="E527" s="14" t="n">
        <f aca="false">1-E526/E525</f>
        <v>0.867769694367674</v>
      </c>
      <c r="F527" s="14" t="n">
        <f aca="false">1-F526/F525</f>
        <v>0.859636135261358</v>
      </c>
      <c r="G527" s="14" t="n">
        <f aca="false">1-G526/G525</f>
        <v>0.861464108509044</v>
      </c>
    </row>
    <row r="528" customFormat="false" ht="15" hidden="false" customHeight="false" outlineLevel="0" collapsed="false">
      <c r="A528" s="5" t="s">
        <v>377</v>
      </c>
      <c r="B528" s="0" t="s">
        <v>25</v>
      </c>
      <c r="D528" s="13" t="n">
        <f aca="false">SUM(C518:F518)</f>
        <v>398.262863608718</v>
      </c>
      <c r="E528" s="13" t="n">
        <f aca="false">SUM(G518:J518)</f>
        <v>429.473634576239</v>
      </c>
      <c r="F528" s="13" t="n">
        <f aca="false">SUM(K518:N518)</f>
        <v>460.040094544062</v>
      </c>
      <c r="G528" s="13" t="n">
        <f aca="false">SUM(O518:R518)</f>
        <v>498.740450268659</v>
      </c>
    </row>
    <row r="529" customFormat="false" ht="15" hidden="false" customHeight="false" outlineLevel="0" collapsed="false">
      <c r="A529" s="5" t="s">
        <v>284</v>
      </c>
      <c r="B529" s="0" t="s">
        <v>25</v>
      </c>
      <c r="C529" s="13" t="n">
        <f aca="false">p1_op+p2_op+p3_op+p4_op</f>
        <v>869</v>
      </c>
      <c r="D529" s="13" t="n">
        <f aca="false">SUM(C519:F519)</f>
        <v>8235.40130791005</v>
      </c>
      <c r="E529" s="13" t="n">
        <f aca="false">SUM(G519:J519)</f>
        <v>11289.188569264</v>
      </c>
      <c r="F529" s="13" t="n">
        <f aca="false">SUM(K519:N519)</f>
        <v>11245.3588909284</v>
      </c>
      <c r="G529" s="13" t="n">
        <f aca="false">SUM(O519:R519)</f>
        <v>11775.3949188882</v>
      </c>
    </row>
    <row r="530" customFormat="false" ht="15" hidden="false" customHeight="false" outlineLevel="0" collapsed="false">
      <c r="A530" s="5" t="s">
        <v>287</v>
      </c>
      <c r="B530" s="0" t="s">
        <v>116</v>
      </c>
      <c r="C530" s="14" t="n">
        <f aca="false">C529/C525</f>
        <v>0.371748802190281</v>
      </c>
      <c r="D530" s="14" t="n">
        <f aca="false">D529/D525</f>
        <v>0.801782293801612</v>
      </c>
      <c r="E530" s="14" t="n">
        <f aca="false">E529/E525</f>
        <v>0.835967070643862</v>
      </c>
      <c r="F530" s="14" t="n">
        <f aca="false">F529/F525</f>
        <v>0.825851119523753</v>
      </c>
      <c r="G530" s="14" t="n">
        <f aca="false">G529/G525</f>
        <v>0.826459850820333</v>
      </c>
    </row>
    <row r="531" customFormat="false" ht="15" hidden="false" customHeight="false" outlineLevel="0" collapsed="false">
      <c r="A531" s="5" t="s">
        <v>285</v>
      </c>
      <c r="B531" s="0" t="s">
        <v>25</v>
      </c>
      <c r="C531" s="13" t="n">
        <f aca="false">a25_ni</f>
        <v>554.5</v>
      </c>
      <c r="D531" s="13" t="n">
        <f aca="false">SUM(C521:F521)</f>
        <v>5543.60464937883</v>
      </c>
      <c r="E531" s="13" t="n">
        <f aca="false">SUM(G521:J521)</f>
        <v>7661.95698839213</v>
      </c>
      <c r="F531" s="13" t="n">
        <f aca="false">SUM(K521:N521)</f>
        <v>7673.0178531408</v>
      </c>
      <c r="G531" s="13" t="n">
        <f aca="false">SUM(O521:R521)</f>
        <v>8074.36756927457</v>
      </c>
    </row>
    <row r="532" customFormat="false" ht="15" hidden="false" customHeight="false" outlineLevel="0" collapsed="false">
      <c r="A532" s="5" t="s">
        <v>383</v>
      </c>
      <c r="B532" s="0" t="s">
        <v>25</v>
      </c>
      <c r="D532" s="13" t="n">
        <f aca="false">da_y</f>
        <v>320</v>
      </c>
      <c r="E532" s="13" t="n">
        <f aca="false">da_y</f>
        <v>320</v>
      </c>
      <c r="F532" s="13" t="n">
        <f aca="false">da_y</f>
        <v>320</v>
      </c>
      <c r="G532" s="13" t="n">
        <f aca="false">da_y</f>
        <v>320</v>
      </c>
    </row>
    <row r="533" customFormat="false" ht="15" hidden="false" customHeight="false" outlineLevel="0" collapsed="false">
      <c r="A533" s="5" t="s">
        <v>384</v>
      </c>
      <c r="B533" s="0" t="s">
        <v>25</v>
      </c>
      <c r="D533" s="13" t="n">
        <f aca="false">cap_2026</f>
        <v>450</v>
      </c>
      <c r="E533" s="13" t="n">
        <f aca="false">cap_2027</f>
        <v>470</v>
      </c>
      <c r="F533" s="13" t="n">
        <f aca="false">cap_2028</f>
        <v>470</v>
      </c>
      <c r="G533" s="13" t="n">
        <f aca="false">cap_2029</f>
        <v>470</v>
      </c>
    </row>
    <row r="534" customFormat="false" ht="15" hidden="false" customHeight="false" outlineLevel="0" collapsed="false">
      <c r="A534" s="5" t="s">
        <v>385</v>
      </c>
      <c r="B534" s="0" t="s">
        <v>25</v>
      </c>
      <c r="D534" s="13" t="n">
        <f aca="false">D531+D532-D533</f>
        <v>5413.60464937883</v>
      </c>
      <c r="E534" s="13" t="n">
        <f aca="false">E531+E532-E533</f>
        <v>7511.95698839213</v>
      </c>
      <c r="F534" s="13" t="n">
        <f aca="false">F531+F532-F533</f>
        <v>7523.0178531408</v>
      </c>
      <c r="G534" s="13" t="n">
        <f aca="false">G531+G532-G533</f>
        <v>7924.36756927457</v>
      </c>
    </row>
    <row r="535" customFormat="false" ht="17.15" hidden="false" customHeight="false" outlineLevel="0" collapsed="false">
      <c r="A535" s="5" t="s">
        <v>386</v>
      </c>
      <c r="B535" s="0" t="s">
        <v>25</v>
      </c>
      <c r="D535" s="13" t="n">
        <f aca="false">MAX(0,payout*(SUM(D521:F521)+0.75*(D532-D533)))</f>
        <v>920.780929875766</v>
      </c>
      <c r="E535" s="13" t="n">
        <f aca="false">MAX(0,payout*E534)</f>
        <v>1502.39139767843</v>
      </c>
      <c r="F535" s="13" t="n">
        <f aca="false">MAX(0,payout*F534)</f>
        <v>1504.60357062816</v>
      </c>
      <c r="G535" s="13" t="n">
        <f aca="false">MAX(0,payout*G534)</f>
        <v>1584.87351385491</v>
      </c>
      <c r="T535" s="8" t="s">
        <v>387</v>
      </c>
    </row>
    <row r="536" customFormat="false" ht="17.15" hidden="false" customHeight="false" outlineLevel="0" collapsed="false">
      <c r="A536" s="5" t="s">
        <v>388</v>
      </c>
      <c r="B536" s="0" t="s">
        <v>25</v>
      </c>
      <c r="C536" s="13" t="n">
        <f aca="false">eq25</f>
        <v>1399.1</v>
      </c>
      <c r="D536" s="13" t="n">
        <f aca="false">eq_j+SUM(D521:F521)-D535</f>
        <v>6184.92371950307</v>
      </c>
      <c r="E536" s="13" t="n">
        <f aca="false">D536+E531-E535</f>
        <v>12344.4893102168</v>
      </c>
      <c r="F536" s="13" t="n">
        <f aca="false">E536+F531-F535</f>
        <v>18512.9035927294</v>
      </c>
      <c r="G536" s="13" t="n">
        <f aca="false">F536+G531-G535</f>
        <v>25002.3976481491</v>
      </c>
      <c r="T536" s="8" t="s">
        <v>389</v>
      </c>
    </row>
    <row r="537" customFormat="false" ht="15" hidden="false" customHeight="false" outlineLevel="0" collapsed="false">
      <c r="A537" s="5" t="s">
        <v>390</v>
      </c>
      <c r="B537" s="0" t="s">
        <v>25</v>
      </c>
      <c r="D537" s="13" t="n">
        <f aca="false">nc_j+(SUM(D521:F521)+0.75*(D532-D533))-D535</f>
        <v>3839.52371950306</v>
      </c>
      <c r="E537" s="13" t="n">
        <f aca="false">D537+E534-E535</f>
        <v>9849.08931021677</v>
      </c>
      <c r="F537" s="13" t="n">
        <f aca="false">E537+F534-F535</f>
        <v>15867.5035927294</v>
      </c>
      <c r="G537" s="13" t="n">
        <f aca="false">F537+G534-G535</f>
        <v>22206.9976481491</v>
      </c>
    </row>
    <row r="538" customFormat="false" ht="15" hidden="false" customHeight="false" outlineLevel="0" collapsed="false">
      <c r="A538" s="5" t="s">
        <v>391</v>
      </c>
      <c r="B538" s="5" t="s">
        <v>159</v>
      </c>
      <c r="D538" s="13" t="n">
        <f aca="false">sh0-D535/bb_px*1000</f>
        <v>1571.85411157932</v>
      </c>
      <c r="E538" s="13" t="n">
        <f aca="false">D538-E535/bb_px*1000</f>
        <v>1454.06568369391</v>
      </c>
      <c r="F538" s="13" t="n">
        <f aca="false">E538-F535/bb_px*1000</f>
        <v>1336.10382006175</v>
      </c>
      <c r="G538" s="13" t="n">
        <f aca="false">F538-G535/bb_px*1000</f>
        <v>1211.84874253491</v>
      </c>
    </row>
    <row r="539" customFormat="false" ht="17.15" hidden="false" customHeight="false" outlineLevel="0" collapsed="false">
      <c r="A539" s="0" t="s">
        <v>392</v>
      </c>
      <c r="B539" s="0" t="s">
        <v>78</v>
      </c>
      <c r="C539" s="17" t="n">
        <f aca="false">a25_eps</f>
        <v>341.4</v>
      </c>
      <c r="D539" s="17" t="n">
        <f aca="false">D531/(D538+dil)*1000</f>
        <v>3491.30858142843</v>
      </c>
      <c r="E539" s="17" t="n">
        <f aca="false">E531/(E538+dil)*1000</f>
        <v>5212.06809247396</v>
      </c>
      <c r="F539" s="17" t="n">
        <f aca="false">F531/(F538+dil)*1000</f>
        <v>5674.97431555028</v>
      </c>
      <c r="G539" s="17" t="n">
        <f aca="false">G531/(G538+dil)*1000</f>
        <v>6576.15680079494</v>
      </c>
    </row>
    <row r="540" customFormat="false" ht="17.15" hidden="false" customHeight="false" outlineLevel="0" collapsed="false">
      <c r="A540" s="5" t="s">
        <v>393</v>
      </c>
      <c r="B540" s="0" t="s">
        <v>78</v>
      </c>
      <c r="D540" s="17" t="n">
        <f aca="false">D536/D538*1000</f>
        <v>3934.79501306184</v>
      </c>
      <c r="E540" s="17" t="n">
        <f aca="false">E536/E538*1000</f>
        <v>8489.63664341272</v>
      </c>
      <c r="F540" s="17" t="n">
        <f aca="false">F536/F538*1000</f>
        <v>13855.8870311993</v>
      </c>
      <c r="G540" s="17" t="n">
        <f aca="false">G536/G538*1000</f>
        <v>20631.6157871731</v>
      </c>
    </row>
    <row r="541" customFormat="false" ht="17.15" hidden="false" customHeight="false" outlineLevel="0" collapsed="false">
      <c r="A541" s="0" t="s">
        <v>394</v>
      </c>
      <c r="B541" s="0" t="s">
        <v>116</v>
      </c>
      <c r="D541" s="21" t="n">
        <f aca="false">D531/D536</f>
        <v>0.896309299967282</v>
      </c>
      <c r="E541" s="21" t="n">
        <f aca="false">E531/E536</f>
        <v>0.620678328268372</v>
      </c>
      <c r="F541" s="21" t="n">
        <f aca="false">F531/F536</f>
        <v>0.414468633443013</v>
      </c>
      <c r="G541" s="21" t="n">
        <f aca="false">G531/G536</f>
        <v>0.32294373055347</v>
      </c>
    </row>
    <row r="542" customFormat="false" ht="15" hidden="false" customHeight="false" outlineLevel="0" collapsed="false">
      <c r="A542" s="5" t="s">
        <v>395</v>
      </c>
      <c r="B542" s="0" t="s">
        <v>78</v>
      </c>
      <c r="E542" s="17" t="n">
        <f aca="false">E534/(E538+dil)*1000</f>
        <v>5110.03016468926</v>
      </c>
      <c r="F542" s="17" t="n">
        <f aca="false">F534/(F538+dil)*1000</f>
        <v>5564.03411397312</v>
      </c>
      <c r="G542" s="17" t="n">
        <f aca="false">G534/(G538+dil)*1000</f>
        <v>6453.98952123327</v>
      </c>
    </row>
    <row r="543" customFormat="false" ht="17.15" hidden="false" customHeight="false" outlineLevel="0" collapsed="false">
      <c r="A543" s="5" t="s">
        <v>396</v>
      </c>
      <c r="B543" s="0" t="s">
        <v>25</v>
      </c>
      <c r="D543" s="18" t="n">
        <f aca="false">ABS(C514-q1_rev)+ABS(D519-g2_op)+ABS(C525-2337.6)</f>
        <v>0</v>
      </c>
    </row>
    <row r="560" customFormat="false" ht="17.15" hidden="false" customHeight="false" outlineLevel="0" collapsed="false">
      <c r="A560" s="3" t="s">
        <v>680</v>
      </c>
    </row>
    <row r="561" customFormat="false" ht="17.15" hidden="false" customHeight="false" outlineLevel="0" collapsed="false">
      <c r="A561" s="12" t="s">
        <v>352</v>
      </c>
      <c r="B561" s="6" t="s">
        <v>15</v>
      </c>
      <c r="C561" s="12" t="s">
        <v>353</v>
      </c>
      <c r="D561" s="12" t="s">
        <v>354</v>
      </c>
      <c r="E561" s="12" t="s">
        <v>355</v>
      </c>
      <c r="F561" s="12" t="s">
        <v>356</v>
      </c>
      <c r="G561" s="12" t="s">
        <v>357</v>
      </c>
      <c r="H561" s="12" t="s">
        <v>358</v>
      </c>
      <c r="I561" s="12" t="s">
        <v>359</v>
      </c>
      <c r="J561" s="12" t="s">
        <v>360</v>
      </c>
      <c r="K561" s="12" t="s">
        <v>361</v>
      </c>
      <c r="L561" s="12" t="s">
        <v>362</v>
      </c>
      <c r="M561" s="12" t="s">
        <v>363</v>
      </c>
      <c r="N561" s="12" t="s">
        <v>364</v>
      </c>
      <c r="O561" s="12" t="s">
        <v>365</v>
      </c>
      <c r="P561" s="12" t="s">
        <v>366</v>
      </c>
      <c r="Q561" s="12" t="s">
        <v>367</v>
      </c>
      <c r="R561" s="12" t="s">
        <v>368</v>
      </c>
      <c r="S561" s="12"/>
      <c r="T561" s="6" t="s">
        <v>343</v>
      </c>
    </row>
    <row r="562" customFormat="false" ht="17.15" hidden="false" customHeight="false" outlineLevel="0" collapsed="false">
      <c r="A562" s="5" t="s">
        <v>369</v>
      </c>
      <c r="B562" s="0" t="s">
        <v>317</v>
      </c>
      <c r="C562" s="19" t="n">
        <f aca="false">Units!H4*1</f>
        <v>10.72</v>
      </c>
      <c r="D562" s="19" t="n">
        <f aca="false">Units!I4*1</f>
        <v>14.3197859923946</v>
      </c>
      <c r="E562" s="19" t="n">
        <f aca="false">Units!J4*1*1</f>
        <v>17.6469939469536</v>
      </c>
      <c r="F562" s="19" t="n">
        <f aca="false">Units!K4*1*1</f>
        <v>19.4448271931715</v>
      </c>
      <c r="G562" s="19" t="n">
        <f aca="false">Units!L4*1*1</f>
        <v>20.5604014966272</v>
      </c>
      <c r="H562" s="19" t="n">
        <f aca="false">Units!M4*1*1</f>
        <v>20.6529788219672</v>
      </c>
      <c r="I562" s="19" t="n">
        <f aca="false">Units!N4*1*1</f>
        <v>20.3092156690391</v>
      </c>
      <c r="J562" s="19" t="n">
        <f aca="false">Units!O4*1*1</f>
        <v>20.4006619798858</v>
      </c>
      <c r="K562" s="19" t="n">
        <f aca="false">Units!P4*1*1</f>
        <v>20.492520046061</v>
      </c>
      <c r="L562" s="19" t="n">
        <f aca="false">Units!Q4*1*1</f>
        <v>20.5847917215753</v>
      </c>
      <c r="M562" s="19" t="n">
        <f aca="false">Units!R4*1*1</f>
        <v>20.6774788687878</v>
      </c>
      <c r="N562" s="19" t="n">
        <f aca="false">Units!S4*1*1</f>
        <v>20.8499966018633</v>
      </c>
      <c r="O562" s="19" t="n">
        <f aca="false">Units!T4*1*1</f>
        <v>21.235846897313</v>
      </c>
      <c r="P562" s="19" t="n">
        <f aca="false">Units!U4*1*1</f>
        <v>21.628837743111</v>
      </c>
      <c r="Q562" s="19" t="n">
        <f aca="false">Units!V4*1*1</f>
        <v>22.0291012823706</v>
      </c>
      <c r="R562" s="19" t="n">
        <f aca="false">Units!W4*1*1</f>
        <v>21.5407648571837</v>
      </c>
      <c r="T562" s="8" t="s">
        <v>370</v>
      </c>
    </row>
    <row r="563" customFormat="false" ht="15" hidden="false" customHeight="false" outlineLevel="0" collapsed="false">
      <c r="A563" s="5" t="s">
        <v>371</v>
      </c>
      <c r="B563" s="0" t="s">
        <v>324</v>
      </c>
      <c r="C563" s="19" t="n">
        <f aca="false">Units!H7*1</f>
        <v>40.1757580440862</v>
      </c>
      <c r="D563" s="19" t="n">
        <f aca="false">Units!I7*1</f>
        <v>46.6667956905857</v>
      </c>
      <c r="E563" s="19" t="n">
        <f aca="false">Units!J7*1</f>
        <v>48.944548236035</v>
      </c>
      <c r="F563" s="19" t="n">
        <f aca="false">Units!K7*1</f>
        <v>52.3600980030596</v>
      </c>
      <c r="G563" s="19" t="n">
        <f aca="false">Units!L7*1</f>
        <v>55.3640629793669</v>
      </c>
      <c r="H563" s="19" t="n">
        <f aca="false">Units!M7*1</f>
        <v>58.5403692216961</v>
      </c>
      <c r="I563" s="19" t="n">
        <f aca="false">Units!N7*1</f>
        <v>61.898904166222</v>
      </c>
      <c r="J563" s="19" t="n">
        <f aca="false">Units!O7*1</f>
        <v>65.4501225038245</v>
      </c>
      <c r="K563" s="19" t="n">
        <f aca="false">Units!P7*1</f>
        <v>69.2050787242086</v>
      </c>
      <c r="L563" s="19" t="n">
        <f aca="false">Units!Q7*1</f>
        <v>73.1754615271202</v>
      </c>
      <c r="M563" s="19" t="n">
        <f aca="false">Units!R7*1</f>
        <v>77.3736302077775</v>
      </c>
      <c r="N563" s="19" t="n">
        <f aca="false">Units!S7*1</f>
        <v>80.4321433873819</v>
      </c>
      <c r="O563" s="19" t="n">
        <f aca="false">Units!T7*1</f>
        <v>84.4542491025558</v>
      </c>
      <c r="P563" s="19" t="n">
        <f aca="false">Units!U7*1</f>
        <v>88.6774850338687</v>
      </c>
      <c r="Q563" s="19" t="n">
        <f aca="false">Units!V7*1</f>
        <v>93.1119089388012</v>
      </c>
      <c r="R563" s="19" t="n">
        <f aca="false">Units!W7*1</f>
        <v>94.0045560318226</v>
      </c>
    </row>
    <row r="564" customFormat="false" ht="17.15" hidden="false" customHeight="false" outlineLevel="0" collapsed="false">
      <c r="A564" s="5" t="s">
        <v>280</v>
      </c>
      <c r="B564" s="0" t="s">
        <v>25</v>
      </c>
      <c r="C564" s="13" t="n">
        <f aca="false">q1_rev</f>
        <v>1767.1</v>
      </c>
      <c r="D564" s="13" t="n">
        <f aca="false">g2_rev</f>
        <v>2390</v>
      </c>
      <c r="E564" s="13" t="n">
        <f aca="false">E562*kx_k*fx</f>
        <v>2908.95550407292</v>
      </c>
      <c r="F564" s="13" t="n">
        <f aca="false">F562*kx_k*fx</f>
        <v>3205.31288554602</v>
      </c>
      <c r="G564" s="13" t="n">
        <f aca="false">G562*kx_k*fx</f>
        <v>3389.20573551212</v>
      </c>
      <c r="H564" s="13" t="n">
        <f aca="false">H562*kx_k*fx</f>
        <v>3404.46631308752</v>
      </c>
      <c r="I564" s="13" t="n">
        <f aca="false">I562*kx_k*fx</f>
        <v>3347.79990753349</v>
      </c>
      <c r="J564" s="13" t="n">
        <f aca="false">J562*kx_k*fx</f>
        <v>3362.87404707614</v>
      </c>
      <c r="K564" s="13" t="n">
        <f aca="false">K562*kx_k*fx</f>
        <v>3378.01606095097</v>
      </c>
      <c r="L564" s="13" t="n">
        <f aca="false">L562*kx_k*fx</f>
        <v>3393.22625477572</v>
      </c>
      <c r="M564" s="13" t="n">
        <f aca="false">M562*kx_k*fx</f>
        <v>3408.5049355443</v>
      </c>
      <c r="N564" s="13" t="n">
        <f aca="false">N562*kx_k*fx</f>
        <v>3436.94300327916</v>
      </c>
      <c r="O564" s="13" t="n">
        <f aca="false">O562*kx_k*fx</f>
        <v>3500.54711308226</v>
      </c>
      <c r="P564" s="13" t="n">
        <f aca="false">P562*kx_k*fx</f>
        <v>3565.32828132943</v>
      </c>
      <c r="Q564" s="13" t="n">
        <f aca="false">Q562*kx_k*fx</f>
        <v>3631.30829067883</v>
      </c>
      <c r="R564" s="13" t="n">
        <f aca="false">R562*kx_k*fx</f>
        <v>3550.8102219337</v>
      </c>
      <c r="T564" s="5" t="s">
        <v>372</v>
      </c>
    </row>
    <row r="565" customFormat="false" ht="17.15" hidden="false" customHeight="false" outlineLevel="0" collapsed="false">
      <c r="A565" s="5" t="s">
        <v>373</v>
      </c>
      <c r="B565" s="0" t="s">
        <v>374</v>
      </c>
      <c r="C565" s="20" t="n">
        <f aca="false">C566/C563</f>
        <v>9.63267449926724</v>
      </c>
      <c r="D565" s="20" t="n">
        <f aca="false">D566/D563</f>
        <v>9.21426023871499</v>
      </c>
      <c r="E565" s="20" t="n">
        <f aca="false">$D565*(1-cd_A)^(1/4)</f>
        <v>8.87329840103618</v>
      </c>
      <c r="F565" s="20" t="n">
        <f aca="false">$D565*(1-cd_A)^(2/4)</f>
        <v>8.5449534172058</v>
      </c>
      <c r="G565" s="20" t="n">
        <f aca="false">$D565*(1-cd_A)^(3/4)</f>
        <v>8.22875841679016</v>
      </c>
      <c r="H565" s="20" t="n">
        <f aca="false">$D565*(1-cd_A)^(4/4)</f>
        <v>7.92426380529489</v>
      </c>
      <c r="I565" s="20" t="n">
        <f aca="false">$D565*(1-cd_A)^(5/4)</f>
        <v>7.63103662489111</v>
      </c>
      <c r="J565" s="20" t="n">
        <f aca="false">$D565*(1-cd_A)^(6/4)</f>
        <v>7.34865993879699</v>
      </c>
      <c r="K565" s="20" t="n">
        <f aca="false">$D565*(1-cd_A)^(7/4)</f>
        <v>7.07673223843954</v>
      </c>
      <c r="L565" s="20" t="n">
        <f aca="false">$D565*(1-cd_A)^(8/4)</f>
        <v>6.81486687255361</v>
      </c>
      <c r="M565" s="20" t="n">
        <f aca="false">$D565*(1-cd_A)^(9/4)</f>
        <v>6.56269149740636</v>
      </c>
      <c r="N565" s="20" t="n">
        <f aca="false">$D565*(1-cd_A)^(10/4)</f>
        <v>6.31984754736541</v>
      </c>
      <c r="O565" s="20" t="n">
        <f aca="false">$D565*(1-cd_A)^(11/4)</f>
        <v>6.085989725058</v>
      </c>
      <c r="P565" s="20" t="n">
        <f aca="false">$D565*(1-cd_A)^(12/4)</f>
        <v>5.8607855103961</v>
      </c>
      <c r="Q565" s="20" t="n">
        <f aca="false">$D565*(1-cd_A)^(13/4)</f>
        <v>5.64391468776947</v>
      </c>
      <c r="R565" s="20" t="n">
        <f aca="false">$D565*(1-cd_A)^(14/4)</f>
        <v>5.43506889073425</v>
      </c>
    </row>
    <row r="566" customFormat="false" ht="15" hidden="false" customHeight="false" outlineLevel="0" collapsed="false">
      <c r="A566" s="5" t="s">
        <v>375</v>
      </c>
      <c r="B566" s="0" t="s">
        <v>25</v>
      </c>
      <c r="C566" s="13" t="n">
        <f aca="false">q1_rev-q1_gp</f>
        <v>387</v>
      </c>
      <c r="D566" s="13" t="n">
        <f aca="false">g2_rev-g2_op-g2_ox</f>
        <v>430</v>
      </c>
      <c r="E566" s="13" t="n">
        <f aca="false">E563*E565</f>
        <v>434.299581602247</v>
      </c>
      <c r="F566" s="13" t="n">
        <f aca="false">F563*F565</f>
        <v>447.414598356475</v>
      </c>
      <c r="G566" s="13" t="n">
        <f aca="false">G563*G565</f>
        <v>455.577499229166</v>
      </c>
      <c r="H566" s="13" t="n">
        <f aca="false">H563*H565</f>
        <v>463.889328972086</v>
      </c>
      <c r="I566" s="13" t="n">
        <f aca="false">I563*I565</f>
        <v>472.352804733065</v>
      </c>
      <c r="J566" s="13" t="n">
        <f aca="false">J563*J565</f>
        <v>480.97069323321</v>
      </c>
      <c r="K566" s="13" t="n">
        <f aca="false">K563*K565</f>
        <v>489.745811671353</v>
      </c>
      <c r="L566" s="13" t="n">
        <f aca="false">L563*L565</f>
        <v>498.681028644993</v>
      </c>
      <c r="M566" s="13" t="n">
        <f aca="false">M563*M565</f>
        <v>507.779265088045</v>
      </c>
      <c r="N566" s="13" t="n">
        <f aca="false">N563*N565</f>
        <v>508.318884116089</v>
      </c>
      <c r="O566" s="13" t="n">
        <f aca="false">O563*O565</f>
        <v>513.987692275643</v>
      </c>
      <c r="P566" s="13" t="n">
        <f aca="false">P563*P565</f>
        <v>519.719719384865</v>
      </c>
      <c r="Q566" s="13" t="n">
        <f aca="false">Q563*Q565</f>
        <v>525.515670465953</v>
      </c>
      <c r="R566" s="13" t="n">
        <f aca="false">R563*R565</f>
        <v>510.921238075844</v>
      </c>
      <c r="T566" s="5" t="s">
        <v>376</v>
      </c>
    </row>
    <row r="567" customFormat="false" ht="15" hidden="false" customHeight="false" outlineLevel="0" collapsed="false">
      <c r="A567" s="5" t="s">
        <v>286</v>
      </c>
      <c r="B567" s="0" t="s">
        <v>116</v>
      </c>
      <c r="C567" s="14" t="n">
        <f aca="false">1-C566/C564</f>
        <v>0.780997113915455</v>
      </c>
      <c r="D567" s="14" t="n">
        <f aca="false">1-D566/D564</f>
        <v>0.820083682008368</v>
      </c>
      <c r="E567" s="14" t="n">
        <f aca="false">1-E566/E564</f>
        <v>0.850702569704428</v>
      </c>
      <c r="F567" s="14" t="n">
        <f aca="false">1-F566/F564</f>
        <v>0.860414688258972</v>
      </c>
      <c r="G567" s="14" t="n">
        <f aca="false">1-G566/G564</f>
        <v>0.865579863017573</v>
      </c>
      <c r="H567" s="14" t="n">
        <f aca="false">1-H566/H564</f>
        <v>0.863740954877776</v>
      </c>
      <c r="I567" s="14" t="n">
        <f aca="false">1-I566/I564</f>
        <v>0.858906500454182</v>
      </c>
      <c r="J567" s="14" t="n">
        <f aca="false">1-J566/J564</f>
        <v>0.856976298695637</v>
      </c>
      <c r="K567" s="14" t="n">
        <f aca="false">1-K566/K564</f>
        <v>0.855019691193096</v>
      </c>
      <c r="L567" s="14" t="n">
        <f aca="false">1-L566/L564</f>
        <v>0.85303631670799</v>
      </c>
      <c r="M567" s="14" t="n">
        <f aca="false">1-M566/M564</f>
        <v>0.851025809059901</v>
      </c>
      <c r="N567" s="14" t="n">
        <f aca="false">1-N566/N564</f>
        <v>0.85210145072784</v>
      </c>
      <c r="O567" s="14" t="n">
        <f aca="false">1-O566/O564</f>
        <v>0.853169325916293</v>
      </c>
      <c r="P567" s="14" t="n">
        <f aca="false">1-P566/P564</f>
        <v>0.854229490701744</v>
      </c>
      <c r="Q567" s="14" t="n">
        <f aca="false">1-Q566/Q564</f>
        <v>0.85528200075579</v>
      </c>
      <c r="R567" s="14" t="n">
        <f aca="false">1-R566/R564</f>
        <v>0.856111364409218</v>
      </c>
    </row>
    <row r="568" customFormat="false" ht="17.15" hidden="false" customHeight="false" outlineLevel="0" collapsed="false">
      <c r="A568" s="5" t="s">
        <v>377</v>
      </c>
      <c r="B568" s="0" t="s">
        <v>25</v>
      </c>
      <c r="C568" s="13" t="n">
        <f aca="false">q1_gp-q1_op</f>
        <v>110.1</v>
      </c>
      <c r="D568" s="13" t="n">
        <f aca="false">g2_ox</f>
        <v>70</v>
      </c>
      <c r="E568" s="13" t="n">
        <f aca="false">(g2_ox-ox_var_hi*g2_rev)*(1+ox_g)^(1/4)+ox_var_hi*E564</f>
        <v>80.9144339791331</v>
      </c>
      <c r="F568" s="13" t="n">
        <f aca="false">(g2_ox-ox_var_hi*g2_rev)*(1+ox_g)^(2/4)+ox_var_hi*F564</f>
        <v>87.3898141402978</v>
      </c>
      <c r="G568" s="13" t="n">
        <f aca="false">(g2_ox-ox_var_hi*g2_rev)*(1+ox_g)^(3/4)+ox_var_hi*G564</f>
        <v>91.6291235801379</v>
      </c>
      <c r="H568" s="13" t="n">
        <f aca="false">(g2_ox-ox_var_hi*g2_rev)*(1+ox_g)^(4/4)+ox_var_hi*H564</f>
        <v>92.5093262617504</v>
      </c>
      <c r="I568" s="13" t="n">
        <f aca="false">(g2_ox-ox_var_hi*g2_rev)*(1+ox_g)^(5/4)+ox_var_hi*I564</f>
        <v>91.9648544381119</v>
      </c>
      <c r="J568" s="13" t="n">
        <f aca="false">(g2_ox-ox_var_hi*g2_rev)*(1+ox_g)^(6/4)+ox_var_hi*J564</f>
        <v>92.8693930138379</v>
      </c>
      <c r="K568" s="13" t="n">
        <f aca="false">(g2_ox-ox_var_hi*g2_rev)*(1+ox_g)^(7/4)+ox_var_hi*K564</f>
        <v>93.7898309759044</v>
      </c>
      <c r="L568" s="13" t="n">
        <f aca="false">(g2_ox-ox_var_hi*g2_rev)*(1+ox_g)^(8/4)+ox_var_hi*L564</f>
        <v>94.7265250955144</v>
      </c>
      <c r="M568" s="13" t="n">
        <f aca="false">(g2_ox-ox_var_hi*g2_rev)*(1+ox_g)^(9/4)+ox_var_hi*M564</f>
        <v>95.6798406270724</v>
      </c>
      <c r="N568" s="13" t="n">
        <f aca="false">(g2_ox-ox_var_hi*g2_rev)*(1+ox_g)^(10/4)+ox_var_hi*N564</f>
        <v>96.9119633451299</v>
      </c>
      <c r="O568" s="13" t="n">
        <f aca="false">(g2_ox-ox_var_hi*g2_rev)*(1+ox_g)^(11/4)+ox_var_hi*O564</f>
        <v>98.8634029942187</v>
      </c>
      <c r="P568" s="13" t="n">
        <f aca="false">(g2_ox-ox_var_hi*g2_rev)*(1+ox_g)^(12/4)+ox_var_hi*P564</f>
        <v>100.854765626589</v>
      </c>
      <c r="Q568" s="13" t="n">
        <f aca="false">(g2_ox-ox_var_hi*g2_rev)*(1+ox_g)^(13/4)+ox_var_hi*Q564</f>
        <v>102.886881921382</v>
      </c>
      <c r="R568" s="13" t="n">
        <f aca="false">(g2_ox-ox_var_hi*g2_rev)*(1+ox_g)^(14/4)+ox_var_hi*R564</f>
        <v>102.006618046175</v>
      </c>
      <c r="T568" s="5" t="s">
        <v>378</v>
      </c>
    </row>
    <row r="569" customFormat="false" ht="15" hidden="false" customHeight="false" outlineLevel="0" collapsed="false">
      <c r="A569" s="5" t="s">
        <v>284</v>
      </c>
      <c r="B569" s="0" t="s">
        <v>25</v>
      </c>
      <c r="C569" s="13" t="n">
        <f aca="false">C564-C566-C568</f>
        <v>1270</v>
      </c>
      <c r="D569" s="13" t="n">
        <f aca="false">D564-D566-D568</f>
        <v>1890</v>
      </c>
      <c r="E569" s="13" t="n">
        <f aca="false">E564-E566-E568</f>
        <v>2393.74148849154</v>
      </c>
      <c r="F569" s="13" t="n">
        <f aca="false">F564-F566-F568</f>
        <v>2670.50847304925</v>
      </c>
      <c r="G569" s="13" t="n">
        <f aca="false">G564-G566-G568</f>
        <v>2841.99911270282</v>
      </c>
      <c r="H569" s="13" t="n">
        <f aca="false">H564-H566-H568</f>
        <v>2848.06765785369</v>
      </c>
      <c r="I569" s="13" t="n">
        <f aca="false">I564-I566-I568</f>
        <v>2783.48224836231</v>
      </c>
      <c r="J569" s="13" t="n">
        <f aca="false">J564-J566-J568</f>
        <v>2789.03396082909</v>
      </c>
      <c r="K569" s="13" t="n">
        <f aca="false">K564-K566-K568</f>
        <v>2794.48041830371</v>
      </c>
      <c r="L569" s="13" t="n">
        <f aca="false">L564-L566-L568</f>
        <v>2799.81870103521</v>
      </c>
      <c r="M569" s="13" t="n">
        <f aca="false">M564-M566-M568</f>
        <v>2805.04582982918</v>
      </c>
      <c r="N569" s="13" t="n">
        <f aca="false">N564-N566-N568</f>
        <v>2831.71215581794</v>
      </c>
      <c r="O569" s="13" t="n">
        <f aca="false">O564-O566-O568</f>
        <v>2887.6960178124</v>
      </c>
      <c r="P569" s="13" t="n">
        <f aca="false">P564-P566-P568</f>
        <v>2944.75379631797</v>
      </c>
      <c r="Q569" s="13" t="n">
        <f aca="false">Q564-Q566-Q568</f>
        <v>3002.9057382915</v>
      </c>
      <c r="R569" s="13" t="n">
        <f aca="false">R564-R566-R568</f>
        <v>2937.88236581169</v>
      </c>
    </row>
    <row r="571" customFormat="false" ht="17.15" hidden="false" customHeight="false" outlineLevel="0" collapsed="false">
      <c r="A571" s="5" t="s">
        <v>285</v>
      </c>
      <c r="B571" s="0" t="s">
        <v>25</v>
      </c>
      <c r="C571" s="13" t="n">
        <f aca="false">q1_ni</f>
        <v>842.2</v>
      </c>
      <c r="D571" s="13" t="n">
        <f aca="false">g2_ni</f>
        <v>1270</v>
      </c>
      <c r="E571" s="13" t="n">
        <f aca="false">(E569+nonop_q+rf*nc_j/4)*(1-tax)</f>
        <v>1617.81009217425</v>
      </c>
      <c r="F571" s="13" t="n">
        <f aca="false">(F569+nonop_q+rf*nc_j/4)*(1-tax)</f>
        <v>1806.01164167349</v>
      </c>
      <c r="G571" s="13" t="n">
        <f aca="false">(G569+nonop_q+rf*$D587/4)*(1-tax)</f>
        <v>1928.87627419595</v>
      </c>
      <c r="H571" s="13" t="n">
        <f aca="false">(H569+nonop_q+rf*$D587/4)*(1-tax)</f>
        <v>1933.00288489854</v>
      </c>
      <c r="I571" s="13" t="n">
        <f aca="false">(I569+nonop_q+rf*$D587/4)*(1-tax)</f>
        <v>1889.0848064444</v>
      </c>
      <c r="J571" s="13" t="n">
        <f aca="false">(J569+nonop_q+rf*$D587/4)*(1-tax)</f>
        <v>1892.85997092181</v>
      </c>
      <c r="K571" s="13" t="n">
        <f aca="false">(K569+nonop_q+rf*$E587/4)*(1-tax)</f>
        <v>1906.75516255814</v>
      </c>
      <c r="L571" s="13" t="n">
        <f aca="false">(L569+nonop_q+rf*$E587/4)*(1-tax)</f>
        <v>1910.38519481556</v>
      </c>
      <c r="M571" s="13" t="n">
        <f aca="false">(M569+nonop_q+rf*$E587/4)*(1-tax)</f>
        <v>1913.93964239547</v>
      </c>
      <c r="N571" s="13" t="n">
        <f aca="false">(N569+nonop_q+rf*$E587/4)*(1-tax)</f>
        <v>1932.07274406782</v>
      </c>
      <c r="O571" s="13" t="n">
        <f aca="false">(O569+nonop_q+rf*$F587/4)*(1-tax)</f>
        <v>1980.35965795567</v>
      </c>
      <c r="P571" s="13" t="n">
        <f aca="false">(P569+nonop_q+rf*$F587/4)*(1-tax)</f>
        <v>2019.15894733946</v>
      </c>
      <c r="Q571" s="13" t="n">
        <f aca="false">(Q569+nonop_q+rf*$F587/4)*(1-tax)</f>
        <v>2058.70226788146</v>
      </c>
      <c r="R571" s="13" t="n">
        <f aca="false">(R569+nonop_q+rf*$F587/4)*(1-tax)</f>
        <v>2014.48637459518</v>
      </c>
      <c r="T571" s="5" t="s">
        <v>379</v>
      </c>
    </row>
    <row r="572" customFormat="false" ht="17.15" hidden="false" customHeight="false" outlineLevel="0" collapsed="false">
      <c r="A572" s="5" t="s">
        <v>380</v>
      </c>
      <c r="B572" s="0" t="s">
        <v>78</v>
      </c>
      <c r="C572" s="17" t="n">
        <f aca="false">C571/(sh0+dil)*1000</f>
        <v>507.343332753891</v>
      </c>
      <c r="D572" s="17" t="n">
        <f aca="false">D571/(sh0+dil)*1000</f>
        <v>765.051095461222</v>
      </c>
      <c r="E572" s="17" t="n">
        <f aca="false">E571/(sh0+dil)*1000</f>
        <v>974.572742729235</v>
      </c>
      <c r="F572" s="17" t="n">
        <f aca="false">F571/(sh0+dil)*1000</f>
        <v>1087.94581486459</v>
      </c>
      <c r="G572" s="17" t="n">
        <f aca="false">G571/(sh0+dil)*1000</f>
        <v>1161.95976896281</v>
      </c>
      <c r="H572" s="17" t="n">
        <f aca="false">H571/(sh0+dil)*1000</f>
        <v>1164.44564930813</v>
      </c>
      <c r="I572" s="17" t="n">
        <f aca="false">I571/(sh0+dil)*1000</f>
        <v>1137.98929180271</v>
      </c>
      <c r="J572" s="17" t="n">
        <f aca="false">J571/(sh0+dil)*1000</f>
        <v>1140.26346008538</v>
      </c>
      <c r="K572" s="17" t="n">
        <f aca="false">K571/(sh0+dil)*1000</f>
        <v>1148.63395739484</v>
      </c>
      <c r="L572" s="17" t="n">
        <f aca="false">L571/(sh0+dil)*1000</f>
        <v>1150.82069767445</v>
      </c>
      <c r="M572" s="17" t="n">
        <f aca="false">M571/(sh0+dil)*1000</f>
        <v>1152.96190556009</v>
      </c>
      <c r="N572" s="17" t="n">
        <f aca="false">N571/(sh0+dil)*1000</f>
        <v>1163.88533020461</v>
      </c>
      <c r="O572" s="17" t="n">
        <f aca="false">O571/(sh0+dil)*1000</f>
        <v>1192.97348482377</v>
      </c>
      <c r="P572" s="17" t="n">
        <f aca="false">P571/(sh0+dil)*1000</f>
        <v>1216.34627131684</v>
      </c>
      <c r="Q572" s="17" t="n">
        <f aca="false">Q571/(sh0+dil)*1000</f>
        <v>1240.16726399308</v>
      </c>
      <c r="R572" s="17" t="n">
        <f aca="false">R571/(sh0+dil)*1000</f>
        <v>1213.53150210689</v>
      </c>
    </row>
    <row r="574" customFormat="false" ht="17.15" hidden="false" customHeight="false" outlineLevel="0" collapsed="false">
      <c r="A574" s="12" t="s">
        <v>381</v>
      </c>
      <c r="B574" s="6" t="s">
        <v>15</v>
      </c>
      <c r="C574" s="12" t="s">
        <v>338</v>
      </c>
      <c r="D574" s="12" t="s">
        <v>339</v>
      </c>
      <c r="E574" s="12" t="s">
        <v>340</v>
      </c>
      <c r="F574" s="12" t="s">
        <v>341</v>
      </c>
      <c r="G574" s="12" t="s">
        <v>342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6" t="s">
        <v>343</v>
      </c>
    </row>
    <row r="575" customFormat="false" ht="17.15" hidden="false" customHeight="false" outlineLevel="0" collapsed="false">
      <c r="A575" s="5" t="s">
        <v>280</v>
      </c>
      <c r="B575" s="0" t="s">
        <v>25</v>
      </c>
      <c r="C575" s="13" t="n">
        <f aca="false">a25_rev</f>
        <v>2337.6</v>
      </c>
      <c r="D575" s="13" t="n">
        <f aca="false">SUM(C564:F564)</f>
        <v>10271.3683896189</v>
      </c>
      <c r="E575" s="13" t="n">
        <f aca="false">SUM(G564:J564)</f>
        <v>13504.3460032093</v>
      </c>
      <c r="F575" s="13" t="n">
        <f aca="false">SUM(K564:N564)</f>
        <v>13616.6902545502</v>
      </c>
      <c r="G575" s="13" t="n">
        <f aca="false">SUM(O564:R564)</f>
        <v>14247.9939070242</v>
      </c>
      <c r="T575" s="8" t="s">
        <v>382</v>
      </c>
    </row>
    <row r="576" customFormat="false" ht="15" hidden="false" customHeight="false" outlineLevel="0" collapsed="false">
      <c r="A576" s="5" t="s">
        <v>375</v>
      </c>
      <c r="B576" s="0" t="s">
        <v>25</v>
      </c>
      <c r="C576" s="13" t="n">
        <f aca="false">a25_rev-(p1_gp+p2_gp+p3_gp+p4_gp)</f>
        <v>1324.8</v>
      </c>
      <c r="D576" s="13" t="n">
        <f aca="false">SUM(C566:F566)</f>
        <v>1698.71417995872</v>
      </c>
      <c r="E576" s="13" t="n">
        <f aca="false">SUM(G566:J566)</f>
        <v>1872.79032616753</v>
      </c>
      <c r="F576" s="13" t="n">
        <f aca="false">SUM(K566:N566)</f>
        <v>2004.52498952048</v>
      </c>
      <c r="G576" s="13" t="n">
        <f aca="false">SUM(O566:R566)</f>
        <v>2070.14432020231</v>
      </c>
    </row>
    <row r="577" customFormat="false" ht="15" hidden="false" customHeight="false" outlineLevel="0" collapsed="false">
      <c r="A577" s="5" t="s">
        <v>286</v>
      </c>
      <c r="B577" s="0" t="s">
        <v>116</v>
      </c>
      <c r="C577" s="14" t="n">
        <f aca="false">1-C576/C575</f>
        <v>0.433264887063655</v>
      </c>
      <c r="D577" s="14" t="n">
        <f aca="false">1-D576/D575</f>
        <v>0.834616565629602</v>
      </c>
      <c r="E577" s="14" t="n">
        <f aca="false">1-E576/E575</f>
        <v>0.861319435556341</v>
      </c>
      <c r="F577" s="14" t="n">
        <f aca="false">1-F576/F575</f>
        <v>0.852789117469229</v>
      </c>
      <c r="G577" s="14" t="n">
        <f aca="false">1-G576/G575</f>
        <v>0.854706260143631</v>
      </c>
    </row>
    <row r="578" customFormat="false" ht="15" hidden="false" customHeight="false" outlineLevel="0" collapsed="false">
      <c r="A578" s="5" t="s">
        <v>377</v>
      </c>
      <c r="B578" s="0" t="s">
        <v>25</v>
      </c>
      <c r="D578" s="13" t="n">
        <f aca="false">SUM(C568:F568)</f>
        <v>348.404248119431</v>
      </c>
      <c r="E578" s="13" t="n">
        <f aca="false">SUM(G568:J568)</f>
        <v>368.972697293838</v>
      </c>
      <c r="F578" s="13" t="n">
        <f aca="false">SUM(K568:N568)</f>
        <v>381.108160043621</v>
      </c>
      <c r="G578" s="13" t="n">
        <f aca="false">SUM(O568:R568)</f>
        <v>404.611668588364</v>
      </c>
    </row>
    <row r="579" customFormat="false" ht="15" hidden="false" customHeight="false" outlineLevel="0" collapsed="false">
      <c r="A579" s="5" t="s">
        <v>284</v>
      </c>
      <c r="B579" s="0" t="s">
        <v>25</v>
      </c>
      <c r="C579" s="13" t="n">
        <f aca="false">p1_op+p2_op+p3_op+p4_op</f>
        <v>869</v>
      </c>
      <c r="D579" s="13" t="n">
        <f aca="false">SUM(C569:F569)</f>
        <v>8224.24996154079</v>
      </c>
      <c r="E579" s="13" t="n">
        <f aca="false">SUM(G569:J569)</f>
        <v>11262.5829797479</v>
      </c>
      <c r="F579" s="13" t="n">
        <f aca="false">SUM(K569:N569)</f>
        <v>11231.0571049861</v>
      </c>
      <c r="G579" s="13" t="n">
        <f aca="false">SUM(O569:R569)</f>
        <v>11773.2379182336</v>
      </c>
    </row>
    <row r="580" customFormat="false" ht="15" hidden="false" customHeight="false" outlineLevel="0" collapsed="false">
      <c r="A580" s="5" t="s">
        <v>287</v>
      </c>
      <c r="B580" s="0" t="s">
        <v>116</v>
      </c>
      <c r="C580" s="14" t="n">
        <f aca="false">C579/C575</f>
        <v>0.371748802190281</v>
      </c>
      <c r="D580" s="14" t="n">
        <f aca="false">D579/D575</f>
        <v>0.800696620895505</v>
      </c>
      <c r="E580" s="14" t="n">
        <f aca="false">E579/E575</f>
        <v>0.833996920478147</v>
      </c>
      <c r="F580" s="14" t="n">
        <f aca="false">F579/F575</f>
        <v>0.8248008065861</v>
      </c>
      <c r="G580" s="14" t="n">
        <f aca="false">G579/G575</f>
        <v>0.826308461040917</v>
      </c>
    </row>
    <row r="581" customFormat="false" ht="15" hidden="false" customHeight="false" outlineLevel="0" collapsed="false">
      <c r="A581" s="5" t="s">
        <v>285</v>
      </c>
      <c r="B581" s="0" t="s">
        <v>25</v>
      </c>
      <c r="C581" s="13" t="n">
        <f aca="false">a25_ni</f>
        <v>554.5</v>
      </c>
      <c r="D581" s="13" t="n">
        <f aca="false">SUM(C571:F571)</f>
        <v>5536.02173384774</v>
      </c>
      <c r="E581" s="13" t="n">
        <f aca="false">SUM(G571:J571)</f>
        <v>7643.8239364607</v>
      </c>
      <c r="F581" s="13" t="n">
        <f aca="false">SUM(K571:N571)</f>
        <v>7663.15274383699</v>
      </c>
      <c r="G581" s="13" t="n">
        <f aca="false">SUM(O571:R571)</f>
        <v>8072.70724777176</v>
      </c>
    </row>
    <row r="582" customFormat="false" ht="15" hidden="false" customHeight="false" outlineLevel="0" collapsed="false">
      <c r="A582" s="5" t="s">
        <v>383</v>
      </c>
      <c r="B582" s="0" t="s">
        <v>25</v>
      </c>
      <c r="D582" s="13" t="n">
        <f aca="false">da_y</f>
        <v>320</v>
      </c>
      <c r="E582" s="13" t="n">
        <f aca="false">da_y</f>
        <v>320</v>
      </c>
      <c r="F582" s="13" t="n">
        <f aca="false">da_y</f>
        <v>320</v>
      </c>
      <c r="G582" s="13" t="n">
        <f aca="false">da_y</f>
        <v>320</v>
      </c>
    </row>
    <row r="583" customFormat="false" ht="15" hidden="false" customHeight="false" outlineLevel="0" collapsed="false">
      <c r="A583" s="5" t="s">
        <v>384</v>
      </c>
      <c r="B583" s="0" t="s">
        <v>25</v>
      </c>
      <c r="D583" s="13" t="n">
        <f aca="false">cap_2026</f>
        <v>450</v>
      </c>
      <c r="E583" s="13" t="n">
        <f aca="false">cap_2027</f>
        <v>470</v>
      </c>
      <c r="F583" s="13" t="n">
        <f aca="false">cap_2028</f>
        <v>470</v>
      </c>
      <c r="G583" s="13" t="n">
        <f aca="false">cap_2029</f>
        <v>470</v>
      </c>
    </row>
    <row r="584" customFormat="false" ht="15" hidden="false" customHeight="false" outlineLevel="0" collapsed="false">
      <c r="A584" s="5" t="s">
        <v>385</v>
      </c>
      <c r="B584" s="0" t="s">
        <v>25</v>
      </c>
      <c r="D584" s="13" t="n">
        <f aca="false">D581+D582-D583</f>
        <v>5406.02173384774</v>
      </c>
      <c r="E584" s="13" t="n">
        <f aca="false">E581+E582-E583</f>
        <v>7493.8239364607</v>
      </c>
      <c r="F584" s="13" t="n">
        <f aca="false">F581+F582-F583</f>
        <v>7513.15274383699</v>
      </c>
      <c r="G584" s="13" t="n">
        <f aca="false">G581+G582-G583</f>
        <v>7922.70724777176</v>
      </c>
    </row>
    <row r="585" customFormat="false" ht="17.15" hidden="false" customHeight="false" outlineLevel="0" collapsed="false">
      <c r="A585" s="5" t="s">
        <v>386</v>
      </c>
      <c r="B585" s="0" t="s">
        <v>25</v>
      </c>
      <c r="D585" s="13" t="n">
        <f aca="false">MAX(0,payout*(SUM(D571:F571)+0.75*(D582-D583)))</f>
        <v>919.264346769547</v>
      </c>
      <c r="E585" s="13" t="n">
        <f aca="false">MAX(0,payout*E584)</f>
        <v>1498.76478729214</v>
      </c>
      <c r="F585" s="13" t="n">
        <f aca="false">MAX(0,payout*F584)</f>
        <v>1502.6305487674</v>
      </c>
      <c r="G585" s="13" t="n">
        <f aca="false">MAX(0,payout*G584)</f>
        <v>1584.54144955435</v>
      </c>
      <c r="T585" s="8" t="s">
        <v>387</v>
      </c>
    </row>
    <row r="586" customFormat="false" ht="17.15" hidden="false" customHeight="false" outlineLevel="0" collapsed="false">
      <c r="A586" s="5" t="s">
        <v>388</v>
      </c>
      <c r="B586" s="0" t="s">
        <v>25</v>
      </c>
      <c r="C586" s="13" t="n">
        <f aca="false">eq25</f>
        <v>1399.1</v>
      </c>
      <c r="D586" s="13" t="n">
        <f aca="false">eq_j+SUM(D571:F571)-D585</f>
        <v>6178.85738707819</v>
      </c>
      <c r="E586" s="13" t="n">
        <f aca="false">D586+E581-E585</f>
        <v>12323.9165362468</v>
      </c>
      <c r="F586" s="13" t="n">
        <f aca="false">E586+F581-F585</f>
        <v>18484.4387313163</v>
      </c>
      <c r="G586" s="13" t="n">
        <f aca="false">F586+G581-G585</f>
        <v>24972.6045295338</v>
      </c>
      <c r="T586" s="8" t="s">
        <v>389</v>
      </c>
    </row>
    <row r="587" customFormat="false" ht="15" hidden="false" customHeight="false" outlineLevel="0" collapsed="false">
      <c r="A587" s="5" t="s">
        <v>390</v>
      </c>
      <c r="B587" s="0" t="s">
        <v>25</v>
      </c>
      <c r="D587" s="13" t="n">
        <f aca="false">nc_j+(SUM(D571:F571)+0.75*(D582-D583))-D585</f>
        <v>3833.45738707819</v>
      </c>
      <c r="E587" s="13" t="n">
        <f aca="false">D587+E584-E585</f>
        <v>9828.51653624675</v>
      </c>
      <c r="F587" s="13" t="n">
        <f aca="false">E587+F584-F585</f>
        <v>15839.0387313163</v>
      </c>
      <c r="G587" s="13" t="n">
        <f aca="false">F587+G584-G585</f>
        <v>22177.2045295338</v>
      </c>
    </row>
    <row r="588" customFormat="false" ht="15" hidden="false" customHeight="false" outlineLevel="0" collapsed="false">
      <c r="A588" s="5" t="s">
        <v>391</v>
      </c>
      <c r="B588" s="5" t="s">
        <v>159</v>
      </c>
      <c r="D588" s="13" t="n">
        <f aca="false">sh0-D585/bb_px*1000</f>
        <v>1571.97301264606</v>
      </c>
      <c r="E588" s="13" t="n">
        <f aca="false">D588-E585/bb_px*1000</f>
        <v>1454.46891328956</v>
      </c>
      <c r="F588" s="13" t="n">
        <f aca="false">E588-F585/bb_px*1000</f>
        <v>1336.66173580877</v>
      </c>
      <c r="G588" s="13" t="n">
        <f aca="false">F588-G585/bb_px*1000</f>
        <v>1212.43269233137</v>
      </c>
    </row>
    <row r="589" customFormat="false" ht="17.15" hidden="false" customHeight="false" outlineLevel="0" collapsed="false">
      <c r="A589" s="0" t="s">
        <v>392</v>
      </c>
      <c r="B589" s="0" t="s">
        <v>78</v>
      </c>
      <c r="C589" s="17" t="n">
        <f aca="false">a25_eps</f>
        <v>341.4</v>
      </c>
      <c r="D589" s="17" t="n">
        <f aca="false">D581/(D588+dil)*1000</f>
        <v>3486.27187298532</v>
      </c>
      <c r="E589" s="17" t="n">
        <f aca="false">E581/(E588+dil)*1000</f>
        <v>5198.30714650193</v>
      </c>
      <c r="F589" s="17" t="n">
        <f aca="false">F581/(F588+dil)*1000</f>
        <v>5665.34034839887</v>
      </c>
      <c r="G589" s="17" t="n">
        <f aca="false">G581/(G588+dil)*1000</f>
        <v>6571.67908317807</v>
      </c>
    </row>
    <row r="590" customFormat="false" ht="17.15" hidden="false" customHeight="false" outlineLevel="0" collapsed="false">
      <c r="A590" s="5" t="s">
        <v>393</v>
      </c>
      <c r="B590" s="0" t="s">
        <v>78</v>
      </c>
      <c r="D590" s="17" t="n">
        <f aca="false">D586/D588*1000</f>
        <v>3930.63833626348</v>
      </c>
      <c r="E590" s="17" t="n">
        <f aca="false">E586/E588*1000</f>
        <v>8473.13849312453</v>
      </c>
      <c r="F590" s="17" t="n">
        <f aca="false">F586/F588*1000</f>
        <v>13828.8081689807</v>
      </c>
      <c r="G590" s="17" t="n">
        <f aca="false">G586/G588*1000</f>
        <v>20597.1058744007</v>
      </c>
    </row>
    <row r="591" customFormat="false" ht="17.15" hidden="false" customHeight="false" outlineLevel="0" collapsed="false">
      <c r="A591" s="0" t="s">
        <v>394</v>
      </c>
      <c r="B591" s="0" t="s">
        <v>116</v>
      </c>
      <c r="D591" s="21" t="n">
        <f aca="false">D581/D586</f>
        <v>0.89596205043107</v>
      </c>
      <c r="E591" s="21" t="n">
        <f aca="false">E581/E586</f>
        <v>0.620243078892892</v>
      </c>
      <c r="F591" s="21" t="n">
        <f aca="false">F581/F586</f>
        <v>0.414573190737681</v>
      </c>
      <c r="G591" s="21" t="n">
        <f aca="false">G581/G586</f>
        <v>0.3232625270714</v>
      </c>
    </row>
    <row r="592" customFormat="false" ht="15" hidden="false" customHeight="false" outlineLevel="0" collapsed="false">
      <c r="A592" s="5" t="s">
        <v>395</v>
      </c>
      <c r="B592" s="0" t="s">
        <v>78</v>
      </c>
      <c r="E592" s="17" t="n">
        <f aca="false">E584/(E588+dil)*1000</f>
        <v>5096.29719984998</v>
      </c>
      <c r="F592" s="17" t="n">
        <f aca="false">F584/(F588+dil)*1000</f>
        <v>5554.44590577624</v>
      </c>
      <c r="G592" s="17" t="n">
        <f aca="false">G584/(G588+dil)*1000</f>
        <v>6449.56987839441</v>
      </c>
    </row>
    <row r="593" customFormat="false" ht="17.15" hidden="false" customHeight="false" outlineLevel="0" collapsed="false">
      <c r="A593" s="5" t="s">
        <v>396</v>
      </c>
      <c r="B593" s="0" t="s">
        <v>25</v>
      </c>
      <c r="D593" s="18" t="n">
        <f aca="false">ABS(C564-q1_rev)+ABS(D569-g2_op)+ABS(C575-2337.6)</f>
        <v>0</v>
      </c>
    </row>
    <row r="610" customFormat="false" ht="17.15" hidden="false" customHeight="false" outlineLevel="0" collapsed="false">
      <c r="A610" s="3" t="s">
        <v>681</v>
      </c>
    </row>
    <row r="611" customFormat="false" ht="17.15" hidden="false" customHeight="false" outlineLevel="0" collapsed="false">
      <c r="A611" s="12" t="s">
        <v>352</v>
      </c>
      <c r="B611" s="6" t="s">
        <v>15</v>
      </c>
      <c r="C611" s="12" t="s">
        <v>353</v>
      </c>
      <c r="D611" s="12" t="s">
        <v>354</v>
      </c>
      <c r="E611" s="12" t="s">
        <v>355</v>
      </c>
      <c r="F611" s="12" t="s">
        <v>356</v>
      </c>
      <c r="G611" s="12" t="s">
        <v>357</v>
      </c>
      <c r="H611" s="12" t="s">
        <v>358</v>
      </c>
      <c r="I611" s="12" t="s">
        <v>359</v>
      </c>
      <c r="J611" s="12" t="s">
        <v>360</v>
      </c>
      <c r="K611" s="12" t="s">
        <v>361</v>
      </c>
      <c r="L611" s="12" t="s">
        <v>362</v>
      </c>
      <c r="M611" s="12" t="s">
        <v>363</v>
      </c>
      <c r="N611" s="12" t="s">
        <v>364</v>
      </c>
      <c r="O611" s="12" t="s">
        <v>365</v>
      </c>
      <c r="P611" s="12" t="s">
        <v>366</v>
      </c>
      <c r="Q611" s="12" t="s">
        <v>367</v>
      </c>
      <c r="R611" s="12" t="s">
        <v>368</v>
      </c>
      <c r="S611" s="12"/>
      <c r="T611" s="6" t="s">
        <v>343</v>
      </c>
    </row>
    <row r="612" customFormat="false" ht="17.15" hidden="false" customHeight="false" outlineLevel="0" collapsed="false">
      <c r="A612" s="5" t="s">
        <v>369</v>
      </c>
      <c r="B612" s="0" t="s">
        <v>317</v>
      </c>
      <c r="C612" s="19" t="n">
        <f aca="false">Units!H4*1</f>
        <v>10.72</v>
      </c>
      <c r="D612" s="19" t="n">
        <f aca="false">Units!I4*1</f>
        <v>14.3197859923946</v>
      </c>
      <c r="E612" s="19" t="n">
        <f aca="false">Units!J4*1*1</f>
        <v>17.6469939469536</v>
      </c>
      <c r="F612" s="19" t="n">
        <f aca="false">Units!K4*1*1</f>
        <v>19.4448271931715</v>
      </c>
      <c r="G612" s="19" t="n">
        <f aca="false">Units!L4*1*1</f>
        <v>20.5604014966272</v>
      </c>
      <c r="H612" s="19" t="n">
        <f aca="false">Units!M4*1*1</f>
        <v>20.6529788219672</v>
      </c>
      <c r="I612" s="19" t="n">
        <f aca="false">Units!N4*1*1</f>
        <v>20.3092156690391</v>
      </c>
      <c r="J612" s="19" t="n">
        <f aca="false">Units!O4*1*1</f>
        <v>20.4006619798858</v>
      </c>
      <c r="K612" s="19" t="n">
        <f aca="false">Units!P4*1*1</f>
        <v>20.492520046061</v>
      </c>
      <c r="L612" s="19" t="n">
        <f aca="false">Units!Q4*1*1</f>
        <v>20.5847917215753</v>
      </c>
      <c r="M612" s="19" t="n">
        <f aca="false">Units!R4*1*1</f>
        <v>20.6774788687878</v>
      </c>
      <c r="N612" s="19" t="n">
        <f aca="false">Units!S4*1*1</f>
        <v>20.8499966018633</v>
      </c>
      <c r="O612" s="19" t="n">
        <f aca="false">Units!T4*1*1</f>
        <v>21.235846897313</v>
      </c>
      <c r="P612" s="19" t="n">
        <f aca="false">Units!U4*1*1</f>
        <v>21.628837743111</v>
      </c>
      <c r="Q612" s="19" t="n">
        <f aca="false">Units!V4*1*1</f>
        <v>22.0291012823706</v>
      </c>
      <c r="R612" s="19" t="n">
        <f aca="false">Units!W4*1*1</f>
        <v>21.5407648571837</v>
      </c>
      <c r="T612" s="8" t="s">
        <v>370</v>
      </c>
    </row>
    <row r="613" customFormat="false" ht="15" hidden="false" customHeight="false" outlineLevel="0" collapsed="false">
      <c r="A613" s="5" t="s">
        <v>371</v>
      </c>
      <c r="B613" s="0" t="s">
        <v>324</v>
      </c>
      <c r="C613" s="19" t="n">
        <f aca="false">Units!H7*1</f>
        <v>40.1757580440862</v>
      </c>
      <c r="D613" s="19" t="n">
        <f aca="false">Units!I7*1</f>
        <v>46.6667956905857</v>
      </c>
      <c r="E613" s="19" t="n">
        <f aca="false">Units!J7*1</f>
        <v>48.944548236035</v>
      </c>
      <c r="F613" s="19" t="n">
        <f aca="false">Units!K7*1</f>
        <v>52.3600980030596</v>
      </c>
      <c r="G613" s="19" t="n">
        <f aca="false">Units!L7*1</f>
        <v>55.3640629793669</v>
      </c>
      <c r="H613" s="19" t="n">
        <f aca="false">Units!M7*1</f>
        <v>58.5403692216961</v>
      </c>
      <c r="I613" s="19" t="n">
        <f aca="false">Units!N7*1</f>
        <v>61.898904166222</v>
      </c>
      <c r="J613" s="19" t="n">
        <f aca="false">Units!O7*1</f>
        <v>65.4501225038245</v>
      </c>
      <c r="K613" s="19" t="n">
        <f aca="false">Units!P7*1</f>
        <v>69.2050787242086</v>
      </c>
      <c r="L613" s="19" t="n">
        <f aca="false">Units!Q7*1</f>
        <v>73.1754615271202</v>
      </c>
      <c r="M613" s="19" t="n">
        <f aca="false">Units!R7*1</f>
        <v>77.3736302077775</v>
      </c>
      <c r="N613" s="19" t="n">
        <f aca="false">Units!S7*1</f>
        <v>80.4321433873819</v>
      </c>
      <c r="O613" s="19" t="n">
        <f aca="false">Units!T7*1</f>
        <v>84.4542491025558</v>
      </c>
      <c r="P613" s="19" t="n">
        <f aca="false">Units!U7*1</f>
        <v>88.6774850338687</v>
      </c>
      <c r="Q613" s="19" t="n">
        <f aca="false">Units!V7*1</f>
        <v>93.1119089388012</v>
      </c>
      <c r="R613" s="19" t="n">
        <f aca="false">Units!W7*1</f>
        <v>94.0045560318226</v>
      </c>
    </row>
    <row r="614" customFormat="false" ht="17.15" hidden="false" customHeight="false" outlineLevel="0" collapsed="false">
      <c r="A614" s="5" t="s">
        <v>280</v>
      </c>
      <c r="B614" s="0" t="s">
        <v>25</v>
      </c>
      <c r="C614" s="13" t="n">
        <f aca="false">q1_rev</f>
        <v>1767.1</v>
      </c>
      <c r="D614" s="13" t="n">
        <f aca="false">g2_rev</f>
        <v>2390</v>
      </c>
      <c r="E614" s="13" t="n">
        <f aca="false">E612*kx_k*fx</f>
        <v>2908.95550407292</v>
      </c>
      <c r="F614" s="13" t="n">
        <f aca="false">F612*kx_k*fx</f>
        <v>3205.31288554602</v>
      </c>
      <c r="G614" s="13" t="n">
        <f aca="false">G612*kx_k*fx</f>
        <v>3389.20573551212</v>
      </c>
      <c r="H614" s="13" t="n">
        <f aca="false">H612*kx_k*fx</f>
        <v>3404.46631308752</v>
      </c>
      <c r="I614" s="13" t="n">
        <f aca="false">I612*kx_k*fx</f>
        <v>3347.79990753349</v>
      </c>
      <c r="J614" s="13" t="n">
        <f aca="false">J612*kx_k*fx</f>
        <v>3362.87404707614</v>
      </c>
      <c r="K614" s="13" t="n">
        <f aca="false">K612*kx_k*fx</f>
        <v>3378.01606095097</v>
      </c>
      <c r="L614" s="13" t="n">
        <f aca="false">L612*kx_k*fx</f>
        <v>3393.22625477572</v>
      </c>
      <c r="M614" s="13" t="n">
        <f aca="false">M612*kx_k*fx</f>
        <v>3408.5049355443</v>
      </c>
      <c r="N614" s="13" t="n">
        <f aca="false">N612*kx_k*fx</f>
        <v>3436.94300327916</v>
      </c>
      <c r="O614" s="13" t="n">
        <f aca="false">O612*kx_k*fx</f>
        <v>3500.54711308226</v>
      </c>
      <c r="P614" s="13" t="n">
        <f aca="false">P612*kx_k*fx</f>
        <v>3565.32828132943</v>
      </c>
      <c r="Q614" s="13" t="n">
        <f aca="false">Q612*kx_k*fx</f>
        <v>3631.30829067883</v>
      </c>
      <c r="R614" s="13" t="n">
        <f aca="false">R612*kx_k*fx</f>
        <v>3550.8102219337</v>
      </c>
      <c r="T614" s="5" t="s">
        <v>372</v>
      </c>
    </row>
    <row r="615" customFormat="false" ht="17.15" hidden="false" customHeight="false" outlineLevel="0" collapsed="false">
      <c r="A615" s="5" t="s">
        <v>373</v>
      </c>
      <c r="B615" s="0" t="s">
        <v>374</v>
      </c>
      <c r="C615" s="20" t="n">
        <f aca="false">C616/C613</f>
        <v>9.63267449926724</v>
      </c>
      <c r="D615" s="20" t="n">
        <f aca="false">D616/D613</f>
        <v>9.21426023871499</v>
      </c>
      <c r="E615" s="20" t="n">
        <f aca="false">$D615*(1-cd_A)^(1/4)</f>
        <v>8.87329840103618</v>
      </c>
      <c r="F615" s="20" t="n">
        <f aca="false">$D615*(1-cd_A)^(2/4)</f>
        <v>8.5449534172058</v>
      </c>
      <c r="G615" s="20" t="n">
        <f aca="false">$D615*(1-cd_A)^(3/4)</f>
        <v>8.22875841679016</v>
      </c>
      <c r="H615" s="20" t="n">
        <f aca="false">$D615*(1-cd_A)^(4/4)</f>
        <v>7.92426380529489</v>
      </c>
      <c r="I615" s="20" t="n">
        <f aca="false">$D615*(1-cd_A)^(5/4)</f>
        <v>7.63103662489111</v>
      </c>
      <c r="J615" s="20" t="n">
        <f aca="false">$D615*(1-cd_A)^(6/4)</f>
        <v>7.34865993879699</v>
      </c>
      <c r="K615" s="20" t="n">
        <f aca="false">$D615*(1-cd_A)^(7/4)</f>
        <v>7.07673223843954</v>
      </c>
      <c r="L615" s="20" t="n">
        <f aca="false">$D615*(1-cd_A)^(8/4)</f>
        <v>6.81486687255361</v>
      </c>
      <c r="M615" s="20" t="n">
        <f aca="false">$D615*(1-cd_A)^(9/4)</f>
        <v>6.56269149740636</v>
      </c>
      <c r="N615" s="20" t="n">
        <f aca="false">$D615*(1-cd_A)^(10/4)</f>
        <v>6.31984754736541</v>
      </c>
      <c r="O615" s="20" t="n">
        <f aca="false">$D615*(1-cd_A)^(11/4)</f>
        <v>6.085989725058</v>
      </c>
      <c r="P615" s="20" t="n">
        <f aca="false">$D615*(1-cd_A)^(12/4)</f>
        <v>5.8607855103961</v>
      </c>
      <c r="Q615" s="20" t="n">
        <f aca="false">$D615*(1-cd_A)^(13/4)</f>
        <v>5.64391468776947</v>
      </c>
      <c r="R615" s="20" t="n">
        <f aca="false">$D615*(1-cd_A)^(14/4)</f>
        <v>5.43506889073425</v>
      </c>
    </row>
    <row r="616" customFormat="false" ht="15" hidden="false" customHeight="false" outlineLevel="0" collapsed="false">
      <c r="A616" s="5" t="s">
        <v>375</v>
      </c>
      <c r="B616" s="0" t="s">
        <v>25</v>
      </c>
      <c r="C616" s="13" t="n">
        <f aca="false">q1_rev-q1_gp</f>
        <v>387</v>
      </c>
      <c r="D616" s="13" t="n">
        <f aca="false">g2_rev-g2_op-g2_ox</f>
        <v>430</v>
      </c>
      <c r="E616" s="13" t="n">
        <f aca="false">E613*E615</f>
        <v>434.299581602247</v>
      </c>
      <c r="F616" s="13" t="n">
        <f aca="false">F613*F615</f>
        <v>447.414598356475</v>
      </c>
      <c r="G616" s="13" t="n">
        <f aca="false">G613*G615</f>
        <v>455.577499229166</v>
      </c>
      <c r="H616" s="13" t="n">
        <f aca="false">H613*H615</f>
        <v>463.889328972086</v>
      </c>
      <c r="I616" s="13" t="n">
        <f aca="false">I613*I615</f>
        <v>472.352804733065</v>
      </c>
      <c r="J616" s="13" t="n">
        <f aca="false">J613*J615</f>
        <v>480.97069323321</v>
      </c>
      <c r="K616" s="13" t="n">
        <f aca="false">K613*K615</f>
        <v>489.745811671353</v>
      </c>
      <c r="L616" s="13" t="n">
        <f aca="false">L613*L615</f>
        <v>498.681028644993</v>
      </c>
      <c r="M616" s="13" t="n">
        <f aca="false">M613*M615</f>
        <v>507.779265088045</v>
      </c>
      <c r="N616" s="13" t="n">
        <f aca="false">N613*N615</f>
        <v>508.318884116089</v>
      </c>
      <c r="O616" s="13" t="n">
        <f aca="false">O613*O615</f>
        <v>513.987692275643</v>
      </c>
      <c r="P616" s="13" t="n">
        <f aca="false">P613*P615</f>
        <v>519.719719384865</v>
      </c>
      <c r="Q616" s="13" t="n">
        <f aca="false">Q613*Q615</f>
        <v>525.515670465953</v>
      </c>
      <c r="R616" s="13" t="n">
        <f aca="false">R613*R615</f>
        <v>510.921238075844</v>
      </c>
      <c r="T616" s="5" t="s">
        <v>376</v>
      </c>
    </row>
    <row r="617" customFormat="false" ht="15" hidden="false" customHeight="false" outlineLevel="0" collapsed="false">
      <c r="A617" s="5" t="s">
        <v>286</v>
      </c>
      <c r="B617" s="0" t="s">
        <v>116</v>
      </c>
      <c r="C617" s="14" t="n">
        <f aca="false">1-C616/C614</f>
        <v>0.780997113915455</v>
      </c>
      <c r="D617" s="14" t="n">
        <f aca="false">1-D616/D614</f>
        <v>0.820083682008368</v>
      </c>
      <c r="E617" s="14" t="n">
        <f aca="false">1-E616/E614</f>
        <v>0.850702569704428</v>
      </c>
      <c r="F617" s="14" t="n">
        <f aca="false">1-F616/F614</f>
        <v>0.860414688258972</v>
      </c>
      <c r="G617" s="14" t="n">
        <f aca="false">1-G616/G614</f>
        <v>0.865579863017573</v>
      </c>
      <c r="H617" s="14" t="n">
        <f aca="false">1-H616/H614</f>
        <v>0.863740954877776</v>
      </c>
      <c r="I617" s="14" t="n">
        <f aca="false">1-I616/I614</f>
        <v>0.858906500454182</v>
      </c>
      <c r="J617" s="14" t="n">
        <f aca="false">1-J616/J614</f>
        <v>0.856976298695637</v>
      </c>
      <c r="K617" s="14" t="n">
        <f aca="false">1-K616/K614</f>
        <v>0.855019691193096</v>
      </c>
      <c r="L617" s="14" t="n">
        <f aca="false">1-L616/L614</f>
        <v>0.85303631670799</v>
      </c>
      <c r="M617" s="14" t="n">
        <f aca="false">1-M616/M614</f>
        <v>0.851025809059901</v>
      </c>
      <c r="N617" s="14" t="n">
        <f aca="false">1-N616/N614</f>
        <v>0.85210145072784</v>
      </c>
      <c r="O617" s="14" t="n">
        <f aca="false">1-O616/O614</f>
        <v>0.853169325916293</v>
      </c>
      <c r="P617" s="14" t="n">
        <f aca="false">1-P616/P614</f>
        <v>0.854229490701744</v>
      </c>
      <c r="Q617" s="14" t="n">
        <f aca="false">1-Q616/Q614</f>
        <v>0.85528200075579</v>
      </c>
      <c r="R617" s="14" t="n">
        <f aca="false">1-R616/R614</f>
        <v>0.856111364409218</v>
      </c>
    </row>
    <row r="618" customFormat="false" ht="17.15" hidden="false" customHeight="false" outlineLevel="0" collapsed="false">
      <c r="A618" s="5" t="s">
        <v>377</v>
      </c>
      <c r="B618" s="0" t="s">
        <v>25</v>
      </c>
      <c r="C618" s="13" t="n">
        <f aca="false">q1_gp-q1_op</f>
        <v>110.1</v>
      </c>
      <c r="D618" s="13" t="n">
        <f aca="false">g2_ox</f>
        <v>70</v>
      </c>
      <c r="E618" s="13" t="n">
        <f aca="false">(g2_ox-ox_var*g2_rev)*(1+ox_g)^(1/4)+ox_var*E614</f>
        <v>76.3011961075221</v>
      </c>
      <c r="F618" s="13" t="n">
        <f aca="false">(g2_ox-ox_var*g2_rev)*(1+ox_g)^(2/4)+ox_var*F614</f>
        <v>80.4032167561042</v>
      </c>
      <c r="G618" s="13" t="n">
        <f aca="false">(g2_ox-ox_var*g2_rev)*(1+ox_g)^(3/4)+ox_var*G614</f>
        <v>83.4080442426069</v>
      </c>
      <c r="H618" s="13" t="n">
        <f aca="false">(g2_ox-ox_var*g2_rev)*(1+ox_g)^(4/4)+ox_var*H614</f>
        <v>84.7546631308752</v>
      </c>
      <c r="I618" s="13" t="n">
        <f aca="false">(g2_ox-ox_var*g2_rev)*(1+ox_g)^(5/4)+ox_var*I614</f>
        <v>85.4108042488071</v>
      </c>
      <c r="J618" s="13" t="n">
        <f aca="false">(g2_ox-ox_var*g2_rev)*(1+ox_g)^(6/4)+ox_var*J614</f>
        <v>86.8138371614698</v>
      </c>
      <c r="K618" s="13" t="n">
        <f aca="false">(g2_ox-ox_var*g2_rev)*(1+ox_g)^(7/4)+ox_var*K614</f>
        <v>88.247746185744</v>
      </c>
      <c r="L618" s="13" t="n">
        <f aca="false">(g2_ox-ox_var*g2_rev)*(1+ox_g)^(8/4)+ox_var*L614</f>
        <v>89.7132625477572</v>
      </c>
      <c r="M618" s="13" t="n">
        <f aca="false">(g2_ox-ox_var*g2_rev)*(1+ox_g)^(9/4)+ox_var*M614</f>
        <v>91.2111350462625</v>
      </c>
      <c r="N618" s="13" t="n">
        <f aca="false">(g2_ox-ox_var*g2_rev)*(1+ox_g)^(10/4)+ox_var*N614</f>
        <v>92.8730363925709</v>
      </c>
      <c r="O618" s="13" t="n">
        <f aca="false">(g2_ox-ox_var*g2_rev)*(1+ox_g)^(11/4)+ox_var*O614</f>
        <v>94.9198152646803</v>
      </c>
      <c r="P618" s="13" t="n">
        <f aca="false">(g2_ox-ox_var*g2_rev)*(1+ox_g)^(12/4)+ox_var*P614</f>
        <v>97.0123828132943</v>
      </c>
      <c r="Q618" s="13" t="n">
        <f aca="false">(g2_ox-ox_var*g2_rev)*(1+ox_g)^(13/4)+ox_var*Q614</f>
        <v>99.1517771666897</v>
      </c>
      <c r="R618" s="13" t="n">
        <f aca="false">(g2_ox-ox_var*g2_rev)*(1+ox_g)^(14/4)+ox_var*R614</f>
        <v>99.8620692150942</v>
      </c>
      <c r="T618" s="5" t="s">
        <v>378</v>
      </c>
    </row>
    <row r="619" customFormat="false" ht="15" hidden="false" customHeight="false" outlineLevel="0" collapsed="false">
      <c r="A619" s="5" t="s">
        <v>284</v>
      </c>
      <c r="B619" s="0" t="s">
        <v>25</v>
      </c>
      <c r="C619" s="13" t="n">
        <f aca="false">C614-C616-C618</f>
        <v>1270</v>
      </c>
      <c r="D619" s="13" t="n">
        <f aca="false">D614-D616-D618</f>
        <v>1890</v>
      </c>
      <c r="E619" s="13" t="n">
        <f aca="false">E614-E616-E618</f>
        <v>2398.35472636315</v>
      </c>
      <c r="F619" s="13" t="n">
        <f aca="false">F614-F616-F618</f>
        <v>2677.49507043344</v>
      </c>
      <c r="G619" s="13" t="n">
        <f aca="false">G614-G616-G618</f>
        <v>2850.22019204035</v>
      </c>
      <c r="H619" s="13" t="n">
        <f aca="false">H614-H616-H618</f>
        <v>2855.82232098456</v>
      </c>
      <c r="I619" s="13" t="n">
        <f aca="false">I614-I616-I618</f>
        <v>2790.03629855162</v>
      </c>
      <c r="J619" s="13" t="n">
        <f aca="false">J614-J616-J618</f>
        <v>2795.08951668146</v>
      </c>
      <c r="K619" s="13" t="n">
        <f aca="false">K614-K616-K618</f>
        <v>2800.02250309387</v>
      </c>
      <c r="L619" s="13" t="n">
        <f aca="false">L614-L616-L618</f>
        <v>2804.83196358297</v>
      </c>
      <c r="M619" s="13" t="n">
        <f aca="false">M614-M616-M618</f>
        <v>2809.51453540999</v>
      </c>
      <c r="N619" s="13" t="n">
        <f aca="false">N614-N616-N618</f>
        <v>2835.7510827705</v>
      </c>
      <c r="O619" s="13" t="n">
        <f aca="false">O614-O616-O618</f>
        <v>2891.63960554193</v>
      </c>
      <c r="P619" s="13" t="n">
        <f aca="false">P614-P616-P618</f>
        <v>2948.59617913127</v>
      </c>
      <c r="Q619" s="13" t="n">
        <f aca="false">Q614-Q616-Q618</f>
        <v>3006.64084304619</v>
      </c>
      <c r="R619" s="13" t="n">
        <f aca="false">R614-R616-R618</f>
        <v>2940.02691464277</v>
      </c>
    </row>
    <row r="621" customFormat="false" ht="17.15" hidden="false" customHeight="false" outlineLevel="0" collapsed="false">
      <c r="A621" s="5" t="s">
        <v>285</v>
      </c>
      <c r="B621" s="0" t="s">
        <v>25</v>
      </c>
      <c r="C621" s="13" t="n">
        <f aca="false">q1_ni</f>
        <v>842.2</v>
      </c>
      <c r="D621" s="13" t="n">
        <f aca="false">g2_ni</f>
        <v>1270</v>
      </c>
      <c r="E621" s="13" t="n">
        <f aca="false">(E619+nonop_q+rf*nc_j/4)*(1-tax_hi)</f>
        <v>1549.43472213605</v>
      </c>
      <c r="F621" s="13" t="n">
        <f aca="false">(F619+nonop_q+rf*nc_j/4)*(1-tax_hi)</f>
        <v>1730.87594578174</v>
      </c>
      <c r="G621" s="13" t="n">
        <f aca="false">(G619+nonop_q+rf*$D637/4)*(1-tax_hi)</f>
        <v>1848.93592869452</v>
      </c>
      <c r="H621" s="13" t="n">
        <f aca="false">(H619+nonop_q+rf*$D637/4)*(1-tax_hi)</f>
        <v>1852.57731250826</v>
      </c>
      <c r="I621" s="13" t="n">
        <f aca="false">(I619+nonop_q+rf*$D637/4)*(1-tax_hi)</f>
        <v>1809.81639792684</v>
      </c>
      <c r="J621" s="13" t="n">
        <f aca="false">(J619+nonop_q+rf*$D637/4)*(1-tax_hi)</f>
        <v>1813.10098971124</v>
      </c>
      <c r="K621" s="13" t="n">
        <f aca="false">(K619+nonop_q+rf*$E637/4)*(1-tax_hi)</f>
        <v>1825.6341906968</v>
      </c>
      <c r="L621" s="13" t="n">
        <f aca="false">(L619+nonop_q+rf*$E637/4)*(1-tax_hi)</f>
        <v>1828.76034001472</v>
      </c>
      <c r="M621" s="13" t="n">
        <f aca="false">(M619+nonop_q+rf*$E637/4)*(1-tax_hi)</f>
        <v>1831.80401170228</v>
      </c>
      <c r="N621" s="13" t="n">
        <f aca="false">(N619+nonop_q+rf*$E637/4)*(1-tax_hi)</f>
        <v>1848.85776748661</v>
      </c>
      <c r="O621" s="13" t="n">
        <f aca="false">(O619+nonop_q+rf*$F637/4)*(1-tax_hi)</f>
        <v>1894.52588049091</v>
      </c>
      <c r="P621" s="13" t="n">
        <f aca="false">(P619+nonop_q+rf*$F637/4)*(1-tax_hi)</f>
        <v>1931.54765332398</v>
      </c>
      <c r="Q621" s="13" t="n">
        <f aca="false">(Q619+nonop_q+rf*$F637/4)*(1-tax_hi)</f>
        <v>1969.27668486868</v>
      </c>
      <c r="R621" s="13" t="n">
        <f aca="false">(R619+nonop_q+rf*$F637/4)*(1-tax_hi)</f>
        <v>1925.97763140645</v>
      </c>
      <c r="T621" s="5" t="s">
        <v>379</v>
      </c>
    </row>
    <row r="622" customFormat="false" ht="17.15" hidden="false" customHeight="false" outlineLevel="0" collapsed="false">
      <c r="A622" s="5" t="s">
        <v>380</v>
      </c>
      <c r="B622" s="0" t="s">
        <v>78</v>
      </c>
      <c r="C622" s="17" t="n">
        <f aca="false">C621/(sh0+dil)*1000</f>
        <v>507.343332753891</v>
      </c>
      <c r="D622" s="17" t="n">
        <f aca="false">D621/(sh0+dil)*1000</f>
        <v>765.051095461222</v>
      </c>
      <c r="E622" s="17" t="n">
        <f aca="false">E621/(sh0+dil)*1000</f>
        <v>933.383253162077</v>
      </c>
      <c r="F622" s="17" t="n">
        <f aca="false">F621/(sh0+dil)*1000</f>
        <v>1042.68388852582</v>
      </c>
      <c r="G622" s="17" t="n">
        <f aca="false">G621/(sh0+dil)*1000</f>
        <v>1113.80350998847</v>
      </c>
      <c r="H622" s="17" t="n">
        <f aca="false">H621/(sh0+dil)*1000</f>
        <v>1115.99708847327</v>
      </c>
      <c r="I622" s="17" t="n">
        <f aca="false">I621/(sh0+dil)*1000</f>
        <v>1090.23780930521</v>
      </c>
      <c r="J622" s="17" t="n">
        <f aca="false">J621/(sh0+dil)*1000</f>
        <v>1092.2164554019</v>
      </c>
      <c r="K622" s="17" t="n">
        <f aca="false">K621/(sh0+dil)*1000</f>
        <v>1099.76648622366</v>
      </c>
      <c r="L622" s="17" t="n">
        <f aca="false">L621/(sh0+dil)*1000</f>
        <v>1101.64968619236</v>
      </c>
      <c r="M622" s="17" t="n">
        <f aca="false">M621/(sh0+dil)*1000</f>
        <v>1103.48320143551</v>
      </c>
      <c r="N622" s="17" t="n">
        <f aca="false">N621/(sh0+dil)*1000</f>
        <v>1113.75642548632</v>
      </c>
      <c r="O622" s="17" t="n">
        <f aca="false">O621/(sh0+dil)*1000</f>
        <v>1141.26700807024</v>
      </c>
      <c r="P622" s="17" t="n">
        <f aca="false">P621/(sh0+dil)*1000</f>
        <v>1163.56901426068</v>
      </c>
      <c r="Q622" s="17" t="n">
        <f aca="false">Q621/(sh0+dil)*1000</f>
        <v>1186.29707482286</v>
      </c>
      <c r="R622" s="17" t="n">
        <f aca="false">R621/(sh0+dil)*1000</f>
        <v>1160.21361948135</v>
      </c>
    </row>
    <row r="624" customFormat="false" ht="17.15" hidden="false" customHeight="false" outlineLevel="0" collapsed="false">
      <c r="A624" s="12" t="s">
        <v>381</v>
      </c>
      <c r="B624" s="6" t="s">
        <v>15</v>
      </c>
      <c r="C624" s="12" t="s">
        <v>338</v>
      </c>
      <c r="D624" s="12" t="s">
        <v>339</v>
      </c>
      <c r="E624" s="12" t="s">
        <v>340</v>
      </c>
      <c r="F624" s="12" t="s">
        <v>341</v>
      </c>
      <c r="G624" s="12" t="s">
        <v>342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6" t="s">
        <v>343</v>
      </c>
    </row>
    <row r="625" customFormat="false" ht="17.15" hidden="false" customHeight="false" outlineLevel="0" collapsed="false">
      <c r="A625" s="5" t="s">
        <v>280</v>
      </c>
      <c r="B625" s="0" t="s">
        <v>25</v>
      </c>
      <c r="C625" s="13" t="n">
        <f aca="false">a25_rev</f>
        <v>2337.6</v>
      </c>
      <c r="D625" s="13" t="n">
        <f aca="false">SUM(C614:F614)</f>
        <v>10271.3683896189</v>
      </c>
      <c r="E625" s="13" t="n">
        <f aca="false">SUM(G614:J614)</f>
        <v>13504.3460032093</v>
      </c>
      <c r="F625" s="13" t="n">
        <f aca="false">SUM(K614:N614)</f>
        <v>13616.6902545502</v>
      </c>
      <c r="G625" s="13" t="n">
        <f aca="false">SUM(O614:R614)</f>
        <v>14247.9939070242</v>
      </c>
      <c r="T625" s="8" t="s">
        <v>382</v>
      </c>
    </row>
    <row r="626" customFormat="false" ht="15" hidden="false" customHeight="false" outlineLevel="0" collapsed="false">
      <c r="A626" s="5" t="s">
        <v>375</v>
      </c>
      <c r="B626" s="0" t="s">
        <v>25</v>
      </c>
      <c r="C626" s="13" t="n">
        <f aca="false">a25_rev-(p1_gp+p2_gp+p3_gp+p4_gp)</f>
        <v>1324.8</v>
      </c>
      <c r="D626" s="13" t="n">
        <f aca="false">SUM(C616:F616)</f>
        <v>1698.71417995872</v>
      </c>
      <c r="E626" s="13" t="n">
        <f aca="false">SUM(G616:J616)</f>
        <v>1872.79032616753</v>
      </c>
      <c r="F626" s="13" t="n">
        <f aca="false">SUM(K616:N616)</f>
        <v>2004.52498952048</v>
      </c>
      <c r="G626" s="13" t="n">
        <f aca="false">SUM(O616:R616)</f>
        <v>2070.14432020231</v>
      </c>
    </row>
    <row r="627" customFormat="false" ht="15" hidden="false" customHeight="false" outlineLevel="0" collapsed="false">
      <c r="A627" s="5" t="s">
        <v>286</v>
      </c>
      <c r="B627" s="0" t="s">
        <v>116</v>
      </c>
      <c r="C627" s="14" t="n">
        <f aca="false">1-C626/C625</f>
        <v>0.433264887063655</v>
      </c>
      <c r="D627" s="14" t="n">
        <f aca="false">1-D626/D625</f>
        <v>0.834616565629602</v>
      </c>
      <c r="E627" s="14" t="n">
        <f aca="false">1-E626/E625</f>
        <v>0.861319435556341</v>
      </c>
      <c r="F627" s="14" t="n">
        <f aca="false">1-F626/F625</f>
        <v>0.852789117469229</v>
      </c>
      <c r="G627" s="14" t="n">
        <f aca="false">1-G626/G625</f>
        <v>0.854706260143631</v>
      </c>
    </row>
    <row r="628" customFormat="false" ht="15" hidden="false" customHeight="false" outlineLevel="0" collapsed="false">
      <c r="A628" s="5" t="s">
        <v>377</v>
      </c>
      <c r="B628" s="0" t="s">
        <v>25</v>
      </c>
      <c r="D628" s="13" t="n">
        <f aca="false">SUM(C618:F618)</f>
        <v>336.804412863626</v>
      </c>
      <c r="E628" s="13" t="n">
        <f aca="false">SUM(G618:J618)</f>
        <v>340.387348783759</v>
      </c>
      <c r="F628" s="13" t="n">
        <f aca="false">SUM(K618:N618)</f>
        <v>362.045180172334</v>
      </c>
      <c r="G628" s="13" t="n">
        <f aca="false">SUM(O618:R618)</f>
        <v>390.946044459758</v>
      </c>
    </row>
    <row r="629" customFormat="false" ht="15" hidden="false" customHeight="false" outlineLevel="0" collapsed="false">
      <c r="A629" s="5" t="s">
        <v>284</v>
      </c>
      <c r="B629" s="0" t="s">
        <v>25</v>
      </c>
      <c r="C629" s="13" t="n">
        <f aca="false">p1_op+p2_op+p3_op+p4_op</f>
        <v>869</v>
      </c>
      <c r="D629" s="13" t="n">
        <f aca="false">SUM(C619:F619)</f>
        <v>8235.84979679659</v>
      </c>
      <c r="E629" s="13" t="n">
        <f aca="false">SUM(G619:J619)</f>
        <v>11291.168328258</v>
      </c>
      <c r="F629" s="13" t="n">
        <f aca="false">SUM(K619:N619)</f>
        <v>11250.1200848573</v>
      </c>
      <c r="G629" s="13" t="n">
        <f aca="false">SUM(O619:R619)</f>
        <v>11786.9035423622</v>
      </c>
    </row>
    <row r="630" customFormat="false" ht="15" hidden="false" customHeight="false" outlineLevel="0" collapsed="false">
      <c r="A630" s="5" t="s">
        <v>287</v>
      </c>
      <c r="B630" s="0" t="s">
        <v>116</v>
      </c>
      <c r="C630" s="14" t="n">
        <f aca="false">C629/C625</f>
        <v>0.371748802190281</v>
      </c>
      <c r="D630" s="14" t="n">
        <f aca="false">D629/D625</f>
        <v>0.801825957787708</v>
      </c>
      <c r="E630" s="14" t="n">
        <f aca="false">E629/E625</f>
        <v>0.836113672263334</v>
      </c>
      <c r="F630" s="14" t="n">
        <f aca="false">F629/F625</f>
        <v>0.826200778202912</v>
      </c>
      <c r="G630" s="14" t="n">
        <f aca="false">G629/G625</f>
        <v>0.82726758723214</v>
      </c>
    </row>
    <row r="631" customFormat="false" ht="15" hidden="false" customHeight="false" outlineLevel="0" collapsed="false">
      <c r="A631" s="5" t="s">
        <v>285</v>
      </c>
      <c r="B631" s="0" t="s">
        <v>25</v>
      </c>
      <c r="C631" s="13" t="n">
        <f aca="false">a25_ni</f>
        <v>554.5</v>
      </c>
      <c r="D631" s="13" t="n">
        <f aca="false">SUM(C621:F621)</f>
        <v>5392.51066791779</v>
      </c>
      <c r="E631" s="13" t="n">
        <f aca="false">SUM(G621:J621)</f>
        <v>7324.43062884086</v>
      </c>
      <c r="F631" s="13" t="n">
        <f aca="false">SUM(K621:N621)</f>
        <v>7335.05630990042</v>
      </c>
      <c r="G631" s="13" t="n">
        <f aca="false">SUM(O621:R621)</f>
        <v>7721.32785009003</v>
      </c>
    </row>
    <row r="632" customFormat="false" ht="15" hidden="false" customHeight="false" outlineLevel="0" collapsed="false">
      <c r="A632" s="5" t="s">
        <v>383</v>
      </c>
      <c r="B632" s="0" t="s">
        <v>25</v>
      </c>
      <c r="D632" s="13" t="n">
        <f aca="false">da_y</f>
        <v>320</v>
      </c>
      <c r="E632" s="13" t="n">
        <f aca="false">da_y</f>
        <v>320</v>
      </c>
      <c r="F632" s="13" t="n">
        <f aca="false">da_y</f>
        <v>320</v>
      </c>
      <c r="G632" s="13" t="n">
        <f aca="false">da_y</f>
        <v>320</v>
      </c>
    </row>
    <row r="633" customFormat="false" ht="15" hidden="false" customHeight="false" outlineLevel="0" collapsed="false">
      <c r="A633" s="5" t="s">
        <v>384</v>
      </c>
      <c r="B633" s="0" t="s">
        <v>25</v>
      </c>
      <c r="D633" s="13" t="n">
        <f aca="false">cap_2026</f>
        <v>450</v>
      </c>
      <c r="E633" s="13" t="n">
        <f aca="false">cap_2027</f>
        <v>470</v>
      </c>
      <c r="F633" s="13" t="n">
        <f aca="false">cap_2028</f>
        <v>470</v>
      </c>
      <c r="G633" s="13" t="n">
        <f aca="false">cap_2029</f>
        <v>470</v>
      </c>
    </row>
    <row r="634" customFormat="false" ht="15" hidden="false" customHeight="false" outlineLevel="0" collapsed="false">
      <c r="A634" s="5" t="s">
        <v>385</v>
      </c>
      <c r="B634" s="0" t="s">
        <v>25</v>
      </c>
      <c r="D634" s="13" t="n">
        <f aca="false">D631+D632-D633</f>
        <v>5262.51066791779</v>
      </c>
      <c r="E634" s="13" t="n">
        <f aca="false">E631+E632-E633</f>
        <v>7174.43062884086</v>
      </c>
      <c r="F634" s="13" t="n">
        <f aca="false">F631+F632-F633</f>
        <v>7185.05630990042</v>
      </c>
      <c r="G634" s="13" t="n">
        <f aca="false">G631+G632-G633</f>
        <v>7571.32785009003</v>
      </c>
    </row>
    <row r="635" customFormat="false" ht="17.15" hidden="false" customHeight="false" outlineLevel="0" collapsed="false">
      <c r="A635" s="5" t="s">
        <v>386</v>
      </c>
      <c r="B635" s="0" t="s">
        <v>25</v>
      </c>
      <c r="D635" s="13" t="n">
        <f aca="false">MAX(0,payout*(SUM(D621:F621)+0.75*(D632-D633)))</f>
        <v>890.562133583557</v>
      </c>
      <c r="E635" s="13" t="n">
        <f aca="false">MAX(0,payout*E634)</f>
        <v>1434.88612576817</v>
      </c>
      <c r="F635" s="13" t="n">
        <f aca="false">MAX(0,payout*F634)</f>
        <v>1437.01126198008</v>
      </c>
      <c r="G635" s="13" t="n">
        <f aca="false">MAX(0,payout*G634)</f>
        <v>1514.26557001801</v>
      </c>
      <c r="T635" s="8" t="s">
        <v>387</v>
      </c>
    </row>
    <row r="636" customFormat="false" ht="17.15" hidden="false" customHeight="false" outlineLevel="0" collapsed="false">
      <c r="A636" s="5" t="s">
        <v>388</v>
      </c>
      <c r="B636" s="0" t="s">
        <v>25</v>
      </c>
      <c r="C636" s="13" t="n">
        <f aca="false">eq25</f>
        <v>1399.1</v>
      </c>
      <c r="D636" s="13" t="n">
        <f aca="false">eq_j+SUM(D621:F621)-D635</f>
        <v>6064.04853433423</v>
      </c>
      <c r="E636" s="13" t="n">
        <f aca="false">D636+E631-E635</f>
        <v>11953.5930374069</v>
      </c>
      <c r="F636" s="13" t="n">
        <f aca="false">E636+F631-F635</f>
        <v>17851.6380853273</v>
      </c>
      <c r="G636" s="13" t="n">
        <f aca="false">F636+G631-G635</f>
        <v>24058.7003653993</v>
      </c>
      <c r="T636" s="8" t="s">
        <v>389</v>
      </c>
    </row>
    <row r="637" customFormat="false" ht="15" hidden="false" customHeight="false" outlineLevel="0" collapsed="false">
      <c r="A637" s="5" t="s">
        <v>390</v>
      </c>
      <c r="B637" s="0" t="s">
        <v>25</v>
      </c>
      <c r="D637" s="13" t="n">
        <f aca="false">nc_j+(SUM(D621:F621)+0.75*(D632-D633))-D635</f>
        <v>3718.64853433423</v>
      </c>
      <c r="E637" s="13" t="n">
        <f aca="false">D637+E634-E635</f>
        <v>9458.19303740692</v>
      </c>
      <c r="F637" s="13" t="n">
        <f aca="false">E637+F634-F635</f>
        <v>15206.2380853273</v>
      </c>
      <c r="G637" s="13" t="n">
        <f aca="false">F637+G634-G635</f>
        <v>21263.3003653993</v>
      </c>
    </row>
    <row r="638" customFormat="false" ht="15" hidden="false" customHeight="false" outlineLevel="0" collapsed="false">
      <c r="A638" s="5" t="s">
        <v>391</v>
      </c>
      <c r="B638" s="5" t="s">
        <v>159</v>
      </c>
      <c r="D638" s="13" t="n">
        <f aca="false">sh0-D635/bb_px*1000</f>
        <v>1574.22328416201</v>
      </c>
      <c r="E638" s="13" t="n">
        <f aca="false">D638-E635/bb_px*1000</f>
        <v>1461.72731193401</v>
      </c>
      <c r="F638" s="13" t="n">
        <f aca="false">E638-F635/bb_px*1000</f>
        <v>1349.0647276941</v>
      </c>
      <c r="G638" s="13" t="n">
        <f aca="false">F638-G635/bb_px*1000</f>
        <v>1230.34535724972</v>
      </c>
    </row>
    <row r="639" customFormat="false" ht="17.15" hidden="false" customHeight="false" outlineLevel="0" collapsed="false">
      <c r="A639" s="0" t="s">
        <v>392</v>
      </c>
      <c r="B639" s="0" t="s">
        <v>78</v>
      </c>
      <c r="C639" s="17" t="n">
        <f aca="false">a25_eps</f>
        <v>341.4</v>
      </c>
      <c r="D639" s="17" t="n">
        <f aca="false">D631/(D638+dil)*1000</f>
        <v>3391.09126737817</v>
      </c>
      <c r="E639" s="17" t="n">
        <f aca="false">E631/(E638+dil)*1000</f>
        <v>4956.63163069124</v>
      </c>
      <c r="F639" s="17" t="n">
        <f aca="false">F631/(F638+dil)*1000</f>
        <v>5373.50757249348</v>
      </c>
      <c r="G639" s="17" t="n">
        <f aca="false">G631/(G638+dil)*1000</f>
        <v>6195.29484909868</v>
      </c>
    </row>
    <row r="640" customFormat="false" ht="17.15" hidden="false" customHeight="false" outlineLevel="0" collapsed="false">
      <c r="A640" s="5" t="s">
        <v>393</v>
      </c>
      <c r="B640" s="0" t="s">
        <v>78</v>
      </c>
      <c r="D640" s="17" t="n">
        <f aca="false">D636/D638*1000</f>
        <v>3852.0892146264</v>
      </c>
      <c r="E640" s="17" t="n">
        <f aca="false">E636/E638*1000</f>
        <v>8177.71751257158</v>
      </c>
      <c r="F640" s="17" t="n">
        <f aca="false">F636/F638*1000</f>
        <v>13232.6030907652</v>
      </c>
      <c r="G640" s="17" t="n">
        <f aca="false">G636/G638*1000</f>
        <v>19554.4285379996</v>
      </c>
    </row>
    <row r="641" customFormat="false" ht="17.15" hidden="false" customHeight="false" outlineLevel="0" collapsed="false">
      <c r="A641" s="0" t="s">
        <v>394</v>
      </c>
      <c r="B641" s="0" t="s">
        <v>116</v>
      </c>
      <c r="D641" s="21" t="n">
        <f aca="false">D631/D636</f>
        <v>0.889259153746175</v>
      </c>
      <c r="E641" s="21" t="n">
        <f aca="false">E631/E636</f>
        <v>0.61273883140577</v>
      </c>
      <c r="F641" s="21" t="n">
        <f aca="false">F631/F636</f>
        <v>0.410889817216791</v>
      </c>
      <c r="G641" s="21" t="n">
        <f aca="false">G631/G636</f>
        <v>0.320937030380688</v>
      </c>
    </row>
    <row r="642" customFormat="false" ht="15" hidden="false" customHeight="false" outlineLevel="0" collapsed="false">
      <c r="A642" s="5" t="s">
        <v>395</v>
      </c>
      <c r="B642" s="0" t="s">
        <v>78</v>
      </c>
      <c r="E642" s="17" t="n">
        <f aca="false">E634/(E638+dil)*1000</f>
        <v>4855.12275139677</v>
      </c>
      <c r="F642" s="17" t="n">
        <f aca="false">F634/(F638+dil)*1000</f>
        <v>5263.62073566223</v>
      </c>
      <c r="G642" s="17" t="n">
        <f aca="false">G634/(G638+dil)*1000</f>
        <v>6074.94065026046</v>
      </c>
    </row>
    <row r="643" customFormat="false" ht="17.15" hidden="false" customHeight="false" outlineLevel="0" collapsed="false">
      <c r="A643" s="5" t="s">
        <v>396</v>
      </c>
      <c r="B643" s="0" t="s">
        <v>25</v>
      </c>
      <c r="D643" s="18" t="n">
        <f aca="false">ABS(C614-q1_rev)+ABS(D619-g2_op)+ABS(C625-2337.6)</f>
        <v>0</v>
      </c>
    </row>
    <row r="660" customFormat="false" ht="17.15" hidden="false" customHeight="false" outlineLevel="0" collapsed="false">
      <c r="A660" s="3" t="s">
        <v>682</v>
      </c>
    </row>
    <row r="661" customFormat="false" ht="17.15" hidden="false" customHeight="false" outlineLevel="0" collapsed="false">
      <c r="A661" s="12" t="s">
        <v>352</v>
      </c>
      <c r="B661" s="6" t="s">
        <v>15</v>
      </c>
      <c r="C661" s="12" t="s">
        <v>353</v>
      </c>
      <c r="D661" s="12" t="s">
        <v>354</v>
      </c>
      <c r="E661" s="12" t="s">
        <v>355</v>
      </c>
      <c r="F661" s="12" t="s">
        <v>356</v>
      </c>
      <c r="G661" s="12" t="s">
        <v>357</v>
      </c>
      <c r="H661" s="12" t="s">
        <v>358</v>
      </c>
      <c r="I661" s="12" t="s">
        <v>359</v>
      </c>
      <c r="J661" s="12" t="s">
        <v>360</v>
      </c>
      <c r="K661" s="12" t="s">
        <v>361</v>
      </c>
      <c r="L661" s="12" t="s">
        <v>362</v>
      </c>
      <c r="M661" s="12" t="s">
        <v>363</v>
      </c>
      <c r="N661" s="12" t="s">
        <v>364</v>
      </c>
      <c r="O661" s="12" t="s">
        <v>365</v>
      </c>
      <c r="P661" s="12" t="s">
        <v>366</v>
      </c>
      <c r="Q661" s="12" t="s">
        <v>367</v>
      </c>
      <c r="R661" s="12" t="s">
        <v>368</v>
      </c>
      <c r="S661" s="12"/>
      <c r="T661" s="6" t="s">
        <v>343</v>
      </c>
    </row>
    <row r="662" customFormat="false" ht="17.15" hidden="false" customHeight="false" outlineLevel="0" collapsed="false">
      <c r="A662" s="5" t="s">
        <v>369</v>
      </c>
      <c r="B662" s="0" t="s">
        <v>317</v>
      </c>
      <c r="C662" s="19" t="n">
        <f aca="false">Units!H4*1</f>
        <v>10.72</v>
      </c>
      <c r="D662" s="19" t="n">
        <f aca="false">Units!I4*1</f>
        <v>14.3197859923946</v>
      </c>
      <c r="E662" s="19" t="n">
        <f aca="false">Units!J4*1*1</f>
        <v>17.6469939469536</v>
      </c>
      <c r="F662" s="19" t="n">
        <f aca="false">Units!K4*1*1</f>
        <v>19.4448271931715</v>
      </c>
      <c r="G662" s="19" t="n">
        <f aca="false">Units!L4*1*1</f>
        <v>20.5604014966272</v>
      </c>
      <c r="H662" s="19" t="n">
        <f aca="false">Units!M4*1*1</f>
        <v>20.6529788219672</v>
      </c>
      <c r="I662" s="19" t="n">
        <f aca="false">Units!N4*1*1</f>
        <v>20.3092156690391</v>
      </c>
      <c r="J662" s="19" t="n">
        <f aca="false">Units!O4*1*1</f>
        <v>20.4006619798858</v>
      </c>
      <c r="K662" s="19" t="n">
        <f aca="false">Units!P4*1*1</f>
        <v>20.492520046061</v>
      </c>
      <c r="L662" s="19" t="n">
        <f aca="false">Units!Q4*1*1</f>
        <v>20.5847917215753</v>
      </c>
      <c r="M662" s="19" t="n">
        <f aca="false">Units!R4*1*1</f>
        <v>20.6774788687878</v>
      </c>
      <c r="N662" s="19" t="n">
        <f aca="false">Units!S4*1*1</f>
        <v>20.8499966018633</v>
      </c>
      <c r="O662" s="19" t="n">
        <f aca="false">Units!T4*1*1</f>
        <v>21.235846897313</v>
      </c>
      <c r="P662" s="19" t="n">
        <f aca="false">Units!U4*1*1</f>
        <v>21.628837743111</v>
      </c>
      <c r="Q662" s="19" t="n">
        <f aca="false">Units!V4*1*1</f>
        <v>22.0291012823706</v>
      </c>
      <c r="R662" s="19" t="n">
        <f aca="false">Units!W4*1*1</f>
        <v>21.5407648571837</v>
      </c>
      <c r="T662" s="8" t="s">
        <v>370</v>
      </c>
    </row>
    <row r="663" customFormat="false" ht="15" hidden="false" customHeight="false" outlineLevel="0" collapsed="false">
      <c r="A663" s="5" t="s">
        <v>371</v>
      </c>
      <c r="B663" s="0" t="s">
        <v>324</v>
      </c>
      <c r="C663" s="19" t="n">
        <f aca="false">Units!H7*1</f>
        <v>40.1757580440862</v>
      </c>
      <c r="D663" s="19" t="n">
        <f aca="false">Units!I7*1</f>
        <v>46.6667956905857</v>
      </c>
      <c r="E663" s="19" t="n">
        <f aca="false">Units!J7*1</f>
        <v>48.944548236035</v>
      </c>
      <c r="F663" s="19" t="n">
        <f aca="false">Units!K7*1</f>
        <v>52.3600980030596</v>
      </c>
      <c r="G663" s="19" t="n">
        <f aca="false">Units!L7*1</f>
        <v>55.3640629793669</v>
      </c>
      <c r="H663" s="19" t="n">
        <f aca="false">Units!M7*1</f>
        <v>58.5403692216961</v>
      </c>
      <c r="I663" s="19" t="n">
        <f aca="false">Units!N7*1</f>
        <v>61.898904166222</v>
      </c>
      <c r="J663" s="19" t="n">
        <f aca="false">Units!O7*1</f>
        <v>65.4501225038245</v>
      </c>
      <c r="K663" s="19" t="n">
        <f aca="false">Units!P7*1</f>
        <v>69.2050787242086</v>
      </c>
      <c r="L663" s="19" t="n">
        <f aca="false">Units!Q7*1</f>
        <v>73.1754615271202</v>
      </c>
      <c r="M663" s="19" t="n">
        <f aca="false">Units!R7*1</f>
        <v>77.3736302077775</v>
      </c>
      <c r="N663" s="19" t="n">
        <f aca="false">Units!S7*1</f>
        <v>80.4321433873819</v>
      </c>
      <c r="O663" s="19" t="n">
        <f aca="false">Units!T7*1</f>
        <v>84.4542491025558</v>
      </c>
      <c r="P663" s="19" t="n">
        <f aca="false">Units!U7*1</f>
        <v>88.6774850338687</v>
      </c>
      <c r="Q663" s="19" t="n">
        <f aca="false">Units!V7*1</f>
        <v>93.1119089388012</v>
      </c>
      <c r="R663" s="19" t="n">
        <f aca="false">Units!W7*1</f>
        <v>94.0045560318226</v>
      </c>
    </row>
    <row r="664" customFormat="false" ht="17.15" hidden="false" customHeight="false" outlineLevel="0" collapsed="false">
      <c r="A664" s="5" t="s">
        <v>280</v>
      </c>
      <c r="B664" s="0" t="s">
        <v>25</v>
      </c>
      <c r="C664" s="13" t="n">
        <f aca="false">q1_rev</f>
        <v>1767.1</v>
      </c>
      <c r="D664" s="13" t="n">
        <f aca="false">g2_rev</f>
        <v>2390</v>
      </c>
      <c r="E664" s="13" t="n">
        <f aca="false">E662*kx_k*fx</f>
        <v>2908.95550407292</v>
      </c>
      <c r="F664" s="13" t="n">
        <f aca="false">F662*kx_k*fx</f>
        <v>3205.31288554602</v>
      </c>
      <c r="G664" s="13" t="n">
        <f aca="false">G662*kx_k*fx</f>
        <v>3389.20573551212</v>
      </c>
      <c r="H664" s="13" t="n">
        <f aca="false">H662*kx_k*fx</f>
        <v>3404.46631308752</v>
      </c>
      <c r="I664" s="13" t="n">
        <f aca="false">I662*kx_k*fx</f>
        <v>3347.79990753349</v>
      </c>
      <c r="J664" s="13" t="n">
        <f aca="false">J662*kx_k*fx</f>
        <v>3362.87404707614</v>
      </c>
      <c r="K664" s="13" t="n">
        <f aca="false">K662*kx_k*fx</f>
        <v>3378.01606095097</v>
      </c>
      <c r="L664" s="13" t="n">
        <f aca="false">L662*kx_k*fx</f>
        <v>3393.22625477572</v>
      </c>
      <c r="M664" s="13" t="n">
        <f aca="false">M662*kx_k*fx</f>
        <v>3408.5049355443</v>
      </c>
      <c r="N664" s="13" t="n">
        <f aca="false">N662*kx_k*fx</f>
        <v>3436.94300327916</v>
      </c>
      <c r="O664" s="13" t="n">
        <f aca="false">O662*kx_k*fx</f>
        <v>3500.54711308226</v>
      </c>
      <c r="P664" s="13" t="n">
        <f aca="false">P662*kx_k*fx</f>
        <v>3565.32828132943</v>
      </c>
      <c r="Q664" s="13" t="n">
        <f aca="false">Q662*kx_k*fx</f>
        <v>3631.30829067883</v>
      </c>
      <c r="R664" s="13" t="n">
        <f aca="false">R662*kx_k*fx</f>
        <v>3550.8102219337</v>
      </c>
      <c r="T664" s="5" t="s">
        <v>372</v>
      </c>
    </row>
    <row r="665" customFormat="false" ht="17.15" hidden="false" customHeight="false" outlineLevel="0" collapsed="false">
      <c r="A665" s="5" t="s">
        <v>373</v>
      </c>
      <c r="B665" s="0" t="s">
        <v>374</v>
      </c>
      <c r="C665" s="20" t="n">
        <f aca="false">C666/C663</f>
        <v>9.63267449926724</v>
      </c>
      <c r="D665" s="20" t="n">
        <f aca="false">D666/D663</f>
        <v>9.21426023871499</v>
      </c>
      <c r="E665" s="20" t="n">
        <f aca="false">$D665*(1-cd_A)^(1/4)</f>
        <v>8.87329840103618</v>
      </c>
      <c r="F665" s="20" t="n">
        <f aca="false">$D665*(1-cd_A)^(2/4)</f>
        <v>8.5449534172058</v>
      </c>
      <c r="G665" s="20" t="n">
        <f aca="false">$D665*(1-cd_A)^(3/4)</f>
        <v>8.22875841679016</v>
      </c>
      <c r="H665" s="20" t="n">
        <f aca="false">$D665*(1-cd_A)^(4/4)</f>
        <v>7.92426380529489</v>
      </c>
      <c r="I665" s="20" t="n">
        <f aca="false">$D665*(1-cd_A)^(5/4)</f>
        <v>7.63103662489111</v>
      </c>
      <c r="J665" s="20" t="n">
        <f aca="false">$D665*(1-cd_A)^(6/4)</f>
        <v>7.34865993879699</v>
      </c>
      <c r="K665" s="20" t="n">
        <f aca="false">$D665*(1-cd_A)^(7/4)</f>
        <v>7.07673223843954</v>
      </c>
      <c r="L665" s="20" t="n">
        <f aca="false">$D665*(1-cd_A)^(8/4)</f>
        <v>6.81486687255361</v>
      </c>
      <c r="M665" s="20" t="n">
        <f aca="false">$D665*(1-cd_A)^(9/4)</f>
        <v>6.56269149740636</v>
      </c>
      <c r="N665" s="20" t="n">
        <f aca="false">$D665*(1-cd_A)^(10/4)</f>
        <v>6.31984754736541</v>
      </c>
      <c r="O665" s="20" t="n">
        <f aca="false">$D665*(1-cd_A)^(11/4)</f>
        <v>6.085989725058</v>
      </c>
      <c r="P665" s="20" t="n">
        <f aca="false">$D665*(1-cd_A)^(12/4)</f>
        <v>5.8607855103961</v>
      </c>
      <c r="Q665" s="20" t="n">
        <f aca="false">$D665*(1-cd_A)^(13/4)</f>
        <v>5.64391468776947</v>
      </c>
      <c r="R665" s="20" t="n">
        <f aca="false">$D665*(1-cd_A)^(14/4)</f>
        <v>5.43506889073425</v>
      </c>
    </row>
    <row r="666" customFormat="false" ht="15" hidden="false" customHeight="false" outlineLevel="0" collapsed="false">
      <c r="A666" s="5" t="s">
        <v>375</v>
      </c>
      <c r="B666" s="0" t="s">
        <v>25</v>
      </c>
      <c r="C666" s="13" t="n">
        <f aca="false">q1_rev-q1_gp</f>
        <v>387</v>
      </c>
      <c r="D666" s="13" t="n">
        <f aca="false">g2_rev-g2_op-g2_ox</f>
        <v>430</v>
      </c>
      <c r="E666" s="13" t="n">
        <f aca="false">E663*E665</f>
        <v>434.299581602247</v>
      </c>
      <c r="F666" s="13" t="n">
        <f aca="false">F663*F665</f>
        <v>447.414598356475</v>
      </c>
      <c r="G666" s="13" t="n">
        <f aca="false">G663*G665</f>
        <v>455.577499229166</v>
      </c>
      <c r="H666" s="13" t="n">
        <f aca="false">H663*H665</f>
        <v>463.889328972086</v>
      </c>
      <c r="I666" s="13" t="n">
        <f aca="false">I663*I665</f>
        <v>472.352804733065</v>
      </c>
      <c r="J666" s="13" t="n">
        <f aca="false">J663*J665</f>
        <v>480.97069323321</v>
      </c>
      <c r="K666" s="13" t="n">
        <f aca="false">K663*K665</f>
        <v>489.745811671353</v>
      </c>
      <c r="L666" s="13" t="n">
        <f aca="false">L663*L665</f>
        <v>498.681028644993</v>
      </c>
      <c r="M666" s="13" t="n">
        <f aca="false">M663*M665</f>
        <v>507.779265088045</v>
      </c>
      <c r="N666" s="13" t="n">
        <f aca="false">N663*N665</f>
        <v>508.318884116089</v>
      </c>
      <c r="O666" s="13" t="n">
        <f aca="false">O663*O665</f>
        <v>513.987692275643</v>
      </c>
      <c r="P666" s="13" t="n">
        <f aca="false">P663*P665</f>
        <v>519.719719384865</v>
      </c>
      <c r="Q666" s="13" t="n">
        <f aca="false">Q663*Q665</f>
        <v>525.515670465953</v>
      </c>
      <c r="R666" s="13" t="n">
        <f aca="false">R663*R665</f>
        <v>510.921238075844</v>
      </c>
      <c r="T666" s="5" t="s">
        <v>376</v>
      </c>
    </row>
    <row r="667" customFormat="false" ht="15" hidden="false" customHeight="false" outlineLevel="0" collapsed="false">
      <c r="A667" s="5" t="s">
        <v>286</v>
      </c>
      <c r="B667" s="0" t="s">
        <v>116</v>
      </c>
      <c r="C667" s="14" t="n">
        <f aca="false">1-C666/C664</f>
        <v>0.780997113915455</v>
      </c>
      <c r="D667" s="14" t="n">
        <f aca="false">1-D666/D664</f>
        <v>0.820083682008368</v>
      </c>
      <c r="E667" s="14" t="n">
        <f aca="false">1-E666/E664</f>
        <v>0.850702569704428</v>
      </c>
      <c r="F667" s="14" t="n">
        <f aca="false">1-F666/F664</f>
        <v>0.860414688258972</v>
      </c>
      <c r="G667" s="14" t="n">
        <f aca="false">1-G666/G664</f>
        <v>0.865579863017573</v>
      </c>
      <c r="H667" s="14" t="n">
        <f aca="false">1-H666/H664</f>
        <v>0.863740954877776</v>
      </c>
      <c r="I667" s="14" t="n">
        <f aca="false">1-I666/I664</f>
        <v>0.858906500454182</v>
      </c>
      <c r="J667" s="14" t="n">
        <f aca="false">1-J666/J664</f>
        <v>0.856976298695637</v>
      </c>
      <c r="K667" s="14" t="n">
        <f aca="false">1-K666/K664</f>
        <v>0.855019691193096</v>
      </c>
      <c r="L667" s="14" t="n">
        <f aca="false">1-L666/L664</f>
        <v>0.85303631670799</v>
      </c>
      <c r="M667" s="14" t="n">
        <f aca="false">1-M666/M664</f>
        <v>0.851025809059901</v>
      </c>
      <c r="N667" s="14" t="n">
        <f aca="false">1-N666/N664</f>
        <v>0.85210145072784</v>
      </c>
      <c r="O667" s="14" t="n">
        <f aca="false">1-O666/O664</f>
        <v>0.853169325916293</v>
      </c>
      <c r="P667" s="14" t="n">
        <f aca="false">1-P666/P664</f>
        <v>0.854229490701744</v>
      </c>
      <c r="Q667" s="14" t="n">
        <f aca="false">1-Q666/Q664</f>
        <v>0.85528200075579</v>
      </c>
      <c r="R667" s="14" t="n">
        <f aca="false">1-R666/R664</f>
        <v>0.856111364409218</v>
      </c>
    </row>
    <row r="668" customFormat="false" ht="17.15" hidden="false" customHeight="false" outlineLevel="0" collapsed="false">
      <c r="A668" s="5" t="s">
        <v>377</v>
      </c>
      <c r="B668" s="0" t="s">
        <v>25</v>
      </c>
      <c r="C668" s="13" t="n">
        <f aca="false">q1_gp-q1_op</f>
        <v>110.1</v>
      </c>
      <c r="D668" s="13" t="n">
        <f aca="false">g2_ox</f>
        <v>70</v>
      </c>
      <c r="E668" s="13" t="n">
        <f aca="false">(g2_ox-ox_var*g2_rev)*(1+ox_g)^(1/4)+ox_var*E664</f>
        <v>76.3011961075221</v>
      </c>
      <c r="F668" s="13" t="n">
        <f aca="false">(g2_ox-ox_var*g2_rev)*(1+ox_g)^(2/4)+ox_var*F664</f>
        <v>80.4032167561042</v>
      </c>
      <c r="G668" s="13" t="n">
        <f aca="false">(g2_ox-ox_var*g2_rev)*(1+ox_g)^(3/4)+ox_var*G664</f>
        <v>83.4080442426069</v>
      </c>
      <c r="H668" s="13" t="n">
        <f aca="false">(g2_ox-ox_var*g2_rev)*(1+ox_g)^(4/4)+ox_var*H664</f>
        <v>84.7546631308752</v>
      </c>
      <c r="I668" s="13" t="n">
        <f aca="false">(g2_ox-ox_var*g2_rev)*(1+ox_g)^(5/4)+ox_var*I664</f>
        <v>85.4108042488071</v>
      </c>
      <c r="J668" s="13" t="n">
        <f aca="false">(g2_ox-ox_var*g2_rev)*(1+ox_g)^(6/4)+ox_var*J664</f>
        <v>86.8138371614698</v>
      </c>
      <c r="K668" s="13" t="n">
        <f aca="false">(g2_ox-ox_var*g2_rev)*(1+ox_g)^(7/4)+ox_var*K664</f>
        <v>88.247746185744</v>
      </c>
      <c r="L668" s="13" t="n">
        <f aca="false">(g2_ox-ox_var*g2_rev)*(1+ox_g)^(8/4)+ox_var*L664</f>
        <v>89.7132625477572</v>
      </c>
      <c r="M668" s="13" t="n">
        <f aca="false">(g2_ox-ox_var*g2_rev)*(1+ox_g)^(9/4)+ox_var*M664</f>
        <v>91.2111350462625</v>
      </c>
      <c r="N668" s="13" t="n">
        <f aca="false">(g2_ox-ox_var*g2_rev)*(1+ox_g)^(10/4)+ox_var*N664</f>
        <v>92.8730363925709</v>
      </c>
      <c r="O668" s="13" t="n">
        <f aca="false">(g2_ox-ox_var*g2_rev)*(1+ox_g)^(11/4)+ox_var*O664</f>
        <v>94.9198152646803</v>
      </c>
      <c r="P668" s="13" t="n">
        <f aca="false">(g2_ox-ox_var*g2_rev)*(1+ox_g)^(12/4)+ox_var*P664</f>
        <v>97.0123828132943</v>
      </c>
      <c r="Q668" s="13" t="n">
        <f aca="false">(g2_ox-ox_var*g2_rev)*(1+ox_g)^(13/4)+ox_var*Q664</f>
        <v>99.1517771666897</v>
      </c>
      <c r="R668" s="13" t="n">
        <f aca="false">(g2_ox-ox_var*g2_rev)*(1+ox_g)^(14/4)+ox_var*R664</f>
        <v>99.8620692150942</v>
      </c>
      <c r="T668" s="5" t="s">
        <v>378</v>
      </c>
    </row>
    <row r="669" customFormat="false" ht="15" hidden="false" customHeight="false" outlineLevel="0" collapsed="false">
      <c r="A669" s="5" t="s">
        <v>284</v>
      </c>
      <c r="B669" s="0" t="s">
        <v>25</v>
      </c>
      <c r="C669" s="13" t="n">
        <f aca="false">C664-C666-C668</f>
        <v>1270</v>
      </c>
      <c r="D669" s="13" t="n">
        <f aca="false">D664-D666-D668</f>
        <v>1890</v>
      </c>
      <c r="E669" s="13" t="n">
        <f aca="false">E664-E666-E668</f>
        <v>2398.35472636315</v>
      </c>
      <c r="F669" s="13" t="n">
        <f aca="false">F664-F666-F668</f>
        <v>2677.49507043344</v>
      </c>
      <c r="G669" s="13" t="n">
        <f aca="false">G664-G666-G668</f>
        <v>2850.22019204035</v>
      </c>
      <c r="H669" s="13" t="n">
        <f aca="false">H664-H666-H668</f>
        <v>2855.82232098456</v>
      </c>
      <c r="I669" s="13" t="n">
        <f aca="false">I664-I666-I668</f>
        <v>2790.03629855162</v>
      </c>
      <c r="J669" s="13" t="n">
        <f aca="false">J664-J666-J668</f>
        <v>2795.08951668146</v>
      </c>
      <c r="K669" s="13" t="n">
        <f aca="false">K664-K666-K668</f>
        <v>2800.02250309387</v>
      </c>
      <c r="L669" s="13" t="n">
        <f aca="false">L664-L666-L668</f>
        <v>2804.83196358297</v>
      </c>
      <c r="M669" s="13" t="n">
        <f aca="false">M664-M666-M668</f>
        <v>2809.51453540999</v>
      </c>
      <c r="N669" s="13" t="n">
        <f aca="false">N664-N666-N668</f>
        <v>2835.7510827705</v>
      </c>
      <c r="O669" s="13" t="n">
        <f aca="false">O664-O666-O668</f>
        <v>2891.63960554193</v>
      </c>
      <c r="P669" s="13" t="n">
        <f aca="false">P664-P666-P668</f>
        <v>2948.59617913127</v>
      </c>
      <c r="Q669" s="13" t="n">
        <f aca="false">Q664-Q666-Q668</f>
        <v>3006.64084304619</v>
      </c>
      <c r="R669" s="13" t="n">
        <f aca="false">R664-R666-R668</f>
        <v>2940.02691464277</v>
      </c>
    </row>
    <row r="671" customFormat="false" ht="17.15" hidden="false" customHeight="false" outlineLevel="0" collapsed="false">
      <c r="A671" s="5" t="s">
        <v>285</v>
      </c>
      <c r="B671" s="0" t="s">
        <v>25</v>
      </c>
      <c r="C671" s="13" t="n">
        <f aca="false">q1_ni</f>
        <v>842.2</v>
      </c>
      <c r="D671" s="13" t="n">
        <f aca="false">g2_ni</f>
        <v>1270</v>
      </c>
      <c r="E671" s="13" t="n">
        <f aca="false">(E669+nonop_q+rf*nc_j/4)*(1-tax_lo)</f>
        <v>1716.29692298147</v>
      </c>
      <c r="F671" s="13" t="n">
        <f aca="false">(F669+nonop_q+rf*nc_j/4)*(1-tax_lo)</f>
        <v>1917.27797071208</v>
      </c>
      <c r="G671" s="13" t="n">
        <f aca="false">(G669+nonop_q+rf*$D687/4)*(1-tax_lo)</f>
        <v>2048.56080611597</v>
      </c>
      <c r="H671" s="13" t="n">
        <f aca="false">(H669+nonop_q+rf*$D687/4)*(1-tax_lo)</f>
        <v>2052.5943389558</v>
      </c>
      <c r="I671" s="13" t="n">
        <f aca="false">(I669+nonop_q+rf*$D687/4)*(1-tax_lo)</f>
        <v>2005.22840280408</v>
      </c>
      <c r="J671" s="13" t="n">
        <f aca="false">(J669+nonop_q+rf*$D687/4)*(1-tax_lo)</f>
        <v>2008.86671985757</v>
      </c>
      <c r="K671" s="13" t="n">
        <f aca="false">(K669+nonop_q+rf*$E687/4)*(1-tax_lo)</f>
        <v>2023.88843046004</v>
      </c>
      <c r="L671" s="13" t="n">
        <f aca="false">(L669+nonop_q+rf*$E687/4)*(1-tax_lo)</f>
        <v>2027.35124201219</v>
      </c>
      <c r="M671" s="13" t="n">
        <f aca="false">(M669+nonop_q+rf*$E687/4)*(1-tax_lo)</f>
        <v>2030.72269372765</v>
      </c>
      <c r="N671" s="13" t="n">
        <f aca="false">(N669+nonop_q+rf*$E687/4)*(1-tax_lo)</f>
        <v>2049.61300782722</v>
      </c>
      <c r="O671" s="13" t="n">
        <f aca="false">(O669+nonop_q+rf*$F687/4)*(1-tax_lo)</f>
        <v>2101.34621276125</v>
      </c>
      <c r="P671" s="13" t="n">
        <f aca="false">(P669+nonop_q+rf*$F687/4)*(1-tax_lo)</f>
        <v>2142.35494574557</v>
      </c>
      <c r="Q671" s="13" t="n">
        <f aca="false">(Q669+nonop_q+rf*$F687/4)*(1-tax_lo)</f>
        <v>2184.14710376431</v>
      </c>
      <c r="R671" s="13" t="n">
        <f aca="false">(R669+nonop_q+rf*$F687/4)*(1-tax_lo)</f>
        <v>2136.18507531385</v>
      </c>
      <c r="T671" s="5" t="s">
        <v>379</v>
      </c>
    </row>
    <row r="672" customFormat="false" ht="17.15" hidden="false" customHeight="false" outlineLevel="0" collapsed="false">
      <c r="A672" s="5" t="s">
        <v>380</v>
      </c>
      <c r="B672" s="0" t="s">
        <v>78</v>
      </c>
      <c r="C672" s="17" t="n">
        <f aca="false">C671/(sh0+dil)*1000</f>
        <v>507.343332753891</v>
      </c>
      <c r="D672" s="17" t="n">
        <f aca="false">D671/(sh0+dil)*1000</f>
        <v>765.051095461222</v>
      </c>
      <c r="E672" s="17" t="n">
        <f aca="false">E671/(sh0+dil)*1000</f>
        <v>1033.90144965645</v>
      </c>
      <c r="F672" s="17" t="n">
        <f aca="false">F671/(sh0+dil)*1000</f>
        <v>1154.97292267476</v>
      </c>
      <c r="G672" s="17" t="n">
        <f aca="false">G671/(sh0+dil)*1000</f>
        <v>1234.05802270704</v>
      </c>
      <c r="H672" s="17" t="n">
        <f aca="false">H671/(sh0+dil)*1000</f>
        <v>1236.48783272098</v>
      </c>
      <c r="I672" s="17" t="n">
        <f aca="false">I671/(sh0+dil)*1000</f>
        <v>1207.95447733482</v>
      </c>
      <c r="J672" s="17" t="n">
        <f aca="false">J671/(sh0+dil)*1000</f>
        <v>1210.14620839577</v>
      </c>
      <c r="K672" s="17" t="n">
        <f aca="false">K671/(sh0+dil)*1000</f>
        <v>1219.19532347618</v>
      </c>
      <c r="L672" s="17" t="n">
        <f aca="false">L671/(sh0+dil)*1000</f>
        <v>1221.28132959535</v>
      </c>
      <c r="M672" s="17" t="n">
        <f aca="false">M671/(sh0+dil)*1000</f>
        <v>1223.31230032622</v>
      </c>
      <c r="N672" s="17" t="n">
        <f aca="false">N671/(sh0+dil)*1000</f>
        <v>1234.69187158251</v>
      </c>
      <c r="O672" s="17" t="n">
        <f aca="false">O671/(sh0+dil)*1000</f>
        <v>1265.85608032778</v>
      </c>
      <c r="P672" s="17" t="n">
        <f aca="false">P671/(sh0+dil)*1000</f>
        <v>1290.55984103103</v>
      </c>
      <c r="Q672" s="17" t="n">
        <f aca="false">Q671/(sh0+dil)*1000</f>
        <v>1315.73553888452</v>
      </c>
      <c r="R672" s="17" t="n">
        <f aca="false">R671/(sh0+dil)*1000</f>
        <v>1286.8430960447</v>
      </c>
    </row>
    <row r="674" customFormat="false" ht="17.15" hidden="false" customHeight="false" outlineLevel="0" collapsed="false">
      <c r="A674" s="12" t="s">
        <v>381</v>
      </c>
      <c r="B674" s="6" t="s">
        <v>15</v>
      </c>
      <c r="C674" s="12" t="s">
        <v>338</v>
      </c>
      <c r="D674" s="12" t="s">
        <v>339</v>
      </c>
      <c r="E674" s="12" t="s">
        <v>340</v>
      </c>
      <c r="F674" s="12" t="s">
        <v>341</v>
      </c>
      <c r="G674" s="12" t="s">
        <v>342</v>
      </c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6" t="s">
        <v>343</v>
      </c>
    </row>
    <row r="675" customFormat="false" ht="17.15" hidden="false" customHeight="false" outlineLevel="0" collapsed="false">
      <c r="A675" s="5" t="s">
        <v>280</v>
      </c>
      <c r="B675" s="0" t="s">
        <v>25</v>
      </c>
      <c r="C675" s="13" t="n">
        <f aca="false">a25_rev</f>
        <v>2337.6</v>
      </c>
      <c r="D675" s="13" t="n">
        <f aca="false">SUM(C664:F664)</f>
        <v>10271.3683896189</v>
      </c>
      <c r="E675" s="13" t="n">
        <f aca="false">SUM(G664:J664)</f>
        <v>13504.3460032093</v>
      </c>
      <c r="F675" s="13" t="n">
        <f aca="false">SUM(K664:N664)</f>
        <v>13616.6902545502</v>
      </c>
      <c r="G675" s="13" t="n">
        <f aca="false">SUM(O664:R664)</f>
        <v>14247.9939070242</v>
      </c>
      <c r="T675" s="8" t="s">
        <v>382</v>
      </c>
    </row>
    <row r="676" customFormat="false" ht="15" hidden="false" customHeight="false" outlineLevel="0" collapsed="false">
      <c r="A676" s="5" t="s">
        <v>375</v>
      </c>
      <c r="B676" s="0" t="s">
        <v>25</v>
      </c>
      <c r="C676" s="13" t="n">
        <f aca="false">a25_rev-(p1_gp+p2_gp+p3_gp+p4_gp)</f>
        <v>1324.8</v>
      </c>
      <c r="D676" s="13" t="n">
        <f aca="false">SUM(C666:F666)</f>
        <v>1698.71417995872</v>
      </c>
      <c r="E676" s="13" t="n">
        <f aca="false">SUM(G666:J666)</f>
        <v>1872.79032616753</v>
      </c>
      <c r="F676" s="13" t="n">
        <f aca="false">SUM(K666:N666)</f>
        <v>2004.52498952048</v>
      </c>
      <c r="G676" s="13" t="n">
        <f aca="false">SUM(O666:R666)</f>
        <v>2070.14432020231</v>
      </c>
    </row>
    <row r="677" customFormat="false" ht="15" hidden="false" customHeight="false" outlineLevel="0" collapsed="false">
      <c r="A677" s="5" t="s">
        <v>286</v>
      </c>
      <c r="B677" s="0" t="s">
        <v>116</v>
      </c>
      <c r="C677" s="14" t="n">
        <f aca="false">1-C676/C675</f>
        <v>0.433264887063655</v>
      </c>
      <c r="D677" s="14" t="n">
        <f aca="false">1-D676/D675</f>
        <v>0.834616565629602</v>
      </c>
      <c r="E677" s="14" t="n">
        <f aca="false">1-E676/E675</f>
        <v>0.861319435556341</v>
      </c>
      <c r="F677" s="14" t="n">
        <f aca="false">1-F676/F675</f>
        <v>0.852789117469229</v>
      </c>
      <c r="G677" s="14" t="n">
        <f aca="false">1-G676/G675</f>
        <v>0.854706260143631</v>
      </c>
    </row>
    <row r="678" customFormat="false" ht="15" hidden="false" customHeight="false" outlineLevel="0" collapsed="false">
      <c r="A678" s="5" t="s">
        <v>377</v>
      </c>
      <c r="B678" s="0" t="s">
        <v>25</v>
      </c>
      <c r="D678" s="13" t="n">
        <f aca="false">SUM(C668:F668)</f>
        <v>336.804412863626</v>
      </c>
      <c r="E678" s="13" t="n">
        <f aca="false">SUM(G668:J668)</f>
        <v>340.387348783759</v>
      </c>
      <c r="F678" s="13" t="n">
        <f aca="false">SUM(K668:N668)</f>
        <v>362.045180172334</v>
      </c>
      <c r="G678" s="13" t="n">
        <f aca="false">SUM(O668:R668)</f>
        <v>390.946044459758</v>
      </c>
    </row>
    <row r="679" customFormat="false" ht="15" hidden="false" customHeight="false" outlineLevel="0" collapsed="false">
      <c r="A679" s="5" t="s">
        <v>284</v>
      </c>
      <c r="B679" s="0" t="s">
        <v>25</v>
      </c>
      <c r="C679" s="13" t="n">
        <f aca="false">p1_op+p2_op+p3_op+p4_op</f>
        <v>869</v>
      </c>
      <c r="D679" s="13" t="n">
        <f aca="false">SUM(C669:F669)</f>
        <v>8235.84979679659</v>
      </c>
      <c r="E679" s="13" t="n">
        <f aca="false">SUM(G669:J669)</f>
        <v>11291.168328258</v>
      </c>
      <c r="F679" s="13" t="n">
        <f aca="false">SUM(K669:N669)</f>
        <v>11250.1200848573</v>
      </c>
      <c r="G679" s="13" t="n">
        <f aca="false">SUM(O669:R669)</f>
        <v>11786.9035423622</v>
      </c>
    </row>
    <row r="680" customFormat="false" ht="15" hidden="false" customHeight="false" outlineLevel="0" collapsed="false">
      <c r="A680" s="5" t="s">
        <v>287</v>
      </c>
      <c r="B680" s="0" t="s">
        <v>116</v>
      </c>
      <c r="C680" s="14" t="n">
        <f aca="false">C679/C675</f>
        <v>0.371748802190281</v>
      </c>
      <c r="D680" s="14" t="n">
        <f aca="false">D679/D675</f>
        <v>0.801825957787708</v>
      </c>
      <c r="E680" s="14" t="n">
        <f aca="false">E679/E675</f>
        <v>0.836113672263334</v>
      </c>
      <c r="F680" s="14" t="n">
        <f aca="false">F679/F675</f>
        <v>0.826200778202912</v>
      </c>
      <c r="G680" s="14" t="n">
        <f aca="false">G679/G675</f>
        <v>0.82726758723214</v>
      </c>
    </row>
    <row r="681" customFormat="false" ht="15" hidden="false" customHeight="false" outlineLevel="0" collapsed="false">
      <c r="A681" s="5" t="s">
        <v>285</v>
      </c>
      <c r="B681" s="0" t="s">
        <v>25</v>
      </c>
      <c r="C681" s="13" t="n">
        <f aca="false">a25_ni</f>
        <v>554.5</v>
      </c>
      <c r="D681" s="13" t="n">
        <f aca="false">SUM(C671:F671)</f>
        <v>5745.77489369355</v>
      </c>
      <c r="E681" s="13" t="n">
        <f aca="false">SUM(G671:J671)</f>
        <v>8115.25026773342</v>
      </c>
      <c r="F681" s="13" t="n">
        <f aca="false">SUM(K671:N671)</f>
        <v>8131.5753740271</v>
      </c>
      <c r="G681" s="13" t="n">
        <f aca="false">SUM(O671:R671)</f>
        <v>8564.03333758497</v>
      </c>
    </row>
    <row r="682" customFormat="false" ht="15" hidden="false" customHeight="false" outlineLevel="0" collapsed="false">
      <c r="A682" s="5" t="s">
        <v>383</v>
      </c>
      <c r="B682" s="0" t="s">
        <v>25</v>
      </c>
      <c r="D682" s="13" t="n">
        <f aca="false">da_y</f>
        <v>320</v>
      </c>
      <c r="E682" s="13" t="n">
        <f aca="false">da_y</f>
        <v>320</v>
      </c>
      <c r="F682" s="13" t="n">
        <f aca="false">da_y</f>
        <v>320</v>
      </c>
      <c r="G682" s="13" t="n">
        <f aca="false">da_y</f>
        <v>320</v>
      </c>
    </row>
    <row r="683" customFormat="false" ht="15" hidden="false" customHeight="false" outlineLevel="0" collapsed="false">
      <c r="A683" s="5" t="s">
        <v>384</v>
      </c>
      <c r="B683" s="0" t="s">
        <v>25</v>
      </c>
      <c r="D683" s="13" t="n">
        <f aca="false">cap_2026</f>
        <v>450</v>
      </c>
      <c r="E683" s="13" t="n">
        <f aca="false">cap_2027</f>
        <v>470</v>
      </c>
      <c r="F683" s="13" t="n">
        <f aca="false">cap_2028</f>
        <v>470</v>
      </c>
      <c r="G683" s="13" t="n">
        <f aca="false">cap_2029</f>
        <v>470</v>
      </c>
    </row>
    <row r="684" customFormat="false" ht="15" hidden="false" customHeight="false" outlineLevel="0" collapsed="false">
      <c r="A684" s="5" t="s">
        <v>385</v>
      </c>
      <c r="B684" s="0" t="s">
        <v>25</v>
      </c>
      <c r="D684" s="13" t="n">
        <f aca="false">D681+D682-D683</f>
        <v>5615.77489369355</v>
      </c>
      <c r="E684" s="13" t="n">
        <f aca="false">E681+E682-E683</f>
        <v>7965.25026773342</v>
      </c>
      <c r="F684" s="13" t="n">
        <f aca="false">F681+F682-F683</f>
        <v>7981.5753740271</v>
      </c>
      <c r="G684" s="13" t="n">
        <f aca="false">G681+G682-G683</f>
        <v>8414.03333758497</v>
      </c>
    </row>
    <row r="685" customFormat="false" ht="17.15" hidden="false" customHeight="false" outlineLevel="0" collapsed="false">
      <c r="A685" s="5" t="s">
        <v>386</v>
      </c>
      <c r="B685" s="0" t="s">
        <v>25</v>
      </c>
      <c r="D685" s="13" t="n">
        <f aca="false">MAX(0,payout*(SUM(D671:F671)+0.75*(D682-D683)))</f>
        <v>961.214978738709</v>
      </c>
      <c r="E685" s="13" t="n">
        <f aca="false">MAX(0,payout*E684)</f>
        <v>1593.05005354668</v>
      </c>
      <c r="F685" s="13" t="n">
        <f aca="false">MAX(0,payout*F684)</f>
        <v>1596.31507480542</v>
      </c>
      <c r="G685" s="13" t="n">
        <f aca="false">MAX(0,payout*G684)</f>
        <v>1682.80666751699</v>
      </c>
      <c r="T685" s="8" t="s">
        <v>387</v>
      </c>
    </row>
    <row r="686" customFormat="false" ht="17.15" hidden="false" customHeight="false" outlineLevel="0" collapsed="false">
      <c r="A686" s="5" t="s">
        <v>388</v>
      </c>
      <c r="B686" s="0" t="s">
        <v>25</v>
      </c>
      <c r="C686" s="13" t="n">
        <f aca="false">eq25</f>
        <v>1399.1</v>
      </c>
      <c r="D686" s="13" t="n">
        <f aca="false">eq_j+SUM(D671:F671)-D685</f>
        <v>6346.65991495484</v>
      </c>
      <c r="E686" s="13" t="n">
        <f aca="false">D686+E681-E685</f>
        <v>12868.8601291416</v>
      </c>
      <c r="F686" s="13" t="n">
        <f aca="false">E686+F681-F685</f>
        <v>19404.1204283633</v>
      </c>
      <c r="G686" s="13" t="n">
        <f aca="false">F686+G681-G685</f>
        <v>26285.3470984312</v>
      </c>
      <c r="T686" s="8" t="s">
        <v>389</v>
      </c>
    </row>
    <row r="687" customFormat="false" ht="15" hidden="false" customHeight="false" outlineLevel="0" collapsed="false">
      <c r="A687" s="5" t="s">
        <v>390</v>
      </c>
      <c r="B687" s="0" t="s">
        <v>25</v>
      </c>
      <c r="D687" s="13" t="n">
        <f aca="false">nc_j+(SUM(D671:F671)+0.75*(D682-D683))-D685</f>
        <v>4001.25991495484</v>
      </c>
      <c r="E687" s="13" t="n">
        <f aca="false">D687+E684-E685</f>
        <v>10373.4601291416</v>
      </c>
      <c r="F687" s="13" t="n">
        <f aca="false">E687+F684-F685</f>
        <v>16758.7204283633</v>
      </c>
      <c r="G687" s="13" t="n">
        <f aca="false">F687+G684-G685</f>
        <v>23489.9470984312</v>
      </c>
    </row>
    <row r="688" customFormat="false" ht="15" hidden="false" customHeight="false" outlineLevel="0" collapsed="false">
      <c r="A688" s="5" t="s">
        <v>391</v>
      </c>
      <c r="B688" s="5" t="s">
        <v>159</v>
      </c>
      <c r="D688" s="13" t="n">
        <f aca="false">sh0-D685/bb_px*1000</f>
        <v>1568.68405678803</v>
      </c>
      <c r="E688" s="13" t="n">
        <f aca="false">D688-E685/bb_px*1000</f>
        <v>1443.78793342098</v>
      </c>
      <c r="F688" s="13" t="n">
        <f aca="false">E688-F685/bb_px*1000</f>
        <v>1318.63583033941</v>
      </c>
      <c r="G688" s="13" t="n">
        <f aca="false">F688-G685/bb_px*1000</f>
        <v>1186.70273214129</v>
      </c>
    </row>
    <row r="689" customFormat="false" ht="17.15" hidden="false" customHeight="false" outlineLevel="0" collapsed="false">
      <c r="A689" s="0" t="s">
        <v>392</v>
      </c>
      <c r="B689" s="0" t="s">
        <v>78</v>
      </c>
      <c r="C689" s="17" t="n">
        <f aca="false">a25_eps</f>
        <v>341.4</v>
      </c>
      <c r="D689" s="17" t="n">
        <f aca="false">D681/(D688+dil)*1000</f>
        <v>3625.87239045596</v>
      </c>
      <c r="E689" s="17" t="n">
        <f aca="false">E681/(E688+dil)*1000</f>
        <v>5559.28974000587</v>
      </c>
      <c r="F689" s="17" t="n">
        <f aca="false">F681/(F688+dil)*1000</f>
        <v>6092.83959334408</v>
      </c>
      <c r="G689" s="17" t="n">
        <f aca="false">G681/(G688+dil)*1000</f>
        <v>7120.79926955408</v>
      </c>
    </row>
    <row r="690" customFormat="false" ht="17.15" hidden="false" customHeight="false" outlineLevel="0" collapsed="false">
      <c r="A690" s="5" t="s">
        <v>393</v>
      </c>
      <c r="B690" s="0" t="s">
        <v>78</v>
      </c>
      <c r="D690" s="17" t="n">
        <f aca="false">D686/D688*1000</f>
        <v>4045.84969643282</v>
      </c>
      <c r="E690" s="17" t="n">
        <f aca="false">E686/E688*1000</f>
        <v>8913.26200424011</v>
      </c>
      <c r="F690" s="17" t="n">
        <f aca="false">F686/F688*1000</f>
        <v>14715.2989338753</v>
      </c>
      <c r="G690" s="17" t="n">
        <f aca="false">G686/G688*1000</f>
        <v>22149.9002121633</v>
      </c>
    </row>
    <row r="691" customFormat="false" ht="17.15" hidden="false" customHeight="false" outlineLevel="0" collapsed="false">
      <c r="A691" s="0" t="s">
        <v>394</v>
      </c>
      <c r="B691" s="0" t="s">
        <v>116</v>
      </c>
      <c r="D691" s="21" t="n">
        <f aca="false">D681/D686</f>
        <v>0.90532263752696</v>
      </c>
      <c r="E691" s="21" t="n">
        <f aca="false">E681/E686</f>
        <v>0.630611428385674</v>
      </c>
      <c r="F691" s="21" t="n">
        <f aca="false">F681/F686</f>
        <v>0.419064363367951</v>
      </c>
      <c r="G691" s="21" t="n">
        <f aca="false">G681/G686</f>
        <v>0.325810167372532</v>
      </c>
    </row>
    <row r="692" customFormat="false" ht="15" hidden="false" customHeight="false" outlineLevel="0" collapsed="false">
      <c r="A692" s="5" t="s">
        <v>395</v>
      </c>
      <c r="B692" s="0" t="s">
        <v>78</v>
      </c>
      <c r="E692" s="17" t="n">
        <f aca="false">E684/(E688+dil)*1000</f>
        <v>5456.53339442323</v>
      </c>
      <c r="F692" s="17" t="n">
        <f aca="false">F684/(F688+dil)*1000</f>
        <v>5980.4473572811</v>
      </c>
      <c r="G692" s="17" t="n">
        <f aca="false">G684/(G688+dil)*1000</f>
        <v>6996.07767537889</v>
      </c>
    </row>
    <row r="693" customFormat="false" ht="17.15" hidden="false" customHeight="false" outlineLevel="0" collapsed="false">
      <c r="A693" s="5" t="s">
        <v>396</v>
      </c>
      <c r="B693" s="0" t="s">
        <v>25</v>
      </c>
      <c r="D693" s="18" t="n">
        <f aca="false">ABS(C664-q1_rev)+ABS(D669-g2_op)+ABS(C675-2337.6)</f>
        <v>0</v>
      </c>
    </row>
    <row r="710" customFormat="false" ht="17.15" hidden="false" customHeight="false" outlineLevel="0" collapsed="false">
      <c r="A710" s="3" t="s">
        <v>683</v>
      </c>
    </row>
    <row r="711" customFormat="false" ht="17.15" hidden="false" customHeight="false" outlineLevel="0" collapsed="false">
      <c r="A711" s="12" t="s">
        <v>352</v>
      </c>
      <c r="B711" s="6" t="s">
        <v>15</v>
      </c>
      <c r="C711" s="12" t="s">
        <v>353</v>
      </c>
      <c r="D711" s="12" t="s">
        <v>354</v>
      </c>
      <c r="E711" s="12" t="s">
        <v>355</v>
      </c>
      <c r="F711" s="12" t="s">
        <v>356</v>
      </c>
      <c r="G711" s="12" t="s">
        <v>357</v>
      </c>
      <c r="H711" s="12" t="s">
        <v>358</v>
      </c>
      <c r="I711" s="12" t="s">
        <v>359</v>
      </c>
      <c r="J711" s="12" t="s">
        <v>360</v>
      </c>
      <c r="K711" s="12" t="s">
        <v>361</v>
      </c>
      <c r="L711" s="12" t="s">
        <v>362</v>
      </c>
      <c r="M711" s="12" t="s">
        <v>363</v>
      </c>
      <c r="N711" s="12" t="s">
        <v>364</v>
      </c>
      <c r="O711" s="12" t="s">
        <v>365</v>
      </c>
      <c r="P711" s="12" t="s">
        <v>366</v>
      </c>
      <c r="Q711" s="12" t="s">
        <v>367</v>
      </c>
      <c r="R711" s="12" t="s">
        <v>368</v>
      </c>
      <c r="S711" s="12"/>
      <c r="T711" s="6" t="s">
        <v>343</v>
      </c>
    </row>
    <row r="712" customFormat="false" ht="17.15" hidden="false" customHeight="false" outlineLevel="0" collapsed="false">
      <c r="A712" s="5" t="s">
        <v>369</v>
      </c>
      <c r="B712" s="0" t="s">
        <v>317</v>
      </c>
      <c r="C712" s="19" t="n">
        <f aca="false">Units!H4*1</f>
        <v>10.72</v>
      </c>
      <c r="D712" s="19" t="n">
        <f aca="false">Units!I4*1</f>
        <v>14.3197859923946</v>
      </c>
      <c r="E712" s="19" t="n">
        <f aca="false">Units!J4*1*1</f>
        <v>17.6469939469536</v>
      </c>
      <c r="F712" s="19" t="n">
        <f aca="false">Units!K4*1*1</f>
        <v>19.4448271931715</v>
      </c>
      <c r="G712" s="19" t="n">
        <f aca="false">Units!L4*1*1</f>
        <v>20.5604014966272</v>
      </c>
      <c r="H712" s="19" t="n">
        <f aca="false">Units!M4*1*1</f>
        <v>20.6529788219672</v>
      </c>
      <c r="I712" s="19" t="n">
        <f aca="false">Units!N4*1*1</f>
        <v>20.3092156690391</v>
      </c>
      <c r="J712" s="19" t="n">
        <f aca="false">Units!O4*1*1</f>
        <v>20.4006619798858</v>
      </c>
      <c r="K712" s="19" t="n">
        <f aca="false">Units!P4*1*1</f>
        <v>20.492520046061</v>
      </c>
      <c r="L712" s="19" t="n">
        <f aca="false">Units!Q4*1*1</f>
        <v>20.5847917215753</v>
      </c>
      <c r="M712" s="19" t="n">
        <f aca="false">Units!R4*1*1</f>
        <v>20.6774788687878</v>
      </c>
      <c r="N712" s="19" t="n">
        <f aca="false">Units!S4*1*1</f>
        <v>20.8499966018633</v>
      </c>
      <c r="O712" s="19" t="n">
        <f aca="false">Units!T4*1*1</f>
        <v>21.235846897313</v>
      </c>
      <c r="P712" s="19" t="n">
        <f aca="false">Units!U4*1*1</f>
        <v>21.628837743111</v>
      </c>
      <c r="Q712" s="19" t="n">
        <f aca="false">Units!V4*1*1</f>
        <v>22.0291012823706</v>
      </c>
      <c r="R712" s="19" t="n">
        <f aca="false">Units!W4*1*1</f>
        <v>21.5407648571837</v>
      </c>
      <c r="T712" s="8" t="s">
        <v>370</v>
      </c>
    </row>
    <row r="713" customFormat="false" ht="15" hidden="false" customHeight="false" outlineLevel="0" collapsed="false">
      <c r="A713" s="5" t="s">
        <v>371</v>
      </c>
      <c r="B713" s="0" t="s">
        <v>324</v>
      </c>
      <c r="C713" s="19" t="n">
        <f aca="false">Units!H7*1</f>
        <v>40.1757580440862</v>
      </c>
      <c r="D713" s="19" t="n">
        <f aca="false">Units!I7*1</f>
        <v>46.6667956905857</v>
      </c>
      <c r="E713" s="19" t="n">
        <f aca="false">Units!J7*1</f>
        <v>48.944548236035</v>
      </c>
      <c r="F713" s="19" t="n">
        <f aca="false">Units!K7*1</f>
        <v>52.3600980030596</v>
      </c>
      <c r="G713" s="19" t="n">
        <f aca="false">Units!L7*1</f>
        <v>55.3640629793669</v>
      </c>
      <c r="H713" s="19" t="n">
        <f aca="false">Units!M7*1</f>
        <v>58.5403692216961</v>
      </c>
      <c r="I713" s="19" t="n">
        <f aca="false">Units!N7*1</f>
        <v>61.898904166222</v>
      </c>
      <c r="J713" s="19" t="n">
        <f aca="false">Units!O7*1</f>
        <v>65.4501225038245</v>
      </c>
      <c r="K713" s="19" t="n">
        <f aca="false">Units!P7*1</f>
        <v>69.2050787242086</v>
      </c>
      <c r="L713" s="19" t="n">
        <f aca="false">Units!Q7*1</f>
        <v>73.1754615271202</v>
      </c>
      <c r="M713" s="19" t="n">
        <f aca="false">Units!R7*1</f>
        <v>77.3736302077775</v>
      </c>
      <c r="N713" s="19" t="n">
        <f aca="false">Units!S7*1</f>
        <v>80.4321433873819</v>
      </c>
      <c r="O713" s="19" t="n">
        <f aca="false">Units!T7*1</f>
        <v>84.4542491025558</v>
      </c>
      <c r="P713" s="19" t="n">
        <f aca="false">Units!U7*1</f>
        <v>88.6774850338687</v>
      </c>
      <c r="Q713" s="19" t="n">
        <f aca="false">Units!V7*1</f>
        <v>93.1119089388012</v>
      </c>
      <c r="R713" s="19" t="n">
        <f aca="false">Units!W7*1</f>
        <v>94.0045560318226</v>
      </c>
    </row>
    <row r="714" customFormat="false" ht="17.15" hidden="false" customHeight="false" outlineLevel="0" collapsed="false">
      <c r="A714" s="5" t="s">
        <v>280</v>
      </c>
      <c r="B714" s="0" t="s">
        <v>25</v>
      </c>
      <c r="C714" s="13" t="n">
        <f aca="false">q1_rev</f>
        <v>1767.1</v>
      </c>
      <c r="D714" s="13" t="n">
        <f aca="false">g2_rev</f>
        <v>2390</v>
      </c>
      <c r="E714" s="13" t="n">
        <f aca="false">E712*kx_k*fx</f>
        <v>2908.95550407292</v>
      </c>
      <c r="F714" s="13" t="n">
        <f aca="false">F712*kx_k*fx</f>
        <v>3205.31288554602</v>
      </c>
      <c r="G714" s="13" t="n">
        <f aca="false">G712*kx_k*fx</f>
        <v>3389.20573551212</v>
      </c>
      <c r="H714" s="13" t="n">
        <f aca="false">H712*kx_k*fx</f>
        <v>3404.46631308752</v>
      </c>
      <c r="I714" s="13" t="n">
        <f aca="false">I712*kx_k*fx</f>
        <v>3347.79990753349</v>
      </c>
      <c r="J714" s="13" t="n">
        <f aca="false">J712*kx_k*fx</f>
        <v>3362.87404707614</v>
      </c>
      <c r="K714" s="13" t="n">
        <f aca="false">K712*kx_k*fx</f>
        <v>3378.01606095097</v>
      </c>
      <c r="L714" s="13" t="n">
        <f aca="false">L712*kx_k*fx</f>
        <v>3393.22625477572</v>
      </c>
      <c r="M714" s="13" t="n">
        <f aca="false">M712*kx_k*fx</f>
        <v>3408.5049355443</v>
      </c>
      <c r="N714" s="13" t="n">
        <f aca="false">N712*kx_k*fx</f>
        <v>3436.94300327916</v>
      </c>
      <c r="O714" s="13" t="n">
        <f aca="false">O712*kx_k*fx</f>
        <v>3500.54711308226</v>
      </c>
      <c r="P714" s="13" t="n">
        <f aca="false">P712*kx_k*fx</f>
        <v>3565.32828132943</v>
      </c>
      <c r="Q714" s="13" t="n">
        <f aca="false">Q712*kx_k*fx</f>
        <v>3631.30829067883</v>
      </c>
      <c r="R714" s="13" t="n">
        <f aca="false">R712*kx_k*fx</f>
        <v>3550.8102219337</v>
      </c>
      <c r="T714" s="5" t="s">
        <v>372</v>
      </c>
    </row>
    <row r="715" customFormat="false" ht="17.15" hidden="false" customHeight="false" outlineLevel="0" collapsed="false">
      <c r="A715" s="5" t="s">
        <v>373</v>
      </c>
      <c r="B715" s="0" t="s">
        <v>374</v>
      </c>
      <c r="C715" s="20" t="n">
        <f aca="false">C716/C713</f>
        <v>9.63267449926724</v>
      </c>
      <c r="D715" s="20" t="n">
        <f aca="false">D716/D713</f>
        <v>9.21426023871499</v>
      </c>
      <c r="E715" s="20" t="n">
        <f aca="false">$D715*(1-cd_A)^(1/4)</f>
        <v>8.87329840103618</v>
      </c>
      <c r="F715" s="20" t="n">
        <f aca="false">$D715*(1-cd_A)^(2/4)</f>
        <v>8.5449534172058</v>
      </c>
      <c r="G715" s="20" t="n">
        <f aca="false">$D715*(1-cd_A)^(3/4)</f>
        <v>8.22875841679016</v>
      </c>
      <c r="H715" s="20" t="n">
        <f aca="false">$D715*(1-cd_A)^(4/4)</f>
        <v>7.92426380529489</v>
      </c>
      <c r="I715" s="20" t="n">
        <f aca="false">$D715*(1-cd_A)^(5/4)</f>
        <v>7.63103662489111</v>
      </c>
      <c r="J715" s="20" t="n">
        <f aca="false">$D715*(1-cd_A)^(6/4)</f>
        <v>7.34865993879699</v>
      </c>
      <c r="K715" s="20" t="n">
        <f aca="false">$D715*(1-cd_A)^(7/4)</f>
        <v>7.07673223843954</v>
      </c>
      <c r="L715" s="20" t="n">
        <f aca="false">$D715*(1-cd_A)^(8/4)</f>
        <v>6.81486687255361</v>
      </c>
      <c r="M715" s="20" t="n">
        <f aca="false">$D715*(1-cd_A)^(9/4)</f>
        <v>6.56269149740636</v>
      </c>
      <c r="N715" s="20" t="n">
        <f aca="false">$D715*(1-cd_A)^(10/4)</f>
        <v>6.31984754736541</v>
      </c>
      <c r="O715" s="20" t="n">
        <f aca="false">$D715*(1-cd_A)^(11/4)</f>
        <v>6.085989725058</v>
      </c>
      <c r="P715" s="20" t="n">
        <f aca="false">$D715*(1-cd_A)^(12/4)</f>
        <v>5.8607855103961</v>
      </c>
      <c r="Q715" s="20" t="n">
        <f aca="false">$D715*(1-cd_A)^(13/4)</f>
        <v>5.64391468776947</v>
      </c>
      <c r="R715" s="20" t="n">
        <f aca="false">$D715*(1-cd_A)^(14/4)</f>
        <v>5.43506889073425</v>
      </c>
    </row>
    <row r="716" customFormat="false" ht="15" hidden="false" customHeight="false" outlineLevel="0" collapsed="false">
      <c r="A716" s="5" t="s">
        <v>375</v>
      </c>
      <c r="B716" s="0" t="s">
        <v>25</v>
      </c>
      <c r="C716" s="13" t="n">
        <f aca="false">q1_rev-q1_gp</f>
        <v>387</v>
      </c>
      <c r="D716" s="13" t="n">
        <f aca="false">g2_rev-g2_op-g2_ox</f>
        <v>430</v>
      </c>
      <c r="E716" s="13" t="n">
        <f aca="false">E713*E715</f>
        <v>434.299581602247</v>
      </c>
      <c r="F716" s="13" t="n">
        <f aca="false">F713*F715</f>
        <v>447.414598356475</v>
      </c>
      <c r="G716" s="13" t="n">
        <f aca="false">G713*G715</f>
        <v>455.577499229166</v>
      </c>
      <c r="H716" s="13" t="n">
        <f aca="false">H713*H715</f>
        <v>463.889328972086</v>
      </c>
      <c r="I716" s="13" t="n">
        <f aca="false">I713*I715</f>
        <v>472.352804733065</v>
      </c>
      <c r="J716" s="13" t="n">
        <f aca="false">J713*J715</f>
        <v>480.97069323321</v>
      </c>
      <c r="K716" s="13" t="n">
        <f aca="false">K713*K715</f>
        <v>489.745811671353</v>
      </c>
      <c r="L716" s="13" t="n">
        <f aca="false">L713*L715</f>
        <v>498.681028644993</v>
      </c>
      <c r="M716" s="13" t="n">
        <f aca="false">M713*M715</f>
        <v>507.779265088045</v>
      </c>
      <c r="N716" s="13" t="n">
        <f aca="false">N713*N715</f>
        <v>508.318884116089</v>
      </c>
      <c r="O716" s="13" t="n">
        <f aca="false">O713*O715</f>
        <v>513.987692275643</v>
      </c>
      <c r="P716" s="13" t="n">
        <f aca="false">P713*P715</f>
        <v>519.719719384865</v>
      </c>
      <c r="Q716" s="13" t="n">
        <f aca="false">Q713*Q715</f>
        <v>525.515670465953</v>
      </c>
      <c r="R716" s="13" t="n">
        <f aca="false">R713*R715</f>
        <v>510.921238075844</v>
      </c>
      <c r="T716" s="5" t="s">
        <v>376</v>
      </c>
    </row>
    <row r="717" customFormat="false" ht="15" hidden="false" customHeight="false" outlineLevel="0" collapsed="false">
      <c r="A717" s="5" t="s">
        <v>286</v>
      </c>
      <c r="B717" s="0" t="s">
        <v>116</v>
      </c>
      <c r="C717" s="14" t="n">
        <f aca="false">1-C716/C714</f>
        <v>0.780997113915455</v>
      </c>
      <c r="D717" s="14" t="n">
        <f aca="false">1-D716/D714</f>
        <v>0.820083682008368</v>
      </c>
      <c r="E717" s="14" t="n">
        <f aca="false">1-E716/E714</f>
        <v>0.850702569704428</v>
      </c>
      <c r="F717" s="14" t="n">
        <f aca="false">1-F716/F714</f>
        <v>0.860414688258972</v>
      </c>
      <c r="G717" s="14" t="n">
        <f aca="false">1-G716/G714</f>
        <v>0.865579863017573</v>
      </c>
      <c r="H717" s="14" t="n">
        <f aca="false">1-H716/H714</f>
        <v>0.863740954877776</v>
      </c>
      <c r="I717" s="14" t="n">
        <f aca="false">1-I716/I714</f>
        <v>0.858906500454182</v>
      </c>
      <c r="J717" s="14" t="n">
        <f aca="false">1-J716/J714</f>
        <v>0.856976298695637</v>
      </c>
      <c r="K717" s="14" t="n">
        <f aca="false">1-K716/K714</f>
        <v>0.855019691193096</v>
      </c>
      <c r="L717" s="14" t="n">
        <f aca="false">1-L716/L714</f>
        <v>0.85303631670799</v>
      </c>
      <c r="M717" s="14" t="n">
        <f aca="false">1-M716/M714</f>
        <v>0.851025809059901</v>
      </c>
      <c r="N717" s="14" t="n">
        <f aca="false">1-N716/N714</f>
        <v>0.85210145072784</v>
      </c>
      <c r="O717" s="14" t="n">
        <f aca="false">1-O716/O714</f>
        <v>0.853169325916293</v>
      </c>
      <c r="P717" s="14" t="n">
        <f aca="false">1-P716/P714</f>
        <v>0.854229490701744</v>
      </c>
      <c r="Q717" s="14" t="n">
        <f aca="false">1-Q716/Q714</f>
        <v>0.85528200075579</v>
      </c>
      <c r="R717" s="14" t="n">
        <f aca="false">1-R716/R714</f>
        <v>0.856111364409218</v>
      </c>
    </row>
    <row r="718" customFormat="false" ht="17.15" hidden="false" customHeight="false" outlineLevel="0" collapsed="false">
      <c r="A718" s="5" t="s">
        <v>377</v>
      </c>
      <c r="B718" s="0" t="s">
        <v>25</v>
      </c>
      <c r="C718" s="13" t="n">
        <f aca="false">q1_gp-q1_op</f>
        <v>110.1</v>
      </c>
      <c r="D718" s="13" t="n">
        <f aca="false">g2_ox</f>
        <v>70</v>
      </c>
      <c r="E718" s="13" t="n">
        <f aca="false">(g2_ox-ox_var*g2_rev)*(1+ox_g)^(1/4)+ox_var*E714</f>
        <v>76.3011961075221</v>
      </c>
      <c r="F718" s="13" t="n">
        <f aca="false">(g2_ox-ox_var*g2_rev)*(1+ox_g)^(2/4)+ox_var*F714</f>
        <v>80.4032167561042</v>
      </c>
      <c r="G718" s="13" t="n">
        <f aca="false">(g2_ox-ox_var*g2_rev)*(1+ox_g)^(3/4)+ox_var*G714</f>
        <v>83.4080442426069</v>
      </c>
      <c r="H718" s="13" t="n">
        <f aca="false">(g2_ox-ox_var*g2_rev)*(1+ox_g)^(4/4)+ox_var*H714</f>
        <v>84.7546631308752</v>
      </c>
      <c r="I718" s="13" t="n">
        <f aca="false">(g2_ox-ox_var*g2_rev)*(1+ox_g)^(5/4)+ox_var*I714</f>
        <v>85.4108042488071</v>
      </c>
      <c r="J718" s="13" t="n">
        <f aca="false">(g2_ox-ox_var*g2_rev)*(1+ox_g)^(6/4)+ox_var*J714</f>
        <v>86.8138371614698</v>
      </c>
      <c r="K718" s="13" t="n">
        <f aca="false">(g2_ox-ox_var*g2_rev)*(1+ox_g)^(7/4)+ox_var*K714</f>
        <v>88.247746185744</v>
      </c>
      <c r="L718" s="13" t="n">
        <f aca="false">(g2_ox-ox_var*g2_rev)*(1+ox_g)^(8/4)+ox_var*L714</f>
        <v>89.7132625477572</v>
      </c>
      <c r="M718" s="13" t="n">
        <f aca="false">(g2_ox-ox_var*g2_rev)*(1+ox_g)^(9/4)+ox_var*M714</f>
        <v>91.2111350462625</v>
      </c>
      <c r="N718" s="13" t="n">
        <f aca="false">(g2_ox-ox_var*g2_rev)*(1+ox_g)^(10/4)+ox_var*N714</f>
        <v>92.8730363925709</v>
      </c>
      <c r="O718" s="13" t="n">
        <f aca="false">(g2_ox-ox_var*g2_rev)*(1+ox_g)^(11/4)+ox_var*O714</f>
        <v>94.9198152646803</v>
      </c>
      <c r="P718" s="13" t="n">
        <f aca="false">(g2_ox-ox_var*g2_rev)*(1+ox_g)^(12/4)+ox_var*P714</f>
        <v>97.0123828132943</v>
      </c>
      <c r="Q718" s="13" t="n">
        <f aca="false">(g2_ox-ox_var*g2_rev)*(1+ox_g)^(13/4)+ox_var*Q714</f>
        <v>99.1517771666897</v>
      </c>
      <c r="R718" s="13" t="n">
        <f aca="false">(g2_ox-ox_var*g2_rev)*(1+ox_g)^(14/4)+ox_var*R714</f>
        <v>99.8620692150942</v>
      </c>
      <c r="T718" s="5" t="s">
        <v>378</v>
      </c>
    </row>
    <row r="719" customFormat="false" ht="15" hidden="false" customHeight="false" outlineLevel="0" collapsed="false">
      <c r="A719" s="5" t="s">
        <v>284</v>
      </c>
      <c r="B719" s="0" t="s">
        <v>25</v>
      </c>
      <c r="C719" s="13" t="n">
        <f aca="false">C714-C716-C718</f>
        <v>1270</v>
      </c>
      <c r="D719" s="13" t="n">
        <f aca="false">D714-D716-D718</f>
        <v>1890</v>
      </c>
      <c r="E719" s="13" t="n">
        <f aca="false">E714-E716-E718</f>
        <v>2398.35472636315</v>
      </c>
      <c r="F719" s="13" t="n">
        <f aca="false">F714-F716-F718</f>
        <v>2677.49507043344</v>
      </c>
      <c r="G719" s="13" t="n">
        <f aca="false">G714-G716-G718</f>
        <v>2850.22019204035</v>
      </c>
      <c r="H719" s="13" t="n">
        <f aca="false">H714-H716-H718</f>
        <v>2855.82232098456</v>
      </c>
      <c r="I719" s="13" t="n">
        <f aca="false">I714-I716-I718</f>
        <v>2790.03629855162</v>
      </c>
      <c r="J719" s="13" t="n">
        <f aca="false">J714-J716-J718</f>
        <v>2795.08951668146</v>
      </c>
      <c r="K719" s="13" t="n">
        <f aca="false">K714-K716-K718</f>
        <v>2800.02250309387</v>
      </c>
      <c r="L719" s="13" t="n">
        <f aca="false">L714-L716-L718</f>
        <v>2804.83196358297</v>
      </c>
      <c r="M719" s="13" t="n">
        <f aca="false">M714-M716-M718</f>
        <v>2809.51453540999</v>
      </c>
      <c r="N719" s="13" t="n">
        <f aca="false">N714-N716-N718</f>
        <v>2835.7510827705</v>
      </c>
      <c r="O719" s="13" t="n">
        <f aca="false">O714-O716-O718</f>
        <v>2891.63960554193</v>
      </c>
      <c r="P719" s="13" t="n">
        <f aca="false">P714-P716-P718</f>
        <v>2948.59617913127</v>
      </c>
      <c r="Q719" s="13" t="n">
        <f aca="false">Q714-Q716-Q718</f>
        <v>3006.64084304619</v>
      </c>
      <c r="R719" s="13" t="n">
        <f aca="false">R714-R716-R718</f>
        <v>2940.02691464277</v>
      </c>
    </row>
    <row r="721" customFormat="false" ht="17.15" hidden="false" customHeight="false" outlineLevel="0" collapsed="false">
      <c r="A721" s="5" t="s">
        <v>285</v>
      </c>
      <c r="B721" s="0" t="s">
        <v>25</v>
      </c>
      <c r="C721" s="13" t="n">
        <f aca="false">q1_ni</f>
        <v>842.2</v>
      </c>
      <c r="D721" s="13" t="n">
        <f aca="false">g2_ni</f>
        <v>1270</v>
      </c>
      <c r="E721" s="13" t="n">
        <f aca="false">(E719+nonop_q+rf*nc_j/4)*(1-tax)</f>
        <v>1620.94709392694</v>
      </c>
      <c r="F721" s="13" t="n">
        <f aca="false">(F719+nonop_q+rf*nc_j/4)*(1-tax)</f>
        <v>1810.76252789474</v>
      </c>
      <c r="G721" s="13" t="n">
        <f aca="false">(G719+nonop_q+rf*$D737/4)*(1-tax)</f>
        <v>1932.12918876598</v>
      </c>
      <c r="H721" s="13" t="n">
        <f aca="false">(H719+nonop_q+rf*$D737/4)*(1-tax)</f>
        <v>1935.93863644805</v>
      </c>
      <c r="I721" s="13" t="n">
        <f aca="false">(I719+nonop_q+rf*$D737/4)*(1-tax)</f>
        <v>1891.20414119365</v>
      </c>
      <c r="J721" s="13" t="n">
        <f aca="false">(J719+nonop_q+rf*$D737/4)*(1-tax)</f>
        <v>1894.64032952194</v>
      </c>
      <c r="K721" s="13" t="n">
        <f aca="false">(K719+nonop_q+rf*$E737/4)*(1-tax)</f>
        <v>1904.37308573392</v>
      </c>
      <c r="L721" s="13" t="n">
        <f aca="false">(L719+nonop_q+rf*$E737/4)*(1-tax)</f>
        <v>1907.64351886651</v>
      </c>
      <c r="M721" s="13" t="n">
        <f aca="false">(M719+nonop_q+rf*$E737/4)*(1-tax)</f>
        <v>1910.82766770888</v>
      </c>
      <c r="N721" s="13" t="n">
        <f aca="false">(N719+nonop_q+rf*$E737/4)*(1-tax)</f>
        <v>1928.66851991403</v>
      </c>
      <c r="O721" s="13" t="n">
        <f aca="false">(O719+nonop_q+rf*$F737/4)*(1-tax)</f>
        <v>1973.04900127199</v>
      </c>
      <c r="P721" s="13" t="n">
        <f aca="false">(P719+nonop_q+rf*$F737/4)*(1-tax)</f>
        <v>2011.77947131274</v>
      </c>
      <c r="Q721" s="13" t="n">
        <f aca="false">(Q719+nonop_q+rf*$F737/4)*(1-tax)</f>
        <v>2051.24984277489</v>
      </c>
      <c r="R721" s="13" t="n">
        <f aca="false">(R719+nonop_q+rf*$F737/4)*(1-tax)</f>
        <v>2005.95237146056</v>
      </c>
      <c r="T721" s="5" t="s">
        <v>379</v>
      </c>
    </row>
    <row r="722" customFormat="false" ht="17.15" hidden="false" customHeight="false" outlineLevel="0" collapsed="false">
      <c r="A722" s="5" t="s">
        <v>380</v>
      </c>
      <c r="B722" s="0" t="s">
        <v>78</v>
      </c>
      <c r="C722" s="17" t="n">
        <f aca="false">C721/(sh0+dil)*1000</f>
        <v>507.343332753891</v>
      </c>
      <c r="D722" s="17" t="n">
        <f aca="false">D721/(sh0+dil)*1000</f>
        <v>765.051095461222</v>
      </c>
      <c r="E722" s="17" t="n">
        <f aca="false">E721/(sh0+dil)*1000</f>
        <v>976.462480231096</v>
      </c>
      <c r="F722" s="17" t="n">
        <f aca="false">F721/(sh0+dil)*1000</f>
        <v>1090.80776030394</v>
      </c>
      <c r="G722" s="17" t="n">
        <f aca="false">G721/(sh0+dil)*1000</f>
        <v>1163.91933262836</v>
      </c>
      <c r="H722" s="17" t="n">
        <f aca="false">H721/(sh0+dil)*1000</f>
        <v>1166.21415319708</v>
      </c>
      <c r="I722" s="17" t="n">
        <f aca="false">I721/(sh0+dil)*1000</f>
        <v>1139.26598422126</v>
      </c>
      <c r="J722" s="17" t="n">
        <f aca="false">J721/(sh0+dil)*1000</f>
        <v>1141.33595244549</v>
      </c>
      <c r="K722" s="17" t="n">
        <f aca="false">K721/(sh0+dil)*1000</f>
        <v>1147.19898850992</v>
      </c>
      <c r="L722" s="17" t="n">
        <f aca="false">L721/(sh0+dil)*1000</f>
        <v>1149.16910540025</v>
      </c>
      <c r="M722" s="17" t="n">
        <f aca="false">M721/(sh0+dil)*1000</f>
        <v>1151.08724442385</v>
      </c>
      <c r="N722" s="17" t="n">
        <f aca="false">N721/(sh0+dil)*1000</f>
        <v>1161.83461727701</v>
      </c>
      <c r="O722" s="17" t="n">
        <f aca="false">O721/(sh0+dil)*1000</f>
        <v>1188.56952741875</v>
      </c>
      <c r="P722" s="17" t="n">
        <f aca="false">P721/(sh0+dil)*1000</f>
        <v>1211.90085697182</v>
      </c>
      <c r="Q722" s="17" t="n">
        <f aca="false">Q721/(sh0+dil)*1000</f>
        <v>1235.67790494456</v>
      </c>
      <c r="R722" s="17" t="n">
        <f aca="false">R721/(sh0+dil)*1000</f>
        <v>1208.39059781806</v>
      </c>
    </row>
    <row r="724" customFormat="false" ht="17.15" hidden="false" customHeight="false" outlineLevel="0" collapsed="false">
      <c r="A724" s="12" t="s">
        <v>381</v>
      </c>
      <c r="B724" s="6" t="s">
        <v>15</v>
      </c>
      <c r="C724" s="12" t="s">
        <v>338</v>
      </c>
      <c r="D724" s="12" t="s">
        <v>339</v>
      </c>
      <c r="E724" s="12" t="s">
        <v>340</v>
      </c>
      <c r="F724" s="12" t="s">
        <v>341</v>
      </c>
      <c r="G724" s="12" t="s">
        <v>342</v>
      </c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6" t="s">
        <v>343</v>
      </c>
    </row>
    <row r="725" customFormat="false" ht="17.15" hidden="false" customHeight="false" outlineLevel="0" collapsed="false">
      <c r="A725" s="5" t="s">
        <v>280</v>
      </c>
      <c r="B725" s="0" t="s">
        <v>25</v>
      </c>
      <c r="C725" s="13" t="n">
        <f aca="false">a25_rev</f>
        <v>2337.6</v>
      </c>
      <c r="D725" s="13" t="n">
        <f aca="false">SUM(C714:F714)</f>
        <v>10271.3683896189</v>
      </c>
      <c r="E725" s="13" t="n">
        <f aca="false">SUM(G714:J714)</f>
        <v>13504.3460032093</v>
      </c>
      <c r="F725" s="13" t="n">
        <f aca="false">SUM(K714:N714)</f>
        <v>13616.6902545502</v>
      </c>
      <c r="G725" s="13" t="n">
        <f aca="false">SUM(O714:R714)</f>
        <v>14247.9939070242</v>
      </c>
      <c r="T725" s="8" t="s">
        <v>382</v>
      </c>
    </row>
    <row r="726" customFormat="false" ht="15" hidden="false" customHeight="false" outlineLevel="0" collapsed="false">
      <c r="A726" s="5" t="s">
        <v>375</v>
      </c>
      <c r="B726" s="0" t="s">
        <v>25</v>
      </c>
      <c r="C726" s="13" t="n">
        <f aca="false">a25_rev-(p1_gp+p2_gp+p3_gp+p4_gp)</f>
        <v>1324.8</v>
      </c>
      <c r="D726" s="13" t="n">
        <f aca="false">SUM(C716:F716)</f>
        <v>1698.71417995872</v>
      </c>
      <c r="E726" s="13" t="n">
        <f aca="false">SUM(G716:J716)</f>
        <v>1872.79032616753</v>
      </c>
      <c r="F726" s="13" t="n">
        <f aca="false">SUM(K716:N716)</f>
        <v>2004.52498952048</v>
      </c>
      <c r="G726" s="13" t="n">
        <f aca="false">SUM(O716:R716)</f>
        <v>2070.14432020231</v>
      </c>
    </row>
    <row r="727" customFormat="false" ht="15" hidden="false" customHeight="false" outlineLevel="0" collapsed="false">
      <c r="A727" s="5" t="s">
        <v>286</v>
      </c>
      <c r="B727" s="0" t="s">
        <v>116</v>
      </c>
      <c r="C727" s="14" t="n">
        <f aca="false">1-C726/C725</f>
        <v>0.433264887063655</v>
      </c>
      <c r="D727" s="14" t="n">
        <f aca="false">1-D726/D725</f>
        <v>0.834616565629602</v>
      </c>
      <c r="E727" s="14" t="n">
        <f aca="false">1-E726/E725</f>
        <v>0.861319435556341</v>
      </c>
      <c r="F727" s="14" t="n">
        <f aca="false">1-F726/F725</f>
        <v>0.852789117469229</v>
      </c>
      <c r="G727" s="14" t="n">
        <f aca="false">1-G726/G725</f>
        <v>0.854706260143631</v>
      </c>
    </row>
    <row r="728" customFormat="false" ht="15" hidden="false" customHeight="false" outlineLevel="0" collapsed="false">
      <c r="A728" s="5" t="s">
        <v>377</v>
      </c>
      <c r="B728" s="0" t="s">
        <v>25</v>
      </c>
      <c r="D728" s="13" t="n">
        <f aca="false">SUM(C718:F718)</f>
        <v>336.804412863626</v>
      </c>
      <c r="E728" s="13" t="n">
        <f aca="false">SUM(G718:J718)</f>
        <v>340.387348783759</v>
      </c>
      <c r="F728" s="13" t="n">
        <f aca="false">SUM(K718:N718)</f>
        <v>362.045180172334</v>
      </c>
      <c r="G728" s="13" t="n">
        <f aca="false">SUM(O718:R718)</f>
        <v>390.946044459758</v>
      </c>
    </row>
    <row r="729" customFormat="false" ht="15" hidden="false" customHeight="false" outlineLevel="0" collapsed="false">
      <c r="A729" s="5" t="s">
        <v>284</v>
      </c>
      <c r="B729" s="0" t="s">
        <v>25</v>
      </c>
      <c r="C729" s="13" t="n">
        <f aca="false">p1_op+p2_op+p3_op+p4_op</f>
        <v>869</v>
      </c>
      <c r="D729" s="13" t="n">
        <f aca="false">SUM(C719:F719)</f>
        <v>8235.84979679659</v>
      </c>
      <c r="E729" s="13" t="n">
        <f aca="false">SUM(G719:J719)</f>
        <v>11291.168328258</v>
      </c>
      <c r="F729" s="13" t="n">
        <f aca="false">SUM(K719:N719)</f>
        <v>11250.1200848573</v>
      </c>
      <c r="G729" s="13" t="n">
        <f aca="false">SUM(O719:R719)</f>
        <v>11786.9035423622</v>
      </c>
    </row>
    <row r="730" customFormat="false" ht="15" hidden="false" customHeight="false" outlineLevel="0" collapsed="false">
      <c r="A730" s="5" t="s">
        <v>287</v>
      </c>
      <c r="B730" s="0" t="s">
        <v>116</v>
      </c>
      <c r="C730" s="14" t="n">
        <f aca="false">C729/C725</f>
        <v>0.371748802190281</v>
      </c>
      <c r="D730" s="14" t="n">
        <f aca="false">D729/D725</f>
        <v>0.801825957787708</v>
      </c>
      <c r="E730" s="14" t="n">
        <f aca="false">E729/E725</f>
        <v>0.836113672263334</v>
      </c>
      <c r="F730" s="14" t="n">
        <f aca="false">F729/F725</f>
        <v>0.826200778202912</v>
      </c>
      <c r="G730" s="14" t="n">
        <f aca="false">G729/G725</f>
        <v>0.82726758723214</v>
      </c>
    </row>
    <row r="731" customFormat="false" ht="15" hidden="false" customHeight="false" outlineLevel="0" collapsed="false">
      <c r="A731" s="5" t="s">
        <v>285</v>
      </c>
      <c r="B731" s="0" t="s">
        <v>25</v>
      </c>
      <c r="C731" s="13" t="n">
        <f aca="false">a25_ni</f>
        <v>554.5</v>
      </c>
      <c r="D731" s="13" t="n">
        <f aca="false">SUM(C721:F721)</f>
        <v>5543.90962182168</v>
      </c>
      <c r="E731" s="13" t="n">
        <f aca="false">SUM(G721:J721)</f>
        <v>7653.91229592962</v>
      </c>
      <c r="F731" s="13" t="n">
        <f aca="false">SUM(K721:N721)</f>
        <v>7651.51279222334</v>
      </c>
      <c r="G731" s="13" t="n">
        <f aca="false">SUM(O721:R721)</f>
        <v>8042.03068682018</v>
      </c>
    </row>
    <row r="732" customFormat="false" ht="15" hidden="false" customHeight="false" outlineLevel="0" collapsed="false">
      <c r="A732" s="5" t="s">
        <v>383</v>
      </c>
      <c r="B732" s="0" t="s">
        <v>25</v>
      </c>
      <c r="D732" s="13" t="n">
        <f aca="false">da_y</f>
        <v>320</v>
      </c>
      <c r="E732" s="13" t="n">
        <f aca="false">da_y</f>
        <v>320</v>
      </c>
      <c r="F732" s="13" t="n">
        <f aca="false">da_y</f>
        <v>320</v>
      </c>
      <c r="G732" s="13" t="n">
        <f aca="false">da_y</f>
        <v>320</v>
      </c>
    </row>
    <row r="733" customFormat="false" ht="15" hidden="false" customHeight="false" outlineLevel="0" collapsed="false">
      <c r="A733" s="5" t="s">
        <v>384</v>
      </c>
      <c r="B733" s="0" t="s">
        <v>25</v>
      </c>
      <c r="D733" s="13" t="n">
        <f aca="false">cap_2026</f>
        <v>450</v>
      </c>
      <c r="E733" s="13" t="n">
        <f aca="false">cap_2027</f>
        <v>470</v>
      </c>
      <c r="F733" s="13" t="n">
        <f aca="false">cap_2028</f>
        <v>470</v>
      </c>
      <c r="G733" s="13" t="n">
        <f aca="false">cap_2029</f>
        <v>470</v>
      </c>
    </row>
    <row r="734" customFormat="false" ht="15" hidden="false" customHeight="false" outlineLevel="0" collapsed="false">
      <c r="A734" s="5" t="s">
        <v>385</v>
      </c>
      <c r="B734" s="0" t="s">
        <v>25</v>
      </c>
      <c r="D734" s="13" t="n">
        <f aca="false">D731+D732-D733</f>
        <v>5413.90962182168</v>
      </c>
      <c r="E734" s="13" t="n">
        <f aca="false">E731+E732-E733</f>
        <v>7503.91229592962</v>
      </c>
      <c r="F734" s="13" t="n">
        <f aca="false">F731+F732-F733</f>
        <v>7501.51279222334</v>
      </c>
      <c r="G734" s="13" t="n">
        <f aca="false">G731+G732-G733</f>
        <v>7892.03068682018</v>
      </c>
    </row>
    <row r="735" customFormat="false" ht="17.15" hidden="false" customHeight="false" outlineLevel="0" collapsed="false">
      <c r="A735" s="5" t="s">
        <v>386</v>
      </c>
      <c r="B735" s="0" t="s">
        <v>25</v>
      </c>
      <c r="D735" s="13" t="n">
        <f aca="false">MAX(0,payout_hi*(SUM(D721:F721)+0.75*(D732-D733)))</f>
        <v>2302.10481091084</v>
      </c>
      <c r="E735" s="13" t="n">
        <f aca="false">MAX(0,payout_hi*E734)</f>
        <v>3751.95614796481</v>
      </c>
      <c r="F735" s="13" t="n">
        <f aca="false">MAX(0,payout_hi*F734)</f>
        <v>3750.75639611167</v>
      </c>
      <c r="G735" s="13" t="n">
        <f aca="false">MAX(0,payout_hi*G734)</f>
        <v>3946.01534341009</v>
      </c>
      <c r="T735" s="8" t="s">
        <v>387</v>
      </c>
    </row>
    <row r="736" customFormat="false" ht="17.15" hidden="false" customHeight="false" outlineLevel="0" collapsed="false">
      <c r="A736" s="5" t="s">
        <v>388</v>
      </c>
      <c r="B736" s="0" t="s">
        <v>25</v>
      </c>
      <c r="C736" s="13" t="n">
        <f aca="false">eq25</f>
        <v>1399.1</v>
      </c>
      <c r="D736" s="13" t="n">
        <f aca="false">eq_j+SUM(D721:F721)-D735</f>
        <v>4803.90481091084</v>
      </c>
      <c r="E736" s="13" t="n">
        <f aca="false">D736+E731-E735</f>
        <v>8705.86095887565</v>
      </c>
      <c r="F736" s="13" t="n">
        <f aca="false">E736+F731-F735</f>
        <v>12606.6173549873</v>
      </c>
      <c r="G736" s="13" t="n">
        <f aca="false">F736+G731-G735</f>
        <v>16702.6326983974</v>
      </c>
      <c r="T736" s="8" t="s">
        <v>389</v>
      </c>
    </row>
    <row r="737" customFormat="false" ht="15" hidden="false" customHeight="false" outlineLevel="0" collapsed="false">
      <c r="A737" s="5" t="s">
        <v>390</v>
      </c>
      <c r="B737" s="0" t="s">
        <v>25</v>
      </c>
      <c r="D737" s="13" t="n">
        <f aca="false">nc_j+(SUM(D721:F721)+0.75*(D732-D733))-D735</f>
        <v>2458.50481091084</v>
      </c>
      <c r="E737" s="13" t="n">
        <f aca="false">D737+E734-E735</f>
        <v>6210.46095887565</v>
      </c>
      <c r="F737" s="13" t="n">
        <f aca="false">E737+F734-F735</f>
        <v>9961.21735498732</v>
      </c>
      <c r="G737" s="13" t="n">
        <f aca="false">F737+G734-G735</f>
        <v>13907.2326983974</v>
      </c>
    </row>
    <row r="738" customFormat="false" ht="15" hidden="false" customHeight="false" outlineLevel="0" collapsed="false">
      <c r="A738" s="5" t="s">
        <v>391</v>
      </c>
      <c r="B738" s="5" t="s">
        <v>159</v>
      </c>
      <c r="D738" s="13" t="n">
        <f aca="false">sh0-D735/bb_px*1000</f>
        <v>1463.5574529329</v>
      </c>
      <c r="E738" s="13" t="n">
        <f aca="false">D738-E735/bb_px*1000</f>
        <v>1169.40173768674</v>
      </c>
      <c r="F738" s="13" t="n">
        <f aca="false">E738-F735/bb_px*1000</f>
        <v>875.340083738352</v>
      </c>
      <c r="G738" s="13" t="n">
        <f aca="false">F738-G735/bb_px*1000</f>
        <v>565.970005854377</v>
      </c>
    </row>
    <row r="739" customFormat="false" ht="17.15" hidden="false" customHeight="false" outlineLevel="0" collapsed="false">
      <c r="A739" s="0" t="s">
        <v>392</v>
      </c>
      <c r="B739" s="0" t="s">
        <v>78</v>
      </c>
      <c r="C739" s="17" t="n">
        <f aca="false">a25_eps</f>
        <v>341.4</v>
      </c>
      <c r="D739" s="17" t="n">
        <f aca="false">D731/(D738+dil)*1000</f>
        <v>3747.06626187473</v>
      </c>
      <c r="E739" s="17" t="n">
        <f aca="false">E731/(E738+dil)*1000</f>
        <v>6456.93984773995</v>
      </c>
      <c r="F739" s="17" t="n">
        <f aca="false">F731/(F738+dil)*1000</f>
        <v>8584.51175099781</v>
      </c>
      <c r="G739" s="17" t="n">
        <f aca="false">G731/(G738+dil)*1000</f>
        <v>13819.2058640883</v>
      </c>
    </row>
    <row r="740" customFormat="false" ht="17.15" hidden="false" customHeight="false" outlineLevel="0" collapsed="false">
      <c r="A740" s="5" t="s">
        <v>393</v>
      </c>
      <c r="B740" s="0" t="s">
        <v>78</v>
      </c>
      <c r="D740" s="17" t="n">
        <f aca="false">D736/D738*1000</f>
        <v>3282.34795380533</v>
      </c>
      <c r="E740" s="17" t="n">
        <f aca="false">E736/E738*1000</f>
        <v>7444.713547371</v>
      </c>
      <c r="F740" s="17" t="n">
        <f aca="false">F736/F738*1000</f>
        <v>14401.9651209707</v>
      </c>
      <c r="G740" s="17" t="n">
        <f aca="false">G736/G738*1000</f>
        <v>29511.5156733146</v>
      </c>
    </row>
    <row r="741" customFormat="false" ht="17.15" hidden="false" customHeight="false" outlineLevel="0" collapsed="false">
      <c r="A741" s="0" t="s">
        <v>394</v>
      </c>
      <c r="B741" s="0" t="s">
        <v>116</v>
      </c>
      <c r="D741" s="21" t="n">
        <f aca="false">D731/D736</f>
        <v>1.15404235513371</v>
      </c>
      <c r="E741" s="21" t="n">
        <f aca="false">E731/E736</f>
        <v>0.879167762049592</v>
      </c>
      <c r="F741" s="21" t="n">
        <f aca="false">F731/F736</f>
        <v>0.606944160893114</v>
      </c>
      <c r="G741" s="21" t="n">
        <f aca="false">G731/G736</f>
        <v>0.4814828196271</v>
      </c>
    </row>
    <row r="742" customFormat="false" ht="15" hidden="false" customHeight="false" outlineLevel="0" collapsed="false">
      <c r="A742" s="5" t="s">
        <v>395</v>
      </c>
      <c r="B742" s="0" t="s">
        <v>78</v>
      </c>
      <c r="E742" s="17" t="n">
        <f aca="false">E734/(E738+dil)*1000</f>
        <v>6330.39789903275</v>
      </c>
      <c r="F742" s="17" t="n">
        <f aca="false">F734/(F738+dil)*1000</f>
        <v>8416.22127072071</v>
      </c>
      <c r="G742" s="17" t="n">
        <f aca="false">G734/(G738+dil)*1000</f>
        <v>13561.4499613398</v>
      </c>
    </row>
    <row r="743" customFormat="false" ht="17.15" hidden="false" customHeight="false" outlineLevel="0" collapsed="false">
      <c r="A743" s="5" t="s">
        <v>396</v>
      </c>
      <c r="B743" s="0" t="s">
        <v>25</v>
      </c>
      <c r="D743" s="18" t="n">
        <f aca="false">ABS(C714-q1_rev)+ABS(D719-g2_op)+ABS(C725-2337.6)</f>
        <v>0</v>
      </c>
    </row>
    <row r="760" customFormat="false" ht="17.15" hidden="false" customHeight="false" outlineLevel="0" collapsed="false">
      <c r="A760" s="3" t="s">
        <v>684</v>
      </c>
    </row>
    <row r="761" customFormat="false" ht="17.15" hidden="false" customHeight="false" outlineLevel="0" collapsed="false">
      <c r="A761" s="12" t="s">
        <v>352</v>
      </c>
      <c r="B761" s="6" t="s">
        <v>15</v>
      </c>
      <c r="C761" s="12" t="s">
        <v>353</v>
      </c>
      <c r="D761" s="12" t="s">
        <v>354</v>
      </c>
      <c r="E761" s="12" t="s">
        <v>355</v>
      </c>
      <c r="F761" s="12" t="s">
        <v>356</v>
      </c>
      <c r="G761" s="12" t="s">
        <v>357</v>
      </c>
      <c r="H761" s="12" t="s">
        <v>358</v>
      </c>
      <c r="I761" s="12" t="s">
        <v>359</v>
      </c>
      <c r="J761" s="12" t="s">
        <v>360</v>
      </c>
      <c r="K761" s="12" t="s">
        <v>361</v>
      </c>
      <c r="L761" s="12" t="s">
        <v>362</v>
      </c>
      <c r="M761" s="12" t="s">
        <v>363</v>
      </c>
      <c r="N761" s="12" t="s">
        <v>364</v>
      </c>
      <c r="O761" s="12" t="s">
        <v>365</v>
      </c>
      <c r="P761" s="12" t="s">
        <v>366</v>
      </c>
      <c r="Q761" s="12" t="s">
        <v>367</v>
      </c>
      <c r="R761" s="12" t="s">
        <v>368</v>
      </c>
      <c r="S761" s="12"/>
      <c r="T761" s="6" t="s">
        <v>343</v>
      </c>
    </row>
    <row r="762" customFormat="false" ht="17.15" hidden="false" customHeight="false" outlineLevel="0" collapsed="false">
      <c r="A762" s="5" t="s">
        <v>369</v>
      </c>
      <c r="B762" s="0" t="s">
        <v>317</v>
      </c>
      <c r="C762" s="19" t="n">
        <f aca="false">Units!H4*1</f>
        <v>10.72</v>
      </c>
      <c r="D762" s="19" t="n">
        <f aca="false">Units!I4*1</f>
        <v>14.3197859923946</v>
      </c>
      <c r="E762" s="19" t="n">
        <f aca="false">Units!J4*1*1</f>
        <v>17.6469939469536</v>
      </c>
      <c r="F762" s="19" t="n">
        <f aca="false">Units!K4*1*1</f>
        <v>19.4448271931715</v>
      </c>
      <c r="G762" s="19" t="n">
        <f aca="false">Units!L4*1*1</f>
        <v>20.5604014966272</v>
      </c>
      <c r="H762" s="19" t="n">
        <f aca="false">Units!M4*1*1</f>
        <v>20.6529788219672</v>
      </c>
      <c r="I762" s="19" t="n">
        <f aca="false">Units!N4*1*1</f>
        <v>20.3092156690391</v>
      </c>
      <c r="J762" s="19" t="n">
        <f aca="false">Units!O4*1*1</f>
        <v>20.4006619798858</v>
      </c>
      <c r="K762" s="19" t="n">
        <f aca="false">Units!P4*1*1</f>
        <v>20.492520046061</v>
      </c>
      <c r="L762" s="19" t="n">
        <f aca="false">Units!Q4*1*1</f>
        <v>20.5847917215753</v>
      </c>
      <c r="M762" s="19" t="n">
        <f aca="false">Units!R4*1*1</f>
        <v>20.6774788687878</v>
      </c>
      <c r="N762" s="19" t="n">
        <f aca="false">Units!S4*1*1</f>
        <v>20.8499966018633</v>
      </c>
      <c r="O762" s="19" t="n">
        <f aca="false">Units!T4*1*1</f>
        <v>21.235846897313</v>
      </c>
      <c r="P762" s="19" t="n">
        <f aca="false">Units!U4*1*1</f>
        <v>21.628837743111</v>
      </c>
      <c r="Q762" s="19" t="n">
        <f aca="false">Units!V4*1*1</f>
        <v>22.0291012823706</v>
      </c>
      <c r="R762" s="19" t="n">
        <f aca="false">Units!W4*1*1</f>
        <v>21.5407648571837</v>
      </c>
      <c r="T762" s="8" t="s">
        <v>370</v>
      </c>
    </row>
    <row r="763" customFormat="false" ht="15" hidden="false" customHeight="false" outlineLevel="0" collapsed="false">
      <c r="A763" s="5" t="s">
        <v>371</v>
      </c>
      <c r="B763" s="0" t="s">
        <v>324</v>
      </c>
      <c r="C763" s="19" t="n">
        <f aca="false">Units!H7*1</f>
        <v>40.1757580440862</v>
      </c>
      <c r="D763" s="19" t="n">
        <f aca="false">Units!I7*1</f>
        <v>46.6667956905857</v>
      </c>
      <c r="E763" s="19" t="n">
        <f aca="false">Units!J7*1</f>
        <v>48.944548236035</v>
      </c>
      <c r="F763" s="19" t="n">
        <f aca="false">Units!K7*1</f>
        <v>52.3600980030596</v>
      </c>
      <c r="G763" s="19" t="n">
        <f aca="false">Units!L7*1</f>
        <v>55.3640629793669</v>
      </c>
      <c r="H763" s="19" t="n">
        <f aca="false">Units!M7*1</f>
        <v>58.5403692216961</v>
      </c>
      <c r="I763" s="19" t="n">
        <f aca="false">Units!N7*1</f>
        <v>61.898904166222</v>
      </c>
      <c r="J763" s="19" t="n">
        <f aca="false">Units!O7*1</f>
        <v>65.4501225038245</v>
      </c>
      <c r="K763" s="19" t="n">
        <f aca="false">Units!P7*1</f>
        <v>69.2050787242086</v>
      </c>
      <c r="L763" s="19" t="n">
        <f aca="false">Units!Q7*1</f>
        <v>73.1754615271202</v>
      </c>
      <c r="M763" s="19" t="n">
        <f aca="false">Units!R7*1</f>
        <v>77.3736302077775</v>
      </c>
      <c r="N763" s="19" t="n">
        <f aca="false">Units!S7*1</f>
        <v>80.4321433873819</v>
      </c>
      <c r="O763" s="19" t="n">
        <f aca="false">Units!T7*1</f>
        <v>84.4542491025558</v>
      </c>
      <c r="P763" s="19" t="n">
        <f aca="false">Units!U7*1</f>
        <v>88.6774850338687</v>
      </c>
      <c r="Q763" s="19" t="n">
        <f aca="false">Units!V7*1</f>
        <v>93.1119089388012</v>
      </c>
      <c r="R763" s="19" t="n">
        <f aca="false">Units!W7*1</f>
        <v>94.0045560318226</v>
      </c>
    </row>
    <row r="764" customFormat="false" ht="17.15" hidden="false" customHeight="false" outlineLevel="0" collapsed="false">
      <c r="A764" s="5" t="s">
        <v>280</v>
      </c>
      <c r="B764" s="0" t="s">
        <v>25</v>
      </c>
      <c r="C764" s="13" t="n">
        <f aca="false">q1_rev</f>
        <v>1767.1</v>
      </c>
      <c r="D764" s="13" t="n">
        <f aca="false">g2_rev</f>
        <v>2390</v>
      </c>
      <c r="E764" s="13" t="n">
        <f aca="false">E762*kx_k*fx</f>
        <v>2908.95550407292</v>
      </c>
      <c r="F764" s="13" t="n">
        <f aca="false">F762*kx_k*fx</f>
        <v>3205.31288554602</v>
      </c>
      <c r="G764" s="13" t="n">
        <f aca="false">G762*kx_k*fx</f>
        <v>3389.20573551212</v>
      </c>
      <c r="H764" s="13" t="n">
        <f aca="false">H762*kx_k*fx</f>
        <v>3404.46631308752</v>
      </c>
      <c r="I764" s="13" t="n">
        <f aca="false">I762*kx_k*fx</f>
        <v>3347.79990753349</v>
      </c>
      <c r="J764" s="13" t="n">
        <f aca="false">J762*kx_k*fx</f>
        <v>3362.87404707614</v>
      </c>
      <c r="K764" s="13" t="n">
        <f aca="false">K762*kx_k*fx</f>
        <v>3378.01606095097</v>
      </c>
      <c r="L764" s="13" t="n">
        <f aca="false">L762*kx_k*fx</f>
        <v>3393.22625477572</v>
      </c>
      <c r="M764" s="13" t="n">
        <f aca="false">M762*kx_k*fx</f>
        <v>3408.5049355443</v>
      </c>
      <c r="N764" s="13" t="n">
        <f aca="false">N762*kx_k*fx</f>
        <v>3436.94300327916</v>
      </c>
      <c r="O764" s="13" t="n">
        <f aca="false">O762*kx_k*fx</f>
        <v>3500.54711308226</v>
      </c>
      <c r="P764" s="13" t="n">
        <f aca="false">P762*kx_k*fx</f>
        <v>3565.32828132943</v>
      </c>
      <c r="Q764" s="13" t="n">
        <f aca="false">Q762*kx_k*fx</f>
        <v>3631.30829067883</v>
      </c>
      <c r="R764" s="13" t="n">
        <f aca="false">R762*kx_k*fx</f>
        <v>3550.8102219337</v>
      </c>
      <c r="T764" s="5" t="s">
        <v>372</v>
      </c>
    </row>
    <row r="765" customFormat="false" ht="17.15" hidden="false" customHeight="false" outlineLevel="0" collapsed="false">
      <c r="A765" s="5" t="s">
        <v>373</v>
      </c>
      <c r="B765" s="0" t="s">
        <v>374</v>
      </c>
      <c r="C765" s="20" t="n">
        <f aca="false">C766/C763</f>
        <v>9.63267449926724</v>
      </c>
      <c r="D765" s="20" t="n">
        <f aca="false">D766/D763</f>
        <v>9.21426023871499</v>
      </c>
      <c r="E765" s="20" t="n">
        <f aca="false">$D765*(1-cd_A)^(1/4)</f>
        <v>8.87329840103618</v>
      </c>
      <c r="F765" s="20" t="n">
        <f aca="false">$D765*(1-cd_A)^(2/4)</f>
        <v>8.5449534172058</v>
      </c>
      <c r="G765" s="20" t="n">
        <f aca="false">$D765*(1-cd_A)^(3/4)</f>
        <v>8.22875841679016</v>
      </c>
      <c r="H765" s="20" t="n">
        <f aca="false">$D765*(1-cd_A)^(4/4)</f>
        <v>7.92426380529489</v>
      </c>
      <c r="I765" s="20" t="n">
        <f aca="false">$D765*(1-cd_A)^(5/4)</f>
        <v>7.63103662489111</v>
      </c>
      <c r="J765" s="20" t="n">
        <f aca="false">$D765*(1-cd_A)^(6/4)</f>
        <v>7.34865993879699</v>
      </c>
      <c r="K765" s="20" t="n">
        <f aca="false">$D765*(1-cd_A)^(7/4)</f>
        <v>7.07673223843954</v>
      </c>
      <c r="L765" s="20" t="n">
        <f aca="false">$D765*(1-cd_A)^(8/4)</f>
        <v>6.81486687255361</v>
      </c>
      <c r="M765" s="20" t="n">
        <f aca="false">$D765*(1-cd_A)^(9/4)</f>
        <v>6.56269149740636</v>
      </c>
      <c r="N765" s="20" t="n">
        <f aca="false">$D765*(1-cd_A)^(10/4)</f>
        <v>6.31984754736541</v>
      </c>
      <c r="O765" s="20" t="n">
        <f aca="false">$D765*(1-cd_A)^(11/4)</f>
        <v>6.085989725058</v>
      </c>
      <c r="P765" s="20" t="n">
        <f aca="false">$D765*(1-cd_A)^(12/4)</f>
        <v>5.8607855103961</v>
      </c>
      <c r="Q765" s="20" t="n">
        <f aca="false">$D765*(1-cd_A)^(13/4)</f>
        <v>5.64391468776947</v>
      </c>
      <c r="R765" s="20" t="n">
        <f aca="false">$D765*(1-cd_A)^(14/4)</f>
        <v>5.43506889073425</v>
      </c>
    </row>
    <row r="766" customFormat="false" ht="15" hidden="false" customHeight="false" outlineLevel="0" collapsed="false">
      <c r="A766" s="5" t="s">
        <v>375</v>
      </c>
      <c r="B766" s="0" t="s">
        <v>25</v>
      </c>
      <c r="C766" s="13" t="n">
        <f aca="false">q1_rev-q1_gp</f>
        <v>387</v>
      </c>
      <c r="D766" s="13" t="n">
        <f aca="false">g2_rev-g2_op-g2_ox</f>
        <v>430</v>
      </c>
      <c r="E766" s="13" t="n">
        <f aca="false">E763*E765</f>
        <v>434.299581602247</v>
      </c>
      <c r="F766" s="13" t="n">
        <f aca="false">F763*F765</f>
        <v>447.414598356475</v>
      </c>
      <c r="G766" s="13" t="n">
        <f aca="false">G763*G765</f>
        <v>455.577499229166</v>
      </c>
      <c r="H766" s="13" t="n">
        <f aca="false">H763*H765</f>
        <v>463.889328972086</v>
      </c>
      <c r="I766" s="13" t="n">
        <f aca="false">I763*I765</f>
        <v>472.352804733065</v>
      </c>
      <c r="J766" s="13" t="n">
        <f aca="false">J763*J765</f>
        <v>480.97069323321</v>
      </c>
      <c r="K766" s="13" t="n">
        <f aca="false">K763*K765</f>
        <v>489.745811671353</v>
      </c>
      <c r="L766" s="13" t="n">
        <f aca="false">L763*L765</f>
        <v>498.681028644993</v>
      </c>
      <c r="M766" s="13" t="n">
        <f aca="false">M763*M765</f>
        <v>507.779265088045</v>
      </c>
      <c r="N766" s="13" t="n">
        <f aca="false">N763*N765</f>
        <v>508.318884116089</v>
      </c>
      <c r="O766" s="13" t="n">
        <f aca="false">O763*O765</f>
        <v>513.987692275643</v>
      </c>
      <c r="P766" s="13" t="n">
        <f aca="false">P763*P765</f>
        <v>519.719719384865</v>
      </c>
      <c r="Q766" s="13" t="n">
        <f aca="false">Q763*Q765</f>
        <v>525.515670465953</v>
      </c>
      <c r="R766" s="13" t="n">
        <f aca="false">R763*R765</f>
        <v>510.921238075844</v>
      </c>
      <c r="T766" s="5" t="s">
        <v>376</v>
      </c>
    </row>
    <row r="767" customFormat="false" ht="15" hidden="false" customHeight="false" outlineLevel="0" collapsed="false">
      <c r="A767" s="5" t="s">
        <v>286</v>
      </c>
      <c r="B767" s="0" t="s">
        <v>116</v>
      </c>
      <c r="C767" s="14" t="n">
        <f aca="false">1-C766/C764</f>
        <v>0.780997113915455</v>
      </c>
      <c r="D767" s="14" t="n">
        <f aca="false">1-D766/D764</f>
        <v>0.820083682008368</v>
      </c>
      <c r="E767" s="14" t="n">
        <f aca="false">1-E766/E764</f>
        <v>0.850702569704428</v>
      </c>
      <c r="F767" s="14" t="n">
        <f aca="false">1-F766/F764</f>
        <v>0.860414688258972</v>
      </c>
      <c r="G767" s="14" t="n">
        <f aca="false">1-G766/G764</f>
        <v>0.865579863017573</v>
      </c>
      <c r="H767" s="14" t="n">
        <f aca="false">1-H766/H764</f>
        <v>0.863740954877776</v>
      </c>
      <c r="I767" s="14" t="n">
        <f aca="false">1-I766/I764</f>
        <v>0.858906500454182</v>
      </c>
      <c r="J767" s="14" t="n">
        <f aca="false">1-J766/J764</f>
        <v>0.856976298695637</v>
      </c>
      <c r="K767" s="14" t="n">
        <f aca="false">1-K766/K764</f>
        <v>0.855019691193096</v>
      </c>
      <c r="L767" s="14" t="n">
        <f aca="false">1-L766/L764</f>
        <v>0.85303631670799</v>
      </c>
      <c r="M767" s="14" t="n">
        <f aca="false">1-M766/M764</f>
        <v>0.851025809059901</v>
      </c>
      <c r="N767" s="14" t="n">
        <f aca="false">1-N766/N764</f>
        <v>0.85210145072784</v>
      </c>
      <c r="O767" s="14" t="n">
        <f aca="false">1-O766/O764</f>
        <v>0.853169325916293</v>
      </c>
      <c r="P767" s="14" t="n">
        <f aca="false">1-P766/P764</f>
        <v>0.854229490701744</v>
      </c>
      <c r="Q767" s="14" t="n">
        <f aca="false">1-Q766/Q764</f>
        <v>0.85528200075579</v>
      </c>
      <c r="R767" s="14" t="n">
        <f aca="false">1-R766/R764</f>
        <v>0.856111364409218</v>
      </c>
    </row>
    <row r="768" customFormat="false" ht="17.15" hidden="false" customHeight="false" outlineLevel="0" collapsed="false">
      <c r="A768" s="5" t="s">
        <v>377</v>
      </c>
      <c r="B768" s="0" t="s">
        <v>25</v>
      </c>
      <c r="C768" s="13" t="n">
        <f aca="false">q1_gp-q1_op</f>
        <v>110.1</v>
      </c>
      <c r="D768" s="13" t="n">
        <f aca="false">g2_ox</f>
        <v>70</v>
      </c>
      <c r="E768" s="13" t="n">
        <f aca="false">(g2_ox-ox_var*g2_rev)*(1+ox_g)^(1/4)+ox_var*E764</f>
        <v>76.3011961075221</v>
      </c>
      <c r="F768" s="13" t="n">
        <f aca="false">(g2_ox-ox_var*g2_rev)*(1+ox_g)^(2/4)+ox_var*F764</f>
        <v>80.4032167561042</v>
      </c>
      <c r="G768" s="13" t="n">
        <f aca="false">(g2_ox-ox_var*g2_rev)*(1+ox_g)^(3/4)+ox_var*G764</f>
        <v>83.4080442426069</v>
      </c>
      <c r="H768" s="13" t="n">
        <f aca="false">(g2_ox-ox_var*g2_rev)*(1+ox_g)^(4/4)+ox_var*H764</f>
        <v>84.7546631308752</v>
      </c>
      <c r="I768" s="13" t="n">
        <f aca="false">(g2_ox-ox_var*g2_rev)*(1+ox_g)^(5/4)+ox_var*I764</f>
        <v>85.4108042488071</v>
      </c>
      <c r="J768" s="13" t="n">
        <f aca="false">(g2_ox-ox_var*g2_rev)*(1+ox_g)^(6/4)+ox_var*J764</f>
        <v>86.8138371614698</v>
      </c>
      <c r="K768" s="13" t="n">
        <f aca="false">(g2_ox-ox_var*g2_rev)*(1+ox_g)^(7/4)+ox_var*K764</f>
        <v>88.247746185744</v>
      </c>
      <c r="L768" s="13" t="n">
        <f aca="false">(g2_ox-ox_var*g2_rev)*(1+ox_g)^(8/4)+ox_var*L764</f>
        <v>89.7132625477572</v>
      </c>
      <c r="M768" s="13" t="n">
        <f aca="false">(g2_ox-ox_var*g2_rev)*(1+ox_g)^(9/4)+ox_var*M764</f>
        <v>91.2111350462625</v>
      </c>
      <c r="N768" s="13" t="n">
        <f aca="false">(g2_ox-ox_var*g2_rev)*(1+ox_g)^(10/4)+ox_var*N764</f>
        <v>92.8730363925709</v>
      </c>
      <c r="O768" s="13" t="n">
        <f aca="false">(g2_ox-ox_var*g2_rev)*(1+ox_g)^(11/4)+ox_var*O764</f>
        <v>94.9198152646803</v>
      </c>
      <c r="P768" s="13" t="n">
        <f aca="false">(g2_ox-ox_var*g2_rev)*(1+ox_g)^(12/4)+ox_var*P764</f>
        <v>97.0123828132943</v>
      </c>
      <c r="Q768" s="13" t="n">
        <f aca="false">(g2_ox-ox_var*g2_rev)*(1+ox_g)^(13/4)+ox_var*Q764</f>
        <v>99.1517771666897</v>
      </c>
      <c r="R768" s="13" t="n">
        <f aca="false">(g2_ox-ox_var*g2_rev)*(1+ox_g)^(14/4)+ox_var*R764</f>
        <v>99.8620692150942</v>
      </c>
      <c r="T768" s="5" t="s">
        <v>378</v>
      </c>
    </row>
    <row r="769" customFormat="false" ht="15" hidden="false" customHeight="false" outlineLevel="0" collapsed="false">
      <c r="A769" s="5" t="s">
        <v>284</v>
      </c>
      <c r="B769" s="0" t="s">
        <v>25</v>
      </c>
      <c r="C769" s="13" t="n">
        <f aca="false">C764-C766-C768</f>
        <v>1270</v>
      </c>
      <c r="D769" s="13" t="n">
        <f aca="false">D764-D766-D768</f>
        <v>1890</v>
      </c>
      <c r="E769" s="13" t="n">
        <f aca="false">E764-E766-E768</f>
        <v>2398.35472636315</v>
      </c>
      <c r="F769" s="13" t="n">
        <f aca="false">F764-F766-F768</f>
        <v>2677.49507043344</v>
      </c>
      <c r="G769" s="13" t="n">
        <f aca="false">G764-G766-G768</f>
        <v>2850.22019204035</v>
      </c>
      <c r="H769" s="13" t="n">
        <f aca="false">H764-H766-H768</f>
        <v>2855.82232098456</v>
      </c>
      <c r="I769" s="13" t="n">
        <f aca="false">I764-I766-I768</f>
        <v>2790.03629855162</v>
      </c>
      <c r="J769" s="13" t="n">
        <f aca="false">J764-J766-J768</f>
        <v>2795.08951668146</v>
      </c>
      <c r="K769" s="13" t="n">
        <f aca="false">K764-K766-K768</f>
        <v>2800.02250309387</v>
      </c>
      <c r="L769" s="13" t="n">
        <f aca="false">L764-L766-L768</f>
        <v>2804.83196358297</v>
      </c>
      <c r="M769" s="13" t="n">
        <f aca="false">M764-M766-M768</f>
        <v>2809.51453540999</v>
      </c>
      <c r="N769" s="13" t="n">
        <f aca="false">N764-N766-N768</f>
        <v>2835.7510827705</v>
      </c>
      <c r="O769" s="13" t="n">
        <f aca="false">O764-O766-O768</f>
        <v>2891.63960554193</v>
      </c>
      <c r="P769" s="13" t="n">
        <f aca="false">P764-P766-P768</f>
        <v>2948.59617913127</v>
      </c>
      <c r="Q769" s="13" t="n">
        <f aca="false">Q764-Q766-Q768</f>
        <v>3006.64084304619</v>
      </c>
      <c r="R769" s="13" t="n">
        <f aca="false">R764-R766-R768</f>
        <v>2940.02691464277</v>
      </c>
    </row>
    <row r="771" customFormat="false" ht="17.15" hidden="false" customHeight="false" outlineLevel="0" collapsed="false">
      <c r="A771" s="5" t="s">
        <v>285</v>
      </c>
      <c r="B771" s="0" t="s">
        <v>25</v>
      </c>
      <c r="C771" s="13" t="n">
        <f aca="false">q1_ni</f>
        <v>842.2</v>
      </c>
      <c r="D771" s="13" t="n">
        <f aca="false">g2_ni</f>
        <v>1270</v>
      </c>
      <c r="E771" s="13" t="n">
        <f aca="false">(E769+nonop_q+rf*nc_j/4)*(1-tax)</f>
        <v>1620.94709392694</v>
      </c>
      <c r="F771" s="13" t="n">
        <f aca="false">(F769+nonop_q+rf*nc_j/4)*(1-tax)</f>
        <v>1810.76252789474</v>
      </c>
      <c r="G771" s="13" t="n">
        <f aca="false">(G769+nonop_q+rf*$D787/4)*(1-tax)</f>
        <v>1936.04276694453</v>
      </c>
      <c r="H771" s="13" t="n">
        <f aca="false">(H769+nonop_q+rf*$D787/4)*(1-tax)</f>
        <v>1939.8522146266</v>
      </c>
      <c r="I771" s="13" t="n">
        <f aca="false">(I769+nonop_q+rf*$D787/4)*(1-tax)</f>
        <v>1895.1177193722</v>
      </c>
      <c r="J771" s="13" t="n">
        <f aca="false">(J769+nonop_q+rf*$D787/4)*(1-tax)</f>
        <v>1898.55390770049</v>
      </c>
      <c r="K771" s="13" t="n">
        <f aca="false">(K769+nonop_q+rf*$E787/4)*(1-tax)</f>
        <v>1914.69160169562</v>
      </c>
      <c r="L771" s="13" t="n">
        <f aca="false">(L769+nonop_q+rf*$E787/4)*(1-tax)</f>
        <v>1917.96203482821</v>
      </c>
      <c r="M771" s="13" t="n">
        <f aca="false">(M769+nonop_q+rf*$E787/4)*(1-tax)</f>
        <v>1921.14618367059</v>
      </c>
      <c r="N771" s="13" t="n">
        <f aca="false">(N769+nonop_q+rf*$E787/4)*(1-tax)</f>
        <v>1938.98703587573</v>
      </c>
      <c r="O771" s="13" t="n">
        <f aca="false">(O769+nonop_q+rf*$F787/4)*(1-tax)</f>
        <v>1989.81396901563</v>
      </c>
      <c r="P771" s="13" t="n">
        <f aca="false">(P769+nonop_q+rf*$F787/4)*(1-tax)</f>
        <v>2028.54443905637</v>
      </c>
      <c r="Q771" s="13" t="n">
        <f aca="false">(Q769+nonop_q+rf*$F787/4)*(1-tax)</f>
        <v>2068.01481051852</v>
      </c>
      <c r="R771" s="13" t="n">
        <f aca="false">(R769+nonop_q+rf*$F787/4)*(1-tax)</f>
        <v>2022.71733920419</v>
      </c>
      <c r="T771" s="5" t="s">
        <v>379</v>
      </c>
    </row>
    <row r="772" customFormat="false" ht="17.15" hidden="false" customHeight="false" outlineLevel="0" collapsed="false">
      <c r="A772" s="5" t="s">
        <v>380</v>
      </c>
      <c r="B772" s="0" t="s">
        <v>78</v>
      </c>
      <c r="C772" s="17" t="n">
        <f aca="false">C771/(sh0+dil)*1000</f>
        <v>507.343332753891</v>
      </c>
      <c r="D772" s="17" t="n">
        <f aca="false">D771/(sh0+dil)*1000</f>
        <v>765.051095461222</v>
      </c>
      <c r="E772" s="17" t="n">
        <f aca="false">E771/(sh0+dil)*1000</f>
        <v>976.462480231096</v>
      </c>
      <c r="F772" s="17" t="n">
        <f aca="false">F771/(sh0+dil)*1000</f>
        <v>1090.80776030394</v>
      </c>
      <c r="G772" s="17" t="n">
        <f aca="false">G771/(sh0+dil)*1000</f>
        <v>1166.27688166196</v>
      </c>
      <c r="H772" s="17" t="n">
        <f aca="false">H771/(sh0+dil)*1000</f>
        <v>1168.57170223067</v>
      </c>
      <c r="I772" s="17" t="n">
        <f aca="false">I771/(sh0+dil)*1000</f>
        <v>1141.62353325486</v>
      </c>
      <c r="J772" s="17" t="n">
        <f aca="false">J771/(sh0+dil)*1000</f>
        <v>1143.69350147909</v>
      </c>
      <c r="K772" s="17" t="n">
        <f aca="false">K771/(sh0+dil)*1000</f>
        <v>1153.41488767531</v>
      </c>
      <c r="L772" s="17" t="n">
        <f aca="false">L771/(sh0+dil)*1000</f>
        <v>1155.38500456564</v>
      </c>
      <c r="M772" s="17" t="n">
        <f aca="false">M771/(sh0+dil)*1000</f>
        <v>1157.30314358924</v>
      </c>
      <c r="N772" s="17" t="n">
        <f aca="false">N771/(sh0+dil)*1000</f>
        <v>1168.05051644239</v>
      </c>
      <c r="O772" s="17" t="n">
        <f aca="false">O771/(sh0+dil)*1000</f>
        <v>1198.66878484996</v>
      </c>
      <c r="P772" s="17" t="n">
        <f aca="false">P771/(sh0+dil)*1000</f>
        <v>1222.00011440303</v>
      </c>
      <c r="Q772" s="17" t="n">
        <f aca="false">Q771/(sh0+dil)*1000</f>
        <v>1245.77716237577</v>
      </c>
      <c r="R772" s="17" t="n">
        <f aca="false">R771/(sh0+dil)*1000</f>
        <v>1218.48985524927</v>
      </c>
    </row>
    <row r="774" customFormat="false" ht="17.15" hidden="false" customHeight="false" outlineLevel="0" collapsed="false">
      <c r="A774" s="12" t="s">
        <v>381</v>
      </c>
      <c r="B774" s="6" t="s">
        <v>15</v>
      </c>
      <c r="C774" s="12" t="s">
        <v>338</v>
      </c>
      <c r="D774" s="12" t="s">
        <v>339</v>
      </c>
      <c r="E774" s="12" t="s">
        <v>340</v>
      </c>
      <c r="F774" s="12" t="s">
        <v>341</v>
      </c>
      <c r="G774" s="12" t="s">
        <v>342</v>
      </c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6" t="s">
        <v>343</v>
      </c>
    </row>
    <row r="775" customFormat="false" ht="17.15" hidden="false" customHeight="false" outlineLevel="0" collapsed="false">
      <c r="A775" s="5" t="s">
        <v>280</v>
      </c>
      <c r="B775" s="0" t="s">
        <v>25</v>
      </c>
      <c r="C775" s="13" t="n">
        <f aca="false">a25_rev</f>
        <v>2337.6</v>
      </c>
      <c r="D775" s="13" t="n">
        <f aca="false">SUM(C764:F764)</f>
        <v>10271.3683896189</v>
      </c>
      <c r="E775" s="13" t="n">
        <f aca="false">SUM(G764:J764)</f>
        <v>13504.3460032093</v>
      </c>
      <c r="F775" s="13" t="n">
        <f aca="false">SUM(K764:N764)</f>
        <v>13616.6902545502</v>
      </c>
      <c r="G775" s="13" t="n">
        <f aca="false">SUM(O764:R764)</f>
        <v>14247.9939070242</v>
      </c>
      <c r="T775" s="8" t="s">
        <v>382</v>
      </c>
    </row>
    <row r="776" customFormat="false" ht="15" hidden="false" customHeight="false" outlineLevel="0" collapsed="false">
      <c r="A776" s="5" t="s">
        <v>375</v>
      </c>
      <c r="B776" s="0" t="s">
        <v>25</v>
      </c>
      <c r="C776" s="13" t="n">
        <f aca="false">a25_rev-(p1_gp+p2_gp+p3_gp+p4_gp)</f>
        <v>1324.8</v>
      </c>
      <c r="D776" s="13" t="n">
        <f aca="false">SUM(C766:F766)</f>
        <v>1698.71417995872</v>
      </c>
      <c r="E776" s="13" t="n">
        <f aca="false">SUM(G766:J766)</f>
        <v>1872.79032616753</v>
      </c>
      <c r="F776" s="13" t="n">
        <f aca="false">SUM(K766:N766)</f>
        <v>2004.52498952048</v>
      </c>
      <c r="G776" s="13" t="n">
        <f aca="false">SUM(O766:R766)</f>
        <v>2070.14432020231</v>
      </c>
    </row>
    <row r="777" customFormat="false" ht="15" hidden="false" customHeight="false" outlineLevel="0" collapsed="false">
      <c r="A777" s="5" t="s">
        <v>286</v>
      </c>
      <c r="B777" s="0" t="s">
        <v>116</v>
      </c>
      <c r="C777" s="14" t="n">
        <f aca="false">1-C776/C775</f>
        <v>0.433264887063655</v>
      </c>
      <c r="D777" s="14" t="n">
        <f aca="false">1-D776/D775</f>
        <v>0.834616565629602</v>
      </c>
      <c r="E777" s="14" t="n">
        <f aca="false">1-E776/E775</f>
        <v>0.861319435556341</v>
      </c>
      <c r="F777" s="14" t="n">
        <f aca="false">1-F776/F775</f>
        <v>0.852789117469229</v>
      </c>
      <c r="G777" s="14" t="n">
        <f aca="false">1-G776/G775</f>
        <v>0.854706260143631</v>
      </c>
    </row>
    <row r="778" customFormat="false" ht="15" hidden="false" customHeight="false" outlineLevel="0" collapsed="false">
      <c r="A778" s="5" t="s">
        <v>377</v>
      </c>
      <c r="B778" s="0" t="s">
        <v>25</v>
      </c>
      <c r="D778" s="13" t="n">
        <f aca="false">SUM(C768:F768)</f>
        <v>336.804412863626</v>
      </c>
      <c r="E778" s="13" t="n">
        <f aca="false">SUM(G768:J768)</f>
        <v>340.387348783759</v>
      </c>
      <c r="F778" s="13" t="n">
        <f aca="false">SUM(K768:N768)</f>
        <v>362.045180172334</v>
      </c>
      <c r="G778" s="13" t="n">
        <f aca="false">SUM(O768:R768)</f>
        <v>390.946044459758</v>
      </c>
    </row>
    <row r="779" customFormat="false" ht="15" hidden="false" customHeight="false" outlineLevel="0" collapsed="false">
      <c r="A779" s="5" t="s">
        <v>284</v>
      </c>
      <c r="B779" s="0" t="s">
        <v>25</v>
      </c>
      <c r="C779" s="13" t="n">
        <f aca="false">p1_op+p2_op+p3_op+p4_op</f>
        <v>869</v>
      </c>
      <c r="D779" s="13" t="n">
        <f aca="false">SUM(C769:F769)</f>
        <v>8235.84979679659</v>
      </c>
      <c r="E779" s="13" t="n">
        <f aca="false">SUM(G769:J769)</f>
        <v>11291.168328258</v>
      </c>
      <c r="F779" s="13" t="n">
        <f aca="false">SUM(K769:N769)</f>
        <v>11250.1200848573</v>
      </c>
      <c r="G779" s="13" t="n">
        <f aca="false">SUM(O769:R769)</f>
        <v>11786.9035423622</v>
      </c>
    </row>
    <row r="780" customFormat="false" ht="15" hidden="false" customHeight="false" outlineLevel="0" collapsed="false">
      <c r="A780" s="5" t="s">
        <v>287</v>
      </c>
      <c r="B780" s="0" t="s">
        <v>116</v>
      </c>
      <c r="C780" s="14" t="n">
        <f aca="false">C779/C775</f>
        <v>0.371748802190281</v>
      </c>
      <c r="D780" s="14" t="n">
        <f aca="false">D779/D775</f>
        <v>0.801825957787708</v>
      </c>
      <c r="E780" s="14" t="n">
        <f aca="false">E779/E775</f>
        <v>0.836113672263334</v>
      </c>
      <c r="F780" s="14" t="n">
        <f aca="false">F779/F775</f>
        <v>0.826200778202912</v>
      </c>
      <c r="G780" s="14" t="n">
        <f aca="false">G779/G775</f>
        <v>0.82726758723214</v>
      </c>
    </row>
    <row r="781" customFormat="false" ht="15" hidden="false" customHeight="false" outlineLevel="0" collapsed="false">
      <c r="A781" s="5" t="s">
        <v>285</v>
      </c>
      <c r="B781" s="0" t="s">
        <v>25</v>
      </c>
      <c r="C781" s="13" t="n">
        <f aca="false">a25_ni</f>
        <v>554.5</v>
      </c>
      <c r="D781" s="13" t="n">
        <f aca="false">SUM(C771:F771)</f>
        <v>5543.90962182168</v>
      </c>
      <c r="E781" s="13" t="n">
        <f aca="false">SUM(G771:J771)</f>
        <v>7669.56660864381</v>
      </c>
      <c r="F781" s="13" t="n">
        <f aca="false">SUM(K771:N771)</f>
        <v>7692.78685607015</v>
      </c>
      <c r="G781" s="13" t="n">
        <f aca="false">SUM(O771:R771)</f>
        <v>8109.09055779471</v>
      </c>
    </row>
    <row r="782" customFormat="false" ht="15" hidden="false" customHeight="false" outlineLevel="0" collapsed="false">
      <c r="A782" s="5" t="s">
        <v>383</v>
      </c>
      <c r="B782" s="0" t="s">
        <v>25</v>
      </c>
      <c r="D782" s="13" t="n">
        <f aca="false">da_y</f>
        <v>320</v>
      </c>
      <c r="E782" s="13" t="n">
        <f aca="false">da_y</f>
        <v>320</v>
      </c>
      <c r="F782" s="13" t="n">
        <f aca="false">da_y</f>
        <v>320</v>
      </c>
      <c r="G782" s="13" t="n">
        <f aca="false">da_y</f>
        <v>320</v>
      </c>
    </row>
    <row r="783" customFormat="false" ht="15" hidden="false" customHeight="false" outlineLevel="0" collapsed="false">
      <c r="A783" s="5" t="s">
        <v>384</v>
      </c>
      <c r="B783" s="0" t="s">
        <v>25</v>
      </c>
      <c r="D783" s="13" t="n">
        <f aca="false">cap_2026</f>
        <v>450</v>
      </c>
      <c r="E783" s="13" t="n">
        <f aca="false">cap_2027</f>
        <v>470</v>
      </c>
      <c r="F783" s="13" t="n">
        <f aca="false">cap_2028</f>
        <v>470</v>
      </c>
      <c r="G783" s="13" t="n">
        <f aca="false">cap_2029</f>
        <v>470</v>
      </c>
    </row>
    <row r="784" customFormat="false" ht="15" hidden="false" customHeight="false" outlineLevel="0" collapsed="false">
      <c r="A784" s="5" t="s">
        <v>385</v>
      </c>
      <c r="B784" s="0" t="s">
        <v>25</v>
      </c>
      <c r="D784" s="13" t="n">
        <f aca="false">D781+D782-D783</f>
        <v>5413.90962182168</v>
      </c>
      <c r="E784" s="13" t="n">
        <f aca="false">E781+E782-E783</f>
        <v>7519.56660864381</v>
      </c>
      <c r="F784" s="13" t="n">
        <f aca="false">F781+F782-F783</f>
        <v>7542.78685607015</v>
      </c>
      <c r="G784" s="13" t="n">
        <f aca="false">G781+G782-G783</f>
        <v>7959.09055779471</v>
      </c>
    </row>
    <row r="785" customFormat="false" ht="17.15" hidden="false" customHeight="false" outlineLevel="0" collapsed="false">
      <c r="A785" s="5" t="s">
        <v>386</v>
      </c>
      <c r="B785" s="0" t="s">
        <v>25</v>
      </c>
      <c r="D785" s="13" t="n">
        <f aca="false">MAX(0,payout_lo*(SUM(D771:F771)+0.75*(D782-D783)))</f>
        <v>0</v>
      </c>
      <c r="E785" s="13" t="n">
        <f aca="false">MAX(0,payout_lo*E784)</f>
        <v>0</v>
      </c>
      <c r="F785" s="13" t="n">
        <f aca="false">MAX(0,payout_lo*F784)</f>
        <v>0</v>
      </c>
      <c r="G785" s="13" t="n">
        <f aca="false">MAX(0,payout_lo*G784)</f>
        <v>0</v>
      </c>
      <c r="T785" s="8" t="s">
        <v>387</v>
      </c>
    </row>
    <row r="786" customFormat="false" ht="17.15" hidden="false" customHeight="false" outlineLevel="0" collapsed="false">
      <c r="A786" s="5" t="s">
        <v>388</v>
      </c>
      <c r="B786" s="0" t="s">
        <v>25</v>
      </c>
      <c r="C786" s="13" t="n">
        <f aca="false">eq25</f>
        <v>1399.1</v>
      </c>
      <c r="D786" s="13" t="n">
        <f aca="false">eq_j+SUM(D771:F771)-D785</f>
        <v>7106.00962182168</v>
      </c>
      <c r="E786" s="13" t="n">
        <f aca="false">D786+E781-E785</f>
        <v>14775.5762304655</v>
      </c>
      <c r="F786" s="13" t="n">
        <f aca="false">E786+F781-F785</f>
        <v>22468.3630865357</v>
      </c>
      <c r="G786" s="13" t="n">
        <f aca="false">F786+G781-G785</f>
        <v>30577.4536443304</v>
      </c>
      <c r="T786" s="8" t="s">
        <v>389</v>
      </c>
    </row>
    <row r="787" customFormat="false" ht="15" hidden="false" customHeight="false" outlineLevel="0" collapsed="false">
      <c r="A787" s="5" t="s">
        <v>390</v>
      </c>
      <c r="B787" s="0" t="s">
        <v>25</v>
      </c>
      <c r="D787" s="13" t="n">
        <f aca="false">nc_j+(SUM(D771:F771)+0.75*(D782-D783))-D785</f>
        <v>4760.60962182168</v>
      </c>
      <c r="E787" s="13" t="n">
        <f aca="false">D787+E784-E785</f>
        <v>12280.1762304655</v>
      </c>
      <c r="F787" s="13" t="n">
        <f aca="false">E787+F784-F785</f>
        <v>19822.9630865357</v>
      </c>
      <c r="G787" s="13" t="n">
        <f aca="false">F787+G784-G785</f>
        <v>27782.0536443304</v>
      </c>
    </row>
    <row r="788" customFormat="false" ht="15" hidden="false" customHeight="false" outlineLevel="0" collapsed="false">
      <c r="A788" s="5" t="s">
        <v>391</v>
      </c>
      <c r="B788" s="5" t="s">
        <v>159</v>
      </c>
      <c r="D788" s="13" t="n">
        <f aca="false">sh0-D785/bb_px*1000</f>
        <v>1644.043914</v>
      </c>
      <c r="E788" s="13" t="n">
        <f aca="false">D788-E785/bb_px*1000</f>
        <v>1644.043914</v>
      </c>
      <c r="F788" s="13" t="n">
        <f aca="false">E788-F785/bb_px*1000</f>
        <v>1644.043914</v>
      </c>
      <c r="G788" s="13" t="n">
        <f aca="false">F788-G785/bb_px*1000</f>
        <v>1644.043914</v>
      </c>
    </row>
    <row r="789" customFormat="false" ht="17.15" hidden="false" customHeight="false" outlineLevel="0" collapsed="false">
      <c r="A789" s="0" t="s">
        <v>392</v>
      </c>
      <c r="B789" s="0" t="s">
        <v>78</v>
      </c>
      <c r="C789" s="17" t="n">
        <f aca="false">a25_eps</f>
        <v>341.4</v>
      </c>
      <c r="D789" s="17" t="n">
        <f aca="false">D781/(D788+dil)*1000</f>
        <v>3339.66466875015</v>
      </c>
      <c r="E789" s="17" t="n">
        <f aca="false">E781/(E788+dil)*1000</f>
        <v>4620.16561862658</v>
      </c>
      <c r="F789" s="17" t="n">
        <f aca="false">F781/(F788+dil)*1000</f>
        <v>4634.15355227257</v>
      </c>
      <c r="G789" s="17" t="n">
        <f aca="false">G781/(G788+dil)*1000</f>
        <v>4884.93591687803</v>
      </c>
    </row>
    <row r="790" customFormat="false" ht="17.15" hidden="false" customHeight="false" outlineLevel="0" collapsed="false">
      <c r="A790" s="5" t="s">
        <v>393</v>
      </c>
      <c r="B790" s="0" t="s">
        <v>78</v>
      </c>
      <c r="D790" s="17" t="n">
        <f aca="false">D786/D788*1000</f>
        <v>4322.27482569647</v>
      </c>
      <c r="E790" s="17" t="n">
        <f aca="false">E786/E788*1000</f>
        <v>8987.33671566969</v>
      </c>
      <c r="F790" s="17" t="n">
        <f aca="false">F786/F788*1000</f>
        <v>13666.5224664648</v>
      </c>
      <c r="G790" s="17" t="n">
        <f aca="false">G786/G788*1000</f>
        <v>18598.9275492859</v>
      </c>
    </row>
    <row r="791" customFormat="false" ht="17.15" hidden="false" customHeight="false" outlineLevel="0" collapsed="false">
      <c r="A791" s="0" t="s">
        <v>394</v>
      </c>
      <c r="B791" s="0" t="s">
        <v>116</v>
      </c>
      <c r="D791" s="21" t="n">
        <f aca="false">D781/D786</f>
        <v>0.780171983555583</v>
      </c>
      <c r="E791" s="21" t="n">
        <f aca="false">E781/E786</f>
        <v>0.519070558671686</v>
      </c>
      <c r="F791" s="21" t="n">
        <f aca="false">F781/F786</f>
        <v>0.342383057743985</v>
      </c>
      <c r="G791" s="21" t="n">
        <f aca="false">G781/G786</f>
        <v>0.265198359945786</v>
      </c>
    </row>
    <row r="792" customFormat="false" ht="15" hidden="false" customHeight="false" outlineLevel="0" collapsed="false">
      <c r="A792" s="5" t="s">
        <v>395</v>
      </c>
      <c r="B792" s="0" t="s">
        <v>78</v>
      </c>
      <c r="E792" s="17" t="n">
        <f aca="false">E784/(E788+dil)*1000</f>
        <v>4529.80525302093</v>
      </c>
      <c r="F792" s="17" t="n">
        <f aca="false">F784/(F788+dil)*1000</f>
        <v>4543.79318666691</v>
      </c>
      <c r="G792" s="17" t="n">
        <f aca="false">G784/(G788+dil)*1000</f>
        <v>4794.57555127237</v>
      </c>
    </row>
    <row r="793" customFormat="false" ht="17.15" hidden="false" customHeight="false" outlineLevel="0" collapsed="false">
      <c r="A793" s="5" t="s">
        <v>396</v>
      </c>
      <c r="B793" s="0" t="s">
        <v>25</v>
      </c>
      <c r="D793" s="18" t="n">
        <f aca="false">ABS(C764-q1_rev)+ABS(D769-g2_op)+ABS(C775-2337.6)</f>
        <v>0</v>
      </c>
    </row>
    <row r="796" customFormat="false" ht="17.15" hidden="false" customHeight="false" outlineLevel="0" collapsed="false">
      <c r="A796" s="3" t="s">
        <v>685</v>
      </c>
    </row>
    <row r="797" customFormat="false" ht="17.15" hidden="false" customHeight="false" outlineLevel="0" collapsed="false">
      <c r="A797" s="6" t="s">
        <v>626</v>
      </c>
      <c r="B797" s="6" t="s">
        <v>627</v>
      </c>
      <c r="C797" s="12" t="s">
        <v>686</v>
      </c>
      <c r="D797" s="12" t="s">
        <v>687</v>
      </c>
      <c r="E797" s="6" t="s">
        <v>688</v>
      </c>
      <c r="F797" s="6" t="s">
        <v>630</v>
      </c>
    </row>
    <row r="798" customFormat="false" ht="17.15" hidden="false" customHeight="false" outlineLevel="0" collapsed="false">
      <c r="A798" s="5" t="s">
        <v>17</v>
      </c>
      <c r="B798" s="0" t="s">
        <v>689</v>
      </c>
      <c r="C798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24180.0942676191</v>
      </c>
      <c r="D798" s="17" t="n">
        <f aca="false">Val!B34</f>
        <v>20356.6815131109</v>
      </c>
      <c r="E798" s="17" t="n">
        <f aca="false">tp_w_dcf*C798+(1-tp_w_dcf)*D798</f>
        <v>22268.387890365</v>
      </c>
      <c r="F798" s="14" t="n">
        <f aca="false">E798/E$798-1</f>
        <v>0</v>
      </c>
    </row>
    <row r="799" customFormat="false" ht="17.15" hidden="false" customHeight="false" outlineLevel="0" collapsed="false">
      <c r="A799" s="5" t="s">
        <v>690</v>
      </c>
      <c r="B799" s="0" t="s">
        <v>691</v>
      </c>
      <c r="C799" s="17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21913.9723425486</v>
      </c>
      <c r="D799" s="17" t="n">
        <f aca="false">Val!B34</f>
        <v>20356.6815131109</v>
      </c>
      <c r="E799" s="17" t="n">
        <f aca="false">tp_w_dcf*C799+(1-tp_w_dcf)*D799</f>
        <v>21135.3269278298</v>
      </c>
      <c r="F799" s="14" t="n">
        <f aca="false">E799/E$798-1</f>
        <v>-0.050882038166108</v>
      </c>
    </row>
    <row r="800" customFormat="false" ht="17.15" hidden="false" customHeight="false" outlineLevel="0" collapsed="false">
      <c r="A800" s="5" t="s">
        <v>692</v>
      </c>
      <c r="B800" s="0" t="s">
        <v>693</v>
      </c>
      <c r="C800" s="17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27321.2180805827</v>
      </c>
      <c r="D800" s="17" t="n">
        <f aca="false">Val!B34</f>
        <v>20356.6815131109</v>
      </c>
      <c r="E800" s="17" t="n">
        <f aca="false">tp_w_dcf*C800+(1-tp_w_dcf)*D800</f>
        <v>23838.9497968468</v>
      </c>
      <c r="F800" s="14" t="n">
        <f aca="false">E800/E$798-1</f>
        <v>0.0705287654505646</v>
      </c>
    </row>
    <row r="801" customFormat="false" ht="17.15" hidden="false" customHeight="false" outlineLevel="0" collapsed="false">
      <c r="A801" s="5" t="s">
        <v>694</v>
      </c>
      <c r="B801" s="0" t="s">
        <v>695</v>
      </c>
      <c r="C801" s="17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26107.532378677</v>
      </c>
      <c r="D801" s="17" t="n">
        <f aca="false">Val!B34</f>
        <v>20356.6815131109</v>
      </c>
      <c r="E801" s="17" t="n">
        <f aca="false">tp_w_dcf*C801+(1-tp_w_dcf)*D801</f>
        <v>23232.1069458939</v>
      </c>
      <c r="F801" s="14" t="n">
        <f aca="false">E801/E$798-1</f>
        <v>0.0432774505399152</v>
      </c>
    </row>
    <row r="802" customFormat="false" ht="17.15" hidden="false" customHeight="false" outlineLevel="0" collapsed="false">
      <c r="A802" s="5" t="s">
        <v>696</v>
      </c>
      <c r="B802" s="0" t="s">
        <v>697</v>
      </c>
      <c r="C802" s="17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22827.6024493964</v>
      </c>
      <c r="D802" s="17" t="n">
        <f aca="false">Val!B34</f>
        <v>20356.6815131109</v>
      </c>
      <c r="E802" s="17" t="n">
        <f aca="false">tp_w_dcf*C802+(1-tp_w_dcf)*D802</f>
        <v>21592.1419812537</v>
      </c>
      <c r="F802" s="14" t="n">
        <f aca="false">E802/E$798-1</f>
        <v>-0.0303679778006719</v>
      </c>
    </row>
    <row r="803" customFormat="false" ht="17.15" hidden="false" customHeight="false" outlineLevel="0" collapsed="false">
      <c r="A803" s="0" t="s">
        <v>698</v>
      </c>
      <c r="B803" s="0" t="s">
        <v>699</v>
      </c>
      <c r="C803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24180.0942676191</v>
      </c>
      <c r="D803" s="17" t="n">
        <f aca="false">Val!B34</f>
        <v>20356.6815131109</v>
      </c>
      <c r="E803" s="17" t="n">
        <f aca="false">0.3*C803+(1-0.3)*D803</f>
        <v>21503.7053394634</v>
      </c>
      <c r="F803" s="14" t="n">
        <f aca="false">E803/E$798-1</f>
        <v>-0.0343393762793449</v>
      </c>
    </row>
    <row r="804" customFormat="false" ht="17.15" hidden="false" customHeight="false" outlineLevel="0" collapsed="false">
      <c r="A804" s="0" t="s">
        <v>700</v>
      </c>
      <c r="B804" s="0" t="s">
        <v>701</v>
      </c>
      <c r="C804" s="17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24180.0942676191</v>
      </c>
      <c r="D804" s="17" t="n">
        <f aca="false">Val!B34</f>
        <v>20356.6815131109</v>
      </c>
      <c r="E804" s="17" t="n">
        <f aca="false">0.7*C804+(1-0.7)*D804</f>
        <v>23033.0704412667</v>
      </c>
      <c r="F804" s="14" t="n">
        <f aca="false">E804/E$798-1</f>
        <v>0.0343393762793447</v>
      </c>
    </row>
    <row r="805" customFormat="false" ht="17.15" hidden="false" customHeight="false" outlineLevel="0" collapsed="false">
      <c r="A805" s="5" t="s">
        <v>702</v>
      </c>
      <c r="C805" s="0" t="n">
        <f aca="false">C798-Val!B24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279</v>
      </c>
    </row>
    <row r="2" customFormat="false" ht="17.15" hidden="false" customHeight="false" outlineLevel="0" collapsed="false">
      <c r="A2" s="0" t="s">
        <v>703</v>
      </c>
      <c r="B2" s="0" t="s">
        <v>704</v>
      </c>
    </row>
    <row r="3" customFormat="false" ht="17.15" hidden="false" customHeight="false" outlineLevel="0" collapsed="false">
      <c r="A3" s="0" t="s">
        <v>705</v>
      </c>
      <c r="B3" s="0" t="s">
        <v>706</v>
      </c>
    </row>
    <row r="4" customFormat="false" ht="17.15" hidden="false" customHeight="false" outlineLevel="0" collapsed="false">
      <c r="A4" s="0" t="s">
        <v>707</v>
      </c>
      <c r="B4" s="0" t="s">
        <v>708</v>
      </c>
    </row>
    <row r="5" customFormat="false" ht="17.15" hidden="false" customHeight="false" outlineLevel="0" collapsed="false">
      <c r="A5" s="0" t="s">
        <v>709</v>
      </c>
      <c r="B5" s="0" t="s">
        <v>710</v>
      </c>
    </row>
    <row r="6" customFormat="false" ht="17.15" hidden="false" customHeight="false" outlineLevel="0" collapsed="false">
      <c r="A6" s="0" t="s">
        <v>711</v>
      </c>
      <c r="B6" s="0" t="s">
        <v>712</v>
      </c>
    </row>
    <row r="7" customFormat="false" ht="17.15" hidden="false" customHeight="false" outlineLevel="0" collapsed="false">
      <c r="A7" s="0" t="s">
        <v>713</v>
      </c>
      <c r="B7" s="0" t="s">
        <v>714</v>
      </c>
    </row>
    <row r="8" customFormat="false" ht="17.15" hidden="false" customHeight="false" outlineLevel="0" collapsed="false">
      <c r="A8" s="0" t="s">
        <v>715</v>
      </c>
      <c r="B8" s="0" t="s">
        <v>716</v>
      </c>
    </row>
    <row r="9" customFormat="false" ht="17.15" hidden="false" customHeight="false" outlineLevel="0" collapsed="false">
      <c r="A9" s="0" t="s">
        <v>717</v>
      </c>
      <c r="B9" s="0" t="s">
        <v>718</v>
      </c>
    </row>
    <row r="10" customFormat="false" ht="17.15" hidden="false" customHeight="false" outlineLevel="0" collapsed="false">
      <c r="A10" s="0" t="s">
        <v>719</v>
      </c>
      <c r="B10" s="0" t="s">
        <v>720</v>
      </c>
    </row>
    <row r="11" customFormat="false" ht="17.15" hidden="false" customHeight="false" outlineLevel="0" collapsed="false">
      <c r="A11" s="5" t="s">
        <v>721</v>
      </c>
      <c r="B11" s="5" t="s">
        <v>722</v>
      </c>
    </row>
    <row r="12" customFormat="false" ht="17.15" hidden="false" customHeight="false" outlineLevel="0" collapsed="false">
      <c r="A12" s="5" t="s">
        <v>723</v>
      </c>
      <c r="B12" s="5" t="s">
        <v>722</v>
      </c>
    </row>
    <row r="13" customFormat="false" ht="15" hidden="false" customHeight="false" outlineLevel="0" collapsed="false">
      <c r="A13" s="0" t="s">
        <v>724</v>
      </c>
      <c r="B13" s="5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2026-10-25T06:38:46Z</dcterms:created>
  <dc:creator>openpyxl</dc:creator>
  <dc:description/>
  <dc:language>en-US</dc:language>
  <cp:lastModifiedBy/>
  <dcterms:modified xsi:type="dcterms:W3CDTF">2026-10-25T06:38:46Z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