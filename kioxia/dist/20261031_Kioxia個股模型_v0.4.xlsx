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In!$E$42</definedName>
    <definedName function="false" hidden="false" name="a25_ni" vbProcedure="false">In!$E$41</definedName>
    <definedName function="false" hidden="false" name="a25_rev" vbProcedure="false">In!$E$40</definedName>
    <definedName function="false" hidden="false" name="bb_px" vbProcedure="false">In!$E$75</definedName>
    <definedName function="false" hidden="false" name="cap_2026" vbProcedure="false">In!$E$69</definedName>
    <definedName function="false" hidden="false" name="cap_2026_hi" vbProcedure="false">In!$F$69</definedName>
    <definedName function="false" hidden="false" name="cap_2026_lo" vbProcedure="false">In!$D$69</definedName>
    <definedName function="false" hidden="false" name="cap_2027" vbProcedure="false">In!$E$70</definedName>
    <definedName function="false" hidden="false" name="cap_2027_hi" vbProcedure="false">In!$F$70</definedName>
    <definedName function="false" hidden="false" name="cap_2027_lo" vbProcedure="false">In!$D$70</definedName>
    <definedName function="false" hidden="false" name="cap_2028" vbProcedure="false">In!$E$71</definedName>
    <definedName function="false" hidden="false" name="cap_2028_hi" vbProcedure="false">In!$F$71</definedName>
    <definedName function="false" hidden="false" name="cap_2028_lo" vbProcedure="false">In!$D$71</definedName>
    <definedName function="false" hidden="false" name="cap_2029" vbProcedure="false">In!$E$72</definedName>
    <definedName function="false" hidden="false" name="cap_2029_hi" vbProcedure="false">In!$F$72</definedName>
    <definedName function="false" hidden="false" name="cap_2029_lo" vbProcedure="false">In!$D$72</definedName>
    <definedName function="false" hidden="false" name="cd_A" vbProcedure="false">In!$E$45</definedName>
    <definedName function="false" hidden="false" name="cd_A_hi" vbProcedure="false">In!$F$45</definedName>
    <definedName function="false" hidden="false" name="cd_A_lo" vbProcedure="false">In!$D$45</definedName>
    <definedName function="false" hidden="false" name="cd_B" vbProcedure="false">In!$E$46</definedName>
    <definedName function="false" hidden="false" name="cd_B_hi" vbProcedure="false">In!$F$46</definedName>
    <definedName function="false" hidden="false" name="cd_B_lo" vbProcedure="false">In!$D$46</definedName>
    <definedName function="false" hidden="false" name="cd_C" vbProcedure="false">In!$E$47</definedName>
    <definedName function="false" hidden="false" name="cd_C_hi" vbProcedure="false">In!$F$47</definedName>
    <definedName function="false" hidden="false" name="cd_C_lo" vbProcedure="false">In!$D$47</definedName>
    <definedName function="false" hidden="false" name="cons_bv26" vbProcedure="false">In!$E$84</definedName>
    <definedName function="false" hidden="false" name="cons_bv27" vbProcedure="false">In!$E$85</definedName>
    <definedName function="false" hidden="false" name="cons_bv28" vbProcedure="false">In!$E$86</definedName>
    <definedName function="false" hidden="false" name="cons_eps26" vbProcedure="false">In!$E$81</definedName>
    <definedName function="false" hidden="false" name="cons_eps27" vbProcedure="false">In!$E$82</definedName>
    <definedName function="false" hidden="false" name="cons_eps28" vbProcedure="false">In!$E$83</definedName>
    <definedName function="false" hidden="false" name="cons_ni26" vbProcedure="false">In!$E$79</definedName>
    <definedName function="false" hidden="false" name="cons_ni27" vbProcedure="false">In!$E$80</definedName>
    <definedName function="false" hidden="false" name="cons_rev26" vbProcedure="false">In!$E$77</definedName>
    <definedName function="false" hidden="false" name="cons_rev26_hi" vbProcedure="false">In!$F$77</definedName>
    <definedName function="false" hidden="false" name="cons_rev26_lo" vbProcedure="false">In!$D$77</definedName>
    <definedName function="false" hidden="false" name="cons_rev27" vbProcedure="false">In!$E$78</definedName>
    <definedName function="false" hidden="false" name="cons_tp" vbProcedure="false">In!$E$104</definedName>
    <definedName function="false" hidden="false" name="cons_tp_hi" vbProcedure="false">In!$F$104</definedName>
    <definedName function="false" hidden="false" name="cons_tp_lo" vbProcedure="false">In!$D$104</definedName>
    <definedName function="false" hidden="false" name="cyc_mA" vbProcedure="false">In!$E$96</definedName>
    <definedName function="false" hidden="false" name="cyc_mC" vbProcedure="false">In!$E$97</definedName>
    <definedName function="false" hidden="false" name="da_y" vbProcedure="false">In!$E$68</definedName>
    <definedName function="false" hidden="false" name="da_y_hi" vbProcedure="false">In!$F$68</definedName>
    <definedName function="false" hidden="false" name="da_y_lo" vbProcedure="false">In!$D$68</definedName>
    <definedName function="false" hidden="false" name="dil" vbProcedure="false">In!$E$67</definedName>
    <definedName function="false" hidden="false" name="eq25" vbProcedure="false">In!$E$65</definedName>
    <definedName function="false" hidden="false" name="eq_j" vbProcedure="false">In!$E$63</definedName>
    <definedName function="false" hidden="false" name="fade_gA" vbProcedure="false">In!$E$101</definedName>
    <definedName function="false" hidden="false" name="fade_gB" vbProcedure="false">In!$E$102</definedName>
    <definedName function="false" hidden="false" name="fade_gC" vbProcedure="false">In!$E$103</definedName>
    <definedName function="false" hidden="false" name="fade_mA" vbProcedure="false">In!$E$98</definedName>
    <definedName function="false" hidden="false" name="fade_mB" vbProcedure="false">In!$E$99</definedName>
    <definedName function="false" hidden="false" name="fade_mC" vbProcedure="false">In!$E$100</definedName>
    <definedName function="false" hidden="false" name="fx" vbProcedure="false">In!$E$48</definedName>
    <definedName function="false" hidden="false" name="fx_hi" vbProcedure="false">In!$F$48</definedName>
    <definedName function="false" hidden="false" name="fx_lo" vbProcedure="false">In!$D$48</definedName>
    <definedName function="false" hidden="false" name="g2_ni" vbProcedure="false">In!$E$38</definedName>
    <definedName function="false" hidden="false" name="g2_op" vbProcedure="false">In!$E$37</definedName>
    <definedName function="false" hidden="false" name="g2_ox" vbProcedure="false">In!$E$39</definedName>
    <definedName function="false" hidden="false" name="g2_ox_hi" vbProcedure="false">In!$F$39</definedName>
    <definedName function="false" hidden="false" name="g2_ox_lo" vbProcedure="false">In!$D$39</definedName>
    <definedName function="false" hidden="false" name="g2_rev" vbProcedure="false">In!$E$36</definedName>
    <definedName function="false" hidden="false" name="g3_rev" vbProcedure="false">In!$E$107</definedName>
    <definedName function="false" hidden="false" name="kx_k" vbProcedure="false">In!$E$43</definedName>
    <definedName function="false" hidden="false" name="nc_j" vbProcedure="false">In!$E$64</definedName>
    <definedName function="false" hidden="false" name="nim10" vbProcedure="false">In!$E$95</definedName>
    <definedName function="false" hidden="false" name="nonop_q" vbProcedure="false">In!$E$51</definedName>
    <definedName function="false" hidden="false" name="nonop_q_hi" vbProcedure="false">In!$F$51</definedName>
    <definedName function="false" hidden="false" name="nonop_q_lo" vbProcedure="false">In!$D$51</definedName>
    <definedName function="false" hidden="false" name="otsh_26" vbProcedure="false">In!$E$54</definedName>
    <definedName function="false" hidden="false" name="otsh_26_hi" vbProcedure="false">In!$F$54</definedName>
    <definedName function="false" hidden="false" name="otsh_26_lo" vbProcedure="false">In!$D$54</definedName>
    <definedName function="false" hidden="false" name="otsh_27" vbProcedure="false">In!$E$56</definedName>
    <definedName function="false" hidden="false" name="otsh_27_hi" vbProcedure="false">In!$F$56</definedName>
    <definedName function="false" hidden="false" name="otsh_27_lo" vbProcedure="false">In!$D$56</definedName>
    <definedName function="false" hidden="false" name="otsh_28" vbProcedure="false">In!$E$58</definedName>
    <definedName function="false" hidden="false" name="otsh_28_hi" vbProcedure="false">In!$F$58</definedName>
    <definedName function="false" hidden="false" name="otsh_28_lo" vbProcedure="false">In!$D$58</definedName>
    <definedName function="false" hidden="false" name="otsh_29" vbProcedure="false">In!$E$60</definedName>
    <definedName function="false" hidden="false" name="otsh_29_hi" vbProcedure="false">In!$F$60</definedName>
    <definedName function="false" hidden="false" name="otsh_29_lo" vbProcedure="false">In!$D$60</definedName>
    <definedName function="false" hidden="false" name="ox_g" vbProcedure="false">In!$E$50</definedName>
    <definedName function="false" hidden="false" name="ox_g_hi" vbProcedure="false">In!$F$50</definedName>
    <definedName function="false" hidden="false" name="ox_g_lo" vbProcedure="false">In!$D$50</definedName>
    <definedName function="false" hidden="false" name="ox_var" vbProcedure="false">In!$E$49</definedName>
    <definedName function="false" hidden="false" name="ox_var_hi" vbProcedure="false">In!$F$49</definedName>
    <definedName function="false" hidden="false" name="ox_var_lo" vbProcedure="false">In!$D$49</definedName>
    <definedName function="false" hidden="false" name="p1_gp" vbProcedure="false">In!$E$6</definedName>
    <definedName function="false" hidden="false" name="p1_ni" vbProcedure="false">In!$E$8</definedName>
    <definedName function="false" hidden="false" name="p1_op" vbProcedure="false">In!$E$7</definedName>
    <definedName function="false" hidden="false" name="p1_rev" vbProcedure="false">In!$E$5</definedName>
    <definedName function="false" hidden="false" name="p1_sd" vbProcedure="false">In!$E$22</definedName>
    <definedName function="false" hidden="false" name="p1_ss" vbProcedure="false">In!$E$21</definedName>
    <definedName function="false" hidden="false" name="p2_gp" vbProcedure="false">In!$E$10</definedName>
    <definedName function="false" hidden="false" name="p2_ni" vbProcedure="false">In!$E$12</definedName>
    <definedName function="false" hidden="false" name="p2_op" vbProcedure="false">In!$E$11</definedName>
    <definedName function="false" hidden="false" name="p2_rev" vbProcedure="false">In!$E$9</definedName>
    <definedName function="false" hidden="false" name="p2_sd" vbProcedure="false">In!$E$24</definedName>
    <definedName function="false" hidden="false" name="p2_ss" vbProcedure="false">In!$E$23</definedName>
    <definedName function="false" hidden="false" name="p3_gp" vbProcedure="false">In!$E$14</definedName>
    <definedName function="false" hidden="false" name="p3_ni" vbProcedure="false">In!$E$16</definedName>
    <definedName function="false" hidden="false" name="p3_op" vbProcedure="false">In!$E$15</definedName>
    <definedName function="false" hidden="false" name="p3_rev" vbProcedure="false">In!$E$13</definedName>
    <definedName function="false" hidden="false" name="p3_sd" vbProcedure="false">In!$E$26</definedName>
    <definedName function="false" hidden="false" name="p3_ss" vbProcedure="false">In!$E$25</definedName>
    <definedName function="false" hidden="false" name="p4_gp" vbProcedure="false">In!$E$18</definedName>
    <definedName function="false" hidden="false" name="p4_ni" vbProcedure="false">In!$E$20</definedName>
    <definedName function="false" hidden="false" name="p4_op" vbProcedure="false">In!$E$19</definedName>
    <definedName function="false" hidden="false" name="p4_rev" vbProcedure="false">In!$E$17</definedName>
    <definedName function="false" hidden="false" name="p4_sd" vbProcedure="false">In!$E$28</definedName>
    <definedName function="false" hidden="false" name="p4_ss" vbProcedure="false">In!$E$27</definedName>
    <definedName function="false" hidden="false" name="payout" vbProcedure="false">In!$E$73</definedName>
    <definedName function="false" hidden="false" name="payout_hi" vbProcedure="false">In!$F$73</definedName>
    <definedName function="false" hidden="false" name="payout_lo" vbProcedure="false">In!$D$73</definedName>
    <definedName function="false" hidden="false" name="px" vbProcedure="false">In!$E$74</definedName>
    <definedName function="false" hidden="false" name="q1_eps" vbProcedure="false">In!$E$35</definedName>
    <definedName function="false" hidden="false" name="q1_gp" vbProcedure="false">In!$E$32</definedName>
    <definedName function="false" hidden="false" name="q1_ni" vbProcedure="false">In!$E$34</definedName>
    <definedName function="false" hidden="false" name="q1_op" vbProcedure="false">In!$E$33</definedName>
    <definedName function="false" hidden="false" name="q1_rev" vbProcedure="false">In!$E$31</definedName>
    <definedName function="false" hidden="false" name="q1_sd" vbProcedure="false">In!$E$30</definedName>
    <definedName function="false" hidden="false" name="q1_ss" vbProcedure="false">In!$E$29</definedName>
    <definedName function="false" hidden="false" name="rf" vbProcedure="false">In!$E$61</definedName>
    <definedName function="false" hidden="false" name="rf_hi" vbProcedure="false">In!$F$61</definedName>
    <definedName function="false" hidden="false" name="rf_lo" vbProcedure="false">In!$D$61</definedName>
    <definedName function="false" hidden="false" name="rm_factor" vbProcedure="false">Val!$B$179</definedName>
    <definedName function="false" hidden="false" name="sh0" vbProcedure="false">In!$E$66</definedName>
    <definedName function="false" hidden="false" name="sssh_26" vbProcedure="false">In!$E$53</definedName>
    <definedName function="false" hidden="false" name="sssh_26_hi" vbProcedure="false">In!$F$53</definedName>
    <definedName function="false" hidden="false" name="sssh_26_lo" vbProcedure="false">In!$D$53</definedName>
    <definedName function="false" hidden="false" name="sssh_27" vbProcedure="false">In!$E$55</definedName>
    <definedName function="false" hidden="false" name="sssh_27_hi" vbProcedure="false">In!$F$55</definedName>
    <definedName function="false" hidden="false" name="sssh_27_lo" vbProcedure="false">In!$D$55</definedName>
    <definedName function="false" hidden="false" name="sssh_28" vbProcedure="false">In!$E$57</definedName>
    <definedName function="false" hidden="false" name="sssh_28_hi" vbProcedure="false">In!$F$57</definedName>
    <definedName function="false" hidden="false" name="sssh_28_lo" vbProcedure="false">In!$D$57</definedName>
    <definedName function="false" hidden="false" name="sssh_29" vbProcedure="false">In!$E$59</definedName>
    <definedName function="false" hidden="false" name="sssh_29_hi" vbProcedure="false">In!$F$59</definedName>
    <definedName function="false" hidden="false" name="sssh_29_lo" vbProcedure="false">In!$D$59</definedName>
    <definedName function="false" hidden="false" name="tax" vbProcedure="false">In!$E$52</definedName>
    <definedName function="false" hidden="false" name="tax_hi" vbProcedure="false">In!$F$52</definedName>
    <definedName function="false" hidden="false" name="tax_lo" vbProcedure="false">In!$D$52</definedName>
    <definedName function="false" hidden="false" name="tp_comp_adj" vbProcedure="false">Val!$B$180</definedName>
    <definedName function="false" hidden="false" name="tp_g" vbProcedure="false">In!$E$92</definedName>
    <definedName function="false" hidden="false" name="tp_r" vbProcedure="false">In!$E$91</definedName>
    <definedName function="false" hidden="false" name="tp_roe" vbProcedure="false">In!$E$93</definedName>
    <definedName function="false" hidden="false" name="tp_wA" vbProcedure="false">In!$E$88</definedName>
    <definedName function="false" hidden="false" name="tp_wB" vbProcedure="false">In!$E$89</definedName>
    <definedName function="false" hidden="false" name="tp_wC" vbProcedure="false">In!$E$90</definedName>
    <definedName function="false" hidden="false" name="tp_w_dcf" vbProcedure="false">In!$E$94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<sst xmlns="http://schemas.openxmlformats.org/spreadsheetml/2006/main" count="3482" uniqueCount="872">
  <si>
    <r>
      <rPr>
        <b val="true"/>
        <sz val="11"/>
        <rFont val="Cambria"/>
        <family val="0"/>
        <charset val="1"/>
      </rPr>
      <t xml:space="preserve">Kioxia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285A JP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：記憶體——</t>
    </r>
    <r>
      <rPr>
        <b val="true"/>
        <sz val="11"/>
        <rFont val="Cambria"/>
        <family val="0"/>
        <charset val="1"/>
      </rPr>
      <t xml:space="preserve">NAND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</si>
  <si>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是全球第三、四大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廠（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營收市占 </t>
    </r>
    <r>
      <rPr>
        <sz val="11"/>
        <rFont val="Cambria"/>
        <family val="0"/>
        <charset val="1"/>
      </rPr>
      <t xml:space="preserve">13.6%</t>
    </r>
    <r>
      <rPr>
        <sz val="11"/>
        <rFont val="Noto Sans CJK SC"/>
        <family val="2"/>
      </rPr>
      <t xml:space="preserve">），與 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共用四日市、北上合資產能；盈餘由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合約價循環、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位元與日圓匯率決定。問題是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年的高價能維持多久（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起三情境分歧），以及現價約 </t>
    </r>
    <r>
      <rPr>
        <sz val="11"/>
        <rFont val="Cambria"/>
        <family val="0"/>
        <charset val="1"/>
      </rPr>
      <t xml:space="preserve">2.6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是否已反映循環見頂。</t>
    </r>
  </si>
  <si>
    <t xml:space="preserve">重點觀察</t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</si>
  <si>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</si>
  <si>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成品：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季度營收（市場營收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份額，美元；同字母情境）與位元（季度出貨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</si>
  <si>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區塊｜營收＝市場層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公司口徑係數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匯率；營業成本＝位元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成本（日圓；第二季以實績校準，之後每年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成本年降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）；營業費用＝固定＋變動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</si>
  <si>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區塊｜淨利＝（營業利益＋業外＋淨現金收益）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稅率）；自由現金流＝淨利＋折舊 − 資本支出（</t>
    </r>
    <r>
      <rPr>
        <sz val="11"/>
        <rFont val="Cambria"/>
        <family val="0"/>
        <charset val="1"/>
      </rPr>
      <t xml:space="preserve">¥470B</t>
    </r>
    <r>
      <rPr>
        <sz val="11"/>
        <rFont val="Noto Sans CJK SC"/>
        <family val="2"/>
      </rPr>
      <t xml:space="preserve">／年）；股東回饋＝</t>
    </r>
    <r>
      <rPr>
        <sz val="11"/>
        <rFont val="Cambria"/>
        <family val="0"/>
        <charset val="1"/>
      </rPr>
      <t xml:space="preserve">20% × FCF</t>
    </r>
    <r>
      <rPr>
        <sz val="11"/>
        <rFont val="Noto Sans CJK SC"/>
        <family val="2"/>
      </rPr>
      <t xml:space="preserve">（以買回計）→ 股數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</si>
  <si>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FY2027–FY2032</t>
    </r>
    <r>
      <rPr>
        <sz val="11"/>
        <rFont val="Noto Sans CJK SC"/>
        <family val="2"/>
      </rPr>
      <t xml:space="preserve">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年底每股淨值）各半；第 </t>
    </r>
    <r>
      <rPr>
        <sz val="11"/>
        <rFont val="Cambria"/>
        <family val="0"/>
        <charset val="1"/>
      </rPr>
      <t xml:space="preserve">5–6 </t>
    </r>
    <r>
      <rPr>
        <sz val="11"/>
        <rFont val="Noto Sans CJK SC"/>
        <family val="2"/>
      </rPr>
      <t xml:space="preserve">節目前倍數、十年倍數規則值（美光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</si>
  <si>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 ≈ CY2026Q2–CY2027Q1</t>
    </r>
    <r>
      <rPr>
        <sz val="11"/>
        <rFont val="Noto Sans CJK SC"/>
        <family val="2"/>
      </rPr>
      <t xml:space="preserve">）。前瞻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依月份調整：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個月後（約 </t>
    </r>
    <r>
      <rPr>
        <sz val="11"/>
        <rFont val="Cambria"/>
        <family val="0"/>
        <charset val="1"/>
      </rPr>
      <t xml:space="preserve">2027-10</t>
    </r>
    <r>
      <rPr>
        <sz val="11"/>
        <rFont val="Noto Sans CJK SC"/>
        <family val="2"/>
      </rPr>
      <t xml:space="preserve">）的未來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月＝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FY2027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7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FY2028</t>
    </r>
    <r>
      <rPr>
        <sz val="11"/>
        <rFont val="Noto Sans CJK SC"/>
        <family val="2"/>
      </rPr>
      <t xml:space="preserve">。每股數字為 </t>
    </r>
    <r>
      <rPr>
        <sz val="11"/>
        <rFont val="Cambria"/>
        <family val="0"/>
        <charset val="1"/>
      </rPr>
      <t xml:space="preserve">2026-10-01 </t>
    </r>
    <r>
      <rPr>
        <sz val="11"/>
        <rFont val="Noto Sans CJK SC"/>
        <family val="2"/>
      </rPr>
      <t xml:space="preserve">一股分三股後。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</si>
  <si>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＝不如預期，讀 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同字母（價格＝</t>
    </r>
    <r>
      <rPr>
        <sz val="11"/>
        <rFont val="Cambria"/>
        <family val="0"/>
        <charset val="1"/>
      </rPr>
      <t xml:space="preserve">markets/memory NAND_S</t>
    </r>
    <r>
      <rPr>
        <sz val="11"/>
        <rFont val="Noto Sans CJK SC"/>
        <family val="2"/>
      </rPr>
      <t xml:space="preserve">；顆數＝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；合資群份額年變動）；公司特有變數（每位元成本年降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同值）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略高於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：上游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價格路徑 </t>
    </r>
    <r>
      <rPr>
        <sz val="11"/>
        <rFont val="Cambria"/>
        <family val="0"/>
        <charset val="1"/>
      </rPr>
      <t xml:space="preserve">2027Q1 </t>
    </r>
    <r>
      <rPr>
        <sz val="11"/>
        <rFont val="Noto Sans CJK SC"/>
        <family val="2"/>
      </rPr>
      <t xml:space="preserve">漲幅較大。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</si>
  <si>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十年歷史不足：</t>
    </r>
    <r>
      <rPr>
        <sz val="11"/>
        <rFont val="Cambria"/>
        <family val="0"/>
        <charset val="1"/>
      </rPr>
      <t xml:space="preserve">2024-12 </t>
    </r>
    <r>
      <rPr>
        <sz val="11"/>
        <rFont val="Noto Sans CJK SC"/>
        <family val="2"/>
      </rPr>
      <t xml:space="preserve">上市，只有兩個年底；十年 </t>
    </r>
    <r>
      <rPr>
        <sz val="11"/>
        <rFont val="Cambria"/>
        <family val="0"/>
        <charset val="1"/>
      </rPr>
      <t xml:space="preserve">P/B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與十年平均淨利率以美光為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tp_roe </t>
    </r>
    <r>
      <rPr>
        <sz val="11"/>
        <rFont val="Noto Sans CJK SC"/>
        <family val="2"/>
      </rPr>
      <t xml:space="preserve">只用 </t>
    </r>
    <r>
      <rPr>
        <sz val="11"/>
        <rFont val="Cambria"/>
        <family val="0"/>
        <charset val="1"/>
      </rPr>
      <t xml:space="preserve">FY2024–FY2025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</si>
  <si>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</si>
  <si>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</si>
  <si>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）；每股：日圓（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一股分三股後）；股數：百萬股。每個輸入附標記與來源；找不到者寫「未找到」。【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</si>
  <si>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</si>
  <si>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</si>
  <si>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</si>
  <si>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</si>
  <si>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</si>
  <si>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</si>
  <si>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</si>
  <si>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</si>
  <si>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</si>
  <si>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</si>
  <si>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季度實績與公司指引（</t>
    </r>
    <r>
      <rPr>
        <b val="true"/>
        <sz val="11"/>
        <rFont val="Cambria"/>
        <family val="0"/>
        <charset val="1"/>
      </rPr>
      <t xml:space="preserve">¥B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日圓，分割後）</t>
    </r>
  </si>
  <si>
    <t xml:space="preserve">p1_rev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</si>
  <si>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</t>
    </r>
  </si>
  <si>
    <t xml:space="preserve">¥B</t>
  </si>
  <si>
    <t xml:space="preserve">Verified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</si>
  <si>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（前期欄：營收 </t>
    </r>
    <r>
      <rPr>
        <sz val="11"/>
        <color theme="1"/>
        <rFont val="Calibri"/>
        <family val="2"/>
        <charset val="1"/>
      </rPr>
      <t xml:space="preserve">342.8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44.9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</si>
  <si>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轉載決算；</t>
    </r>
    <r>
      <rPr>
        <sz val="11"/>
        <color theme="1"/>
        <rFont val="Calibri"/>
        <family val="2"/>
        <charset val="1"/>
      </rPr>
      <t xml:space="preserve">MarketScreener 2,337.6</t>
    </r>
    <r>
      <rPr>
        <sz val="11"/>
        <color theme="1"/>
        <rFont val="Noto Sans CJK SC"/>
        <family val="2"/>
      </rPr>
      <t xml:space="preserve">）</t>
    </r>
  </si>
  <si>
    <t xml:space="preserve">p1_gp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</si>
  <si>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季毛利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</si>
  <si>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</si>
  <si>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</si>
  <si>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t xml:space="preserve">p1_op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</si>
  <si>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季營業利益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</si>
  <si>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869.0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870.4</t>
    </r>
    <r>
      <rPr>
        <sz val="11"/>
        <color theme="1"/>
        <rFont val="Noto Sans CJK SC"/>
        <family val="2"/>
      </rPr>
      <t xml:space="preserve">，取整差）</t>
    </r>
  </si>
  <si>
    <t xml:space="preserve">p1_ni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</si>
  <si>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季淨利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</si>
  <si>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554.5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554.5</t>
    </r>
    <r>
      <rPr>
        <sz val="11"/>
        <color theme="1"/>
        <rFont val="Noto Sans CJK SC"/>
        <family val="2"/>
      </rPr>
      <t xml:space="preserve">）</t>
    </r>
  </si>
  <si>
    <t xml:space="preserve">p2_rev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</si>
  <si>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</t>
    </r>
  </si>
  <si>
    <t xml:space="preserve">p2_gp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</si>
  <si>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季毛利</t>
    </r>
  </si>
  <si>
    <t xml:space="preserve">p2_op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</si>
  <si>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季營業利益</t>
    </r>
  </si>
  <si>
    <t xml:space="preserve">p2_ni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</si>
  <si>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季淨利</t>
    </r>
  </si>
  <si>
    <t xml:space="preserve">p3_rev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</si>
  <si>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</t>
    </r>
  </si>
  <si>
    <t xml:space="preserve">p3_gp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</si>
  <si>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季毛利</t>
    </r>
  </si>
  <si>
    <t xml:space="preserve">p3_op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</si>
  <si>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季營業利益</t>
    </r>
  </si>
  <si>
    <t xml:space="preserve">p3_ni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</si>
  <si>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季淨利</t>
    </r>
  </si>
  <si>
    <t xml:space="preserve">p4_rev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</si>
  <si>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</t>
    </r>
  </si>
  <si>
    <t xml:space="preserve">p4_gp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</si>
  <si>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季毛利</t>
    </r>
  </si>
  <si>
    <t xml:space="preserve">p4_op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</si>
  <si>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季營業利益</t>
    </r>
  </si>
  <si>
    <t xml:space="preserve">p4_ni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</si>
  <si>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季淨利</t>
    </r>
  </si>
  <si>
    <t xml:space="preserve">p1_ss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</si>
  <si>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</si>
  <si>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blocksandfiles 2025-08-11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第一季決算；分部 </t>
    </r>
    <r>
      <rPr>
        <sz val="11"/>
        <color theme="1"/>
        <rFont val="Calibri"/>
        <family val="2"/>
        <charset val="1"/>
      </rPr>
      <t xml:space="preserve">46.3 </t>
    </r>
    <r>
      <rPr>
        <sz val="11"/>
        <color theme="1"/>
        <rFont val="Noto Sans CJK SC"/>
        <family val="2"/>
      </rPr>
      <t xml:space="preserve">為其他）</t>
    </r>
  </si>
  <si>
    <r>
      <rPr>
        <sz val="11"/>
        <color theme="1"/>
        <rFont val="Noto Sans CJK SC"/>
        <family val="2"/>
      </rPr>
      <t xml:space="preserve">官方分部：</t>
    </r>
    <r>
      <rPr>
        <sz val="11"/>
        <color theme="1"/>
        <rFont val="Calibri"/>
        <family val="2"/>
        <charset val="1"/>
      </rPr>
      <t xml:space="preserve">SSD &amp; Storage</t>
    </r>
    <r>
      <rPr>
        <sz val="11"/>
        <color theme="1"/>
        <rFont val="Noto Sans CJK SC"/>
        <family val="2"/>
      </rPr>
      <t xml:space="preserve">（企業級、資料中心、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）</t>
    </r>
  </si>
  <si>
    <t xml:space="preserve">p1_sd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</si>
  <si>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季營收：智慧裝置</t>
    </r>
  </si>
  <si>
    <r>
      <rPr>
        <sz val="11"/>
        <color theme="1"/>
        <rFont val="Noto Sans CJK SC"/>
        <family val="2"/>
      </rPr>
      <t xml:space="preserve">官方分部：</t>
    </r>
    <r>
      <rPr>
        <sz val="11"/>
        <color theme="1"/>
        <rFont val="Calibri"/>
        <family val="2"/>
        <charset val="1"/>
      </rPr>
      <t xml:space="preserve">Smart Devices</t>
    </r>
    <r>
      <rPr>
        <sz val="11"/>
        <color theme="1"/>
        <rFont val="Noto Sans CJK SC"/>
        <family val="2"/>
      </rPr>
      <t xml:space="preserve">（手機、車用等嵌入式）</t>
    </r>
  </si>
  <si>
    <t xml:space="preserve">p2_ss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</si>
  <si>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</si>
  <si>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</si>
  <si>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longportapp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第二季決算）：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與儲存占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、智慧裝置占 </t>
    </r>
    <r>
      <rPr>
        <sz val="11"/>
        <color theme="1"/>
        <rFont val="Calibri"/>
        <family val="2"/>
        <charset val="1"/>
      </rPr>
      <t xml:space="preserve">35% 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448.3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</si>
  <si>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p2_sd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</si>
  <si>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季營收：智慧裝置</t>
    </r>
  </si>
  <si>
    <t xml:space="preserve">p3_ss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</si>
  <si>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</si>
  <si>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blocksandfiles 2026-02-13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第三季決算；其他 </t>
    </r>
    <r>
      <rPr>
        <sz val="11"/>
        <color theme="1"/>
        <rFont val="Calibri"/>
        <family val="2"/>
        <charset val="1"/>
      </rPr>
      <t xml:space="preserve">57.0</t>
    </r>
    <r>
      <rPr>
        <sz val="11"/>
        <color theme="1"/>
        <rFont val="Noto Sans CJK SC"/>
        <family val="2"/>
      </rPr>
      <t xml:space="preserve">）</t>
    </r>
  </si>
  <si>
    <t xml:space="preserve">p3_sd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</si>
  <si>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季營收：智慧裝置</t>
    </r>
  </si>
  <si>
    <t xml:space="preserve">p4_ss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</si>
  <si>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</si>
  <si>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blocksandfiles 2026-05-21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第四季決算；其他 </t>
    </r>
    <r>
      <rPr>
        <sz val="11"/>
        <color theme="1"/>
        <rFont val="Calibri"/>
        <family val="2"/>
        <charset val="1"/>
      </rPr>
      <t xml:space="preserve">65.2</t>
    </r>
    <r>
      <rPr>
        <sz val="11"/>
        <color theme="1"/>
        <rFont val="Noto Sans CJK SC"/>
        <family val="2"/>
      </rPr>
      <t xml:space="preserve">）</t>
    </r>
  </si>
  <si>
    <t xml:space="preserve">p4_sd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</si>
  <si>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季營收：智慧裝置</t>
    </r>
  </si>
  <si>
    <t xml:space="preserve">q1_ss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</si>
  <si>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</si>
  <si>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</si>
  <si>
    <t xml:space="preserve">q1_sd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</si>
  <si>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第一季營收：智慧裝置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</si>
  <si>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66.7</t>
    </r>
    <r>
      <rPr>
        <sz val="11"/>
        <color theme="1"/>
        <rFont val="Noto Sans CJK SC"/>
        <family val="2"/>
      </rPr>
      <t xml:space="preserve">（零售、對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銷售）＝營收 − 兩主分部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</si>
  <si>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</si>
  <si>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</si>
  <si>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</t>
    </r>
    <r>
      <rPr>
        <sz val="11"/>
        <color theme="1"/>
        <rFont val="Calibri"/>
        <family val="2"/>
        <charset val="1"/>
      </rPr>
      <t xml:space="preserve">1,174.7</t>
    </r>
    <r>
      <rPr>
        <sz val="11"/>
        <color theme="1"/>
        <rFont val="Noto Sans CJK SC"/>
        <family val="2"/>
      </rPr>
      <t xml:space="preserve">、智慧裝置 </t>
    </r>
    <r>
      <rPr>
        <sz val="11"/>
        <color theme="1"/>
        <rFont val="Calibri"/>
        <family val="2"/>
        <charset val="1"/>
      </rPr>
      <t xml:space="preserve">525.7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66.7</t>
    </r>
    <r>
      <rPr>
        <sz val="11"/>
        <color theme="1"/>
        <rFont val="Noto Sans CJK SC"/>
        <family val="2"/>
      </rPr>
      <t xml:space="preserve">；平均匯率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日圓</t>
    </r>
  </si>
  <si>
    <t xml:space="preserve">q1_gp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</si>
  <si>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第一季毛利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</si>
  <si>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1,380,066 </t>
    </r>
    <r>
      <rPr>
        <sz val="11"/>
        <color theme="1"/>
        <rFont val="Noto Sans CJK SC"/>
        <family val="2"/>
      </rPr>
      <t xml:space="preserve">百萬日圓</t>
    </r>
  </si>
  <si>
    <t xml:space="preserve">財報摘要未列毛利</t>
  </si>
  <si>
    <t xml:space="preserve">q1_op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</si>
  <si>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</si>
  <si>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含訴訟損失準備 </t>
    </r>
    <r>
      <rPr>
        <sz val="11"/>
        <color theme="1"/>
        <rFont val="Calibri"/>
        <family val="2"/>
        <charset val="1"/>
      </rPr>
      <t xml:space="preserve">36.6</t>
    </r>
    <r>
      <rPr>
        <sz val="11"/>
        <color theme="1"/>
        <rFont val="Noto Sans CJK SC"/>
        <family val="2"/>
      </rPr>
      <t xml:space="preserve">、股份報酬 </t>
    </r>
    <r>
      <rPr>
        <sz val="11"/>
        <color theme="1"/>
        <rFont val="Calibri"/>
        <family val="2"/>
        <charset val="1"/>
      </rPr>
      <t xml:space="preserve">19.4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加回）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</si>
  <si>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</si>
  <si>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第一季淨利（歸屬母公司）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</si>
  <si>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</si>
  <si>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（分割後）</t>
    </r>
  </si>
  <si>
    <t xml:space="preserve">JPY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</si>
  <si>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：基本 </t>
    </r>
    <r>
      <rPr>
        <sz val="11"/>
        <color theme="1"/>
        <rFont val="Calibri"/>
        <family val="2"/>
        <charset val="1"/>
      </rPr>
      <t xml:space="preserve">EPS ¥1,539.91</t>
    </r>
    <r>
      <rPr>
        <sz val="11"/>
        <color theme="1"/>
        <rFont val="Noto Sans CJK SC"/>
        <family val="2"/>
      </rPr>
      <t xml:space="preserve">（分割前）</t>
    </r>
    <r>
      <rPr>
        <sz val="11"/>
        <color theme="1"/>
        <rFont val="Calibri"/>
        <family val="2"/>
        <charset val="1"/>
      </rPr>
      <t xml:space="preserve">÷ 3</t>
    </r>
  </si>
  <si>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一股分三股（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董事會）</t>
    </r>
  </si>
  <si>
    <t xml:space="preserve">g2_rev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</si>
  <si>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）營收實績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</si>
  <si>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404K Research </t>
    </r>
    <r>
      <rPr>
        <sz val="11"/>
        <color theme="1"/>
        <rFont val="Noto Sans CJK SC"/>
        <family val="2"/>
      </rPr>
      <t xml:space="preserve">法說整理、</t>
    </r>
    <r>
      <rPr>
        <sz val="11"/>
        <color theme="1"/>
        <rFont val="Calibri"/>
        <family val="2"/>
        <charset val="1"/>
      </rPr>
      <t xml:space="preserve">PANews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TechFlow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¥2,480.0B</t>
    </r>
    <r>
      <rPr>
        <sz val="11"/>
        <color theme="1"/>
        <rFont val="Noto Sans CJK SC"/>
        <family val="2"/>
      </rPr>
      <t xml:space="preserve">（指引 </t>
    </r>
    <r>
      <rPr>
        <sz val="11"/>
        <color theme="1"/>
        <rFont val="Calibri"/>
        <family val="2"/>
        <charset val="1"/>
      </rPr>
      <t xml:space="preserve">2,390.0</t>
    </r>
    <r>
      <rPr>
        <sz val="11"/>
        <color theme="1"/>
        <rFont val="Noto Sans CJK SC"/>
        <family val="2"/>
      </rPr>
      <t xml:space="preserve">；平均匯率 </t>
    </r>
    <r>
      <rPr>
        <sz val="11"/>
        <color theme="1"/>
        <rFont val="Calibri"/>
        <family val="2"/>
        <charset val="1"/>
      </rPr>
      <t xml:space="preserve">161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</si>
  <si>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前為公司指引</t>
    </r>
  </si>
  <si>
    <t xml:space="preserve">g2_op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</si>
  <si>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第二季營業利益實績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</si>
  <si>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404K Research </t>
    </r>
    <r>
      <rPr>
        <sz val="11"/>
        <color theme="1"/>
        <rFont val="Noto Sans CJK SC"/>
        <family val="2"/>
      </rPr>
      <t xml:space="preserve">法說整理、</t>
    </r>
    <r>
      <rPr>
        <sz val="11"/>
        <color theme="1"/>
        <rFont val="Calibri"/>
        <family val="2"/>
        <charset val="1"/>
      </rPr>
      <t xml:space="preserve">PANews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TechFlow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¥1,994.7B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1,988.3</t>
    </r>
    <r>
      <rPr>
        <sz val="11"/>
        <color theme="1"/>
        <rFont val="Noto Sans CJK SC"/>
        <family val="2"/>
      </rPr>
      <t xml:space="preserve">；指引 </t>
    </r>
    <r>
      <rPr>
        <sz val="11"/>
        <color theme="1"/>
        <rFont val="Calibri"/>
        <family val="2"/>
        <charset val="1"/>
      </rPr>
      <t xml:space="preserve">1,890.0</t>
    </r>
    <r>
      <rPr>
        <sz val="11"/>
        <color theme="1"/>
        <rFont val="Noto Sans CJK SC"/>
        <family val="2"/>
      </rPr>
      <t xml:space="preserve">）</t>
    </r>
  </si>
  <si>
    <t xml:space="preserve">g2_ni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</si>
  <si>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第二季淨利實績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</si>
  <si>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404K Research </t>
    </r>
    <r>
      <rPr>
        <sz val="11"/>
        <color theme="1"/>
        <rFont val="Noto Sans CJK SC"/>
        <family val="2"/>
      </rPr>
      <t xml:space="preserve">法說整理、</t>
    </r>
    <r>
      <rPr>
        <sz val="11"/>
        <color theme="1"/>
        <rFont val="Calibri"/>
        <family val="2"/>
        <charset val="1"/>
      </rPr>
      <t xml:space="preserve">PANews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TechFlow </t>
    </r>
    <r>
      <rPr>
        <sz val="11"/>
        <color theme="1"/>
        <rFont val="Noto Sans CJK SC"/>
        <family val="2"/>
      </rPr>
      <t xml:space="preserve">轉載）：約 </t>
    </r>
    <r>
      <rPr>
        <sz val="11"/>
        <color theme="1"/>
        <rFont val="Calibri"/>
        <family val="2"/>
        <charset val="1"/>
      </rPr>
      <t xml:space="preserve">¥1.36T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1,348.6</t>
    </r>
    <r>
      <rPr>
        <sz val="11"/>
        <color theme="1"/>
        <rFont val="Noto Sans CJK SC"/>
        <family val="2"/>
      </rPr>
      <t xml:space="preserve">；指引 </t>
    </r>
    <r>
      <rPr>
        <sz val="11"/>
        <color theme="1"/>
        <rFont val="Calibri"/>
        <family val="2"/>
        <charset val="1"/>
      </rPr>
      <t xml:space="preserve">1,270.0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</si>
  <si>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TechFlow 2026-10-30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兆）</t>
    </r>
  </si>
  <si>
    <t xml:space="preserve">g2_ox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</si>
  <si>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第二季營業費用（推估；校準用）</t>
    </r>
  </si>
  <si>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82.8%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404K Research </t>
    </r>
    <r>
      <rPr>
        <sz val="11"/>
        <color theme="1"/>
        <rFont val="Noto Sans CJK SC"/>
        <family val="2"/>
      </rPr>
      <t xml:space="preserve">依損益表推算）</t>
    </r>
    <r>
      <rPr>
        <sz val="11"/>
        <color theme="1"/>
        <rFont val="Calibri"/>
        <family val="2"/>
        <charset val="1"/>
      </rPr>
      <t xml:space="preserve">× 2,480.0 −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1,994.7 ≈ 59</t>
    </r>
  </si>
  <si>
    <t xml:space="preserve">第二季營業成本＝營收 − 營業利益 − 本值；公司損益表原文未取得</t>
  </si>
  <si>
    <t xml:space="preserve">a25_rev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</si>
  <si>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</si>
  <si>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四季合計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</si>
  <si>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決算，</t>
    </r>
    <r>
      <rPr>
        <sz val="11"/>
        <color theme="1"/>
        <rFont val="Calibri"/>
        <family val="2"/>
        <charset val="1"/>
      </rPr>
      <t xml:space="preserve">+37%</t>
    </r>
    <r>
      <rPr>
        <sz val="11"/>
        <color theme="1"/>
        <rFont val="Noto Sans CJK SC"/>
        <family val="2"/>
      </rPr>
      <t xml:space="preserve">）</t>
    </r>
  </si>
  <si>
    <t xml:space="preserve">a25_ni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</si>
  <si>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</si>
  <si>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554.0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storagenewsletter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MarketScreener 554.5</t>
    </r>
  </si>
  <si>
    <t xml:space="preserve">a25_eps</t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</si>
  <si>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</si>
  <si>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百萬股）：</t>
    </r>
    <r>
      <rPr>
        <sz val="11"/>
        <color theme="1"/>
        <rFont val="Calibri"/>
        <family val="2"/>
        <charset val="1"/>
      </rPr>
      <t xml:space="preserve">341.4</t>
    </r>
  </si>
  <si>
    <r>
      <rPr>
        <sz val="11"/>
        <color theme="1"/>
        <rFont val="Calibri"/>
        <family val="2"/>
        <charset val="1"/>
      </rPr>
      <t xml:space="preserve">≈ 554.5 ÷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1,624 </t>
    </r>
    <r>
      <rPr>
        <sz val="11"/>
        <color theme="1"/>
        <rFont val="Noto Sans CJK SC"/>
        <family val="2"/>
      </rPr>
      <t xml:space="preserve">百萬股（分割後，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</si>
  <si>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kx_k</t>
  </si>
  <si>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匯率）</t>
    </r>
  </si>
  <si>
    <t xml:space="preserve">x</t>
  </si>
  <si>
    <r>
      <rPr>
        <sz val="11"/>
        <color theme="1"/>
        <rFont val="Noto Sans CJK SC"/>
        <family val="2"/>
      </rPr>
      <t xml:space="preserve">第一季營收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平均匯率 </t>
    </r>
    <r>
      <rPr>
        <sz val="11"/>
        <color theme="1"/>
        <rFont val="Calibri"/>
        <family val="2"/>
        <charset val="1"/>
      </rPr>
      <t xml:space="preserve">160 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2026Q2 Kioxia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</si>
  <si>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公司營收含其他（</t>
    </r>
    <r>
      <rPr>
        <sz val="11"/>
        <color theme="1"/>
        <rFont val="Calibri"/>
        <family val="2"/>
        <charset val="1"/>
      </rPr>
      <t xml:space="preserve">¥66.7B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</si>
  <si>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成本、費用、稅、匯率（公司特有；隨情境者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</si>
  <si>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cd_A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</si>
  <si>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：每位元成本年降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</si>
  <si>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</si>
  <si>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</si>
  <si>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量產、密度約 </t>
    </r>
    <r>
      <rPr>
        <sz val="11"/>
        <color theme="1"/>
        <rFont val="Calibri"/>
        <family val="2"/>
        <charset val="1"/>
      </rPr>
      <t xml:space="preserve">+59%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</si>
  <si>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同值（同一合資晶圓廠與 </t>
    </r>
    <r>
      <rPr>
        <sz val="11"/>
        <color theme="1"/>
        <rFont val="Calibri"/>
        <family val="2"/>
        <charset val="1"/>
      </rPr>
      <t xml:space="preserve">BiCS </t>
    </r>
    <r>
      <rPr>
        <sz val="11"/>
        <color theme="1"/>
        <rFont val="Noto Sans CJK SC"/>
        <family val="2"/>
      </rPr>
      <t xml:space="preserve">世代）；以第二季指引校準的單位成本為起點</t>
    </r>
  </si>
  <si>
    <t xml:space="preserve">cd_B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</si>
  <si>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</si>
  <si>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：轉換略延後</t>
    </r>
  </si>
  <si>
    <t xml:space="preserve">同上</t>
  </si>
  <si>
    <t xml:space="preserve">cd_C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</si>
  <si>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</si>
  <si>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：需求轉弱、稼動率下降</t>
    </r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</si>
  <si>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</si>
  <si>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第三季起）</t>
    </r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</si>
  <si>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</t>
    </r>
  </si>
  <si>
    <r>
      <rPr>
        <sz val="11"/>
        <color theme="1"/>
        <rFont val="Noto Sans CJK SC"/>
        <family val="2"/>
      </rPr>
      <t xml:space="preserve">第一季平均 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、第二季指引假設 </t>
    </r>
    <r>
      <rPr>
        <sz val="11"/>
        <color theme="1"/>
        <rFont val="Calibri"/>
        <family val="2"/>
        <charset val="1"/>
      </rPr>
      <t xml:space="preserve">162</t>
    </r>
  </si>
  <si>
    <r>
      <rPr>
        <sz val="11"/>
        <color theme="1"/>
        <rFont val="Noto Sans CJK SC"/>
        <family val="2"/>
      </rPr>
      <t xml:space="preserve">營收以美元計價（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匯率）；成本以日圓計，不隨匯率</t>
    </r>
  </si>
  <si>
    <t xml:space="preserve">ox_var</t>
  </si>
  <si>
    <r>
      <rPr>
        <sz val="11"/>
        <color theme="1"/>
        <rFont val="Noto Sans CJK SC"/>
        <family val="2"/>
      </rPr>
      <t xml:space="preserve">營業費用變動率（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</si>
  <si>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營業費用（毛利 − 營業利益）</t>
    </r>
    <r>
      <rPr>
        <sz val="11"/>
        <color theme="1"/>
        <rFont val="Calibri"/>
        <family val="2"/>
        <charset val="1"/>
      </rPr>
      <t xml:space="preserve">143.8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2,337.6 ≈ 6%</t>
    </r>
    <r>
      <rPr>
        <sz val="11"/>
        <color theme="1"/>
        <rFont val="Noto Sans CJK SC"/>
        <family val="2"/>
      </rPr>
      <t xml:space="preserve">，多為固定</t>
    </r>
  </si>
  <si>
    <r>
      <rPr>
        <sz val="11"/>
        <color theme="1"/>
        <rFont val="Noto Sans CJK SC"/>
        <family val="2"/>
      </rPr>
      <t xml:space="preserve">固定部分＝第二季營業費用 − 變動率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第二季營收（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</si>
  <si>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ox_g</t>
  </si>
  <si>
    <t xml:space="preserve">營業費用固定部分年增</t>
  </si>
  <si>
    <r>
      <rPr>
        <sz val="11"/>
        <color theme="1"/>
        <rFont val="Noto Sans CJK SC"/>
        <family val="2"/>
      </rPr>
      <t xml:space="preserve">研發（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CBA</t>
    </r>
    <r>
      <rPr>
        <sz val="11"/>
        <color theme="1"/>
        <rFont val="Noto Sans CJK SC"/>
        <family val="2"/>
      </rPr>
      <t xml:space="preserve">）與人事</t>
    </r>
  </si>
  <si>
    <t xml:space="preserve">nonop_q</t>
  </si>
  <si>
    <r>
      <rPr>
        <sz val="11"/>
        <color theme="1"/>
        <rFont val="Noto Sans CJK SC"/>
        <family val="2"/>
      </rPr>
      <t xml:space="preserve">每季業外淨額（利息、匯兌等；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第三季起）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</si>
  <si>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：第一季稅前 − 營業利益＝−</t>
    </r>
    <r>
      <rPr>
        <sz val="11"/>
        <color theme="1"/>
        <rFont val="Calibri"/>
        <family val="2"/>
        <charset val="1"/>
      </rPr>
      <t xml:space="preserve">35.3</t>
    </r>
    <r>
      <rPr>
        <sz val="11"/>
        <color theme="1"/>
        <rFont val="Noto Sans CJK SC"/>
        <family val="2"/>
      </rPr>
      <t xml:space="preserve">；第二季指引 −</t>
    </r>
    <r>
      <rPr>
        <sz val="11"/>
        <color theme="1"/>
        <rFont val="Calibri"/>
        <family val="2"/>
        <charset val="1"/>
      </rPr>
      <t xml:space="preserve">20.0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</si>
  <si>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年第一季已提前償還長期借款 </t>
    </r>
    <r>
      <rPr>
        <sz val="11"/>
        <color theme="1"/>
        <rFont val="Calibri"/>
        <family val="2"/>
        <charset val="1"/>
      </rPr>
      <t xml:space="preserve">¥433.2B</t>
    </r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</si>
  <si>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</si>
  <si>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</si>
  <si>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：第一季淨利 </t>
    </r>
    <r>
      <rPr>
        <sz val="11"/>
        <color theme="1"/>
        <rFont val="Calibri"/>
        <family val="2"/>
        <charset val="1"/>
      </rPr>
      <t xml:space="preserve">842.2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1,234.7 →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31.8%</t>
    </r>
    <r>
      <rPr>
        <sz val="11"/>
        <color theme="1"/>
        <rFont val="Noto Sans CJK SC"/>
        <family val="2"/>
      </rPr>
      <t xml:space="preserve">；第二季指引 </t>
    </r>
    <r>
      <rPr>
        <sz val="11"/>
        <color theme="1"/>
        <rFont val="Calibri"/>
        <family val="2"/>
        <charset val="1"/>
      </rPr>
      <t xml:space="preserve">1,270 ÷ 1,870 → 32.1%</t>
    </r>
  </si>
  <si>
    <t xml:space="preserve">sssh_26</t>
  </si>
  <si>
    <r>
      <rPr>
        <sz val="11"/>
        <color theme="1"/>
        <rFont val="Calibri"/>
        <family val="2"/>
        <charset val="1"/>
      </rPr>
      <t xml:space="preserve">FY2026 SSD </t>
    </r>
    <r>
      <rPr>
        <sz val="11"/>
        <color theme="1"/>
        <rFont val="Noto Sans CJK SC"/>
        <family val="2"/>
      </rPr>
      <t xml:space="preserve">與儲存占營收（第二至四季）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</si>
  <si>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第一至四季依序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</si>
  <si>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低＝回到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水準；分部拆分不影響合併營收與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</si>
  <si>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otsh_26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</si>
  <si>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其他占營收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</si>
  <si>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（含對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銷售）</t>
    </r>
  </si>
  <si>
    <r>
      <rPr>
        <sz val="11"/>
        <color theme="1"/>
        <rFont val="Noto Sans CJK SC"/>
        <family val="2"/>
      </rPr>
      <t xml:space="preserve">智慧裝置＝</t>
    </r>
    <r>
      <rPr>
        <sz val="11"/>
        <color theme="1"/>
        <rFont val="Calibri"/>
        <family val="2"/>
        <charset val="1"/>
      </rPr>
      <t xml:space="preserve">1 − SSD </t>
    </r>
    <r>
      <rPr>
        <sz val="11"/>
        <color theme="1"/>
        <rFont val="Noto Sans CJK SC"/>
        <family val="2"/>
      </rPr>
      <t xml:space="preserve">與儲存 − 其他（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</si>
  <si>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sssh_27</t>
  </si>
  <si>
    <r>
      <rPr>
        <sz val="11"/>
        <color theme="1"/>
        <rFont val="Calibri"/>
        <family val="2"/>
        <charset val="1"/>
      </rPr>
      <t xml:space="preserve">FY2027 SSD </t>
    </r>
    <r>
      <rPr>
        <sz val="11"/>
        <color theme="1"/>
        <rFont val="Noto Sans CJK SC"/>
        <family val="2"/>
      </rPr>
      <t xml:space="preserve">與儲存占營收</t>
    </r>
  </si>
  <si>
    <t xml:space="preserve">otsh_27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</si>
  <si>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其他占營收</t>
    </r>
  </si>
  <si>
    <t xml:space="preserve">sssh_28</t>
  </si>
  <si>
    <r>
      <rPr>
        <sz val="11"/>
        <color theme="1"/>
        <rFont val="Calibri"/>
        <family val="2"/>
        <charset val="1"/>
      </rPr>
      <t xml:space="preserve">FY2028 SSD </t>
    </r>
    <r>
      <rPr>
        <sz val="11"/>
        <color theme="1"/>
        <rFont val="Noto Sans CJK SC"/>
        <family val="2"/>
      </rPr>
      <t xml:space="preserve">與儲存占營收</t>
    </r>
  </si>
  <si>
    <t xml:space="preserve">otsh_28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</si>
  <si>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其他占營收</t>
    </r>
  </si>
  <si>
    <t xml:space="preserve">sssh_29</t>
  </si>
  <si>
    <r>
      <rPr>
        <sz val="11"/>
        <color theme="1"/>
        <rFont val="Calibri"/>
        <family val="2"/>
        <charset val="1"/>
      </rPr>
      <t xml:space="preserve">FY2029 SSD </t>
    </r>
    <r>
      <rPr>
        <sz val="11"/>
        <color theme="1"/>
        <rFont val="Noto Sans CJK SC"/>
        <family val="2"/>
      </rPr>
      <t xml:space="preserve">與儲存占營收</t>
    </r>
  </si>
  <si>
    <t xml:space="preserve">otsh_29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</si>
  <si>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其他占營收</t>
    </r>
  </si>
  <si>
    <t xml:space="preserve">rf</t>
  </si>
  <si>
    <t xml:space="preserve">淨現金收益率</t>
  </si>
  <si>
    <t xml:space="preserve">日圓利率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</si>
  <si>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資本、股東回饋（</t>
    </r>
    <r>
      <rPr>
        <b val="true"/>
        <sz val="11"/>
        <rFont val="Cambria"/>
        <family val="0"/>
        <charset val="1"/>
      </rPr>
      <t xml:space="preserve">2026-06-30 </t>
    </r>
    <r>
      <rPr>
        <b val="true"/>
        <sz val="11"/>
        <rFont val="Noto Sans CJK SC"/>
        <family val="2"/>
      </rPr>
      <t xml:space="preserve">資產負債表；股數為分割後）</t>
    </r>
  </si>
  <si>
    <t xml:space="preserve">eq_j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</si>
  <si>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股東權益（歸屬母公司）</t>
    </r>
  </si>
  <si>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1,399.1</t>
    </r>
  </si>
  <si>
    <t xml:space="preserve">nc_j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</si>
  <si>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淨現金（現金 − 公司債與借款；不含租賃負債）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</si>
  <si>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：現金 </t>
    </r>
    <r>
      <rPr>
        <sz val="11"/>
        <color theme="1"/>
        <rFont val="Calibri"/>
        <family val="2"/>
        <charset val="1"/>
      </rPr>
      <t xml:space="preserve">791.0</t>
    </r>
    <r>
      <rPr>
        <sz val="11"/>
        <color theme="1"/>
        <rFont val="Noto Sans CJK SC"/>
        <family val="2"/>
      </rPr>
      <t xml:space="preserve">、公司債與借款 </t>
    </r>
    <r>
      <rPr>
        <sz val="11"/>
        <color theme="1"/>
        <rFont val="Calibri"/>
        <family val="2"/>
        <charset val="1"/>
      </rPr>
      <t xml:space="preserve">634.6</t>
    </r>
    <r>
      <rPr>
        <sz val="11"/>
        <color theme="1"/>
        <rFont val="Noto Sans CJK SC"/>
        <family val="2"/>
      </rPr>
      <t xml:space="preserve">（另有租賃負債 </t>
    </r>
    <r>
      <rPr>
        <sz val="11"/>
        <color theme="1"/>
        <rFont val="Calibri"/>
        <family val="2"/>
        <charset val="1"/>
      </rPr>
      <t xml:space="preserve">203.3</t>
    </r>
    <r>
      <rPr>
        <sz val="11"/>
        <color theme="1"/>
        <rFont val="Noto Sans CJK SC"/>
        <family val="2"/>
      </rPr>
      <t xml:space="preserve">）</t>
    </r>
  </si>
  <si>
    <t xml:space="preserve">eq25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</si>
  <si>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2026-03-31</t>
    </r>
    <r>
      <rPr>
        <sz val="11"/>
        <color theme="1"/>
        <rFont val="Noto Sans CJK SC"/>
        <family val="2"/>
      </rPr>
      <t xml:space="preserve">）股東權益</t>
    </r>
  </si>
  <si>
    <t xml:space="preserve">sh0</t>
  </si>
  <si>
    <t xml:space="preserve">流通股數（分割後）</t>
  </si>
  <si>
    <t xml:space="preserve">百萬股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</si>
  <si>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548,015,088 </t>
    </r>
    <r>
      <rPr>
        <sz val="11"/>
        <color theme="1"/>
        <rFont val="Noto Sans CJK SC"/>
        <family val="2"/>
      </rPr>
      <t xml:space="preserve">股、庫藏 </t>
    </r>
    <r>
      <rPr>
        <sz val="11"/>
        <color theme="1"/>
        <rFont val="Calibri"/>
        <family val="2"/>
        <charset val="1"/>
      </rPr>
      <t xml:space="preserve">450 </t>
    </r>
    <r>
      <rPr>
        <sz val="11"/>
        <color theme="1"/>
        <rFont val="Noto Sans CJK SC"/>
        <family val="2"/>
      </rPr>
      <t xml:space="preserve">股；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分割）</t>
    </r>
  </si>
  <si>
    <r>
      <rPr>
        <sz val="11"/>
        <color theme="1"/>
        <rFont val="Calibri"/>
        <family val="2"/>
        <charset val="1"/>
      </rPr>
      <t xml:space="preserve">MarketScreener 1,644.0 </t>
    </r>
    <r>
      <rPr>
        <sz val="11"/>
        <color theme="1"/>
        <rFont val="Noto Sans CJK SC"/>
        <family val="2"/>
      </rPr>
      <t xml:space="preserve">百萬股</t>
    </r>
  </si>
  <si>
    <t xml:space="preserve">dil</t>
  </si>
  <si>
    <t xml:space="preserve">稀釋股數 − 流通股數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</si>
  <si>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：基本 </t>
    </r>
    <r>
      <rPr>
        <sz val="11"/>
        <color theme="1"/>
        <rFont val="Calibri"/>
        <family val="2"/>
        <charset val="1"/>
      </rPr>
      <t xml:space="preserve">EPS 1,539.91 ÷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1,525.09</t>
    </r>
  </si>
  <si>
    <t xml:space="preserve">各年固定</t>
  </si>
  <si>
    <t xml:space="preserve">da_y</t>
  </si>
  <si>
    <t xml:space="preserve">折舊攤銷（年）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</si>
  <si>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 </t>
    </r>
    <r>
      <rPr>
        <sz val="11"/>
        <color theme="1"/>
        <rFont val="Calibri"/>
        <family val="2"/>
        <charset val="1"/>
      </rPr>
      <t xml:space="preserve">76.1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4 ≈ 304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</si>
  <si>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新廠（北上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）投產後增加</t>
    </r>
  </si>
  <si>
    <t xml:space="preserve">cap_2026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</si>
  <si>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</si>
  <si>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FY2025 ¥283.7B +66%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</si>
  <si>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含合資廠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分攤；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分攤另計於 </t>
    </r>
    <r>
      <rPr>
        <sz val="11"/>
        <color theme="1"/>
        <rFont val="Calibri"/>
        <family val="2"/>
        <charset val="1"/>
      </rPr>
      <t xml:space="preserve">sndk/</t>
    </r>
  </si>
  <si>
    <t xml:space="preserve">cap_2027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</si>
  <si>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</si>
  <si>
    <t xml:space="preserve">cap_2028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</si>
  <si>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</si>
  <si>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cap_2029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</si>
  <si>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</si>
  <si>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：延續 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年均</t>
    </r>
  </si>
  <si>
    <t xml:space="preserve">payout</t>
  </si>
  <si>
    <r>
      <rPr>
        <sz val="11"/>
        <color theme="1"/>
        <rFont val="Noto Sans CJK SC"/>
        <family val="2"/>
      </rPr>
      <t xml:space="preserve">股東回饋（股利＋買回）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</si>
  <si>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無股利；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¥266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</si>
  <si>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以買回計（股數減少）</t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</si>
  <si>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</si>
  <si>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</si>
  <si>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¥12,755</t>
    </r>
    <r>
      <rPr>
        <sz val="11"/>
        <color theme="1"/>
        <rFont val="Noto Sans CJK SC"/>
        <family val="2"/>
      </rPr>
      <t xml:space="preserve">；分割後）</t>
    </r>
  </si>
  <si>
    <r>
      <rPr>
        <sz val="11"/>
        <color theme="1"/>
        <rFont val="Calibri"/>
        <family val="2"/>
        <charset val="1"/>
      </rPr>
      <t xml:space="preserve">MarketScreener 2026-10-16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¥13,375</t>
    </r>
    <r>
      <rPr>
        <sz val="11"/>
        <color theme="1"/>
        <rFont val="Noto Sans CJK SC"/>
        <family val="2"/>
      </rPr>
      <t xml:space="preserve">（同一序列）；</t>
    </r>
    <r>
      <rPr>
        <sz val="11"/>
        <color theme="1"/>
        <rFont val="Calibri"/>
        <family val="2"/>
        <charset val="1"/>
      </rPr>
      <t xml:space="preserve">10-01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¥19,100</t>
    </r>
  </si>
  <si>
    <t xml:space="preserve">bb_px</t>
  </si>
  <si>
    <t xml:space="preserve">未來買回均價</t>
  </si>
  <si>
    <t xml:space="preserve">＝現價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</si>
  <si>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共識與對帳參考（只放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</si>
  <si>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</si>
  <si>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</si>
  <si>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百萬股）：</t>
    </r>
    <r>
      <rPr>
        <sz val="11"/>
        <color theme="1"/>
        <rFont val="Calibri"/>
        <family val="2"/>
        <charset val="1"/>
      </rPr>
      <t xml:space="preserve">10,071,396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</si>
  <si>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10.1 </t>
    </r>
    <r>
      <rPr>
        <sz val="11"/>
        <color theme="1"/>
        <rFont val="Noto Sans CJK SC"/>
        <family val="2"/>
      </rPr>
      <t xml:space="preserve">兆、區間 </t>
    </r>
    <r>
      <rPr>
        <sz val="11"/>
        <color theme="1"/>
        <rFont val="Calibri"/>
        <family val="2"/>
        <charset val="1"/>
      </rPr>
      <t xml:space="preserve">9.1–11.4 </t>
    </r>
    <r>
      <rPr>
        <sz val="11"/>
        <color theme="1"/>
        <rFont val="Noto Sans CJK SC"/>
        <family val="2"/>
      </rPr>
      <t xml:space="preserve">兆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</si>
  <si>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</si>
  <si>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</si>
  <si>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</si>
  <si>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</si>
  <si>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</si>
  <si>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t xml:space="preserve">cons_ni27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</si>
  <si>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FY2027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</si>
  <si>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</si>
  <si>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</si>
  <si>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</si>
  <si>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</si>
  <si>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</si>
  <si>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</si>
  <si>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cons_bv26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</si>
  <si>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</si>
  <si>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cons_bv27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</si>
  <si>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</t>
    </r>
  </si>
  <si>
    <t xml:space="preserve">cons_bv28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</si>
  <si>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</si>
  <si>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</si>
  <si>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</si>
  <si>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</si>
  <si>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</si>
  <si>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</si>
  <si>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</si>
  <si>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</si>
  <si>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</si>
  <si>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</si>
  <si>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</si>
  <si>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</si>
  <si>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</si>
  <si>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日本利率較低，但依工作單不改值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</si>
  <si>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</si>
  <si>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長期成長率（永續；收斂法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</si>
  <si>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</si>
  <si>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</si>
  <si>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（近年平均；</t>
    </r>
    <r>
      <rPr>
        <sz val="11"/>
        <color theme="1"/>
        <rFont val="Calibri"/>
        <family val="2"/>
        <charset val="1"/>
      </rPr>
      <t xml:space="preserve">FY2024–FY2025</t>
    </r>
    <r>
      <rPr>
        <sz val="11"/>
        <color theme="1"/>
        <rFont val="Noto Sans CJK SC"/>
        <family val="2"/>
      </rPr>
      <t xml:space="preserve">，上市不足三年）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</si>
  <si>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272.3 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737.1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455.8 × 1,617.2 </t>
    </r>
    <r>
      <rPr>
        <sz val="11"/>
        <color theme="1"/>
        <rFont val="Noto Sans CJK SC"/>
        <family val="2"/>
      </rPr>
      <t xml:space="preserve">百萬股，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554.5 ÷ 1,399.1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</si>
  <si>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2024-12 </t>
    </r>
    <r>
      <rPr>
        <sz val="11"/>
        <color theme="1"/>
        <rFont val="Noto Sans CJK SC"/>
        <family val="2"/>
      </rPr>
      <t xml:space="preserve">上市；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權益未找到，只用兩年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</si>
  <si>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</si>
  <si>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</si>
  <si>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</si>
  <si>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</si>
  <si>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：美光 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</si>
  <si>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</si>
  <si>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In!E244</t>
    </r>
  </si>
  <si>
    <r>
      <rPr>
        <sz val="11"/>
        <color theme="1"/>
        <rFont val="Calibri"/>
        <family val="2"/>
        <charset val="1"/>
      </rPr>
      <t xml:space="preserve">Kioxia 2024-12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年以前為東芝記憶體事業，十年連續的獨立財報未找到；以同為記憶體循環股的美光十年平均代替（與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同值）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</si>
  <si>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</si>
  <si>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</si>
  <si>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</si>
  <si>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</si>
  <si>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</si>
  <si>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</si>
  <si>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0.8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</si>
  <si>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</si>
  <si>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</si>
  <si>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主串指示：循環產業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後收斂用十年平均（記憶體樣板的循環中段）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</si>
  <si>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</si>
  <si>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</si>
  <si>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</si>
  <si>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</si>
  <si>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</si>
  <si>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</si>
  <si>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</si>
  <si>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</si>
  <si>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</si>
  <si>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</si>
  <si>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</si>
  <si>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</si>
  <si>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</si>
  <si>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</si>
  <si>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</si>
  <si>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擷取，頁面收盤日 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）：平均 </t>
    </r>
    <r>
      <rPr>
        <sz val="11"/>
        <color theme="1"/>
        <rFont val="Calibri"/>
        <family val="2"/>
        <charset val="1"/>
      </rPr>
      <t xml:space="preserve">¥36,929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</si>
  <si>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）：平均 </t>
    </r>
    <r>
      <rPr>
        <sz val="11"/>
        <color theme="1"/>
        <rFont val="Calibri"/>
        <family val="2"/>
        <charset val="1"/>
      </rPr>
      <t xml:space="preserve">¥111,256</t>
    </r>
    <r>
      <rPr>
        <sz val="11"/>
        <color theme="1"/>
        <rFont val="Noto Sans CJK SC"/>
        <family val="2"/>
      </rPr>
      <t xml:space="preserve">（分割前）</t>
    </r>
    <r>
      <rPr>
        <sz val="11"/>
        <color theme="1"/>
        <rFont val="Calibri"/>
        <family val="2"/>
        <charset val="1"/>
      </rPr>
      <t xml:space="preserve">÷ 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¥37,085</t>
    </r>
  </si>
  <si>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追加：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第三季公司指引（只作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對照）</t>
    </r>
  </si>
  <si>
    <t xml:space="preserve">g3_rev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</si>
  <si>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</si>
  <si>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404K Research </t>
    </r>
    <r>
      <rPr>
        <sz val="11"/>
        <color theme="1"/>
        <rFont val="Noto Sans CJK SC"/>
        <family val="2"/>
      </rPr>
      <t xml:space="preserve">法說整理、</t>
    </r>
    <r>
      <rPr>
        <sz val="11"/>
        <color theme="1"/>
        <rFont val="Calibri"/>
        <family val="2"/>
        <charset val="1"/>
      </rPr>
      <t xml:space="preserve">PANews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TechFlow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¥2,500.0B</t>
    </r>
    <r>
      <rPr>
        <sz val="11"/>
        <color theme="1"/>
        <rFont val="Noto Sans CJK SC"/>
        <family val="2"/>
      </rPr>
      <t xml:space="preserve">、營業利益約 </t>
    </r>
    <r>
      <rPr>
        <sz val="11"/>
        <color theme="1"/>
        <rFont val="Calibri"/>
        <family val="2"/>
        <charset val="1"/>
      </rPr>
      <t xml:space="preserve">¥2,000B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美元＝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CJK SC"/>
        <family val="2"/>
      </rPr>
      <t xml:space="preserve">日圓）</t>
    </r>
  </si>
  <si>
    <t xml:space="preserve">公司：匯率不利，第三季營收與獲利與第二季大致持平</t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</si>
  <si>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</si>
  <si>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</si>
  <si>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</si>
  <si>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</si>
  <si>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</si>
  <si>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scn_cd</t>
  </si>
  <si>
    <t xml:space="preserve">每位元成本年降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</si>
  <si>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</si>
  <si>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scn_cyc_m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</si>
  <si>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cyc_mA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cyc_mC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</si>
  <si>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</si>
  <si>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</si>
  <si>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</si>
  <si>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</si>
  <si>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</si>
  <si>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</si>
  <si>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</si>
  <si>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</si>
  <si>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</si>
  <si>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）與公司指引。會計年度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月；第一季＝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</si>
  <si>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第一季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</si>
  <si>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第二季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</si>
  <si>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第三季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</si>
  <si>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第四季</t>
    </r>
  </si>
  <si>
    <t xml:space="preserve">FY2025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</si>
  <si>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第一季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</si>
  <si>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第二季</t>
    </r>
  </si>
  <si>
    <t xml:space="preserve">來源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</si>
  <si>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</si>
  <si>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</si>
  <si>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公司財報（第一季前期欄）；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季度表；第二季為公司指引</t>
    </r>
  </si>
  <si>
    <t xml:space="preserve">毛利</t>
  </si>
  <si>
    <t xml:space="preserve">營業利益</t>
  </si>
  <si>
    <t xml:space="preserve">淨利</t>
  </si>
  <si>
    <t xml:space="preserve">毛利率</t>
  </si>
  <si>
    <t xml:space="preserve">營業利益率</t>
  </si>
  <si>
    <t xml:space="preserve">季增：營收</t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</si>
  <si>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）實績已滾入（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2,480.0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1,994.7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；平均匯率 </t>
    </r>
    <r>
      <rPr>
        <sz val="11"/>
        <color theme="1"/>
        <rFont val="Calibri"/>
        <family val="2"/>
        <charset val="1"/>
      </rPr>
      <t xml:space="preserve">161</t>
    </r>
    <r>
      <rPr>
        <sz val="11"/>
        <color theme="1"/>
        <rFont val="Noto Sans CJK SC"/>
        <family val="2"/>
      </rPr>
      <t xml:space="preserve">）；第三季起＝市場層推導。第三季指引：營收 </t>
    </r>
    <r>
      <rPr>
        <sz val="11"/>
        <color theme="1"/>
        <rFont val="Calibri"/>
        <family val="2"/>
        <charset val="1"/>
      </rPr>
      <t xml:space="preserve">2,500.0</t>
    </r>
    <r>
      <rPr>
        <sz val="11"/>
        <color theme="1"/>
        <rFont val="Noto Sans CJK SC"/>
        <family val="2"/>
      </rPr>
      <t xml:space="preserve">、營業利益約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CJK SC"/>
        <family val="2"/>
      </rPr>
      <t xml:space="preserve">日圓）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</si>
  <si>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季度營收與位元（三情境；唯讀抄錄，藍字）。來源：</t>
    </r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</si>
  <si>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CY2025Q1..CY2030Q4</t>
    </r>
    <r>
      <rPr>
        <sz val="11"/>
        <color theme="1"/>
        <rFont val="Noto Sans CJK SC"/>
        <family val="2"/>
      </rPr>
      <t xml:space="preserve">；營收為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，美元），位元為季度出貨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）。合資群份額＝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模型讀同一列）</t>
    </r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</si>
  <si>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</si>
  <si>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</si>
  <si>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</si>
  <si>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</si>
  <si>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</si>
  <si>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</si>
  <si>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</si>
  <si>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</si>
  <si>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</si>
  <si>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</si>
  <si>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</si>
  <si>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</si>
  <si>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</si>
  <si>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</si>
  <si>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</si>
  <si>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</si>
  <si>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</si>
  <si>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</si>
  <si>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</si>
  <si>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</si>
  <si>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</si>
  <si>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</si>
  <si>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</si>
  <si>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</si>
  <si>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</si>
  <si>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</si>
  <si>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Mkt!C43:Z43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</si>
  <si>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</si>
  <si>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Mkt!C91:Z91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</si>
  <si>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</si>
  <si>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Mkt!C139:Z139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</si>
  <si>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</si>
  <si>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</si>
  <si>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Mkt!C47:Z47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</si>
  <si>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</si>
  <si>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Mkt!C95:Z95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</si>
  <si>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</si>
  <si>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Mkt!C143:Z143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</si>
  <si>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</si>
  <si>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Mkt!C46:Z46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</si>
  <si>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</si>
  <si>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Mkt!C94:Z94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</si>
  <si>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</si>
  <si>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Mkt!C142:Z142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</si>
  <si>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占（企業級＋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位元需求（日曆年；</t>
    </r>
    <r>
      <rPr>
        <b val="true"/>
        <sz val="11"/>
        <rFont val="Cambria"/>
        <family val="0"/>
        <charset val="1"/>
      </rPr>
      <t xml:space="preserve">markets/nand Ann </t>
    </r>
    <r>
      <rPr>
        <b val="true"/>
        <sz val="11"/>
        <rFont val="Noto Sans CJK SC"/>
        <family val="2"/>
      </rPr>
      <t xml:space="preserve">頁）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</si>
  <si>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</si>
  <si>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</si>
  <si>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</si>
  <si>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</si>
  <si>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</si>
  <si>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</si>
  <si>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</si>
  <si>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Ann!D6:I6 ÷</t>
    </r>
    <r>
      <rPr>
        <sz val="11"/>
        <color theme="1"/>
        <rFont val="Noto Sans CJK SC"/>
        <family val="2"/>
      </rPr>
      <t xml:space="preserve">（同列＋下一列＋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</si>
  <si>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</si>
  <si>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Ann!D33:I33 ÷</t>
    </r>
    <r>
      <rPr>
        <sz val="11"/>
        <color theme="1"/>
        <rFont val="Noto Sans CJK SC"/>
        <family val="2"/>
      </rPr>
      <t xml:space="preserve">（同列＋下一列＋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</si>
  <si>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</si>
  <si>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Ann!D60:I60 ÷</t>
    </r>
    <r>
      <rPr>
        <sz val="11"/>
        <color theme="1"/>
        <rFont val="Noto Sans CJK SC"/>
        <family val="2"/>
      </rPr>
      <t xml:space="preserve">（同列＋下一列＋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</si>
  <si>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PL — Kioxia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＝第一、二季實績＋第三、四季推導；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驅動；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</si>
  <si>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</si>
  <si>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</si>
  <si>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</si>
  <si>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</si>
  <si>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</si>
  <si>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</si>
  <si>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</si>
  <si>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</si>
  <si>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    SSD </t>
    </r>
    <r>
      <rPr>
        <sz val="11"/>
        <color theme="1"/>
        <rFont val="Noto Sans CJK SC"/>
        <family val="2"/>
      </rPr>
      <t xml:space="preserve">與儲存：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</si>
  <si>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  智慧裝置</t>
  </si>
  <si>
    <t xml:space="preserve">  其他</t>
  </si>
  <si>
    <t xml:space="preserve">EPS</t>
  </si>
  <si>
    <t xml:space="preserve">每股淨值</t>
  </si>
  <si>
    <t xml:space="preserve">自由現金流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</si>
  <si>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</si>
  <si>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</si>
  <si>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、第一季、第二季 − 實績與指引（應為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</si>
  <si>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</si>
  <si>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</si>
  <si>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</si>
  <si>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</si>
  <si>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</si>
  <si>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</si>
  <si>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</si>
  <si>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</si>
  <si>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</si>
  <si>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</si>
  <si>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</si>
  <si>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</si>
  <si>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</si>
  <si>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</si>
  <si>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</si>
  <si>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</si>
  <si>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</si>
  <si>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2030Q1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</si>
  <si>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口徑，美元，同字母情境）</t>
    </r>
  </si>
  <si>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可乘份額係數、價格係數（第三季起）</t>
    </r>
  </si>
  <si>
    <t xml:space="preserve">位元（市場層；同字母）</t>
  </si>
  <si>
    <r>
      <rPr>
        <sz val="11"/>
        <color theme="1"/>
        <rFont val="Noto Sans CJK SC"/>
        <family val="2"/>
      </rPr>
      <t xml:space="preserve">第一、二季實績；之後＝市場層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公司口徑係數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</si>
  <si>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</si>
  <si>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Noto Sans CJK SC"/>
        <family val="2"/>
      </rPr>
      <t xml:space="preserve">官方分部；第一季實績，之後＝營收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</si>
  <si>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</si>
  <si>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命題子列（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）：會計年度（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月起）≈ </t>
    </r>
    <r>
      <rPr>
        <sz val="11"/>
        <color theme="1"/>
        <rFont val="Calibri"/>
        <family val="2"/>
        <charset val="1"/>
      </rPr>
      <t xml:space="preserve">0.75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0.25 × </t>
    </r>
    <r>
      <rPr>
        <sz val="11"/>
        <color theme="1"/>
        <rFont val="Noto Sans CJK SC"/>
        <family val="2"/>
      </rPr>
      <t xml:space="preserve">次年；假設公司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組合與產業（企業級＋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）相同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</si>
  <si>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與儲存：非 </t>
    </r>
    <r>
      <rPr>
        <sz val="11"/>
        <color theme="1"/>
        <rFont val="Calibri"/>
        <family val="2"/>
        <charset val="1"/>
      </rPr>
      <t xml:space="preserve">AI</t>
    </r>
  </si>
  <si>
    <t xml:space="preserve">其他</t>
  </si>
  <si>
    <r>
      <rPr>
        <sz val="11"/>
        <color theme="1"/>
        <rFont val="Noto Sans CJK SC"/>
        <family val="2"/>
      </rPr>
      <t xml:space="preserve">官方分部（零售、對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銷售）；實績＝營收 − 兩主分部</t>
    </r>
  </si>
  <si>
    <t xml:space="preserve">智慧裝置</t>
  </si>
  <si>
    <r>
      <rPr>
        <sz val="11"/>
        <color theme="1"/>
        <rFont val="Noto Sans CJK SC"/>
        <family val="2"/>
      </rPr>
      <t xml:space="preserve">官方分部；預測季＝營收 −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− 其他</t>
    </r>
  </si>
  <si>
    <t xml:space="preserve">檢查：分部合計 − 營收（季）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</si>
  <si>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營業成本（第二季以實績校準，之後每年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成本年降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</si>
  <si>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¥B/EB</t>
  </si>
  <si>
    <t xml:space="preserve">營業成本</t>
  </si>
  <si>
    <t xml:space="preserve">第二季＝實績營收 − 實績營業利益 − 推估營業費用</t>
  </si>
  <si>
    <t xml:space="preserve">營業費用</t>
  </si>
  <si>
    <r>
      <rPr>
        <sz val="11"/>
        <color theme="1"/>
        <rFont val="Noto Sans CJK SC"/>
        <family val="2"/>
      </rPr>
      <t xml:space="preserve">固定部分以第二季校準（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</si>
  <si>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（營業利益＋業外＋淨現金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 </t>
    </r>
    <r>
      <rPr>
        <sz val="11"/>
        <color theme="1"/>
        <rFont val="Calibri"/>
        <family val="2"/>
        <charset val="1"/>
      </rPr>
      <t xml:space="preserve">÷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淨現金</t>
    </r>
  </si>
  <si>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（稀釋，分割後）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</si>
  <si>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年度（會計年度）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</si>
  <si>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＝第一、二季實績＋第三、四季推導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</si>
  <si>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</t>
    </r>
  </si>
  <si>
    <r>
      <rPr>
        <sz val="11"/>
        <color theme="1"/>
        <rFont val="Calibri"/>
        <family val="2"/>
        <charset val="1"/>
      </rPr>
      <t xml:space="preserve">  SSD </t>
    </r>
    <r>
      <rPr>
        <sz val="11"/>
        <color theme="1"/>
        <rFont val="Noto Sans CJK SC"/>
        <family val="2"/>
      </rPr>
      <t xml:space="preserve">與儲存：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</si>
  <si>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營收：智慧裝置</t>
  </si>
  <si>
    <t xml:space="preserve">營收：其他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</si>
  <si>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− 兩主分部（含報導值進位差約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</si>
  <si>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合併營收（年）</t>
  </si>
  <si>
    <t xml:space="preserve">折舊攤銷</t>
  </si>
  <si>
    <t xml:space="preserve">資本支出（含合資廠分攤）</t>
  </si>
  <si>
    <t xml:space="preserve">自由現金流（淨利＋折舊 − 資本支出）</t>
  </si>
  <si>
    <t xml:space="preserve">股東回饋（以買回計）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</si>
  <si>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以後三季的自由現金流</t>
    </r>
  </si>
  <si>
    <t xml:space="preserve">期末權益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</si>
  <si>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權益＋第二至四季淨利 − 回饋（不含其他綜合損益）</t>
    </r>
  </si>
  <si>
    <t xml:space="preserve">期末淨現金</t>
  </si>
  <si>
    <t xml:space="preserve">期末流通股數（分割後）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</si>
  <si>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（稀釋：期末流通股數＋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；分割後）</t>
    </r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</si>
  <si>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  <r>
      <rPr>
        <sz val="11"/>
        <color theme="1"/>
        <rFont val="Noto Sans CJK SC"/>
        <family val="2"/>
      </rPr>
      <t xml:space="preserve">（期末流通股數）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</si>
  <si>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</si>
  <si>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t xml:space="preserve">每股自由現金流（稀釋）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</si>
  <si>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營收、淨利 − 四季合計；第一季、第二季 − 實績與指引（應為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</si>
  <si>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</si>
  <si>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cd_C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</si>
  <si>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</si>
  <si>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線性收斂到循環中段（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＝十年平均、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；十年平均為美光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</si>
  <si>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</si>
  <si>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</si>
  <si>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</si>
  <si>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</si>
  <si>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</si>
  <si>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</si>
  <si>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</si>
  <si>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</si>
  <si>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</si>
  <si>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依記憶體慣例用前瞻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）；第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節為目前倍數、十年倍數與規則值（舊法參考）</t>
    </r>
  </si>
  <si>
    <r>
      <rPr>
        <sz val="11"/>
        <color theme="1"/>
        <rFont val="Calibri"/>
        <family val="2"/>
        <charset val="1"/>
      </rPr>
      <t xml:space="preserve">Kioxia 2024-12 </t>
    </r>
    <r>
      <rPr>
        <sz val="11"/>
        <color theme="1"/>
        <rFont val="Noto Sans CJK SC"/>
        <family val="2"/>
      </rPr>
      <t xml:space="preserve">上市，只有兩個年底：十年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以美光（同為記憶體循環股）為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節。每股數字皆為 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一股分三股後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</si>
  <si>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</si>
  <si>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</si>
  <si>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</si>
  <si>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</si>
  <si>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</si>
  <si>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</si>
  <si>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</si>
  <si>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</si>
  <si>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</si>
  <si>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</si>
  <si>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</si>
  <si>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</si>
  <si>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</si>
  <si>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</si>
  <si>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區塊每股自由現金流；收斂期（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</si>
  <si>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</si>
  <si>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FY2024–FY2025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</si>
  <si>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</si>
  <si>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</si>
  <si>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</si>
  <si>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</si>
  <si>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</si>
  <si>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</si>
  <si>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</si>
  <si>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以會計年度計，略低估）；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剩餘一季的現金流未計入；負值取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</si>
  <si>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</si>
  <si>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</si>
  <si>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</si>
  <si>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；記憶體慣例）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</si>
  <si>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</si>
  <si>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</si>
  <si>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</si>
  <si>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</si>
  <si>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美光</t>
  </si>
  <si>
    <t xml:space="preserve">MU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</si>
  <si>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</si>
  <si>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模型同值）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</si>
  <si>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</si>
  <si>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</si>
  <si>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模型同值）</t>
    </r>
  </si>
  <si>
    <t xml:space="preserve">三星電子</t>
  </si>
  <si>
    <t xml:space="preserve">005930.KS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</si>
  <si>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模型同值）</t>
    </r>
  </si>
  <si>
    <t xml:space="preserve">SanDisk</t>
  </si>
  <si>
    <t xml:space="preserve">SNDK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</si>
  <si>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1,238.03 ÷ MarketScreener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年底平均；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模型同口徑）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</si>
  <si>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</si>
  <si>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</t>
    </r>
    <r>
      <rPr>
        <sz val="11"/>
        <color theme="1"/>
        <rFont val="Calibri"/>
        <family val="2"/>
        <charset val="1"/>
      </rPr>
      <t xml:space="preserve">WDC</t>
    </r>
    <r>
      <rPr>
        <sz val="11"/>
        <color theme="1"/>
        <rFont val="Noto Sans CJK SC"/>
        <family val="2"/>
      </rPr>
      <t xml:space="preserve">（硬碟）不列入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（僅有落後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並列參考見下方。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自身現價 </t>
    </r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）共識每股淨值 </t>
    </r>
    <r>
      <rPr>
        <sz val="11"/>
        <color theme="1"/>
        <rFont val="Calibri"/>
        <family val="2"/>
        <charset val="1"/>
      </rPr>
      <t xml:space="preserve">1.63x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同業表同值）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</si>
  <si>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</si>
  <si>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年底）每股淨值；對應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年底每股淨值＝</t>
    </r>
    <r>
      <rPr>
        <sz val="11"/>
        <color theme="1"/>
        <rFont val="Calibri"/>
        <family val="2"/>
        <charset val="1"/>
      </rPr>
      <t xml:space="preserve">¼ × 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¾ × 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2029-03</t>
    </r>
    <r>
      <rPr>
        <sz val="11"/>
        <color theme="1"/>
        <rFont val="Noto Sans CJK SC"/>
        <family val="2"/>
      </rPr>
      <t xml:space="preserve">）（會計年度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</si>
  <si>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</si>
  <si>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</si>
  <si>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</si>
  <si>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月，依月份調整）</t>
    </r>
  </si>
  <si>
    <r>
      <rPr>
        <b val="true"/>
        <sz val="11"/>
        <rFont val="Noto Sans CJK SC"/>
        <family val="2"/>
      </rPr>
      <t xml:space="preserve">並列參考：同業前瞻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（不進目標價）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</si>
  <si>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</si>
  <si>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</si>
  <si>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877.55 ÷ MarketScreener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</si>
  <si>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</si>
  <si>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</si>
  <si>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1,238.03 ÷ MarketScreener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）共識 </t>
    </r>
    <r>
      <rPr>
        <sz val="11"/>
        <color theme="1"/>
        <rFont val="Calibri"/>
        <family val="2"/>
        <charset val="1"/>
      </rPr>
      <t xml:space="preserve">EPS 217.4</t>
    </r>
  </si>
  <si>
    <t xml:space="preserve">Western Digital</t>
  </si>
  <si>
    <t xml:space="preserve">WDC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</si>
  <si>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（硬碟為主，參考）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</si>
  <si>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中位數（並列參考）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</si>
  <si>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並列參考）＝中位數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</si>
  <si>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不進目標價：高峰期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低倍數，與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法互相對照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</si>
  <si>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</si>
  <si>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</si>
  <si>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</si>
  <si>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</si>
  <si>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</si>
  <si>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</si>
  <si>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</si>
  <si>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收盤時）：平均 </t>
    </r>
    <r>
      <rPr>
        <sz val="11"/>
        <color theme="1"/>
        <rFont val="Calibri"/>
        <family val="2"/>
        <charset val="1"/>
      </rPr>
      <t xml:space="preserve">¥36,929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16,333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66,667</t>
    </r>
    <r>
      <rPr>
        <sz val="11"/>
        <color theme="1"/>
        <rFont val="Noto Sans CJK SC"/>
        <family val="2"/>
      </rPr>
      <t xml:space="preserve">；分割後）；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09-09</t>
    </r>
    <r>
      <rPr>
        <sz val="11"/>
        <color theme="1"/>
        <rFont val="Noto Sans CJK SC"/>
        <family val="2"/>
      </rPr>
      <t xml:space="preserve">）分割調整後 </t>
    </r>
    <r>
      <rPr>
        <sz val="11"/>
        <color theme="1"/>
        <rFont val="Calibri"/>
        <family val="2"/>
        <charset val="1"/>
      </rPr>
      <t xml:space="preserve">¥37,085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</si>
  <si>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</si>
  <si>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</si>
  <si>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</si>
  <si>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</si>
  <si>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</si>
  <si>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</si>
  <si>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&gt;+50%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</t>
    </r>
    <r>
      <rPr>
        <sz val="11"/>
        <color theme="1"/>
        <rFont val="Calibri"/>
        <family val="2"/>
        <charset val="1"/>
      </rPr>
      <t xml:space="preserve">&lt;−50%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</si>
  <si>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</si>
  <si>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</si>
  <si>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</si>
  <si>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¼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FY2028 </t>
    </r>
    <r>
      <rPr>
        <sz val="11"/>
        <color theme="1"/>
        <rFont val="Noto Sans CJK SC"/>
        <family val="2"/>
      </rPr>
      <t xml:space="preserve">年底）−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</si>
  <si>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</si>
  <si>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4,871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 5,467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</si>
  <si>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</si>
  <si>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</si>
  <si>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</si>
  <si>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</si>
  <si>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</si>
  <si>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</si>
  <si>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 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用每股（淨利＋折舊－資本支出；資本支出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／年，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收斂期用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FY2024–FY2025 </t>
    </r>
    <r>
      <rPr>
        <sz val="11"/>
        <color theme="1"/>
        <rFont val="Noto Sans CJK SC"/>
        <family val="2"/>
      </rPr>
      <t xml:space="preserve">平均；明確期＋永續，基準日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並列參考不進目標價。偏誤：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為高峰期盈餘、收斂期淨利率以美光十年平均代替；營收以美元計、成本以日圓計，日圓貶值（匯率）使盈餘偏高。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</si>
  <si>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</si>
  <si>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</si>
  <si>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t xml:space="preserve">B</t>
  </si>
  <si>
    <t xml:space="preserve">C</t>
  </si>
  <si>
    <t xml:space="preserve">備註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</si>
  <si>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</si>
  <si>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</si>
  <si>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341.4</t>
    </r>
  </si>
  <si>
    <t xml:space="preserve">落後（分割後）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</si>
  <si>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2026-06-30 </t>
    </r>
    <r>
      <rPr>
        <sz val="11"/>
        <color theme="1"/>
        <rFont val="Noto Sans CJK SC"/>
        <family val="2"/>
      </rPr>
      <t xml:space="preserve">每股淨值</t>
    </r>
  </si>
  <si>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2,404.3 ÷ 1,644.0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</si>
  <si>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</si>
  <si>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</si>
  <si>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</si>
  <si>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</t>
    </r>
    <r>
      <rPr>
        <sz val="11"/>
        <color theme="1"/>
        <rFont val="Noto Sans CJK SC"/>
        <family val="2"/>
      </rPr>
      <t xml:space="preserve">年底每股淨值（模型）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</si>
  <si>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節歷史分位檢查用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</si>
  <si>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</si>
  <si>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無十年自身歷史，以美光為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（同為記憶體循環股；差異：美光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為主）。見頂與中段用 </t>
    </r>
    <r>
      <rPr>
        <sz val="11"/>
        <color theme="1"/>
        <rFont val="Calibri"/>
        <family val="2"/>
        <charset val="1"/>
      </rPr>
      <t xml:space="preserve">FY2027 A</t>
    </r>
    <r>
      <rPr>
        <sz val="11"/>
        <color theme="1"/>
        <rFont val="Noto Sans CJK SC"/>
        <family val="2"/>
      </rPr>
      <t xml:space="preserve">、谷底用 </t>
    </r>
    <r>
      <rPr>
        <sz val="11"/>
        <color theme="1"/>
        <rFont val="Calibri"/>
        <family val="2"/>
        <charset val="1"/>
      </rPr>
      <t xml:space="preserve">FY2028 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</si>
  <si>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</si>
  <si>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</si>
  <si>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</si>
  <si>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</si>
  <si>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</si>
  <si>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Analogy</t>
    </r>
  </si>
  <si>
    <t xml:space="preserve">2017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</si>
  <si>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Val!B82:B91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2024-12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年底倍數未找到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</si>
  <si>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</si>
  <si>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</si>
  <si>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</si>
  <si>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</si>
  <si>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</si>
  <si>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</si>
  <si>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</si>
  <si>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</si>
  <si>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</si>
  <si>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</si>
  <si>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</si>
  <si>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</si>
  <si>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</si>
  <si>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</si>
  <si>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</si>
  <si>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</si>
  <si>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</si>
  <si>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</si>
  <si>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</si>
  <si>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</si>
  <si>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</si>
  <si>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</si>
  <si>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</si>
  <si>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</si>
  <si>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</si>
  <si>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</si>
  <si>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</si>
  <si>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</si>
  <si>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</si>
  <si>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</si>
  <si>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</si>
  <si>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</si>
  <si>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</si>
  <si>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</si>
  <si>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</si>
  <si>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</si>
  <si>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換算）：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</si>
  <si>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；虧損年不計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</si>
  <si>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</si>
  <si>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</si>
  <si>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</si>
  <si>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</si>
  <si>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</si>
  <si>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</si>
  <si>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</si>
  <si>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</si>
  <si>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</si>
  <si>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</si>
  <si>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</si>
  <si>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</si>
  <si>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</si>
  <si>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</si>
  <si>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</si>
  <si>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</si>
  <si>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</si>
  <si>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</si>
  <si>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</si>
  <si>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分位（美光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＝中位數、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節見頂／中段／谷底規則值供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投資地圖抽數。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</si>
  <si>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</si>
  <si>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</si>
  <si>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</si>
  <si>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</si>
  <si>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</si>
  <si>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</si>
  <si>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</si>
  <si>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</si>
  <si>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</si>
  <si>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</si>
  <si>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</si>
  <si>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</si>
  <si>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</si>
  <si>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</si>
  <si>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</si>
  <si>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</si>
  <si>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</si>
  <si>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Kioxia</t>
  </si>
  <si>
    <t xml:space="preserve">285A.T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</si>
  <si>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</si>
  <si>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</si>
  <si>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</si>
  <si>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</si>
  <si>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</si>
  <si>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</si>
  <si>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SNDK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</si>
  <si>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WDC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</si>
  <si>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</si>
  <si>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</si>
  <si>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</si>
  <si>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</si>
  <si>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</si>
  <si>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</si>
  <si>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</si>
  <si>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</si>
  <si>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</si>
  <si>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</si>
  <si>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</si>
  <si>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</si>
  <si>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</si>
  <si>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</si>
  <si>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公司實績、指引與共識（共識只作對照，未用於校準）。差距＝模型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</si>
  <si>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</si>
  <si>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</si>
  <si>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</si>
  <si>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</si>
  <si>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</si>
  <si>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</si>
  <si>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</si>
  <si>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</si>
  <si>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實績與公司指引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</si>
  <si>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營收（四季合計）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2,337.6</t>
    </r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</si>
  <si>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決算；</t>
    </r>
    <r>
      <rPr>
        <sz val="11"/>
        <color theme="1"/>
        <rFont val="Calibri"/>
        <family val="2"/>
        <charset val="1"/>
      </rPr>
      <t xml:space="preserve">MarketScreener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</si>
  <si>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4,157.1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</si>
  <si>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</si>
  <si>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</si>
  <si>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第三季營收（推導）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 </t>
    </r>
    <r>
      <rPr>
        <sz val="11"/>
        <color theme="1"/>
        <rFont val="Calibri"/>
        <family val="2"/>
        <charset val="1"/>
      </rPr>
      <t xml:space="preserve">2,500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CJK SC"/>
        <family val="2"/>
      </rPr>
      <t xml:space="preserve">日圓）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</si>
  <si>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）第三季指引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</si>
  <si>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：市場層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季價 </t>
    </r>
    <r>
      <rPr>
        <sz val="11"/>
        <color theme="1"/>
        <rFont val="Calibri"/>
        <family val="2"/>
        <charset val="1"/>
      </rPr>
      <t xml:space="preserve">+8.1%</t>
    </r>
    <r>
      <rPr>
        <sz val="11"/>
        <color theme="1"/>
        <rFont val="Noto Sans CJK SC"/>
        <family val="2"/>
      </rPr>
      <t xml:space="preserve">（實現價口徑；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為合約價 </t>
    </r>
    <r>
      <rPr>
        <sz val="11"/>
        <color theme="1"/>
        <rFont val="Calibri"/>
        <family val="2"/>
        <charset val="1"/>
      </rPr>
      <t xml:space="preserve">+17.5%</t>
    </r>
    <r>
      <rPr>
        <sz val="11"/>
        <color theme="1"/>
        <rFont val="Noto Sans CJK SC"/>
        <family val="2"/>
      </rPr>
      <t xml:space="preserve">、差距 </t>
    </r>
    <r>
      <rPr>
        <sz val="11"/>
        <color theme="1"/>
        <rFont val="Calibri"/>
        <family val="2"/>
        <charset val="1"/>
      </rPr>
      <t xml:space="preserve">+21.5%</t>
    </r>
    <r>
      <rPr>
        <sz val="11"/>
        <color theme="1"/>
        <rFont val="Noto Sans CJK SC"/>
        <family val="2"/>
      </rPr>
      <t xml:space="preserve">），份額取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實績與第三季指引的平均。餘差：匯率假設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+1.9%</t>
    </r>
    <r>
      <rPr>
        <sz val="11"/>
        <color theme="1"/>
        <rFont val="Noto Sans CJK SC"/>
        <family val="2"/>
      </rPr>
      <t xml:space="preserve">；其餘為公司稱 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月提前出貨、部分遞延到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月（同一會計年度內）與產品組合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</si>
  <si>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第二季毛利率（校準值）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第一季（百分點）</t>
    </r>
  </si>
  <si>
    <r>
      <rPr>
        <sz val="11"/>
        <color theme="1"/>
        <rFont val="Noto Sans CJK SC"/>
        <family val="2"/>
      </rPr>
      <t xml:space="preserve">第二季營業費用為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g2_ox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</si>
  <si>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MarketScreener 2026-10-25 </t>
    </r>
    <r>
      <rPr>
        <b val="true"/>
        <sz val="11"/>
        <rFont val="Noto Sans CJK SC"/>
        <family val="2"/>
      </rPr>
      <t xml:space="preserve">擷取；只作參考）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</si>
  <si>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</si>
  <si>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</si>
  <si>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</si>
  <si>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</si>
  <si>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</si>
  <si>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</si>
  <si>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</si>
  <si>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</si>
  <si>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市場層一致性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</si>
  <si>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市場層（公司口徑係數 </t>
    </r>
    <r>
      <rPr>
        <sz val="11"/>
        <color theme="1"/>
        <rFont val="Calibri"/>
        <family val="2"/>
        <charset val="1"/>
      </rPr>
      <t xml:space="preserve">kx_k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</si>
  <si>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</si>
  <si>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Ann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</si>
  <si>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Ann!F27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模型讀同一組列）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</si>
  <si>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</si>
  <si>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</si>
  <si>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</si>
  <si>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</si>
  <si>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</si>
  <si>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</si>
  <si>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</si>
  <si>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</si>
  <si>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</si>
  <si>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</si>
  <si>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</si>
  <si>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市場層營收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（價格；第三季起）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</si>
  <si>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</si>
  <si>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市場層營收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（價格）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</si>
  <si>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</si>
  <si>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（營收與位元）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</si>
  <si>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</si>
  <si>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</si>
  <si>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</si>
  <si>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145 </t>
    </r>
    <r>
      <rPr>
        <sz val="11"/>
        <color theme="1"/>
        <rFont val="Noto Sans CJK SC"/>
        <family val="2"/>
      </rPr>
      <t xml:space="preserve">日圓</t>
    </r>
  </si>
  <si>
    <r>
      <rPr>
        <sz val="11"/>
        <color theme="1"/>
        <rFont val="Calibri"/>
        <family val="2"/>
        <charset val="1"/>
      </rPr>
      <t xml:space="preserve">fx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</si>
  <si>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170 </t>
    </r>
    <r>
      <rPr>
        <sz val="11"/>
        <color theme="1"/>
        <rFont val="Noto Sans CJK SC"/>
        <family val="2"/>
      </rPr>
      <t xml:space="preserve">日圓</t>
    </r>
  </si>
  <si>
    <r>
      <rPr>
        <sz val="11"/>
        <color theme="1"/>
        <rFont val="Calibri"/>
        <family val="2"/>
        <charset val="1"/>
      </rPr>
      <t xml:space="preserve">fx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</si>
  <si>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</si>
  <si>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</si>
  <si>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cd_A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</si>
  <si>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第二季營業費用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</si>
  <si>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Calibri"/>
        <family val="2"/>
        <charset val="1"/>
      </rPr>
      <t xml:space="preserve">g2_ox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</si>
  <si>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第二季營業費用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</si>
  <si>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g2_ox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</si>
  <si>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營業費用變動率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</si>
  <si>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ox_var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</si>
  <si>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</si>
  <si>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</si>
  <si>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28%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</si>
  <si>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</si>
  <si>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 50%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</si>
  <si>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</si>
  <si>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</si>
  <si>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</si>
  <si>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</si>
  <si>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markets/nand B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</si>
  <si>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</si>
  <si>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markets/nand C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10%</t>
    </r>
  </si>
  <si>
    <t xml:space="preserve">讀法：第二季為公司指引（固定），價格與匯率係數只作用在第三季起；營業費用校準改變成本起點（第二季營業成本＝營收 − 營業利益 − 營業費用）。</t>
  </si>
  <si>
    <r>
      <rPr>
        <b val="true"/>
        <sz val="11"/>
        <rFont val="Noto Sans CJK SC"/>
        <family val="2"/>
      </rPr>
      <t xml:space="preserve">案例區塊：市場層營收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（價格；第三季起）（情境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</si>
  <si>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案例區塊：市場層營收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（價格）（情境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</si>
  <si>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（營收與位元）（情境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</si>
  <si>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</si>
  <si>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145 </t>
    </r>
    <r>
      <rPr>
        <b val="true"/>
        <sz val="11"/>
        <rFont val="Noto Sans CJK SC"/>
        <family val="2"/>
      </rPr>
      <t xml:space="preserve">日圓（情境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</si>
  <si>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170 </t>
    </r>
    <r>
      <rPr>
        <b val="true"/>
        <sz val="11"/>
        <rFont val="Noto Sans CJK SC"/>
        <family val="2"/>
      </rPr>
      <t xml:space="preserve">日圓（情境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</si>
  <si>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</si>
  <si>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</si>
  <si>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案例區塊：第二季營業費用 </t>
    </r>
    <r>
      <rPr>
        <b val="true"/>
        <sz val="11"/>
        <rFont val="Cambria"/>
        <family val="0"/>
        <charset val="1"/>
      </rPr>
      <t xml:space="preserve">50</t>
    </r>
    <r>
      <rPr>
        <b val="true"/>
        <sz val="11"/>
        <rFont val="Noto Sans CJK SC"/>
        <family val="2"/>
      </rPr>
      <t xml:space="preserve">（校準）（情境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</si>
  <si>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案例區塊：第二季營業費用 </t>
    </r>
    <r>
      <rPr>
        <b val="true"/>
        <sz val="11"/>
        <rFont val="Cambria"/>
        <family val="0"/>
        <charset val="1"/>
      </rPr>
      <t xml:space="preserve">70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</si>
  <si>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案例區塊：營業費用變動率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</si>
  <si>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</si>
  <si>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</si>
  <si>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案例區塊：股東回饋 </t>
    </r>
    <r>
      <rPr>
        <b val="true"/>
        <sz val="11"/>
        <rFont val="Cambria"/>
        <family val="0"/>
        <charset val="1"/>
      </rPr>
      <t xml:space="preserve">÷ FCF 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</si>
  <si>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案例區塊：股東回饋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</si>
  <si>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</si>
  <si>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</si>
  <si>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</si>
  <si>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</si>
  <si>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</si>
  <si>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</si>
  <si>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</si>
  <si>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</si>
  <si>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</si>
  <si>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</si>
  <si>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</si>
  <si>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</si>
  <si>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</si>
  <si>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</si>
  <si>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</si>
  <si>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</si>
  <si>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</si>
  <si>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轉載）</t>
    </r>
  </si>
  <si>
    <t xml:space="preserve">https://links.sgx.com/1.0.0/corporate-announcements/DOATO9EIE4EEQ2Y8/898078_Earnings-Release-FY2026-1Q-EN.pdf</t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</si>
  <si>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：第二季財報 </t>
    </r>
    <r>
      <rPr>
        <sz val="11"/>
        <color theme="1"/>
        <rFont val="Calibri"/>
        <family val="2"/>
        <charset val="1"/>
      </rPr>
      <t xml:space="preserve">2026-10-30 18:45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JST</t>
    </r>
    <r>
      <rPr>
        <sz val="11"/>
        <color theme="1"/>
        <rFont val="Noto Sans CJK SC"/>
        <family val="2"/>
      </rPr>
      <t xml:space="preserve">）公布（公司新聞頁）</t>
    </r>
  </si>
  <si>
    <t xml:space="preserve">https://www.kioxia-holdings.com/en-jp/news/2026.html</t>
  </si>
  <si>
    <r>
      <rPr>
        <sz val="11"/>
        <color theme="1"/>
        <rFont val="Calibri"/>
        <family val="2"/>
        <charset val="1"/>
      </rPr>
      <t xml:space="preserve">storagenewsletter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FY25 </t>
    </r>
    <r>
      <rPr>
        <sz val="11"/>
        <color theme="1"/>
        <rFont val="Noto Sans CJK SC"/>
        <family val="2"/>
      </rPr>
      <t xml:space="preserve">決算（營收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554</t>
    </r>
    <r>
      <rPr>
        <sz val="11"/>
        <color theme="1"/>
        <rFont val="Noto Sans CJK SC"/>
        <family val="2"/>
      </rPr>
      <t xml:space="preserve">）</t>
    </r>
  </si>
  <si>
    <t xml:space="preserve">https://www.storagenewsletter.com/?p=302700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</si>
  <si>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：季度損益、歷史股價、共識</t>
    </r>
  </si>
  <si>
    <t xml:space="preserve">https://stockanalysis.com/quote/tyo/285A/financials/?p=quarterly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</si>
  <si>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預估與共識目標價</t>
    </r>
  </si>
  <si>
    <t xml:space="preserve">https://uk.marketscreener.com/quote/stock/KIOXIA-HOLDINGS-CORPORATI-180030735/finances/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</si>
  <si>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預估（同業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</si>
  <si>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https://uk.marketscreener.com/quote/stock/SANDISK-CORPORATION-182801077/finances/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</si>
  <si>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2026-06-03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</si>
  <si>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https://www.trendforce.com/news/2026/06/03/news-kioxia-targets-%C2%A5470b-yearly-capex-in-fy26-28-up-66-from-fy25-reportedly-weighing-third-kitakami-fab-and-ma/</t>
  </si>
  <si>
    <r>
      <rPr>
        <sz val="11"/>
        <color theme="1"/>
        <rFont val="Calibri"/>
        <family val="2"/>
        <charset val="1"/>
      </rPr>
      <t xml:space="preserve">newsquawk</t>
    </r>
    <r>
      <rPr>
        <sz val="11"/>
        <color theme="1"/>
        <rFont val="Noto Sans CJK SC"/>
        <family val="2"/>
      </rPr>
      <t xml:space="preserve">：一股分三股公告（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</si>
  <si>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https://www.newsquawk.com/headlines/kioxia-285a-jt-q1-jpy-net-profit-84217bln-exp-9736bln-revenue-177tln-prev-3428bln-yy-announces-a-3-for-1-stock-split-and-announces-a-share-buyback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</si>
  <si>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統計（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</si>
  <si>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https://stockanalysis.com/stocks/wdc/statistics/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</si>
  <si>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v0.1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</si>
  <si>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</si>
  <si>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Noto Sans CJK SC"/>
        <family val="2"/>
      </rPr>
      <t xml:space="preserve">美光十年倍數與淨利率（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</si>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</sst>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"/>
    <numFmt numFmtId="166" formatCode="0.0%"/>
    <numFmt numFmtId="167" formatCode="#,##0.000"/>
    <numFmt numFmtId="168" formatCode="#,##0"/>
    <numFmt numFmtId="169" formatCode="0.000"/>
    <numFmt numFmtId="170" formatCode="0.00"/>
    <numFmt numFmtId="171" formatCode="0%"/>
    <numFmt numFmtId="172" formatCode="@"/>
    <numFmt numFmtId="173" formatCode="0.00\x"/>
    <numFmt numFmtId="174" formatCode="0.0"/>
    <numFmt numFmtId="175" formatCode="0"/>
    <numFmt numFmtId="176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2" t="str">
        <f aca="false">"1. 加權目標價 ¥"&amp;TEXT(Val!B49,"#,##0")&amp;"，相對現價 ¥"&amp;TEXT(px,"#,##0")&amp;"（2026-10-23 收盤）"&amp;TEXT(Val!B52,"+0.0%;−0.0%")&amp;"。主因是現價的倍數低於同業：Kioxia 現價 ÷ 2028-03 共識每股淨值 1.63x，同業中位數 "&amp;TEXT(Val!B32,"0.00")&amp;"x（SanDisk 2.86x、美光 3.35x），Comparable ¥"&amp;TEXT(Val!B34,"#,##0")&amp;"（"&amp;TEXT(Val!B53,"+0%;−0%")&amp;"）；DCF ¥"&amp;TEXT(Val!B24,"#,##0")&amp;" 也高於現價，因現價只有 FY2027 EPS（A）的 "&amp;TEXT(Val!B85,"0.0")&amp;" 倍。股價 10-09 至 10-23 已跌 27%（17,505 → 12,755）。"</f>
        <v>1. 加權目標價 ¥20,500，相對現價 ¥12,755（2026-10-23 收盤）+60.7%。主因是現價的倍數低於同業：Kioxia 現價 ÷ 2028-03 共識每股淨值 1.63x，同業中位數 2.10x（SanDisk 2.86x、美光 3.35x），Comparable ¥18,948（+49%）；DCF ¥22,052 也高於現價，因現價只有 FY2027 EPS（A）的 2.7 倍。股價 10-09 至 10-23 已跌 27%（17,505 → 12,755）。</v>
      </c>
    </row>
    <row r="5" customFormat="false" ht="17.15" hidden="false" customHeight="false" outlineLevel="0" collapsed="false">
      <c r="A5" s="2" t="str">
        <f aca="false">"2. 本模型 FY2026 EPS（A）¥"&amp;TEXT(PL!D14,"#,##0")&amp;"，比共識 ¥3,486 "&amp;TEXT(PL!D14/cons_eps26-1,"+0%;−0%")&amp;"；上半年已由兩季實績鎖定（淨利 ¥2,202B）。v0.3 滾入第二季（營收 ¥2,480.0B、營業利益 ¥1,994.7B，皆高於指引）。v0.4 對帳：模型第三季營收 ¥"&amp;TEXT(Recon!C7,"#,##0")&amp;"B，比指引 ¥2,500B "&amp;TEXT(Recon!D7,"+0.0%;−0.0%")&amp;"（v0.3 為 +21.5%）。原因是市場層把合約價當實現價（2026Q3 實現 +25%、2026Q4 改 +8.1%，兩季累計不變），且份額只用出貨提前的單一季（改取兩季平均）；餘差為匯率假設與公司出貨季別移動（同一會計年度內）。"</f>
        <v>2. 本模型 FY2026 EPS（A）¥3,360，比共識 ¥3,486 −4%；上半年已由兩季實績鎖定（淨利 ¥2,202B）。v0.3 滾入第二季（營收 ¥2,480.0B、營業利益 ¥1,994.7B，皆高於指引）。v0.4 對帳：模型第三季營收 ¥2,671B，比指引 ¥2,500B +6.8%（v0.3 為 +21.5%）。原因是市場層把合約價當實現價（2026Q3 實現 +25%、2026Q4 改 +8.1%，兩季累計不變），且份額只用出貨提前的單一季（改取兩季平均）；餘差為匯率假設與公司出貨季別移動（同一會計年度內）。</v>
      </c>
    </row>
    <row r="6" customFormat="false" ht="17.15" hidden="false" customHeight="false" outlineLevel="0" collapsed="false">
      <c r="A6" s="2" t="str">
        <f aca="false">"3. 營收以美元計、成本以日圓計：匯率 145／170 日圓使 FY2028 EPS（A）變動 "&amp;TEXT(Sens!H9,"+0%;−0%")&amp;"／"&amp;TEXT(Sens!H10,"+0%;−0%")&amp;"；2027 起季價 ±20% 為 "&amp;TEXT(Sens!H5,"+0%;−0%")&amp;"／"&amp;TEXT(Sens!H6,"+0%;−0%")&amp;"。情境 C 的 FY2029 毛利率降到 "&amp;TEXT(PL!G38,"0%")&amp;"。追蹤：TrendForce 每季初的 NAND 合約價、日圓匯率、SanDisk 2026-10-29 財報（合資群位元）。"</f>
        <v>3. 營收以美元計、成本以日圓計：匯率 145／170 日圓使 FY2028 EPS（A）變動 −13%／+9%；2027 起季價 ±20% 為 −28%／+30%。情境 C 的 FY2029 毛利率降到 49%。追蹤：TrendForce 每季初的 NAND 合約價、日圓匯率、SanDisk 2026-10-29 財報（合資群位元）。</v>
      </c>
    </row>
    <row r="7" customFormat="false" ht="17.15" hidden="false" customHeight="false" outlineLevel="0" collapsed="false">
      <c r="A7" s="1" t="str">
        <f aca="false">"投資建議："&amp;Val!B55&amp;"（依上檔空間固定規則；上檔空間："&amp;TEXT(Val!B52,"+0.0%;−0.0%")&amp;"，級距："&amp;Val!B54&amp;"）"</f>
        <v>投資建議：強力買進（依上檔空間固定規則；上檔空間：+60.7%，級距：大於 50%）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3</v>
      </c>
    </row>
    <row r="10" customFormat="false" ht="17.15" hidden="false" customHeight="false" outlineLevel="0" collapsed="false">
      <c r="A10" s="4" t="s">
        <v>4</v>
      </c>
    </row>
    <row r="11" customFormat="false" ht="17.15" hidden="false" customHeight="false" outlineLevel="0" collapsed="false">
      <c r="A11" s="4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8</v>
      </c>
    </row>
    <row r="16" customFormat="false" ht="17.15" hidden="false" customHeight="false" outlineLevel="0" collapsed="false">
      <c r="A16" s="2" t="s">
        <v>9</v>
      </c>
    </row>
    <row r="17" customFormat="false" ht="17.15" hidden="false" customHeight="false" outlineLevel="0" collapsed="false">
      <c r="A17" s="2" t="s">
        <v>10</v>
      </c>
    </row>
    <row r="19" customFormat="false" ht="17.15" hidden="false" customHeight="false" outlineLevel="0" collapsed="false">
      <c r="A19" s="0" t="s">
        <v>11</v>
      </c>
    </row>
    <row r="21" customFormat="false" ht="17.15" hidden="false" customHeight="false" outlineLevel="0" collapsed="false">
      <c r="A21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342.8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7" t="n">
        <v>71.2</v>
      </c>
      <c r="G6" s="8" t="s">
        <v>33</v>
      </c>
      <c r="H6" s="8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0" t="s">
        <v>27</v>
      </c>
      <c r="E7" s="7" t="n">
        <v>44.9</v>
      </c>
      <c r="G7" s="8" t="s">
        <v>28</v>
      </c>
      <c r="H7" s="8" t="s">
        <v>29</v>
      </c>
      <c r="I7" s="5" t="s">
        <v>37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27</v>
      </c>
      <c r="E8" s="7" t="n">
        <v>18.3</v>
      </c>
      <c r="G8" s="8" t="s">
        <v>28</v>
      </c>
      <c r="H8" s="8" t="s">
        <v>29</v>
      </c>
      <c r="I8" s="5" t="s">
        <v>40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0" t="s">
        <v>27</v>
      </c>
      <c r="E9" s="7" t="n">
        <v>448.3</v>
      </c>
      <c r="G9" s="8" t="s">
        <v>33</v>
      </c>
      <c r="H9" s="8" t="s">
        <v>34</v>
      </c>
      <c r="I9" s="5" t="s">
        <v>30</v>
      </c>
    </row>
    <row r="10" customFormat="false" ht="17.15" hidden="false" customHeight="false" outlineLevel="0" collapsed="false">
      <c r="A10" s="0" t="s">
        <v>43</v>
      </c>
      <c r="B10" s="0" t="s">
        <v>44</v>
      </c>
      <c r="C10" s="0" t="s">
        <v>27</v>
      </c>
      <c r="E10" s="7" t="n">
        <v>122.1</v>
      </c>
      <c r="G10" s="8" t="s">
        <v>33</v>
      </c>
      <c r="H10" s="8" t="s">
        <v>34</v>
      </c>
    </row>
    <row r="11" customFormat="false" ht="17.15" hidden="false" customHeight="false" outlineLevel="0" collapsed="false">
      <c r="A11" s="0" t="s">
        <v>45</v>
      </c>
      <c r="B11" s="0" t="s">
        <v>46</v>
      </c>
      <c r="C11" s="0" t="s">
        <v>27</v>
      </c>
      <c r="E11" s="7" t="n">
        <v>85.9</v>
      </c>
      <c r="G11" s="8" t="s">
        <v>33</v>
      </c>
      <c r="H11" s="8" t="s">
        <v>34</v>
      </c>
      <c r="I11" s="5" t="s">
        <v>37</v>
      </c>
    </row>
    <row r="12" customFormat="false" ht="17.15" hidden="false" customHeight="false" outlineLevel="0" collapsed="false">
      <c r="A12" s="0" t="s">
        <v>47</v>
      </c>
      <c r="B12" s="0" t="s">
        <v>48</v>
      </c>
      <c r="C12" s="0" t="s">
        <v>27</v>
      </c>
      <c r="E12" s="7" t="n">
        <v>40.7</v>
      </c>
      <c r="G12" s="8" t="s">
        <v>33</v>
      </c>
      <c r="H12" s="8" t="s">
        <v>34</v>
      </c>
      <c r="I12" s="5" t="s">
        <v>40</v>
      </c>
    </row>
    <row r="13" customFormat="false" ht="17.15" hidden="false" customHeight="false" outlineLevel="0" collapsed="false">
      <c r="A13" s="0" t="s">
        <v>49</v>
      </c>
      <c r="B13" s="0" t="s">
        <v>50</v>
      </c>
      <c r="C13" s="0" t="s">
        <v>27</v>
      </c>
      <c r="E13" s="7" t="n">
        <v>543.6</v>
      </c>
      <c r="G13" s="8" t="s">
        <v>33</v>
      </c>
      <c r="H13" s="8" t="s">
        <v>34</v>
      </c>
      <c r="I13" s="5" t="s">
        <v>30</v>
      </c>
    </row>
    <row r="14" customFormat="false" ht="17.15" hidden="false" customHeight="false" outlineLevel="0" collapsed="false">
      <c r="A14" s="0" t="s">
        <v>51</v>
      </c>
      <c r="B14" s="0" t="s">
        <v>52</v>
      </c>
      <c r="C14" s="0" t="s">
        <v>27</v>
      </c>
      <c r="E14" s="7" t="n">
        <v>176.6</v>
      </c>
      <c r="G14" s="8" t="s">
        <v>33</v>
      </c>
      <c r="H14" s="8" t="s">
        <v>34</v>
      </c>
    </row>
    <row r="15" customFormat="false" ht="17.15" hidden="false" customHeight="false" outlineLevel="0" collapsed="false">
      <c r="A15" s="0" t="s">
        <v>53</v>
      </c>
      <c r="B15" s="0" t="s">
        <v>54</v>
      </c>
      <c r="C15" s="0" t="s">
        <v>27</v>
      </c>
      <c r="E15" s="7" t="n">
        <v>142.8</v>
      </c>
      <c r="G15" s="8" t="s">
        <v>33</v>
      </c>
      <c r="H15" s="8" t="s">
        <v>34</v>
      </c>
      <c r="I15" s="5" t="s">
        <v>37</v>
      </c>
    </row>
    <row r="16" customFormat="false" ht="17.15" hidden="false" customHeight="false" outlineLevel="0" collapsed="false">
      <c r="A16" s="0" t="s">
        <v>55</v>
      </c>
      <c r="B16" s="0" t="s">
        <v>56</v>
      </c>
      <c r="C16" s="0" t="s">
        <v>27</v>
      </c>
      <c r="E16" s="7" t="n">
        <v>87.8</v>
      </c>
      <c r="G16" s="8" t="s">
        <v>33</v>
      </c>
      <c r="H16" s="8" t="s">
        <v>34</v>
      </c>
      <c r="I16" s="5" t="s">
        <v>40</v>
      </c>
    </row>
    <row r="17" customFormat="false" ht="17.15" hidden="false" customHeight="false" outlineLevel="0" collapsed="false">
      <c r="A17" s="0" t="s">
        <v>57</v>
      </c>
      <c r="B17" s="0" t="s">
        <v>58</v>
      </c>
      <c r="C17" s="0" t="s">
        <v>27</v>
      </c>
      <c r="E17" s="7" t="n">
        <v>1002.9</v>
      </c>
      <c r="G17" s="8" t="s">
        <v>33</v>
      </c>
      <c r="H17" s="8" t="s">
        <v>34</v>
      </c>
      <c r="I17" s="5" t="s">
        <v>30</v>
      </c>
    </row>
    <row r="18" customFormat="false" ht="17.15" hidden="false" customHeight="false" outlineLevel="0" collapsed="false">
      <c r="A18" s="0" t="s">
        <v>59</v>
      </c>
      <c r="B18" s="0" t="s">
        <v>60</v>
      </c>
      <c r="C18" s="0" t="s">
        <v>27</v>
      </c>
      <c r="E18" s="7" t="n">
        <v>642.9</v>
      </c>
      <c r="G18" s="8" t="s">
        <v>33</v>
      </c>
      <c r="H18" s="8" t="s">
        <v>34</v>
      </c>
    </row>
    <row r="19" customFormat="false" ht="17.15" hidden="false" customHeight="false" outlineLevel="0" collapsed="false">
      <c r="A19" s="0" t="s">
        <v>61</v>
      </c>
      <c r="B19" s="0" t="s">
        <v>62</v>
      </c>
      <c r="C19" s="0" t="s">
        <v>27</v>
      </c>
      <c r="E19" s="7" t="n">
        <v>595.4</v>
      </c>
      <c r="G19" s="8" t="s">
        <v>33</v>
      </c>
      <c r="H19" s="8" t="s">
        <v>34</v>
      </c>
      <c r="I19" s="5" t="s">
        <v>37</v>
      </c>
    </row>
    <row r="20" customFormat="false" ht="17.15" hidden="false" customHeight="false" outlineLevel="0" collapsed="false">
      <c r="A20" s="0" t="s">
        <v>63</v>
      </c>
      <c r="B20" s="0" t="s">
        <v>64</v>
      </c>
      <c r="C20" s="0" t="s">
        <v>27</v>
      </c>
      <c r="E20" s="7" t="n">
        <v>407.7</v>
      </c>
      <c r="G20" s="8" t="s">
        <v>33</v>
      </c>
      <c r="H20" s="8" t="s">
        <v>34</v>
      </c>
      <c r="I20" s="5" t="s">
        <v>40</v>
      </c>
    </row>
    <row r="21" customFormat="false" ht="17.15" hidden="false" customHeight="false" outlineLevel="0" collapsed="false">
      <c r="A21" s="0" t="s">
        <v>65</v>
      </c>
      <c r="B21" s="0" t="s">
        <v>66</v>
      </c>
      <c r="C21" s="0" t="s">
        <v>27</v>
      </c>
      <c r="E21" s="7" t="n">
        <v>217.4</v>
      </c>
      <c r="G21" s="8" t="s">
        <v>33</v>
      </c>
      <c r="H21" s="8" t="s">
        <v>67</v>
      </c>
      <c r="I21" s="5" t="s">
        <v>68</v>
      </c>
    </row>
    <row r="22" customFormat="false" ht="17.15" hidden="false" customHeight="false" outlineLevel="0" collapsed="false">
      <c r="A22" s="0" t="s">
        <v>69</v>
      </c>
      <c r="B22" s="0" t="s">
        <v>70</v>
      </c>
      <c r="C22" s="0" t="s">
        <v>27</v>
      </c>
      <c r="E22" s="7" t="n">
        <v>79</v>
      </c>
      <c r="G22" s="8" t="s">
        <v>33</v>
      </c>
      <c r="H22" s="8" t="s">
        <v>67</v>
      </c>
      <c r="I22" s="5" t="s">
        <v>71</v>
      </c>
    </row>
    <row r="23" customFormat="false" ht="17.15" hidden="false" customHeight="false" outlineLevel="0" collapsed="false">
      <c r="A23" s="0" t="s">
        <v>72</v>
      </c>
      <c r="B23" s="0" t="s">
        <v>73</v>
      </c>
      <c r="C23" s="0" t="s">
        <v>27</v>
      </c>
      <c r="E23" s="7" t="n">
        <v>246.6</v>
      </c>
      <c r="G23" s="8" t="s">
        <v>74</v>
      </c>
      <c r="H23" s="8" t="s">
        <v>75</v>
      </c>
      <c r="I23" s="5" t="s">
        <v>68</v>
      </c>
    </row>
    <row r="24" customFormat="false" ht="17.15" hidden="false" customHeight="false" outlineLevel="0" collapsed="false">
      <c r="A24" s="0" t="s">
        <v>76</v>
      </c>
      <c r="B24" s="0" t="s">
        <v>77</v>
      </c>
      <c r="C24" s="0" t="s">
        <v>27</v>
      </c>
      <c r="E24" s="7" t="n">
        <v>156.9</v>
      </c>
      <c r="G24" s="8" t="s">
        <v>74</v>
      </c>
      <c r="H24" s="8" t="s">
        <v>75</v>
      </c>
      <c r="I24" s="5" t="s">
        <v>71</v>
      </c>
    </row>
    <row r="25" customFormat="false" ht="17.15" hidden="false" customHeight="false" outlineLevel="0" collapsed="false">
      <c r="A25" s="0" t="s">
        <v>78</v>
      </c>
      <c r="B25" s="0" t="s">
        <v>79</v>
      </c>
      <c r="C25" s="0" t="s">
        <v>27</v>
      </c>
      <c r="E25" s="7" t="n">
        <v>300.4</v>
      </c>
      <c r="G25" s="8" t="s">
        <v>33</v>
      </c>
      <c r="H25" s="8" t="s">
        <v>80</v>
      </c>
      <c r="I25" s="5" t="s">
        <v>68</v>
      </c>
    </row>
    <row r="26" customFormat="false" ht="17.15" hidden="false" customHeight="false" outlineLevel="0" collapsed="false">
      <c r="A26" s="0" t="s">
        <v>81</v>
      </c>
      <c r="B26" s="0" t="s">
        <v>82</v>
      </c>
      <c r="C26" s="0" t="s">
        <v>27</v>
      </c>
      <c r="E26" s="7" t="n">
        <v>186.3</v>
      </c>
      <c r="G26" s="8" t="s">
        <v>33</v>
      </c>
      <c r="H26" s="8" t="s">
        <v>80</v>
      </c>
      <c r="I26" s="5" t="s">
        <v>71</v>
      </c>
    </row>
    <row r="27" customFormat="false" ht="17.15" hidden="false" customHeight="false" outlineLevel="0" collapsed="false">
      <c r="A27" s="0" t="s">
        <v>83</v>
      </c>
      <c r="B27" s="0" t="s">
        <v>84</v>
      </c>
      <c r="C27" s="0" t="s">
        <v>27</v>
      </c>
      <c r="E27" s="7" t="n">
        <v>600.3</v>
      </c>
      <c r="G27" s="8" t="s">
        <v>33</v>
      </c>
      <c r="H27" s="8" t="s">
        <v>85</v>
      </c>
      <c r="I27" s="5" t="s">
        <v>68</v>
      </c>
    </row>
    <row r="28" customFormat="false" ht="17.15" hidden="false" customHeight="false" outlineLevel="0" collapsed="false">
      <c r="A28" s="0" t="s">
        <v>86</v>
      </c>
      <c r="B28" s="0" t="s">
        <v>87</v>
      </c>
      <c r="C28" s="0" t="s">
        <v>27</v>
      </c>
      <c r="E28" s="7" t="n">
        <v>337.3</v>
      </c>
      <c r="G28" s="8" t="s">
        <v>33</v>
      </c>
      <c r="H28" s="8" t="s">
        <v>85</v>
      </c>
      <c r="I28" s="5" t="s">
        <v>71</v>
      </c>
    </row>
    <row r="29" customFormat="false" ht="17.15" hidden="false" customHeight="false" outlineLevel="0" collapsed="false">
      <c r="A29" s="0" t="s">
        <v>88</v>
      </c>
      <c r="B29" s="0" t="s">
        <v>89</v>
      </c>
      <c r="C29" s="0" t="s">
        <v>27</v>
      </c>
      <c r="E29" s="7" t="n">
        <v>1174.7</v>
      </c>
      <c r="G29" s="8" t="s">
        <v>28</v>
      </c>
      <c r="H29" s="8" t="s">
        <v>90</v>
      </c>
    </row>
    <row r="30" customFormat="false" ht="17.15" hidden="false" customHeight="false" outlineLevel="0" collapsed="false">
      <c r="A30" s="0" t="s">
        <v>91</v>
      </c>
      <c r="B30" s="0" t="s">
        <v>92</v>
      </c>
      <c r="C30" s="0" t="s">
        <v>27</v>
      </c>
      <c r="E30" s="7" t="n">
        <v>525.7</v>
      </c>
      <c r="G30" s="8" t="s">
        <v>28</v>
      </c>
      <c r="H30" s="8" t="s">
        <v>90</v>
      </c>
      <c r="I30" s="5" t="s">
        <v>93</v>
      </c>
    </row>
    <row r="31" customFormat="false" ht="17.15" hidden="false" customHeight="false" outlineLevel="0" collapsed="false">
      <c r="A31" s="0" t="s">
        <v>94</v>
      </c>
      <c r="B31" s="0" t="s">
        <v>95</v>
      </c>
      <c r="C31" s="0" t="s">
        <v>27</v>
      </c>
      <c r="E31" s="7" t="n">
        <v>1767.1</v>
      </c>
      <c r="G31" s="8" t="s">
        <v>28</v>
      </c>
      <c r="H31" s="8" t="s">
        <v>90</v>
      </c>
      <c r="I31" s="8" t="s">
        <v>96</v>
      </c>
    </row>
    <row r="32" customFormat="false" ht="17.15" hidden="false" customHeight="false" outlineLevel="0" collapsed="false">
      <c r="A32" s="0" t="s">
        <v>97</v>
      </c>
      <c r="B32" s="0" t="s">
        <v>98</v>
      </c>
      <c r="C32" s="0" t="s">
        <v>27</v>
      </c>
      <c r="E32" s="7" t="n">
        <v>1380.1</v>
      </c>
      <c r="G32" s="8" t="s">
        <v>33</v>
      </c>
      <c r="H32" s="8" t="s">
        <v>99</v>
      </c>
      <c r="I32" s="5" t="s">
        <v>100</v>
      </c>
    </row>
    <row r="33" customFormat="false" ht="17.15" hidden="false" customHeight="false" outlineLevel="0" collapsed="false">
      <c r="A33" s="0" t="s">
        <v>101</v>
      </c>
      <c r="B33" s="0" t="s">
        <v>102</v>
      </c>
      <c r="C33" s="0" t="s">
        <v>27</v>
      </c>
      <c r="E33" s="7" t="n">
        <v>1270</v>
      </c>
      <c r="G33" s="8" t="s">
        <v>28</v>
      </c>
      <c r="H33" s="8" t="s">
        <v>90</v>
      </c>
      <c r="I33" s="5" t="s">
        <v>103</v>
      </c>
    </row>
    <row r="34" customFormat="false" ht="17.15" hidden="false" customHeight="false" outlineLevel="0" collapsed="false">
      <c r="A34" s="0" t="s">
        <v>104</v>
      </c>
      <c r="B34" s="0" t="s">
        <v>105</v>
      </c>
      <c r="C34" s="0" t="s">
        <v>27</v>
      </c>
      <c r="E34" s="7" t="n">
        <v>842.2</v>
      </c>
      <c r="G34" s="8" t="s">
        <v>28</v>
      </c>
      <c r="H34" s="8" t="s">
        <v>90</v>
      </c>
    </row>
    <row r="35" customFormat="false" ht="17.15" hidden="false" customHeight="false" outlineLevel="0" collapsed="false">
      <c r="A35" s="0" t="s">
        <v>106</v>
      </c>
      <c r="B35" s="0" t="s">
        <v>107</v>
      </c>
      <c r="C35" s="0" t="s">
        <v>108</v>
      </c>
      <c r="E35" s="0" t="n">
        <f aca="false">1539.91/3</f>
        <v>513.303333333333</v>
      </c>
      <c r="G35" s="0" t="s">
        <v>74</v>
      </c>
      <c r="H35" s="0" t="s">
        <v>109</v>
      </c>
      <c r="I35" s="0" t="s">
        <v>110</v>
      </c>
    </row>
    <row r="36" customFormat="false" ht="17.15" hidden="false" customHeight="false" outlineLevel="0" collapsed="false">
      <c r="A36" s="0" t="s">
        <v>111</v>
      </c>
      <c r="B36" s="0" t="s">
        <v>112</v>
      </c>
      <c r="C36" s="0" t="s">
        <v>27</v>
      </c>
      <c r="E36" s="7" t="n">
        <v>2480</v>
      </c>
      <c r="G36" s="8" t="s">
        <v>28</v>
      </c>
      <c r="H36" s="8" t="s">
        <v>113</v>
      </c>
      <c r="I36" s="8" t="s">
        <v>114</v>
      </c>
    </row>
    <row r="37" customFormat="false" ht="17.15" hidden="false" customHeight="false" outlineLevel="0" collapsed="false">
      <c r="A37" s="0" t="s">
        <v>115</v>
      </c>
      <c r="B37" s="0" t="s">
        <v>116</v>
      </c>
      <c r="C37" s="0" t="s">
        <v>27</v>
      </c>
      <c r="E37" s="7" t="n">
        <v>1994.7</v>
      </c>
      <c r="G37" s="8" t="s">
        <v>28</v>
      </c>
      <c r="H37" s="8" t="s">
        <v>117</v>
      </c>
    </row>
    <row r="38" customFormat="false" ht="17.15" hidden="false" customHeight="false" outlineLevel="0" collapsed="false">
      <c r="A38" s="0" t="s">
        <v>118</v>
      </c>
      <c r="B38" s="0" t="s">
        <v>119</v>
      </c>
      <c r="C38" s="0" t="s">
        <v>27</v>
      </c>
      <c r="E38" s="7" t="n">
        <v>1360</v>
      </c>
      <c r="G38" s="8" t="s">
        <v>28</v>
      </c>
      <c r="H38" s="8" t="s">
        <v>120</v>
      </c>
      <c r="I38" s="5" t="s">
        <v>121</v>
      </c>
    </row>
    <row r="39" customFormat="false" ht="17.15" hidden="false" customHeight="false" outlineLevel="0" collapsed="false">
      <c r="A39" s="0" t="s">
        <v>122</v>
      </c>
      <c r="B39" s="0" t="s">
        <v>123</v>
      </c>
      <c r="C39" s="0" t="s">
        <v>27</v>
      </c>
      <c r="D39" s="7" t="n">
        <v>50</v>
      </c>
      <c r="E39" s="7" t="n">
        <v>59</v>
      </c>
      <c r="F39" s="7" t="n">
        <v>70</v>
      </c>
      <c r="G39" s="8" t="s">
        <v>74</v>
      </c>
      <c r="H39" s="5" t="s">
        <v>124</v>
      </c>
      <c r="I39" s="5" t="s">
        <v>125</v>
      </c>
    </row>
    <row r="40" customFormat="false" ht="17.15" hidden="false" customHeight="false" outlineLevel="0" collapsed="false">
      <c r="A40" s="0" t="s">
        <v>126</v>
      </c>
      <c r="B40" s="0" t="s">
        <v>127</v>
      </c>
      <c r="C40" s="0" t="s">
        <v>27</v>
      </c>
      <c r="E40" s="0" t="n">
        <f aca="false">p1_rev+p2_rev+p3_rev+p4_rev</f>
        <v>2337.6</v>
      </c>
      <c r="G40" s="0" t="s">
        <v>74</v>
      </c>
      <c r="H40" s="5" t="s">
        <v>128</v>
      </c>
      <c r="I40" s="5" t="s">
        <v>129</v>
      </c>
    </row>
    <row r="41" customFormat="false" ht="17.15" hidden="false" customHeight="false" outlineLevel="0" collapsed="false">
      <c r="A41" s="0" t="s">
        <v>130</v>
      </c>
      <c r="B41" s="0" t="s">
        <v>131</v>
      </c>
      <c r="C41" s="0" t="s">
        <v>27</v>
      </c>
      <c r="E41" s="0" t="n">
        <f aca="false">p1_ni+p2_ni+p3_ni+p4_ni</f>
        <v>554.5</v>
      </c>
      <c r="G41" s="0" t="s">
        <v>74</v>
      </c>
      <c r="H41" s="5" t="s">
        <v>128</v>
      </c>
      <c r="I41" s="5" t="s">
        <v>132</v>
      </c>
    </row>
    <row r="42" customFormat="false" ht="17.15" hidden="false" customHeight="false" outlineLevel="0" collapsed="false">
      <c r="A42" s="0" t="s">
        <v>133</v>
      </c>
      <c r="B42" s="0" t="s">
        <v>134</v>
      </c>
      <c r="C42" s="0" t="s">
        <v>108</v>
      </c>
      <c r="E42" s="7" t="n">
        <v>341.4</v>
      </c>
      <c r="G42" s="8" t="s">
        <v>33</v>
      </c>
      <c r="H42" s="8" t="s">
        <v>135</v>
      </c>
      <c r="I42" s="8" t="s">
        <v>136</v>
      </c>
    </row>
    <row r="43" customFormat="false" ht="17.15" hidden="false" customHeight="false" outlineLevel="0" collapsed="false">
      <c r="A43" s="0" t="s">
        <v>137</v>
      </c>
      <c r="B43" s="5" t="s">
        <v>138</v>
      </c>
      <c r="C43" s="0" t="s">
        <v>139</v>
      </c>
      <c r="E43" s="0" t="n">
        <f aca="false">q1_rev/160/Units!H4</f>
        <v>1.0302588619403</v>
      </c>
      <c r="G43" s="0" t="s">
        <v>74</v>
      </c>
      <c r="H43" s="5" t="s">
        <v>140</v>
      </c>
      <c r="I43" s="5" t="s">
        <v>141</v>
      </c>
    </row>
    <row r="44" customFormat="false" ht="17.15" hidden="false" customHeight="false" outlineLevel="0" collapsed="false">
      <c r="A44" s="1" t="s">
        <v>142</v>
      </c>
    </row>
    <row r="45" customFormat="false" ht="17.15" hidden="false" customHeight="false" outlineLevel="0" collapsed="false">
      <c r="A45" s="0" t="s">
        <v>143</v>
      </c>
      <c r="B45" s="5" t="s">
        <v>144</v>
      </c>
      <c r="C45" s="0" t="s">
        <v>145</v>
      </c>
      <c r="D45" s="7" t="n">
        <v>0.1</v>
      </c>
      <c r="E45" s="7" t="n">
        <v>0.14</v>
      </c>
      <c r="F45" s="7" t="n">
        <v>0.18</v>
      </c>
      <c r="G45" s="8" t="s">
        <v>146</v>
      </c>
      <c r="H45" s="8" t="s">
        <v>147</v>
      </c>
      <c r="I45" s="5" t="s">
        <v>148</v>
      </c>
    </row>
    <row r="46" customFormat="false" ht="17.15" hidden="false" customHeight="false" outlineLevel="0" collapsed="false">
      <c r="A46" s="0" t="s">
        <v>149</v>
      </c>
      <c r="B46" s="5" t="s">
        <v>150</v>
      </c>
      <c r="C46" s="0" t="s">
        <v>145</v>
      </c>
      <c r="D46" s="7" t="n">
        <v>0.08</v>
      </c>
      <c r="E46" s="7" t="n">
        <v>0.12</v>
      </c>
      <c r="F46" s="7" t="n">
        <v>0.16</v>
      </c>
      <c r="G46" s="8" t="s">
        <v>146</v>
      </c>
      <c r="H46" s="8" t="s">
        <v>151</v>
      </c>
      <c r="I46" s="5" t="s">
        <v>152</v>
      </c>
    </row>
    <row r="47" customFormat="false" ht="17.15" hidden="false" customHeight="false" outlineLevel="0" collapsed="false">
      <c r="A47" s="0" t="s">
        <v>153</v>
      </c>
      <c r="B47" s="5" t="s">
        <v>154</v>
      </c>
      <c r="C47" s="0" t="s">
        <v>145</v>
      </c>
      <c r="D47" s="7" t="n">
        <v>0.06</v>
      </c>
      <c r="E47" s="7" t="n">
        <v>0.1</v>
      </c>
      <c r="F47" s="7" t="n">
        <v>0.14</v>
      </c>
      <c r="G47" s="8" t="s">
        <v>146</v>
      </c>
      <c r="H47" s="8" t="s">
        <v>155</v>
      </c>
      <c r="I47" s="5" t="s">
        <v>152</v>
      </c>
    </row>
    <row r="48" customFormat="false" ht="17.15" hidden="false" customHeight="false" outlineLevel="0" collapsed="false">
      <c r="A48" s="0" t="s">
        <v>156</v>
      </c>
      <c r="B48" s="5" t="s">
        <v>157</v>
      </c>
      <c r="C48" s="0" t="s">
        <v>158</v>
      </c>
      <c r="D48" s="7" t="n">
        <v>145</v>
      </c>
      <c r="E48" s="7" t="n">
        <v>160</v>
      </c>
      <c r="F48" s="7" t="n">
        <v>170</v>
      </c>
      <c r="G48" s="8" t="s">
        <v>146</v>
      </c>
      <c r="H48" s="5" t="s">
        <v>159</v>
      </c>
      <c r="I48" s="5" t="s">
        <v>160</v>
      </c>
    </row>
    <row r="49" customFormat="false" ht="17.15" hidden="false" customHeight="false" outlineLevel="0" collapsed="false">
      <c r="A49" s="0" t="s">
        <v>161</v>
      </c>
      <c r="B49" s="5" t="s">
        <v>162</v>
      </c>
      <c r="C49" s="0" t="s">
        <v>145</v>
      </c>
      <c r="D49" s="7" t="n">
        <v>0.005</v>
      </c>
      <c r="E49" s="7" t="n">
        <v>0.01</v>
      </c>
      <c r="F49" s="7" t="n">
        <v>0.02</v>
      </c>
      <c r="G49" s="8" t="s">
        <v>146</v>
      </c>
      <c r="H49" s="8" t="s">
        <v>163</v>
      </c>
      <c r="I49" s="5" t="s">
        <v>164</v>
      </c>
    </row>
    <row r="50" customFormat="false" ht="17.15" hidden="false" customHeight="false" outlineLevel="0" collapsed="false">
      <c r="A50" s="0" t="s">
        <v>165</v>
      </c>
      <c r="B50" s="5" t="s">
        <v>166</v>
      </c>
      <c r="C50" s="0" t="s">
        <v>145</v>
      </c>
      <c r="D50" s="7" t="n">
        <v>0.05</v>
      </c>
      <c r="E50" s="7" t="n">
        <v>0.1</v>
      </c>
      <c r="F50" s="7" t="n">
        <v>0.15</v>
      </c>
      <c r="G50" s="8" t="s">
        <v>146</v>
      </c>
      <c r="H50" s="5" t="s">
        <v>167</v>
      </c>
    </row>
    <row r="51" customFormat="false" ht="17.15" hidden="false" customHeight="false" outlineLevel="0" collapsed="false">
      <c r="A51" s="0" t="s">
        <v>168</v>
      </c>
      <c r="B51" s="5" t="s">
        <v>169</v>
      </c>
      <c r="C51" s="0" t="s">
        <v>27</v>
      </c>
      <c r="D51" s="7" t="n">
        <v>-40</v>
      </c>
      <c r="E51" s="7" t="n">
        <v>-15</v>
      </c>
      <c r="F51" s="7" t="n">
        <v>0</v>
      </c>
      <c r="G51" s="8" t="s">
        <v>146</v>
      </c>
      <c r="H51" s="8" t="s">
        <v>170</v>
      </c>
      <c r="I51" s="8" t="s">
        <v>171</v>
      </c>
    </row>
    <row r="52" customFormat="false" ht="17.15" hidden="false" customHeight="false" outlineLevel="0" collapsed="false">
      <c r="A52" s="0" t="s">
        <v>172</v>
      </c>
      <c r="B52" s="5" t="s">
        <v>173</v>
      </c>
      <c r="C52" s="0" t="s">
        <v>145</v>
      </c>
      <c r="D52" s="7" t="n">
        <v>0.28</v>
      </c>
      <c r="E52" s="7" t="n">
        <v>0.32</v>
      </c>
      <c r="F52" s="7" t="n">
        <v>0.35</v>
      </c>
      <c r="G52" s="8" t="s">
        <v>74</v>
      </c>
      <c r="H52" s="8" t="s">
        <v>174</v>
      </c>
    </row>
    <row r="53" customFormat="false" ht="17.15" hidden="false" customHeight="false" outlineLevel="0" collapsed="false">
      <c r="A53" s="0" t="s">
        <v>175</v>
      </c>
      <c r="B53" s="0" t="s">
        <v>176</v>
      </c>
      <c r="C53" s="0" t="s">
        <v>145</v>
      </c>
      <c r="D53" s="7" t="n">
        <v>0.6</v>
      </c>
      <c r="E53" s="7" t="n">
        <v>0.66</v>
      </c>
      <c r="F53" s="7" t="n">
        <v>0.72</v>
      </c>
      <c r="G53" s="8" t="s">
        <v>146</v>
      </c>
      <c r="H53" s="8" t="s">
        <v>177</v>
      </c>
      <c r="I53" s="5" t="s">
        <v>178</v>
      </c>
    </row>
    <row r="54" customFormat="false" ht="17.15" hidden="false" customHeight="false" outlineLevel="0" collapsed="false">
      <c r="A54" s="0" t="s">
        <v>179</v>
      </c>
      <c r="B54" s="0" t="s">
        <v>180</v>
      </c>
      <c r="C54" s="0" t="s">
        <v>145</v>
      </c>
      <c r="D54" s="7" t="n">
        <v>0.03</v>
      </c>
      <c r="E54" s="7" t="n">
        <v>0.04</v>
      </c>
      <c r="F54" s="7" t="n">
        <v>0.06</v>
      </c>
      <c r="G54" s="8" t="s">
        <v>146</v>
      </c>
      <c r="H54" s="8" t="s">
        <v>181</v>
      </c>
      <c r="I54" s="5" t="s">
        <v>182</v>
      </c>
    </row>
    <row r="55" customFormat="false" ht="17.15" hidden="false" customHeight="false" outlineLevel="0" collapsed="false">
      <c r="A55" s="0" t="s">
        <v>183</v>
      </c>
      <c r="B55" s="0" t="s">
        <v>184</v>
      </c>
      <c r="C55" s="0" t="s">
        <v>145</v>
      </c>
      <c r="D55" s="7" t="n">
        <v>0.6</v>
      </c>
      <c r="E55" s="7" t="n">
        <v>0.68</v>
      </c>
      <c r="F55" s="7" t="n">
        <v>0.76</v>
      </c>
      <c r="G55" s="8" t="s">
        <v>146</v>
      </c>
      <c r="H55" s="8" t="s">
        <v>177</v>
      </c>
      <c r="I55" s="5" t="s">
        <v>178</v>
      </c>
    </row>
    <row r="56" customFormat="false" ht="17.15" hidden="false" customHeight="false" outlineLevel="0" collapsed="false">
      <c r="A56" s="0" t="s">
        <v>185</v>
      </c>
      <c r="B56" s="0" t="s">
        <v>186</v>
      </c>
      <c r="C56" s="0" t="s">
        <v>145</v>
      </c>
      <c r="D56" s="7" t="n">
        <v>0.03</v>
      </c>
      <c r="E56" s="7" t="n">
        <v>0.04</v>
      </c>
      <c r="F56" s="7" t="n">
        <v>0.06</v>
      </c>
      <c r="G56" s="8" t="s">
        <v>146</v>
      </c>
      <c r="H56" s="8" t="s">
        <v>181</v>
      </c>
      <c r="I56" s="5" t="s">
        <v>182</v>
      </c>
    </row>
    <row r="57" customFormat="false" ht="17.15" hidden="false" customHeight="false" outlineLevel="0" collapsed="false">
      <c r="A57" s="0" t="s">
        <v>187</v>
      </c>
      <c r="B57" s="0" t="s">
        <v>188</v>
      </c>
      <c r="C57" s="0" t="s">
        <v>145</v>
      </c>
      <c r="D57" s="7" t="n">
        <v>0.6</v>
      </c>
      <c r="E57" s="7" t="n">
        <v>0.7</v>
      </c>
      <c r="F57" s="7" t="n">
        <v>0.78</v>
      </c>
      <c r="G57" s="8" t="s">
        <v>146</v>
      </c>
      <c r="H57" s="8" t="s">
        <v>177</v>
      </c>
      <c r="I57" s="5" t="s">
        <v>178</v>
      </c>
    </row>
    <row r="58" customFormat="false" ht="17.15" hidden="false" customHeight="false" outlineLevel="0" collapsed="false">
      <c r="A58" s="0" t="s">
        <v>189</v>
      </c>
      <c r="B58" s="0" t="s">
        <v>190</v>
      </c>
      <c r="C58" s="0" t="s">
        <v>145</v>
      </c>
      <c r="D58" s="7" t="n">
        <v>0.03</v>
      </c>
      <c r="E58" s="7" t="n">
        <v>0.04</v>
      </c>
      <c r="F58" s="7" t="n">
        <v>0.06</v>
      </c>
      <c r="G58" s="8" t="s">
        <v>146</v>
      </c>
      <c r="H58" s="8" t="s">
        <v>181</v>
      </c>
      <c r="I58" s="5" t="s">
        <v>182</v>
      </c>
    </row>
    <row r="59" customFormat="false" ht="17.15" hidden="false" customHeight="false" outlineLevel="0" collapsed="false">
      <c r="A59" s="0" t="s">
        <v>191</v>
      </c>
      <c r="B59" s="0" t="s">
        <v>192</v>
      </c>
      <c r="C59" s="0" t="s">
        <v>145</v>
      </c>
      <c r="D59" s="7" t="n">
        <v>0.6</v>
      </c>
      <c r="E59" s="7" t="n">
        <v>0.7</v>
      </c>
      <c r="F59" s="7" t="n">
        <v>0.78</v>
      </c>
      <c r="G59" s="8" t="s">
        <v>146</v>
      </c>
      <c r="H59" s="8" t="s">
        <v>177</v>
      </c>
      <c r="I59" s="5" t="s">
        <v>178</v>
      </c>
    </row>
    <row r="60" customFormat="false" ht="17.15" hidden="false" customHeight="false" outlineLevel="0" collapsed="false">
      <c r="A60" s="0" t="s">
        <v>193</v>
      </c>
      <c r="B60" s="0" t="s">
        <v>194</v>
      </c>
      <c r="C60" s="0" t="s">
        <v>145</v>
      </c>
      <c r="D60" s="7" t="n">
        <v>0.03</v>
      </c>
      <c r="E60" s="7" t="n">
        <v>0.04</v>
      </c>
      <c r="F60" s="7" t="n">
        <v>0.06</v>
      </c>
      <c r="G60" s="8" t="s">
        <v>146</v>
      </c>
      <c r="H60" s="8" t="s">
        <v>181</v>
      </c>
      <c r="I60" s="5" t="s">
        <v>182</v>
      </c>
    </row>
    <row r="61" customFormat="false" ht="15" hidden="false" customHeight="false" outlineLevel="0" collapsed="false">
      <c r="A61" s="0" t="s">
        <v>195</v>
      </c>
      <c r="B61" s="5" t="s">
        <v>196</v>
      </c>
      <c r="C61" s="0" t="s">
        <v>145</v>
      </c>
      <c r="D61" s="7" t="n">
        <v>0</v>
      </c>
      <c r="E61" s="7" t="n">
        <v>0.01</v>
      </c>
      <c r="F61" s="7" t="n">
        <v>0.02</v>
      </c>
      <c r="G61" s="8" t="s">
        <v>146</v>
      </c>
      <c r="H61" s="5" t="s">
        <v>197</v>
      </c>
    </row>
    <row r="62" customFormat="false" ht="17.15" hidden="false" customHeight="false" outlineLevel="0" collapsed="false">
      <c r="A62" s="1" t="s">
        <v>198</v>
      </c>
    </row>
    <row r="63" customFormat="false" ht="17.15" hidden="false" customHeight="false" outlineLevel="0" collapsed="false">
      <c r="A63" s="0" t="s">
        <v>199</v>
      </c>
      <c r="B63" s="0" t="s">
        <v>200</v>
      </c>
      <c r="C63" s="0" t="s">
        <v>27</v>
      </c>
      <c r="E63" s="7" t="n">
        <v>2404.3</v>
      </c>
      <c r="G63" s="8" t="s">
        <v>28</v>
      </c>
      <c r="H63" s="8" t="s">
        <v>90</v>
      </c>
      <c r="I63" s="8" t="s">
        <v>201</v>
      </c>
    </row>
    <row r="64" customFormat="false" ht="17.15" hidden="false" customHeight="false" outlineLevel="0" collapsed="false">
      <c r="A64" s="0" t="s">
        <v>202</v>
      </c>
      <c r="B64" s="0" t="s">
        <v>203</v>
      </c>
      <c r="C64" s="0" t="s">
        <v>27</v>
      </c>
      <c r="E64" s="0" t="n">
        <f aca="false">791-634.6</f>
        <v>156.4</v>
      </c>
      <c r="G64" s="0" t="s">
        <v>74</v>
      </c>
      <c r="H64" s="0" t="s">
        <v>204</v>
      </c>
    </row>
    <row r="65" customFormat="false" ht="17.15" hidden="false" customHeight="false" outlineLevel="0" collapsed="false">
      <c r="A65" s="0" t="s">
        <v>205</v>
      </c>
      <c r="B65" s="0" t="s">
        <v>206</v>
      </c>
      <c r="C65" s="0" t="s">
        <v>27</v>
      </c>
      <c r="E65" s="7" t="n">
        <v>1399.1</v>
      </c>
      <c r="G65" s="8" t="s">
        <v>28</v>
      </c>
      <c r="H65" s="8" t="s">
        <v>90</v>
      </c>
    </row>
    <row r="66" customFormat="false" ht="17.15" hidden="false" customHeight="false" outlineLevel="0" collapsed="false">
      <c r="A66" s="0" t="s">
        <v>207</v>
      </c>
      <c r="B66" s="5" t="s">
        <v>208</v>
      </c>
      <c r="C66" s="5" t="s">
        <v>209</v>
      </c>
      <c r="E66" s="0" t="n">
        <f aca="false">548.014638*3</f>
        <v>1644.043914</v>
      </c>
      <c r="G66" s="0" t="s">
        <v>74</v>
      </c>
      <c r="H66" s="0" t="s">
        <v>210</v>
      </c>
      <c r="I66" s="0" t="s">
        <v>211</v>
      </c>
    </row>
    <row r="67" customFormat="false" ht="17.15" hidden="false" customHeight="false" outlineLevel="0" collapsed="false">
      <c r="A67" s="0" t="s">
        <v>212</v>
      </c>
      <c r="B67" s="5" t="s">
        <v>213</v>
      </c>
      <c r="C67" s="5" t="s">
        <v>209</v>
      </c>
      <c r="E67" s="0" t="n">
        <f aca="false">sh0*(1539.91/1525.09-1)</f>
        <v>15.9759298175717</v>
      </c>
      <c r="G67" s="0" t="s">
        <v>74</v>
      </c>
      <c r="H67" s="0" t="s">
        <v>214</v>
      </c>
      <c r="I67" s="5" t="s">
        <v>215</v>
      </c>
    </row>
    <row r="68" customFormat="false" ht="17.15" hidden="false" customHeight="false" outlineLevel="0" collapsed="false">
      <c r="A68" s="0" t="s">
        <v>216</v>
      </c>
      <c r="B68" s="5" t="s">
        <v>217</v>
      </c>
      <c r="C68" s="0" t="s">
        <v>27</v>
      </c>
      <c r="D68" s="7" t="n">
        <v>280</v>
      </c>
      <c r="E68" s="7" t="n">
        <v>320</v>
      </c>
      <c r="F68" s="7" t="n">
        <v>380</v>
      </c>
      <c r="G68" s="8" t="s">
        <v>146</v>
      </c>
      <c r="H68" s="8" t="s">
        <v>218</v>
      </c>
      <c r="I68" s="5" t="s">
        <v>219</v>
      </c>
    </row>
    <row r="69" customFormat="false" ht="17.15" hidden="false" customHeight="false" outlineLevel="0" collapsed="false">
      <c r="A69" s="0" t="s">
        <v>220</v>
      </c>
      <c r="B69" s="5" t="s">
        <v>221</v>
      </c>
      <c r="C69" s="0" t="s">
        <v>27</v>
      </c>
      <c r="D69" s="7" t="n">
        <v>400</v>
      </c>
      <c r="E69" s="7" t="n">
        <v>450</v>
      </c>
      <c r="F69" s="7" t="n">
        <v>500</v>
      </c>
      <c r="G69" s="8" t="s">
        <v>33</v>
      </c>
      <c r="H69" s="8" t="s">
        <v>222</v>
      </c>
      <c r="I69" s="5" t="s">
        <v>223</v>
      </c>
    </row>
    <row r="70" customFormat="false" ht="17.15" hidden="false" customHeight="false" outlineLevel="0" collapsed="false">
      <c r="A70" s="0" t="s">
        <v>224</v>
      </c>
      <c r="B70" s="5" t="s">
        <v>225</v>
      </c>
      <c r="C70" s="0" t="s">
        <v>27</v>
      </c>
      <c r="D70" s="7" t="n">
        <v>400</v>
      </c>
      <c r="E70" s="7" t="n">
        <v>470</v>
      </c>
      <c r="F70" s="7" t="n">
        <v>550</v>
      </c>
      <c r="G70" s="8" t="s">
        <v>33</v>
      </c>
      <c r="H70" s="5" t="s">
        <v>152</v>
      </c>
      <c r="I70" s="5" t="s">
        <v>223</v>
      </c>
    </row>
    <row r="71" customFormat="false" ht="17.15" hidden="false" customHeight="false" outlineLevel="0" collapsed="false">
      <c r="A71" s="0" t="s">
        <v>226</v>
      </c>
      <c r="B71" s="5" t="s">
        <v>227</v>
      </c>
      <c r="C71" s="0" t="s">
        <v>27</v>
      </c>
      <c r="D71" s="7" t="n">
        <v>400</v>
      </c>
      <c r="E71" s="7" t="n">
        <v>470</v>
      </c>
      <c r="F71" s="7" t="n">
        <v>550</v>
      </c>
      <c r="G71" s="8" t="s">
        <v>33</v>
      </c>
      <c r="H71" s="5" t="s">
        <v>152</v>
      </c>
      <c r="I71" s="5" t="s">
        <v>223</v>
      </c>
    </row>
    <row r="72" customFormat="false" ht="17.15" hidden="false" customHeight="false" outlineLevel="0" collapsed="false">
      <c r="A72" s="0" t="s">
        <v>228</v>
      </c>
      <c r="B72" s="5" t="s">
        <v>229</v>
      </c>
      <c r="C72" s="0" t="s">
        <v>27</v>
      </c>
      <c r="D72" s="7" t="n">
        <v>350</v>
      </c>
      <c r="E72" s="7" t="n">
        <v>470</v>
      </c>
      <c r="F72" s="7" t="n">
        <v>550</v>
      </c>
      <c r="G72" s="8" t="s">
        <v>33</v>
      </c>
      <c r="H72" s="8" t="s">
        <v>230</v>
      </c>
      <c r="I72" s="5" t="s">
        <v>223</v>
      </c>
    </row>
    <row r="73" customFormat="false" ht="17.15" hidden="false" customHeight="false" outlineLevel="0" collapsed="false">
      <c r="A73" s="0" t="s">
        <v>231</v>
      </c>
      <c r="B73" s="5" t="s">
        <v>232</v>
      </c>
      <c r="C73" s="0" t="s">
        <v>145</v>
      </c>
      <c r="D73" s="7" t="n">
        <v>0</v>
      </c>
      <c r="E73" s="7" t="n">
        <v>0.2</v>
      </c>
      <c r="F73" s="7" t="n">
        <v>0.5</v>
      </c>
      <c r="G73" s="8" t="s">
        <v>146</v>
      </c>
      <c r="H73" s="8" t="s">
        <v>233</v>
      </c>
      <c r="I73" s="5" t="s">
        <v>234</v>
      </c>
    </row>
    <row r="74" customFormat="false" ht="17.15" hidden="false" customHeight="false" outlineLevel="0" collapsed="false">
      <c r="A74" s="0" t="s">
        <v>235</v>
      </c>
      <c r="B74" s="5" t="s">
        <v>236</v>
      </c>
      <c r="C74" s="0" t="s">
        <v>108</v>
      </c>
      <c r="E74" s="7" t="n">
        <v>12755</v>
      </c>
      <c r="G74" s="8" t="s">
        <v>28</v>
      </c>
      <c r="H74" s="8" t="s">
        <v>237</v>
      </c>
      <c r="I74" s="8" t="s">
        <v>238</v>
      </c>
    </row>
    <row r="75" customFormat="false" ht="15" hidden="false" customHeight="false" outlineLevel="0" collapsed="false">
      <c r="A75" s="0" t="s">
        <v>239</v>
      </c>
      <c r="B75" s="5" t="s">
        <v>240</v>
      </c>
      <c r="C75" s="0" t="s">
        <v>108</v>
      </c>
      <c r="E75" s="0" t="n">
        <f aca="false">px</f>
        <v>12755</v>
      </c>
      <c r="G75" s="0" t="s">
        <v>146</v>
      </c>
      <c r="H75" s="5" t="s">
        <v>241</v>
      </c>
    </row>
    <row r="76" customFormat="false" ht="17.15" hidden="false" customHeight="false" outlineLevel="0" collapsed="false">
      <c r="A76" s="1" t="s">
        <v>242</v>
      </c>
    </row>
    <row r="77" customFormat="false" ht="17.15" hidden="false" customHeight="false" outlineLevel="0" collapsed="false">
      <c r="A77" s="0" t="s">
        <v>243</v>
      </c>
      <c r="B77" s="5" t="s">
        <v>244</v>
      </c>
      <c r="C77" s="0" t="s">
        <v>27</v>
      </c>
      <c r="D77" s="7" t="n">
        <v>9100</v>
      </c>
      <c r="E77" s="7" t="n">
        <v>10071.4</v>
      </c>
      <c r="F77" s="7" t="n">
        <v>11400</v>
      </c>
      <c r="G77" s="8" t="s">
        <v>33</v>
      </c>
      <c r="H77" s="8" t="s">
        <v>245</v>
      </c>
      <c r="I77" s="8" t="s">
        <v>246</v>
      </c>
    </row>
    <row r="78" customFormat="false" ht="17.15" hidden="false" customHeight="false" outlineLevel="0" collapsed="false">
      <c r="A78" s="0" t="s">
        <v>247</v>
      </c>
      <c r="B78" s="5" t="s">
        <v>248</v>
      </c>
      <c r="C78" s="0" t="s">
        <v>27</v>
      </c>
      <c r="E78" s="7" t="n">
        <v>13477.2</v>
      </c>
      <c r="G78" s="8" t="s">
        <v>33</v>
      </c>
      <c r="H78" s="8" t="s">
        <v>249</v>
      </c>
    </row>
    <row r="79" customFormat="false" ht="17.15" hidden="false" customHeight="false" outlineLevel="0" collapsed="false">
      <c r="A79" s="0" t="s">
        <v>250</v>
      </c>
      <c r="B79" s="5" t="s">
        <v>251</v>
      </c>
      <c r="C79" s="0" t="s">
        <v>27</v>
      </c>
      <c r="E79" s="7" t="n">
        <v>5573.9</v>
      </c>
      <c r="G79" s="8" t="s">
        <v>33</v>
      </c>
      <c r="H79" s="8" t="s">
        <v>249</v>
      </c>
    </row>
    <row r="80" customFormat="false" ht="17.15" hidden="false" customHeight="false" outlineLevel="0" collapsed="false">
      <c r="A80" s="0" t="s">
        <v>252</v>
      </c>
      <c r="B80" s="5" t="s">
        <v>253</v>
      </c>
      <c r="C80" s="0" t="s">
        <v>27</v>
      </c>
      <c r="E80" s="7" t="n">
        <v>7730</v>
      </c>
      <c r="G80" s="8" t="s">
        <v>33</v>
      </c>
      <c r="H80" s="8" t="s">
        <v>249</v>
      </c>
    </row>
    <row r="81" customFormat="false" ht="17.15" hidden="false" customHeight="false" outlineLevel="0" collapsed="false">
      <c r="A81" s="0" t="s">
        <v>254</v>
      </c>
      <c r="B81" s="5" t="s">
        <v>255</v>
      </c>
      <c r="C81" s="0" t="s">
        <v>108</v>
      </c>
      <c r="E81" s="7" t="n">
        <v>3486</v>
      </c>
      <c r="G81" s="8" t="s">
        <v>33</v>
      </c>
      <c r="H81" s="8" t="s">
        <v>249</v>
      </c>
    </row>
    <row r="82" customFormat="false" ht="17.15" hidden="false" customHeight="false" outlineLevel="0" collapsed="false">
      <c r="A82" s="0" t="s">
        <v>256</v>
      </c>
      <c r="B82" s="5" t="s">
        <v>257</v>
      </c>
      <c r="C82" s="0" t="s">
        <v>108</v>
      </c>
      <c r="E82" s="7" t="n">
        <v>4871</v>
      </c>
      <c r="G82" s="8" t="s">
        <v>33</v>
      </c>
      <c r="H82" s="8" t="s">
        <v>249</v>
      </c>
    </row>
    <row r="83" customFormat="false" ht="17.15" hidden="false" customHeight="false" outlineLevel="0" collapsed="false">
      <c r="A83" s="0" t="s">
        <v>258</v>
      </c>
      <c r="B83" s="5" t="s">
        <v>259</v>
      </c>
      <c r="C83" s="0" t="s">
        <v>108</v>
      </c>
      <c r="E83" s="7" t="n">
        <v>5467</v>
      </c>
      <c r="G83" s="8" t="s">
        <v>33</v>
      </c>
      <c r="H83" s="8" t="s">
        <v>249</v>
      </c>
    </row>
    <row r="84" customFormat="false" ht="17.15" hidden="false" customHeight="false" outlineLevel="0" collapsed="false">
      <c r="A84" s="0" t="s">
        <v>260</v>
      </c>
      <c r="B84" s="5" t="s">
        <v>261</v>
      </c>
      <c r="C84" s="0" t="s">
        <v>108</v>
      </c>
      <c r="E84" s="7" t="n">
        <v>3830</v>
      </c>
      <c r="G84" s="8" t="s">
        <v>33</v>
      </c>
      <c r="H84" s="8" t="s">
        <v>249</v>
      </c>
    </row>
    <row r="85" customFormat="false" ht="17.15" hidden="false" customHeight="false" outlineLevel="0" collapsed="false">
      <c r="A85" s="0" t="s">
        <v>262</v>
      </c>
      <c r="B85" s="5" t="s">
        <v>263</v>
      </c>
      <c r="C85" s="0" t="s">
        <v>108</v>
      </c>
      <c r="E85" s="7" t="n">
        <v>7808</v>
      </c>
      <c r="G85" s="8" t="s">
        <v>33</v>
      </c>
      <c r="H85" s="8" t="s">
        <v>249</v>
      </c>
    </row>
    <row r="86" customFormat="false" ht="17.15" hidden="false" customHeight="false" outlineLevel="0" collapsed="false">
      <c r="A86" s="0" t="s">
        <v>264</v>
      </c>
      <c r="B86" s="5" t="s">
        <v>265</v>
      </c>
      <c r="C86" s="0" t="s">
        <v>108</v>
      </c>
      <c r="E86" s="7" t="n">
        <v>11928</v>
      </c>
      <c r="G86" s="8" t="s">
        <v>33</v>
      </c>
      <c r="H86" s="8" t="s">
        <v>249</v>
      </c>
    </row>
    <row r="87" customFormat="false" ht="17.15" hidden="false" customHeight="false" outlineLevel="0" collapsed="false">
      <c r="A87" s="1" t="s">
        <v>266</v>
      </c>
    </row>
    <row r="88" customFormat="false" ht="17.15" hidden="false" customHeight="false" outlineLevel="0" collapsed="false">
      <c r="A88" s="9" t="s">
        <v>267</v>
      </c>
      <c r="B88" s="10" t="s">
        <v>268</v>
      </c>
      <c r="C88" s="9" t="s">
        <v>145</v>
      </c>
      <c r="D88" s="9"/>
      <c r="E88" s="11" t="n">
        <v>0.3</v>
      </c>
      <c r="F88" s="9"/>
      <c r="G88" s="9" t="s">
        <v>146</v>
      </c>
      <c r="H88" s="9" t="s">
        <v>269</v>
      </c>
      <c r="I88" s="10" t="s">
        <v>270</v>
      </c>
    </row>
    <row r="89" customFormat="false" ht="17.15" hidden="false" customHeight="false" outlineLevel="0" collapsed="false">
      <c r="A89" s="9" t="s">
        <v>271</v>
      </c>
      <c r="B89" s="10" t="s">
        <v>272</v>
      </c>
      <c r="C89" s="9" t="s">
        <v>145</v>
      </c>
      <c r="D89" s="9"/>
      <c r="E89" s="11" t="n">
        <v>0.5</v>
      </c>
      <c r="F89" s="9"/>
      <c r="G89" s="9" t="s">
        <v>146</v>
      </c>
      <c r="H89" s="9" t="s">
        <v>269</v>
      </c>
      <c r="I89" s="10" t="s">
        <v>270</v>
      </c>
    </row>
    <row r="90" customFormat="false" ht="17.15" hidden="false" customHeight="false" outlineLevel="0" collapsed="false">
      <c r="A90" s="9" t="s">
        <v>273</v>
      </c>
      <c r="B90" s="10" t="s">
        <v>274</v>
      </c>
      <c r="C90" s="9" t="s">
        <v>145</v>
      </c>
      <c r="D90" s="9"/>
      <c r="E90" s="11" t="n">
        <v>0.2</v>
      </c>
      <c r="F90" s="9"/>
      <c r="G90" s="9" t="s">
        <v>146</v>
      </c>
      <c r="H90" s="9" t="s">
        <v>269</v>
      </c>
      <c r="I90" s="10" t="s">
        <v>270</v>
      </c>
    </row>
    <row r="91" customFormat="false" ht="17.15" hidden="false" customHeight="false" outlineLevel="0" collapsed="false">
      <c r="A91" s="9" t="s">
        <v>275</v>
      </c>
      <c r="B91" s="10" t="s">
        <v>276</v>
      </c>
      <c r="C91" s="9" t="s">
        <v>145</v>
      </c>
      <c r="D91" s="9"/>
      <c r="E91" s="11" t="n">
        <v>0.1</v>
      </c>
      <c r="F91" s="9"/>
      <c r="G91" s="9" t="s">
        <v>146</v>
      </c>
      <c r="H91" s="9" t="s">
        <v>277</v>
      </c>
      <c r="I91" s="10" t="s">
        <v>278</v>
      </c>
    </row>
    <row r="92" customFormat="false" ht="17.15" hidden="false" customHeight="false" outlineLevel="0" collapsed="false">
      <c r="A92" s="9" t="s">
        <v>279</v>
      </c>
      <c r="B92" s="10" t="s">
        <v>280</v>
      </c>
      <c r="C92" s="9" t="s">
        <v>145</v>
      </c>
      <c r="D92" s="9"/>
      <c r="E92" s="11" t="n">
        <v>0.04</v>
      </c>
      <c r="F92" s="9"/>
      <c r="G92" s="9" t="s">
        <v>146</v>
      </c>
      <c r="H92" s="9" t="s">
        <v>281</v>
      </c>
      <c r="I92" s="9"/>
    </row>
    <row r="93" customFormat="false" ht="17.15" hidden="false" customHeight="false" outlineLevel="0" collapsed="false">
      <c r="A93" s="9" t="s">
        <v>282</v>
      </c>
      <c r="B93" s="9" t="s">
        <v>283</v>
      </c>
      <c r="C93" s="9" t="s">
        <v>145</v>
      </c>
      <c r="D93" s="9"/>
      <c r="E93" s="9" t="n">
        <f aca="false">AVERAGE(272.3/737.1,554.5/1399.1)</f>
        <v>0.382873456230138</v>
      </c>
      <c r="F93" s="9"/>
      <c r="G93" s="9" t="s">
        <v>74</v>
      </c>
      <c r="H93" s="9" t="s">
        <v>284</v>
      </c>
      <c r="I93" s="9" t="s">
        <v>285</v>
      </c>
    </row>
    <row r="94" customFormat="false" ht="17.15" hidden="false" customHeight="false" outlineLevel="0" collapsed="false">
      <c r="A94" s="9" t="s">
        <v>286</v>
      </c>
      <c r="B94" s="10" t="s">
        <v>287</v>
      </c>
      <c r="C94" s="9" t="s">
        <v>145</v>
      </c>
      <c r="D94" s="9"/>
      <c r="E94" s="11" t="n">
        <v>0.5</v>
      </c>
      <c r="F94" s="9"/>
      <c r="G94" s="9" t="s">
        <v>146</v>
      </c>
      <c r="H94" s="9" t="s">
        <v>288</v>
      </c>
      <c r="I94" s="9"/>
    </row>
    <row r="95" customFormat="false" ht="17.15" hidden="false" customHeight="false" outlineLevel="0" collapsed="false">
      <c r="A95" s="9" t="s">
        <v>289</v>
      </c>
      <c r="B95" s="10" t="s">
        <v>290</v>
      </c>
      <c r="C95" s="9" t="s">
        <v>145</v>
      </c>
      <c r="D95" s="9"/>
      <c r="E95" s="11" t="n">
        <v>0.146628636185545</v>
      </c>
      <c r="F95" s="9"/>
      <c r="G95" s="9" t="s">
        <v>291</v>
      </c>
      <c r="H95" s="9" t="s">
        <v>292</v>
      </c>
      <c r="I95" s="9" t="s">
        <v>293</v>
      </c>
    </row>
    <row r="96" customFormat="false" ht="17.15" hidden="false" customHeight="false" outlineLevel="0" collapsed="false">
      <c r="A96" s="9" t="s">
        <v>294</v>
      </c>
      <c r="B96" s="10" t="s">
        <v>295</v>
      </c>
      <c r="C96" s="9" t="s">
        <v>139</v>
      </c>
      <c r="D96" s="9"/>
      <c r="E96" s="11" t="n">
        <v>1.2</v>
      </c>
      <c r="F96" s="9"/>
      <c r="G96" s="9" t="s">
        <v>146</v>
      </c>
      <c r="H96" s="10" t="s">
        <v>296</v>
      </c>
      <c r="I96" s="9" t="s">
        <v>297</v>
      </c>
    </row>
    <row r="97" customFormat="false" ht="17.15" hidden="false" customHeight="false" outlineLevel="0" collapsed="false">
      <c r="A97" s="9" t="s">
        <v>298</v>
      </c>
      <c r="B97" s="10" t="s">
        <v>299</v>
      </c>
      <c r="C97" s="9" t="s">
        <v>139</v>
      </c>
      <c r="D97" s="9"/>
      <c r="E97" s="11" t="n">
        <v>0.8</v>
      </c>
      <c r="F97" s="9"/>
      <c r="G97" s="9" t="s">
        <v>146</v>
      </c>
      <c r="H97" s="10" t="s">
        <v>300</v>
      </c>
      <c r="I97" s="9" t="s">
        <v>297</v>
      </c>
    </row>
    <row r="98" customFormat="false" ht="17.15" hidden="false" customHeight="false" outlineLevel="0" collapsed="false">
      <c r="A98" s="9" t="s">
        <v>301</v>
      </c>
      <c r="B98" s="10" t="s">
        <v>302</v>
      </c>
      <c r="C98" s="9" t="s">
        <v>145</v>
      </c>
      <c r="D98" s="9"/>
      <c r="E98" s="9" t="n">
        <f aca="false">nim10*cyc_mA</f>
        <v>0.175954363422654</v>
      </c>
      <c r="F98" s="9"/>
      <c r="G98" s="9" t="s">
        <v>74</v>
      </c>
      <c r="H98" s="10" t="s">
        <v>303</v>
      </c>
      <c r="I98" s="9" t="s">
        <v>304</v>
      </c>
    </row>
    <row r="99" customFormat="false" ht="17.15" hidden="false" customHeight="false" outlineLevel="0" collapsed="false">
      <c r="A99" s="9" t="s">
        <v>305</v>
      </c>
      <c r="B99" s="10" t="s">
        <v>306</v>
      </c>
      <c r="C99" s="9" t="s">
        <v>145</v>
      </c>
      <c r="D99" s="9"/>
      <c r="E99" s="9" t="n">
        <f aca="false">nim10</f>
        <v>0.146628636185545</v>
      </c>
      <c r="F99" s="9"/>
      <c r="G99" s="9" t="s">
        <v>74</v>
      </c>
      <c r="H99" s="10" t="s">
        <v>303</v>
      </c>
      <c r="I99" s="9" t="s">
        <v>304</v>
      </c>
    </row>
    <row r="100" customFormat="false" ht="17.15" hidden="false" customHeight="false" outlineLevel="0" collapsed="false">
      <c r="A100" s="9" t="s">
        <v>307</v>
      </c>
      <c r="B100" s="10" t="s">
        <v>308</v>
      </c>
      <c r="C100" s="9" t="s">
        <v>145</v>
      </c>
      <c r="D100" s="9"/>
      <c r="E100" s="9" t="n">
        <f aca="false">nim10*cyc_mC</f>
        <v>0.117302908948436</v>
      </c>
      <c r="F100" s="9"/>
      <c r="G100" s="9" t="s">
        <v>74</v>
      </c>
      <c r="H100" s="10" t="s">
        <v>303</v>
      </c>
      <c r="I100" s="9" t="s">
        <v>304</v>
      </c>
    </row>
    <row r="101" customFormat="false" ht="17.15" hidden="false" customHeight="false" outlineLevel="0" collapsed="false">
      <c r="A101" s="9" t="s">
        <v>309</v>
      </c>
      <c r="B101" s="10" t="s">
        <v>310</v>
      </c>
      <c r="C101" s="9" t="s">
        <v>145</v>
      </c>
      <c r="D101" s="9"/>
      <c r="E101" s="9" t="n">
        <f aca="false">tp_g+0.02</f>
        <v>0.06</v>
      </c>
      <c r="F101" s="9"/>
      <c r="G101" s="9" t="s">
        <v>146</v>
      </c>
      <c r="H101" s="10" t="s">
        <v>311</v>
      </c>
      <c r="I101" s="9" t="s">
        <v>312</v>
      </c>
    </row>
    <row r="102" customFormat="false" ht="17.15" hidden="false" customHeight="false" outlineLevel="0" collapsed="false">
      <c r="A102" s="9" t="s">
        <v>313</v>
      </c>
      <c r="B102" s="10" t="s">
        <v>314</v>
      </c>
      <c r="C102" s="9" t="s">
        <v>145</v>
      </c>
      <c r="D102" s="9"/>
      <c r="E102" s="9" t="n">
        <f aca="false">tp_g</f>
        <v>0.04</v>
      </c>
      <c r="F102" s="9"/>
      <c r="G102" s="9" t="s">
        <v>146</v>
      </c>
      <c r="H102" s="10" t="s">
        <v>311</v>
      </c>
      <c r="I102" s="9" t="s">
        <v>312</v>
      </c>
    </row>
    <row r="103" customFormat="false" ht="17.15" hidden="false" customHeight="false" outlineLevel="0" collapsed="false">
      <c r="A103" s="9" t="s">
        <v>315</v>
      </c>
      <c r="B103" s="10" t="s">
        <v>316</v>
      </c>
      <c r="C103" s="9" t="s">
        <v>145</v>
      </c>
      <c r="D103" s="9"/>
      <c r="E103" s="9" t="n">
        <f aca="false">tp_g-0.02</f>
        <v>0.02</v>
      </c>
      <c r="F103" s="9"/>
      <c r="G103" s="9" t="s">
        <v>146</v>
      </c>
      <c r="H103" s="10" t="s">
        <v>311</v>
      </c>
      <c r="I103" s="9" t="s">
        <v>312</v>
      </c>
    </row>
    <row r="104" customFormat="false" ht="17.15" hidden="false" customHeight="false" outlineLevel="0" collapsed="false">
      <c r="A104" s="9" t="s">
        <v>317</v>
      </c>
      <c r="B104" s="10" t="s">
        <v>318</v>
      </c>
      <c r="C104" s="9" t="s">
        <v>108</v>
      </c>
      <c r="D104" s="11" t="n">
        <v>16333.33</v>
      </c>
      <c r="E104" s="11" t="n">
        <v>36929.23</v>
      </c>
      <c r="F104" s="11" t="n">
        <v>66666.67</v>
      </c>
      <c r="G104" s="9" t="s">
        <v>33</v>
      </c>
      <c r="H104" s="9" t="s">
        <v>319</v>
      </c>
      <c r="I104" s="9" t="s">
        <v>320</v>
      </c>
    </row>
    <row r="106" customFormat="false" ht="17.15" hidden="false" customHeight="false" outlineLevel="0" collapsed="false">
      <c r="A106" s="1" t="s">
        <v>321</v>
      </c>
    </row>
    <row r="107" customFormat="false" ht="17.15" hidden="false" customHeight="false" outlineLevel="0" collapsed="false">
      <c r="A107" s="0" t="s">
        <v>322</v>
      </c>
      <c r="B107" s="5" t="s">
        <v>323</v>
      </c>
      <c r="C107" s="0" t="s">
        <v>27</v>
      </c>
      <c r="E107" s="7" t="n">
        <v>2500</v>
      </c>
      <c r="G107" s="8" t="s">
        <v>33</v>
      </c>
      <c r="H107" s="8" t="s">
        <v>324</v>
      </c>
      <c r="I107" s="5" t="s">
        <v>325</v>
      </c>
    </row>
    <row r="109" customFormat="false" ht="17.15" hidden="false" customHeight="false" outlineLevel="0" collapsed="false">
      <c r="A109" s="3" t="s">
        <v>326</v>
      </c>
    </row>
    <row r="110" customFormat="false" ht="17.15" hidden="false" customHeight="false" outlineLevel="0" collapsed="false">
      <c r="A110" s="3" t="s">
        <v>15</v>
      </c>
      <c r="B110" s="3" t="s">
        <v>16</v>
      </c>
      <c r="C110" s="3" t="s">
        <v>17</v>
      </c>
      <c r="D110" s="3" t="s">
        <v>327</v>
      </c>
      <c r="E110" s="3" t="s">
        <v>328</v>
      </c>
      <c r="F110" s="3" t="s">
        <v>329</v>
      </c>
      <c r="G110" s="3" t="s">
        <v>21</v>
      </c>
      <c r="H110" s="3" t="s">
        <v>330</v>
      </c>
    </row>
    <row r="111" customFormat="false" ht="17.15" hidden="false" customHeight="false" outlineLevel="0" collapsed="false">
      <c r="A111" s="0" t="s">
        <v>331</v>
      </c>
      <c r="B111" s="5" t="s">
        <v>332</v>
      </c>
      <c r="C111" s="0" t="s">
        <v>145</v>
      </c>
      <c r="D111" s="0" t="n">
        <f aca="false">E45</f>
        <v>0.14</v>
      </c>
      <c r="E111" s="0" t="n">
        <f aca="false">E46</f>
        <v>0.12</v>
      </c>
      <c r="F111" s="0" t="n">
        <f aca="false">E47</f>
        <v>0.1</v>
      </c>
      <c r="G111" s="0" t="s">
        <v>74</v>
      </c>
      <c r="H111" s="5" t="s">
        <v>333</v>
      </c>
    </row>
    <row r="112" customFormat="false" ht="17.15" hidden="false" customHeight="false" outlineLevel="0" collapsed="false">
      <c r="A112" s="0" t="s">
        <v>334</v>
      </c>
      <c r="B112" s="5" t="s">
        <v>299</v>
      </c>
      <c r="C112" s="0" t="s">
        <v>139</v>
      </c>
      <c r="D112" s="0" t="n">
        <f aca="false">E96</f>
        <v>1.2</v>
      </c>
      <c r="E112" s="0" t="n">
        <v>0</v>
      </c>
      <c r="F112" s="0" t="n">
        <f aca="false">E97</f>
        <v>0.8</v>
      </c>
      <c r="G112" s="0" t="s">
        <v>74</v>
      </c>
      <c r="H112" s="5" t="s">
        <v>335</v>
      </c>
    </row>
    <row r="113" customFormat="false" ht="17.15" hidden="false" customHeight="false" outlineLevel="0" collapsed="false">
      <c r="A113" s="0" t="s">
        <v>336</v>
      </c>
      <c r="B113" s="0" t="s">
        <v>337</v>
      </c>
      <c r="C113" s="0" t="s">
        <v>145</v>
      </c>
      <c r="D113" s="0" t="n">
        <f aca="false">E98</f>
        <v>0.175954363422654</v>
      </c>
      <c r="E113" s="0" t="n">
        <f aca="false">E99</f>
        <v>0.146628636185545</v>
      </c>
      <c r="F113" s="0" t="n">
        <f aca="false">E100</f>
        <v>0.117302908948436</v>
      </c>
      <c r="G113" s="0" t="s">
        <v>74</v>
      </c>
      <c r="H113" s="5" t="s">
        <v>338</v>
      </c>
    </row>
    <row r="114" customFormat="false" ht="17.15" hidden="false" customHeight="false" outlineLevel="0" collapsed="false">
      <c r="A114" s="0" t="s">
        <v>339</v>
      </c>
      <c r="B114" s="0" t="s">
        <v>340</v>
      </c>
      <c r="C114" s="0" t="s">
        <v>145</v>
      </c>
      <c r="D114" s="0" t="n">
        <f aca="false">E101</f>
        <v>0.06</v>
      </c>
      <c r="E114" s="0" t="n">
        <f aca="false">E102</f>
        <v>0.04</v>
      </c>
      <c r="F114" s="0" t="n">
        <f aca="false">E103</f>
        <v>0.02</v>
      </c>
      <c r="G114" s="0" t="s">
        <v>74</v>
      </c>
      <c r="H114" s="5" t="s">
        <v>341</v>
      </c>
    </row>
    <row r="115" customFormat="false" ht="17.15" hidden="false" customHeight="false" outlineLevel="0" collapsed="false">
      <c r="A115" s="0" t="s">
        <v>342</v>
      </c>
      <c r="B115" s="5" t="s">
        <v>343</v>
      </c>
      <c r="C115" s="0" t="s">
        <v>145</v>
      </c>
      <c r="D115" s="0" t="n">
        <f aca="false">E88</f>
        <v>0.3</v>
      </c>
      <c r="E115" s="0" t="n">
        <f aca="false">E89</f>
        <v>0.5</v>
      </c>
      <c r="F115" s="0" t="n">
        <f aca="false">E90</f>
        <v>0.2</v>
      </c>
      <c r="G115" s="0" t="s">
        <v>74</v>
      </c>
      <c r="H115" s="5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345</v>
      </c>
    </row>
    <row r="3" customFormat="false" ht="17.15" hidden="false" customHeight="false" outlineLevel="0" collapsed="false">
      <c r="A3" s="6" t="s">
        <v>16</v>
      </c>
      <c r="B3" s="12" t="s">
        <v>346</v>
      </c>
      <c r="C3" s="12" t="s">
        <v>347</v>
      </c>
      <c r="D3" s="12" t="s">
        <v>348</v>
      </c>
      <c r="E3" s="12" t="s">
        <v>349</v>
      </c>
      <c r="F3" s="12" t="s">
        <v>350</v>
      </c>
      <c r="G3" s="12" t="s">
        <v>351</v>
      </c>
      <c r="H3" s="12" t="s">
        <v>352</v>
      </c>
      <c r="I3" s="6" t="s">
        <v>21</v>
      </c>
      <c r="J3" s="6" t="s">
        <v>353</v>
      </c>
    </row>
    <row r="4" customFormat="false" ht="17.15" hidden="false" customHeight="false" outlineLevel="0" collapsed="false">
      <c r="A4" s="5" t="s">
        <v>354</v>
      </c>
      <c r="B4" s="13" t="n">
        <f aca="false">p1_rev</f>
        <v>342.8</v>
      </c>
      <c r="C4" s="13" t="n">
        <f aca="false">p2_rev</f>
        <v>448.3</v>
      </c>
      <c r="D4" s="13" t="n">
        <f aca="false">p3_rev</f>
        <v>543.6</v>
      </c>
      <c r="E4" s="13" t="n">
        <f aca="false">p4_rev</f>
        <v>1002.9</v>
      </c>
      <c r="F4" s="13" t="n">
        <f aca="false">SUM(B4:E4)</f>
        <v>2337.6</v>
      </c>
      <c r="G4" s="13" t="n">
        <f aca="false">q1_rev</f>
        <v>1767.1</v>
      </c>
      <c r="H4" s="13" t="n">
        <f aca="false">g2_rev</f>
        <v>2480</v>
      </c>
      <c r="I4" s="8" t="s">
        <v>355</v>
      </c>
      <c r="J4" s="5" t="s">
        <v>356</v>
      </c>
    </row>
    <row r="5" customFormat="false" ht="17.15" hidden="false" customHeight="false" outlineLevel="0" collapsed="false">
      <c r="A5" s="5" t="s">
        <v>357</v>
      </c>
      <c r="B5" s="13" t="n">
        <f aca="false">p1_gp</f>
        <v>71.2</v>
      </c>
      <c r="C5" s="13" t="n">
        <f aca="false">p2_gp</f>
        <v>122.1</v>
      </c>
      <c r="D5" s="13" t="n">
        <f aca="false">p3_gp</f>
        <v>176.6</v>
      </c>
      <c r="E5" s="13" t="n">
        <f aca="false">p4_gp</f>
        <v>642.9</v>
      </c>
      <c r="F5" s="13" t="n">
        <f aca="false">SUM(B5:E5)</f>
        <v>1012.8</v>
      </c>
      <c r="G5" s="13" t="n">
        <f aca="false">q1_gp</f>
        <v>1380.1</v>
      </c>
      <c r="I5" s="8" t="s">
        <v>355</v>
      </c>
      <c r="J5" s="5" t="s">
        <v>356</v>
      </c>
    </row>
    <row r="6" customFormat="false" ht="17.15" hidden="false" customHeight="false" outlineLevel="0" collapsed="false">
      <c r="A6" s="5" t="s">
        <v>358</v>
      </c>
      <c r="B6" s="13" t="n">
        <f aca="false">p1_op</f>
        <v>44.9</v>
      </c>
      <c r="C6" s="13" t="n">
        <f aca="false">p2_op</f>
        <v>85.9</v>
      </c>
      <c r="D6" s="13" t="n">
        <f aca="false">p3_op</f>
        <v>142.8</v>
      </c>
      <c r="E6" s="13" t="n">
        <f aca="false">p4_op</f>
        <v>595.4</v>
      </c>
      <c r="F6" s="13" t="n">
        <f aca="false">SUM(B6:E6)</f>
        <v>869</v>
      </c>
      <c r="G6" s="13" t="n">
        <f aca="false">q1_op</f>
        <v>1270</v>
      </c>
      <c r="H6" s="13" t="n">
        <f aca="false">g2_op</f>
        <v>1994.7</v>
      </c>
      <c r="I6" s="8" t="s">
        <v>355</v>
      </c>
      <c r="J6" s="5" t="s">
        <v>356</v>
      </c>
    </row>
    <row r="7" customFormat="false" ht="17.15" hidden="false" customHeight="false" outlineLevel="0" collapsed="false">
      <c r="A7" s="5" t="s">
        <v>359</v>
      </c>
      <c r="B7" s="13" t="n">
        <f aca="false">p1_ni</f>
        <v>18.3</v>
      </c>
      <c r="C7" s="13" t="n">
        <f aca="false">p2_ni</f>
        <v>40.7</v>
      </c>
      <c r="D7" s="13" t="n">
        <f aca="false">p3_ni</f>
        <v>87.8</v>
      </c>
      <c r="E7" s="13" t="n">
        <f aca="false">p4_ni</f>
        <v>407.7</v>
      </c>
      <c r="F7" s="13" t="n">
        <f aca="false">SUM(B7:E7)</f>
        <v>554.5</v>
      </c>
      <c r="G7" s="13" t="n">
        <f aca="false">q1_ni</f>
        <v>842.2</v>
      </c>
      <c r="H7" s="13" t="n">
        <f aca="false">g2_ni</f>
        <v>1360</v>
      </c>
      <c r="I7" s="8" t="s">
        <v>355</v>
      </c>
      <c r="J7" s="5" t="s">
        <v>356</v>
      </c>
    </row>
    <row r="8" customFormat="false" ht="15" hidden="false" customHeight="false" outlineLevel="0" collapsed="false">
      <c r="A8" s="5" t="s">
        <v>360</v>
      </c>
      <c r="B8" s="14" t="n">
        <f aca="false">B5/B4</f>
        <v>0.207701283547258</v>
      </c>
      <c r="C8" s="14" t="n">
        <f aca="false">C5/C4</f>
        <v>0.272362257416908</v>
      </c>
      <c r="D8" s="14" t="n">
        <f aca="false">D5/D4</f>
        <v>0.324871228844739</v>
      </c>
      <c r="E8" s="14" t="n">
        <f aca="false">E5/E4</f>
        <v>0.641040981154652</v>
      </c>
      <c r="F8" s="14" t="n">
        <f aca="false">F5/F4</f>
        <v>0.433264887063655</v>
      </c>
      <c r="G8" s="14" t="n">
        <f aca="false">G5/G4</f>
        <v>0.780997113915455</v>
      </c>
    </row>
    <row r="9" customFormat="false" ht="15" hidden="false" customHeight="false" outlineLevel="0" collapsed="false">
      <c r="A9" s="5" t="s">
        <v>361</v>
      </c>
      <c r="B9" s="14" t="n">
        <f aca="false">B6/B4</f>
        <v>0.13098016336056</v>
      </c>
      <c r="C9" s="14" t="n">
        <f aca="false">C6/C4</f>
        <v>0.19161275931296</v>
      </c>
      <c r="D9" s="14" t="n">
        <f aca="false">D6/D4</f>
        <v>0.262693156732892</v>
      </c>
      <c r="E9" s="14" t="n">
        <f aca="false">E6/E4</f>
        <v>0.593678332834779</v>
      </c>
      <c r="F9" s="14" t="n">
        <f aca="false">F6/F4</f>
        <v>0.371748802190281</v>
      </c>
      <c r="G9" s="14" t="n">
        <f aca="false">G6/G4</f>
        <v>0.718691641672797</v>
      </c>
      <c r="H9" s="14" t="n">
        <f aca="false">H6/H4</f>
        <v>0.804314516129032</v>
      </c>
    </row>
    <row r="10" customFormat="false" ht="15" hidden="false" customHeight="false" outlineLevel="0" collapsed="false">
      <c r="A10" s="5" t="s">
        <v>362</v>
      </c>
      <c r="C10" s="14" t="n">
        <f aca="false">C4/B4-1</f>
        <v>0.307759626604434</v>
      </c>
      <c r="D10" s="14" t="n">
        <f aca="false">D4/C4-1</f>
        <v>0.21258086103056</v>
      </c>
      <c r="E10" s="14" t="n">
        <f aca="false">E4/D4-1</f>
        <v>0.844922737306843</v>
      </c>
      <c r="G10" s="14" t="n">
        <f aca="false">G4/E4-1</f>
        <v>0.76199022833782</v>
      </c>
      <c r="H10" s="14" t="n">
        <f aca="false">H4/G4-1</f>
        <v>0.403429347518533</v>
      </c>
    </row>
    <row r="12" customFormat="false" ht="17.15" hidden="false" customHeight="false" outlineLevel="0" collapsed="false">
      <c r="A12" s="0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7" min="27" style="0" width="70"/>
  </cols>
  <sheetData>
    <row r="1" customFormat="false" ht="17.15" hidden="false" customHeight="false" outlineLevel="0" collapsed="false">
      <c r="A1" s="0" t="s">
        <v>364</v>
      </c>
    </row>
    <row r="2" customFormat="false" ht="17.15" hidden="false" customHeight="false" outlineLevel="0" collapsed="false">
      <c r="A2" s="0" t="s">
        <v>365</v>
      </c>
    </row>
    <row r="3" customFormat="false" ht="15" hidden="false" customHeight="false" outlineLevel="0" collapsed="false">
      <c r="A3" s="6" t="s">
        <v>16</v>
      </c>
      <c r="B3" s="6" t="s">
        <v>17</v>
      </c>
      <c r="C3" s="12" t="s">
        <v>366</v>
      </c>
      <c r="D3" s="12" t="s">
        <v>367</v>
      </c>
      <c r="E3" s="12" t="s">
        <v>368</v>
      </c>
      <c r="F3" s="12" t="s">
        <v>369</v>
      </c>
      <c r="G3" s="12" t="s">
        <v>370</v>
      </c>
      <c r="H3" s="12" t="s">
        <v>371</v>
      </c>
      <c r="I3" s="12" t="s">
        <v>372</v>
      </c>
      <c r="J3" s="12" t="s">
        <v>373</v>
      </c>
      <c r="K3" s="12" t="s">
        <v>374</v>
      </c>
      <c r="L3" s="12" t="s">
        <v>375</v>
      </c>
      <c r="M3" s="12" t="s">
        <v>376</v>
      </c>
      <c r="N3" s="12" t="s">
        <v>377</v>
      </c>
      <c r="O3" s="12" t="s">
        <v>378</v>
      </c>
      <c r="P3" s="12" t="s">
        <v>379</v>
      </c>
      <c r="Q3" s="12" t="s">
        <v>380</v>
      </c>
      <c r="R3" s="12" t="s">
        <v>381</v>
      </c>
      <c r="S3" s="12" t="s">
        <v>382</v>
      </c>
      <c r="T3" s="12" t="s">
        <v>383</v>
      </c>
      <c r="U3" s="12" t="s">
        <v>384</v>
      </c>
      <c r="V3" s="12" t="s">
        <v>385</v>
      </c>
      <c r="W3" s="12" t="s">
        <v>386</v>
      </c>
      <c r="X3" s="12" t="s">
        <v>387</v>
      </c>
      <c r="Y3" s="12" t="s">
        <v>388</v>
      </c>
      <c r="Z3" s="12" t="s">
        <v>389</v>
      </c>
      <c r="AA3" s="6" t="s">
        <v>353</v>
      </c>
    </row>
    <row r="4" customFormat="false" ht="17.15" hidden="false" customHeight="false" outlineLevel="0" collapsed="false">
      <c r="A4" s="0" t="s">
        <v>390</v>
      </c>
      <c r="B4" s="0" t="s">
        <v>391</v>
      </c>
      <c r="C4" s="15" t="n">
        <v>1.92</v>
      </c>
      <c r="D4" s="15" t="n">
        <v>2.14</v>
      </c>
      <c r="E4" s="15" t="n">
        <v>2.84</v>
      </c>
      <c r="F4" s="15" t="n">
        <v>3.31</v>
      </c>
      <c r="G4" s="15" t="n">
        <v>5.96</v>
      </c>
      <c r="H4" s="15" t="n">
        <v>10.72</v>
      </c>
      <c r="I4" s="15" t="n">
        <v>14.9513168749304</v>
      </c>
      <c r="J4" s="15" t="n">
        <v>16.2035648188888</v>
      </c>
      <c r="K4" s="15" t="n">
        <v>17.8543449815733</v>
      </c>
      <c r="L4" s="15" t="n">
        <v>18.8786713110699</v>
      </c>
      <c r="M4" s="15" t="n">
        <v>18.9636763094518</v>
      </c>
      <c r="N4" s="15" t="n">
        <v>18.6480311322868</v>
      </c>
      <c r="O4" s="15" t="n">
        <v>18.7319976270738</v>
      </c>
      <c r="P4" s="15" t="n">
        <v>18.8163421978194</v>
      </c>
      <c r="Q4" s="15" t="n">
        <v>18.9010665468864</v>
      </c>
      <c r="R4" s="15" t="n">
        <v>18.9861723843027</v>
      </c>
      <c r="S4" s="15" t="n">
        <v>19.1874193215442</v>
      </c>
      <c r="T4" s="15" t="n">
        <v>19.5604237366471</v>
      </c>
      <c r="U4" s="15" t="n">
        <v>19.9406793766988</v>
      </c>
      <c r="V4" s="15" t="n">
        <v>20.3283272058839</v>
      </c>
      <c r="W4" s="15" t="n">
        <v>20.0593273219312</v>
      </c>
      <c r="X4" s="15" t="n">
        <v>20.1608605691764</v>
      </c>
      <c r="Y4" s="15" t="n">
        <v>20.2629077419451</v>
      </c>
      <c r="Z4" s="15" t="n">
        <v>20.3654714415474</v>
      </c>
      <c r="AA4" s="8" t="s">
        <v>392</v>
      </c>
    </row>
    <row r="5" customFormat="false" ht="17.15" hidden="false" customHeight="false" outlineLevel="0" collapsed="false">
      <c r="A5" s="0" t="s">
        <v>393</v>
      </c>
      <c r="B5" s="0" t="s">
        <v>391</v>
      </c>
      <c r="C5" s="15" t="n">
        <v>1.92</v>
      </c>
      <c r="D5" s="15" t="n">
        <v>2.14</v>
      </c>
      <c r="E5" s="15" t="n">
        <v>2.84</v>
      </c>
      <c r="F5" s="15" t="n">
        <v>3.31</v>
      </c>
      <c r="G5" s="15" t="n">
        <v>5.96</v>
      </c>
      <c r="H5" s="15" t="n">
        <v>10.72</v>
      </c>
      <c r="I5" s="15" t="n">
        <v>14.9513168749304</v>
      </c>
      <c r="J5" s="15" t="n">
        <v>16.2035648188888</v>
      </c>
      <c r="K5" s="15" t="n">
        <v>17.9742404553078</v>
      </c>
      <c r="L5" s="15" t="n">
        <v>19.3855542464056</v>
      </c>
      <c r="M5" s="15" t="n">
        <v>18.4479551874158</v>
      </c>
      <c r="N5" s="15" t="n">
        <v>15.6050701475302</v>
      </c>
      <c r="O5" s="15" t="n">
        <v>10.8375845604605</v>
      </c>
      <c r="P5" s="15" t="n">
        <v>8.41701710544631</v>
      </c>
      <c r="Q5" s="15" t="n">
        <v>6.97288726979248</v>
      </c>
      <c r="R5" s="15" t="n">
        <v>6.49859692592223</v>
      </c>
      <c r="S5" s="15" t="n">
        <v>7.26243228308299</v>
      </c>
      <c r="T5" s="15" t="n">
        <v>8.02763787825889</v>
      </c>
      <c r="U5" s="15" t="n">
        <v>8.70445083676345</v>
      </c>
      <c r="V5" s="15" t="n">
        <v>9.43832613262633</v>
      </c>
      <c r="W5" s="15" t="n">
        <v>9.05836490298616</v>
      </c>
      <c r="X5" s="15" t="n">
        <v>9.05861450224771</v>
      </c>
      <c r="Y5" s="15" t="n">
        <v>9.05886410838686</v>
      </c>
      <c r="Z5" s="15" t="n">
        <v>9.0591137214038</v>
      </c>
      <c r="AA5" s="8" t="s">
        <v>394</v>
      </c>
    </row>
    <row r="6" customFormat="false" ht="17.15" hidden="false" customHeight="false" outlineLevel="0" collapsed="false">
      <c r="A6" s="0" t="s">
        <v>395</v>
      </c>
      <c r="B6" s="0" t="s">
        <v>391</v>
      </c>
      <c r="C6" s="15" t="n">
        <v>1.92</v>
      </c>
      <c r="D6" s="15" t="n">
        <v>2.14</v>
      </c>
      <c r="E6" s="15" t="n">
        <v>2.84</v>
      </c>
      <c r="F6" s="15" t="n">
        <v>3.31</v>
      </c>
      <c r="G6" s="15" t="n">
        <v>5.96</v>
      </c>
      <c r="H6" s="15" t="n">
        <v>10.72</v>
      </c>
      <c r="I6" s="15" t="n">
        <v>14.9513168749304</v>
      </c>
      <c r="J6" s="15" t="n">
        <v>16.2035648188888</v>
      </c>
      <c r="K6" s="15" t="n">
        <v>17.7474496187206</v>
      </c>
      <c r="L6" s="15" t="n">
        <v>19.1409560907182</v>
      </c>
      <c r="M6" s="15" t="n">
        <v>18.2151872325928</v>
      </c>
      <c r="N6" s="15" t="n">
        <v>15.4081724303464</v>
      </c>
      <c r="O6" s="15" t="n">
        <v>9.04794816244037</v>
      </c>
      <c r="P6" s="15" t="n">
        <v>5.89541838389422</v>
      </c>
      <c r="Q6" s="15" t="n">
        <v>4.43227874989842</v>
      </c>
      <c r="R6" s="15" t="n">
        <v>3.55441574231629</v>
      </c>
      <c r="S6" s="15" t="n">
        <v>3.80385027907145</v>
      </c>
      <c r="T6" s="15" t="n">
        <v>4.15539367756628</v>
      </c>
      <c r="U6" s="15" t="n">
        <v>4.66912382044815</v>
      </c>
      <c r="V6" s="15" t="n">
        <v>5.34352120634804</v>
      </c>
      <c r="W6" s="15" t="n">
        <v>5.11514448600669</v>
      </c>
      <c r="X6" s="15" t="n">
        <v>5.10424589044923</v>
      </c>
      <c r="Y6" s="15" t="n">
        <v>5.093370516012</v>
      </c>
      <c r="Z6" s="15" t="n">
        <v>5.08251831321886</v>
      </c>
      <c r="AA6" s="8" t="s">
        <v>396</v>
      </c>
    </row>
    <row r="7" customFormat="false" ht="17.15" hidden="false" customHeight="false" outlineLevel="0" collapsed="false">
      <c r="A7" s="0" t="s">
        <v>397</v>
      </c>
      <c r="B7" s="0" t="s">
        <v>398</v>
      </c>
      <c r="C7" s="15" t="n">
        <v>35.5454438457651</v>
      </c>
      <c r="D7" s="15" t="n">
        <v>33.3561735612603</v>
      </c>
      <c r="E7" s="15" t="n">
        <v>38.3034616573653</v>
      </c>
      <c r="F7" s="15" t="n">
        <v>36.6117929947199</v>
      </c>
      <c r="G7" s="15" t="n">
        <v>38.1333152375469</v>
      </c>
      <c r="H7" s="15" t="n">
        <v>40.1757580440862</v>
      </c>
      <c r="I7" s="15" t="n">
        <v>44.8269021796765</v>
      </c>
      <c r="J7" s="15" t="n">
        <v>44.9411476117569</v>
      </c>
      <c r="K7" s="15" t="n">
        <v>48.0773237904583</v>
      </c>
      <c r="L7" s="15" t="n">
        <v>50.835580599158</v>
      </c>
      <c r="M7" s="15" t="n">
        <v>53.7520820858664</v>
      </c>
      <c r="N7" s="15" t="n">
        <v>56.8359069476934</v>
      </c>
      <c r="O7" s="15" t="n">
        <v>60.0966547380729</v>
      </c>
      <c r="P7" s="15" t="n">
        <v>63.5444757489475</v>
      </c>
      <c r="Q7" s="15" t="n">
        <v>67.190102607333</v>
      </c>
      <c r="R7" s="15" t="n">
        <v>71.0448836846168</v>
      </c>
      <c r="S7" s="15" t="n">
        <v>74.0184898623123</v>
      </c>
      <c r="T7" s="15" t="n">
        <v>77.7911475249602</v>
      </c>
      <c r="U7" s="15" t="n">
        <v>81.7560942476254</v>
      </c>
      <c r="V7" s="15" t="n">
        <v>85.9231308354458</v>
      </c>
      <c r="W7" s="15" t="n">
        <v>87.5395173614874</v>
      </c>
      <c r="X7" s="15" t="n">
        <v>90.8398023892908</v>
      </c>
      <c r="Y7" s="15" t="n">
        <v>94.2645098675832</v>
      </c>
      <c r="Z7" s="15" t="n">
        <v>97.8183305870253</v>
      </c>
      <c r="AA7" s="8" t="s">
        <v>399</v>
      </c>
    </row>
    <row r="8" customFormat="false" ht="17.15" hidden="false" customHeight="false" outlineLevel="0" collapsed="false">
      <c r="A8" s="0" t="s">
        <v>400</v>
      </c>
      <c r="B8" s="0" t="s">
        <v>398</v>
      </c>
      <c r="C8" s="15" t="n">
        <v>35.5454438457651</v>
      </c>
      <c r="D8" s="15" t="n">
        <v>33.3561735612603</v>
      </c>
      <c r="E8" s="15" t="n">
        <v>38.3034616573653</v>
      </c>
      <c r="F8" s="15" t="n">
        <v>36.6117929947199</v>
      </c>
      <c r="G8" s="15" t="n">
        <v>38.1333152375469</v>
      </c>
      <c r="H8" s="15" t="n">
        <v>40.1757580440862</v>
      </c>
      <c r="I8" s="15" t="n">
        <v>44.8269021796765</v>
      </c>
      <c r="J8" s="15" t="n">
        <v>44.9411476117569</v>
      </c>
      <c r="K8" s="15" t="n">
        <v>47.4782645224172</v>
      </c>
      <c r="L8" s="15" t="n">
        <v>50.2021525440336</v>
      </c>
      <c r="M8" s="15" t="n">
        <v>53.0823134629208</v>
      </c>
      <c r="N8" s="15" t="n">
        <v>56.1277128526366</v>
      </c>
      <c r="O8" s="15" t="n">
        <v>55.6860072193511</v>
      </c>
      <c r="P8" s="15" t="n">
        <v>57.6647650202197</v>
      </c>
      <c r="Q8" s="15" t="n">
        <v>59.7138363994901</v>
      </c>
      <c r="R8" s="15" t="n">
        <v>61.8357198940249</v>
      </c>
      <c r="S8" s="15" t="n">
        <v>65.8131408283531</v>
      </c>
      <c r="T8" s="15" t="n">
        <v>69.2833686995897</v>
      </c>
      <c r="U8" s="15" t="n">
        <v>72.9365764640017</v>
      </c>
      <c r="V8" s="15" t="n">
        <v>76.7824123759829</v>
      </c>
      <c r="W8" s="15" t="n">
        <v>76.0844519175624</v>
      </c>
      <c r="X8" s="15" t="n">
        <v>78.5574205878787</v>
      </c>
      <c r="Y8" s="15" t="n">
        <v>81.1107680200871</v>
      </c>
      <c r="Z8" s="15" t="n">
        <v>83.7471067605739</v>
      </c>
      <c r="AA8" s="8" t="s">
        <v>401</v>
      </c>
    </row>
    <row r="9" customFormat="false" ht="17.15" hidden="false" customHeight="false" outlineLevel="0" collapsed="false">
      <c r="A9" s="0" t="s">
        <v>402</v>
      </c>
      <c r="B9" s="0" t="s">
        <v>398</v>
      </c>
      <c r="C9" s="15" t="n">
        <v>35.5454438457651</v>
      </c>
      <c r="D9" s="15" t="n">
        <v>33.3561735612603</v>
      </c>
      <c r="E9" s="15" t="n">
        <v>38.3034616573653</v>
      </c>
      <c r="F9" s="15" t="n">
        <v>36.6117929947199</v>
      </c>
      <c r="G9" s="15" t="n">
        <v>38.1333152375469</v>
      </c>
      <c r="H9" s="15" t="n">
        <v>40.1757580440862</v>
      </c>
      <c r="I9" s="15" t="n">
        <v>44.8269021796765</v>
      </c>
      <c r="J9" s="15" t="n">
        <v>44.9411476117569</v>
      </c>
      <c r="K9" s="15" t="n">
        <v>46.8792052543761</v>
      </c>
      <c r="L9" s="15" t="n">
        <v>49.5687244889092</v>
      </c>
      <c r="M9" s="15" t="n">
        <v>52.4125448399752</v>
      </c>
      <c r="N9" s="15" t="n">
        <v>55.4195187575798</v>
      </c>
      <c r="O9" s="15" t="n">
        <v>50.0666308662578</v>
      </c>
      <c r="P9" s="15" t="n">
        <v>50.1879594440681</v>
      </c>
      <c r="Q9" s="15" t="n">
        <v>50.3095820425373</v>
      </c>
      <c r="R9" s="15" t="n">
        <v>50.4314993741779</v>
      </c>
      <c r="S9" s="15" t="n">
        <v>53.9705782541484</v>
      </c>
      <c r="T9" s="15" t="n">
        <v>56.1508755097806</v>
      </c>
      <c r="U9" s="15" t="n">
        <v>58.4192521649057</v>
      </c>
      <c r="V9" s="15" t="n">
        <v>60.7792664410439</v>
      </c>
      <c r="W9" s="15" t="n">
        <v>60.0710404970986</v>
      </c>
      <c r="X9" s="15" t="n">
        <v>61.8896702290182</v>
      </c>
      <c r="Y9" s="15" t="n">
        <v>63.7633583397249</v>
      </c>
      <c r="Z9" s="15" t="n">
        <v>65.6937717023712</v>
      </c>
      <c r="AA9" s="8" t="s">
        <v>403</v>
      </c>
    </row>
    <row r="10" customFormat="false" ht="17.15" hidden="false" customHeight="false" outlineLevel="0" collapsed="false">
      <c r="A10" s="0" t="s">
        <v>404</v>
      </c>
      <c r="B10" s="0" t="s">
        <v>145</v>
      </c>
      <c r="C10" s="16" t="n">
        <v>0.279077306733167</v>
      </c>
      <c r="D10" s="16" t="n">
        <v>0.255607692307692</v>
      </c>
      <c r="E10" s="16" t="n">
        <v>0.27406432748538</v>
      </c>
      <c r="F10" s="16" t="n">
        <v>0.268969696969697</v>
      </c>
      <c r="G10" s="16" t="n">
        <v>0.270960154241645</v>
      </c>
      <c r="H10" s="16" t="n">
        <v>0.250180832610581</v>
      </c>
      <c r="I10" s="16" t="n">
        <v>0.251873605888391</v>
      </c>
      <c r="J10" s="16" t="n">
        <v>0.245026657759283</v>
      </c>
      <c r="K10" s="16" t="n">
        <v>0.245026657759283</v>
      </c>
      <c r="L10" s="16" t="n">
        <v>0.245026657759283</v>
      </c>
      <c r="M10" s="16" t="n">
        <v>0.245026657759283</v>
      </c>
      <c r="N10" s="16" t="n">
        <v>0.245026657759283</v>
      </c>
      <c r="O10" s="16" t="n">
        <v>0.245026657759283</v>
      </c>
      <c r="P10" s="16" t="n">
        <v>0.245026657759283</v>
      </c>
      <c r="Q10" s="16" t="n">
        <v>0.245026657759283</v>
      </c>
      <c r="R10" s="16" t="n">
        <v>0.245026657759283</v>
      </c>
      <c r="S10" s="16" t="n">
        <v>0.245026657759283</v>
      </c>
      <c r="T10" s="16" t="n">
        <v>0.245026657759283</v>
      </c>
      <c r="U10" s="16" t="n">
        <v>0.245026657759283</v>
      </c>
      <c r="V10" s="16" t="n">
        <v>0.245026657759283</v>
      </c>
      <c r="W10" s="16" t="n">
        <v>0.245026657759283</v>
      </c>
      <c r="X10" s="16" t="n">
        <v>0.245026657759283</v>
      </c>
      <c r="Y10" s="16" t="n">
        <v>0.245026657759283</v>
      </c>
      <c r="Z10" s="16" t="n">
        <v>0.245026657759283</v>
      </c>
      <c r="AA10" s="8" t="s">
        <v>405</v>
      </c>
    </row>
    <row r="11" customFormat="false" ht="17.15" hidden="false" customHeight="false" outlineLevel="0" collapsed="false">
      <c r="A11" s="0" t="s">
        <v>406</v>
      </c>
      <c r="B11" s="0" t="s">
        <v>145</v>
      </c>
      <c r="C11" s="16" t="n">
        <v>0.279077306733167</v>
      </c>
      <c r="D11" s="16" t="n">
        <v>0.255607692307692</v>
      </c>
      <c r="E11" s="16" t="n">
        <v>0.27406432748538</v>
      </c>
      <c r="F11" s="16" t="n">
        <v>0.268969696969697</v>
      </c>
      <c r="G11" s="16" t="n">
        <v>0.270960154241645</v>
      </c>
      <c r="H11" s="16" t="n">
        <v>0.250180832610581</v>
      </c>
      <c r="I11" s="16" t="n">
        <v>0.251873605888391</v>
      </c>
      <c r="J11" s="16" t="n">
        <v>0.245026657759283</v>
      </c>
      <c r="K11" s="16" t="n">
        <v>0.242026657759283</v>
      </c>
      <c r="L11" s="16" t="n">
        <v>0.242026657759283</v>
      </c>
      <c r="M11" s="16" t="n">
        <v>0.242026657759283</v>
      </c>
      <c r="N11" s="16" t="n">
        <v>0.242026657759283</v>
      </c>
      <c r="O11" s="16" t="n">
        <v>0.239026657759283</v>
      </c>
      <c r="P11" s="16" t="n">
        <v>0.239026657759283</v>
      </c>
      <c r="Q11" s="16" t="n">
        <v>0.239026657759283</v>
      </c>
      <c r="R11" s="16" t="n">
        <v>0.239026657759283</v>
      </c>
      <c r="S11" s="16" t="n">
        <v>0.236026657759283</v>
      </c>
      <c r="T11" s="16" t="n">
        <v>0.236026657759283</v>
      </c>
      <c r="U11" s="16" t="n">
        <v>0.236026657759283</v>
      </c>
      <c r="V11" s="16" t="n">
        <v>0.236026657759283</v>
      </c>
      <c r="W11" s="16" t="n">
        <v>0.233026657759283</v>
      </c>
      <c r="X11" s="16" t="n">
        <v>0.233026657759283</v>
      </c>
      <c r="Y11" s="16" t="n">
        <v>0.233026657759283</v>
      </c>
      <c r="Z11" s="16" t="n">
        <v>0.233026657759283</v>
      </c>
      <c r="AA11" s="8" t="s">
        <v>407</v>
      </c>
    </row>
    <row r="12" customFormat="false" ht="17.15" hidden="false" customHeight="false" outlineLevel="0" collapsed="false">
      <c r="A12" s="0" t="s">
        <v>408</v>
      </c>
      <c r="B12" s="0" t="s">
        <v>145</v>
      </c>
      <c r="C12" s="16" t="n">
        <v>0.279077306733167</v>
      </c>
      <c r="D12" s="16" t="n">
        <v>0.255607692307692</v>
      </c>
      <c r="E12" s="16" t="n">
        <v>0.27406432748538</v>
      </c>
      <c r="F12" s="16" t="n">
        <v>0.268969696969697</v>
      </c>
      <c r="G12" s="16" t="n">
        <v>0.270960154241645</v>
      </c>
      <c r="H12" s="16" t="n">
        <v>0.250180832610581</v>
      </c>
      <c r="I12" s="16" t="n">
        <v>0.251873605888391</v>
      </c>
      <c r="J12" s="16" t="n">
        <v>0.245026657759283</v>
      </c>
      <c r="K12" s="16" t="n">
        <v>0.239026657759283</v>
      </c>
      <c r="L12" s="16" t="n">
        <v>0.239026657759283</v>
      </c>
      <c r="M12" s="16" t="n">
        <v>0.239026657759283</v>
      </c>
      <c r="N12" s="16" t="n">
        <v>0.239026657759283</v>
      </c>
      <c r="O12" s="16" t="n">
        <v>0.233026657759283</v>
      </c>
      <c r="P12" s="16" t="n">
        <v>0.233026657759283</v>
      </c>
      <c r="Q12" s="16" t="n">
        <v>0.233026657759283</v>
      </c>
      <c r="R12" s="16" t="n">
        <v>0.233026657759283</v>
      </c>
      <c r="S12" s="16" t="n">
        <v>0.227026657759283</v>
      </c>
      <c r="T12" s="16" t="n">
        <v>0.227026657759283</v>
      </c>
      <c r="U12" s="16" t="n">
        <v>0.227026657759283</v>
      </c>
      <c r="V12" s="16" t="n">
        <v>0.227026657759283</v>
      </c>
      <c r="W12" s="16" t="n">
        <v>0.221026657759283</v>
      </c>
      <c r="X12" s="16" t="n">
        <v>0.221026657759283</v>
      </c>
      <c r="Y12" s="16" t="n">
        <v>0.221026657759283</v>
      </c>
      <c r="Z12" s="16" t="n">
        <v>0.221026657759283</v>
      </c>
      <c r="AA12" s="8" t="s">
        <v>409</v>
      </c>
    </row>
    <row r="14" customFormat="false" ht="17.15" hidden="false" customHeight="false" outlineLevel="0" collapsed="false">
      <c r="A14" s="1" t="s">
        <v>410</v>
      </c>
    </row>
    <row r="15" customFormat="false" ht="15" hidden="false" customHeight="false" outlineLevel="0" collapsed="false">
      <c r="A15" s="6" t="s">
        <v>16</v>
      </c>
      <c r="B15" s="6" t="s">
        <v>17</v>
      </c>
      <c r="C15" s="12" t="s">
        <v>411</v>
      </c>
      <c r="D15" s="12" t="s">
        <v>412</v>
      </c>
      <c r="E15" s="12" t="s">
        <v>413</v>
      </c>
      <c r="F15" s="12" t="s">
        <v>414</v>
      </c>
      <c r="G15" s="12" t="s">
        <v>415</v>
      </c>
      <c r="H15" s="12" t="s">
        <v>416</v>
      </c>
      <c r="I15" s="6" t="s">
        <v>353</v>
      </c>
    </row>
    <row r="16" customFormat="false" ht="17.15" hidden="false" customHeight="false" outlineLevel="0" collapsed="false">
      <c r="A16" s="0" t="s">
        <v>417</v>
      </c>
      <c r="B16" s="0" t="s">
        <v>145</v>
      </c>
      <c r="C16" s="16" t="n">
        <v>0.311320754716981</v>
      </c>
      <c r="D16" s="16" t="n">
        <v>0.554070473876063</v>
      </c>
      <c r="E16" s="16" t="n">
        <v>0.678482717972467</v>
      </c>
      <c r="F16" s="16" t="n">
        <v>0.720453749927785</v>
      </c>
      <c r="G16" s="16" t="n">
        <v>0.757843963703706</v>
      </c>
      <c r="H16" s="16" t="n">
        <v>0.775098627379381</v>
      </c>
      <c r="I16" s="8" t="s">
        <v>418</v>
      </c>
    </row>
    <row r="17" customFormat="false" ht="17.15" hidden="false" customHeight="false" outlineLevel="0" collapsed="false">
      <c r="A17" s="0" t="s">
        <v>419</v>
      </c>
      <c r="B17" s="0" t="s">
        <v>145</v>
      </c>
      <c r="C17" s="16" t="n">
        <v>0.311320754716981</v>
      </c>
      <c r="D17" s="16" t="n">
        <v>0.554070473876063</v>
      </c>
      <c r="E17" s="16" t="n">
        <v>0.678482717972467</v>
      </c>
      <c r="F17" s="16" t="n">
        <v>0.673392652237959</v>
      </c>
      <c r="G17" s="16" t="n">
        <v>0.726785917184635</v>
      </c>
      <c r="H17" s="16" t="n">
        <v>0.745510452541792</v>
      </c>
      <c r="I17" s="8" t="s">
        <v>420</v>
      </c>
    </row>
    <row r="18" customFormat="false" ht="17.15" hidden="false" customHeight="false" outlineLevel="0" collapsed="false">
      <c r="A18" s="0" t="s">
        <v>421</v>
      </c>
      <c r="B18" s="0" t="s">
        <v>145</v>
      </c>
      <c r="C18" s="16" t="n">
        <v>0.311320754716981</v>
      </c>
      <c r="D18" s="16" t="n">
        <v>0.554070473876063</v>
      </c>
      <c r="E18" s="16" t="n">
        <v>0.678482717972467</v>
      </c>
      <c r="F18" s="16" t="n">
        <v>0.607278751450164</v>
      </c>
      <c r="G18" s="16" t="n">
        <v>0.652505241707422</v>
      </c>
      <c r="H18" s="16" t="n">
        <v>0.674037344699121</v>
      </c>
      <c r="I18" s="8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8" min="3" style="0" width="12"/>
    <col collapsed="false" customWidth="true" hidden="false" outlineLevel="0" max="20" min="20" style="0" width="60"/>
  </cols>
  <sheetData>
    <row r="1" customFormat="false" ht="17.15" hidden="false" customHeight="false" outlineLevel="0" collapsed="false">
      <c r="A1" s="0" t="s">
        <v>423</v>
      </c>
    </row>
    <row r="3" customFormat="false" ht="15" hidden="false" customHeight="false" outlineLevel="0" collapsed="false">
      <c r="A3" s="6" t="s">
        <v>424</v>
      </c>
      <c r="B3" s="6" t="s">
        <v>17</v>
      </c>
      <c r="C3" s="12" t="s">
        <v>425</v>
      </c>
      <c r="D3" s="12" t="s">
        <v>426</v>
      </c>
      <c r="E3" s="12" t="s">
        <v>427</v>
      </c>
      <c r="F3" s="12" t="s">
        <v>428</v>
      </c>
      <c r="G3" s="12" t="s">
        <v>429</v>
      </c>
      <c r="H3" s="6" t="s">
        <v>330</v>
      </c>
    </row>
    <row r="4" customFormat="false" ht="17.15" hidden="false" customHeight="false" outlineLevel="0" collapsed="false">
      <c r="A4" s="3" t="s">
        <v>430</v>
      </c>
    </row>
    <row r="5" customFormat="false" ht="15" hidden="false" customHeight="false" outlineLevel="0" collapsed="false">
      <c r="A5" s="5" t="s">
        <v>354</v>
      </c>
      <c r="B5" s="0" t="s">
        <v>27</v>
      </c>
      <c r="C5" s="17" t="n">
        <f aca="false">C77</f>
        <v>2337.6</v>
      </c>
      <c r="D5" s="17" t="n">
        <f aca="false">D77</f>
        <v>9861.25414257431</v>
      </c>
      <c r="E5" s="17" t="n">
        <f aca="false">E77</f>
        <v>12399.7631810532</v>
      </c>
      <c r="F5" s="17" t="n">
        <f aca="false">F77</f>
        <v>12509.9801209115</v>
      </c>
      <c r="G5" s="17" t="n">
        <f aca="false">G77</f>
        <v>13168.9760846731</v>
      </c>
    </row>
    <row r="6" customFormat="false" ht="17.15" hidden="false" customHeight="false" outlineLevel="0" collapsed="false">
      <c r="A6" s="0" t="s">
        <v>431</v>
      </c>
      <c r="B6" s="0" t="s">
        <v>27</v>
      </c>
      <c r="C6" s="17" t="n">
        <f aca="false">C78</f>
        <v>1364.7</v>
      </c>
      <c r="D6" s="17" t="n">
        <f aca="false">D78</f>
        <v>6516.84173409904</v>
      </c>
      <c r="E6" s="17" t="n">
        <f aca="false">E78</f>
        <v>8431.83896311616</v>
      </c>
      <c r="F6" s="17" t="n">
        <f aca="false">F78</f>
        <v>8756.98608463807</v>
      </c>
      <c r="G6" s="17" t="n">
        <f aca="false">G78</f>
        <v>9218.28325927117</v>
      </c>
    </row>
    <row r="7" customFormat="false" ht="17.15" hidden="false" customHeight="false" outlineLevel="0" collapsed="false">
      <c r="A7" s="0" t="s">
        <v>432</v>
      </c>
      <c r="B7" s="0" t="s">
        <v>27</v>
      </c>
      <c r="C7" s="17" t="n">
        <f aca="false">C79</f>
        <v>507.679569396364</v>
      </c>
      <c r="D7" s="17" t="n">
        <f aca="false">D79</f>
        <v>3813.48331392765</v>
      </c>
      <c r="E7" s="17" t="n">
        <f aca="false">E79</f>
        <v>5809.33026284196</v>
      </c>
      <c r="F7" s="17" t="n">
        <f aca="false">F79</f>
        <v>6390.85985817728</v>
      </c>
      <c r="G7" s="17" t="n">
        <f aca="false">G79</f>
        <v>7025.78491807603</v>
      </c>
    </row>
    <row r="8" customFormat="false" ht="15" hidden="false" customHeight="false" outlineLevel="0" collapsed="false">
      <c r="A8" s="5" t="s">
        <v>433</v>
      </c>
      <c r="B8" s="0" t="s">
        <v>27</v>
      </c>
      <c r="C8" s="17" t="n">
        <f aca="false">C80</f>
        <v>759.5</v>
      </c>
      <c r="D8" s="17" t="n">
        <f aca="false">D80</f>
        <v>2953.94624277229</v>
      </c>
      <c r="E8" s="17" t="n">
        <f aca="false">E80</f>
        <v>3471.93369069489</v>
      </c>
      <c r="F8" s="17" t="n">
        <f aca="false">F80</f>
        <v>3252.594831437</v>
      </c>
      <c r="G8" s="17" t="n">
        <f aca="false">G80</f>
        <v>3423.93378201501</v>
      </c>
    </row>
    <row r="9" customFormat="false" ht="15" hidden="false" customHeight="false" outlineLevel="0" collapsed="false">
      <c r="A9" s="5" t="s">
        <v>434</v>
      </c>
      <c r="B9" s="0" t="s">
        <v>27</v>
      </c>
      <c r="C9" s="17" t="n">
        <f aca="false">C81</f>
        <v>213.4</v>
      </c>
      <c r="D9" s="17" t="n">
        <f aca="false">D81</f>
        <v>390.466165702972</v>
      </c>
      <c r="E9" s="17" t="n">
        <f aca="false">E81</f>
        <v>495.990527242127</v>
      </c>
      <c r="F9" s="17" t="n">
        <f aca="false">F81</f>
        <v>500.399204836461</v>
      </c>
      <c r="G9" s="17" t="n">
        <f aca="false">G81</f>
        <v>526.759043386924</v>
      </c>
    </row>
    <row r="10" customFormat="false" ht="15" hidden="false" customHeight="false" outlineLevel="0" collapsed="false">
      <c r="A10" s="5" t="s">
        <v>360</v>
      </c>
      <c r="B10" s="0" t="s">
        <v>145</v>
      </c>
      <c r="C10" s="14" t="n">
        <f aca="false">C84</f>
        <v>0.433264887063655</v>
      </c>
      <c r="D10" s="14" t="n">
        <f aca="false">D84</f>
        <v>0.832792887451521</v>
      </c>
      <c r="E10" s="14" t="n">
        <f aca="false">E84</f>
        <v>0.85686965043755</v>
      </c>
      <c r="F10" s="14" t="n">
        <f aca="false">F84</f>
        <v>0.84806522296975</v>
      </c>
      <c r="G10" s="14" t="n">
        <f aca="false">G84</f>
        <v>0.850048403288326</v>
      </c>
    </row>
    <row r="11" customFormat="false" ht="15" hidden="false" customHeight="false" outlineLevel="0" collapsed="false">
      <c r="A11" s="5" t="s">
        <v>358</v>
      </c>
      <c r="B11" s="0" t="s">
        <v>27</v>
      </c>
      <c r="C11" s="17" t="n">
        <f aca="false">C86</f>
        <v>869</v>
      </c>
      <c r="D11" s="17" t="n">
        <f aca="false">D86</f>
        <v>7916.24681908788</v>
      </c>
      <c r="E11" s="17" t="n">
        <f aca="false">E86</f>
        <v>10348.6455619418</v>
      </c>
      <c r="F11" s="17" t="n">
        <f aca="false">F86</f>
        <v>10316.6079758032</v>
      </c>
      <c r="G11" s="17" t="n">
        <f aca="false">G86</f>
        <v>10878.2488989386</v>
      </c>
    </row>
    <row r="12" customFormat="false" ht="15" hidden="false" customHeight="false" outlineLevel="0" collapsed="false">
      <c r="A12" s="5" t="s">
        <v>361</v>
      </c>
      <c r="B12" s="0" t="s">
        <v>145</v>
      </c>
      <c r="C12" s="14" t="n">
        <f aca="false">C87</f>
        <v>0.371748802190281</v>
      </c>
      <c r="D12" s="14" t="n">
        <f aca="false">D87</f>
        <v>0.802762681565098</v>
      </c>
      <c r="E12" s="14" t="n">
        <f aca="false">E87</f>
        <v>0.834584129619063</v>
      </c>
      <c r="F12" s="14" t="n">
        <f aca="false">F87</f>
        <v>0.824670213388916</v>
      </c>
      <c r="G12" s="14" t="n">
        <f aca="false">G87</f>
        <v>0.826051230482481</v>
      </c>
    </row>
    <row r="13" customFormat="false" ht="15" hidden="false" customHeight="false" outlineLevel="0" collapsed="false">
      <c r="A13" s="5" t="s">
        <v>359</v>
      </c>
      <c r="B13" s="0" t="s">
        <v>27</v>
      </c>
      <c r="C13" s="17" t="n">
        <f aca="false">C88</f>
        <v>554.5</v>
      </c>
      <c r="D13" s="17" t="n">
        <f aca="false">D88</f>
        <v>5345.38359697976</v>
      </c>
      <c r="E13" s="17" t="n">
        <f aca="false">E88</f>
        <v>7021.30942088797</v>
      </c>
      <c r="F13" s="17" t="n">
        <f aca="false">F88</f>
        <v>7036.90378556338</v>
      </c>
      <c r="G13" s="17" t="n">
        <f aca="false">G88</f>
        <v>7456.28436988889</v>
      </c>
    </row>
    <row r="14" customFormat="false" ht="15" hidden="false" customHeight="false" outlineLevel="0" collapsed="false">
      <c r="A14" s="0" t="s">
        <v>435</v>
      </c>
      <c r="B14" s="0" t="s">
        <v>108</v>
      </c>
      <c r="C14" s="17" t="n">
        <f aca="false">C96</f>
        <v>341.4</v>
      </c>
      <c r="D14" s="17" t="n">
        <f aca="false">D96</f>
        <v>3359.89398572193</v>
      </c>
      <c r="E14" s="17" t="n">
        <f aca="false">E96</f>
        <v>4733.90793182165</v>
      </c>
      <c r="F14" s="17" t="n">
        <f aca="false">F96</f>
        <v>5116.97540133617</v>
      </c>
      <c r="G14" s="17" t="n">
        <f aca="false">G96</f>
        <v>5914.66198193265</v>
      </c>
    </row>
    <row r="15" customFormat="false" ht="15" hidden="false" customHeight="false" outlineLevel="0" collapsed="false">
      <c r="A15" s="5" t="s">
        <v>436</v>
      </c>
      <c r="B15" s="0" t="s">
        <v>108</v>
      </c>
      <c r="D15" s="17" t="n">
        <f aca="false">D97</f>
        <v>3826.34371465439</v>
      </c>
      <c r="E15" s="17" t="n">
        <f aca="false">E97</f>
        <v>7956.1349969918</v>
      </c>
      <c r="F15" s="17" t="n">
        <f aca="false">F97</f>
        <v>12751.9958620463</v>
      </c>
      <c r="G15" s="17" t="n">
        <f aca="false">G97</f>
        <v>18742.2989299957</v>
      </c>
    </row>
    <row r="16" customFormat="false" ht="15" hidden="false" customHeight="false" outlineLevel="0" collapsed="false">
      <c r="A16" s="5" t="s">
        <v>437</v>
      </c>
      <c r="B16" s="0" t="s">
        <v>27</v>
      </c>
      <c r="D16" s="17" t="n">
        <f aca="false">D91</f>
        <v>5215.38359697976</v>
      </c>
      <c r="E16" s="17" t="n">
        <f aca="false">E91</f>
        <v>6871.30942088797</v>
      </c>
      <c r="F16" s="17" t="n">
        <f aca="false">F91</f>
        <v>6886.90378556338</v>
      </c>
      <c r="G16" s="17" t="n">
        <f aca="false">G91</f>
        <v>7306.28436988889</v>
      </c>
    </row>
    <row r="18" customFormat="false" ht="17.15" hidden="false" customHeight="false" outlineLevel="0" collapsed="false">
      <c r="A18" s="3" t="s">
        <v>438</v>
      </c>
    </row>
    <row r="19" customFormat="false" ht="15" hidden="false" customHeight="false" outlineLevel="0" collapsed="false">
      <c r="A19" s="5" t="s">
        <v>354</v>
      </c>
      <c r="B19" s="0" t="s">
        <v>27</v>
      </c>
      <c r="C19" s="17" t="n">
        <f aca="false">C124</f>
        <v>2337.6</v>
      </c>
      <c r="D19" s="17" t="n">
        <f aca="false">D124</f>
        <v>9881.01788246575</v>
      </c>
      <c r="E19" s="17" t="n">
        <f aca="false">E124</f>
        <v>10595.374034981</v>
      </c>
      <c r="F19" s="17" t="n">
        <f aca="false">F124</f>
        <v>4805.28122544007</v>
      </c>
      <c r="G19" s="17" t="n">
        <f aca="false">G124</f>
        <v>5807.16200534952</v>
      </c>
    </row>
    <row r="20" customFormat="false" ht="17.15" hidden="false" customHeight="false" outlineLevel="0" collapsed="false">
      <c r="A20" s="0" t="s">
        <v>431</v>
      </c>
      <c r="B20" s="0" t="s">
        <v>27</v>
      </c>
      <c r="C20" s="17" t="n">
        <f aca="false">C125</f>
        <v>1364.7</v>
      </c>
      <c r="D20" s="17" t="n">
        <f aca="false">D125</f>
        <v>6529.88580242739</v>
      </c>
      <c r="E20" s="17" t="n">
        <f aca="false">E125</f>
        <v>7204.85434378707</v>
      </c>
      <c r="F20" s="17" t="n">
        <f aca="false">F125</f>
        <v>3363.69685780805</v>
      </c>
      <c r="G20" s="17" t="n">
        <f aca="false">G125</f>
        <v>4065.01340374466</v>
      </c>
    </row>
    <row r="21" customFormat="false" ht="17.15" hidden="false" customHeight="false" outlineLevel="0" collapsed="false">
      <c r="A21" s="0" t="s">
        <v>432</v>
      </c>
      <c r="B21" s="0" t="s">
        <v>27</v>
      </c>
      <c r="C21" s="17" t="n">
        <f aca="false">C126</f>
        <v>507.679569396364</v>
      </c>
      <c r="D21" s="17" t="n">
        <f aca="false">D126</f>
        <v>3821.11635750083</v>
      </c>
      <c r="E21" s="17" t="n">
        <f aca="false">E126</f>
        <v>4879.20086221403</v>
      </c>
      <c r="F21" s="17" t="n">
        <f aca="false">F126</f>
        <v>2309.98843778616</v>
      </c>
      <c r="G21" s="17" t="n">
        <f aca="false">G126</f>
        <v>2973.42336680983</v>
      </c>
    </row>
    <row r="22" customFormat="false" ht="15" hidden="false" customHeight="false" outlineLevel="0" collapsed="false">
      <c r="A22" s="5" t="s">
        <v>433</v>
      </c>
      <c r="B22" s="0" t="s">
        <v>27</v>
      </c>
      <c r="C22" s="17" t="n">
        <f aca="false">C127</f>
        <v>759.5</v>
      </c>
      <c r="D22" s="17" t="n">
        <f aca="false">D127</f>
        <v>2959.87536473972</v>
      </c>
      <c r="E22" s="17" t="n">
        <f aca="false">E127</f>
        <v>2966.70472979467</v>
      </c>
      <c r="F22" s="17" t="n">
        <f aca="false">F127</f>
        <v>1249.37311861442</v>
      </c>
      <c r="G22" s="17" t="n">
        <f aca="false">G127</f>
        <v>1509.86212139087</v>
      </c>
    </row>
    <row r="23" customFormat="false" ht="15" hidden="false" customHeight="false" outlineLevel="0" collapsed="false">
      <c r="A23" s="5" t="s">
        <v>434</v>
      </c>
      <c r="B23" s="0" t="s">
        <v>27</v>
      </c>
      <c r="C23" s="17" t="n">
        <f aca="false">C128</f>
        <v>213.4</v>
      </c>
      <c r="D23" s="17" t="n">
        <f aca="false">D128</f>
        <v>391.25671529863</v>
      </c>
      <c r="E23" s="17" t="n">
        <f aca="false">E128</f>
        <v>423.814961399239</v>
      </c>
      <c r="F23" s="17" t="n">
        <f aca="false">F128</f>
        <v>192.211249017603</v>
      </c>
      <c r="G23" s="17" t="n">
        <f aca="false">G128</f>
        <v>232.286480213981</v>
      </c>
    </row>
    <row r="24" customFormat="false" ht="15" hidden="false" customHeight="false" outlineLevel="0" collapsed="false">
      <c r="A24" s="5" t="s">
        <v>360</v>
      </c>
      <c r="B24" s="0" t="s">
        <v>145</v>
      </c>
      <c r="C24" s="14" t="n">
        <f aca="false">C131</f>
        <v>0.433264887063655</v>
      </c>
      <c r="D24" s="14" t="n">
        <f aca="false">D131</f>
        <v>0.832932015951156</v>
      </c>
      <c r="E24" s="14" t="n">
        <f aca="false">E131</f>
        <v>0.832935361487811</v>
      </c>
      <c r="F24" s="14" t="n">
        <f aca="false">F131</f>
        <v>0.630831787789498</v>
      </c>
      <c r="G24" s="14" t="n">
        <f aca="false">G131</f>
        <v>0.676127368794721</v>
      </c>
    </row>
    <row r="25" customFormat="false" ht="15" hidden="false" customHeight="false" outlineLevel="0" collapsed="false">
      <c r="A25" s="5" t="s">
        <v>358</v>
      </c>
      <c r="B25" s="0" t="s">
        <v>27</v>
      </c>
      <c r="C25" s="17" t="n">
        <f aca="false">C133</f>
        <v>869</v>
      </c>
      <c r="D25" s="17" t="n">
        <f aca="false">D133</f>
        <v>7933.88301489285</v>
      </c>
      <c r="E25" s="17" t="n">
        <f aca="false">E133</f>
        <v>8566.97041287051</v>
      </c>
      <c r="F25" s="17" t="n">
        <f aca="false">F133</f>
        <v>2815.70003044561</v>
      </c>
      <c r="G25" s="17" t="n">
        <f aca="false">G133</f>
        <v>3683.98111285493</v>
      </c>
    </row>
    <row r="26" customFormat="false" ht="15" hidden="false" customHeight="false" outlineLevel="0" collapsed="false">
      <c r="A26" s="5" t="s">
        <v>361</v>
      </c>
      <c r="B26" s="0" t="s">
        <v>145</v>
      </c>
      <c r="C26" s="14" t="n">
        <f aca="false">C134</f>
        <v>0.371748802190281</v>
      </c>
      <c r="D26" s="14" t="n">
        <f aca="false">D134</f>
        <v>0.802941873931009</v>
      </c>
      <c r="E26" s="14" t="n">
        <f aca="false">E134</f>
        <v>0.808557620012882</v>
      </c>
      <c r="F26" s="14" t="n">
        <f aca="false">F134</f>
        <v>0.585959467999243</v>
      </c>
      <c r="G26" s="14" t="n">
        <f aca="false">G134</f>
        <v>0.634385799717878</v>
      </c>
    </row>
    <row r="27" customFormat="false" ht="15" hidden="false" customHeight="false" outlineLevel="0" collapsed="false">
      <c r="A27" s="5" t="s">
        <v>359</v>
      </c>
      <c r="B27" s="0" t="s">
        <v>27</v>
      </c>
      <c r="C27" s="17" t="n">
        <f aca="false">C135</f>
        <v>554.5</v>
      </c>
      <c r="D27" s="17" t="n">
        <f aca="false">D135</f>
        <v>5357.37621012714</v>
      </c>
      <c r="E27" s="17" t="n">
        <f aca="false">E135</f>
        <v>5809.83555933503</v>
      </c>
      <c r="F27" s="17" t="n">
        <f aca="false">F135</f>
        <v>1929.76120472889</v>
      </c>
      <c r="G27" s="17" t="n">
        <f aca="false">G135</f>
        <v>2529.87424172095</v>
      </c>
    </row>
    <row r="28" customFormat="false" ht="15" hidden="false" customHeight="false" outlineLevel="0" collapsed="false">
      <c r="A28" s="0" t="s">
        <v>435</v>
      </c>
      <c r="B28" s="0" t="s">
        <v>108</v>
      </c>
      <c r="C28" s="17" t="n">
        <f aca="false">C143</f>
        <v>341.4</v>
      </c>
      <c r="D28" s="17" t="n">
        <f aca="false">D143</f>
        <v>3367.83013262514</v>
      </c>
      <c r="E28" s="17" t="n">
        <f aca="false">E143</f>
        <v>3868.05805615916</v>
      </c>
      <c r="F28" s="17" t="n">
        <f aca="false">F143</f>
        <v>1309.11473255108</v>
      </c>
      <c r="G28" s="17" t="n">
        <f aca="false">G143</f>
        <v>1760.79494734</v>
      </c>
    </row>
    <row r="29" customFormat="false" ht="15" hidden="false" customHeight="false" outlineLevel="0" collapsed="false">
      <c r="A29" s="5" t="s">
        <v>436</v>
      </c>
      <c r="B29" s="0" t="s">
        <v>108</v>
      </c>
      <c r="D29" s="17" t="n">
        <f aca="false">D144</f>
        <v>3832.89298244051</v>
      </c>
      <c r="E29" s="17" t="n">
        <f aca="false">E144</f>
        <v>7209.69908533326</v>
      </c>
      <c r="F29" s="17" t="n">
        <f aca="false">F144</f>
        <v>8427.0259809538</v>
      </c>
      <c r="G29" s="17" t="n">
        <f aca="false">G144</f>
        <v>10093.9476573632</v>
      </c>
    </row>
    <row r="30" customFormat="false" ht="15" hidden="false" customHeight="false" outlineLevel="0" collapsed="false">
      <c r="A30" s="5" t="s">
        <v>437</v>
      </c>
      <c r="B30" s="0" t="s">
        <v>27</v>
      </c>
      <c r="D30" s="17" t="n">
        <f aca="false">D138</f>
        <v>5227.37621012714</v>
      </c>
      <c r="E30" s="17" t="n">
        <f aca="false">E138</f>
        <v>5659.83555933503</v>
      </c>
      <c r="F30" s="17" t="n">
        <f aca="false">F138</f>
        <v>1779.76120472889</v>
      </c>
      <c r="G30" s="17" t="n">
        <f aca="false">G138</f>
        <v>2379.87424172095</v>
      </c>
    </row>
    <row r="32" customFormat="false" ht="17.15" hidden="false" customHeight="false" outlineLevel="0" collapsed="false">
      <c r="A32" s="3" t="s">
        <v>439</v>
      </c>
    </row>
    <row r="33" customFormat="false" ht="15" hidden="false" customHeight="false" outlineLevel="0" collapsed="false">
      <c r="A33" s="5" t="s">
        <v>354</v>
      </c>
      <c r="B33" s="0" t="s">
        <v>27</v>
      </c>
      <c r="C33" s="17" t="n">
        <f aca="false">C171</f>
        <v>2337.6</v>
      </c>
      <c r="D33" s="17" t="n">
        <f aca="false">D171</f>
        <v>9843.63335939362</v>
      </c>
      <c r="E33" s="17" t="n">
        <f aca="false">E171</f>
        <v>10189.2212281844</v>
      </c>
      <c r="F33" s="17" t="n">
        <f aca="false">F171</f>
        <v>2915.37924361187</v>
      </c>
      <c r="G33" s="17" t="n">
        <f aca="false">G171</f>
        <v>3178.66725892736</v>
      </c>
    </row>
    <row r="34" customFormat="false" ht="17.15" hidden="false" customHeight="false" outlineLevel="0" collapsed="false">
      <c r="A34" s="0" t="s">
        <v>431</v>
      </c>
      <c r="B34" s="0" t="s">
        <v>27</v>
      </c>
      <c r="C34" s="17" t="n">
        <f aca="false">C172</f>
        <v>1364.7</v>
      </c>
      <c r="D34" s="17" t="n">
        <f aca="false">D172</f>
        <v>6505.21201719979</v>
      </c>
      <c r="E34" s="17" t="n">
        <f aca="false">E172</f>
        <v>6928.67043516537</v>
      </c>
      <c r="F34" s="17" t="n">
        <f aca="false">F172</f>
        <v>2040.76547052831</v>
      </c>
      <c r="G34" s="17" t="n">
        <f aca="false">G172</f>
        <v>2225.06708124915</v>
      </c>
    </row>
    <row r="35" customFormat="false" ht="17.15" hidden="false" customHeight="false" outlineLevel="0" collapsed="false">
      <c r="A35" s="0" t="s">
        <v>432</v>
      </c>
      <c r="B35" s="0" t="s">
        <v>27</v>
      </c>
      <c r="C35" s="17" t="n">
        <f aca="false">C173</f>
        <v>507.679569396364</v>
      </c>
      <c r="D35" s="17" t="n">
        <f aca="false">D173</f>
        <v>3806.67791137983</v>
      </c>
      <c r="E35" s="17" t="n">
        <f aca="false">E173</f>
        <v>4577.64594435908</v>
      </c>
      <c r="F35" s="17" t="n">
        <f aca="false">F173</f>
        <v>1262.38767186259</v>
      </c>
      <c r="G35" s="17" t="n">
        <f aca="false">G173</f>
        <v>1463.84552705493</v>
      </c>
    </row>
    <row r="36" customFormat="false" ht="15" hidden="false" customHeight="false" outlineLevel="0" collapsed="false">
      <c r="A36" s="5" t="s">
        <v>433</v>
      </c>
      <c r="B36" s="0" t="s">
        <v>27</v>
      </c>
      <c r="C36" s="17" t="n">
        <f aca="false">C174</f>
        <v>759.5</v>
      </c>
      <c r="D36" s="17" t="n">
        <f aca="false">D174</f>
        <v>2948.66000781808</v>
      </c>
      <c r="E36" s="17" t="n">
        <f aca="false">E174</f>
        <v>2852.98194389162</v>
      </c>
      <c r="F36" s="17" t="n">
        <f aca="false">F174</f>
        <v>757.998603339086</v>
      </c>
      <c r="G36" s="17" t="n">
        <f aca="false">G174</f>
        <v>826.453487321115</v>
      </c>
    </row>
    <row r="37" customFormat="false" ht="15" hidden="false" customHeight="false" outlineLevel="0" collapsed="false">
      <c r="A37" s="5" t="s">
        <v>434</v>
      </c>
      <c r="B37" s="0" t="s">
        <v>27</v>
      </c>
      <c r="C37" s="17" t="n">
        <f aca="false">C175</f>
        <v>213.4</v>
      </c>
      <c r="D37" s="17" t="n">
        <f aca="false">D175</f>
        <v>389.761334375744</v>
      </c>
      <c r="E37" s="17" t="n">
        <f aca="false">E175</f>
        <v>407.568849127374</v>
      </c>
      <c r="F37" s="17" t="n">
        <f aca="false">F175</f>
        <v>116.615169744475</v>
      </c>
      <c r="G37" s="17" t="n">
        <f aca="false">G175</f>
        <v>127.146690357095</v>
      </c>
    </row>
    <row r="38" customFormat="false" ht="15" hidden="false" customHeight="false" outlineLevel="0" collapsed="false">
      <c r="A38" s="5" t="s">
        <v>360</v>
      </c>
      <c r="B38" s="0" t="s">
        <v>145</v>
      </c>
      <c r="C38" s="14" t="n">
        <f aca="false">C178</f>
        <v>0.433264887063655</v>
      </c>
      <c r="D38" s="14" t="n">
        <f aca="false">D178</f>
        <v>0.832123433111235</v>
      </c>
      <c r="E38" s="14" t="n">
        <f aca="false">E178</f>
        <v>0.827984875358738</v>
      </c>
      <c r="F38" s="14" t="n">
        <f aca="false">F178</f>
        <v>0.465855682164052</v>
      </c>
      <c r="G38" s="14" t="n">
        <f aca="false">G178</f>
        <v>0.493444770000464</v>
      </c>
    </row>
    <row r="39" customFormat="false" ht="15" hidden="false" customHeight="false" outlineLevel="0" collapsed="false">
      <c r="A39" s="5" t="s">
        <v>358</v>
      </c>
      <c r="B39" s="0" t="s">
        <v>27</v>
      </c>
      <c r="C39" s="17" t="n">
        <f aca="false">C180</f>
        <v>869</v>
      </c>
      <c r="D39" s="17" t="n">
        <f aca="false">D180</f>
        <v>7895.15870093885</v>
      </c>
      <c r="E39" s="17" t="n">
        <f aca="false">E180</f>
        <v>8182.29130763385</v>
      </c>
      <c r="F39" s="17" t="n">
        <f aca="false">F180</f>
        <v>1161.42089028795</v>
      </c>
      <c r="G39" s="17" t="n">
        <f aca="false">G180</f>
        <v>1352.38162796692</v>
      </c>
    </row>
    <row r="40" customFormat="false" ht="15" hidden="false" customHeight="false" outlineLevel="0" collapsed="false">
      <c r="A40" s="5" t="s">
        <v>361</v>
      </c>
      <c r="B40" s="0" t="s">
        <v>145</v>
      </c>
      <c r="C40" s="14" t="n">
        <f aca="false">C181</f>
        <v>0.371748802190281</v>
      </c>
      <c r="D40" s="14" t="n">
        <f aca="false">D181</f>
        <v>0.802057371773668</v>
      </c>
      <c r="E40" s="14" t="n">
        <f aca="false">E181</f>
        <v>0.803034022364815</v>
      </c>
      <c r="F40" s="14" t="n">
        <f aca="false">F181</f>
        <v>0.39837729270826</v>
      </c>
      <c r="G40" s="14" t="n">
        <f aca="false">G181</f>
        <v>0.425455550331268</v>
      </c>
    </row>
    <row r="41" customFormat="false" ht="15" hidden="false" customHeight="false" outlineLevel="0" collapsed="false">
      <c r="A41" s="5" t="s">
        <v>359</v>
      </c>
      <c r="B41" s="0" t="s">
        <v>27</v>
      </c>
      <c r="C41" s="17" t="n">
        <f aca="false">C182</f>
        <v>554.5</v>
      </c>
      <c r="D41" s="17" t="n">
        <f aca="false">D182</f>
        <v>5331.04367663842</v>
      </c>
      <c r="E41" s="17" t="n">
        <f aca="false">E182</f>
        <v>5548.11051879193</v>
      </c>
      <c r="F41" s="17" t="n">
        <f aca="false">F182</f>
        <v>803.284356218948</v>
      </c>
      <c r="G41" s="17" t="n">
        <f aca="false">G182</f>
        <v>936.691524738481</v>
      </c>
    </row>
    <row r="42" customFormat="false" ht="15" hidden="false" customHeight="false" outlineLevel="0" collapsed="false">
      <c r="A42" s="0" t="s">
        <v>435</v>
      </c>
      <c r="B42" s="0" t="s">
        <v>108</v>
      </c>
      <c r="C42" s="17" t="n">
        <f aca="false">C190</f>
        <v>341.4</v>
      </c>
      <c r="D42" s="17" t="n">
        <f aca="false">D190</f>
        <v>3350.40696386792</v>
      </c>
      <c r="E42" s="17" t="n">
        <f aca="false">E190</f>
        <v>3682.73279771712</v>
      </c>
      <c r="F42" s="17" t="n">
        <f aca="false">F190</f>
        <v>536.855596848867</v>
      </c>
      <c r="G42" s="17" t="n">
        <f aca="false">G190</f>
        <v>631.218857536886</v>
      </c>
    </row>
    <row r="43" customFormat="false" ht="15" hidden="false" customHeight="false" outlineLevel="0" collapsed="false">
      <c r="A43" s="5" t="s">
        <v>436</v>
      </c>
      <c r="B43" s="0" t="s">
        <v>108</v>
      </c>
      <c r="D43" s="17" t="n">
        <f aca="false">D191</f>
        <v>3818.51461524316</v>
      </c>
      <c r="E43" s="17" t="n">
        <f aca="false">E191</f>
        <v>7033.24628146326</v>
      </c>
      <c r="F43" s="17" t="n">
        <f aca="false">F191</f>
        <v>7536.30166032043</v>
      </c>
      <c r="G43" s="17" t="n">
        <f aca="false">G191</f>
        <v>8130.5369824808</v>
      </c>
    </row>
    <row r="44" customFormat="false" ht="15" hidden="false" customHeight="false" outlineLevel="0" collapsed="false">
      <c r="A44" s="5" t="s">
        <v>437</v>
      </c>
      <c r="B44" s="0" t="s">
        <v>27</v>
      </c>
      <c r="D44" s="17" t="n">
        <f aca="false">D185</f>
        <v>5201.04367663842</v>
      </c>
      <c r="E44" s="17" t="n">
        <f aca="false">E185</f>
        <v>5398.11051879193</v>
      </c>
      <c r="F44" s="17" t="n">
        <f aca="false">F185</f>
        <v>653.284356218948</v>
      </c>
      <c r="G44" s="17" t="n">
        <f aca="false">G185</f>
        <v>786.691524738481</v>
      </c>
    </row>
    <row r="46" customFormat="false" ht="17.15" hidden="false" customHeight="false" outlineLevel="0" collapsed="false">
      <c r="A46" s="5" t="s">
        <v>440</v>
      </c>
      <c r="D46" s="18" t="n">
        <f aca="false">D100+D147+D194</f>
        <v>0</v>
      </c>
    </row>
    <row r="56" customFormat="false" ht="17.15" hidden="false" customHeight="false" outlineLevel="0" collapsed="false">
      <c r="A56" s="3" t="s">
        <v>441</v>
      </c>
    </row>
    <row r="57" customFormat="false" ht="17.15" hidden="false" customHeight="false" outlineLevel="0" collapsed="false">
      <c r="A57" s="12" t="s">
        <v>442</v>
      </c>
      <c r="B57" s="6" t="s">
        <v>17</v>
      </c>
      <c r="C57" s="12" t="s">
        <v>443</v>
      </c>
      <c r="D57" s="12" t="s">
        <v>444</v>
      </c>
      <c r="E57" s="12" t="s">
        <v>445</v>
      </c>
      <c r="F57" s="12" t="s">
        <v>446</v>
      </c>
      <c r="G57" s="12" t="s">
        <v>447</v>
      </c>
      <c r="H57" s="12" t="s">
        <v>448</v>
      </c>
      <c r="I57" s="12" t="s">
        <v>449</v>
      </c>
      <c r="J57" s="12" t="s">
        <v>450</v>
      </c>
      <c r="K57" s="12" t="s">
        <v>451</v>
      </c>
      <c r="L57" s="12" t="s">
        <v>452</v>
      </c>
      <c r="M57" s="12" t="s">
        <v>453</v>
      </c>
      <c r="N57" s="12" t="s">
        <v>454</v>
      </c>
      <c r="O57" s="12" t="s">
        <v>455</v>
      </c>
      <c r="P57" s="12" t="s">
        <v>456</v>
      </c>
      <c r="Q57" s="12" t="s">
        <v>457</v>
      </c>
      <c r="R57" s="12" t="s">
        <v>458</v>
      </c>
      <c r="S57" s="12"/>
      <c r="T57" s="6" t="s">
        <v>330</v>
      </c>
    </row>
    <row r="58" customFormat="false" ht="17.15" hidden="false" customHeight="false" outlineLevel="0" collapsed="false">
      <c r="A58" s="5" t="s">
        <v>459</v>
      </c>
      <c r="B58" s="0" t="s">
        <v>391</v>
      </c>
      <c r="C58" s="19" t="n">
        <f aca="false">Units!H4*1</f>
        <v>10.72</v>
      </c>
      <c r="D58" s="19" t="n">
        <f aca="false">Units!I4*1</f>
        <v>14.9513168749304</v>
      </c>
      <c r="E58" s="19" t="n">
        <f aca="false">Units!J4*1*1</f>
        <v>16.2035648188888</v>
      </c>
      <c r="F58" s="19" t="n">
        <f aca="false">Units!K4*1*1</f>
        <v>17.8543449815733</v>
      </c>
      <c r="G58" s="19" t="n">
        <f aca="false">Units!L4*1*1</f>
        <v>18.8786713110699</v>
      </c>
      <c r="H58" s="19" t="n">
        <f aca="false">Units!M4*1*1</f>
        <v>18.9636763094518</v>
      </c>
      <c r="I58" s="19" t="n">
        <f aca="false">Units!N4*1*1</f>
        <v>18.6480311322868</v>
      </c>
      <c r="J58" s="19" t="n">
        <f aca="false">Units!O4*1*1</f>
        <v>18.7319976270738</v>
      </c>
      <c r="K58" s="19" t="n">
        <f aca="false">Units!P4*1*1</f>
        <v>18.8163421978194</v>
      </c>
      <c r="L58" s="19" t="n">
        <f aca="false">Units!Q4*1*1</f>
        <v>18.9010665468864</v>
      </c>
      <c r="M58" s="19" t="n">
        <f aca="false">Units!R4*1*1</f>
        <v>18.9861723843027</v>
      </c>
      <c r="N58" s="19" t="n">
        <f aca="false">Units!S4*1*1</f>
        <v>19.1874193215442</v>
      </c>
      <c r="O58" s="19" t="n">
        <f aca="false">Units!T4*1*1</f>
        <v>19.5604237366471</v>
      </c>
      <c r="P58" s="19" t="n">
        <f aca="false">Units!U4*1*1</f>
        <v>19.9406793766988</v>
      </c>
      <c r="Q58" s="19" t="n">
        <f aca="false">Units!V4*1*1</f>
        <v>20.3283272058839</v>
      </c>
      <c r="R58" s="19" t="n">
        <f aca="false">Units!W4*1*1</f>
        <v>20.0593273219312</v>
      </c>
      <c r="T58" s="8" t="s">
        <v>460</v>
      </c>
    </row>
    <row r="59" customFormat="false" ht="15" hidden="false" customHeight="false" outlineLevel="0" collapsed="false">
      <c r="A59" s="5" t="s">
        <v>461</v>
      </c>
      <c r="B59" s="0" t="s">
        <v>398</v>
      </c>
      <c r="C59" s="19" t="n">
        <f aca="false">Units!H7*1</f>
        <v>40.1757580440862</v>
      </c>
      <c r="D59" s="19" t="n">
        <f aca="false">Units!I7*1</f>
        <v>44.8269021796765</v>
      </c>
      <c r="E59" s="19" t="n">
        <f aca="false">Units!J7*1</f>
        <v>44.9411476117569</v>
      </c>
      <c r="F59" s="19" t="n">
        <f aca="false">Units!K7*1</f>
        <v>48.0773237904583</v>
      </c>
      <c r="G59" s="19" t="n">
        <f aca="false">Units!L7*1</f>
        <v>50.835580599158</v>
      </c>
      <c r="H59" s="19" t="n">
        <f aca="false">Units!M7*1</f>
        <v>53.7520820858664</v>
      </c>
      <c r="I59" s="19" t="n">
        <f aca="false">Units!N7*1</f>
        <v>56.8359069476934</v>
      </c>
      <c r="J59" s="19" t="n">
        <f aca="false">Units!O7*1</f>
        <v>60.0966547380729</v>
      </c>
      <c r="K59" s="19" t="n">
        <f aca="false">Units!P7*1</f>
        <v>63.5444757489475</v>
      </c>
      <c r="L59" s="19" t="n">
        <f aca="false">Units!Q7*1</f>
        <v>67.190102607333</v>
      </c>
      <c r="M59" s="19" t="n">
        <f aca="false">Units!R7*1</f>
        <v>71.0448836846168</v>
      </c>
      <c r="N59" s="19" t="n">
        <f aca="false">Units!S7*1</f>
        <v>74.0184898623123</v>
      </c>
      <c r="O59" s="19" t="n">
        <f aca="false">Units!T7*1</f>
        <v>77.7911475249602</v>
      </c>
      <c r="P59" s="19" t="n">
        <f aca="false">Units!U7*1</f>
        <v>81.7560942476254</v>
      </c>
      <c r="Q59" s="19" t="n">
        <f aca="false">Units!V7*1</f>
        <v>85.9231308354458</v>
      </c>
      <c r="R59" s="19" t="n">
        <f aca="false">Units!W7*1</f>
        <v>87.5395173614874</v>
      </c>
    </row>
    <row r="60" customFormat="false" ht="17.15" hidden="false" customHeight="false" outlineLevel="0" collapsed="false">
      <c r="A60" s="5" t="s">
        <v>354</v>
      </c>
      <c r="B60" s="0" t="s">
        <v>27</v>
      </c>
      <c r="C60" s="13" t="n">
        <f aca="false">q1_rev</f>
        <v>1767.1</v>
      </c>
      <c r="D60" s="13" t="n">
        <f aca="false">g2_rev</f>
        <v>2480</v>
      </c>
      <c r="E60" s="13" t="n">
        <f aca="false">E58*kx_k*fx</f>
        <v>2671.01859994948</v>
      </c>
      <c r="F60" s="13" t="n">
        <f aca="false">F58*kx_k*fx</f>
        <v>2943.13554262483</v>
      </c>
      <c r="G60" s="13" t="n">
        <f aca="false">G58*kx_k*fx</f>
        <v>3111.98694718205</v>
      </c>
      <c r="H60" s="13" t="n">
        <f aca="false">H58*kx_k*fx</f>
        <v>3125.9992916448</v>
      </c>
      <c r="I60" s="13" t="n">
        <f aca="false">I58*kx_k*fx</f>
        <v>3073.96789308433</v>
      </c>
      <c r="J60" s="13" t="n">
        <f aca="false">J58*kx_k*fx</f>
        <v>3087.80904914199</v>
      </c>
      <c r="K60" s="13" t="n">
        <f aca="false">K58*kx_k*fx</f>
        <v>3101.71252777674</v>
      </c>
      <c r="L60" s="13" t="n">
        <f aca="false">L58*kx_k*fx</f>
        <v>3115.67860960848</v>
      </c>
      <c r="M60" s="13" t="n">
        <f aca="false">M58*kx_k*fx</f>
        <v>3129.70757652064</v>
      </c>
      <c r="N60" s="13" t="n">
        <f aca="false">N58*kx_k*fx</f>
        <v>3162.88140700567</v>
      </c>
      <c r="O60" s="13" t="n">
        <f aca="false">O58*kx_k*fx</f>
        <v>3224.36798367809</v>
      </c>
      <c r="P60" s="13" t="n">
        <f aca="false">P58*kx_k*fx</f>
        <v>3287.04986255265</v>
      </c>
      <c r="Q60" s="13" t="n">
        <f aca="false">Q58*kx_k*fx</f>
        <v>3350.95028036543</v>
      </c>
      <c r="R60" s="13" t="n">
        <f aca="false">R58*kx_k*fx</f>
        <v>3306.60795807692</v>
      </c>
      <c r="T60" s="5" t="s">
        <v>462</v>
      </c>
    </row>
    <row r="61" customFormat="false" ht="17.15" hidden="false" customHeight="false" outlineLevel="0" collapsed="false">
      <c r="A61" s="0" t="s">
        <v>463</v>
      </c>
      <c r="B61" s="0" t="s">
        <v>27</v>
      </c>
      <c r="C61" s="13" t="n">
        <f aca="false">q1_ss</f>
        <v>1174.7</v>
      </c>
      <c r="D61" s="13" t="n">
        <f aca="false">D60*sssh_26</f>
        <v>1636.8</v>
      </c>
      <c r="E61" s="13" t="n">
        <f aca="false">E60*sssh_26</f>
        <v>1762.87227596666</v>
      </c>
      <c r="F61" s="13" t="n">
        <f aca="false">F60*sssh_26</f>
        <v>1942.46945813239</v>
      </c>
      <c r="G61" s="13" t="n">
        <f aca="false">G60*sssh_27</f>
        <v>2116.1511240838</v>
      </c>
      <c r="H61" s="13" t="n">
        <f aca="false">H60*sssh_27</f>
        <v>2125.67951831847</v>
      </c>
      <c r="I61" s="13" t="n">
        <f aca="false">I60*sssh_27</f>
        <v>2090.29816729734</v>
      </c>
      <c r="J61" s="13" t="n">
        <f aca="false">J60*sssh_27</f>
        <v>2099.71015341655</v>
      </c>
      <c r="K61" s="13" t="n">
        <f aca="false">K60*sssh_28</f>
        <v>2171.19876944372</v>
      </c>
      <c r="L61" s="13" t="n">
        <f aca="false">L60*sssh_28</f>
        <v>2180.97502672594</v>
      </c>
      <c r="M61" s="13" t="n">
        <f aca="false">M60*sssh_28</f>
        <v>2190.79530356445</v>
      </c>
      <c r="N61" s="13" t="n">
        <f aca="false">N60*sssh_28</f>
        <v>2214.01698490397</v>
      </c>
      <c r="O61" s="13" t="n">
        <f aca="false">O60*sssh_29</f>
        <v>2257.05758857466</v>
      </c>
      <c r="P61" s="13" t="n">
        <f aca="false">P60*sssh_29</f>
        <v>2300.93490378686</v>
      </c>
      <c r="Q61" s="13" t="n">
        <f aca="false">Q60*sssh_29</f>
        <v>2345.6651962558</v>
      </c>
      <c r="R61" s="13" t="n">
        <f aca="false">R60*sssh_29</f>
        <v>2314.62557065385</v>
      </c>
      <c r="T61" s="5" t="s">
        <v>464</v>
      </c>
    </row>
    <row r="62" customFormat="false" ht="17.15" hidden="false" customHeight="false" outlineLevel="0" collapsed="false">
      <c r="A62" s="0" t="s">
        <v>465</v>
      </c>
      <c r="B62" s="0" t="s">
        <v>27</v>
      </c>
      <c r="C62" s="13" t="n">
        <f aca="false">C61*(0.75*Units!D16+0.25*Units!E16)</f>
        <v>687.403351447223</v>
      </c>
      <c r="D62" s="13" t="n">
        <f aca="false">D61*(0.75*Units!D16+0.25*Units!E16)</f>
        <v>957.812041924589</v>
      </c>
      <c r="E62" s="13" t="n">
        <f aca="false">E61*(0.75*Units!D16+0.25*Units!E16)</f>
        <v>1031.58620130491</v>
      </c>
      <c r="F62" s="13" t="n">
        <f aca="false">F61*(0.75*Units!D16+0.25*Units!E16)</f>
        <v>1136.68171925094</v>
      </c>
      <c r="G62" s="13" t="n">
        <f aca="false">G61*(0.75*Units!E16+0.25*Units!F16)</f>
        <v>1457.97622792167</v>
      </c>
      <c r="H62" s="13" t="n">
        <f aca="false">H61*(0.75*Units!E16+0.25*Units!F16)</f>
        <v>1464.54105787464</v>
      </c>
      <c r="I62" s="13" t="n">
        <f aca="false">I61*(0.75*Units!E16+0.25*Units!F16)</f>
        <v>1440.16417471471</v>
      </c>
      <c r="J62" s="13" t="n">
        <f aca="false">J61*(0.75*Units!E16+0.25*Units!F16)</f>
        <v>1446.64880233093</v>
      </c>
      <c r="K62" s="13" t="n">
        <f aca="false">K61*(0.75*Units!F16+0.25*Units!G16)</f>
        <v>1584.5436918192</v>
      </c>
      <c r="L62" s="13" t="n">
        <f aca="false">L61*(0.75*Units!F16+0.25*Units!G16)</f>
        <v>1591.67841712586</v>
      </c>
      <c r="M62" s="13" t="n">
        <f aca="false">M61*(0.75*Units!F16+0.25*Units!G16)</f>
        <v>1598.84526796208</v>
      </c>
      <c r="N62" s="13" t="n">
        <f aca="false">N61*(0.75*Units!F16+0.25*Units!G16)</f>
        <v>1615.79248127014</v>
      </c>
      <c r="O62" s="13" t="n">
        <f aca="false">O61*(0.75*Units!G16+0.25*Units!H16)</f>
        <v>1720.23366162982</v>
      </c>
      <c r="P62" s="13" t="n">
        <f aca="false">P61*(0.75*Units!G16+0.25*Units!H16)</f>
        <v>1753.67509218615</v>
      </c>
      <c r="Q62" s="13" t="n">
        <f aca="false">Q61*(0.75*Units!G16+0.25*Units!H16)</f>
        <v>1787.76662586661</v>
      </c>
      <c r="R62" s="13" t="n">
        <f aca="false">R61*(0.75*Units!G16+0.25*Units!H16)</f>
        <v>1764.10953839345</v>
      </c>
      <c r="T62" s="5" t="s">
        <v>466</v>
      </c>
    </row>
    <row r="63" customFormat="false" ht="17.15" hidden="false" customHeight="false" outlineLevel="0" collapsed="false">
      <c r="A63" s="0" t="s">
        <v>467</v>
      </c>
      <c r="B63" s="0" t="s">
        <v>27</v>
      </c>
      <c r="C63" s="13" t="n">
        <f aca="false">C61-C62</f>
        <v>487.296648552777</v>
      </c>
      <c r="D63" s="13" t="n">
        <f aca="false">D61-D62</f>
        <v>678.987958075412</v>
      </c>
      <c r="E63" s="13" t="n">
        <f aca="false">E61-E62</f>
        <v>731.28607466175</v>
      </c>
      <c r="F63" s="13" t="n">
        <f aca="false">F61-F62</f>
        <v>805.787738881452</v>
      </c>
      <c r="G63" s="13" t="n">
        <f aca="false">G61-G62</f>
        <v>658.174896162131</v>
      </c>
      <c r="H63" s="13" t="n">
        <f aca="false">H61-H62</f>
        <v>661.138460443822</v>
      </c>
      <c r="I63" s="13" t="n">
        <f aca="false">I61-I62</f>
        <v>650.133992582631</v>
      </c>
      <c r="J63" s="13" t="n">
        <f aca="false">J61-J62</f>
        <v>653.061351085617</v>
      </c>
      <c r="K63" s="13" t="n">
        <f aca="false">K61-K62</f>
        <v>586.65507762452</v>
      </c>
      <c r="L63" s="13" t="n">
        <f aca="false">L61-L62</f>
        <v>589.296609600079</v>
      </c>
      <c r="M63" s="13" t="n">
        <f aca="false">M61-M62</f>
        <v>591.950035602373</v>
      </c>
      <c r="N63" s="13" t="n">
        <f aca="false">N61-N62</f>
        <v>598.224503633827</v>
      </c>
      <c r="O63" s="13" t="n">
        <f aca="false">O61-O62</f>
        <v>536.82392694484</v>
      </c>
      <c r="P63" s="13" t="n">
        <f aca="false">P61-P62</f>
        <v>547.259811600705</v>
      </c>
      <c r="Q63" s="13" t="n">
        <f aca="false">Q61-Q62</f>
        <v>557.898570389192</v>
      </c>
      <c r="R63" s="13" t="n">
        <f aca="false">R61-R62</f>
        <v>550.516032260396</v>
      </c>
    </row>
    <row r="64" customFormat="false" ht="17.15" hidden="false" customHeight="false" outlineLevel="0" collapsed="false">
      <c r="A64" s="5" t="s">
        <v>468</v>
      </c>
      <c r="B64" s="0" t="s">
        <v>27</v>
      </c>
      <c r="C64" s="13" t="n">
        <f aca="false">q1_rev-q1_ss-q1_sd</f>
        <v>66.6999999999998</v>
      </c>
      <c r="D64" s="13" t="n">
        <f aca="false">D60*otsh_26</f>
        <v>99.2</v>
      </c>
      <c r="E64" s="13" t="n">
        <f aca="false">E60*otsh_26</f>
        <v>106.840743997979</v>
      </c>
      <c r="F64" s="13" t="n">
        <f aca="false">F60*otsh_26</f>
        <v>117.725421704993</v>
      </c>
      <c r="G64" s="13" t="n">
        <f aca="false">G60*otsh_27</f>
        <v>124.479477887282</v>
      </c>
      <c r="H64" s="13" t="n">
        <f aca="false">H60*otsh_27</f>
        <v>125.039971665792</v>
      </c>
      <c r="I64" s="13" t="n">
        <f aca="false">I60*otsh_27</f>
        <v>122.958715723373</v>
      </c>
      <c r="J64" s="13" t="n">
        <f aca="false">J60*otsh_27</f>
        <v>123.51236196568</v>
      </c>
      <c r="K64" s="13" t="n">
        <f aca="false">K60*otsh_28</f>
        <v>124.06850111107</v>
      </c>
      <c r="L64" s="13" t="n">
        <f aca="false">L60*otsh_28</f>
        <v>124.627144384339</v>
      </c>
      <c r="M64" s="13" t="n">
        <f aca="false">M60*otsh_28</f>
        <v>125.188303060826</v>
      </c>
      <c r="N64" s="13" t="n">
        <f aca="false">N60*otsh_28</f>
        <v>126.515256280227</v>
      </c>
      <c r="O64" s="13" t="n">
        <f aca="false">O60*otsh_29</f>
        <v>128.974719347123</v>
      </c>
      <c r="P64" s="13" t="n">
        <f aca="false">P60*otsh_29</f>
        <v>131.481994502106</v>
      </c>
      <c r="Q64" s="13" t="n">
        <f aca="false">Q60*otsh_29</f>
        <v>134.038011214617</v>
      </c>
      <c r="R64" s="13" t="n">
        <f aca="false">R60*otsh_29</f>
        <v>132.264318323077</v>
      </c>
      <c r="T64" s="5" t="s">
        <v>469</v>
      </c>
    </row>
    <row r="65" customFormat="false" ht="17.15" hidden="false" customHeight="false" outlineLevel="0" collapsed="false">
      <c r="A65" s="5" t="s">
        <v>470</v>
      </c>
      <c r="B65" s="0" t="s">
        <v>27</v>
      </c>
      <c r="C65" s="13" t="n">
        <f aca="false">q1_sd</f>
        <v>525.7</v>
      </c>
      <c r="D65" s="13" t="n">
        <f aca="false">D60-D61-D64</f>
        <v>744</v>
      </c>
      <c r="E65" s="13" t="n">
        <f aca="false">E60-E61-E64</f>
        <v>801.305579984843</v>
      </c>
      <c r="F65" s="13" t="n">
        <f aca="false">F60-F61-F64</f>
        <v>882.940662787449</v>
      </c>
      <c r="G65" s="13" t="n">
        <f aca="false">G60-G61-G64</f>
        <v>871.356345210975</v>
      </c>
      <c r="H65" s="13" t="n">
        <f aca="false">H60-H61-H64</f>
        <v>875.279801660544</v>
      </c>
      <c r="I65" s="13" t="n">
        <f aca="false">I60-I61-I64</f>
        <v>860.711010063612</v>
      </c>
      <c r="J65" s="13" t="n">
        <f aca="false">J60-J61-J64</f>
        <v>864.586533759756</v>
      </c>
      <c r="K65" s="13" t="n">
        <f aca="false">K60-K61-K64</f>
        <v>806.445257221952</v>
      </c>
      <c r="L65" s="13" t="n">
        <f aca="false">L60-L61-L64</f>
        <v>810.076438498206</v>
      </c>
      <c r="M65" s="13" t="n">
        <f aca="false">M60-M61-M64</f>
        <v>813.723969895367</v>
      </c>
      <c r="N65" s="13" t="n">
        <f aca="false">N60-N61-N64</f>
        <v>822.349165821474</v>
      </c>
      <c r="O65" s="13" t="n">
        <f aca="false">O60-O61-O64</f>
        <v>838.335675756302</v>
      </c>
      <c r="P65" s="13" t="n">
        <f aca="false">P60-P61-P64</f>
        <v>854.63296426369</v>
      </c>
      <c r="Q65" s="13" t="n">
        <f aca="false">Q60-Q61-Q64</f>
        <v>871.247072895013</v>
      </c>
      <c r="R65" s="13" t="n">
        <f aca="false">R60-R61-R64</f>
        <v>859.7180691</v>
      </c>
      <c r="T65" s="5" t="s">
        <v>471</v>
      </c>
    </row>
    <row r="66" customFormat="false" ht="15" hidden="false" customHeight="false" outlineLevel="0" collapsed="false">
      <c r="A66" s="5" t="s">
        <v>472</v>
      </c>
      <c r="B66" s="0" t="s">
        <v>27</v>
      </c>
      <c r="C66" s="18" t="n">
        <f aca="false">C61+C65+C64-C60</f>
        <v>0</v>
      </c>
      <c r="D66" s="18" t="n">
        <f aca="false">D61+D65+D64-D60</f>
        <v>0</v>
      </c>
      <c r="E66" s="18" t="n">
        <f aca="false">E61+E65+E64-E60</f>
        <v>0</v>
      </c>
      <c r="F66" s="18" t="n">
        <f aca="false">F61+F65+F64-F60</f>
        <v>0</v>
      </c>
      <c r="G66" s="18" t="n">
        <f aca="false">G61+G65+G64-G60</f>
        <v>0</v>
      </c>
      <c r="H66" s="18" t="n">
        <f aca="false">H61+H65+H64-H60</f>
        <v>0</v>
      </c>
      <c r="I66" s="18" t="n">
        <f aca="false">I61+I65+I64-I60</f>
        <v>0</v>
      </c>
      <c r="J66" s="18" t="n">
        <f aca="false">J61+J65+J64-J60</f>
        <v>0</v>
      </c>
      <c r="K66" s="18" t="n">
        <f aca="false">K61+K65+K64-K60</f>
        <v>0</v>
      </c>
      <c r="L66" s="18" t="n">
        <f aca="false">L61+L65+L64-L60</f>
        <v>0</v>
      </c>
      <c r="M66" s="18" t="n">
        <f aca="false">M61+M65+M64-M60</f>
        <v>0</v>
      </c>
      <c r="N66" s="18" t="n">
        <f aca="false">N61+N65+N64-N60</f>
        <v>0</v>
      </c>
      <c r="O66" s="18" t="n">
        <f aca="false">O61+O65+O64-O60</f>
        <v>0</v>
      </c>
      <c r="P66" s="18" t="n">
        <f aca="false">P61+P65+P64-P60</f>
        <v>0</v>
      </c>
      <c r="Q66" s="18" t="n">
        <f aca="false">Q61+Q65+Q64-Q60</f>
        <v>0</v>
      </c>
      <c r="R66" s="18" t="n">
        <f aca="false">R61+R65+R64-R60</f>
        <v>0</v>
      </c>
    </row>
    <row r="67" customFormat="false" ht="17.15" hidden="false" customHeight="false" outlineLevel="0" collapsed="false">
      <c r="A67" s="5" t="s">
        <v>473</v>
      </c>
      <c r="B67" s="0" t="s">
        <v>474</v>
      </c>
      <c r="C67" s="20" t="n">
        <f aca="false">C68/C59</f>
        <v>9.63267449926724</v>
      </c>
      <c r="D67" s="20" t="n">
        <f aca="false">D68/D59</f>
        <v>9.50991434320605</v>
      </c>
      <c r="E67" s="20" t="n">
        <f aca="false">$D67*(1-cd_A)^(1/4)</f>
        <v>9.15801220601616</v>
      </c>
      <c r="F67" s="20" t="n">
        <f aca="false">$D67*(1-cd_A)^(2/4)</f>
        <v>8.81913175437355</v>
      </c>
      <c r="G67" s="20" t="n">
        <f aca="false">$D67*(1-cd_A)^(3/4)</f>
        <v>8.49279113756868</v>
      </c>
      <c r="H67" s="20" t="n">
        <f aca="false">$D67*(1-cd_A)^(4/4)</f>
        <v>8.1785263351572</v>
      </c>
      <c r="I67" s="20" t="n">
        <f aca="false">$D67*(1-cd_A)^(5/4)</f>
        <v>7.87589049717389</v>
      </c>
      <c r="J67" s="20" t="n">
        <f aca="false">$D67*(1-cd_A)^(6/4)</f>
        <v>7.58445330876125</v>
      </c>
      <c r="K67" s="20" t="n">
        <f aca="false">$D67*(1-cd_A)^(7/4)</f>
        <v>7.30380037830907</v>
      </c>
      <c r="L67" s="20" t="n">
        <f aca="false">$D67*(1-cd_A)^(8/4)</f>
        <v>7.03353264823519</v>
      </c>
      <c r="M67" s="20" t="n">
        <f aca="false">$D67*(1-cd_A)^(9/4)</f>
        <v>6.77326582756955</v>
      </c>
      <c r="N67" s="20" t="n">
        <f aca="false">$D67*(1-cd_A)^(10/4)</f>
        <v>6.52262984553468</v>
      </c>
      <c r="O67" s="20" t="n">
        <f aca="false">$D67*(1-cd_A)^(11/4)</f>
        <v>6.2812683253458</v>
      </c>
      <c r="P67" s="20" t="n">
        <f aca="false">$D67*(1-cd_A)^(12/4)</f>
        <v>6.04883807748227</v>
      </c>
      <c r="Q67" s="20" t="n">
        <f aca="false">$D67*(1-cd_A)^(13/4)</f>
        <v>5.82500861170981</v>
      </c>
      <c r="R67" s="20" t="n">
        <f aca="false">$D67*(1-cd_A)^(14/4)</f>
        <v>5.60946166715982</v>
      </c>
    </row>
    <row r="68" customFormat="false" ht="15" hidden="false" customHeight="false" outlineLevel="0" collapsed="false">
      <c r="A68" s="5" t="s">
        <v>475</v>
      </c>
      <c r="B68" s="0" t="s">
        <v>27</v>
      </c>
      <c r="C68" s="13" t="n">
        <f aca="false">q1_rev-q1_gp</f>
        <v>387</v>
      </c>
      <c r="D68" s="13" t="n">
        <f aca="false">g2_rev-g2_op-g2_ox</f>
        <v>426.3</v>
      </c>
      <c r="E68" s="13" t="n">
        <f aca="false">E59*E67</f>
        <v>411.571578380844</v>
      </c>
      <c r="F68" s="13" t="n">
        <f aca="false">F59*F67</f>
        <v>424.00025290573</v>
      </c>
      <c r="G68" s="13" t="n">
        <f aca="false">G59*G67</f>
        <v>431.735968385688</v>
      </c>
      <c r="H68" s="13" t="n">
        <f aca="false">H59*H67</f>
        <v>439.61281890879</v>
      </c>
      <c r="I68" s="13" t="n">
        <f aca="false">I59*I67</f>
        <v>447.633379427598</v>
      </c>
      <c r="J68" s="13" t="n">
        <f aca="false">J59*J67</f>
        <v>455.80027187366</v>
      </c>
      <c r="K68" s="13" t="n">
        <f aca="false">K59*K67</f>
        <v>464.116166014614</v>
      </c>
      <c r="L68" s="13" t="n">
        <f aca="false">L59*L67</f>
        <v>472.583780326949</v>
      </c>
      <c r="M68" s="13" t="n">
        <f aca="false">M59*M67</f>
        <v>481.205882884668</v>
      </c>
      <c r="N68" s="13" t="n">
        <f aca="false">N59*N67</f>
        <v>482.795211097324</v>
      </c>
      <c r="O68" s="13" t="n">
        <f aca="false">O59*O67</f>
        <v>488.627070940835</v>
      </c>
      <c r="P68" s="13" t="n">
        <f aca="false">P59*P67</f>
        <v>494.529375951265</v>
      </c>
      <c r="Q68" s="13" t="n">
        <f aca="false">Q59*Q67</f>
        <v>500.502977061541</v>
      </c>
      <c r="R68" s="13" t="n">
        <f aca="false">R59*R67</f>
        <v>491.049567000935</v>
      </c>
      <c r="T68" s="5" t="s">
        <v>476</v>
      </c>
    </row>
    <row r="69" customFormat="false" ht="15" hidden="false" customHeight="false" outlineLevel="0" collapsed="false">
      <c r="A69" s="5" t="s">
        <v>360</v>
      </c>
      <c r="B69" s="0" t="s">
        <v>145</v>
      </c>
      <c r="C69" s="14" t="n">
        <f aca="false">1-C68/C60</f>
        <v>0.780997113915455</v>
      </c>
      <c r="D69" s="14" t="n">
        <f aca="false">1-D68/D60</f>
        <v>0.828104838709677</v>
      </c>
      <c r="E69" s="14" t="n">
        <f aca="false">1-E68/E60</f>
        <v>0.845912125662986</v>
      </c>
      <c r="F69" s="14" t="n">
        <f aca="false">1-F68/F60</f>
        <v>0.855935872893035</v>
      </c>
      <c r="G69" s="14" t="n">
        <f aca="false">1-G68/G60</f>
        <v>0.861266780448218</v>
      </c>
      <c r="H69" s="14" t="n">
        <f aca="false">1-H68/H60</f>
        <v>0.859368868034042</v>
      </c>
      <c r="I69" s="14" t="n">
        <f aca="false">1-I68/I60</f>
        <v>0.854379292498577</v>
      </c>
      <c r="J69" s="14" t="n">
        <f aca="false">1-J68/J60</f>
        <v>0.852387157165592</v>
      </c>
      <c r="K69" s="14" t="n">
        <f aca="false">1-K68/K60</f>
        <v>0.850367768818574</v>
      </c>
      <c r="L69" s="14" t="n">
        <f aca="false">1-L68/L60</f>
        <v>0.848320754628048</v>
      </c>
      <c r="M69" s="14" t="n">
        <f aca="false">1-M68/M60</f>
        <v>0.846245736664115</v>
      </c>
      <c r="N69" s="14" t="n">
        <f aca="false">1-N68/N60</f>
        <v>0.847355891995207</v>
      </c>
      <c r="O69" s="14" t="n">
        <f aca="false">1-O68/O60</f>
        <v>0.848458031647042</v>
      </c>
      <c r="P69" s="14" t="n">
        <f aca="false">1-P68/P60</f>
        <v>0.849552213495409</v>
      </c>
      <c r="Q69" s="14" t="n">
        <f aca="false">1-Q68/Q60</f>
        <v>0.850638494998213</v>
      </c>
      <c r="R69" s="14" t="n">
        <f aca="false">1-R68/R60</f>
        <v>0.851494470095414</v>
      </c>
    </row>
    <row r="70" customFormat="false" ht="17.15" hidden="false" customHeight="false" outlineLevel="0" collapsed="false">
      <c r="A70" s="5" t="s">
        <v>477</v>
      </c>
      <c r="B70" s="0" t="s">
        <v>27</v>
      </c>
      <c r="C70" s="13" t="n">
        <f aca="false">q1_gp-q1_op</f>
        <v>110.1</v>
      </c>
      <c r="D70" s="13" t="n">
        <f aca="false">g2_ox</f>
        <v>59</v>
      </c>
      <c r="E70" s="13" t="n">
        <f aca="false">(g2_ox-ox_var*g2_rev)*(1+ox_g)^(1/4)+ox_var*E60</f>
        <v>61.7348741661828</v>
      </c>
      <c r="F70" s="13" t="n">
        <f aca="false">(g2_ox-ox_var*g2_rev)*(1+ox_g)^(2/4)+ox_var*F60</f>
        <v>65.3006180336675</v>
      </c>
      <c r="G70" s="13" t="n">
        <f aca="false">(g2_ox-ox_var*g2_rev)*(1+ox_g)^(3/4)+ox_var*G60</f>
        <v>67.8540723254433</v>
      </c>
      <c r="H70" s="13" t="n">
        <f aca="false">(g2_ox-ox_var*g2_rev)*(1+ox_g)^(4/4)+ox_var*H60</f>
        <v>68.879992916448</v>
      </c>
      <c r="I70" s="13" t="n">
        <f aca="false">(g2_ox-ox_var*g2_rev)*(1+ox_g)^(5/4)+ox_var*I60</f>
        <v>69.2668359142001</v>
      </c>
      <c r="J70" s="13" t="n">
        <f aca="false">(g2_ox-ox_var*g2_rev)*(1+ox_g)^(6/4)+ox_var*J60</f>
        <v>70.334279359581</v>
      </c>
      <c r="K70" s="13" t="n">
        <f aca="false">(g2_ox-ox_var*g2_rev)*(1+ox_g)^(7/4)+ox_var*K60</f>
        <v>71.4247484167525</v>
      </c>
      <c r="L70" s="13" t="n">
        <f aca="false">(g2_ox-ox_var*g2_rev)*(1+ox_g)^(8/4)+ox_var*L60</f>
        <v>72.5387860960849</v>
      </c>
      <c r="M70" s="13" t="n">
        <f aca="false">(g2_ox-ox_var*g2_rev)*(1+ox_g)^(9/4)+ox_var*M60</f>
        <v>73.676948446899</v>
      </c>
      <c r="N70" s="13" t="n">
        <f aca="false">(g2_ox-ox_var*g2_rev)*(1+ox_g)^(10/4)+ox_var*N60</f>
        <v>75.0306218250339</v>
      </c>
      <c r="O70" s="13" t="n">
        <f aca="false">(g2_ox-ox_var*g2_rev)*(1+ox_g)^(11/4)+ox_var*O60</f>
        <v>76.6920652896645</v>
      </c>
      <c r="P70" s="13" t="n">
        <f aca="false">(g2_ox-ox_var*g2_rev)*(1+ox_g)^(12/4)+ox_var*P60</f>
        <v>78.3906986255266</v>
      </c>
      <c r="Q70" s="13" t="n">
        <f aca="false">(g2_ox-ox_var*g2_rev)*(1+ox_g)^(13/4)+ox_var*Q60</f>
        <v>80.1273627535161</v>
      </c>
      <c r="R70" s="13" t="n">
        <f aca="false">(g2_ox-ox_var*g2_rev)*(1+ox_g)^(14/4)+ox_var*R60</f>
        <v>80.8080681112442</v>
      </c>
      <c r="T70" s="5" t="s">
        <v>478</v>
      </c>
    </row>
    <row r="71" customFormat="false" ht="15" hidden="false" customHeight="false" outlineLevel="0" collapsed="false">
      <c r="A71" s="5" t="s">
        <v>358</v>
      </c>
      <c r="B71" s="0" t="s">
        <v>27</v>
      </c>
      <c r="C71" s="13" t="n">
        <f aca="false">C60-C68-C70</f>
        <v>1270</v>
      </c>
      <c r="D71" s="13" t="n">
        <f aca="false">D60-D68-D70</f>
        <v>1994.7</v>
      </c>
      <c r="E71" s="13" t="n">
        <f aca="false">E60-E68-E70</f>
        <v>2197.71214740245</v>
      </c>
      <c r="F71" s="13" t="n">
        <f aca="false">F60-F68-F70</f>
        <v>2453.83467168543</v>
      </c>
      <c r="G71" s="13" t="n">
        <f aca="false">G60-G68-G70</f>
        <v>2612.39690647092</v>
      </c>
      <c r="H71" s="13" t="n">
        <f aca="false">H60-H68-H70</f>
        <v>2617.50647981956</v>
      </c>
      <c r="I71" s="13" t="n">
        <f aca="false">I60-I68-I70</f>
        <v>2557.06767774253</v>
      </c>
      <c r="J71" s="13" t="n">
        <f aca="false">J60-J68-J70</f>
        <v>2561.67449790875</v>
      </c>
      <c r="K71" s="13" t="n">
        <f aca="false">K60-K68-K70</f>
        <v>2566.17161334537</v>
      </c>
      <c r="L71" s="13" t="n">
        <f aca="false">L60-L68-L70</f>
        <v>2570.55604318545</v>
      </c>
      <c r="M71" s="13" t="n">
        <f aca="false">M60-M68-M70</f>
        <v>2574.82474518908</v>
      </c>
      <c r="N71" s="13" t="n">
        <f aca="false">N60-N68-N70</f>
        <v>2605.05557408331</v>
      </c>
      <c r="O71" s="13" t="n">
        <f aca="false">O60-O68-O70</f>
        <v>2659.04884744759</v>
      </c>
      <c r="P71" s="13" t="n">
        <f aca="false">P60-P68-P70</f>
        <v>2714.12978797586</v>
      </c>
      <c r="Q71" s="13" t="n">
        <f aca="false">Q60-Q68-Q70</f>
        <v>2770.31994055038</v>
      </c>
      <c r="R71" s="13" t="n">
        <f aca="false">R60-R68-R70</f>
        <v>2734.75032296474</v>
      </c>
    </row>
    <row r="73" customFormat="false" ht="17.15" hidden="false" customHeight="false" outlineLevel="0" collapsed="false">
      <c r="A73" s="5" t="s">
        <v>359</v>
      </c>
      <c r="B73" s="0" t="s">
        <v>27</v>
      </c>
      <c r="C73" s="13" t="n">
        <f aca="false">q1_ni</f>
        <v>842.2</v>
      </c>
      <c r="D73" s="13" t="n">
        <f aca="false">g2_ni</f>
        <v>1360</v>
      </c>
      <c r="E73" s="13" t="n">
        <f aca="false">(E71+nonop_q+rf*nc_j/4)*(1-tax)</f>
        <v>1484.51014023367</v>
      </c>
      <c r="F73" s="13" t="n">
        <f aca="false">(F71+nonop_q+rf*nc_j/4)*(1-tax)</f>
        <v>1658.67345674609</v>
      </c>
      <c r="G73" s="13" t="n">
        <f aca="false">(G71+nonop_q+rf*$D94/4)*(1-tax)</f>
        <v>1772.48750609212</v>
      </c>
      <c r="H73" s="13" t="n">
        <f aca="false">(H71+nonop_q+rf*$D94/4)*(1-tax)</f>
        <v>1775.9620159692</v>
      </c>
      <c r="I73" s="13" t="n">
        <f aca="false">(I71+nonop_q+rf*$D94/4)*(1-tax)</f>
        <v>1734.86363055681</v>
      </c>
      <c r="J73" s="13" t="n">
        <f aca="false">(J71+nonop_q+rf*$D94/4)*(1-tax)</f>
        <v>1737.99626826984</v>
      </c>
      <c r="K73" s="13" t="n">
        <f aca="false">(K71+nonop_q+rf*$E94/4)*(1-tax)</f>
        <v>1750.39928757915</v>
      </c>
      <c r="L73" s="13" t="n">
        <f aca="false">(L71+nonop_q+rf*$E94/4)*(1-tax)</f>
        <v>1753.38069987041</v>
      </c>
      <c r="M73" s="13" t="n">
        <f aca="false">(M71+nonop_q+rf*$E94/4)*(1-tax)</f>
        <v>1756.28341723287</v>
      </c>
      <c r="N73" s="13" t="n">
        <f aca="false">(N71+nonop_q+rf*$E94/4)*(1-tax)</f>
        <v>1776.84038088095</v>
      </c>
      <c r="O73" s="13" t="n">
        <f aca="false">(O71+nonop_q+rf*$F94/4)*(1-tax)</f>
        <v>1822.92199591703</v>
      </c>
      <c r="P73" s="13" t="n">
        <f aca="false">(P71+nonop_q+rf*$F94/4)*(1-tax)</f>
        <v>1860.37703547625</v>
      </c>
      <c r="Q73" s="13" t="n">
        <f aca="false">(Q71+nonop_q+rf*$F94/4)*(1-tax)</f>
        <v>1898.58633922692</v>
      </c>
      <c r="R73" s="13" t="n">
        <f aca="false">(R71+nonop_q+rf*$F94/4)*(1-tax)</f>
        <v>1874.39899926869</v>
      </c>
      <c r="T73" s="5" t="s">
        <v>479</v>
      </c>
    </row>
    <row r="74" customFormat="false" ht="17.15" hidden="false" customHeight="false" outlineLevel="0" collapsed="false">
      <c r="A74" s="5" t="s">
        <v>480</v>
      </c>
      <c r="B74" s="0" t="s">
        <v>108</v>
      </c>
      <c r="C74" s="17" t="n">
        <f aca="false">C73/(sh0+dil)*1000</f>
        <v>507.343332753891</v>
      </c>
      <c r="D74" s="17" t="n">
        <f aca="false">D73/(sh0+dil)*1000</f>
        <v>819.267314824616</v>
      </c>
      <c r="E74" s="17" t="n">
        <f aca="false">E73/(sh0+dil)*1000</f>
        <v>894.272526778787</v>
      </c>
      <c r="F74" s="17" t="n">
        <f aca="false">F73/(sh0+dil)*1000</f>
        <v>999.188933146497</v>
      </c>
      <c r="G74" s="17" t="n">
        <f aca="false">G73/(sh0+dil)*1000</f>
        <v>1067.75079387961</v>
      </c>
      <c r="H74" s="17" t="n">
        <f aca="false">H73/(sh0+dil)*1000</f>
        <v>1069.84384709823</v>
      </c>
      <c r="I74" s="17" t="n">
        <f aca="false">I73/(sh0+dil)*1000</f>
        <v>1045.0860795538</v>
      </c>
      <c r="J74" s="17" t="n">
        <f aca="false">J73/(sh0+dil)*1000</f>
        <v>1046.97318814753</v>
      </c>
      <c r="K74" s="17" t="n">
        <f aca="false">K73/(sh0+dil)*1000</f>
        <v>1054.44479721022</v>
      </c>
      <c r="L74" s="17" t="n">
        <f aca="false">L73/(sh0+dil)*1000</f>
        <v>1056.24080724127</v>
      </c>
      <c r="M74" s="17" t="n">
        <f aca="false">M73/(sh0+dil)*1000</f>
        <v>1057.98941125542</v>
      </c>
      <c r="N74" s="17" t="n">
        <f aca="false">N73/(sh0+dil)*1000</f>
        <v>1070.37297626197</v>
      </c>
      <c r="O74" s="17" t="n">
        <f aca="false">O73/(sh0+dil)*1000</f>
        <v>1098.1326534777</v>
      </c>
      <c r="P74" s="17" t="n">
        <f aca="false">P73/(sh0+dil)*1000</f>
        <v>1120.69566060001</v>
      </c>
      <c r="Q74" s="17" t="n">
        <f aca="false">Q73/(sh0+dil)*1000</f>
        <v>1143.71303830966</v>
      </c>
      <c r="R74" s="17" t="n">
        <f aca="false">R73/(sh0+dil)*1000</f>
        <v>1129.1425257653</v>
      </c>
    </row>
    <row r="76" customFormat="false" ht="17.15" hidden="false" customHeight="false" outlineLevel="0" collapsed="false">
      <c r="A76" s="12" t="s">
        <v>481</v>
      </c>
      <c r="B76" s="6" t="s">
        <v>17</v>
      </c>
      <c r="C76" s="12" t="s">
        <v>425</v>
      </c>
      <c r="D76" s="12" t="s">
        <v>426</v>
      </c>
      <c r="E76" s="12" t="s">
        <v>427</v>
      </c>
      <c r="F76" s="12" t="s">
        <v>428</v>
      </c>
      <c r="G76" s="12" t="s">
        <v>429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6" t="s">
        <v>330</v>
      </c>
    </row>
    <row r="77" customFormat="false" ht="17.15" hidden="false" customHeight="false" outlineLevel="0" collapsed="false">
      <c r="A77" s="5" t="s">
        <v>354</v>
      </c>
      <c r="B77" s="0" t="s">
        <v>27</v>
      </c>
      <c r="C77" s="13" t="n">
        <f aca="false">a25_rev</f>
        <v>2337.6</v>
      </c>
      <c r="D77" s="13" t="n">
        <f aca="false">SUM(C60:F60)</f>
        <v>9861.25414257431</v>
      </c>
      <c r="E77" s="13" t="n">
        <f aca="false">SUM(G60:J60)</f>
        <v>12399.7631810532</v>
      </c>
      <c r="F77" s="13" t="n">
        <f aca="false">SUM(K60:N60)</f>
        <v>12509.9801209115</v>
      </c>
      <c r="G77" s="13" t="n">
        <f aca="false">SUM(O60:R60)</f>
        <v>13168.9760846731</v>
      </c>
      <c r="T77" s="8" t="s">
        <v>482</v>
      </c>
    </row>
    <row r="78" customFormat="false" ht="17.15" hidden="false" customHeight="false" outlineLevel="0" collapsed="false">
      <c r="A78" s="5" t="s">
        <v>483</v>
      </c>
      <c r="B78" s="0" t="s">
        <v>27</v>
      </c>
      <c r="C78" s="13" t="n">
        <f aca="false">p1_ss+p2_ss+p3_ss+p4_ss</f>
        <v>1364.7</v>
      </c>
      <c r="D78" s="13" t="n">
        <f aca="false">SUM(C61:F61)</f>
        <v>6516.84173409904</v>
      </c>
      <c r="E78" s="13" t="n">
        <f aca="false">SUM(G61:J61)</f>
        <v>8431.83896311616</v>
      </c>
      <c r="F78" s="13" t="n">
        <f aca="false">SUM(K61:N61)</f>
        <v>8756.98608463807</v>
      </c>
      <c r="G78" s="13" t="n">
        <f aca="false">SUM(O61:R61)</f>
        <v>9218.28325927117</v>
      </c>
    </row>
    <row r="79" customFormat="false" ht="17.15" hidden="false" customHeight="false" outlineLevel="0" collapsed="false">
      <c r="A79" s="0" t="s">
        <v>484</v>
      </c>
      <c r="B79" s="0" t="s">
        <v>27</v>
      </c>
      <c r="C79" s="13" t="n">
        <f aca="false">C78*(0.75*Units!C16+0.25*Units!D16)</f>
        <v>507.679569396364</v>
      </c>
      <c r="D79" s="13" t="n">
        <f aca="false">SUM(C62:F62)</f>
        <v>3813.48331392765</v>
      </c>
      <c r="E79" s="13" t="n">
        <f aca="false">SUM(G62:J62)</f>
        <v>5809.33026284196</v>
      </c>
      <c r="F79" s="13" t="n">
        <f aca="false">SUM(K62:N62)</f>
        <v>6390.85985817728</v>
      </c>
      <c r="G79" s="13" t="n">
        <f aca="false">SUM(O62:R62)</f>
        <v>7025.78491807603</v>
      </c>
    </row>
    <row r="80" customFormat="false" ht="15" hidden="false" customHeight="false" outlineLevel="0" collapsed="false">
      <c r="A80" s="5" t="s">
        <v>485</v>
      </c>
      <c r="B80" s="0" t="s">
        <v>27</v>
      </c>
      <c r="C80" s="13" t="n">
        <f aca="false">p1_sd+p2_sd+p3_sd+p4_sd</f>
        <v>759.5</v>
      </c>
      <c r="D80" s="13" t="n">
        <f aca="false">SUM(C65:F65)</f>
        <v>2953.94624277229</v>
      </c>
      <c r="E80" s="13" t="n">
        <f aca="false">SUM(G65:J65)</f>
        <v>3471.93369069489</v>
      </c>
      <c r="F80" s="13" t="n">
        <f aca="false">SUM(K65:N65)</f>
        <v>3252.594831437</v>
      </c>
      <c r="G80" s="13" t="n">
        <f aca="false">SUM(O65:R65)</f>
        <v>3423.93378201501</v>
      </c>
    </row>
    <row r="81" customFormat="false" ht="17.15" hidden="false" customHeight="false" outlineLevel="0" collapsed="false">
      <c r="A81" s="5" t="s">
        <v>486</v>
      </c>
      <c r="B81" s="0" t="s">
        <v>27</v>
      </c>
      <c r="C81" s="13" t="n">
        <f aca="false">a25_rev-C78-C80</f>
        <v>213.4</v>
      </c>
      <c r="D81" s="13" t="n">
        <f aca="false">SUM(C64:F64)</f>
        <v>390.466165702972</v>
      </c>
      <c r="E81" s="13" t="n">
        <f aca="false">SUM(G64:J64)</f>
        <v>495.990527242127</v>
      </c>
      <c r="F81" s="13" t="n">
        <f aca="false">SUM(K64:N64)</f>
        <v>500.399204836461</v>
      </c>
      <c r="G81" s="13" t="n">
        <f aca="false">SUM(O64:R64)</f>
        <v>526.759043386924</v>
      </c>
      <c r="T81" s="8" t="s">
        <v>487</v>
      </c>
    </row>
    <row r="82" customFormat="false" ht="15" hidden="false" customHeight="false" outlineLevel="0" collapsed="false">
      <c r="A82" s="5" t="s">
        <v>488</v>
      </c>
      <c r="B82" s="0" t="s">
        <v>27</v>
      </c>
      <c r="C82" s="18" t="n">
        <f aca="false">C78+C80+C81-C77</f>
        <v>0</v>
      </c>
      <c r="D82" s="18" t="n">
        <f aca="false">D78+D80+D81-D77</f>
        <v>0</v>
      </c>
      <c r="E82" s="18" t="n">
        <f aca="false">E78+E80+E81-E77</f>
        <v>0</v>
      </c>
      <c r="F82" s="18" t="n">
        <f aca="false">F78+F80+F81-F77</f>
        <v>0</v>
      </c>
      <c r="G82" s="18" t="n">
        <f aca="false">G78+G80+G81-G77</f>
        <v>0</v>
      </c>
    </row>
    <row r="83" customFormat="false" ht="15" hidden="false" customHeight="false" outlineLevel="0" collapsed="false">
      <c r="A83" s="5" t="s">
        <v>475</v>
      </c>
      <c r="B83" s="0" t="s">
        <v>27</v>
      </c>
      <c r="C83" s="13" t="n">
        <f aca="false">a25_rev-(p1_gp+p2_gp+p3_gp+p4_gp)</f>
        <v>1324.8</v>
      </c>
      <c r="D83" s="13" t="n">
        <f aca="false">SUM(C68:F68)</f>
        <v>1648.87183128657</v>
      </c>
      <c r="E83" s="13" t="n">
        <f aca="false">SUM(G68:J68)</f>
        <v>1774.78243859574</v>
      </c>
      <c r="F83" s="13" t="n">
        <f aca="false">SUM(K68:N68)</f>
        <v>1900.70104032356</v>
      </c>
      <c r="G83" s="13" t="n">
        <f aca="false">SUM(O68:R68)</f>
        <v>1974.70899095458</v>
      </c>
    </row>
    <row r="84" customFormat="false" ht="15" hidden="false" customHeight="false" outlineLevel="0" collapsed="false">
      <c r="A84" s="5" t="s">
        <v>360</v>
      </c>
      <c r="B84" s="0" t="s">
        <v>145</v>
      </c>
      <c r="C84" s="14" t="n">
        <f aca="false">1-C83/C77</f>
        <v>0.433264887063655</v>
      </c>
      <c r="D84" s="14" t="n">
        <f aca="false">1-D83/D77</f>
        <v>0.832792887451521</v>
      </c>
      <c r="E84" s="14" t="n">
        <f aca="false">1-E83/E77</f>
        <v>0.85686965043755</v>
      </c>
      <c r="F84" s="14" t="n">
        <f aca="false">1-F83/F77</f>
        <v>0.84806522296975</v>
      </c>
      <c r="G84" s="14" t="n">
        <f aca="false">1-G83/G77</f>
        <v>0.850048403288326</v>
      </c>
    </row>
    <row r="85" customFormat="false" ht="15" hidden="false" customHeight="false" outlineLevel="0" collapsed="false">
      <c r="A85" s="5" t="s">
        <v>477</v>
      </c>
      <c r="B85" s="0" t="s">
        <v>27</v>
      </c>
      <c r="D85" s="13" t="n">
        <f aca="false">SUM(C70:F70)</f>
        <v>296.13549219985</v>
      </c>
      <c r="E85" s="13" t="n">
        <f aca="false">SUM(G70:J70)</f>
        <v>276.335180515672</v>
      </c>
      <c r="F85" s="13" t="n">
        <f aca="false">SUM(K70:N70)</f>
        <v>292.67110478477</v>
      </c>
      <c r="G85" s="13" t="n">
        <f aca="false">SUM(O70:R70)</f>
        <v>316.018194779951</v>
      </c>
    </row>
    <row r="86" customFormat="false" ht="15" hidden="false" customHeight="false" outlineLevel="0" collapsed="false">
      <c r="A86" s="5" t="s">
        <v>358</v>
      </c>
      <c r="B86" s="0" t="s">
        <v>27</v>
      </c>
      <c r="C86" s="13" t="n">
        <f aca="false">p1_op+p2_op+p3_op+p4_op</f>
        <v>869</v>
      </c>
      <c r="D86" s="13" t="n">
        <f aca="false">SUM(C71:F71)</f>
        <v>7916.24681908788</v>
      </c>
      <c r="E86" s="13" t="n">
        <f aca="false">SUM(G71:J71)</f>
        <v>10348.6455619418</v>
      </c>
      <c r="F86" s="13" t="n">
        <f aca="false">SUM(K71:N71)</f>
        <v>10316.6079758032</v>
      </c>
      <c r="G86" s="13" t="n">
        <f aca="false">SUM(O71:R71)</f>
        <v>10878.2488989386</v>
      </c>
    </row>
    <row r="87" customFormat="false" ht="15" hidden="false" customHeight="false" outlineLevel="0" collapsed="false">
      <c r="A87" s="5" t="s">
        <v>361</v>
      </c>
      <c r="B87" s="0" t="s">
        <v>145</v>
      </c>
      <c r="C87" s="14" t="n">
        <f aca="false">C86/C77</f>
        <v>0.371748802190281</v>
      </c>
      <c r="D87" s="14" t="n">
        <f aca="false">D86/D77</f>
        <v>0.802762681565098</v>
      </c>
      <c r="E87" s="14" t="n">
        <f aca="false">E86/E77</f>
        <v>0.834584129619063</v>
      </c>
      <c r="F87" s="14" t="n">
        <f aca="false">F86/F77</f>
        <v>0.824670213388916</v>
      </c>
      <c r="G87" s="14" t="n">
        <f aca="false">G86/G77</f>
        <v>0.826051230482481</v>
      </c>
    </row>
    <row r="88" customFormat="false" ht="15" hidden="false" customHeight="false" outlineLevel="0" collapsed="false">
      <c r="A88" s="5" t="s">
        <v>359</v>
      </c>
      <c r="B88" s="0" t="s">
        <v>27</v>
      </c>
      <c r="C88" s="13" t="n">
        <f aca="false">a25_ni</f>
        <v>554.5</v>
      </c>
      <c r="D88" s="13" t="n">
        <f aca="false">SUM(C73:F73)</f>
        <v>5345.38359697976</v>
      </c>
      <c r="E88" s="13" t="n">
        <f aca="false">SUM(G73:J73)</f>
        <v>7021.30942088797</v>
      </c>
      <c r="F88" s="13" t="n">
        <f aca="false">SUM(K73:N73)</f>
        <v>7036.90378556338</v>
      </c>
      <c r="G88" s="13" t="n">
        <f aca="false">SUM(O73:R73)</f>
        <v>7456.28436988889</v>
      </c>
    </row>
    <row r="89" customFormat="false" ht="15" hidden="false" customHeight="false" outlineLevel="0" collapsed="false">
      <c r="A89" s="5" t="s">
        <v>489</v>
      </c>
      <c r="B89" s="0" t="s">
        <v>27</v>
      </c>
      <c r="D89" s="13" t="n">
        <f aca="false">da_y</f>
        <v>320</v>
      </c>
      <c r="E89" s="13" t="n">
        <f aca="false">da_y</f>
        <v>320</v>
      </c>
      <c r="F89" s="13" t="n">
        <f aca="false">da_y</f>
        <v>320</v>
      </c>
      <c r="G89" s="13" t="n">
        <f aca="false">da_y</f>
        <v>320</v>
      </c>
    </row>
    <row r="90" customFormat="false" ht="15" hidden="false" customHeight="false" outlineLevel="0" collapsed="false">
      <c r="A90" s="5" t="s">
        <v>490</v>
      </c>
      <c r="B90" s="0" t="s">
        <v>27</v>
      </c>
      <c r="D90" s="13" t="n">
        <f aca="false">cap_2026</f>
        <v>450</v>
      </c>
      <c r="E90" s="13" t="n">
        <f aca="false">cap_2027</f>
        <v>470</v>
      </c>
      <c r="F90" s="13" t="n">
        <f aca="false">cap_2028</f>
        <v>470</v>
      </c>
      <c r="G90" s="13" t="n">
        <f aca="false">cap_2029</f>
        <v>470</v>
      </c>
    </row>
    <row r="91" customFormat="false" ht="15" hidden="false" customHeight="false" outlineLevel="0" collapsed="false">
      <c r="A91" s="5" t="s">
        <v>491</v>
      </c>
      <c r="B91" s="0" t="s">
        <v>27</v>
      </c>
      <c r="D91" s="13" t="n">
        <f aca="false">D88+D89-D90</f>
        <v>5215.38359697976</v>
      </c>
      <c r="E91" s="13" t="n">
        <f aca="false">E88+E89-E90</f>
        <v>6871.30942088797</v>
      </c>
      <c r="F91" s="13" t="n">
        <f aca="false">F88+F89-F90</f>
        <v>6886.90378556338</v>
      </c>
      <c r="G91" s="13" t="n">
        <f aca="false">G88+G89-G90</f>
        <v>7306.28436988889</v>
      </c>
    </row>
    <row r="92" customFormat="false" ht="17.15" hidden="false" customHeight="false" outlineLevel="0" collapsed="false">
      <c r="A92" s="5" t="s">
        <v>492</v>
      </c>
      <c r="B92" s="0" t="s">
        <v>27</v>
      </c>
      <c r="D92" s="13" t="n">
        <f aca="false">MAX(0,payout*(SUM(D73:F73)+0.75*(D89-D90)))</f>
        <v>881.136719395952</v>
      </c>
      <c r="E92" s="13" t="n">
        <f aca="false">MAX(0,payout*E91)</f>
        <v>1374.26188417759</v>
      </c>
      <c r="F92" s="13" t="n">
        <f aca="false">MAX(0,payout*F91)</f>
        <v>1377.38075711268</v>
      </c>
      <c r="G92" s="13" t="n">
        <f aca="false">MAX(0,payout*G91)</f>
        <v>1461.25687397778</v>
      </c>
      <c r="T92" s="8" t="s">
        <v>493</v>
      </c>
    </row>
    <row r="93" customFormat="false" ht="17.15" hidden="false" customHeight="false" outlineLevel="0" collapsed="false">
      <c r="A93" s="5" t="s">
        <v>494</v>
      </c>
      <c r="B93" s="0" t="s">
        <v>27</v>
      </c>
      <c r="C93" s="13" t="n">
        <f aca="false">eq25</f>
        <v>1399.1</v>
      </c>
      <c r="D93" s="13" t="n">
        <f aca="false">eq_j+SUM(D73:F73)-D92</f>
        <v>6026.34687758381</v>
      </c>
      <c r="E93" s="13" t="n">
        <f aca="false">D93+E88-E92</f>
        <v>11673.3944142942</v>
      </c>
      <c r="F93" s="13" t="n">
        <f aca="false">E93+F88-F92</f>
        <v>17332.9174427449</v>
      </c>
      <c r="G93" s="13" t="n">
        <f aca="false">F93+G88-G92</f>
        <v>23327.944938656</v>
      </c>
      <c r="T93" s="8" t="s">
        <v>495</v>
      </c>
    </row>
    <row r="94" customFormat="false" ht="15" hidden="false" customHeight="false" outlineLevel="0" collapsed="false">
      <c r="A94" s="5" t="s">
        <v>496</v>
      </c>
      <c r="B94" s="0" t="s">
        <v>27</v>
      </c>
      <c r="D94" s="13" t="n">
        <f aca="false">nc_j+(SUM(D73:F73)+0.75*(D89-D90))-D92</f>
        <v>3680.94687758381</v>
      </c>
      <c r="E94" s="13" t="n">
        <f aca="false">D94+E91-E92</f>
        <v>9177.99441429418</v>
      </c>
      <c r="F94" s="13" t="n">
        <f aca="false">E94+F91-F92</f>
        <v>14687.5174427449</v>
      </c>
      <c r="G94" s="13" t="n">
        <f aca="false">F94+G91-G92</f>
        <v>20532.544938656</v>
      </c>
    </row>
    <row r="95" customFormat="false" ht="15" hidden="false" customHeight="false" outlineLevel="0" collapsed="false">
      <c r="A95" s="5" t="s">
        <v>497</v>
      </c>
      <c r="B95" s="5" t="s">
        <v>209</v>
      </c>
      <c r="D95" s="13" t="n">
        <f aca="false">sh0-D92/bb_px*1000</f>
        <v>1574.96224254599</v>
      </c>
      <c r="E95" s="13" t="n">
        <f aca="false">D95-E92/bb_px*1000</f>
        <v>1467.21924888251</v>
      </c>
      <c r="F95" s="13" t="n">
        <f aca="false">E95-F92/bb_px*1000</f>
        <v>1359.23173362476</v>
      </c>
      <c r="G95" s="13" t="n">
        <f aca="false">F95-G92/bb_px*1000</f>
        <v>1244.66827819726</v>
      </c>
    </row>
    <row r="96" customFormat="false" ht="17.15" hidden="false" customHeight="false" outlineLevel="0" collapsed="false">
      <c r="A96" s="0" t="s">
        <v>498</v>
      </c>
      <c r="B96" s="0" t="s">
        <v>108</v>
      </c>
      <c r="C96" s="17" t="n">
        <f aca="false">a25_eps</f>
        <v>341.4</v>
      </c>
      <c r="D96" s="17" t="n">
        <f aca="false">D88/(D95+dil)*1000</f>
        <v>3359.89398572193</v>
      </c>
      <c r="E96" s="17" t="n">
        <f aca="false">E88/(E95+dil)*1000</f>
        <v>4733.90793182165</v>
      </c>
      <c r="F96" s="17" t="n">
        <f aca="false">F88/(F95+dil)*1000</f>
        <v>5116.97540133617</v>
      </c>
      <c r="G96" s="17" t="n">
        <f aca="false">G88/(G95+dil)*1000</f>
        <v>5914.66198193265</v>
      </c>
    </row>
    <row r="97" customFormat="false" ht="17.15" hidden="false" customHeight="false" outlineLevel="0" collapsed="false">
      <c r="A97" s="5" t="s">
        <v>499</v>
      </c>
      <c r="B97" s="0" t="s">
        <v>108</v>
      </c>
      <c r="D97" s="17" t="n">
        <f aca="false">D93/D95*1000</f>
        <v>3826.34371465439</v>
      </c>
      <c r="E97" s="17" t="n">
        <f aca="false">E93/E95*1000</f>
        <v>7956.1349969918</v>
      </c>
      <c r="F97" s="17" t="n">
        <f aca="false">F93/F95*1000</f>
        <v>12751.9958620463</v>
      </c>
      <c r="G97" s="17" t="n">
        <f aca="false">G93/G95*1000</f>
        <v>18742.2989299957</v>
      </c>
    </row>
    <row r="98" customFormat="false" ht="17.15" hidden="false" customHeight="false" outlineLevel="0" collapsed="false">
      <c r="A98" s="0" t="s">
        <v>500</v>
      </c>
      <c r="B98" s="0" t="s">
        <v>145</v>
      </c>
      <c r="D98" s="21" t="n">
        <f aca="false">D88/D93</f>
        <v>0.887002309286738</v>
      </c>
      <c r="E98" s="21" t="n">
        <f aca="false">E88/E93</f>
        <v>0.6014796700684</v>
      </c>
      <c r="F98" s="21" t="n">
        <f aca="false">F88/F93</f>
        <v>0.405984959474254</v>
      </c>
      <c r="G98" s="21" t="n">
        <f aca="false">G88/G93</f>
        <v>0.319628856699388</v>
      </c>
    </row>
    <row r="99" customFormat="false" ht="15" hidden="false" customHeight="false" outlineLevel="0" collapsed="false">
      <c r="A99" s="5" t="s">
        <v>501</v>
      </c>
      <c r="B99" s="0" t="s">
        <v>108</v>
      </c>
      <c r="E99" s="17" t="n">
        <f aca="false">E91/(E95+dil)*1000</f>
        <v>4632.77491699385</v>
      </c>
      <c r="F99" s="17" t="n">
        <f aca="false">F91/(F95+dil)*1000</f>
        <v>5007.90096553457</v>
      </c>
      <c r="G99" s="17" t="n">
        <f aca="false">G91/(G95+dil)*1000</f>
        <v>5795.67519799604</v>
      </c>
    </row>
    <row r="100" customFormat="false" ht="17.15" hidden="false" customHeight="false" outlineLevel="0" collapsed="false">
      <c r="A100" s="5" t="s">
        <v>502</v>
      </c>
      <c r="B100" s="0" t="s">
        <v>27</v>
      </c>
      <c r="D100" s="18" t="n">
        <f aca="false">ABS(C60-q1_rev)+ABS(D71-g2_op)+ABS(C77-2337.6)</f>
        <v>0</v>
      </c>
    </row>
    <row r="103" customFormat="false" ht="17.15" hidden="false" customHeight="false" outlineLevel="0" collapsed="false">
      <c r="A103" s="3" t="s">
        <v>503</v>
      </c>
    </row>
    <row r="104" customFormat="false" ht="17.15" hidden="false" customHeight="false" outlineLevel="0" collapsed="false">
      <c r="A104" s="12" t="s">
        <v>442</v>
      </c>
      <c r="B104" s="6" t="s">
        <v>17</v>
      </c>
      <c r="C104" s="12" t="s">
        <v>443</v>
      </c>
      <c r="D104" s="12" t="s">
        <v>444</v>
      </c>
      <c r="E104" s="12" t="s">
        <v>445</v>
      </c>
      <c r="F104" s="12" t="s">
        <v>446</v>
      </c>
      <c r="G104" s="12" t="s">
        <v>447</v>
      </c>
      <c r="H104" s="12" t="s">
        <v>448</v>
      </c>
      <c r="I104" s="12" t="s">
        <v>449</v>
      </c>
      <c r="J104" s="12" t="s">
        <v>450</v>
      </c>
      <c r="K104" s="12" t="s">
        <v>451</v>
      </c>
      <c r="L104" s="12" t="s">
        <v>452</v>
      </c>
      <c r="M104" s="12" t="s">
        <v>453</v>
      </c>
      <c r="N104" s="12" t="s">
        <v>454</v>
      </c>
      <c r="O104" s="12" t="s">
        <v>455</v>
      </c>
      <c r="P104" s="12" t="s">
        <v>456</v>
      </c>
      <c r="Q104" s="12" t="s">
        <v>457</v>
      </c>
      <c r="R104" s="12" t="s">
        <v>458</v>
      </c>
      <c r="S104" s="12"/>
      <c r="T104" s="6" t="s">
        <v>330</v>
      </c>
    </row>
    <row r="105" customFormat="false" ht="17.15" hidden="false" customHeight="false" outlineLevel="0" collapsed="false">
      <c r="A105" s="5" t="s">
        <v>459</v>
      </c>
      <c r="B105" s="0" t="s">
        <v>391</v>
      </c>
      <c r="C105" s="19" t="n">
        <f aca="false">Units!H5*1</f>
        <v>10.72</v>
      </c>
      <c r="D105" s="19" t="n">
        <f aca="false">Units!I5*1</f>
        <v>14.9513168749304</v>
      </c>
      <c r="E105" s="19" t="n">
        <f aca="false">Units!J5*1*1</f>
        <v>16.2035648188888</v>
      </c>
      <c r="F105" s="19" t="n">
        <f aca="false">Units!K5*1*1</f>
        <v>17.9742404553078</v>
      </c>
      <c r="G105" s="19" t="n">
        <f aca="false">Units!L5*1*1</f>
        <v>19.3855542464056</v>
      </c>
      <c r="H105" s="19" t="n">
        <f aca="false">Units!M5*1*1</f>
        <v>18.4479551874158</v>
      </c>
      <c r="I105" s="19" t="n">
        <f aca="false">Units!N5*1*1</f>
        <v>15.6050701475302</v>
      </c>
      <c r="J105" s="19" t="n">
        <f aca="false">Units!O5*1*1</f>
        <v>10.8375845604605</v>
      </c>
      <c r="K105" s="19" t="n">
        <f aca="false">Units!P5*1*1</f>
        <v>8.41701710544631</v>
      </c>
      <c r="L105" s="19" t="n">
        <f aca="false">Units!Q5*1*1</f>
        <v>6.97288726979248</v>
      </c>
      <c r="M105" s="19" t="n">
        <f aca="false">Units!R5*1*1</f>
        <v>6.49859692592223</v>
      </c>
      <c r="N105" s="19" t="n">
        <f aca="false">Units!S5*1*1</f>
        <v>7.26243228308299</v>
      </c>
      <c r="O105" s="19" t="n">
        <f aca="false">Units!T5*1*1</f>
        <v>8.02763787825889</v>
      </c>
      <c r="P105" s="19" t="n">
        <f aca="false">Units!U5*1*1</f>
        <v>8.70445083676345</v>
      </c>
      <c r="Q105" s="19" t="n">
        <f aca="false">Units!V5*1*1</f>
        <v>9.43832613262633</v>
      </c>
      <c r="R105" s="19" t="n">
        <f aca="false">Units!W5*1*1</f>
        <v>9.05836490298616</v>
      </c>
      <c r="T105" s="8" t="s">
        <v>460</v>
      </c>
    </row>
    <row r="106" customFormat="false" ht="15" hidden="false" customHeight="false" outlineLevel="0" collapsed="false">
      <c r="A106" s="5" t="s">
        <v>461</v>
      </c>
      <c r="B106" s="0" t="s">
        <v>398</v>
      </c>
      <c r="C106" s="19" t="n">
        <f aca="false">Units!H8*1</f>
        <v>40.1757580440862</v>
      </c>
      <c r="D106" s="19" t="n">
        <f aca="false">Units!I8*1</f>
        <v>44.8269021796765</v>
      </c>
      <c r="E106" s="19" t="n">
        <f aca="false">Units!J8*1</f>
        <v>44.9411476117569</v>
      </c>
      <c r="F106" s="19" t="n">
        <f aca="false">Units!K8*1</f>
        <v>47.4782645224172</v>
      </c>
      <c r="G106" s="19" t="n">
        <f aca="false">Units!L8*1</f>
        <v>50.2021525440336</v>
      </c>
      <c r="H106" s="19" t="n">
        <f aca="false">Units!M8*1</f>
        <v>53.0823134629208</v>
      </c>
      <c r="I106" s="19" t="n">
        <f aca="false">Units!N8*1</f>
        <v>56.1277128526366</v>
      </c>
      <c r="J106" s="19" t="n">
        <f aca="false">Units!O8*1</f>
        <v>55.6860072193511</v>
      </c>
      <c r="K106" s="19" t="n">
        <f aca="false">Units!P8*1</f>
        <v>57.6647650202197</v>
      </c>
      <c r="L106" s="19" t="n">
        <f aca="false">Units!Q8*1</f>
        <v>59.7138363994901</v>
      </c>
      <c r="M106" s="19" t="n">
        <f aca="false">Units!R8*1</f>
        <v>61.8357198940249</v>
      </c>
      <c r="N106" s="19" t="n">
        <f aca="false">Units!S8*1</f>
        <v>65.8131408283531</v>
      </c>
      <c r="O106" s="19" t="n">
        <f aca="false">Units!T8*1</f>
        <v>69.2833686995897</v>
      </c>
      <c r="P106" s="19" t="n">
        <f aca="false">Units!U8*1</f>
        <v>72.9365764640017</v>
      </c>
      <c r="Q106" s="19" t="n">
        <f aca="false">Units!V8*1</f>
        <v>76.7824123759829</v>
      </c>
      <c r="R106" s="19" t="n">
        <f aca="false">Units!W8*1</f>
        <v>76.0844519175624</v>
      </c>
    </row>
    <row r="107" customFormat="false" ht="17.15" hidden="false" customHeight="false" outlineLevel="0" collapsed="false">
      <c r="A107" s="5" t="s">
        <v>354</v>
      </c>
      <c r="B107" s="0" t="s">
        <v>27</v>
      </c>
      <c r="C107" s="13" t="n">
        <f aca="false">q1_rev</f>
        <v>1767.1</v>
      </c>
      <c r="D107" s="13" t="n">
        <f aca="false">g2_rev</f>
        <v>2480</v>
      </c>
      <c r="E107" s="13" t="n">
        <f aca="false">E105*kx_k*fx</f>
        <v>2671.01859994948</v>
      </c>
      <c r="F107" s="13" t="n">
        <f aca="false">F105*kx_k*fx</f>
        <v>2962.89928251627</v>
      </c>
      <c r="G107" s="13" t="n">
        <f aca="false">G105*kx_k*fx</f>
        <v>3195.5422489574</v>
      </c>
      <c r="H107" s="13" t="n">
        <f aca="false">H105*kx_k*fx</f>
        <v>3040.98709064202</v>
      </c>
      <c r="I107" s="13" t="n">
        <f aca="false">I105*kx_k*fx</f>
        <v>2572.36188971088</v>
      </c>
      <c r="J107" s="13" t="n">
        <f aca="false">J105*kx_k*fx</f>
        <v>1786.48280567069</v>
      </c>
      <c r="K107" s="13" t="n">
        <f aca="false">K105*kx_k*fx</f>
        <v>1387.47303423826</v>
      </c>
      <c r="L107" s="13" t="n">
        <f aca="false">L105*kx_k*fx</f>
        <v>1149.4206244823</v>
      </c>
      <c r="M107" s="13" t="n">
        <f aca="false">M105*kx_k*fx</f>
        <v>1071.2379316975</v>
      </c>
      <c r="N107" s="13" t="n">
        <f aca="false">N105*kx_k*fx</f>
        <v>1197.14963502201</v>
      </c>
      <c r="O107" s="13" t="n">
        <f aca="false">O105*kx_k*fx</f>
        <v>1323.28721032381</v>
      </c>
      <c r="P107" s="13" t="n">
        <f aca="false">P105*kx_k*fx</f>
        <v>1434.85401806387</v>
      </c>
      <c r="Q107" s="13" t="n">
        <f aca="false">Q105*kx_k*fx</f>
        <v>1555.82706240336</v>
      </c>
      <c r="R107" s="13" t="n">
        <f aca="false">R105*kx_k*fx</f>
        <v>1493.19371455847</v>
      </c>
      <c r="T107" s="5" t="s">
        <v>462</v>
      </c>
    </row>
    <row r="108" customFormat="false" ht="17.15" hidden="false" customHeight="false" outlineLevel="0" collapsed="false">
      <c r="A108" s="0" t="s">
        <v>463</v>
      </c>
      <c r="B108" s="0" t="s">
        <v>27</v>
      </c>
      <c r="C108" s="13" t="n">
        <f aca="false">q1_ss</f>
        <v>1174.7</v>
      </c>
      <c r="D108" s="13" t="n">
        <f aca="false">D107*sssh_26</f>
        <v>1636.8</v>
      </c>
      <c r="E108" s="13" t="n">
        <f aca="false">E107*sssh_26</f>
        <v>1762.87227596666</v>
      </c>
      <c r="F108" s="13" t="n">
        <f aca="false">F107*sssh_26</f>
        <v>1955.51352646074</v>
      </c>
      <c r="G108" s="13" t="n">
        <f aca="false">G107*sssh_27</f>
        <v>2172.96872929103</v>
      </c>
      <c r="H108" s="13" t="n">
        <f aca="false">H107*sssh_27</f>
        <v>2067.87122163657</v>
      </c>
      <c r="I108" s="13" t="n">
        <f aca="false">I107*sssh_27</f>
        <v>1749.2060850034</v>
      </c>
      <c r="J108" s="13" t="n">
        <f aca="false">J107*sssh_27</f>
        <v>1214.80830785607</v>
      </c>
      <c r="K108" s="13" t="n">
        <f aca="false">K107*sssh_28</f>
        <v>971.231123966784</v>
      </c>
      <c r="L108" s="13" t="n">
        <f aca="false">L107*sssh_28</f>
        <v>804.594437137612</v>
      </c>
      <c r="M108" s="13" t="n">
        <f aca="false">M107*sssh_28</f>
        <v>749.866552188248</v>
      </c>
      <c r="N108" s="13" t="n">
        <f aca="false">N107*sssh_28</f>
        <v>838.004744515407</v>
      </c>
      <c r="O108" s="13" t="n">
        <f aca="false">O107*sssh_29</f>
        <v>926.30104722667</v>
      </c>
      <c r="P108" s="13" t="n">
        <f aca="false">P107*sssh_29</f>
        <v>1004.39781264471</v>
      </c>
      <c r="Q108" s="13" t="n">
        <f aca="false">Q107*sssh_29</f>
        <v>1089.07894368235</v>
      </c>
      <c r="R108" s="13" t="n">
        <f aca="false">R107*sssh_29</f>
        <v>1045.23560019093</v>
      </c>
      <c r="T108" s="5" t="s">
        <v>464</v>
      </c>
    </row>
    <row r="109" customFormat="false" ht="17.15" hidden="false" customHeight="false" outlineLevel="0" collapsed="false">
      <c r="A109" s="0" t="s">
        <v>465</v>
      </c>
      <c r="B109" s="0" t="s">
        <v>27</v>
      </c>
      <c r="C109" s="13" t="n">
        <f aca="false">C108*(0.75*Units!D17+0.25*Units!E17)</f>
        <v>687.403351447223</v>
      </c>
      <c r="D109" s="13" t="n">
        <f aca="false">D108*(0.75*Units!D17+0.25*Units!E17)</f>
        <v>957.812041924589</v>
      </c>
      <c r="E109" s="13" t="n">
        <f aca="false">E108*(0.75*Units!D17+0.25*Units!E17)</f>
        <v>1031.58620130491</v>
      </c>
      <c r="F109" s="13" t="n">
        <f aca="false">F108*(0.75*Units!D17+0.25*Units!E17)</f>
        <v>1144.31476282412</v>
      </c>
      <c r="G109" s="13" t="n">
        <f aca="false">G108*(0.75*Units!E17+0.25*Units!F17)</f>
        <v>1471.55659110078</v>
      </c>
      <c r="H109" s="13" t="n">
        <f aca="false">H108*(0.75*Units!E17+0.25*Units!F17)</f>
        <v>1400.38348676087</v>
      </c>
      <c r="I109" s="13" t="n">
        <f aca="false">I108*(0.75*Units!E17+0.25*Units!F17)</f>
        <v>1184.58020535812</v>
      </c>
      <c r="J109" s="13" t="n">
        <f aca="false">J108*(0.75*Units!E17+0.25*Units!F17)</f>
        <v>822.680578994263</v>
      </c>
      <c r="K109" s="13" t="n">
        <f aca="false">K108*(0.75*Units!F17+0.25*Units!G17)</f>
        <v>666.98420268565</v>
      </c>
      <c r="L109" s="13" t="n">
        <f aca="false">L108*(0.75*Units!F17+0.25*Units!G17)</f>
        <v>552.547962989182</v>
      </c>
      <c r="M109" s="13" t="n">
        <f aca="false">M108*(0.75*Units!F17+0.25*Units!G17)</f>
        <v>514.964082276487</v>
      </c>
      <c r="N109" s="13" t="n">
        <f aca="false">N108*(0.75*Units!F17+0.25*Units!G17)</f>
        <v>575.492189834844</v>
      </c>
      <c r="O109" s="13" t="n">
        <f aca="false">O108*(0.75*Units!G17+0.25*Units!H17)</f>
        <v>677.558695375265</v>
      </c>
      <c r="P109" s="13" t="n">
        <f aca="false">P108*(0.75*Units!G17+0.25*Units!H17)</f>
        <v>734.683906070106</v>
      </c>
      <c r="Q109" s="13" t="n">
        <f aca="false">Q108*(0.75*Units!G17+0.25*Units!H17)</f>
        <v>796.625363267579</v>
      </c>
      <c r="R109" s="13" t="n">
        <f aca="false">R108*(0.75*Units!G17+0.25*Units!H17)</f>
        <v>764.555402096883</v>
      </c>
      <c r="T109" s="5" t="s">
        <v>466</v>
      </c>
    </row>
    <row r="110" customFormat="false" ht="17.15" hidden="false" customHeight="false" outlineLevel="0" collapsed="false">
      <c r="A110" s="0" t="s">
        <v>467</v>
      </c>
      <c r="B110" s="0" t="s">
        <v>27</v>
      </c>
      <c r="C110" s="13" t="n">
        <f aca="false">C108-C109</f>
        <v>487.296648552777</v>
      </c>
      <c r="D110" s="13" t="n">
        <f aca="false">D108-D109</f>
        <v>678.987958075412</v>
      </c>
      <c r="E110" s="13" t="n">
        <f aca="false">E108-E109</f>
        <v>731.28607466175</v>
      </c>
      <c r="F110" s="13" t="n">
        <f aca="false">F108-F109</f>
        <v>811.198763636622</v>
      </c>
      <c r="G110" s="13" t="n">
        <f aca="false">G108-G109</f>
        <v>701.412138190256</v>
      </c>
      <c r="H110" s="13" t="n">
        <f aca="false">H108-H109</f>
        <v>667.487734875703</v>
      </c>
      <c r="I110" s="13" t="n">
        <f aca="false">I108-I109</f>
        <v>564.625879645282</v>
      </c>
      <c r="J110" s="13" t="n">
        <f aca="false">J108-J109</f>
        <v>392.127728861803</v>
      </c>
      <c r="K110" s="13" t="n">
        <f aca="false">K108-K109</f>
        <v>304.246921281133</v>
      </c>
      <c r="L110" s="13" t="n">
        <f aca="false">L108-L109</f>
        <v>252.04647414843</v>
      </c>
      <c r="M110" s="13" t="n">
        <f aca="false">M108-M109</f>
        <v>234.902469911761</v>
      </c>
      <c r="N110" s="13" t="n">
        <f aca="false">N108-N109</f>
        <v>262.512554680563</v>
      </c>
      <c r="O110" s="13" t="n">
        <f aca="false">O108-O109</f>
        <v>248.742351851404</v>
      </c>
      <c r="P110" s="13" t="n">
        <f aca="false">P108-P109</f>
        <v>269.713906574603</v>
      </c>
      <c r="Q110" s="13" t="n">
        <f aca="false">Q108-Q109</f>
        <v>292.453580414771</v>
      </c>
      <c r="R110" s="13" t="n">
        <f aca="false">R108-R109</f>
        <v>280.680198094049</v>
      </c>
    </row>
    <row r="111" customFormat="false" ht="17.15" hidden="false" customHeight="false" outlineLevel="0" collapsed="false">
      <c r="A111" s="5" t="s">
        <v>468</v>
      </c>
      <c r="B111" s="0" t="s">
        <v>27</v>
      </c>
      <c r="C111" s="13" t="n">
        <f aca="false">q1_rev-q1_ss-q1_sd</f>
        <v>66.6999999999998</v>
      </c>
      <c r="D111" s="13" t="n">
        <f aca="false">D107*otsh_26</f>
        <v>99.2</v>
      </c>
      <c r="E111" s="13" t="n">
        <f aca="false">E107*otsh_26</f>
        <v>106.840743997979</v>
      </c>
      <c r="F111" s="13" t="n">
        <f aca="false">F107*otsh_26</f>
        <v>118.515971300651</v>
      </c>
      <c r="G111" s="13" t="n">
        <f aca="false">G107*otsh_27</f>
        <v>127.821689958296</v>
      </c>
      <c r="H111" s="13" t="n">
        <f aca="false">H107*otsh_27</f>
        <v>121.639483625681</v>
      </c>
      <c r="I111" s="13" t="n">
        <f aca="false">I107*otsh_27</f>
        <v>102.894475588435</v>
      </c>
      <c r="J111" s="13" t="n">
        <f aca="false">J107*otsh_27</f>
        <v>71.4593122268274</v>
      </c>
      <c r="K111" s="13" t="n">
        <f aca="false">K107*otsh_28</f>
        <v>55.4989213695305</v>
      </c>
      <c r="L111" s="13" t="n">
        <f aca="false">L107*otsh_28</f>
        <v>45.9768249792921</v>
      </c>
      <c r="M111" s="13" t="n">
        <f aca="false">M107*otsh_28</f>
        <v>42.8495172678999</v>
      </c>
      <c r="N111" s="13" t="n">
        <f aca="false">N107*otsh_28</f>
        <v>47.8859854008804</v>
      </c>
      <c r="O111" s="13" t="n">
        <f aca="false">O107*otsh_29</f>
        <v>52.9314884129526</v>
      </c>
      <c r="P111" s="13" t="n">
        <f aca="false">P107*otsh_29</f>
        <v>57.3941607225548</v>
      </c>
      <c r="Q111" s="13" t="n">
        <f aca="false">Q107*otsh_29</f>
        <v>62.2330824961343</v>
      </c>
      <c r="R111" s="13" t="n">
        <f aca="false">R107*otsh_29</f>
        <v>59.727748582339</v>
      </c>
      <c r="T111" s="5" t="s">
        <v>469</v>
      </c>
    </row>
    <row r="112" customFormat="false" ht="17.15" hidden="false" customHeight="false" outlineLevel="0" collapsed="false">
      <c r="A112" s="5" t="s">
        <v>470</v>
      </c>
      <c r="B112" s="0" t="s">
        <v>27</v>
      </c>
      <c r="C112" s="13" t="n">
        <f aca="false">q1_sd</f>
        <v>525.7</v>
      </c>
      <c r="D112" s="13" t="n">
        <f aca="false">D107-D108-D111</f>
        <v>744</v>
      </c>
      <c r="E112" s="13" t="n">
        <f aca="false">E107-E108-E111</f>
        <v>801.305579984843</v>
      </c>
      <c r="F112" s="13" t="n">
        <f aca="false">F107-F108-F111</f>
        <v>888.869784754881</v>
      </c>
      <c r="G112" s="13" t="n">
        <f aca="false">G107-G108-G111</f>
        <v>894.751829708072</v>
      </c>
      <c r="H112" s="13" t="n">
        <f aca="false">H107-H108-H111</f>
        <v>851.476385379766</v>
      </c>
      <c r="I112" s="13" t="n">
        <f aca="false">I107-I108-I111</f>
        <v>720.261329119046</v>
      </c>
      <c r="J112" s="13" t="n">
        <f aca="false">J107-J108-J111</f>
        <v>500.215185587792</v>
      </c>
      <c r="K112" s="13" t="n">
        <f aca="false">K107-K108-K111</f>
        <v>360.742988901948</v>
      </c>
      <c r="L112" s="13" t="n">
        <f aca="false">L107-L108-L111</f>
        <v>298.849362365399</v>
      </c>
      <c r="M112" s="13" t="n">
        <f aca="false">M107-M108-M111</f>
        <v>278.521862241349</v>
      </c>
      <c r="N112" s="13" t="n">
        <f aca="false">N107-N108-N111</f>
        <v>311.258905105723</v>
      </c>
      <c r="O112" s="13" t="n">
        <f aca="false">O107-O108-O111</f>
        <v>344.054674684192</v>
      </c>
      <c r="P112" s="13" t="n">
        <f aca="false">P107-P108-P111</f>
        <v>373.062044696606</v>
      </c>
      <c r="Q112" s="13" t="n">
        <f aca="false">Q107-Q108-Q111</f>
        <v>404.515036224873</v>
      </c>
      <c r="R112" s="13" t="n">
        <f aca="false">R107-R108-R111</f>
        <v>388.230365785203</v>
      </c>
      <c r="T112" s="5" t="s">
        <v>471</v>
      </c>
    </row>
    <row r="113" customFormat="false" ht="15" hidden="false" customHeight="false" outlineLevel="0" collapsed="false">
      <c r="A113" s="5" t="s">
        <v>472</v>
      </c>
      <c r="B113" s="0" t="s">
        <v>27</v>
      </c>
      <c r="C113" s="18" t="n">
        <f aca="false">C108+C112+C111-C107</f>
        <v>0</v>
      </c>
      <c r="D113" s="18" t="n">
        <f aca="false">D108+D112+D111-D107</f>
        <v>0</v>
      </c>
      <c r="E113" s="18" t="n">
        <f aca="false">E108+E112+E111-E107</f>
        <v>0</v>
      </c>
      <c r="F113" s="18" t="n">
        <f aca="false">F108+F112+F111-F107</f>
        <v>0</v>
      </c>
      <c r="G113" s="18" t="n">
        <f aca="false">G108+G112+G111-G107</f>
        <v>0</v>
      </c>
      <c r="H113" s="18" t="n">
        <f aca="false">H108+H112+H111-H107</f>
        <v>0</v>
      </c>
      <c r="I113" s="18" t="n">
        <f aca="false">I108+I112+I111-I107</f>
        <v>0</v>
      </c>
      <c r="J113" s="18" t="n">
        <f aca="false">J108+J112+J111-J107</f>
        <v>0</v>
      </c>
      <c r="K113" s="18" t="n">
        <f aca="false">K108+K112+K111-K107</f>
        <v>0</v>
      </c>
      <c r="L113" s="18" t="n">
        <f aca="false">L108+L112+L111-L107</f>
        <v>0</v>
      </c>
      <c r="M113" s="18" t="n">
        <f aca="false">M108+M112+M111-M107</f>
        <v>0</v>
      </c>
      <c r="N113" s="18" t="n">
        <f aca="false">N108+N112+N111-N107</f>
        <v>0</v>
      </c>
      <c r="O113" s="18" t="n">
        <f aca="false">O108+O112+O111-O107</f>
        <v>0</v>
      </c>
      <c r="P113" s="18" t="n">
        <f aca="false">P108+P112+P111-P107</f>
        <v>0</v>
      </c>
      <c r="Q113" s="18" t="n">
        <f aca="false">Q108+Q112+Q111-Q107</f>
        <v>0</v>
      </c>
      <c r="R113" s="18" t="n">
        <f aca="false">R108+R112+R111-R107</f>
        <v>0</v>
      </c>
    </row>
    <row r="114" customFormat="false" ht="17.15" hidden="false" customHeight="false" outlineLevel="0" collapsed="false">
      <c r="A114" s="5" t="s">
        <v>473</v>
      </c>
      <c r="B114" s="0" t="s">
        <v>474</v>
      </c>
      <c r="C114" s="20" t="n">
        <f aca="false">C115/C106</f>
        <v>9.63267449926724</v>
      </c>
      <c r="D114" s="20" t="n">
        <f aca="false">D115/D106</f>
        <v>9.50991434320605</v>
      </c>
      <c r="E114" s="20" t="n">
        <f aca="false">$D114*(1-cd_B)^(1/4)</f>
        <v>9.21079832376708</v>
      </c>
      <c r="F114" s="20" t="n">
        <f aca="false">$D114*(1-cd_B)^(2/4)</f>
        <v>8.9210904219889</v>
      </c>
      <c r="G114" s="20" t="n">
        <f aca="false">$D114*(1-cd_B)^(3/4)</f>
        <v>8.64049472367046</v>
      </c>
      <c r="H114" s="20" t="n">
        <f aca="false">$D114*(1-cd_B)^(4/4)</f>
        <v>8.36872462202132</v>
      </c>
      <c r="I114" s="20" t="n">
        <f aca="false">$D114*(1-cd_B)^(5/4)</f>
        <v>8.10550252491503</v>
      </c>
      <c r="J114" s="20" t="n">
        <f aca="false">$D114*(1-cd_B)^(6/4)</f>
        <v>7.85055957135024</v>
      </c>
      <c r="K114" s="20" t="n">
        <f aca="false">$D114*(1-cd_B)^(7/4)</f>
        <v>7.60363535683001</v>
      </c>
      <c r="L114" s="20" t="n">
        <f aca="false">$D114*(1-cd_B)^(8/4)</f>
        <v>7.36447766737876</v>
      </c>
      <c r="M114" s="20" t="n">
        <f aca="false">$D114*(1-cd_B)^(9/4)</f>
        <v>7.13284222192522</v>
      </c>
      <c r="N114" s="20" t="n">
        <f aca="false">$D114*(1-cd_B)^(10/4)</f>
        <v>6.90849242278821</v>
      </c>
      <c r="O114" s="20" t="n">
        <f aca="false">$D114*(1-cd_B)^(11/4)</f>
        <v>6.69119911401041</v>
      </c>
      <c r="P114" s="20" t="n">
        <f aca="false">$D114*(1-cd_B)^(12/4)</f>
        <v>6.48074034729331</v>
      </c>
      <c r="Q114" s="20" t="n">
        <f aca="false">$D114*(1-cd_B)^(13/4)</f>
        <v>6.2769011552942</v>
      </c>
      <c r="R114" s="20" t="n">
        <f aca="false">$D114*(1-cd_B)^(14/4)</f>
        <v>6.07947333205362</v>
      </c>
    </row>
    <row r="115" customFormat="false" ht="15" hidden="false" customHeight="false" outlineLevel="0" collapsed="false">
      <c r="A115" s="5" t="s">
        <v>475</v>
      </c>
      <c r="B115" s="0" t="s">
        <v>27</v>
      </c>
      <c r="C115" s="13" t="n">
        <f aca="false">q1_rev-q1_gp</f>
        <v>387</v>
      </c>
      <c r="D115" s="13" t="n">
        <f aca="false">g2_rev-g2_op-g2_ox</f>
        <v>426.3</v>
      </c>
      <c r="E115" s="13" t="n">
        <f aca="false">E106*E114</f>
        <v>413.943847090539</v>
      </c>
      <c r="F115" s="13" t="n">
        <f aca="false">F106*F114</f>
        <v>423.557890883592</v>
      </c>
      <c r="G115" s="13" t="n">
        <f aca="false">G106*G114</f>
        <v>433.771434173622</v>
      </c>
      <c r="H115" s="13" t="n">
        <f aca="false">H106*H114</f>
        <v>444.231263670999</v>
      </c>
      <c r="I115" s="13" t="n">
        <f aca="false">I106*I114</f>
        <v>454.943318244752</v>
      </c>
      <c r="J115" s="13" t="n">
        <f aca="false">J106*J114</f>
        <v>437.166316966155</v>
      </c>
      <c r="K115" s="13" t="n">
        <f aca="false">K106*K114</f>
        <v>438.461846151037</v>
      </c>
      <c r="L115" s="13" t="n">
        <f aca="false">L106*L114</f>
        <v>439.761214597554</v>
      </c>
      <c r="M115" s="13" t="n">
        <f aca="false">M106*M114</f>
        <v>441.064433683242</v>
      </c>
      <c r="N115" s="13" t="n">
        <f aca="false">N106*N114</f>
        <v>454.669584732571</v>
      </c>
      <c r="O115" s="13" t="n">
        <f aca="false">O106*O114</f>
        <v>463.588815258351</v>
      </c>
      <c r="P115" s="13" t="n">
        <f aca="false">P106*P114</f>
        <v>472.6830138837</v>
      </c>
      <c r="Q115" s="13" t="n">
        <f aca="false">Q106*Q114</f>
        <v>481.955612949083</v>
      </c>
      <c r="R115" s="13" t="n">
        <f aca="false">R106*R114</f>
        <v>462.553396416737</v>
      </c>
      <c r="T115" s="5" t="s">
        <v>476</v>
      </c>
    </row>
    <row r="116" customFormat="false" ht="15" hidden="false" customHeight="false" outlineLevel="0" collapsed="false">
      <c r="A116" s="5" t="s">
        <v>360</v>
      </c>
      <c r="B116" s="0" t="s">
        <v>145</v>
      </c>
      <c r="C116" s="14" t="n">
        <f aca="false">1-C115/C107</f>
        <v>0.780997113915455</v>
      </c>
      <c r="D116" s="14" t="n">
        <f aca="false">1-D115/D107</f>
        <v>0.828104838709677</v>
      </c>
      <c r="E116" s="14" t="n">
        <f aca="false">1-E115/E107</f>
        <v>0.845023974337592</v>
      </c>
      <c r="F116" s="14" t="n">
        <f aca="false">1-F115/F107</f>
        <v>0.857046139440865</v>
      </c>
      <c r="G116" s="14" t="n">
        <f aca="false">1-G115/G107</f>
        <v>0.864257330875488</v>
      </c>
      <c r="H116" s="14" t="n">
        <f aca="false">1-H115/H107</f>
        <v>0.853918727561184</v>
      </c>
      <c r="I116" s="14" t="n">
        <f aca="false">1-I115/I107</f>
        <v>0.823141790404971</v>
      </c>
      <c r="J116" s="14" t="n">
        <f aca="false">1-J115/J107</f>
        <v>0.755292177692114</v>
      </c>
      <c r="K116" s="14" t="n">
        <f aca="false">1-K115/K107</f>
        <v>0.683985320556693</v>
      </c>
      <c r="L116" s="14" t="n">
        <f aca="false">1-L115/L107</f>
        <v>0.617406191231672</v>
      </c>
      <c r="M116" s="14" t="n">
        <f aca="false">1-M115/M107</f>
        <v>0.58826660200099</v>
      </c>
      <c r="N116" s="14" t="n">
        <f aca="false">1-N115/N107</f>
        <v>0.620206554442786</v>
      </c>
      <c r="O116" s="14" t="n">
        <f aca="false">1-O115/O107</f>
        <v>0.649668785701549</v>
      </c>
      <c r="P116" s="14" t="n">
        <f aca="false">1-P115/P107</f>
        <v>0.670570658803662</v>
      </c>
      <c r="Q116" s="14" t="n">
        <f aca="false">1-Q115/Q107</f>
        <v>0.690225459759915</v>
      </c>
      <c r="R116" s="14" t="n">
        <f aca="false">1-R115/R107</f>
        <v>0.690225459759915</v>
      </c>
    </row>
    <row r="117" customFormat="false" ht="17.15" hidden="false" customHeight="false" outlineLevel="0" collapsed="false">
      <c r="A117" s="5" t="s">
        <v>477</v>
      </c>
      <c r="B117" s="0" t="s">
        <v>27</v>
      </c>
      <c r="C117" s="13" t="n">
        <f aca="false">q1_gp-q1_op</f>
        <v>110.1</v>
      </c>
      <c r="D117" s="13" t="n">
        <f aca="false">g2_ox</f>
        <v>59</v>
      </c>
      <c r="E117" s="13" t="n">
        <f aca="false">(g2_ox-ox_var*g2_rev)*(1+ox_g)^(1/4)+ox_var*E107</f>
        <v>61.7348741661828</v>
      </c>
      <c r="F117" s="13" t="n">
        <f aca="false">(g2_ox-ox_var*g2_rev)*(1+ox_g)^(2/4)+ox_var*F107</f>
        <v>65.4982554325819</v>
      </c>
      <c r="G117" s="13" t="n">
        <f aca="false">(g2_ox-ox_var*g2_rev)*(1+ox_g)^(3/4)+ox_var*G107</f>
        <v>68.6896253431968</v>
      </c>
      <c r="H117" s="13" t="n">
        <f aca="false">(g2_ox-ox_var*g2_rev)*(1+ox_g)^(4/4)+ox_var*H107</f>
        <v>68.0298709064202</v>
      </c>
      <c r="I117" s="13" t="n">
        <f aca="false">(g2_ox-ox_var*g2_rev)*(1+ox_g)^(5/4)+ox_var*I107</f>
        <v>64.2507758804656</v>
      </c>
      <c r="J117" s="13" t="n">
        <f aca="false">(g2_ox-ox_var*g2_rev)*(1+ox_g)^(6/4)+ox_var*J107</f>
        <v>57.321016924868</v>
      </c>
      <c r="K117" s="13" t="n">
        <f aca="false">(g2_ox-ox_var*g2_rev)*(1+ox_g)^(7/4)+ox_var*K107</f>
        <v>54.2823534813677</v>
      </c>
      <c r="L117" s="13" t="n">
        <f aca="false">(g2_ox-ox_var*g2_rev)*(1+ox_g)^(8/4)+ox_var*L107</f>
        <v>52.876206244823</v>
      </c>
      <c r="M117" s="13" t="n">
        <f aca="false">(g2_ox-ox_var*g2_rev)*(1+ox_g)^(9/4)+ox_var*M107</f>
        <v>53.0922519986675</v>
      </c>
      <c r="N117" s="13" t="n">
        <f aca="false">(g2_ox-ox_var*g2_rev)*(1+ox_g)^(10/4)+ox_var*N107</f>
        <v>55.3733041051973</v>
      </c>
      <c r="O117" s="13" t="n">
        <f aca="false">(g2_ox-ox_var*g2_rev)*(1+ox_g)^(11/4)+ox_var*O107</f>
        <v>57.6812575561217</v>
      </c>
      <c r="P117" s="13" t="n">
        <f aca="false">(g2_ox-ox_var*g2_rev)*(1+ox_g)^(12/4)+ox_var*P107</f>
        <v>59.8687401806387</v>
      </c>
      <c r="Q117" s="13" t="n">
        <f aca="false">(g2_ox-ox_var*g2_rev)*(1+ox_g)^(13/4)+ox_var*Q107</f>
        <v>62.1761305738953</v>
      </c>
      <c r="R117" s="13" t="n">
        <f aca="false">(g2_ox-ox_var*g2_rev)*(1+ox_g)^(14/4)+ox_var*R107</f>
        <v>62.6739256760597</v>
      </c>
      <c r="T117" s="5" t="s">
        <v>478</v>
      </c>
    </row>
    <row r="118" customFormat="false" ht="15" hidden="false" customHeight="false" outlineLevel="0" collapsed="false">
      <c r="A118" s="5" t="s">
        <v>358</v>
      </c>
      <c r="B118" s="0" t="s">
        <v>27</v>
      </c>
      <c r="C118" s="13" t="n">
        <f aca="false">C107-C115-C117</f>
        <v>1270</v>
      </c>
      <c r="D118" s="13" t="n">
        <f aca="false">D107-D115-D117</f>
        <v>1994.7</v>
      </c>
      <c r="E118" s="13" t="n">
        <f aca="false">E107-E115-E117</f>
        <v>2195.33987869276</v>
      </c>
      <c r="F118" s="13" t="n">
        <f aca="false">F107-F115-F117</f>
        <v>2473.8431362001</v>
      </c>
      <c r="G118" s="13" t="n">
        <f aca="false">G107-G115-G117</f>
        <v>2693.08118944058</v>
      </c>
      <c r="H118" s="13" t="n">
        <f aca="false">H107-H115-H117</f>
        <v>2528.7259560646</v>
      </c>
      <c r="I118" s="13" t="n">
        <f aca="false">I107-I115-I117</f>
        <v>2053.16779558566</v>
      </c>
      <c r="J118" s="13" t="n">
        <f aca="false">J107-J115-J117</f>
        <v>1291.99547177966</v>
      </c>
      <c r="K118" s="13" t="n">
        <f aca="false">K107-K115-K117</f>
        <v>894.728834605858</v>
      </c>
      <c r="L118" s="13" t="n">
        <f aca="false">L107-L115-L117</f>
        <v>656.783203639926</v>
      </c>
      <c r="M118" s="13" t="n">
        <f aca="false">M107-M115-M117</f>
        <v>577.081246015587</v>
      </c>
      <c r="N118" s="13" t="n">
        <f aca="false">N107-N115-N117</f>
        <v>687.106746184242</v>
      </c>
      <c r="O118" s="13" t="n">
        <f aca="false">O107-O115-O117</f>
        <v>802.017137509341</v>
      </c>
      <c r="P118" s="13" t="n">
        <f aca="false">P107-P115-P117</f>
        <v>902.302263999532</v>
      </c>
      <c r="Q118" s="13" t="n">
        <f aca="false">Q107-Q115-Q117</f>
        <v>1011.69531888038</v>
      </c>
      <c r="R118" s="13" t="n">
        <f aca="false">R107-R115-R117</f>
        <v>967.966392465678</v>
      </c>
    </row>
    <row r="120" customFormat="false" ht="17.15" hidden="false" customHeight="false" outlineLevel="0" collapsed="false">
      <c r="A120" s="5" t="s">
        <v>359</v>
      </c>
      <c r="B120" s="0" t="s">
        <v>27</v>
      </c>
      <c r="C120" s="13" t="n">
        <f aca="false">q1_ni</f>
        <v>842.2</v>
      </c>
      <c r="D120" s="13" t="n">
        <f aca="false">g2_ni</f>
        <v>1360</v>
      </c>
      <c r="E120" s="13" t="n">
        <f aca="false">(E118+nonop_q+rf*nc_j/4)*(1-tax)</f>
        <v>1482.89699751107</v>
      </c>
      <c r="F120" s="13" t="n">
        <f aca="false">(F118+nonop_q+rf*nc_j/4)*(1-tax)</f>
        <v>1672.27921261607</v>
      </c>
      <c r="G120" s="13" t="n">
        <f aca="false">(G118+nonop_q+rf*$D141/4)*(1-tax)</f>
        <v>1827.36912846537</v>
      </c>
      <c r="H120" s="13" t="n">
        <f aca="false">(H118+nonop_q+rf*$D141/4)*(1-tax)</f>
        <v>1715.6075697697</v>
      </c>
      <c r="I120" s="13" t="n">
        <f aca="false">(I118+nonop_q+rf*$D141/4)*(1-tax)</f>
        <v>1392.22802064402</v>
      </c>
      <c r="J120" s="13" t="n">
        <f aca="false">(J118+nonop_q+rf*$D141/4)*(1-tax)</f>
        <v>874.630840455943</v>
      </c>
      <c r="K120" s="13" t="n">
        <f aca="false">(K118+nonop_q+rf*$E141/4)*(1-tax)</f>
        <v>612.186903538452</v>
      </c>
      <c r="L120" s="13" t="n">
        <f aca="false">(L118+nonop_q+rf*$E141/4)*(1-tax)</f>
        <v>450.383874481618</v>
      </c>
      <c r="M120" s="13" t="n">
        <f aca="false">(M118+nonop_q+rf*$E141/4)*(1-tax)</f>
        <v>396.186543297068</v>
      </c>
      <c r="N120" s="13" t="n">
        <f aca="false">(N118+nonop_q+rf*$E141/4)*(1-tax)</f>
        <v>471.003883411753</v>
      </c>
      <c r="O120" s="13" t="n">
        <f aca="false">(O118+nonop_q+rf*$F141/4)*(1-tax)</f>
        <v>551.563424751252</v>
      </c>
      <c r="P120" s="13" t="n">
        <f aca="false">(P118+nonop_q+rf*$F141/4)*(1-tax)</f>
        <v>619.757310764582</v>
      </c>
      <c r="Q120" s="13" t="n">
        <f aca="false">(Q118+nonop_q+rf*$F141/4)*(1-tax)</f>
        <v>694.144588083558</v>
      </c>
      <c r="R120" s="13" t="n">
        <f aca="false">(R118+nonop_q+rf*$F141/4)*(1-tax)</f>
        <v>664.40891812156</v>
      </c>
      <c r="T120" s="5" t="s">
        <v>479</v>
      </c>
    </row>
    <row r="121" customFormat="false" ht="17.15" hidden="false" customHeight="false" outlineLevel="0" collapsed="false">
      <c r="A121" s="5" t="s">
        <v>480</v>
      </c>
      <c r="B121" s="0" t="s">
        <v>108</v>
      </c>
      <c r="C121" s="17" t="n">
        <f aca="false">C120/(sh0+dil)*1000</f>
        <v>507.343332753891</v>
      </c>
      <c r="D121" s="17" t="n">
        <f aca="false">D120/(sh0+dil)*1000</f>
        <v>819.267314824616</v>
      </c>
      <c r="E121" s="17" t="n">
        <f aca="false">E120/(sh0+dil)*1000</f>
        <v>893.300765670869</v>
      </c>
      <c r="F121" s="17" t="n">
        <f aca="false">F120/(sh0+dil)*1000</f>
        <v>1007.38507364484</v>
      </c>
      <c r="G121" s="17" t="n">
        <f aca="false">G120/(sh0+dil)*1000</f>
        <v>1100.81161696413</v>
      </c>
      <c r="H121" s="17" t="n">
        <f aca="false">H120/(sh0+dil)*1000</f>
        <v>1033.48618160148</v>
      </c>
      <c r="I121" s="17" t="n">
        <f aca="false">I120/(sh0+dil)*1000</f>
        <v>838.681553012219</v>
      </c>
      <c r="J121" s="17" t="n">
        <f aca="false">J120/(sh0+dil)*1000</f>
        <v>526.879750090542</v>
      </c>
      <c r="K121" s="17" t="n">
        <f aca="false">K120/(sh0+dil)*1000</f>
        <v>368.782882818194</v>
      </c>
      <c r="L121" s="17" t="n">
        <f aca="false">L120/(sh0+dil)*1000</f>
        <v>271.31234374034</v>
      </c>
      <c r="M121" s="17" t="n">
        <f aca="false">M120/(sh0+dil)*1000</f>
        <v>238.663739335761</v>
      </c>
      <c r="N121" s="17" t="n">
        <f aca="false">N120/(sh0+dil)*1000</f>
        <v>283.733887378466</v>
      </c>
      <c r="O121" s="17" t="n">
        <f aca="false">O120/(sh0+dil)*1000</f>
        <v>332.263151434873</v>
      </c>
      <c r="P121" s="17" t="n">
        <f aca="false">P120/(sh0+dil)*1000</f>
        <v>373.343314583106</v>
      </c>
      <c r="Q121" s="17" t="n">
        <f aca="false">Q120/(sh0+dil)*1000</f>
        <v>418.154391749452</v>
      </c>
      <c r="R121" s="17" t="n">
        <f aca="false">R120/(sh0+dil)*1000</f>
        <v>400.241551687484</v>
      </c>
    </row>
    <row r="123" customFormat="false" ht="17.15" hidden="false" customHeight="false" outlineLevel="0" collapsed="false">
      <c r="A123" s="12" t="s">
        <v>481</v>
      </c>
      <c r="B123" s="6" t="s">
        <v>17</v>
      </c>
      <c r="C123" s="12" t="s">
        <v>425</v>
      </c>
      <c r="D123" s="12" t="s">
        <v>426</v>
      </c>
      <c r="E123" s="12" t="s">
        <v>427</v>
      </c>
      <c r="F123" s="12" t="s">
        <v>428</v>
      </c>
      <c r="G123" s="12" t="s">
        <v>429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6" t="s">
        <v>330</v>
      </c>
    </row>
    <row r="124" customFormat="false" ht="17.15" hidden="false" customHeight="false" outlineLevel="0" collapsed="false">
      <c r="A124" s="5" t="s">
        <v>354</v>
      </c>
      <c r="B124" s="0" t="s">
        <v>27</v>
      </c>
      <c r="C124" s="13" t="n">
        <f aca="false">a25_rev</f>
        <v>2337.6</v>
      </c>
      <c r="D124" s="13" t="n">
        <f aca="false">SUM(C107:F107)</f>
        <v>9881.01788246575</v>
      </c>
      <c r="E124" s="13" t="n">
        <f aca="false">SUM(G107:J107)</f>
        <v>10595.374034981</v>
      </c>
      <c r="F124" s="13" t="n">
        <f aca="false">SUM(K107:N107)</f>
        <v>4805.28122544007</v>
      </c>
      <c r="G124" s="13" t="n">
        <f aca="false">SUM(O107:R107)</f>
        <v>5807.16200534952</v>
      </c>
      <c r="T124" s="8" t="s">
        <v>482</v>
      </c>
    </row>
    <row r="125" customFormat="false" ht="17.15" hidden="false" customHeight="false" outlineLevel="0" collapsed="false">
      <c r="A125" s="5" t="s">
        <v>483</v>
      </c>
      <c r="B125" s="0" t="s">
        <v>27</v>
      </c>
      <c r="C125" s="13" t="n">
        <f aca="false">p1_ss+p2_ss+p3_ss+p4_ss</f>
        <v>1364.7</v>
      </c>
      <c r="D125" s="13" t="n">
        <f aca="false">SUM(C108:F108)</f>
        <v>6529.88580242739</v>
      </c>
      <c r="E125" s="13" t="n">
        <f aca="false">SUM(G108:J108)</f>
        <v>7204.85434378707</v>
      </c>
      <c r="F125" s="13" t="n">
        <f aca="false">SUM(K108:N108)</f>
        <v>3363.69685780805</v>
      </c>
      <c r="G125" s="13" t="n">
        <f aca="false">SUM(O108:R108)</f>
        <v>4065.01340374466</v>
      </c>
    </row>
    <row r="126" customFormat="false" ht="17.15" hidden="false" customHeight="false" outlineLevel="0" collapsed="false">
      <c r="A126" s="0" t="s">
        <v>484</v>
      </c>
      <c r="B126" s="0" t="s">
        <v>27</v>
      </c>
      <c r="C126" s="13" t="n">
        <f aca="false">C125*(0.75*Units!C17+0.25*Units!D17)</f>
        <v>507.679569396364</v>
      </c>
      <c r="D126" s="13" t="n">
        <f aca="false">SUM(C109:F109)</f>
        <v>3821.11635750083</v>
      </c>
      <c r="E126" s="13" t="n">
        <f aca="false">SUM(G109:J109)</f>
        <v>4879.20086221403</v>
      </c>
      <c r="F126" s="13" t="n">
        <f aca="false">SUM(K109:N109)</f>
        <v>2309.98843778616</v>
      </c>
      <c r="G126" s="13" t="n">
        <f aca="false">SUM(O109:R109)</f>
        <v>2973.42336680983</v>
      </c>
    </row>
    <row r="127" customFormat="false" ht="15" hidden="false" customHeight="false" outlineLevel="0" collapsed="false">
      <c r="A127" s="5" t="s">
        <v>485</v>
      </c>
      <c r="B127" s="0" t="s">
        <v>27</v>
      </c>
      <c r="C127" s="13" t="n">
        <f aca="false">p1_sd+p2_sd+p3_sd+p4_sd</f>
        <v>759.5</v>
      </c>
      <c r="D127" s="13" t="n">
        <f aca="false">SUM(C112:F112)</f>
        <v>2959.87536473972</v>
      </c>
      <c r="E127" s="13" t="n">
        <f aca="false">SUM(G112:J112)</f>
        <v>2966.70472979467</v>
      </c>
      <c r="F127" s="13" t="n">
        <f aca="false">SUM(K112:N112)</f>
        <v>1249.37311861442</v>
      </c>
      <c r="G127" s="13" t="n">
        <f aca="false">SUM(O112:R112)</f>
        <v>1509.86212139087</v>
      </c>
    </row>
    <row r="128" customFormat="false" ht="17.15" hidden="false" customHeight="false" outlineLevel="0" collapsed="false">
      <c r="A128" s="5" t="s">
        <v>486</v>
      </c>
      <c r="B128" s="0" t="s">
        <v>27</v>
      </c>
      <c r="C128" s="13" t="n">
        <f aca="false">a25_rev-C125-C127</f>
        <v>213.4</v>
      </c>
      <c r="D128" s="13" t="n">
        <f aca="false">SUM(C111:F111)</f>
        <v>391.25671529863</v>
      </c>
      <c r="E128" s="13" t="n">
        <f aca="false">SUM(G111:J111)</f>
        <v>423.814961399239</v>
      </c>
      <c r="F128" s="13" t="n">
        <f aca="false">SUM(K111:N111)</f>
        <v>192.211249017603</v>
      </c>
      <c r="G128" s="13" t="n">
        <f aca="false">SUM(O111:R111)</f>
        <v>232.286480213981</v>
      </c>
      <c r="T128" s="8" t="s">
        <v>487</v>
      </c>
    </row>
    <row r="129" customFormat="false" ht="15" hidden="false" customHeight="false" outlineLevel="0" collapsed="false">
      <c r="A129" s="5" t="s">
        <v>488</v>
      </c>
      <c r="B129" s="0" t="s">
        <v>27</v>
      </c>
      <c r="C129" s="18" t="n">
        <f aca="false">C125+C127+C128-C124</f>
        <v>0</v>
      </c>
      <c r="D129" s="18" t="n">
        <f aca="false">D125+D127+D128-D124</f>
        <v>0</v>
      </c>
      <c r="E129" s="18" t="n">
        <f aca="false">E125+E127+E128-E124</f>
        <v>0</v>
      </c>
      <c r="F129" s="18" t="n">
        <f aca="false">F125+F127+F128-F124</f>
        <v>0</v>
      </c>
      <c r="G129" s="18" t="n">
        <f aca="false">G125+G127+G128-G124</f>
        <v>0</v>
      </c>
    </row>
    <row r="130" customFormat="false" ht="15" hidden="false" customHeight="false" outlineLevel="0" collapsed="false">
      <c r="A130" s="5" t="s">
        <v>475</v>
      </c>
      <c r="B130" s="0" t="s">
        <v>27</v>
      </c>
      <c r="C130" s="13" t="n">
        <f aca="false">a25_rev-(p1_gp+p2_gp+p3_gp+p4_gp)</f>
        <v>1324.8</v>
      </c>
      <c r="D130" s="13" t="n">
        <f aca="false">SUM(C115:F115)</f>
        <v>1650.80173797413</v>
      </c>
      <c r="E130" s="13" t="n">
        <f aca="false">SUM(G115:J115)</f>
        <v>1770.11233305553</v>
      </c>
      <c r="F130" s="13" t="n">
        <f aca="false">SUM(K115:N115)</f>
        <v>1773.9570791644</v>
      </c>
      <c r="G130" s="13" t="n">
        <f aca="false">SUM(O115:R115)</f>
        <v>1880.78083850787</v>
      </c>
    </row>
    <row r="131" customFormat="false" ht="15" hidden="false" customHeight="false" outlineLevel="0" collapsed="false">
      <c r="A131" s="5" t="s">
        <v>360</v>
      </c>
      <c r="B131" s="0" t="s">
        <v>145</v>
      </c>
      <c r="C131" s="14" t="n">
        <f aca="false">1-C130/C124</f>
        <v>0.433264887063655</v>
      </c>
      <c r="D131" s="14" t="n">
        <f aca="false">1-D130/D124</f>
        <v>0.832932015951156</v>
      </c>
      <c r="E131" s="14" t="n">
        <f aca="false">1-E130/E124</f>
        <v>0.832935361487811</v>
      </c>
      <c r="F131" s="14" t="n">
        <f aca="false">1-F130/F124</f>
        <v>0.630831787789498</v>
      </c>
      <c r="G131" s="14" t="n">
        <f aca="false">1-G130/G124</f>
        <v>0.676127368794721</v>
      </c>
    </row>
    <row r="132" customFormat="false" ht="15" hidden="false" customHeight="false" outlineLevel="0" collapsed="false">
      <c r="A132" s="5" t="s">
        <v>477</v>
      </c>
      <c r="B132" s="0" t="s">
        <v>27</v>
      </c>
      <c r="D132" s="13" t="n">
        <f aca="false">SUM(C117:F117)</f>
        <v>296.333129598765</v>
      </c>
      <c r="E132" s="13" t="n">
        <f aca="false">SUM(G117:J117)</f>
        <v>258.291289054951</v>
      </c>
      <c r="F132" s="13" t="n">
        <f aca="false">SUM(K117:N117)</f>
        <v>215.624115830056</v>
      </c>
      <c r="G132" s="13" t="n">
        <f aca="false">SUM(O117:R117)</f>
        <v>242.400053986716</v>
      </c>
    </row>
    <row r="133" customFormat="false" ht="15" hidden="false" customHeight="false" outlineLevel="0" collapsed="false">
      <c r="A133" s="5" t="s">
        <v>358</v>
      </c>
      <c r="B133" s="0" t="s">
        <v>27</v>
      </c>
      <c r="C133" s="13" t="n">
        <f aca="false">p1_op+p2_op+p3_op+p4_op</f>
        <v>869</v>
      </c>
      <c r="D133" s="13" t="n">
        <f aca="false">SUM(C118:F118)</f>
        <v>7933.88301489285</v>
      </c>
      <c r="E133" s="13" t="n">
        <f aca="false">SUM(G118:J118)</f>
        <v>8566.97041287051</v>
      </c>
      <c r="F133" s="13" t="n">
        <f aca="false">SUM(K118:N118)</f>
        <v>2815.70003044561</v>
      </c>
      <c r="G133" s="13" t="n">
        <f aca="false">SUM(O118:R118)</f>
        <v>3683.98111285493</v>
      </c>
    </row>
    <row r="134" customFormat="false" ht="15" hidden="false" customHeight="false" outlineLevel="0" collapsed="false">
      <c r="A134" s="5" t="s">
        <v>361</v>
      </c>
      <c r="B134" s="0" t="s">
        <v>145</v>
      </c>
      <c r="C134" s="14" t="n">
        <f aca="false">C133/C124</f>
        <v>0.371748802190281</v>
      </c>
      <c r="D134" s="14" t="n">
        <f aca="false">D133/D124</f>
        <v>0.802941873931009</v>
      </c>
      <c r="E134" s="14" t="n">
        <f aca="false">E133/E124</f>
        <v>0.808557620012882</v>
      </c>
      <c r="F134" s="14" t="n">
        <f aca="false">F133/F124</f>
        <v>0.585959467999243</v>
      </c>
      <c r="G134" s="14" t="n">
        <f aca="false">G133/G124</f>
        <v>0.634385799717878</v>
      </c>
    </row>
    <row r="135" customFormat="false" ht="15" hidden="false" customHeight="false" outlineLevel="0" collapsed="false">
      <c r="A135" s="5" t="s">
        <v>359</v>
      </c>
      <c r="B135" s="0" t="s">
        <v>27</v>
      </c>
      <c r="C135" s="13" t="n">
        <f aca="false">a25_ni</f>
        <v>554.5</v>
      </c>
      <c r="D135" s="13" t="n">
        <f aca="false">SUM(C120:F120)</f>
        <v>5357.37621012714</v>
      </c>
      <c r="E135" s="13" t="n">
        <f aca="false">SUM(G120:J120)</f>
        <v>5809.83555933503</v>
      </c>
      <c r="F135" s="13" t="n">
        <f aca="false">SUM(K120:N120)</f>
        <v>1929.76120472889</v>
      </c>
      <c r="G135" s="13" t="n">
        <f aca="false">SUM(O120:R120)</f>
        <v>2529.87424172095</v>
      </c>
    </row>
    <row r="136" customFormat="false" ht="15" hidden="false" customHeight="false" outlineLevel="0" collapsed="false">
      <c r="A136" s="5" t="s">
        <v>489</v>
      </c>
      <c r="B136" s="0" t="s">
        <v>27</v>
      </c>
      <c r="D136" s="13" t="n">
        <f aca="false">da_y</f>
        <v>320</v>
      </c>
      <c r="E136" s="13" t="n">
        <f aca="false">da_y</f>
        <v>320</v>
      </c>
      <c r="F136" s="13" t="n">
        <f aca="false">da_y</f>
        <v>320</v>
      </c>
      <c r="G136" s="13" t="n">
        <f aca="false">da_y</f>
        <v>320</v>
      </c>
    </row>
    <row r="137" customFormat="false" ht="15" hidden="false" customHeight="false" outlineLevel="0" collapsed="false">
      <c r="A137" s="5" t="s">
        <v>490</v>
      </c>
      <c r="B137" s="0" t="s">
        <v>27</v>
      </c>
      <c r="D137" s="13" t="n">
        <f aca="false">cap_2026</f>
        <v>450</v>
      </c>
      <c r="E137" s="13" t="n">
        <f aca="false">cap_2027</f>
        <v>470</v>
      </c>
      <c r="F137" s="13" t="n">
        <f aca="false">cap_2028</f>
        <v>470</v>
      </c>
      <c r="G137" s="13" t="n">
        <f aca="false">cap_2029</f>
        <v>470</v>
      </c>
    </row>
    <row r="138" customFormat="false" ht="15" hidden="false" customHeight="false" outlineLevel="0" collapsed="false">
      <c r="A138" s="5" t="s">
        <v>491</v>
      </c>
      <c r="B138" s="0" t="s">
        <v>27</v>
      </c>
      <c r="D138" s="13" t="n">
        <f aca="false">D135+D136-D137</f>
        <v>5227.37621012714</v>
      </c>
      <c r="E138" s="13" t="n">
        <f aca="false">E135+E136-E137</f>
        <v>5659.83555933503</v>
      </c>
      <c r="F138" s="13" t="n">
        <f aca="false">F135+F136-F137</f>
        <v>1779.76120472889</v>
      </c>
      <c r="G138" s="13" t="n">
        <f aca="false">G135+G136-G137</f>
        <v>2379.87424172095</v>
      </c>
    </row>
    <row r="139" customFormat="false" ht="17.15" hidden="false" customHeight="false" outlineLevel="0" collapsed="false">
      <c r="A139" s="5" t="s">
        <v>492</v>
      </c>
      <c r="B139" s="0" t="s">
        <v>27</v>
      </c>
      <c r="D139" s="13" t="n">
        <f aca="false">MAX(0,payout*(SUM(D120:F120)+0.75*(D136-D137)))</f>
        <v>883.535242025428</v>
      </c>
      <c r="E139" s="13" t="n">
        <f aca="false">MAX(0,payout*E138)</f>
        <v>1131.96711186701</v>
      </c>
      <c r="F139" s="13" t="n">
        <f aca="false">MAX(0,payout*F138)</f>
        <v>355.952240945778</v>
      </c>
      <c r="G139" s="13" t="n">
        <f aca="false">MAX(0,payout*G138)</f>
        <v>475.97484834419</v>
      </c>
      <c r="T139" s="8" t="s">
        <v>493</v>
      </c>
    </row>
    <row r="140" customFormat="false" ht="17.15" hidden="false" customHeight="false" outlineLevel="0" collapsed="false">
      <c r="A140" s="5" t="s">
        <v>494</v>
      </c>
      <c r="B140" s="0" t="s">
        <v>27</v>
      </c>
      <c r="C140" s="13" t="n">
        <f aca="false">eq25</f>
        <v>1399.1</v>
      </c>
      <c r="D140" s="13" t="n">
        <f aca="false">eq_j+SUM(D120:F120)-D139</f>
        <v>6035.94096810171</v>
      </c>
      <c r="E140" s="13" t="n">
        <f aca="false">D140+E135-E139</f>
        <v>10713.8094155697</v>
      </c>
      <c r="F140" s="13" t="n">
        <f aca="false">E140+F135-F139</f>
        <v>12287.6183793529</v>
      </c>
      <c r="G140" s="13" t="n">
        <f aca="false">F140+G135-G139</f>
        <v>14341.5177727296</v>
      </c>
      <c r="T140" s="8" t="s">
        <v>495</v>
      </c>
    </row>
    <row r="141" customFormat="false" ht="15" hidden="false" customHeight="false" outlineLevel="0" collapsed="false">
      <c r="A141" s="5" t="s">
        <v>496</v>
      </c>
      <c r="B141" s="0" t="s">
        <v>27</v>
      </c>
      <c r="D141" s="13" t="n">
        <f aca="false">nc_j+(SUM(D120:F120)+0.75*(D136-D137))-D139</f>
        <v>3690.54096810171</v>
      </c>
      <c r="E141" s="13" t="n">
        <f aca="false">D141+E138-E139</f>
        <v>8218.40941556974</v>
      </c>
      <c r="F141" s="13" t="n">
        <f aca="false">E141+F138-F139</f>
        <v>9642.21837935285</v>
      </c>
      <c r="G141" s="13" t="n">
        <f aca="false">F141+G138-G139</f>
        <v>11546.1177727296</v>
      </c>
    </row>
    <row r="142" customFormat="false" ht="15" hidden="false" customHeight="false" outlineLevel="0" collapsed="false">
      <c r="A142" s="5" t="s">
        <v>497</v>
      </c>
      <c r="B142" s="5" t="s">
        <v>209</v>
      </c>
      <c r="D142" s="13" t="n">
        <f aca="false">sh0-D139/bb_px*1000</f>
        <v>1574.77419686747</v>
      </c>
      <c r="E142" s="13" t="n">
        <f aca="false">D142-E139/bb_px*1000</f>
        <v>1486.02726532164</v>
      </c>
      <c r="F142" s="13" t="n">
        <f aca="false">E142-F139/bb_px*1000</f>
        <v>1458.12038637646</v>
      </c>
      <c r="G142" s="13" t="n">
        <f aca="false">F142-G139/bb_px*1000</f>
        <v>1420.80365973247</v>
      </c>
    </row>
    <row r="143" customFormat="false" ht="17.15" hidden="false" customHeight="false" outlineLevel="0" collapsed="false">
      <c r="A143" s="0" t="s">
        <v>498</v>
      </c>
      <c r="B143" s="0" t="s">
        <v>108</v>
      </c>
      <c r="C143" s="17" t="n">
        <f aca="false">a25_eps</f>
        <v>341.4</v>
      </c>
      <c r="D143" s="17" t="n">
        <f aca="false">D135/(D142+dil)*1000</f>
        <v>3367.83013262514</v>
      </c>
      <c r="E143" s="17" t="n">
        <f aca="false">E135/(E142+dil)*1000</f>
        <v>3868.05805615916</v>
      </c>
      <c r="F143" s="17" t="n">
        <f aca="false">F135/(F142+dil)*1000</f>
        <v>1309.11473255108</v>
      </c>
      <c r="G143" s="17" t="n">
        <f aca="false">G135/(G142+dil)*1000</f>
        <v>1760.79494734</v>
      </c>
    </row>
    <row r="144" customFormat="false" ht="17.15" hidden="false" customHeight="false" outlineLevel="0" collapsed="false">
      <c r="A144" s="5" t="s">
        <v>499</v>
      </c>
      <c r="B144" s="0" t="s">
        <v>108</v>
      </c>
      <c r="D144" s="17" t="n">
        <f aca="false">D140/D142*1000</f>
        <v>3832.89298244051</v>
      </c>
      <c r="E144" s="17" t="n">
        <f aca="false">E140/E142*1000</f>
        <v>7209.69908533326</v>
      </c>
      <c r="F144" s="17" t="n">
        <f aca="false">F140/F142*1000</f>
        <v>8427.0259809538</v>
      </c>
      <c r="G144" s="17" t="n">
        <f aca="false">G140/G142*1000</f>
        <v>10093.9476573632</v>
      </c>
    </row>
    <row r="145" customFormat="false" ht="17.15" hidden="false" customHeight="false" outlineLevel="0" collapsed="false">
      <c r="A145" s="0" t="s">
        <v>500</v>
      </c>
      <c r="B145" s="0" t="s">
        <v>145</v>
      </c>
      <c r="D145" s="21" t="n">
        <f aca="false">D135/D140</f>
        <v>0.887579291851825</v>
      </c>
      <c r="E145" s="21" t="n">
        <f aca="false">E135/E140</f>
        <v>0.542275425479564</v>
      </c>
      <c r="F145" s="21" t="n">
        <f aca="false">F135/F140</f>
        <v>0.157049246253571</v>
      </c>
      <c r="G145" s="21" t="n">
        <f aca="false">G135/G140</f>
        <v>0.17640212715362</v>
      </c>
    </row>
    <row r="146" customFormat="false" ht="15" hidden="false" customHeight="false" outlineLevel="0" collapsed="false">
      <c r="A146" s="5" t="s">
        <v>501</v>
      </c>
      <c r="B146" s="0" t="s">
        <v>108</v>
      </c>
      <c r="E146" s="17" t="n">
        <f aca="false">E138/(E142+dil)*1000</f>
        <v>3768.19142439337</v>
      </c>
      <c r="F146" s="17" t="n">
        <f aca="false">F138/(F142+dil)*1000</f>
        <v>1207.35747398382</v>
      </c>
      <c r="G146" s="17" t="n">
        <f aca="false">G138/(G142+dil)*1000</f>
        <v>1656.39480058752</v>
      </c>
    </row>
    <row r="147" customFormat="false" ht="17.15" hidden="false" customHeight="false" outlineLevel="0" collapsed="false">
      <c r="A147" s="5" t="s">
        <v>502</v>
      </c>
      <c r="B147" s="0" t="s">
        <v>27</v>
      </c>
      <c r="D147" s="18" t="n">
        <f aca="false">ABS(C107-q1_rev)+ABS(D118-g2_op)+ABS(C124-2337.6)</f>
        <v>0</v>
      </c>
    </row>
    <row r="150" customFormat="false" ht="17.15" hidden="false" customHeight="false" outlineLevel="0" collapsed="false">
      <c r="A150" s="3" t="s">
        <v>504</v>
      </c>
    </row>
    <row r="151" customFormat="false" ht="17.15" hidden="false" customHeight="false" outlineLevel="0" collapsed="false">
      <c r="A151" s="12" t="s">
        <v>442</v>
      </c>
      <c r="B151" s="6" t="s">
        <v>17</v>
      </c>
      <c r="C151" s="12" t="s">
        <v>443</v>
      </c>
      <c r="D151" s="12" t="s">
        <v>444</v>
      </c>
      <c r="E151" s="12" t="s">
        <v>445</v>
      </c>
      <c r="F151" s="12" t="s">
        <v>446</v>
      </c>
      <c r="G151" s="12" t="s">
        <v>447</v>
      </c>
      <c r="H151" s="12" t="s">
        <v>448</v>
      </c>
      <c r="I151" s="12" t="s">
        <v>449</v>
      </c>
      <c r="J151" s="12" t="s">
        <v>450</v>
      </c>
      <c r="K151" s="12" t="s">
        <v>451</v>
      </c>
      <c r="L151" s="12" t="s">
        <v>452</v>
      </c>
      <c r="M151" s="12" t="s">
        <v>453</v>
      </c>
      <c r="N151" s="12" t="s">
        <v>454</v>
      </c>
      <c r="O151" s="12" t="s">
        <v>455</v>
      </c>
      <c r="P151" s="12" t="s">
        <v>456</v>
      </c>
      <c r="Q151" s="12" t="s">
        <v>457</v>
      </c>
      <c r="R151" s="12" t="s">
        <v>458</v>
      </c>
      <c r="S151" s="12"/>
      <c r="T151" s="6" t="s">
        <v>330</v>
      </c>
    </row>
    <row r="152" customFormat="false" ht="17.15" hidden="false" customHeight="false" outlineLevel="0" collapsed="false">
      <c r="A152" s="5" t="s">
        <v>459</v>
      </c>
      <c r="B152" s="0" t="s">
        <v>391</v>
      </c>
      <c r="C152" s="19" t="n">
        <f aca="false">Units!H6*1</f>
        <v>10.72</v>
      </c>
      <c r="D152" s="19" t="n">
        <f aca="false">Units!I6*1</f>
        <v>14.9513168749304</v>
      </c>
      <c r="E152" s="19" t="n">
        <f aca="false">Units!J6*1*1</f>
        <v>16.2035648188888</v>
      </c>
      <c r="F152" s="19" t="n">
        <f aca="false">Units!K6*1*1</f>
        <v>17.7474496187206</v>
      </c>
      <c r="G152" s="19" t="n">
        <f aca="false">Units!L6*1*1</f>
        <v>19.1409560907182</v>
      </c>
      <c r="H152" s="19" t="n">
        <f aca="false">Units!M6*1*1</f>
        <v>18.2151872325928</v>
      </c>
      <c r="I152" s="19" t="n">
        <f aca="false">Units!N6*1*1</f>
        <v>15.4081724303464</v>
      </c>
      <c r="J152" s="19" t="n">
        <f aca="false">Units!O6*1*1</f>
        <v>9.04794816244037</v>
      </c>
      <c r="K152" s="19" t="n">
        <f aca="false">Units!P6*1*1</f>
        <v>5.89541838389422</v>
      </c>
      <c r="L152" s="19" t="n">
        <f aca="false">Units!Q6*1*1</f>
        <v>4.43227874989842</v>
      </c>
      <c r="M152" s="19" t="n">
        <f aca="false">Units!R6*1*1</f>
        <v>3.55441574231629</v>
      </c>
      <c r="N152" s="19" t="n">
        <f aca="false">Units!S6*1*1</f>
        <v>3.80385027907145</v>
      </c>
      <c r="O152" s="19" t="n">
        <f aca="false">Units!T6*1*1</f>
        <v>4.15539367756628</v>
      </c>
      <c r="P152" s="19" t="n">
        <f aca="false">Units!U6*1*1</f>
        <v>4.66912382044815</v>
      </c>
      <c r="Q152" s="19" t="n">
        <f aca="false">Units!V6*1*1</f>
        <v>5.34352120634804</v>
      </c>
      <c r="R152" s="19" t="n">
        <f aca="false">Units!W6*1*1</f>
        <v>5.11514448600669</v>
      </c>
      <c r="T152" s="8" t="s">
        <v>460</v>
      </c>
    </row>
    <row r="153" customFormat="false" ht="15" hidden="false" customHeight="false" outlineLevel="0" collapsed="false">
      <c r="A153" s="5" t="s">
        <v>461</v>
      </c>
      <c r="B153" s="0" t="s">
        <v>398</v>
      </c>
      <c r="C153" s="19" t="n">
        <f aca="false">Units!H9*1</f>
        <v>40.1757580440862</v>
      </c>
      <c r="D153" s="19" t="n">
        <f aca="false">Units!I9*1</f>
        <v>44.8269021796765</v>
      </c>
      <c r="E153" s="19" t="n">
        <f aca="false">Units!J9*1</f>
        <v>44.9411476117569</v>
      </c>
      <c r="F153" s="19" t="n">
        <f aca="false">Units!K9*1</f>
        <v>46.8792052543761</v>
      </c>
      <c r="G153" s="19" t="n">
        <f aca="false">Units!L9*1</f>
        <v>49.5687244889092</v>
      </c>
      <c r="H153" s="19" t="n">
        <f aca="false">Units!M9*1</f>
        <v>52.4125448399752</v>
      </c>
      <c r="I153" s="19" t="n">
        <f aca="false">Units!N9*1</f>
        <v>55.4195187575798</v>
      </c>
      <c r="J153" s="19" t="n">
        <f aca="false">Units!O9*1</f>
        <v>50.0666308662578</v>
      </c>
      <c r="K153" s="19" t="n">
        <f aca="false">Units!P9*1</f>
        <v>50.1879594440681</v>
      </c>
      <c r="L153" s="19" t="n">
        <f aca="false">Units!Q9*1</f>
        <v>50.3095820425373</v>
      </c>
      <c r="M153" s="19" t="n">
        <f aca="false">Units!R9*1</f>
        <v>50.4314993741779</v>
      </c>
      <c r="N153" s="19" t="n">
        <f aca="false">Units!S9*1</f>
        <v>53.9705782541484</v>
      </c>
      <c r="O153" s="19" t="n">
        <f aca="false">Units!T9*1</f>
        <v>56.1508755097806</v>
      </c>
      <c r="P153" s="19" t="n">
        <f aca="false">Units!U9*1</f>
        <v>58.4192521649057</v>
      </c>
      <c r="Q153" s="19" t="n">
        <f aca="false">Units!V9*1</f>
        <v>60.7792664410439</v>
      </c>
      <c r="R153" s="19" t="n">
        <f aca="false">Units!W9*1</f>
        <v>60.0710404970986</v>
      </c>
    </row>
    <row r="154" customFormat="false" ht="17.15" hidden="false" customHeight="false" outlineLevel="0" collapsed="false">
      <c r="A154" s="5" t="s">
        <v>354</v>
      </c>
      <c r="B154" s="0" t="s">
        <v>27</v>
      </c>
      <c r="C154" s="13" t="n">
        <f aca="false">q1_rev</f>
        <v>1767.1</v>
      </c>
      <c r="D154" s="13" t="n">
        <f aca="false">g2_rev</f>
        <v>2480</v>
      </c>
      <c r="E154" s="13" t="n">
        <f aca="false">E152*kx_k*fx</f>
        <v>2671.01859994948</v>
      </c>
      <c r="F154" s="13" t="n">
        <f aca="false">F152*kx_k*fx</f>
        <v>2925.51475944414</v>
      </c>
      <c r="G154" s="13" t="n">
        <f aca="false">G152*kx_k*fx</f>
        <v>3155.22234215561</v>
      </c>
      <c r="H154" s="13" t="n">
        <f aca="false">H152*kx_k*fx</f>
        <v>3002.61729092488</v>
      </c>
      <c r="I154" s="13" t="n">
        <f aca="false">I152*kx_k*fx</f>
        <v>2539.90499082697</v>
      </c>
      <c r="J154" s="13" t="n">
        <f aca="false">J152*kx_k*fx</f>
        <v>1491.4766042769</v>
      </c>
      <c r="K154" s="13" t="n">
        <f aca="false">K152*kx_k*fx</f>
        <v>971.809125576443</v>
      </c>
      <c r="L154" s="13" t="n">
        <f aca="false">L152*kx_k*fx</f>
        <v>730.623113707602</v>
      </c>
      <c r="M154" s="13" t="n">
        <f aca="false">M152*kx_k*fx</f>
        <v>585.914930806634</v>
      </c>
      <c r="N154" s="13" t="n">
        <f aca="false">N152*kx_k*fx</f>
        <v>627.03207352119</v>
      </c>
      <c r="O154" s="13" t="n">
        <f aca="false">O152*kx_k*fx</f>
        <v>684.980985786135</v>
      </c>
      <c r="P154" s="13" t="n">
        <f aca="false">P152*kx_k*fx</f>
        <v>769.66499096212</v>
      </c>
      <c r="Q154" s="13" t="n">
        <f aca="false">Q152*kx_k*fx</f>
        <v>880.833612288957</v>
      </c>
      <c r="R154" s="13" t="n">
        <f aca="false">R152*kx_k*fx</f>
        <v>843.187669890151</v>
      </c>
      <c r="T154" s="5" t="s">
        <v>462</v>
      </c>
    </row>
    <row r="155" customFormat="false" ht="17.15" hidden="false" customHeight="false" outlineLevel="0" collapsed="false">
      <c r="A155" s="0" t="s">
        <v>463</v>
      </c>
      <c r="B155" s="0" t="s">
        <v>27</v>
      </c>
      <c r="C155" s="13" t="n">
        <f aca="false">q1_ss</f>
        <v>1174.7</v>
      </c>
      <c r="D155" s="13" t="n">
        <f aca="false">D154*sssh_26</f>
        <v>1636.8</v>
      </c>
      <c r="E155" s="13" t="n">
        <f aca="false">E154*sssh_26</f>
        <v>1762.87227596666</v>
      </c>
      <c r="F155" s="13" t="n">
        <f aca="false">F154*sssh_26</f>
        <v>1930.83974123313</v>
      </c>
      <c r="G155" s="13" t="n">
        <f aca="false">G154*sssh_27</f>
        <v>2145.55119266581</v>
      </c>
      <c r="H155" s="13" t="n">
        <f aca="false">H154*sssh_27</f>
        <v>2041.77975782892</v>
      </c>
      <c r="I155" s="13" t="n">
        <f aca="false">I154*sssh_27</f>
        <v>1727.13539376234</v>
      </c>
      <c r="J155" s="13" t="n">
        <f aca="false">J154*sssh_27</f>
        <v>1014.20409090829</v>
      </c>
      <c r="K155" s="13" t="n">
        <f aca="false">K154*sssh_28</f>
        <v>680.26638790351</v>
      </c>
      <c r="L155" s="13" t="n">
        <f aca="false">L154*sssh_28</f>
        <v>511.436179595322</v>
      </c>
      <c r="M155" s="13" t="n">
        <f aca="false">M154*sssh_28</f>
        <v>410.140451564644</v>
      </c>
      <c r="N155" s="13" t="n">
        <f aca="false">N154*sssh_28</f>
        <v>438.922451464833</v>
      </c>
      <c r="O155" s="13" t="n">
        <f aca="false">O154*sssh_29</f>
        <v>479.486690050295</v>
      </c>
      <c r="P155" s="13" t="n">
        <f aca="false">P154*sssh_29</f>
        <v>538.765493673484</v>
      </c>
      <c r="Q155" s="13" t="n">
        <f aca="false">Q154*sssh_29</f>
        <v>616.58352860227</v>
      </c>
      <c r="R155" s="13" t="n">
        <f aca="false">R154*sssh_29</f>
        <v>590.231368923106</v>
      </c>
      <c r="T155" s="5" t="s">
        <v>464</v>
      </c>
    </row>
    <row r="156" customFormat="false" ht="17.15" hidden="false" customHeight="false" outlineLevel="0" collapsed="false">
      <c r="A156" s="0" t="s">
        <v>465</v>
      </c>
      <c r="B156" s="0" t="s">
        <v>27</v>
      </c>
      <c r="C156" s="13" t="n">
        <f aca="false">C155*(0.75*Units!D18+0.25*Units!E18)</f>
        <v>687.403351447223</v>
      </c>
      <c r="D156" s="13" t="n">
        <f aca="false">D155*(0.75*Units!D18+0.25*Units!E18)</f>
        <v>957.812041924589</v>
      </c>
      <c r="E156" s="13" t="n">
        <f aca="false">E155*(0.75*Units!D18+0.25*Units!E18)</f>
        <v>1031.58620130491</v>
      </c>
      <c r="F156" s="13" t="n">
        <f aca="false">F155*(0.75*Units!D18+0.25*Units!E18)</f>
        <v>1129.87631670311</v>
      </c>
      <c r="G156" s="13" t="n">
        <f aca="false">G155*(0.75*Units!E18+0.25*Units!F18)</f>
        <v>1417.52646592535</v>
      </c>
      <c r="H156" s="13" t="n">
        <f aca="false">H155*(0.75*Units!E18+0.25*Units!F18)</f>
        <v>1348.96657521234</v>
      </c>
      <c r="I156" s="13" t="n">
        <f aca="false">I155*(0.75*Units!E18+0.25*Units!F18)</f>
        <v>1141.08679357708</v>
      </c>
      <c r="J156" s="13" t="n">
        <f aca="false">J155*(0.75*Units!E18+0.25*Units!F18)</f>
        <v>670.066109644299</v>
      </c>
      <c r="K156" s="13" t="n">
        <f aca="false">K155*(0.75*Units!F18+0.25*Units!G18)</f>
        <v>420.802837990772</v>
      </c>
      <c r="L156" s="13" t="n">
        <f aca="false">L155*(0.75*Units!F18+0.25*Units!G18)</f>
        <v>316.366940439508</v>
      </c>
      <c r="M156" s="13" t="n">
        <f aca="false">M155*(0.75*Units!F18+0.25*Units!G18)</f>
        <v>253.706884629582</v>
      </c>
      <c r="N156" s="13" t="n">
        <f aca="false">N155*(0.75*Units!F18+0.25*Units!G18)</f>
        <v>271.511008802726</v>
      </c>
      <c r="O156" s="13" t="n">
        <f aca="false">O155*(0.75*Units!G18+0.25*Units!H18)</f>
        <v>315.448667785087</v>
      </c>
      <c r="P156" s="13" t="n">
        <f aca="false">P155*(0.75*Units!G18+0.25*Units!H18)</f>
        <v>354.447497197573</v>
      </c>
      <c r="Q156" s="13" t="n">
        <f aca="false">Q155*(0.75*Units!G18+0.25*Units!H18)</f>
        <v>405.643069373652</v>
      </c>
      <c r="R156" s="13" t="n">
        <f aca="false">R155*(0.75*Units!G18+0.25*Units!H18)</f>
        <v>388.30629269862</v>
      </c>
      <c r="T156" s="5" t="s">
        <v>466</v>
      </c>
    </row>
    <row r="157" customFormat="false" ht="17.15" hidden="false" customHeight="false" outlineLevel="0" collapsed="false">
      <c r="A157" s="0" t="s">
        <v>467</v>
      </c>
      <c r="B157" s="0" t="s">
        <v>27</v>
      </c>
      <c r="C157" s="13" t="n">
        <f aca="false">C155-C156</f>
        <v>487.296648552777</v>
      </c>
      <c r="D157" s="13" t="n">
        <f aca="false">D155-D156</f>
        <v>678.987958075412</v>
      </c>
      <c r="E157" s="13" t="n">
        <f aca="false">E155-E156</f>
        <v>731.28607466175</v>
      </c>
      <c r="F157" s="13" t="n">
        <f aca="false">F155-F156</f>
        <v>800.963424530022</v>
      </c>
      <c r="G157" s="13" t="n">
        <f aca="false">G155-G156</f>
        <v>728.024726740461</v>
      </c>
      <c r="H157" s="13" t="n">
        <f aca="false">H155-H156</f>
        <v>692.813182616581</v>
      </c>
      <c r="I157" s="13" t="n">
        <f aca="false">I155-I156</f>
        <v>586.048600185256</v>
      </c>
      <c r="J157" s="13" t="n">
        <f aca="false">J155-J156</f>
        <v>344.137981263994</v>
      </c>
      <c r="K157" s="13" t="n">
        <f aca="false">K155-K156</f>
        <v>259.463549912739</v>
      </c>
      <c r="L157" s="13" t="n">
        <f aca="false">L155-L156</f>
        <v>195.069239155813</v>
      </c>
      <c r="M157" s="13" t="n">
        <f aca="false">M155-M156</f>
        <v>156.433566935061</v>
      </c>
      <c r="N157" s="13" t="n">
        <f aca="false">N155-N156</f>
        <v>167.411442662107</v>
      </c>
      <c r="O157" s="13" t="n">
        <f aca="false">O155-O156</f>
        <v>164.038022265207</v>
      </c>
      <c r="P157" s="13" t="n">
        <f aca="false">P155-P156</f>
        <v>184.317996475911</v>
      </c>
      <c r="Q157" s="13" t="n">
        <f aca="false">Q155-Q156</f>
        <v>210.940459228618</v>
      </c>
      <c r="R157" s="13" t="n">
        <f aca="false">R155-R156</f>
        <v>201.925076224486</v>
      </c>
    </row>
    <row r="158" customFormat="false" ht="17.15" hidden="false" customHeight="false" outlineLevel="0" collapsed="false">
      <c r="A158" s="5" t="s">
        <v>468</v>
      </c>
      <c r="B158" s="0" t="s">
        <v>27</v>
      </c>
      <c r="C158" s="13" t="n">
        <f aca="false">q1_rev-q1_ss-q1_sd</f>
        <v>66.6999999999998</v>
      </c>
      <c r="D158" s="13" t="n">
        <f aca="false">D154*otsh_26</f>
        <v>99.2</v>
      </c>
      <c r="E158" s="13" t="n">
        <f aca="false">E154*otsh_26</f>
        <v>106.840743997979</v>
      </c>
      <c r="F158" s="13" t="n">
        <f aca="false">F154*otsh_26</f>
        <v>117.020590377766</v>
      </c>
      <c r="G158" s="13" t="n">
        <f aca="false">G154*otsh_27</f>
        <v>126.208893686224</v>
      </c>
      <c r="H158" s="13" t="n">
        <f aca="false">H154*otsh_27</f>
        <v>120.104691636995</v>
      </c>
      <c r="I158" s="13" t="n">
        <f aca="false">I154*otsh_27</f>
        <v>101.596199633079</v>
      </c>
      <c r="J158" s="13" t="n">
        <f aca="false">J154*otsh_27</f>
        <v>59.659064171076</v>
      </c>
      <c r="K158" s="13" t="n">
        <f aca="false">K154*otsh_28</f>
        <v>38.8723650230577</v>
      </c>
      <c r="L158" s="13" t="n">
        <f aca="false">L154*otsh_28</f>
        <v>29.2249245483041</v>
      </c>
      <c r="M158" s="13" t="n">
        <f aca="false">M154*otsh_28</f>
        <v>23.4365972322654</v>
      </c>
      <c r="N158" s="13" t="n">
        <f aca="false">N154*otsh_28</f>
        <v>25.0812829408476</v>
      </c>
      <c r="O158" s="13" t="n">
        <f aca="false">O154*otsh_29</f>
        <v>27.3992394314454</v>
      </c>
      <c r="P158" s="13" t="n">
        <f aca="false">P154*otsh_29</f>
        <v>30.7865996384848</v>
      </c>
      <c r="Q158" s="13" t="n">
        <f aca="false">Q154*otsh_29</f>
        <v>35.2333444915583</v>
      </c>
      <c r="R158" s="13" t="n">
        <f aca="false">R154*otsh_29</f>
        <v>33.7275067956061</v>
      </c>
      <c r="T158" s="5" t="s">
        <v>469</v>
      </c>
    </row>
    <row r="159" customFormat="false" ht="17.15" hidden="false" customHeight="false" outlineLevel="0" collapsed="false">
      <c r="A159" s="5" t="s">
        <v>470</v>
      </c>
      <c r="B159" s="0" t="s">
        <v>27</v>
      </c>
      <c r="C159" s="13" t="n">
        <f aca="false">q1_sd</f>
        <v>525.7</v>
      </c>
      <c r="D159" s="13" t="n">
        <f aca="false">D154-D155-D158</f>
        <v>744</v>
      </c>
      <c r="E159" s="13" t="n">
        <f aca="false">E154-E155-E158</f>
        <v>801.305579984843</v>
      </c>
      <c r="F159" s="13" t="n">
        <f aca="false">F154-F155-F158</f>
        <v>877.654427833242</v>
      </c>
      <c r="G159" s="13" t="n">
        <f aca="false">G154-G155-G158</f>
        <v>883.46225580357</v>
      </c>
      <c r="H159" s="13" t="n">
        <f aca="false">H154-H155-H158</f>
        <v>840.732841458967</v>
      </c>
      <c r="I159" s="13" t="n">
        <f aca="false">I154-I155-I158</f>
        <v>711.173397431552</v>
      </c>
      <c r="J159" s="13" t="n">
        <f aca="false">J154-J155-J158</f>
        <v>417.613449197532</v>
      </c>
      <c r="K159" s="13" t="n">
        <f aca="false">K154-K155-K158</f>
        <v>252.670372649875</v>
      </c>
      <c r="L159" s="13" t="n">
        <f aca="false">L154-L155-L158</f>
        <v>189.962009563977</v>
      </c>
      <c r="M159" s="13" t="n">
        <f aca="false">M154-M155-M158</f>
        <v>152.337882009725</v>
      </c>
      <c r="N159" s="13" t="n">
        <f aca="false">N154-N155-N158</f>
        <v>163.028339115509</v>
      </c>
      <c r="O159" s="13" t="n">
        <f aca="false">O154-O155-O158</f>
        <v>178.095056304395</v>
      </c>
      <c r="P159" s="13" t="n">
        <f aca="false">P154-P155-P158</f>
        <v>200.112897650151</v>
      </c>
      <c r="Q159" s="13" t="n">
        <f aca="false">Q154-Q155-Q158</f>
        <v>229.016739195129</v>
      </c>
      <c r="R159" s="13" t="n">
        <f aca="false">R154-R155-R158</f>
        <v>219.228794171439</v>
      </c>
      <c r="T159" s="5" t="s">
        <v>471</v>
      </c>
    </row>
    <row r="160" customFormat="false" ht="15" hidden="false" customHeight="false" outlineLevel="0" collapsed="false">
      <c r="A160" s="5" t="s">
        <v>472</v>
      </c>
      <c r="B160" s="0" t="s">
        <v>27</v>
      </c>
      <c r="C160" s="18" t="n">
        <f aca="false">C155+C159+C158-C154</f>
        <v>0</v>
      </c>
      <c r="D160" s="18" t="n">
        <f aca="false">D155+D159+D158-D154</f>
        <v>0</v>
      </c>
      <c r="E160" s="18" t="n">
        <f aca="false">E155+E159+E158-E154</f>
        <v>0</v>
      </c>
      <c r="F160" s="18" t="n">
        <f aca="false">F155+F159+F158-F154</f>
        <v>0</v>
      </c>
      <c r="G160" s="18" t="n">
        <f aca="false">G155+G159+G158-G154</f>
        <v>0</v>
      </c>
      <c r="H160" s="18" t="n">
        <f aca="false">H155+H159+H158-H154</f>
        <v>0</v>
      </c>
      <c r="I160" s="18" t="n">
        <f aca="false">I155+I159+I158-I154</f>
        <v>0</v>
      </c>
      <c r="J160" s="18" t="n">
        <f aca="false">J155+J159+J158-J154</f>
        <v>0</v>
      </c>
      <c r="K160" s="18" t="n">
        <f aca="false">K155+K159+K158-K154</f>
        <v>0</v>
      </c>
      <c r="L160" s="18" t="n">
        <f aca="false">L155+L159+L158-L154</f>
        <v>0</v>
      </c>
      <c r="M160" s="18" t="n">
        <f aca="false">M155+M159+M158-M154</f>
        <v>0</v>
      </c>
      <c r="N160" s="18" t="n">
        <f aca="false">N155+N159+N158-N154</f>
        <v>0</v>
      </c>
      <c r="O160" s="18" t="n">
        <f aca="false">O155+O159+O158-O154</f>
        <v>0</v>
      </c>
      <c r="P160" s="18" t="n">
        <f aca="false">P155+P159+P158-P154</f>
        <v>0</v>
      </c>
      <c r="Q160" s="18" t="n">
        <f aca="false">Q155+Q159+Q158-Q154</f>
        <v>0</v>
      </c>
      <c r="R160" s="18" t="n">
        <f aca="false">R155+R159+R158-R154</f>
        <v>0</v>
      </c>
    </row>
    <row r="161" customFormat="false" ht="17.15" hidden="false" customHeight="false" outlineLevel="0" collapsed="false">
      <c r="A161" s="5" t="s">
        <v>473</v>
      </c>
      <c r="B161" s="0" t="s">
        <v>474</v>
      </c>
      <c r="C161" s="20" t="n">
        <f aca="false">C162/C153</f>
        <v>9.63267449926724</v>
      </c>
      <c r="D161" s="20" t="n">
        <f aca="false">D162/D153</f>
        <v>9.50991434320605</v>
      </c>
      <c r="E161" s="20" t="n">
        <f aca="false">$D161*(1-cd_C)^(1/4)</f>
        <v>9.26269219846636</v>
      </c>
      <c r="F161" s="20" t="n">
        <f aca="false">$D161*(1-cd_C)^(2/4)</f>
        <v>9.0218969032906</v>
      </c>
      <c r="G161" s="20" t="n">
        <f aca="false">$D161*(1-cd_C)^(3/4)</f>
        <v>8.78736138366783</v>
      </c>
      <c r="H161" s="20" t="n">
        <f aca="false">$D161*(1-cd_C)^(4/4)</f>
        <v>8.55892290888544</v>
      </c>
      <c r="I161" s="20" t="n">
        <f aca="false">$D161*(1-cd_C)^(5/4)</f>
        <v>8.33642297861972</v>
      </c>
      <c r="J161" s="20" t="n">
        <f aca="false">$D161*(1-cd_C)^(6/4)</f>
        <v>8.11970721296154</v>
      </c>
      <c r="K161" s="20" t="n">
        <f aca="false">$D161*(1-cd_C)^(7/4)</f>
        <v>7.90862524530104</v>
      </c>
      <c r="L161" s="20" t="n">
        <f aca="false">$D161*(1-cd_C)^(8/4)</f>
        <v>7.7030306179969</v>
      </c>
      <c r="M161" s="20" t="n">
        <f aca="false">$D161*(1-cd_C)^(9/4)</f>
        <v>7.50278068075775</v>
      </c>
      <c r="N161" s="20" t="n">
        <f aca="false">$D161*(1-cd_C)^(10/4)</f>
        <v>7.30773649166539</v>
      </c>
      <c r="O161" s="20" t="n">
        <f aca="false">$D161*(1-cd_C)^(11/4)</f>
        <v>7.11776272077094</v>
      </c>
      <c r="P161" s="20" t="n">
        <f aca="false">$D161*(1-cd_C)^(12/4)</f>
        <v>6.93272755619721</v>
      </c>
      <c r="Q161" s="20" t="n">
        <f aca="false">$D161*(1-cd_C)^(13/4)</f>
        <v>6.75250261268197</v>
      </c>
      <c r="R161" s="20" t="n">
        <f aca="false">$D161*(1-cd_C)^(14/4)</f>
        <v>6.57696284249885</v>
      </c>
    </row>
    <row r="162" customFormat="false" ht="15" hidden="false" customHeight="false" outlineLevel="0" collapsed="false">
      <c r="A162" s="5" t="s">
        <v>475</v>
      </c>
      <c r="B162" s="0" t="s">
        <v>27</v>
      </c>
      <c r="C162" s="13" t="n">
        <f aca="false">q1_rev-q1_gp</f>
        <v>387</v>
      </c>
      <c r="D162" s="13" t="n">
        <f aca="false">g2_rev-g2_op-g2_ox</f>
        <v>426.3</v>
      </c>
      <c r="E162" s="13" t="n">
        <f aca="false">E153*E161</f>
        <v>416.276017373546</v>
      </c>
      <c r="F162" s="13" t="n">
        <f aca="false">F153*F161</f>
        <v>422.93935671318</v>
      </c>
      <c r="G162" s="13" t="n">
        <f aca="false">G153*G161</f>
        <v>435.57829541151</v>
      </c>
      <c r="H162" s="13" t="n">
        <f aca="false">H153*H161</f>
        <v>448.594930743849</v>
      </c>
      <c r="I162" s="13" t="n">
        <f aca="false">I153*I161</f>
        <v>462.000549634735</v>
      </c>
      <c r="J162" s="13" t="n">
        <f aca="false">J153*J161</f>
        <v>406.526383773436</v>
      </c>
      <c r="K162" s="13" t="n">
        <f aca="false">K153*K161</f>
        <v>396.917763069502</v>
      </c>
      <c r="L162" s="13" t="n">
        <f aca="false">L153*L161</f>
        <v>387.536250852292</v>
      </c>
      <c r="M162" s="13" t="n">
        <f aca="false">M153*M161</f>
        <v>378.376479206228</v>
      </c>
      <c r="N162" s="13" t="n">
        <f aca="false">N153*N161</f>
        <v>394.402764184123</v>
      </c>
      <c r="O162" s="13" t="n">
        <f aca="false">O153*O161</f>
        <v>399.668608442166</v>
      </c>
      <c r="P162" s="13" t="n">
        <f aca="false">P153*P161</f>
        <v>405.004759296075</v>
      </c>
      <c r="Q162" s="13" t="n">
        <f aca="false">Q153*Q161</f>
        <v>410.412155440043</v>
      </c>
      <c r="R162" s="13" t="n">
        <f aca="false">R153*R161</f>
        <v>395.085001259661</v>
      </c>
      <c r="T162" s="5" t="s">
        <v>476</v>
      </c>
    </row>
    <row r="163" customFormat="false" ht="15" hidden="false" customHeight="false" outlineLevel="0" collapsed="false">
      <c r="A163" s="5" t="s">
        <v>360</v>
      </c>
      <c r="B163" s="0" t="s">
        <v>145</v>
      </c>
      <c r="C163" s="14" t="n">
        <f aca="false">1-C162/C154</f>
        <v>0.780997113915455</v>
      </c>
      <c r="D163" s="14" t="n">
        <f aca="false">1-D162/D154</f>
        <v>0.828104838709677</v>
      </c>
      <c r="E163" s="14" t="n">
        <f aca="false">1-E162/E154</f>
        <v>0.844150835422329</v>
      </c>
      <c r="F163" s="14" t="n">
        <f aca="false">1-F162/F154</f>
        <v>0.855430790308663</v>
      </c>
      <c r="G163" s="14" t="n">
        <f aca="false">1-G162/G154</f>
        <v>0.861950047198915</v>
      </c>
      <c r="H163" s="14" t="n">
        <f aca="false">1-H162/H154</f>
        <v>0.85059869864212</v>
      </c>
      <c r="I163" s="14" t="n">
        <f aca="false">1-I162/I154</f>
        <v>0.818103215945762</v>
      </c>
      <c r="J163" s="14" t="n">
        <f aca="false">1-J162/J154</f>
        <v>0.727433616720707</v>
      </c>
      <c r="K163" s="14" t="n">
        <f aca="false">1-K162/K154</f>
        <v>0.591568186979039</v>
      </c>
      <c r="L163" s="14" t="n">
        <f aca="false">1-L162/L154</f>
        <v>0.469581178611077</v>
      </c>
      <c r="M163" s="14" t="n">
        <f aca="false">1-M162/M154</f>
        <v>0.354212600990873</v>
      </c>
      <c r="N163" s="14" t="n">
        <f aca="false">1-N162/N154</f>
        <v>0.371000653970863</v>
      </c>
      <c r="O163" s="14" t="n">
        <f aca="false">1-O162/O154</f>
        <v>0.416525981398627</v>
      </c>
      <c r="P163" s="14" t="n">
        <f aca="false">1-P162/P154</f>
        <v>0.473790851796703</v>
      </c>
      <c r="Q163" s="14" t="n">
        <f aca="false">1-Q162/Q154</f>
        <v>0.534063925678841</v>
      </c>
      <c r="R163" s="14" t="n">
        <f aca="false">1-R162/R154</f>
        <v>0.531438829850143</v>
      </c>
    </row>
    <row r="164" customFormat="false" ht="17.15" hidden="false" customHeight="false" outlineLevel="0" collapsed="false">
      <c r="A164" s="5" t="s">
        <v>477</v>
      </c>
      <c r="B164" s="0" t="s">
        <v>27</v>
      </c>
      <c r="C164" s="13" t="n">
        <f aca="false">q1_gp-q1_op</f>
        <v>110.1</v>
      </c>
      <c r="D164" s="13" t="n">
        <f aca="false">g2_ox</f>
        <v>59</v>
      </c>
      <c r="E164" s="13" t="n">
        <f aca="false">(g2_ox-ox_var*g2_rev)*(1+ox_g)^(1/4)+ox_var*E154</f>
        <v>61.7348741661828</v>
      </c>
      <c r="F164" s="13" t="n">
        <f aca="false">(g2_ox-ox_var*g2_rev)*(1+ox_g)^(2/4)+ox_var*F154</f>
        <v>65.1244102018606</v>
      </c>
      <c r="G164" s="13" t="n">
        <f aca="false">(g2_ox-ox_var*g2_rev)*(1+ox_g)^(3/4)+ox_var*G154</f>
        <v>68.2864262751789</v>
      </c>
      <c r="H164" s="13" t="n">
        <f aca="false">(g2_ox-ox_var*g2_rev)*(1+ox_g)^(4/4)+ox_var*H154</f>
        <v>67.6461729092488</v>
      </c>
      <c r="I164" s="13" t="n">
        <f aca="false">(g2_ox-ox_var*g2_rev)*(1+ox_g)^(5/4)+ox_var*I154</f>
        <v>63.9262068916265</v>
      </c>
      <c r="J164" s="13" t="n">
        <f aca="false">(g2_ox-ox_var*g2_rev)*(1+ox_g)^(6/4)+ox_var*J154</f>
        <v>54.3709549109301</v>
      </c>
      <c r="K164" s="13" t="n">
        <f aca="false">(g2_ox-ox_var*g2_rev)*(1+ox_g)^(7/4)+ox_var*K154</f>
        <v>50.1257143947495</v>
      </c>
      <c r="L164" s="13" t="n">
        <f aca="false">(g2_ox-ox_var*g2_rev)*(1+ox_g)^(8/4)+ox_var*L154</f>
        <v>48.688231137076</v>
      </c>
      <c r="M164" s="13" t="n">
        <f aca="false">(g2_ox-ox_var*g2_rev)*(1+ox_g)^(9/4)+ox_var*M154</f>
        <v>48.2390219897589</v>
      </c>
      <c r="N164" s="13" t="n">
        <f aca="false">(g2_ox-ox_var*g2_rev)*(1+ox_g)^(10/4)+ox_var*N154</f>
        <v>49.6721284901891</v>
      </c>
      <c r="O164" s="13" t="n">
        <f aca="false">(g2_ox-ox_var*g2_rev)*(1+ox_g)^(11/4)+ox_var*O154</f>
        <v>51.298195310745</v>
      </c>
      <c r="P164" s="13" t="n">
        <f aca="false">(g2_ox-ox_var*g2_rev)*(1+ox_g)^(12/4)+ox_var*P154</f>
        <v>53.2168499096212</v>
      </c>
      <c r="Q164" s="13" t="n">
        <f aca="false">(g2_ox-ox_var*g2_rev)*(1+ox_g)^(13/4)+ox_var*Q154</f>
        <v>55.4261960727513</v>
      </c>
      <c r="R164" s="13" t="n">
        <f aca="false">(g2_ox-ox_var*g2_rev)*(1+ox_g)^(14/4)+ox_var*R154</f>
        <v>56.1738652293765</v>
      </c>
      <c r="T164" s="5" t="s">
        <v>478</v>
      </c>
    </row>
    <row r="165" customFormat="false" ht="15" hidden="false" customHeight="false" outlineLevel="0" collapsed="false">
      <c r="A165" s="5" t="s">
        <v>358</v>
      </c>
      <c r="B165" s="0" t="s">
        <v>27</v>
      </c>
      <c r="C165" s="13" t="n">
        <f aca="false">C154-C162-C164</f>
        <v>1270</v>
      </c>
      <c r="D165" s="13" t="n">
        <f aca="false">D154-D162-D164</f>
        <v>1994.7</v>
      </c>
      <c r="E165" s="13" t="n">
        <f aca="false">E154-E162-E164</f>
        <v>2193.00770840975</v>
      </c>
      <c r="F165" s="13" t="n">
        <f aca="false">F154-F162-F164</f>
        <v>2437.4509925291</v>
      </c>
      <c r="G165" s="13" t="n">
        <f aca="false">G154-G162-G164</f>
        <v>2651.35762046892</v>
      </c>
      <c r="H165" s="13" t="n">
        <f aca="false">H154-H162-H164</f>
        <v>2486.37618727178</v>
      </c>
      <c r="I165" s="13" t="n">
        <f aca="false">I154-I162-I164</f>
        <v>2013.97823430061</v>
      </c>
      <c r="J165" s="13" t="n">
        <f aca="false">J154-J162-J164</f>
        <v>1030.57926559253</v>
      </c>
      <c r="K165" s="13" t="n">
        <f aca="false">K154-K162-K164</f>
        <v>524.765648112192</v>
      </c>
      <c r="L165" s="13" t="n">
        <f aca="false">L154-L162-L164</f>
        <v>294.398631718234</v>
      </c>
      <c r="M165" s="13" t="n">
        <f aca="false">M154-M162-M164</f>
        <v>159.299429610647</v>
      </c>
      <c r="N165" s="13" t="n">
        <f aca="false">N154-N162-N164</f>
        <v>182.957180846878</v>
      </c>
      <c r="O165" s="13" t="n">
        <f aca="false">O154-O162-O164</f>
        <v>234.014182033224</v>
      </c>
      <c r="P165" s="13" t="n">
        <f aca="false">P154-P162-P164</f>
        <v>311.443381756424</v>
      </c>
      <c r="Q165" s="13" t="n">
        <f aca="false">Q154-Q162-Q164</f>
        <v>414.995260776163</v>
      </c>
      <c r="R165" s="13" t="n">
        <f aca="false">R154-R162-R164</f>
        <v>391.928803401114</v>
      </c>
    </row>
    <row r="167" customFormat="false" ht="17.15" hidden="false" customHeight="false" outlineLevel="0" collapsed="false">
      <c r="A167" s="5" t="s">
        <v>359</v>
      </c>
      <c r="B167" s="0" t="s">
        <v>27</v>
      </c>
      <c r="C167" s="13" t="n">
        <f aca="false">q1_ni</f>
        <v>842.2</v>
      </c>
      <c r="D167" s="13" t="n">
        <f aca="false">g2_ni</f>
        <v>1360</v>
      </c>
      <c r="E167" s="13" t="n">
        <f aca="false">(E165+nonop_q+rf*nc_j/4)*(1-tax)</f>
        <v>1481.31112171863</v>
      </c>
      <c r="F167" s="13" t="n">
        <f aca="false">(F165+nonop_q+rf*nc_j/4)*(1-tax)</f>
        <v>1647.53255491979</v>
      </c>
      <c r="G167" s="13" t="n">
        <f aca="false">(G165+nonop_q+rf*$D188/4)*(1-tax)</f>
        <v>1798.96128931909</v>
      </c>
      <c r="H167" s="13" t="n">
        <f aca="false">(H165+nonop_q+rf*$D188/4)*(1-tax)</f>
        <v>1686.77391474504</v>
      </c>
      <c r="I167" s="13" t="n">
        <f aca="false">(I165+nonop_q+rf*$D188/4)*(1-tax)</f>
        <v>1365.54330672464</v>
      </c>
      <c r="J167" s="13" t="n">
        <f aca="false">(J165+nonop_q+rf*$D188/4)*(1-tax)</f>
        <v>696.832008003152</v>
      </c>
      <c r="K167" s="13" t="n">
        <f aca="false">(K165+nonop_q+rf*$E188/4)*(1-tax)</f>
        <v>360.220178422076</v>
      </c>
      <c r="L167" s="13" t="n">
        <f aca="false">(L165+nonop_q+rf*$E188/4)*(1-tax)</f>
        <v>203.570607274185</v>
      </c>
      <c r="M167" s="13" t="n">
        <f aca="false">(M165+nonop_q+rf*$E188/4)*(1-tax)</f>
        <v>111.703149841025</v>
      </c>
      <c r="N167" s="13" t="n">
        <f aca="false">(N165+nonop_q+rf*$E188/4)*(1-tax)</f>
        <v>127.790420681663</v>
      </c>
      <c r="O167" s="13" t="n">
        <f aca="false">(O165+nonop_q+rf*$F188/4)*(1-tax)</f>
        <v>163.397648212835</v>
      </c>
      <c r="P167" s="13" t="n">
        <f aca="false">(P165+nonop_q+rf*$F188/4)*(1-tax)</f>
        <v>216.049504024611</v>
      </c>
      <c r="Q167" s="13" t="n">
        <f aca="false">(Q165+nonop_q+rf*$F188/4)*(1-tax)</f>
        <v>286.464781758034</v>
      </c>
      <c r="R167" s="13" t="n">
        <f aca="false">(R165+nonop_q+rf*$F188/4)*(1-tax)</f>
        <v>270.779590743</v>
      </c>
      <c r="T167" s="5" t="s">
        <v>479</v>
      </c>
    </row>
    <row r="168" customFormat="false" ht="17.15" hidden="false" customHeight="false" outlineLevel="0" collapsed="false">
      <c r="A168" s="5" t="s">
        <v>480</v>
      </c>
      <c r="B168" s="0" t="s">
        <v>108</v>
      </c>
      <c r="C168" s="17" t="n">
        <f aca="false">C167/(sh0+dil)*1000</f>
        <v>507.343332753891</v>
      </c>
      <c r="D168" s="17" t="n">
        <f aca="false">D167/(sh0+dil)*1000</f>
        <v>819.267314824616</v>
      </c>
      <c r="E168" s="17" t="n">
        <f aca="false">E167/(sh0+dil)*1000</f>
        <v>892.345430228133</v>
      </c>
      <c r="F168" s="17" t="n">
        <f aca="false">F167/(sh0+dil)*1000</f>
        <v>992.477626731818</v>
      </c>
      <c r="G168" s="17" t="n">
        <f aca="false">G167/(sh0+dil)*1000</f>
        <v>1083.69866542197</v>
      </c>
      <c r="H168" s="17" t="n">
        <f aca="false">H167/(sh0+dil)*1000</f>
        <v>1016.11671753631</v>
      </c>
      <c r="I168" s="17" t="n">
        <f aca="false">I167/(sh0+dil)*1000</f>
        <v>822.606616306636</v>
      </c>
      <c r="J168" s="17" t="n">
        <f aca="false">J167/(sh0+dil)*1000</f>
        <v>419.773300059255</v>
      </c>
      <c r="K168" s="17" t="n">
        <f aca="false">K167/(sh0+dil)*1000</f>
        <v>216.99751347169</v>
      </c>
      <c r="L168" s="17" t="n">
        <f aca="false">L167/(sh0+dil)*1000</f>
        <v>122.631429999072</v>
      </c>
      <c r="M168" s="17" t="n">
        <f aca="false">M167/(sh0+dil)*1000</f>
        <v>67.290249726256</v>
      </c>
      <c r="N168" s="17" t="n">
        <f aca="false">N167/(sh0+dil)*1000</f>
        <v>76.9812608913043</v>
      </c>
      <c r="O168" s="17" t="n">
        <f aca="false">O167/(sh0+dil)*1000</f>
        <v>98.431141544108</v>
      </c>
      <c r="P168" s="17" t="n">
        <f aca="false">P167/(sh0+dil)*1000</f>
        <v>130.14874781723</v>
      </c>
      <c r="Q168" s="17" t="n">
        <f aca="false">Q167/(sh0+dil)*1000</f>
        <v>172.567082752003</v>
      </c>
      <c r="R168" s="17" t="n">
        <f aca="false">R167/(sh0+dil)*1000</f>
        <v>163.118285453916</v>
      </c>
    </row>
    <row r="170" customFormat="false" ht="17.15" hidden="false" customHeight="false" outlineLevel="0" collapsed="false">
      <c r="A170" s="12" t="s">
        <v>481</v>
      </c>
      <c r="B170" s="6" t="s">
        <v>17</v>
      </c>
      <c r="C170" s="12" t="s">
        <v>425</v>
      </c>
      <c r="D170" s="12" t="s">
        <v>426</v>
      </c>
      <c r="E170" s="12" t="s">
        <v>427</v>
      </c>
      <c r="F170" s="12" t="s">
        <v>428</v>
      </c>
      <c r="G170" s="12" t="s">
        <v>429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6" t="s">
        <v>330</v>
      </c>
    </row>
    <row r="171" customFormat="false" ht="17.15" hidden="false" customHeight="false" outlineLevel="0" collapsed="false">
      <c r="A171" s="5" t="s">
        <v>354</v>
      </c>
      <c r="B171" s="0" t="s">
        <v>27</v>
      </c>
      <c r="C171" s="13" t="n">
        <f aca="false">a25_rev</f>
        <v>2337.6</v>
      </c>
      <c r="D171" s="13" t="n">
        <f aca="false">SUM(C154:F154)</f>
        <v>9843.63335939362</v>
      </c>
      <c r="E171" s="13" t="n">
        <f aca="false">SUM(G154:J154)</f>
        <v>10189.2212281844</v>
      </c>
      <c r="F171" s="13" t="n">
        <f aca="false">SUM(K154:N154)</f>
        <v>2915.37924361187</v>
      </c>
      <c r="G171" s="13" t="n">
        <f aca="false">SUM(O154:R154)</f>
        <v>3178.66725892736</v>
      </c>
      <c r="T171" s="8" t="s">
        <v>482</v>
      </c>
    </row>
    <row r="172" customFormat="false" ht="17.15" hidden="false" customHeight="false" outlineLevel="0" collapsed="false">
      <c r="A172" s="5" t="s">
        <v>483</v>
      </c>
      <c r="B172" s="0" t="s">
        <v>27</v>
      </c>
      <c r="C172" s="13" t="n">
        <f aca="false">p1_ss+p2_ss+p3_ss+p4_ss</f>
        <v>1364.7</v>
      </c>
      <c r="D172" s="13" t="n">
        <f aca="false">SUM(C155:F155)</f>
        <v>6505.21201719979</v>
      </c>
      <c r="E172" s="13" t="n">
        <f aca="false">SUM(G155:J155)</f>
        <v>6928.67043516537</v>
      </c>
      <c r="F172" s="13" t="n">
        <f aca="false">SUM(K155:N155)</f>
        <v>2040.76547052831</v>
      </c>
      <c r="G172" s="13" t="n">
        <f aca="false">SUM(O155:R155)</f>
        <v>2225.06708124915</v>
      </c>
    </row>
    <row r="173" customFormat="false" ht="17.15" hidden="false" customHeight="false" outlineLevel="0" collapsed="false">
      <c r="A173" s="0" t="s">
        <v>484</v>
      </c>
      <c r="B173" s="0" t="s">
        <v>27</v>
      </c>
      <c r="C173" s="13" t="n">
        <f aca="false">C172*(0.75*Units!C18+0.25*Units!D18)</f>
        <v>507.679569396364</v>
      </c>
      <c r="D173" s="13" t="n">
        <f aca="false">SUM(C156:F156)</f>
        <v>3806.67791137983</v>
      </c>
      <c r="E173" s="13" t="n">
        <f aca="false">SUM(G156:J156)</f>
        <v>4577.64594435908</v>
      </c>
      <c r="F173" s="13" t="n">
        <f aca="false">SUM(K156:N156)</f>
        <v>1262.38767186259</v>
      </c>
      <c r="G173" s="13" t="n">
        <f aca="false">SUM(O156:R156)</f>
        <v>1463.84552705493</v>
      </c>
    </row>
    <row r="174" customFormat="false" ht="15" hidden="false" customHeight="false" outlineLevel="0" collapsed="false">
      <c r="A174" s="5" t="s">
        <v>485</v>
      </c>
      <c r="B174" s="0" t="s">
        <v>27</v>
      </c>
      <c r="C174" s="13" t="n">
        <f aca="false">p1_sd+p2_sd+p3_sd+p4_sd</f>
        <v>759.5</v>
      </c>
      <c r="D174" s="13" t="n">
        <f aca="false">SUM(C159:F159)</f>
        <v>2948.66000781808</v>
      </c>
      <c r="E174" s="13" t="n">
        <f aca="false">SUM(G159:J159)</f>
        <v>2852.98194389162</v>
      </c>
      <c r="F174" s="13" t="n">
        <f aca="false">SUM(K159:N159)</f>
        <v>757.998603339086</v>
      </c>
      <c r="G174" s="13" t="n">
        <f aca="false">SUM(O159:R159)</f>
        <v>826.453487321115</v>
      </c>
    </row>
    <row r="175" customFormat="false" ht="17.15" hidden="false" customHeight="false" outlineLevel="0" collapsed="false">
      <c r="A175" s="5" t="s">
        <v>486</v>
      </c>
      <c r="B175" s="0" t="s">
        <v>27</v>
      </c>
      <c r="C175" s="13" t="n">
        <f aca="false">a25_rev-C172-C174</f>
        <v>213.4</v>
      </c>
      <c r="D175" s="13" t="n">
        <f aca="false">SUM(C158:F158)</f>
        <v>389.761334375744</v>
      </c>
      <c r="E175" s="13" t="n">
        <f aca="false">SUM(G158:J158)</f>
        <v>407.568849127374</v>
      </c>
      <c r="F175" s="13" t="n">
        <f aca="false">SUM(K158:N158)</f>
        <v>116.615169744475</v>
      </c>
      <c r="G175" s="13" t="n">
        <f aca="false">SUM(O158:R158)</f>
        <v>127.146690357095</v>
      </c>
      <c r="T175" s="8" t="s">
        <v>487</v>
      </c>
    </row>
    <row r="176" customFormat="false" ht="15" hidden="false" customHeight="false" outlineLevel="0" collapsed="false">
      <c r="A176" s="5" t="s">
        <v>488</v>
      </c>
      <c r="B176" s="0" t="s">
        <v>27</v>
      </c>
      <c r="C176" s="18" t="n">
        <f aca="false">C172+C174+C175-C171</f>
        <v>0</v>
      </c>
      <c r="D176" s="18" t="n">
        <f aca="false">D172+D174+D175-D171</f>
        <v>0</v>
      </c>
      <c r="E176" s="18" t="n">
        <f aca="false">E172+E174+E175-E171</f>
        <v>0</v>
      </c>
      <c r="F176" s="18" t="n">
        <f aca="false">F172+F174+F175-F171</f>
        <v>0</v>
      </c>
      <c r="G176" s="18" t="n">
        <f aca="false">G172+G174+G175-G171</f>
        <v>0</v>
      </c>
    </row>
    <row r="177" customFormat="false" ht="15" hidden="false" customHeight="false" outlineLevel="0" collapsed="false">
      <c r="A177" s="5" t="s">
        <v>475</v>
      </c>
      <c r="B177" s="0" t="s">
        <v>27</v>
      </c>
      <c r="C177" s="13" t="n">
        <f aca="false">a25_rev-(p1_gp+p2_gp+p3_gp+p4_gp)</f>
        <v>1324.8</v>
      </c>
      <c r="D177" s="13" t="n">
        <f aca="false">SUM(C162:F162)</f>
        <v>1652.51537408673</v>
      </c>
      <c r="E177" s="13" t="n">
        <f aca="false">SUM(G162:J162)</f>
        <v>1752.70015956353</v>
      </c>
      <c r="F177" s="13" t="n">
        <f aca="false">SUM(K162:N162)</f>
        <v>1557.23325731214</v>
      </c>
      <c r="G177" s="13" t="n">
        <f aca="false">SUM(O162:R162)</f>
        <v>1610.17052443795</v>
      </c>
    </row>
    <row r="178" customFormat="false" ht="15" hidden="false" customHeight="false" outlineLevel="0" collapsed="false">
      <c r="A178" s="5" t="s">
        <v>360</v>
      </c>
      <c r="B178" s="0" t="s">
        <v>145</v>
      </c>
      <c r="C178" s="14" t="n">
        <f aca="false">1-C177/C171</f>
        <v>0.433264887063655</v>
      </c>
      <c r="D178" s="14" t="n">
        <f aca="false">1-D177/D171</f>
        <v>0.832123433111235</v>
      </c>
      <c r="E178" s="14" t="n">
        <f aca="false">1-E177/E171</f>
        <v>0.827984875358738</v>
      </c>
      <c r="F178" s="14" t="n">
        <f aca="false">1-F177/F171</f>
        <v>0.465855682164052</v>
      </c>
      <c r="G178" s="14" t="n">
        <f aca="false">1-G177/G171</f>
        <v>0.493444770000464</v>
      </c>
    </row>
    <row r="179" customFormat="false" ht="15" hidden="false" customHeight="false" outlineLevel="0" collapsed="false">
      <c r="A179" s="5" t="s">
        <v>477</v>
      </c>
      <c r="B179" s="0" t="s">
        <v>27</v>
      </c>
      <c r="D179" s="13" t="n">
        <f aca="false">SUM(C164:F164)</f>
        <v>295.959284368043</v>
      </c>
      <c r="E179" s="13" t="n">
        <f aca="false">SUM(G164:J164)</f>
        <v>254.229760986984</v>
      </c>
      <c r="F179" s="13" t="n">
        <f aca="false">SUM(K164:N164)</f>
        <v>196.725096011774</v>
      </c>
      <c r="G179" s="13" t="n">
        <f aca="false">SUM(O164:R164)</f>
        <v>216.115106522494</v>
      </c>
    </row>
    <row r="180" customFormat="false" ht="15" hidden="false" customHeight="false" outlineLevel="0" collapsed="false">
      <c r="A180" s="5" t="s">
        <v>358</v>
      </c>
      <c r="B180" s="0" t="s">
        <v>27</v>
      </c>
      <c r="C180" s="13" t="n">
        <f aca="false">p1_op+p2_op+p3_op+p4_op</f>
        <v>869</v>
      </c>
      <c r="D180" s="13" t="n">
        <f aca="false">SUM(C165:F165)</f>
        <v>7895.15870093885</v>
      </c>
      <c r="E180" s="13" t="n">
        <f aca="false">SUM(G165:J165)</f>
        <v>8182.29130763385</v>
      </c>
      <c r="F180" s="13" t="n">
        <f aca="false">SUM(K165:N165)</f>
        <v>1161.42089028795</v>
      </c>
      <c r="G180" s="13" t="n">
        <f aca="false">SUM(O165:R165)</f>
        <v>1352.38162796692</v>
      </c>
    </row>
    <row r="181" customFormat="false" ht="15" hidden="false" customHeight="false" outlineLevel="0" collapsed="false">
      <c r="A181" s="5" t="s">
        <v>361</v>
      </c>
      <c r="B181" s="0" t="s">
        <v>145</v>
      </c>
      <c r="C181" s="14" t="n">
        <f aca="false">C180/C171</f>
        <v>0.371748802190281</v>
      </c>
      <c r="D181" s="14" t="n">
        <f aca="false">D180/D171</f>
        <v>0.802057371773668</v>
      </c>
      <c r="E181" s="14" t="n">
        <f aca="false">E180/E171</f>
        <v>0.803034022364815</v>
      </c>
      <c r="F181" s="14" t="n">
        <f aca="false">F180/F171</f>
        <v>0.39837729270826</v>
      </c>
      <c r="G181" s="14" t="n">
        <f aca="false">G180/G171</f>
        <v>0.425455550331268</v>
      </c>
    </row>
    <row r="182" customFormat="false" ht="15" hidden="false" customHeight="false" outlineLevel="0" collapsed="false">
      <c r="A182" s="5" t="s">
        <v>359</v>
      </c>
      <c r="B182" s="0" t="s">
        <v>27</v>
      </c>
      <c r="C182" s="13" t="n">
        <f aca="false">a25_ni</f>
        <v>554.5</v>
      </c>
      <c r="D182" s="13" t="n">
        <f aca="false">SUM(C167:F167)</f>
        <v>5331.04367663842</v>
      </c>
      <c r="E182" s="13" t="n">
        <f aca="false">SUM(G167:J167)</f>
        <v>5548.11051879193</v>
      </c>
      <c r="F182" s="13" t="n">
        <f aca="false">SUM(K167:N167)</f>
        <v>803.284356218948</v>
      </c>
      <c r="G182" s="13" t="n">
        <f aca="false">SUM(O167:R167)</f>
        <v>936.691524738481</v>
      </c>
    </row>
    <row r="183" customFormat="false" ht="15" hidden="false" customHeight="false" outlineLevel="0" collapsed="false">
      <c r="A183" s="5" t="s">
        <v>489</v>
      </c>
      <c r="B183" s="0" t="s">
        <v>27</v>
      </c>
      <c r="D183" s="13" t="n">
        <f aca="false">da_y</f>
        <v>320</v>
      </c>
      <c r="E183" s="13" t="n">
        <f aca="false">da_y</f>
        <v>320</v>
      </c>
      <c r="F183" s="13" t="n">
        <f aca="false">da_y</f>
        <v>320</v>
      </c>
      <c r="G183" s="13" t="n">
        <f aca="false">da_y</f>
        <v>320</v>
      </c>
    </row>
    <row r="184" customFormat="false" ht="15" hidden="false" customHeight="false" outlineLevel="0" collapsed="false">
      <c r="A184" s="5" t="s">
        <v>490</v>
      </c>
      <c r="B184" s="0" t="s">
        <v>27</v>
      </c>
      <c r="D184" s="13" t="n">
        <f aca="false">cap_2026</f>
        <v>450</v>
      </c>
      <c r="E184" s="13" t="n">
        <f aca="false">cap_2027</f>
        <v>470</v>
      </c>
      <c r="F184" s="13" t="n">
        <f aca="false">cap_2028</f>
        <v>470</v>
      </c>
      <c r="G184" s="13" t="n">
        <f aca="false">cap_2029</f>
        <v>470</v>
      </c>
    </row>
    <row r="185" customFormat="false" ht="15" hidden="false" customHeight="false" outlineLevel="0" collapsed="false">
      <c r="A185" s="5" t="s">
        <v>491</v>
      </c>
      <c r="B185" s="0" t="s">
        <v>27</v>
      </c>
      <c r="D185" s="13" t="n">
        <f aca="false">D182+D183-D184</f>
        <v>5201.04367663842</v>
      </c>
      <c r="E185" s="13" t="n">
        <f aca="false">E182+E183-E184</f>
        <v>5398.11051879193</v>
      </c>
      <c r="F185" s="13" t="n">
        <f aca="false">F182+F183-F184</f>
        <v>653.284356218948</v>
      </c>
      <c r="G185" s="13" t="n">
        <f aca="false">G182+G183-G184</f>
        <v>786.691524738481</v>
      </c>
    </row>
    <row r="186" customFormat="false" ht="17.15" hidden="false" customHeight="false" outlineLevel="0" collapsed="false">
      <c r="A186" s="5" t="s">
        <v>492</v>
      </c>
      <c r="B186" s="0" t="s">
        <v>27</v>
      </c>
      <c r="D186" s="13" t="n">
        <f aca="false">MAX(0,payout*(SUM(D167:F167)+0.75*(D183-D184)))</f>
        <v>878.268735327683</v>
      </c>
      <c r="E186" s="13" t="n">
        <f aca="false">MAX(0,payout*E185)</f>
        <v>1079.62210375839</v>
      </c>
      <c r="F186" s="13" t="n">
        <f aca="false">MAX(0,payout*F185)</f>
        <v>130.65687124379</v>
      </c>
      <c r="G186" s="13" t="n">
        <f aca="false">MAX(0,payout*G185)</f>
        <v>157.338304947696</v>
      </c>
      <c r="T186" s="8" t="s">
        <v>493</v>
      </c>
    </row>
    <row r="187" customFormat="false" ht="17.15" hidden="false" customHeight="false" outlineLevel="0" collapsed="false">
      <c r="A187" s="5" t="s">
        <v>494</v>
      </c>
      <c r="B187" s="0" t="s">
        <v>27</v>
      </c>
      <c r="C187" s="13" t="n">
        <f aca="false">eq25</f>
        <v>1399.1</v>
      </c>
      <c r="D187" s="13" t="n">
        <f aca="false">eq_j+SUM(D167:F167)-D186</f>
        <v>6014.87494131073</v>
      </c>
      <c r="E187" s="13" t="n">
        <f aca="false">D187+E182-E186</f>
        <v>10483.3633563443</v>
      </c>
      <c r="F187" s="13" t="n">
        <f aca="false">E187+F182-F186</f>
        <v>11155.9908413194</v>
      </c>
      <c r="G187" s="13" t="n">
        <f aca="false">F187+G182-G186</f>
        <v>11935.3440611102</v>
      </c>
      <c r="T187" s="8" t="s">
        <v>495</v>
      </c>
    </row>
    <row r="188" customFormat="false" ht="15" hidden="false" customHeight="false" outlineLevel="0" collapsed="false">
      <c r="A188" s="5" t="s">
        <v>496</v>
      </c>
      <c r="B188" s="0" t="s">
        <v>27</v>
      </c>
      <c r="D188" s="13" t="n">
        <f aca="false">nc_j+(SUM(D167:F167)+0.75*(D183-D184))-D186</f>
        <v>3669.47494131073</v>
      </c>
      <c r="E188" s="13" t="n">
        <f aca="false">D188+E185-E186</f>
        <v>7987.96335634428</v>
      </c>
      <c r="F188" s="13" t="n">
        <f aca="false">E188+F185-F186</f>
        <v>8510.59084131943</v>
      </c>
      <c r="G188" s="13" t="n">
        <f aca="false">F188+G185-G186</f>
        <v>9139.94406111022</v>
      </c>
    </row>
    <row r="189" customFormat="false" ht="15" hidden="false" customHeight="false" outlineLevel="0" collapsed="false">
      <c r="A189" s="5" t="s">
        <v>497</v>
      </c>
      <c r="B189" s="5" t="s">
        <v>209</v>
      </c>
      <c r="D189" s="13" t="n">
        <f aca="false">sh0-D186/bb_px*1000</f>
        <v>1575.18709429575</v>
      </c>
      <c r="E189" s="13" t="n">
        <f aca="false">D189-E186/bb_px*1000</f>
        <v>1490.54404421669</v>
      </c>
      <c r="F189" s="13" t="n">
        <f aca="false">E189-F186/bb_px*1000</f>
        <v>1480.30046356254</v>
      </c>
      <c r="G189" s="13" t="n">
        <f aca="false">F189-G186/bb_px*1000</f>
        <v>1467.96504177126</v>
      </c>
    </row>
    <row r="190" customFormat="false" ht="17.15" hidden="false" customHeight="false" outlineLevel="0" collapsed="false">
      <c r="A190" s="0" t="s">
        <v>498</v>
      </c>
      <c r="B190" s="0" t="s">
        <v>108</v>
      </c>
      <c r="C190" s="17" t="n">
        <f aca="false">a25_eps</f>
        <v>341.4</v>
      </c>
      <c r="D190" s="17" t="n">
        <f aca="false">D182/(D189+dil)*1000</f>
        <v>3350.40696386792</v>
      </c>
      <c r="E190" s="17" t="n">
        <f aca="false">E182/(E189+dil)*1000</f>
        <v>3682.73279771712</v>
      </c>
      <c r="F190" s="17" t="n">
        <f aca="false">F182/(F189+dil)*1000</f>
        <v>536.855596848867</v>
      </c>
      <c r="G190" s="17" t="n">
        <f aca="false">G182/(G189+dil)*1000</f>
        <v>631.218857536886</v>
      </c>
    </row>
    <row r="191" customFormat="false" ht="17.15" hidden="false" customHeight="false" outlineLevel="0" collapsed="false">
      <c r="A191" s="5" t="s">
        <v>499</v>
      </c>
      <c r="B191" s="0" t="s">
        <v>108</v>
      </c>
      <c r="D191" s="17" t="n">
        <f aca="false">D187/D189*1000</f>
        <v>3818.51461524316</v>
      </c>
      <c r="E191" s="17" t="n">
        <f aca="false">E187/E189*1000</f>
        <v>7033.24628146326</v>
      </c>
      <c r="F191" s="17" t="n">
        <f aca="false">F187/F189*1000</f>
        <v>7536.30166032043</v>
      </c>
      <c r="G191" s="17" t="n">
        <f aca="false">G187/G189*1000</f>
        <v>8130.5369824808</v>
      </c>
    </row>
    <row r="192" customFormat="false" ht="17.15" hidden="false" customHeight="false" outlineLevel="0" collapsed="false">
      <c r="A192" s="0" t="s">
        <v>500</v>
      </c>
      <c r="B192" s="0" t="s">
        <v>145</v>
      </c>
      <c r="D192" s="21" t="n">
        <f aca="false">D182/D187</f>
        <v>0.886309977955535</v>
      </c>
      <c r="E192" s="21" t="n">
        <f aca="false">E182/E187</f>
        <v>0.529230012373305</v>
      </c>
      <c r="F192" s="21" t="n">
        <f aca="false">F182/F187</f>
        <v>0.0720047522129323</v>
      </c>
      <c r="G192" s="21" t="n">
        <f aca="false">G182/G187</f>
        <v>0.0784804794853438</v>
      </c>
    </row>
    <row r="193" customFormat="false" ht="15" hidden="false" customHeight="false" outlineLevel="0" collapsed="false">
      <c r="A193" s="5" t="s">
        <v>501</v>
      </c>
      <c r="B193" s="0" t="s">
        <v>108</v>
      </c>
      <c r="E193" s="17" t="n">
        <f aca="false">E185/(E189+dil)*1000</f>
        <v>3583.16558149341</v>
      </c>
      <c r="F193" s="17" t="n">
        <f aca="false">F185/(F189+dil)*1000</f>
        <v>436.606738640827</v>
      </c>
      <c r="G193" s="17" t="n">
        <f aca="false">G185/(G189+dil)*1000</f>
        <v>530.136669719539</v>
      </c>
    </row>
    <row r="194" customFormat="false" ht="17.15" hidden="false" customHeight="false" outlineLevel="0" collapsed="false">
      <c r="A194" s="5" t="s">
        <v>502</v>
      </c>
      <c r="B194" s="0" t="s">
        <v>27</v>
      </c>
      <c r="D194" s="18" t="n">
        <f aca="false">ABS(C154-q1_rev)+ABS(D165-g2_op)+ABS(C171-2337.6)</f>
        <v>0</v>
      </c>
    </row>
    <row r="197" customFormat="false" ht="17.15" hidden="false" customHeight="false" outlineLevel="0" collapsed="false">
      <c r="A197" s="3" t="s">
        <v>505</v>
      </c>
    </row>
    <row r="198" customFormat="false" ht="17.15" hidden="false" customHeight="false" outlineLevel="0" collapsed="false">
      <c r="A198" s="5" t="s">
        <v>506</v>
      </c>
    </row>
    <row r="199" customFormat="false" ht="17.15" hidden="false" customHeight="false" outlineLevel="0" collapsed="false">
      <c r="A199" s="6" t="s">
        <v>507</v>
      </c>
      <c r="B199" s="6" t="s">
        <v>17</v>
      </c>
      <c r="C199" s="12" t="s">
        <v>426</v>
      </c>
      <c r="D199" s="12" t="s">
        <v>427</v>
      </c>
      <c r="E199" s="12" t="s">
        <v>428</v>
      </c>
      <c r="F199" s="12" t="s">
        <v>429</v>
      </c>
      <c r="G199" s="12" t="s">
        <v>508</v>
      </c>
      <c r="H199" s="12" t="s">
        <v>509</v>
      </c>
      <c r="I199" s="12" t="s">
        <v>510</v>
      </c>
      <c r="J199" s="6" t="s">
        <v>330</v>
      </c>
    </row>
    <row r="200" customFormat="false" ht="17.15" hidden="false" customHeight="false" outlineLevel="0" collapsed="false">
      <c r="A200" s="3" t="s">
        <v>430</v>
      </c>
    </row>
    <row r="201" customFormat="false" ht="17.15" hidden="false" customHeight="false" outlineLevel="0" collapsed="false">
      <c r="A201" s="5" t="s">
        <v>354</v>
      </c>
      <c r="B201" s="0" t="s">
        <v>27</v>
      </c>
      <c r="C201" s="17" t="n">
        <f aca="false">D5</f>
        <v>9861.25414257431</v>
      </c>
      <c r="D201" s="17" t="n">
        <f aca="false">E5</f>
        <v>12399.7631810532</v>
      </c>
      <c r="E201" s="17" t="n">
        <f aca="false">F5</f>
        <v>12509.9801209115</v>
      </c>
      <c r="F201" s="17" t="n">
        <f aca="false">G5</f>
        <v>13168.9760846731</v>
      </c>
      <c r="G201" s="22" t="n">
        <f aca="false">F201*(1+G202)</f>
        <v>13894.8291409789</v>
      </c>
      <c r="H201" s="22" t="n">
        <f aca="false">G201*(1+H202)</f>
        <v>14694.6044774545</v>
      </c>
      <c r="I201" s="22" t="n">
        <f aca="false">H201*(1+I202)</f>
        <v>15576.2807461018</v>
      </c>
      <c r="J201" s="8" t="s">
        <v>511</v>
      </c>
    </row>
    <row r="202" customFormat="false" ht="15" hidden="false" customHeight="false" outlineLevel="0" collapsed="false">
      <c r="A202" s="5" t="s">
        <v>512</v>
      </c>
      <c r="B202" s="0" t="s">
        <v>145</v>
      </c>
      <c r="C202" s="14" t="n">
        <f aca="false">C201/C5-1</f>
        <v>3.21853787755574</v>
      </c>
      <c r="D202" s="14" t="n">
        <f aca="false">D201/C201-1</f>
        <v>0.25742253488015</v>
      </c>
      <c r="E202" s="14" t="n">
        <f aca="false">E201/D201-1</f>
        <v>0.00888863264959583</v>
      </c>
      <c r="F202" s="14" t="n">
        <f aca="false">F201/E201-1</f>
        <v>0.0526776187805438</v>
      </c>
      <c r="G202" s="23" t="n">
        <f aca="false">$F202+(fade_gA-$F202)*1/3</f>
        <v>0.0551184125203625</v>
      </c>
      <c r="H202" s="23" t="n">
        <f aca="false">$F202+(fade_gA-$F202)*2/3</f>
        <v>0.0575592062601813</v>
      </c>
      <c r="I202" s="23" t="n">
        <f aca="false">$F202+(fade_gA-$F202)*3/3</f>
        <v>0.06</v>
      </c>
    </row>
    <row r="203" customFormat="false" ht="17.15" hidden="false" customHeight="false" outlineLevel="0" collapsed="false">
      <c r="A203" s="5" t="s">
        <v>513</v>
      </c>
      <c r="B203" s="0" t="s">
        <v>145</v>
      </c>
      <c r="C203" s="14" t="n">
        <f aca="false">C204/C201</f>
        <v>0.542059206638024</v>
      </c>
      <c r="D203" s="14" t="n">
        <f aca="false">D204/D201</f>
        <v>0.56624544504338</v>
      </c>
      <c r="E203" s="14" t="n">
        <f aca="false">E204/E201</f>
        <v>0.56250319485325</v>
      </c>
      <c r="F203" s="14" t="n">
        <f aca="false">F204/F201</f>
        <v>0.566200767770168</v>
      </c>
      <c r="G203" s="23" t="n">
        <f aca="false">$F203+(fade_mA-$F203)*1/3</f>
        <v>0.436118632987664</v>
      </c>
      <c r="H203" s="23" t="n">
        <f aca="false">$F203+(fade_mA-$F203)*2/3</f>
        <v>0.306036498205159</v>
      </c>
      <c r="I203" s="23" t="n">
        <f aca="false">$F203+(fade_mA-$F203)*3/3</f>
        <v>0.175954363422654</v>
      </c>
    </row>
    <row r="204" customFormat="false" ht="15" hidden="false" customHeight="false" outlineLevel="0" collapsed="false">
      <c r="A204" s="5" t="s">
        <v>514</v>
      </c>
      <c r="B204" s="0" t="s">
        <v>27</v>
      </c>
      <c r="C204" s="17" t="n">
        <f aca="false">D13</f>
        <v>5345.38359697976</v>
      </c>
      <c r="D204" s="17" t="n">
        <f aca="false">E13</f>
        <v>7021.30942088797</v>
      </c>
      <c r="E204" s="17" t="n">
        <f aca="false">F13</f>
        <v>7036.90378556338</v>
      </c>
      <c r="F204" s="17" t="n">
        <f aca="false">G13</f>
        <v>7456.28436988889</v>
      </c>
      <c r="G204" s="22" t="n">
        <f aca="false">G201*G203</f>
        <v>6059.79389056087</v>
      </c>
      <c r="H204" s="22" t="n">
        <f aca="false">H201*H203</f>
        <v>4497.08529679002</v>
      </c>
      <c r="I204" s="22" t="n">
        <f aca="false">I201*I203</f>
        <v>2740.71456317288</v>
      </c>
    </row>
    <row r="205" customFormat="false" ht="17.15" hidden="false" customHeight="false" outlineLevel="0" collapsed="false">
      <c r="A205" s="0" t="s">
        <v>515</v>
      </c>
      <c r="B205" s="0" t="s">
        <v>108</v>
      </c>
      <c r="C205" s="17" t="n">
        <f aca="false">D14</f>
        <v>3359.89398572193</v>
      </c>
      <c r="D205" s="17" t="n">
        <f aca="false">E14</f>
        <v>4733.90793182165</v>
      </c>
      <c r="E205" s="17" t="n">
        <f aca="false">F14</f>
        <v>5116.97540133617</v>
      </c>
      <c r="F205" s="17" t="n">
        <f aca="false">G14</f>
        <v>5914.66198193265</v>
      </c>
      <c r="G205" s="22" t="n">
        <f aca="false">$F205*G204/$F204</f>
        <v>4806.9025757104</v>
      </c>
      <c r="H205" s="22" t="n">
        <f aca="false">$F205*H204/$F204</f>
        <v>3567.29144369108</v>
      </c>
      <c r="I205" s="22" t="n">
        <f aca="false">$F205*I204/$F204</f>
        <v>2174.05874373449</v>
      </c>
    </row>
    <row r="207" customFormat="false" ht="17.15" hidden="false" customHeight="false" outlineLevel="0" collapsed="false">
      <c r="A207" s="3" t="s">
        <v>438</v>
      </c>
    </row>
    <row r="208" customFormat="false" ht="17.15" hidden="false" customHeight="false" outlineLevel="0" collapsed="false">
      <c r="A208" s="5" t="s">
        <v>354</v>
      </c>
      <c r="B208" s="0" t="s">
        <v>27</v>
      </c>
      <c r="C208" s="17" t="n">
        <f aca="false">D19</f>
        <v>9881.01788246575</v>
      </c>
      <c r="D208" s="17" t="n">
        <f aca="false">E19</f>
        <v>10595.374034981</v>
      </c>
      <c r="E208" s="17" t="n">
        <f aca="false">F19</f>
        <v>4805.28122544007</v>
      </c>
      <c r="F208" s="17" t="n">
        <f aca="false">G19</f>
        <v>5807.16200534952</v>
      </c>
      <c r="G208" s="22" t="n">
        <f aca="false">F208*(1+G209)</f>
        <v>6691.76995106436</v>
      </c>
      <c r="H208" s="22" t="n">
        <f aca="false">G208*(1+H209)</f>
        <v>7335.2857123826</v>
      </c>
      <c r="I208" s="22" t="n">
        <f aca="false">H208*(1+I209)</f>
        <v>7628.6971408779</v>
      </c>
      <c r="J208" s="8" t="s">
        <v>511</v>
      </c>
    </row>
    <row r="209" customFormat="false" ht="15" hidden="false" customHeight="false" outlineLevel="0" collapsed="false">
      <c r="A209" s="5" t="s">
        <v>512</v>
      </c>
      <c r="B209" s="0" t="s">
        <v>145</v>
      </c>
      <c r="C209" s="14" t="n">
        <f aca="false">C208/C19-1</f>
        <v>3.22699259174613</v>
      </c>
      <c r="D209" s="14" t="n">
        <f aca="false">D208/C208-1</f>
        <v>0.0722958060609211</v>
      </c>
      <c r="E209" s="14" t="n">
        <f aca="false">E208/D208-1</f>
        <v>-0.546473658261117</v>
      </c>
      <c r="F209" s="14" t="n">
        <f aca="false">F208/E208-1</f>
        <v>0.208495763911859</v>
      </c>
      <c r="G209" s="23" t="n">
        <f aca="false">$F209+(fade_gB-$F209)*1/3</f>
        <v>0.152330509274573</v>
      </c>
      <c r="H209" s="23" t="n">
        <f aca="false">$F209+(fade_gB-$F209)*2/3</f>
        <v>0.0961652546372863</v>
      </c>
      <c r="I209" s="23" t="n">
        <f aca="false">$F209+(fade_gB-$F209)*3/3</f>
        <v>0.04</v>
      </c>
    </row>
    <row r="210" customFormat="false" ht="17.15" hidden="false" customHeight="false" outlineLevel="0" collapsed="false">
      <c r="A210" s="5" t="s">
        <v>513</v>
      </c>
      <c r="B210" s="0" t="s">
        <v>145</v>
      </c>
      <c r="C210" s="14" t="n">
        <f aca="false">C211/C208</f>
        <v>0.54218869693921</v>
      </c>
      <c r="D210" s="14" t="n">
        <f aca="false">D211/D208</f>
        <v>0.548336995008734</v>
      </c>
      <c r="E210" s="14" t="n">
        <f aca="false">E211/E208</f>
        <v>0.401591730888167</v>
      </c>
      <c r="F210" s="14" t="n">
        <f aca="false">F211/F208</f>
        <v>0.435647264428037</v>
      </c>
      <c r="G210" s="23" t="n">
        <f aca="false">$F210+(fade_mB-$F210)*1/3</f>
        <v>0.33930772168054</v>
      </c>
      <c r="H210" s="23" t="n">
        <f aca="false">$F210+(fade_mB-$F210)*2/3</f>
        <v>0.242968178933042</v>
      </c>
      <c r="I210" s="23" t="n">
        <f aca="false">$F210+(fade_mB-$F210)*3/3</f>
        <v>0.146628636185545</v>
      </c>
    </row>
    <row r="211" customFormat="false" ht="15" hidden="false" customHeight="false" outlineLevel="0" collapsed="false">
      <c r="A211" s="5" t="s">
        <v>514</v>
      </c>
      <c r="B211" s="0" t="s">
        <v>27</v>
      </c>
      <c r="C211" s="17" t="n">
        <f aca="false">D27</f>
        <v>5357.37621012714</v>
      </c>
      <c r="D211" s="17" t="n">
        <f aca="false">E27</f>
        <v>5809.83555933503</v>
      </c>
      <c r="E211" s="17" t="n">
        <f aca="false">F27</f>
        <v>1929.76120472889</v>
      </c>
      <c r="F211" s="17" t="n">
        <f aca="false">G27</f>
        <v>2529.87424172095</v>
      </c>
      <c r="G211" s="22" t="n">
        <f aca="false">G208*G210</f>
        <v>2270.56921610594</v>
      </c>
      <c r="H211" s="22" t="n">
        <f aca="false">H208*H210</f>
        <v>1782.24101149117</v>
      </c>
      <c r="I211" s="22" t="n">
        <f aca="false">I208*I210</f>
        <v>1118.58545763949</v>
      </c>
    </row>
    <row r="212" customFormat="false" ht="17.15" hidden="false" customHeight="false" outlineLevel="0" collapsed="false">
      <c r="A212" s="0" t="s">
        <v>515</v>
      </c>
      <c r="B212" s="0" t="s">
        <v>108</v>
      </c>
      <c r="C212" s="17" t="n">
        <f aca="false">D28</f>
        <v>3367.83013262514</v>
      </c>
      <c r="D212" s="17" t="n">
        <f aca="false">E28</f>
        <v>3868.05805615916</v>
      </c>
      <c r="E212" s="17" t="n">
        <f aca="false">F28</f>
        <v>1309.11473255108</v>
      </c>
      <c r="F212" s="17" t="n">
        <f aca="false">G28</f>
        <v>1760.79494734</v>
      </c>
      <c r="G212" s="22" t="n">
        <f aca="false">$F212*G211/$F211</f>
        <v>1580.31839582091</v>
      </c>
      <c r="H212" s="22" t="n">
        <f aca="false">$F212*H211/$F211</f>
        <v>1240.44148765317</v>
      </c>
      <c r="I212" s="22" t="n">
        <f aca="false">$F212*I211/$F211</f>
        <v>778.536572885063</v>
      </c>
    </row>
    <row r="214" customFormat="false" ht="17.15" hidden="false" customHeight="false" outlineLevel="0" collapsed="false">
      <c r="A214" s="3" t="s">
        <v>439</v>
      </c>
    </row>
    <row r="215" customFormat="false" ht="17.15" hidden="false" customHeight="false" outlineLevel="0" collapsed="false">
      <c r="A215" s="5" t="s">
        <v>354</v>
      </c>
      <c r="B215" s="0" t="s">
        <v>27</v>
      </c>
      <c r="C215" s="17" t="n">
        <f aca="false">D33</f>
        <v>9843.63335939362</v>
      </c>
      <c r="D215" s="17" t="n">
        <f aca="false">E33</f>
        <v>10189.2212281844</v>
      </c>
      <c r="E215" s="17" t="n">
        <f aca="false">F33</f>
        <v>2915.37924361187</v>
      </c>
      <c r="F215" s="17" t="n">
        <f aca="false">G33</f>
        <v>3178.66725892736</v>
      </c>
      <c r="G215" s="22" t="n">
        <f aca="false">F215*(1+G216)</f>
        <v>3391.2354182794</v>
      </c>
      <c r="H215" s="22" t="n">
        <f aca="false">G215*(1+H216)</f>
        <v>3538.53942564146</v>
      </c>
      <c r="I215" s="22" t="n">
        <f aca="false">H215*(1+I216)</f>
        <v>3609.31021415429</v>
      </c>
      <c r="J215" s="8" t="s">
        <v>511</v>
      </c>
    </row>
    <row r="216" customFormat="false" ht="15" hidden="false" customHeight="false" outlineLevel="0" collapsed="false">
      <c r="A216" s="5" t="s">
        <v>512</v>
      </c>
      <c r="B216" s="0" t="s">
        <v>145</v>
      </c>
      <c r="C216" s="14" t="n">
        <f aca="false">C215/C33-1</f>
        <v>3.21099989707119</v>
      </c>
      <c r="D216" s="14" t="n">
        <f aca="false">D215/C215-1</f>
        <v>0.0351077550507257</v>
      </c>
      <c r="E216" s="14" t="n">
        <f aca="false">E215/D215-1</f>
        <v>-0.71387614633907</v>
      </c>
      <c r="F216" s="14" t="n">
        <f aca="false">F215/E215-1</f>
        <v>0.0903100397289329</v>
      </c>
      <c r="G216" s="23" t="n">
        <f aca="false">$F216+(fade_gC-$F216)*1/3</f>
        <v>0.0668733598192886</v>
      </c>
      <c r="H216" s="23" t="n">
        <f aca="false">$F216+(fade_gC-$F216)*2/3</f>
        <v>0.0434366799096443</v>
      </c>
      <c r="I216" s="23" t="n">
        <f aca="false">$F216+(fade_gC-$F216)*3/3</f>
        <v>0.02</v>
      </c>
    </row>
    <row r="217" customFormat="false" ht="17.15" hidden="false" customHeight="false" outlineLevel="0" collapsed="false">
      <c r="A217" s="5" t="s">
        <v>513</v>
      </c>
      <c r="B217" s="0" t="s">
        <v>145</v>
      </c>
      <c r="C217" s="14" t="n">
        <f aca="false">C218/C215</f>
        <v>0.541572758960094</v>
      </c>
      <c r="D217" s="14" t="n">
        <f aca="false">D218/D215</f>
        <v>0.54450780825578</v>
      </c>
      <c r="E217" s="14" t="n">
        <f aca="false">E218/E215</f>
        <v>0.275533400321448</v>
      </c>
      <c r="F217" s="14" t="n">
        <f aca="false">F218/F215</f>
        <v>0.294680584168651</v>
      </c>
      <c r="G217" s="23" t="n">
        <f aca="false">$F217+(fade_mC-$F217)*1/3</f>
        <v>0.235554692428579</v>
      </c>
      <c r="H217" s="23" t="n">
        <f aca="false">$F217+(fade_mC-$F217)*2/3</f>
        <v>0.176428800688508</v>
      </c>
      <c r="I217" s="23" t="n">
        <f aca="false">$F217+(fade_mC-$F217)*3/3</f>
        <v>0.117302908948436</v>
      </c>
    </row>
    <row r="218" customFormat="false" ht="15" hidden="false" customHeight="false" outlineLevel="0" collapsed="false">
      <c r="A218" s="5" t="s">
        <v>514</v>
      </c>
      <c r="B218" s="0" t="s">
        <v>27</v>
      </c>
      <c r="C218" s="17" t="n">
        <f aca="false">D41</f>
        <v>5331.04367663842</v>
      </c>
      <c r="D218" s="17" t="n">
        <f aca="false">E41</f>
        <v>5548.11051879193</v>
      </c>
      <c r="E218" s="17" t="n">
        <f aca="false">F41</f>
        <v>803.284356218948</v>
      </c>
      <c r="F218" s="17" t="n">
        <f aca="false">G41</f>
        <v>936.691524738481</v>
      </c>
      <c r="G218" s="22" t="n">
        <f aca="false">G215*G217</f>
        <v>798.82141590571</v>
      </c>
      <c r="H218" s="22" t="n">
        <f aca="false">H215*H217</f>
        <v>624.300267054923</v>
      </c>
      <c r="I218" s="22" t="n">
        <f aca="false">I215*I217</f>
        <v>423.3825874176</v>
      </c>
    </row>
    <row r="219" customFormat="false" ht="17.15" hidden="false" customHeight="false" outlineLevel="0" collapsed="false">
      <c r="A219" s="0" t="s">
        <v>515</v>
      </c>
      <c r="B219" s="0" t="s">
        <v>108</v>
      </c>
      <c r="C219" s="17" t="n">
        <f aca="false">D42</f>
        <v>3350.40696386792</v>
      </c>
      <c r="D219" s="17" t="n">
        <f aca="false">E42</f>
        <v>3682.73279771712</v>
      </c>
      <c r="E219" s="17" t="n">
        <f aca="false">F42</f>
        <v>536.855596848867</v>
      </c>
      <c r="F219" s="17" t="n">
        <f aca="false">G42</f>
        <v>631.218857536886</v>
      </c>
      <c r="G219" s="22" t="n">
        <f aca="false">$F219*G218/$F218</f>
        <v>538.310775967338</v>
      </c>
      <c r="H219" s="22" t="n">
        <f aca="false">$F219*H218/$F218</f>
        <v>420.704245659107</v>
      </c>
      <c r="I219" s="22" t="n">
        <f aca="false">$F219*I218/$F218</f>
        <v>285.309588132937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8" min="6" style="0" width="15"/>
  </cols>
  <sheetData>
    <row r="1" customFormat="false" ht="17.15" hidden="false" customHeight="false" outlineLevel="0" collapsed="false">
      <c r="A1" s="0" t="s">
        <v>516</v>
      </c>
    </row>
    <row r="2" customFormat="false" ht="17.15" hidden="false" customHeight="false" outlineLevel="0" collapsed="false">
      <c r="A2" s="0" t="s">
        <v>517</v>
      </c>
    </row>
    <row r="4" customFormat="false" ht="17.15" hidden="false" customHeight="false" outlineLevel="0" collapsed="false">
      <c r="A4" s="1" t="s">
        <v>518</v>
      </c>
    </row>
    <row r="5" customFormat="false" ht="17.15" hidden="false" customHeight="false" outlineLevel="0" collapsed="false">
      <c r="A5" s="1" t="s">
        <v>519</v>
      </c>
    </row>
    <row r="6" customFormat="false" ht="17.15" hidden="false" customHeight="false" outlineLevel="0" collapsed="false">
      <c r="A6" s="6" t="s">
        <v>16</v>
      </c>
      <c r="B6" s="12" t="s">
        <v>520</v>
      </c>
      <c r="C6" s="12" t="s">
        <v>521</v>
      </c>
      <c r="D6" s="12" t="s">
        <v>522</v>
      </c>
      <c r="E6" s="6" t="s">
        <v>330</v>
      </c>
    </row>
    <row r="7" customFormat="false" ht="17.15" hidden="false" customHeight="false" outlineLevel="0" collapsed="false">
      <c r="A7" s="5" t="s">
        <v>523</v>
      </c>
      <c r="E7" s="0" t="s">
        <v>524</v>
      </c>
    </row>
    <row r="8" customFormat="false" ht="15" hidden="false" customHeight="false" outlineLevel="0" collapsed="false">
      <c r="A8" s="0" t="s">
        <v>525</v>
      </c>
      <c r="B8" s="17" t="n">
        <f aca="false">PL!D205</f>
        <v>4733.90793182165</v>
      </c>
      <c r="C8" s="17" t="n">
        <f aca="false">PL!D212</f>
        <v>3868.05805615916</v>
      </c>
      <c r="D8" s="17" t="n">
        <f aca="false">PL!D219</f>
        <v>3682.73279771712</v>
      </c>
    </row>
    <row r="9" customFormat="false" ht="15" hidden="false" customHeight="false" outlineLevel="0" collapsed="false">
      <c r="A9" s="0" t="s">
        <v>526</v>
      </c>
      <c r="B9" s="17" t="n">
        <f aca="false">PL!E205</f>
        <v>5116.97540133617</v>
      </c>
      <c r="C9" s="17" t="n">
        <f aca="false">PL!E212</f>
        <v>1309.11473255108</v>
      </c>
      <c r="D9" s="17" t="n">
        <f aca="false">PL!E219</f>
        <v>536.855596848867</v>
      </c>
    </row>
    <row r="10" customFormat="false" ht="15" hidden="false" customHeight="false" outlineLevel="0" collapsed="false">
      <c r="A10" s="0" t="s">
        <v>527</v>
      </c>
      <c r="B10" s="17" t="n">
        <f aca="false">PL!F205</f>
        <v>5914.66198193265</v>
      </c>
      <c r="C10" s="17" t="n">
        <f aca="false">PL!F212</f>
        <v>1760.79494734</v>
      </c>
      <c r="D10" s="17" t="n">
        <f aca="false">PL!F219</f>
        <v>631.218857536886</v>
      </c>
    </row>
    <row r="11" customFormat="false" ht="15" hidden="false" customHeight="false" outlineLevel="0" collapsed="false">
      <c r="A11" s="0" t="s">
        <v>528</v>
      </c>
      <c r="B11" s="17" t="n">
        <f aca="false">PL!G205</f>
        <v>4806.9025757104</v>
      </c>
      <c r="C11" s="17" t="n">
        <f aca="false">PL!G212</f>
        <v>1580.31839582091</v>
      </c>
      <c r="D11" s="17" t="n">
        <f aca="false">PL!G219</f>
        <v>538.310775967338</v>
      </c>
    </row>
    <row r="12" customFormat="false" ht="15" hidden="false" customHeight="false" outlineLevel="0" collapsed="false">
      <c r="A12" s="0" t="s">
        <v>529</v>
      </c>
      <c r="B12" s="17" t="n">
        <f aca="false">PL!H205</f>
        <v>3567.29144369108</v>
      </c>
      <c r="C12" s="17" t="n">
        <f aca="false">PL!H212</f>
        <v>1240.44148765317</v>
      </c>
      <c r="D12" s="17" t="n">
        <f aca="false">PL!H219</f>
        <v>420.704245659107</v>
      </c>
    </row>
    <row r="13" customFormat="false" ht="15" hidden="false" customHeight="false" outlineLevel="0" collapsed="false">
      <c r="A13" s="0" t="s">
        <v>530</v>
      </c>
      <c r="B13" s="17" t="n">
        <f aca="false">PL!I205</f>
        <v>2174.05874373449</v>
      </c>
      <c r="C13" s="17" t="n">
        <f aca="false">PL!I212</f>
        <v>778.536572885063</v>
      </c>
      <c r="D13" s="17" t="n">
        <f aca="false">PL!I219</f>
        <v>285.309588132937</v>
      </c>
    </row>
    <row r="14" customFormat="false" ht="17.15" hidden="false" customHeight="false" outlineLevel="0" collapsed="false">
      <c r="A14" s="5" t="s">
        <v>531</v>
      </c>
      <c r="E14" s="5" t="s">
        <v>532</v>
      </c>
    </row>
    <row r="15" customFormat="false" ht="17.15" hidden="false" customHeight="false" outlineLevel="0" collapsed="false">
      <c r="A15" s="5" t="s">
        <v>533</v>
      </c>
      <c r="B15" s="14" t="n">
        <f aca="false">MIN(tp_g/tp_roe,0.8)</f>
        <v>0.104473160385286</v>
      </c>
      <c r="E15" s="8" t="s">
        <v>534</v>
      </c>
    </row>
    <row r="16" customFormat="false" ht="17.15" hidden="false" customHeight="false" outlineLevel="0" collapsed="false">
      <c r="A16" s="0" t="s">
        <v>535</v>
      </c>
      <c r="B16" s="17" t="n">
        <f aca="false">PL!E99</f>
        <v>4632.77491699385</v>
      </c>
      <c r="C16" s="17" t="n">
        <f aca="false">PL!E146</f>
        <v>3768.19142439337</v>
      </c>
      <c r="D16" s="17" t="n">
        <f aca="false">PL!E193</f>
        <v>3583.16558149341</v>
      </c>
    </row>
    <row r="17" customFormat="false" ht="17.15" hidden="false" customHeight="false" outlineLevel="0" collapsed="false">
      <c r="A17" s="0" t="s">
        <v>536</v>
      </c>
      <c r="B17" s="17" t="n">
        <f aca="false">PL!F99</f>
        <v>5007.90096553457</v>
      </c>
      <c r="C17" s="17" t="n">
        <f aca="false">PL!F146</f>
        <v>1207.35747398382</v>
      </c>
      <c r="D17" s="17" t="n">
        <f aca="false">PL!F193</f>
        <v>436.606738640827</v>
      </c>
    </row>
    <row r="18" customFormat="false" ht="17.15" hidden="false" customHeight="false" outlineLevel="0" collapsed="false">
      <c r="A18" s="0" t="s">
        <v>537</v>
      </c>
      <c r="B18" s="17" t="n">
        <f aca="false">PL!G99</f>
        <v>5795.67519799604</v>
      </c>
      <c r="C18" s="17" t="n">
        <f aca="false">PL!G146</f>
        <v>1656.39480058752</v>
      </c>
      <c r="D18" s="17" t="n">
        <f aca="false">PL!G193</f>
        <v>530.136669719539</v>
      </c>
    </row>
    <row r="19" customFormat="false" ht="17.15" hidden="false" customHeight="false" outlineLevel="0" collapsed="false">
      <c r="A19" s="0" t="s">
        <v>538</v>
      </c>
      <c r="B19" s="17" t="n">
        <f aca="false">B11*(1-$B$15)</f>
        <v>4304.71027196176</v>
      </c>
      <c r="C19" s="17" t="n">
        <f aca="false">C11*(1-$B$15)</f>
        <v>1415.2175385945</v>
      </c>
      <c r="D19" s="17" t="n">
        <f aca="false">D11*(1-$B$15)</f>
        <v>482.071747932574</v>
      </c>
    </row>
    <row r="20" customFormat="false" ht="17.15" hidden="false" customHeight="false" outlineLevel="0" collapsed="false">
      <c r="A20" s="0" t="s">
        <v>539</v>
      </c>
      <c r="B20" s="17" t="n">
        <f aca="false">B12*(1-$B$15)</f>
        <v>3194.60523255329</v>
      </c>
      <c r="C20" s="17" t="n">
        <f aca="false">C12*(1-$B$15)</f>
        <v>1110.84864516502</v>
      </c>
      <c r="D20" s="17" t="n">
        <f aca="false">D12*(1-$B$15)</f>
        <v>376.751943527593</v>
      </c>
    </row>
    <row r="21" customFormat="false" ht="17.15" hidden="false" customHeight="false" outlineLevel="0" collapsed="false">
      <c r="A21" s="0" t="s">
        <v>540</v>
      </c>
      <c r="B21" s="17" t="n">
        <f aca="false">B13*(1-$B$15)</f>
        <v>1946.92795591328</v>
      </c>
      <c r="C21" s="17" t="n">
        <f aca="false">C13*(1-$B$15)</f>
        <v>697.200396640231</v>
      </c>
      <c r="D21" s="17" t="n">
        <f aca="false">D13*(1-$B$15)</f>
        <v>255.502393772465</v>
      </c>
    </row>
    <row r="22" customFormat="false" ht="17.15" hidden="false" customHeight="false" outlineLevel="0" collapsed="false">
      <c r="A22" s="0" t="s">
        <v>541</v>
      </c>
      <c r="B22" s="17" t="n">
        <f aca="false">MAX(0,SUMPRODUCT(B16:B21,1/(1+tp_r)^{1;2;3;4;5;6})+B21*(1+tp_g)/(tp_r-tp_g)/(1+tp_r)^6)</f>
        <v>37776.6761632061</v>
      </c>
      <c r="C22" s="17" t="n">
        <f aca="false">MAX(0,SUMPRODUCT(C16:C21,1/(1+tp_r)^{1;2;3;4;5;6})+C21*(1+tp_g)/(tp_r-tp_g)/(1+tp_r)^6)</f>
        <v>14539.3907019063</v>
      </c>
      <c r="D22" s="17" t="n">
        <f aca="false">MAX(0,SUMPRODUCT(D16:D21,1/(1+tp_r)^{1;2;3;4;5;6})+D21*(1+tp_g)/(tp_r-tp_g)/(1+tp_r)^6)</f>
        <v>7223.8643430656</v>
      </c>
      <c r="E22" s="8" t="s">
        <v>542</v>
      </c>
    </row>
    <row r="23" customFormat="false" ht="17.15" hidden="false" customHeight="false" outlineLevel="0" collapsed="false">
      <c r="A23" s="0" t="s">
        <v>543</v>
      </c>
      <c r="B23" s="17" t="n">
        <f aca="false">B22*(1+tp_r)</f>
        <v>41554.3437795267</v>
      </c>
      <c r="C23" s="17" t="n">
        <f aca="false">C22*(1+tp_r)</f>
        <v>15993.329772097</v>
      </c>
      <c r="D23" s="17" t="n">
        <f aca="false">D22*(1+tp_r)</f>
        <v>7946.25077737216</v>
      </c>
    </row>
    <row r="24" customFormat="false" ht="17.15" hidden="false" customHeight="false" outlineLevel="0" collapsed="false">
      <c r="A24" s="0" t="s">
        <v>544</v>
      </c>
      <c r="B24" s="24" t="n">
        <f aca="false">tp_wA*B23+tp_wB*C23+tp_wC*D23</f>
        <v>22052.2181753809</v>
      </c>
      <c r="E24" s="8" t="s">
        <v>545</v>
      </c>
    </row>
    <row r="26" customFormat="false" ht="17.15" hidden="false" customHeight="false" outlineLevel="0" collapsed="false">
      <c r="A26" s="1" t="s">
        <v>546</v>
      </c>
    </row>
    <row r="27" customFormat="false" ht="17.15" hidden="false" customHeight="false" outlineLevel="0" collapsed="false">
      <c r="A27" s="6" t="s">
        <v>547</v>
      </c>
      <c r="B27" s="6" t="s">
        <v>548</v>
      </c>
      <c r="C27" s="6" t="s">
        <v>549</v>
      </c>
      <c r="D27" s="6" t="s">
        <v>550</v>
      </c>
      <c r="E27" s="6" t="s">
        <v>353</v>
      </c>
      <c r="F27" s="6" t="s">
        <v>21</v>
      </c>
    </row>
    <row r="28" customFormat="false" ht="17.15" hidden="false" customHeight="false" outlineLevel="0" collapsed="false">
      <c r="A28" s="5" t="s">
        <v>551</v>
      </c>
      <c r="B28" s="0" t="s">
        <v>552</v>
      </c>
      <c r="C28" s="25" t="n">
        <v>3.35</v>
      </c>
      <c r="D28" s="8" t="s">
        <v>553</v>
      </c>
      <c r="E28" s="8" t="s">
        <v>554</v>
      </c>
      <c r="F28" s="8" t="s">
        <v>33</v>
      </c>
    </row>
    <row r="29" customFormat="false" ht="17.15" hidden="false" customHeight="false" outlineLevel="0" collapsed="false">
      <c r="A29" s="0" t="s">
        <v>555</v>
      </c>
      <c r="B29" s="0" t="s">
        <v>556</v>
      </c>
      <c r="C29" s="25" t="n">
        <v>1.35</v>
      </c>
      <c r="D29" s="8" t="s">
        <v>553</v>
      </c>
      <c r="E29" s="8" t="s">
        <v>557</v>
      </c>
      <c r="F29" s="8" t="s">
        <v>33</v>
      </c>
    </row>
    <row r="30" customFormat="false" ht="17.15" hidden="false" customHeight="false" outlineLevel="0" collapsed="false">
      <c r="A30" s="5" t="s">
        <v>558</v>
      </c>
      <c r="B30" s="0" t="s">
        <v>559</v>
      </c>
      <c r="C30" s="25" t="n">
        <v>1.26</v>
      </c>
      <c r="D30" s="8" t="s">
        <v>553</v>
      </c>
      <c r="E30" s="8" t="s">
        <v>560</v>
      </c>
      <c r="F30" s="8" t="s">
        <v>33</v>
      </c>
    </row>
    <row r="31" customFormat="false" ht="17.15" hidden="false" customHeight="false" outlineLevel="0" collapsed="false">
      <c r="A31" s="0" t="s">
        <v>561</v>
      </c>
      <c r="B31" s="0" t="s">
        <v>562</v>
      </c>
      <c r="C31" s="20" t="n">
        <f aca="false">1238.03/((313.8+553.1)/2)</f>
        <v>2.85622332448956</v>
      </c>
      <c r="D31" s="8" t="s">
        <v>553</v>
      </c>
      <c r="E31" s="5" t="s">
        <v>563</v>
      </c>
      <c r="F31" s="8" t="s">
        <v>33</v>
      </c>
    </row>
    <row r="32" customFormat="false" ht="17.15" hidden="false" customHeight="false" outlineLevel="0" collapsed="false">
      <c r="A32" s="5" t="s">
        <v>564</v>
      </c>
      <c r="B32" s="20" t="n">
        <f aca="false">MEDIAN(C28:C31)</f>
        <v>2.10311166224478</v>
      </c>
      <c r="E32" s="5" t="s">
        <v>565</v>
      </c>
    </row>
    <row r="33" customFormat="false" ht="17.15" hidden="false" customHeight="false" outlineLevel="0" collapsed="false">
      <c r="A33" s="0" t="s">
        <v>566</v>
      </c>
      <c r="B33" s="17" t="n">
        <f aca="false">tp_wA*(0.25*PL!E97+0.75*PL!F97)+tp_wB*(0.25*PL!E144+0.75*PL!F144)+tp_wC*(0.25*PL!E191+0.75*PL!F191)</f>
        <v>9009.36388538036</v>
      </c>
      <c r="E33" s="5" t="s">
        <v>567</v>
      </c>
    </row>
    <row r="34" customFormat="false" ht="17.15" hidden="false" customHeight="false" outlineLevel="0" collapsed="false">
      <c r="A34" s="0" t="s">
        <v>568</v>
      </c>
      <c r="B34" s="24" t="n">
        <f aca="false">B32*B33</f>
        <v>18947.6982567504</v>
      </c>
      <c r="E34" s="5" t="s">
        <v>569</v>
      </c>
    </row>
    <row r="35" customFormat="false" ht="17.15" hidden="false" customHeight="false" outlineLevel="0" collapsed="false">
      <c r="A35" s="0" t="s">
        <v>570</v>
      </c>
      <c r="B35" s="17" t="n">
        <f aca="false">tp_wA*(5/12*B8+7/12*B9)+tp_wB*(5/12*C8+7/12*C9)+tp_wC*(5/12*D8+7/12*D9)</f>
        <v>3044.40729818089</v>
      </c>
      <c r="E35" s="5" t="s">
        <v>571</v>
      </c>
    </row>
    <row r="37" customFormat="false" ht="17.15" hidden="false" customHeight="false" outlineLevel="0" collapsed="false">
      <c r="A37" s="3" t="s">
        <v>572</v>
      </c>
    </row>
    <row r="38" customFormat="false" ht="17.15" hidden="false" customHeight="false" outlineLevel="0" collapsed="false">
      <c r="A38" s="6" t="s">
        <v>573</v>
      </c>
      <c r="B38" s="6" t="s">
        <v>548</v>
      </c>
      <c r="C38" s="6" t="s">
        <v>574</v>
      </c>
      <c r="D38" s="6" t="s">
        <v>550</v>
      </c>
      <c r="E38" s="6" t="s">
        <v>353</v>
      </c>
      <c r="F38" s="6" t="s">
        <v>21</v>
      </c>
    </row>
    <row r="39" customFormat="false" ht="17.15" hidden="false" customHeight="false" outlineLevel="0" collapsed="false">
      <c r="A39" s="5" t="s">
        <v>551</v>
      </c>
      <c r="B39" s="0" t="s">
        <v>552</v>
      </c>
      <c r="C39" s="20" t="n">
        <f aca="false">877.55/173</f>
        <v>5.07254335260116</v>
      </c>
      <c r="D39" s="8" t="s">
        <v>553</v>
      </c>
      <c r="E39" s="5" t="s">
        <v>575</v>
      </c>
      <c r="F39" s="8" t="s">
        <v>33</v>
      </c>
    </row>
    <row r="40" customFormat="false" ht="17.15" hidden="false" customHeight="false" outlineLevel="0" collapsed="false">
      <c r="A40" s="0" t="s">
        <v>555</v>
      </c>
      <c r="B40" s="0" t="s">
        <v>556</v>
      </c>
      <c r="C40" s="20" t="n">
        <f aca="false">1277000/475721</f>
        <v>2.6843464972116</v>
      </c>
      <c r="D40" s="8" t="s">
        <v>553</v>
      </c>
      <c r="E40" s="5" t="s">
        <v>576</v>
      </c>
      <c r="F40" s="8" t="s">
        <v>33</v>
      </c>
    </row>
    <row r="41" customFormat="false" ht="17.15" hidden="false" customHeight="false" outlineLevel="0" collapsed="false">
      <c r="A41" s="5" t="s">
        <v>558</v>
      </c>
      <c r="B41" s="0" t="s">
        <v>559</v>
      </c>
      <c r="C41" s="20" t="n">
        <f aca="false">215500/72279</f>
        <v>2.98150223439727</v>
      </c>
      <c r="D41" s="8" t="s">
        <v>553</v>
      </c>
      <c r="E41" s="5" t="s">
        <v>577</v>
      </c>
      <c r="F41" s="8" t="s">
        <v>33</v>
      </c>
    </row>
    <row r="42" customFormat="false" ht="17.15" hidden="false" customHeight="false" outlineLevel="0" collapsed="false">
      <c r="A42" s="0" t="s">
        <v>561</v>
      </c>
      <c r="B42" s="0" t="s">
        <v>562</v>
      </c>
      <c r="C42" s="20" t="n">
        <f aca="false">1238.03/217.4</f>
        <v>5.69471021159154</v>
      </c>
      <c r="D42" s="8" t="s">
        <v>553</v>
      </c>
      <c r="E42" s="5" t="s">
        <v>578</v>
      </c>
      <c r="F42" s="8" t="s">
        <v>33</v>
      </c>
    </row>
    <row r="43" customFormat="false" ht="17.15" hidden="false" customHeight="false" outlineLevel="0" collapsed="false">
      <c r="A43" s="0" t="s">
        <v>579</v>
      </c>
      <c r="B43" s="0" t="s">
        <v>580</v>
      </c>
      <c r="C43" s="25" t="n">
        <v>11.91</v>
      </c>
      <c r="D43" s="8" t="s">
        <v>553</v>
      </c>
      <c r="E43" s="8" t="s">
        <v>581</v>
      </c>
      <c r="F43" s="8" t="s">
        <v>33</v>
      </c>
    </row>
    <row r="44" customFormat="false" ht="17.15" hidden="false" customHeight="false" outlineLevel="0" collapsed="false">
      <c r="A44" s="5" t="s">
        <v>582</v>
      </c>
      <c r="B44" s="20" t="n">
        <f aca="false">MEDIAN(C39:C43)</f>
        <v>5.07254335260116</v>
      </c>
    </row>
    <row r="45" customFormat="false" ht="17.15" hidden="false" customHeight="false" outlineLevel="0" collapsed="false">
      <c r="A45" s="0" t="s">
        <v>583</v>
      </c>
      <c r="B45" s="17" t="n">
        <f aca="false">B44*B35</f>
        <v>15442.8880029979</v>
      </c>
      <c r="E45" s="5" t="s">
        <v>584</v>
      </c>
    </row>
    <row r="47" customFormat="false" ht="17.15" hidden="false" customHeight="false" outlineLevel="0" collapsed="false">
      <c r="A47" s="1" t="s">
        <v>585</v>
      </c>
    </row>
    <row r="48" customFormat="false" ht="15" hidden="false" customHeight="false" outlineLevel="0" collapsed="false">
      <c r="A48" s="6" t="s">
        <v>16</v>
      </c>
      <c r="B48" s="6" t="s">
        <v>586</v>
      </c>
      <c r="C48" s="12"/>
      <c r="D48" s="12"/>
      <c r="E48" s="6" t="s">
        <v>330</v>
      </c>
    </row>
    <row r="49" customFormat="false" ht="17.15" hidden="false" customHeight="false" outlineLevel="0" collapsed="false">
      <c r="A49" s="5" t="s">
        <v>587</v>
      </c>
      <c r="B49" s="24" t="n">
        <f aca="false">tp_w_dcf*B24+(1-tp_w_dcf)*tp_comp_adj</f>
        <v>20499.9582160657</v>
      </c>
      <c r="E49" s="8" t="s">
        <v>588</v>
      </c>
    </row>
    <row r="50" customFormat="false" ht="17.15" hidden="false" customHeight="false" outlineLevel="0" collapsed="false">
      <c r="A50" s="0" t="s">
        <v>589</v>
      </c>
      <c r="B50" s="17" t="n">
        <f aca="false">B34</f>
        <v>18947.6982567504</v>
      </c>
      <c r="E50" s="5" t="s">
        <v>590</v>
      </c>
    </row>
    <row r="51" customFormat="false" ht="17.15" hidden="false" customHeight="false" outlineLevel="0" collapsed="false">
      <c r="A51" s="5" t="s">
        <v>591</v>
      </c>
      <c r="B51" s="17" t="n">
        <f aca="false">cons_tp</f>
        <v>36929.23</v>
      </c>
      <c r="E51" s="8" t="s">
        <v>592</v>
      </c>
    </row>
    <row r="52" customFormat="false" ht="17.15" hidden="false" customHeight="false" outlineLevel="0" collapsed="false">
      <c r="A52" s="5" t="s">
        <v>593</v>
      </c>
      <c r="B52" s="14" t="n">
        <f aca="false">B49/px-1</f>
        <v>0.607209581816202</v>
      </c>
      <c r="E52" s="5" t="s">
        <v>594</v>
      </c>
    </row>
    <row r="53" customFormat="false" ht="17.15" hidden="false" customHeight="false" outlineLevel="0" collapsed="false">
      <c r="A53" s="5" t="s">
        <v>595</v>
      </c>
      <c r="B53" s="14" t="n">
        <f aca="false">B50/px-1</f>
        <v>0.485511427420649</v>
      </c>
    </row>
    <row r="54" customFormat="false" ht="17.15" hidden="false" customHeight="false" outlineLevel="0" collapsed="false">
      <c r="A54" s="5" t="s">
        <v>596</v>
      </c>
      <c r="B54" s="26" t="str">
        <f aca="false">IF(B52&gt;0.5,"大於 50%",IF(B52&gt;0.25,"25%–50%",IF(B52&gt;=0,"0%–25%",IF(B52&gt;=-0.25,"0%～−25%",IF(B52&gt;=-0.5,"−25%～−50%","小於 −50%")))))</f>
        <v>大於 50%</v>
      </c>
      <c r="E54" s="5" t="s">
        <v>597</v>
      </c>
    </row>
    <row r="55" customFormat="false" ht="17.15" hidden="false" customHeight="false" outlineLevel="0" collapsed="false">
      <c r="A55" s="5" t="s">
        <v>598</v>
      </c>
      <c r="B55" s="26" t="str">
        <f aca="false">IF(B52&gt;0.5,"強力買進",IF(B52&gt;0.25,"買進",IF(B52&gt;=-0.25,"中立",IF(B52&gt;=-0.5,"放空","強力放空"))))</f>
        <v>強力買進</v>
      </c>
      <c r="E55" s="5" t="s">
        <v>599</v>
      </c>
    </row>
    <row r="56" customFormat="false" ht="17.15" hidden="false" customHeight="false" outlineLevel="0" collapsed="false">
      <c r="A56" s="0" t="s">
        <v>600</v>
      </c>
      <c r="B56" s="27" t="n">
        <f aca="false">B23/px</f>
        <v>3.25788661540781</v>
      </c>
      <c r="C56" s="27" t="n">
        <f aca="false">C23/px</f>
        <v>1.25388708522908</v>
      </c>
      <c r="D56" s="27" t="n">
        <f aca="false">D23/px</f>
        <v>0.622991044874337</v>
      </c>
      <c r="E56" s="5" t="s">
        <v>601</v>
      </c>
    </row>
    <row r="57" customFormat="false" ht="17.15" hidden="false" customHeight="false" outlineLevel="0" collapsed="false">
      <c r="A57" s="5" t="s">
        <v>602</v>
      </c>
      <c r="B57" s="14" t="n">
        <f aca="false">B33/(0.25*cons_bv27+0.75*cons_bv28)-1</f>
        <v>-0.173301166692938</v>
      </c>
      <c r="E57" s="5" t="s">
        <v>603</v>
      </c>
    </row>
    <row r="58" customFormat="false" ht="17.15" hidden="false" customHeight="false" outlineLevel="0" collapsed="false">
      <c r="A58" s="5" t="s">
        <v>604</v>
      </c>
      <c r="B58" s="14" t="n">
        <f aca="false">B35/(5/12*cons_eps27+7/12*cons_eps28)-1</f>
        <v>-0.416631202443622</v>
      </c>
      <c r="E58" s="5" t="s">
        <v>605</v>
      </c>
    </row>
    <row r="59" customFormat="false" ht="17.15" hidden="false" customHeight="false" outlineLevel="0" collapsed="false">
      <c r="A59" s="5" t="s">
        <v>606</v>
      </c>
      <c r="B59" s="14" t="n">
        <f aca="false">(cons_tp/(0.25*cons_bv27+0.75*cons_bv28))/B32-1</f>
        <v>0.611243273047778</v>
      </c>
      <c r="E59" s="0" t="str">
        <f aca="false">"共識目標價隱含 P/B "&amp;TEXT(cons_tp/(0.25*cons_bv27+0.75*cons_bv28),"0.00")&amp;"x（÷ 共識約 2028 年底每股淨值），同業中位數 "&amp;TEXT(B32,"0.00")&amp;"x"</f>
        <v>共識目標價隱含 P/B 3.39x（÷ 共識約 2028 年底每股淨值），同業中位數 2.10x</v>
      </c>
    </row>
    <row r="60" customFormat="false" ht="17.15" hidden="false" customHeight="false" outlineLevel="0" collapsed="false">
      <c r="A60" s="5" t="s">
        <v>607</v>
      </c>
      <c r="B60" s="26" t="str">
        <f aca="false">TEXT(D23,"#,##0")&amp;"～"&amp;TEXT(B23,"#,##0")</f>
        <v>7,946～41,554</v>
      </c>
      <c r="E60" s="8" t="s">
        <v>608</v>
      </c>
    </row>
    <row r="61" customFormat="false" ht="17.15" hidden="false" customHeight="false" outlineLevel="0" collapsed="false">
      <c r="A61" s="5" t="s">
        <v>609</v>
      </c>
      <c r="B61" s="21" t="n">
        <f aca="false">IF(px/PL!F15&gt;=MAX($B$95:$B$104),1,IF(px/PL!F15&lt;=MIN($B$95:$B$104),0,PERCENTRANK($B$95:$B$104,px/PL!F15)))</f>
        <v>0</v>
      </c>
      <c r="C61" s="21" t="n">
        <f aca="false">IF(px/PL!F29&gt;=MAX($B$95:$B$104),1,IF(px/PL!F29&lt;=MIN($B$95:$B$104),0,PERCENTRANK($B$95:$B$104,px/PL!F29)))</f>
        <v>0.386</v>
      </c>
      <c r="D61" s="21" t="n">
        <f aca="false">IF(px/PL!F43&gt;=MAX($B$95:$B$104),1,IF(px/PL!F43&lt;=MIN($B$95:$B$104),0,PERCENTRANK($B$95:$B$104,px/PL!F43)))</f>
        <v>0.437</v>
      </c>
      <c r="E61" s="5" t="s">
        <v>610</v>
      </c>
    </row>
    <row r="62" customFormat="false" ht="17.15" hidden="false" customHeight="false" outlineLevel="0" collapsed="false">
      <c r="A62" s="5" t="s">
        <v>611</v>
      </c>
      <c r="B62" s="0" t="s">
        <v>612</v>
      </c>
    </row>
    <row r="80" customFormat="false" ht="17.15" hidden="false" customHeight="false" outlineLevel="0" collapsed="false">
      <c r="A80" s="1" t="s">
        <v>613</v>
      </c>
    </row>
    <row r="81" customFormat="false" ht="17.15" hidden="false" customHeight="false" outlineLevel="0" collapsed="false">
      <c r="A81" s="6" t="s">
        <v>16</v>
      </c>
      <c r="B81" s="12" t="s">
        <v>614</v>
      </c>
      <c r="C81" s="12" t="s">
        <v>615</v>
      </c>
      <c r="D81" s="12" t="s">
        <v>616</v>
      </c>
      <c r="E81" s="6" t="s">
        <v>617</v>
      </c>
    </row>
    <row r="82" customFormat="false" ht="17.15" hidden="false" customHeight="false" outlineLevel="0" collapsed="false">
      <c r="A82" s="5" t="s">
        <v>618</v>
      </c>
      <c r="B82" s="17" t="n">
        <f aca="false">px</f>
        <v>12755</v>
      </c>
      <c r="E82" s="8" t="s">
        <v>619</v>
      </c>
    </row>
    <row r="83" customFormat="false" ht="17.15" hidden="false" customHeight="false" outlineLevel="0" collapsed="false">
      <c r="A83" s="0" t="s">
        <v>620</v>
      </c>
      <c r="B83" s="28" t="n">
        <f aca="false">px/a25_eps</f>
        <v>37.3608670181605</v>
      </c>
      <c r="E83" s="5" t="s">
        <v>621</v>
      </c>
    </row>
    <row r="84" customFormat="false" ht="17.15" hidden="false" customHeight="false" outlineLevel="0" collapsed="false">
      <c r="A84" s="0" t="s">
        <v>622</v>
      </c>
      <c r="B84" s="20" t="n">
        <f aca="false">px/(eq_j/sh0*1000)</f>
        <v>8.72178185878218</v>
      </c>
      <c r="E84" s="5" t="s">
        <v>623</v>
      </c>
    </row>
    <row r="85" customFormat="false" ht="17.15" hidden="false" customHeight="false" outlineLevel="0" collapsed="false">
      <c r="A85" s="5" t="s">
        <v>624</v>
      </c>
      <c r="B85" s="28" t="n">
        <f aca="false">px/PL!E14</f>
        <v>2.69439122680439</v>
      </c>
      <c r="C85" s="28" t="n">
        <f aca="false">px/PL!E28</f>
        <v>3.29752030988523</v>
      </c>
      <c r="D85" s="28" t="n">
        <f aca="false">px/PL!E42</f>
        <v>3.46346061487455</v>
      </c>
      <c r="E85" s="8" t="s">
        <v>625</v>
      </c>
    </row>
    <row r="86" customFormat="false" ht="17.15" hidden="false" customHeight="false" outlineLevel="0" collapsed="false">
      <c r="A86" s="5" t="s">
        <v>626</v>
      </c>
      <c r="B86" s="28" t="n">
        <f aca="false">px/PL!F14</f>
        <v>2.49268347013538</v>
      </c>
      <c r="C86" s="28" t="n">
        <f aca="false">px/PL!F28</f>
        <v>9.74322546591789</v>
      </c>
      <c r="D86" s="28" t="n">
        <f aca="false">px/PL!F42</f>
        <v>23.7587166360319</v>
      </c>
      <c r="E86" s="8" t="s">
        <v>625</v>
      </c>
    </row>
    <row r="87" customFormat="false" ht="17.15" hidden="false" customHeight="false" outlineLevel="0" collapsed="false">
      <c r="A87" s="5" t="s">
        <v>627</v>
      </c>
      <c r="B87" s="20" t="n">
        <f aca="false">px/PL!F15</f>
        <v>1.00023558178549</v>
      </c>
      <c r="C87" s="20" t="n">
        <f aca="false">px/PL!F29</f>
        <v>1.51358261251692</v>
      </c>
      <c r="D87" s="20" t="n">
        <f aca="false">px/PL!F43</f>
        <v>1.69247471437571</v>
      </c>
      <c r="E87" s="8" t="s">
        <v>628</v>
      </c>
    </row>
    <row r="90" customFormat="false" ht="17.15" hidden="false" customHeight="false" outlineLevel="0" collapsed="false">
      <c r="A90" s="1" t="s">
        <v>629</v>
      </c>
    </row>
    <row r="91" customFormat="false" ht="17.15" hidden="false" customHeight="false" outlineLevel="0" collapsed="false">
      <c r="A91" s="5" t="s">
        <v>630</v>
      </c>
    </row>
    <row r="93" customFormat="false" ht="17.15" hidden="false" customHeight="false" outlineLevel="0" collapsed="false">
      <c r="A93" s="1" t="s">
        <v>631</v>
      </c>
    </row>
    <row r="94" customFormat="false" ht="17.15" hidden="false" customHeight="false" outlineLevel="0" collapsed="false">
      <c r="A94" s="6" t="s">
        <v>632</v>
      </c>
      <c r="B94" s="6" t="s">
        <v>633</v>
      </c>
      <c r="C94" s="6" t="s">
        <v>634</v>
      </c>
    </row>
    <row r="95" customFormat="false" ht="17.15" hidden="false" customHeight="false" outlineLevel="0" collapsed="false">
      <c r="A95" s="0" t="s">
        <v>635</v>
      </c>
      <c r="B95" s="25" t="n">
        <v>1.29</v>
      </c>
      <c r="C95" s="5" t="s">
        <v>636</v>
      </c>
    </row>
    <row r="96" customFormat="false" ht="17.15" hidden="false" customHeight="false" outlineLevel="0" collapsed="false">
      <c r="A96" s="0" t="s">
        <v>637</v>
      </c>
      <c r="B96" s="25" t="n">
        <v>1.78</v>
      </c>
      <c r="C96" s="5" t="s">
        <v>638</v>
      </c>
    </row>
    <row r="97" customFormat="false" ht="15" hidden="false" customHeight="false" outlineLevel="0" collapsed="false">
      <c r="A97" s="0" t="s">
        <v>639</v>
      </c>
      <c r="B97" s="25" t="n">
        <v>1.79</v>
      </c>
    </row>
    <row r="98" customFormat="false" ht="15" hidden="false" customHeight="false" outlineLevel="0" collapsed="false">
      <c r="A98" s="0" t="s">
        <v>640</v>
      </c>
      <c r="B98" s="25" t="n">
        <v>1.33</v>
      </c>
    </row>
    <row r="99" customFormat="false" ht="15" hidden="false" customHeight="false" outlineLevel="0" collapsed="false">
      <c r="A99" s="0" t="s">
        <v>641</v>
      </c>
      <c r="B99" s="25" t="n">
        <v>1.27</v>
      </c>
    </row>
    <row r="100" customFormat="false" ht="15" hidden="false" customHeight="false" outlineLevel="0" collapsed="false">
      <c r="A100" s="0" t="s">
        <v>642</v>
      </c>
      <c r="B100" s="25" t="n">
        <v>1.83</v>
      </c>
    </row>
    <row r="101" customFormat="false" ht="15" hidden="false" customHeight="false" outlineLevel="0" collapsed="false">
      <c r="A101" s="0" t="s">
        <v>643</v>
      </c>
      <c r="B101" s="25" t="n">
        <v>1.22</v>
      </c>
    </row>
    <row r="102" customFormat="false" ht="15" hidden="false" customHeight="false" outlineLevel="0" collapsed="false">
      <c r="A102" s="0" t="s">
        <v>644</v>
      </c>
      <c r="B102" s="25" t="n">
        <v>1.72</v>
      </c>
    </row>
    <row r="103" customFormat="false" ht="15" hidden="false" customHeight="false" outlineLevel="0" collapsed="false">
      <c r="A103" s="0" t="s">
        <v>645</v>
      </c>
      <c r="B103" s="25" t="n">
        <v>2.35</v>
      </c>
    </row>
    <row r="104" customFormat="false" ht="15" hidden="false" customHeight="false" outlineLevel="0" collapsed="false">
      <c r="A104" s="0" t="s">
        <v>646</v>
      </c>
      <c r="B104" s="25" t="n">
        <v>2.46</v>
      </c>
    </row>
    <row r="105" customFormat="false" ht="17.15" hidden="false" customHeight="false" outlineLevel="0" collapsed="false">
      <c r="A105" s="0" t="s">
        <v>647</v>
      </c>
      <c r="B105" s="20" t="n">
        <f aca="false">PERCENTILE(B95:B104,0.25)</f>
        <v>1.3</v>
      </c>
    </row>
    <row r="106" customFormat="false" ht="15" hidden="false" customHeight="false" outlineLevel="0" collapsed="false">
      <c r="A106" s="5" t="s">
        <v>648</v>
      </c>
      <c r="B106" s="20" t="n">
        <f aca="false">MEDIAN(B95:B104)</f>
        <v>1.75</v>
      </c>
    </row>
    <row r="107" customFormat="false" ht="17.15" hidden="false" customHeight="false" outlineLevel="0" collapsed="false">
      <c r="A107" s="0" t="s">
        <v>649</v>
      </c>
      <c r="B107" s="20" t="n">
        <f aca="false">PERCENTILE(B95:B104,0.75)</f>
        <v>1.82</v>
      </c>
    </row>
    <row r="108" customFormat="false" ht="15" hidden="false" customHeight="false" outlineLevel="0" collapsed="false">
      <c r="A108" s="5" t="s">
        <v>650</v>
      </c>
      <c r="B108" s="20" t="n">
        <f aca="false">MIN(B95:B104)</f>
        <v>1.22</v>
      </c>
    </row>
    <row r="109" customFormat="false" ht="15" hidden="false" customHeight="false" outlineLevel="0" collapsed="false">
      <c r="A109" s="5" t="s">
        <v>651</v>
      </c>
      <c r="B109" s="20" t="n">
        <f aca="false">MAX(B95:B104)</f>
        <v>2.46</v>
      </c>
    </row>
    <row r="110" customFormat="false" ht="17.15" hidden="false" customHeight="false" outlineLevel="0" collapsed="false">
      <c r="A110" s="3" t="s">
        <v>652</v>
      </c>
      <c r="B110" s="20" t="n">
        <f aca="false">ROUND(AVERAGE(B105),2)</f>
        <v>1.3</v>
      </c>
    </row>
    <row r="111" customFormat="false" ht="17.15" hidden="false" customHeight="false" outlineLevel="0" collapsed="false">
      <c r="A111" s="3" t="s">
        <v>653</v>
      </c>
      <c r="B111" s="20" t="n">
        <f aca="false">ROUND(AVERAGE(B106),2)</f>
        <v>1.75</v>
      </c>
    </row>
    <row r="112" customFormat="false" ht="17.15" hidden="false" customHeight="false" outlineLevel="0" collapsed="false">
      <c r="A112" s="3" t="s">
        <v>654</v>
      </c>
      <c r="B112" s="20" t="n">
        <f aca="false">ROUND(AVERAGE(B107),2)</f>
        <v>1.82</v>
      </c>
    </row>
    <row r="113" customFormat="false" ht="17.15" hidden="false" customHeight="false" outlineLevel="0" collapsed="false">
      <c r="A113" s="3" t="s">
        <v>655</v>
      </c>
      <c r="B113" s="20" t="n">
        <f aca="false">ROUND(MIN(B108),2)</f>
        <v>1.22</v>
      </c>
    </row>
    <row r="114" customFormat="false" ht="17.15" hidden="false" customHeight="false" outlineLevel="0" collapsed="false">
      <c r="A114" s="3" t="s">
        <v>656</v>
      </c>
      <c r="B114" s="20" t="n">
        <f aca="false">ROUND(MAX(B109),2)</f>
        <v>2.46</v>
      </c>
    </row>
    <row r="116" customFormat="false" ht="17.15" hidden="false" customHeight="false" outlineLevel="0" collapsed="false">
      <c r="A116" s="1" t="s">
        <v>657</v>
      </c>
    </row>
    <row r="117" customFormat="false" ht="17.15" hidden="false" customHeight="false" outlineLevel="0" collapsed="false">
      <c r="A117" s="6" t="s">
        <v>658</v>
      </c>
      <c r="B117" s="6" t="s">
        <v>659</v>
      </c>
      <c r="C117" s="6" t="s">
        <v>660</v>
      </c>
      <c r="D117" s="6" t="s">
        <v>19</v>
      </c>
      <c r="E117" s="6" t="s">
        <v>661</v>
      </c>
      <c r="F117" s="6" t="s">
        <v>662</v>
      </c>
      <c r="G117" s="6" t="s">
        <v>663</v>
      </c>
      <c r="H117" s="6" t="s">
        <v>664</v>
      </c>
    </row>
    <row r="118" customFormat="false" ht="17.15" hidden="false" customHeight="false" outlineLevel="0" collapsed="false">
      <c r="A118" s="5" t="s">
        <v>665</v>
      </c>
      <c r="B118" s="5" t="s">
        <v>666</v>
      </c>
      <c r="C118" s="20" t="n">
        <f aca="false">B110</f>
        <v>1.3</v>
      </c>
      <c r="D118" s="8" t="s">
        <v>667</v>
      </c>
      <c r="E118" s="17" t="n">
        <f aca="false">PL!E97</f>
        <v>7956.1349969918</v>
      </c>
      <c r="F118" s="13" t="n">
        <f aca="false">C118*E118</f>
        <v>10342.9754960893</v>
      </c>
      <c r="G118" s="14" t="n">
        <f aca="false">F118/px-1</f>
        <v>-0.189104233940467</v>
      </c>
      <c r="H118" s="20" t="n">
        <f aca="false">px/E118</f>
        <v>1.60316535664901</v>
      </c>
    </row>
    <row r="119" customFormat="false" ht="17.15" hidden="false" customHeight="false" outlineLevel="0" collapsed="false">
      <c r="A119" s="5" t="s">
        <v>668</v>
      </c>
      <c r="B119" s="5" t="s">
        <v>669</v>
      </c>
      <c r="C119" s="20" t="n">
        <f aca="false">B111</f>
        <v>1.75</v>
      </c>
      <c r="D119" s="8" t="s">
        <v>667</v>
      </c>
      <c r="E119" s="17" t="n">
        <f aca="false">PL!E97</f>
        <v>7956.1349969918</v>
      </c>
      <c r="F119" s="13" t="n">
        <f aca="false">C119*E119</f>
        <v>13923.2362447357</v>
      </c>
      <c r="G119" s="14" t="n">
        <f aca="false">F119/px-1</f>
        <v>0.0915904543109094</v>
      </c>
      <c r="H119" s="20" t="n">
        <f aca="false">px/E119</f>
        <v>1.60316535664901</v>
      </c>
    </row>
    <row r="120" customFormat="false" ht="17.15" hidden="false" customHeight="false" outlineLevel="0" collapsed="false">
      <c r="A120" s="5" t="s">
        <v>670</v>
      </c>
      <c r="B120" s="5" t="s">
        <v>671</v>
      </c>
      <c r="C120" s="20" t="n">
        <f aca="false">B112</f>
        <v>1.82</v>
      </c>
      <c r="D120" s="8" t="s">
        <v>672</v>
      </c>
      <c r="E120" s="17" t="n">
        <f aca="false">PL!F191</f>
        <v>7536.30166032043</v>
      </c>
      <c r="F120" s="13" t="n">
        <f aca="false">C120*E120</f>
        <v>13716.0690217832</v>
      </c>
      <c r="G120" s="14" t="n">
        <f aca="false">F120/px-1</f>
        <v>0.075348414095114</v>
      </c>
      <c r="H120" s="20" t="n">
        <f aca="false">px/E120</f>
        <v>1.69247471437571</v>
      </c>
    </row>
    <row r="123" customFormat="false" ht="17.15" hidden="false" customHeight="false" outlineLevel="0" collapsed="false">
      <c r="A123" s="1" t="s">
        <v>673</v>
      </c>
    </row>
    <row r="124" customFormat="false" ht="17.15" hidden="false" customHeight="false" outlineLevel="0" collapsed="false">
      <c r="A124" s="6" t="s">
        <v>632</v>
      </c>
      <c r="B124" s="6" t="s">
        <v>674</v>
      </c>
      <c r="C124" s="6" t="s">
        <v>634</v>
      </c>
    </row>
    <row r="125" customFormat="false" ht="17.15" hidden="false" customHeight="false" outlineLevel="0" collapsed="false">
      <c r="A125" s="0" t="s">
        <v>635</v>
      </c>
      <c r="C125" s="5" t="s">
        <v>675</v>
      </c>
    </row>
    <row r="126" customFormat="false" ht="17.15" hidden="false" customHeight="false" outlineLevel="0" collapsed="false">
      <c r="A126" s="0" t="s">
        <v>637</v>
      </c>
      <c r="B126" s="25" t="n">
        <v>6.51314207113382</v>
      </c>
      <c r="C126" s="5" t="s">
        <v>676</v>
      </c>
    </row>
    <row r="127" customFormat="false" ht="15" hidden="false" customHeight="false" outlineLevel="0" collapsed="false">
      <c r="A127" s="0" t="s">
        <v>639</v>
      </c>
      <c r="B127" s="25" t="n">
        <v>4.08958330385568</v>
      </c>
    </row>
    <row r="128" customFormat="false" ht="15" hidden="false" customHeight="false" outlineLevel="0" collapsed="false">
      <c r="A128" s="0" t="s">
        <v>640</v>
      </c>
      <c r="B128" s="25" t="n">
        <v>7.55927926500871</v>
      </c>
    </row>
    <row r="129" customFormat="false" ht="15" hidden="false" customHeight="false" outlineLevel="0" collapsed="false">
      <c r="A129" s="0" t="s">
        <v>641</v>
      </c>
      <c r="B129" s="25" t="n">
        <v>18.4313062895422</v>
      </c>
    </row>
    <row r="130" customFormat="false" ht="15" hidden="false" customHeight="false" outlineLevel="0" collapsed="false">
      <c r="A130" s="0" t="s">
        <v>642</v>
      </c>
      <c r="B130" s="25" t="n">
        <v>13.7173502815219</v>
      </c>
    </row>
    <row r="131" customFormat="false" ht="15" hidden="false" customHeight="false" outlineLevel="0" collapsed="false">
      <c r="A131" s="0" t="s">
        <v>643</v>
      </c>
      <c r="B131" s="25" t="n">
        <v>7.00892598135145</v>
      </c>
    </row>
    <row r="132" customFormat="false" ht="15" hidden="false" customHeight="false" outlineLevel="0" collapsed="false">
      <c r="A132" s="0" t="s">
        <v>644</v>
      </c>
    </row>
    <row r="133" customFormat="false" ht="15" hidden="false" customHeight="false" outlineLevel="0" collapsed="false">
      <c r="A133" s="0" t="s">
        <v>645</v>
      </c>
      <c r="B133" s="25" t="n">
        <v>136.321143958869</v>
      </c>
    </row>
    <row r="134" customFormat="false" ht="15" hidden="false" customHeight="false" outlineLevel="0" collapsed="false">
      <c r="A134" s="0" t="s">
        <v>646</v>
      </c>
      <c r="B134" s="25" t="n">
        <v>15.6043916149432</v>
      </c>
    </row>
    <row r="135" customFormat="false" ht="17.15" hidden="false" customHeight="false" outlineLevel="0" collapsed="false">
      <c r="A135" s="0" t="s">
        <v>647</v>
      </c>
      <c r="B135" s="20" t="n">
        <f aca="false">PERCENTILE(B125:B134,0.25)</f>
        <v>6.88498000379704</v>
      </c>
    </row>
    <row r="136" customFormat="false" ht="15" hidden="false" customHeight="false" outlineLevel="0" collapsed="false">
      <c r="A136" s="5" t="s">
        <v>648</v>
      </c>
      <c r="B136" s="20" t="n">
        <f aca="false">MEDIAN(B125:B134)</f>
        <v>10.6383147732653</v>
      </c>
    </row>
    <row r="137" customFormat="false" ht="17.15" hidden="false" customHeight="false" outlineLevel="0" collapsed="false">
      <c r="A137" s="0" t="s">
        <v>649</v>
      </c>
      <c r="B137" s="20" t="n">
        <f aca="false">PERCENTILE(B125:B134,0.75)</f>
        <v>16.311120283593</v>
      </c>
    </row>
    <row r="138" customFormat="false" ht="15" hidden="false" customHeight="false" outlineLevel="0" collapsed="false">
      <c r="A138" s="5" t="s">
        <v>650</v>
      </c>
      <c r="B138" s="20" t="n">
        <f aca="false">MIN(B125:B134)</f>
        <v>4.08958330385568</v>
      </c>
    </row>
    <row r="139" customFormat="false" ht="15" hidden="false" customHeight="false" outlineLevel="0" collapsed="false">
      <c r="A139" s="5" t="s">
        <v>651</v>
      </c>
      <c r="B139" s="20" t="n">
        <f aca="false">MAX(B125:B134)</f>
        <v>136.321143958869</v>
      </c>
    </row>
    <row r="140" customFormat="false" ht="17.15" hidden="false" customHeight="false" outlineLevel="0" collapsed="false">
      <c r="A140" s="3" t="s">
        <v>677</v>
      </c>
      <c r="B140" s="20" t="n">
        <f aca="false">ROUND(AVERAGE(B135),2)</f>
        <v>6.88</v>
      </c>
    </row>
    <row r="141" customFormat="false" ht="17.15" hidden="false" customHeight="false" outlineLevel="0" collapsed="false">
      <c r="A141" s="3" t="s">
        <v>678</v>
      </c>
      <c r="B141" s="20" t="n">
        <f aca="false">ROUND(AVERAGE(B136),2)</f>
        <v>10.64</v>
      </c>
    </row>
    <row r="142" customFormat="false" ht="17.15" hidden="false" customHeight="false" outlineLevel="0" collapsed="false">
      <c r="A142" s="3" t="s">
        <v>679</v>
      </c>
      <c r="B142" s="20" t="n">
        <f aca="false">ROUND(AVERAGE(B137),2)</f>
        <v>16.31</v>
      </c>
    </row>
    <row r="143" customFormat="false" ht="17.15" hidden="false" customHeight="false" outlineLevel="0" collapsed="false">
      <c r="A143" s="3" t="s">
        <v>680</v>
      </c>
      <c r="B143" s="20" t="n">
        <f aca="false">ROUND(MIN(B138),2)</f>
        <v>4.09</v>
      </c>
    </row>
    <row r="144" customFormat="false" ht="17.15" hidden="false" customHeight="false" outlineLevel="0" collapsed="false">
      <c r="A144" s="3" t="s">
        <v>681</v>
      </c>
      <c r="B144" s="20" t="n">
        <f aca="false">ROUND(MAX(B139),2)</f>
        <v>136.32</v>
      </c>
    </row>
    <row r="146" customFormat="false" ht="17.15" hidden="false" customHeight="false" outlineLevel="0" collapsed="false">
      <c r="A146" s="1" t="s">
        <v>682</v>
      </c>
    </row>
    <row r="147" customFormat="false" ht="17.15" hidden="false" customHeight="false" outlineLevel="0" collapsed="false">
      <c r="A147" s="6" t="s">
        <v>658</v>
      </c>
      <c r="B147" s="6" t="s">
        <v>659</v>
      </c>
      <c r="C147" s="6" t="s">
        <v>660</v>
      </c>
      <c r="D147" s="6" t="s">
        <v>19</v>
      </c>
      <c r="E147" s="6" t="s">
        <v>661</v>
      </c>
      <c r="F147" s="6" t="s">
        <v>662</v>
      </c>
      <c r="G147" s="6" t="s">
        <v>663</v>
      </c>
      <c r="H147" s="6" t="s">
        <v>664</v>
      </c>
    </row>
    <row r="148" customFormat="false" ht="17.15" hidden="false" customHeight="false" outlineLevel="0" collapsed="false">
      <c r="A148" s="5" t="s">
        <v>683</v>
      </c>
      <c r="B148" s="5" t="s">
        <v>666</v>
      </c>
      <c r="C148" s="20" t="n">
        <f aca="false">B140</f>
        <v>6.88</v>
      </c>
      <c r="D148" s="8" t="s">
        <v>684</v>
      </c>
      <c r="E148" s="17" t="n">
        <f aca="false">PL!E96</f>
        <v>4733.90793182165</v>
      </c>
      <c r="F148" s="13" t="n">
        <f aca="false">C148*E148</f>
        <v>32569.286570933</v>
      </c>
      <c r="G148" s="14" t="n">
        <f aca="false">F148/px-1</f>
        <v>1.5534524947811</v>
      </c>
      <c r="H148" s="20" t="n">
        <f aca="false">px/E148</f>
        <v>2.69439122680439</v>
      </c>
    </row>
    <row r="149" customFormat="false" ht="17.15" hidden="false" customHeight="false" outlineLevel="0" collapsed="false">
      <c r="A149" s="5" t="s">
        <v>685</v>
      </c>
      <c r="B149" s="5" t="s">
        <v>669</v>
      </c>
      <c r="C149" s="20" t="n">
        <f aca="false">B141</f>
        <v>10.64</v>
      </c>
      <c r="D149" s="8" t="s">
        <v>684</v>
      </c>
      <c r="E149" s="17" t="n">
        <f aca="false">PL!E96</f>
        <v>4733.90793182165</v>
      </c>
      <c r="F149" s="13" t="n">
        <f aca="false">C149*E149</f>
        <v>50368.7803945824</v>
      </c>
      <c r="G149" s="14" t="n">
        <f aca="false">F149/px-1</f>
        <v>2.94894397448706</v>
      </c>
      <c r="H149" s="20" t="n">
        <f aca="false">px/E149</f>
        <v>2.69439122680439</v>
      </c>
    </row>
    <row r="150" customFormat="false" ht="17.15" hidden="false" customHeight="false" outlineLevel="0" collapsed="false">
      <c r="A150" s="5" t="s">
        <v>686</v>
      </c>
      <c r="B150" s="5" t="s">
        <v>671</v>
      </c>
      <c r="C150" s="20" t="n">
        <f aca="false">B142</f>
        <v>16.31</v>
      </c>
      <c r="D150" s="8" t="s">
        <v>687</v>
      </c>
      <c r="E150" s="17" t="n">
        <f aca="false">PL!F190</f>
        <v>536.855596848867</v>
      </c>
      <c r="F150" s="13" t="n">
        <f aca="false">C150*E150</f>
        <v>8756.11478460503</v>
      </c>
      <c r="G150" s="14" t="n">
        <f aca="false">F150/px-1</f>
        <v>-0.313515109007838</v>
      </c>
      <c r="H150" s="20" t="n">
        <f aca="false">px/E150</f>
        <v>23.7587166360319</v>
      </c>
    </row>
    <row r="153" customFormat="false" ht="15" hidden="false" customHeight="false" outlineLevel="0" collapsed="false">
      <c r="A153" s="3" t="s">
        <v>688</v>
      </c>
    </row>
    <row r="154" customFormat="false" ht="15" hidden="false" customHeight="false" outlineLevel="0" collapsed="false">
      <c r="A154" s="6" t="s">
        <v>16</v>
      </c>
      <c r="B154" s="6" t="s">
        <v>586</v>
      </c>
      <c r="C154" s="12"/>
      <c r="D154" s="12"/>
      <c r="E154" s="6" t="s">
        <v>330</v>
      </c>
    </row>
    <row r="155" customFormat="false" ht="17.15" hidden="false" customHeight="false" outlineLevel="0" collapsed="false">
      <c r="A155" s="5" t="s">
        <v>689</v>
      </c>
      <c r="B155" s="17" t="n">
        <f aca="false">tp_wA*B157+tp_wB*B158+tp_wC*B159</f>
        <v>12481.1804412046</v>
      </c>
      <c r="E155" s="5" t="s">
        <v>690</v>
      </c>
    </row>
    <row r="156" customFormat="false" ht="17.15" hidden="false" customHeight="false" outlineLevel="0" collapsed="false">
      <c r="A156" s="5" t="s">
        <v>691</v>
      </c>
      <c r="B156" s="14" t="n">
        <f aca="false">B155/px-1</f>
        <v>-0.0214676251505628</v>
      </c>
    </row>
    <row r="157" customFormat="false" ht="17.15" hidden="false" customHeight="false" outlineLevel="0" collapsed="false">
      <c r="A157" s="5" t="s">
        <v>692</v>
      </c>
      <c r="B157" s="17" t="n">
        <f aca="false">B112*PL!E15</f>
        <v>14480.1656945251</v>
      </c>
    </row>
    <row r="158" customFormat="false" ht="17.15" hidden="false" customHeight="false" outlineLevel="0" collapsed="false">
      <c r="A158" s="5" t="s">
        <v>693</v>
      </c>
      <c r="B158" s="17" t="n">
        <f aca="false">B111*PL!E29</f>
        <v>12616.9733993332</v>
      </c>
    </row>
    <row r="159" customFormat="false" ht="17.15" hidden="false" customHeight="false" outlineLevel="0" collapsed="false">
      <c r="A159" s="5" t="s">
        <v>694</v>
      </c>
      <c r="B159" s="17" t="n">
        <f aca="false">B110*PL!E43</f>
        <v>9143.22016590224</v>
      </c>
    </row>
    <row r="160" customFormat="false" ht="17.15" hidden="false" customHeight="false" outlineLevel="0" collapsed="false">
      <c r="A160" s="5" t="s">
        <v>695</v>
      </c>
      <c r="B160" s="5" t="s">
        <v>696</v>
      </c>
    </row>
    <row r="163" customFormat="false" ht="17.15" hidden="false" customHeight="false" outlineLevel="0" collapsed="false">
      <c r="A163" s="1" t="s">
        <v>697</v>
      </c>
    </row>
    <row r="164" customFormat="false" ht="17.15" hidden="false" customHeight="false" outlineLevel="0" collapsed="false">
      <c r="A164" s="5" t="s">
        <v>698</v>
      </c>
    </row>
    <row r="165" customFormat="false" ht="17.15" hidden="false" customHeight="false" outlineLevel="0" collapsed="false">
      <c r="A165" s="6" t="s">
        <v>699</v>
      </c>
      <c r="B165" s="6" t="s">
        <v>548</v>
      </c>
      <c r="C165" s="6" t="s">
        <v>700</v>
      </c>
      <c r="D165" s="12" t="s">
        <v>701</v>
      </c>
      <c r="E165" s="12" t="s">
        <v>702</v>
      </c>
      <c r="F165" s="12" t="s">
        <v>703</v>
      </c>
      <c r="G165" s="12" t="s">
        <v>704</v>
      </c>
      <c r="H165" s="12" t="s">
        <v>705</v>
      </c>
      <c r="I165" s="12" t="s">
        <v>706</v>
      </c>
      <c r="J165" s="12" t="s">
        <v>707</v>
      </c>
      <c r="K165" s="12" t="s">
        <v>708</v>
      </c>
      <c r="L165" s="12" t="s">
        <v>709</v>
      </c>
      <c r="M165" s="12" t="s">
        <v>710</v>
      </c>
      <c r="N165" s="6" t="s">
        <v>711</v>
      </c>
      <c r="O165" s="12" t="s">
        <v>712</v>
      </c>
      <c r="P165" s="6" t="s">
        <v>713</v>
      </c>
      <c r="Q165" s="6" t="s">
        <v>353</v>
      </c>
    </row>
    <row r="166" customFormat="false" ht="17.15" hidden="false" customHeight="false" outlineLevel="0" collapsed="false">
      <c r="A166" s="0" t="s">
        <v>714</v>
      </c>
      <c r="B166" s="0" t="s">
        <v>715</v>
      </c>
      <c r="C166" s="5" t="s">
        <v>716</v>
      </c>
      <c r="L166" s="25" t="n">
        <v>1.494</v>
      </c>
      <c r="M166" s="25" t="n">
        <v>3.9425</v>
      </c>
      <c r="N166" s="8" t="n">
        <f aca="false">COUNT(D166:M166)</f>
        <v>2</v>
      </c>
      <c r="O166" s="20" t="n">
        <f aca="false">IF(N166&gt;0,MEDIAN(D166:M166),"")</f>
        <v>2.71825</v>
      </c>
      <c r="P166" s="20" t="str">
        <f aca="false">IF(N166&gt;=7,O166,"")</f>
        <v/>
      </c>
      <c r="Q166" s="8" t="s">
        <v>717</v>
      </c>
    </row>
    <row r="167" customFormat="false" ht="17.15" hidden="false" customHeight="false" outlineLevel="0" collapsed="false">
      <c r="A167" s="5" t="s">
        <v>551</v>
      </c>
      <c r="B167" s="0" t="s">
        <v>552</v>
      </c>
      <c r="C167" s="5" t="s">
        <v>718</v>
      </c>
      <c r="D167" s="25" t="n">
        <v>1.584</v>
      </c>
      <c r="E167" s="25" t="n">
        <v>1.503</v>
      </c>
      <c r="F167" s="25" t="n">
        <v>1.2295</v>
      </c>
      <c r="G167" s="25" t="n">
        <v>1.3335</v>
      </c>
      <c r="H167" s="25" t="n">
        <v>1.802</v>
      </c>
      <c r="I167" s="25" t="n">
        <v>1.306</v>
      </c>
      <c r="J167" s="25" t="n">
        <v>1.656</v>
      </c>
      <c r="K167" s="25" t="n">
        <v>2.1515</v>
      </c>
      <c r="L167" s="25" t="n">
        <v>1.898</v>
      </c>
      <c r="M167" s="25" t="n">
        <v>3.5655</v>
      </c>
      <c r="N167" s="8" t="n">
        <f aca="false">COUNT(D167:M167)</f>
        <v>10</v>
      </c>
      <c r="O167" s="20" t="n">
        <f aca="false">IF(N167&gt;0,MEDIAN(D167:M167),"")</f>
        <v>1.62</v>
      </c>
      <c r="P167" s="20" t="n">
        <f aca="false">IF(N167&gt;=7,O167,"")</f>
        <v>1.62</v>
      </c>
      <c r="Q167" s="8" t="s">
        <v>719</v>
      </c>
    </row>
    <row r="168" customFormat="false" ht="17.15" hidden="false" customHeight="false" outlineLevel="0" collapsed="false">
      <c r="A168" s="0" t="s">
        <v>555</v>
      </c>
      <c r="B168" s="0" t="s">
        <v>556</v>
      </c>
      <c r="C168" s="5" t="s">
        <v>718</v>
      </c>
      <c r="D168" s="25" t="n">
        <v>1.213</v>
      </c>
      <c r="E168" s="25" t="n">
        <v>1.1395</v>
      </c>
      <c r="F168" s="25" t="n">
        <v>0.9995</v>
      </c>
      <c r="G168" s="25" t="n">
        <v>1.091</v>
      </c>
      <c r="H168" s="25" t="n">
        <v>1.373</v>
      </c>
      <c r="I168" s="25" t="n">
        <v>1.011</v>
      </c>
      <c r="J168" s="25" t="n">
        <v>1.2725</v>
      </c>
      <c r="K168" s="25" t="n">
        <v>1.6605</v>
      </c>
      <c r="L168" s="25" t="n">
        <v>1.3995</v>
      </c>
      <c r="M168" s="25" t="n">
        <v>2.3405</v>
      </c>
      <c r="N168" s="8" t="n">
        <f aca="false">COUNT(D168:M168)</f>
        <v>10</v>
      </c>
      <c r="O168" s="20" t="n">
        <f aca="false">IF(N168&gt;0,MEDIAN(D168:M168),"")</f>
        <v>1.24275</v>
      </c>
      <c r="P168" s="20" t="n">
        <f aca="false">IF(N168&gt;=7,O168,"")</f>
        <v>1.24275</v>
      </c>
      <c r="Q168" s="8" t="s">
        <v>720</v>
      </c>
    </row>
    <row r="169" customFormat="false" ht="17.15" hidden="false" customHeight="false" outlineLevel="0" collapsed="false">
      <c r="A169" s="5" t="s">
        <v>558</v>
      </c>
      <c r="B169" s="0" t="s">
        <v>559</v>
      </c>
      <c r="C169" s="5" t="s">
        <v>718</v>
      </c>
      <c r="D169" s="25" t="n">
        <v>1.4135</v>
      </c>
      <c r="E169" s="25" t="n">
        <v>1.2645</v>
      </c>
      <c r="F169" s="25" t="n">
        <v>1.152</v>
      </c>
      <c r="G169" s="25" t="n">
        <v>1.279</v>
      </c>
      <c r="H169" s="25" t="n">
        <v>1.7855</v>
      </c>
      <c r="I169" s="25" t="n">
        <v>1.3</v>
      </c>
      <c r="J169" s="25" t="n">
        <v>1.219</v>
      </c>
      <c r="K169" s="25" t="n">
        <v>1.303</v>
      </c>
      <c r="L169" s="25" t="n">
        <v>0.922</v>
      </c>
      <c r="M169" s="25" t="n">
        <v>1.8275</v>
      </c>
      <c r="N169" s="8" t="n">
        <f aca="false">COUNT(D169:M169)</f>
        <v>10</v>
      </c>
      <c r="O169" s="20" t="n">
        <f aca="false">IF(N169&gt;0,MEDIAN(D169:M169),"")</f>
        <v>1.2895</v>
      </c>
      <c r="P169" s="20" t="n">
        <f aca="false">IF(N169&gt;=7,O169,"")</f>
        <v>1.2895</v>
      </c>
      <c r="Q169" s="8" t="s">
        <v>721</v>
      </c>
    </row>
    <row r="170" customFormat="false" ht="17.15" hidden="false" customHeight="false" outlineLevel="0" collapsed="false">
      <c r="A170" s="0" t="s">
        <v>561</v>
      </c>
      <c r="B170" s="0" t="s">
        <v>562</v>
      </c>
      <c r="C170" s="5" t="s">
        <v>718</v>
      </c>
      <c r="L170" s="25" t="n">
        <v>0.683</v>
      </c>
      <c r="M170" s="25" t="n">
        <v>4.836</v>
      </c>
      <c r="N170" s="8" t="n">
        <f aca="false">COUNT(D170:M170)</f>
        <v>2</v>
      </c>
      <c r="O170" s="20" t="n">
        <f aca="false">IF(N170&gt;0,MEDIAN(D170:M170),"")</f>
        <v>2.7595</v>
      </c>
      <c r="P170" s="20" t="str">
        <f aca="false">IF(N170&gt;=7,O170,"")</f>
        <v/>
      </c>
      <c r="Q170" s="8" t="s">
        <v>722</v>
      </c>
    </row>
    <row r="171" customFormat="false" ht="17.15" hidden="false" customHeight="false" outlineLevel="0" collapsed="false">
      <c r="A171" s="0" t="s">
        <v>579</v>
      </c>
      <c r="B171" s="0" t="s">
        <v>580</v>
      </c>
      <c r="C171" s="5" t="s">
        <v>718</v>
      </c>
      <c r="D171" s="25" t="n">
        <v>1.428</v>
      </c>
      <c r="E171" s="25" t="n">
        <v>1.262</v>
      </c>
      <c r="F171" s="25" t="n">
        <v>1.0505</v>
      </c>
      <c r="G171" s="25" t="n">
        <v>0.972</v>
      </c>
      <c r="H171" s="25" t="n">
        <v>1.2345</v>
      </c>
      <c r="I171" s="25" t="n">
        <v>0.819</v>
      </c>
      <c r="J171" s="25" t="n">
        <v>0.879</v>
      </c>
      <c r="K171" s="25" t="n">
        <v>1.262</v>
      </c>
      <c r="L171" s="25" t="n">
        <v>2.691</v>
      </c>
      <c r="M171" s="25" t="n">
        <v>10.5885</v>
      </c>
      <c r="N171" s="8" t="n">
        <f aca="false">COUNT(D171:M171)</f>
        <v>10</v>
      </c>
      <c r="O171" s="20" t="n">
        <f aca="false">IF(N171&gt;0,MEDIAN(D171:M171),"")</f>
        <v>1.24825</v>
      </c>
      <c r="P171" s="20" t="n">
        <f aca="false">IF(N171&gt;=7,O171,"")</f>
        <v>1.24825</v>
      </c>
      <c r="Q171" s="8" t="s">
        <v>723</v>
      </c>
    </row>
    <row r="173" customFormat="false" ht="17.15" hidden="false" customHeight="false" outlineLevel="0" collapsed="false">
      <c r="A173" s="5" t="s">
        <v>724</v>
      </c>
      <c r="B173" s="20" t="str">
        <f aca="false">P166</f>
        <v/>
      </c>
      <c r="E173" s="5" t="s">
        <v>725</v>
      </c>
    </row>
    <row r="174" customFormat="false" ht="15" hidden="false" customHeight="false" outlineLevel="0" collapsed="false">
      <c r="A174" s="5" t="s">
        <v>726</v>
      </c>
      <c r="B174" s="29" t="n">
        <f aca="false">COUNT(P167:P171)</f>
        <v>4</v>
      </c>
    </row>
    <row r="175" customFormat="false" ht="17.15" hidden="false" customHeight="false" outlineLevel="0" collapsed="false">
      <c r="A175" s="5" t="s">
        <v>727</v>
      </c>
      <c r="B175" s="20" t="n">
        <f aca="false">IF(B174&gt;0,MEDIAN(P167:P171),"")</f>
        <v>1.268875</v>
      </c>
    </row>
    <row r="176" customFormat="false" ht="17.15" hidden="false" customHeight="false" outlineLevel="0" collapsed="false">
      <c r="A176" s="5" t="s">
        <v>728</v>
      </c>
      <c r="B176" s="20" t="str">
        <f aca="false">IF(AND(ISNUMBER(B173),B174&gt;=2),B173/B175,"")</f>
        <v/>
      </c>
      <c r="E176" s="5" t="s">
        <v>729</v>
      </c>
    </row>
    <row r="177" customFormat="false" ht="17.15" hidden="false" customHeight="false" outlineLevel="0" collapsed="false">
      <c r="A177" s="5" t="s">
        <v>730</v>
      </c>
      <c r="B177" s="25" t="n">
        <v>0.5</v>
      </c>
      <c r="E177" s="8" t="s">
        <v>731</v>
      </c>
    </row>
    <row r="178" customFormat="false" ht="17.15" hidden="false" customHeight="false" outlineLevel="0" collapsed="false">
      <c r="A178" s="5" t="s">
        <v>732</v>
      </c>
      <c r="B178" s="25" t="n">
        <v>2</v>
      </c>
      <c r="E178" s="8" t="s">
        <v>733</v>
      </c>
    </row>
    <row r="179" customFormat="false" ht="17.15" hidden="false" customHeight="false" outlineLevel="0" collapsed="false">
      <c r="A179" s="3" t="s">
        <v>734</v>
      </c>
      <c r="B179" s="30" t="n">
        <f aca="false">IF(ISNUMBER(B176),MIN(MAX(B176,B177),B178),1)</f>
        <v>1</v>
      </c>
      <c r="E179" s="5" t="s">
        <v>735</v>
      </c>
    </row>
    <row r="180" customFormat="false" ht="17.15" hidden="false" customHeight="false" outlineLevel="0" collapsed="false">
      <c r="A180" s="1" t="s">
        <v>736</v>
      </c>
      <c r="B180" s="24" t="n">
        <f aca="false">Val!$B$34*B179</f>
        <v>18947.6982567504</v>
      </c>
      <c r="E180" s="5" t="s">
        <v>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  <col collapsed="false" customWidth="true" hidden="false" outlineLevel="0" max="10" min="9" style="0" width="50"/>
  </cols>
  <sheetData>
    <row r="1" customFormat="false" ht="17.15" hidden="false" customHeight="false" outlineLevel="0" collapsed="false">
      <c r="A1" s="0" t="s">
        <v>738</v>
      </c>
    </row>
    <row r="3" customFormat="false" ht="17.15" hidden="false" customHeight="false" outlineLevel="0" collapsed="false">
      <c r="A3" s="6" t="s">
        <v>16</v>
      </c>
      <c r="B3" s="6" t="s">
        <v>739</v>
      </c>
      <c r="C3" s="6" t="s">
        <v>740</v>
      </c>
      <c r="D3" s="6" t="s">
        <v>741</v>
      </c>
      <c r="E3" s="6" t="s">
        <v>742</v>
      </c>
      <c r="F3" s="6" t="s">
        <v>743</v>
      </c>
      <c r="G3" s="6" t="s">
        <v>744</v>
      </c>
      <c r="H3" s="6" t="s">
        <v>745</v>
      </c>
      <c r="I3" s="6" t="s">
        <v>746</v>
      </c>
      <c r="J3" s="6" t="s">
        <v>330</v>
      </c>
    </row>
    <row r="4" customFormat="false" ht="17.15" hidden="false" customHeight="false" outlineLevel="0" collapsed="false">
      <c r="A4" s="1" t="s">
        <v>747</v>
      </c>
    </row>
    <row r="5" customFormat="false" ht="17.15" hidden="false" customHeight="false" outlineLevel="0" collapsed="false">
      <c r="A5" s="0" t="s">
        <v>748</v>
      </c>
      <c r="B5" s="17" t="n">
        <v>2337.6</v>
      </c>
      <c r="C5" s="17" t="n">
        <f aca="false">PL!C5</f>
        <v>2337.6</v>
      </c>
      <c r="D5" s="14" t="n">
        <f aca="false">C5/B5-1</f>
        <v>0</v>
      </c>
      <c r="E5" s="17" t="n">
        <f aca="false">PL!C19</f>
        <v>2337.6</v>
      </c>
      <c r="F5" s="14" t="n">
        <f aca="false">E5/B5-1</f>
        <v>0</v>
      </c>
      <c r="G5" s="17" t="n">
        <f aca="false">PL!C33</f>
        <v>2337.6</v>
      </c>
      <c r="H5" s="14" t="n">
        <f aca="false">G5/B5-1</f>
        <v>0</v>
      </c>
      <c r="I5" s="8" t="s">
        <v>749</v>
      </c>
    </row>
    <row r="6" customFormat="false" ht="17.15" hidden="false" customHeight="false" outlineLevel="0" collapsed="false">
      <c r="A6" s="0" t="s">
        <v>750</v>
      </c>
      <c r="B6" s="17" t="n">
        <v>4157.1</v>
      </c>
      <c r="C6" s="17" t="n">
        <f aca="false">PL!C60+PL!D60</f>
        <v>4247.1</v>
      </c>
      <c r="D6" s="14" t="n">
        <f aca="false">C6/B6-1</f>
        <v>0.0216497077289457</v>
      </c>
      <c r="E6" s="17" t="n">
        <f aca="false">PL!C107+PL!D107</f>
        <v>4247.1</v>
      </c>
      <c r="F6" s="14" t="n">
        <f aca="false">E6/B6-1</f>
        <v>0.0216497077289457</v>
      </c>
      <c r="G6" s="17" t="n">
        <f aca="false">PL!C154+PL!D154</f>
        <v>4247.1</v>
      </c>
      <c r="H6" s="14" t="n">
        <f aca="false">G6/B6-1</f>
        <v>0.0216497077289457</v>
      </c>
      <c r="I6" s="8" t="s">
        <v>751</v>
      </c>
      <c r="J6" s="5" t="s">
        <v>752</v>
      </c>
    </row>
    <row r="7" customFormat="false" ht="17.15" hidden="false" customHeight="false" outlineLevel="0" collapsed="false">
      <c r="A7" s="0" t="s">
        <v>753</v>
      </c>
      <c r="B7" s="17" t="n">
        <f aca="false">g3_rev</f>
        <v>2500</v>
      </c>
      <c r="C7" s="17" t="n">
        <f aca="false">PL!E60</f>
        <v>2671.01859994948</v>
      </c>
      <c r="D7" s="14" t="n">
        <f aca="false">C7/B7-1</f>
        <v>0.0684074399797909</v>
      </c>
      <c r="E7" s="17" t="n">
        <f aca="false">PL!E107</f>
        <v>2671.01859994948</v>
      </c>
      <c r="F7" s="14" t="n">
        <f aca="false">E7/B7-1</f>
        <v>0.0684074399797909</v>
      </c>
      <c r="G7" s="17" t="n">
        <f aca="false">PL!E154</f>
        <v>2671.01859994948</v>
      </c>
      <c r="H7" s="14" t="n">
        <f aca="false">G7/B7-1</f>
        <v>0.0684074399797909</v>
      </c>
      <c r="I7" s="8" t="s">
        <v>754</v>
      </c>
      <c r="J7" s="8" t="s">
        <v>755</v>
      </c>
    </row>
    <row r="8" customFormat="false" ht="17.15" hidden="false" customHeight="false" outlineLevel="0" collapsed="false">
      <c r="A8" s="0" t="s">
        <v>756</v>
      </c>
      <c r="B8" s="14" t="n">
        <f aca="false">q1_gp/q1_rev</f>
        <v>0.780997113915455</v>
      </c>
      <c r="C8" s="14" t="n">
        <f aca="false">PL!D69</f>
        <v>0.828104838709677</v>
      </c>
      <c r="D8" s="14" t="n">
        <f aca="false">C8-B8</f>
        <v>0.0471077247942228</v>
      </c>
      <c r="E8" s="14" t="n">
        <f aca="false">PL!D116</f>
        <v>0.828104838709677</v>
      </c>
      <c r="F8" s="14" t="n">
        <f aca="false">E8-B8</f>
        <v>0.0471077247942228</v>
      </c>
      <c r="G8" s="14" t="n">
        <f aca="false">PL!D163</f>
        <v>0.828104838709677</v>
      </c>
      <c r="H8" s="14" t="n">
        <f aca="false">G8-B8</f>
        <v>0.0471077247942228</v>
      </c>
      <c r="I8" s="8" t="s">
        <v>751</v>
      </c>
      <c r="J8" s="5" t="s">
        <v>757</v>
      </c>
    </row>
    <row r="9" customFormat="false" ht="17.15" hidden="false" customHeight="false" outlineLevel="0" collapsed="false">
      <c r="A9" s="1" t="s">
        <v>758</v>
      </c>
    </row>
    <row r="10" customFormat="false" ht="17.15" hidden="false" customHeight="false" outlineLevel="0" collapsed="false">
      <c r="A10" s="0" t="s">
        <v>759</v>
      </c>
      <c r="B10" s="17" t="n">
        <f aca="false">cons_rev26</f>
        <v>10071.4</v>
      </c>
      <c r="C10" s="17" t="n">
        <f aca="false">PL!D5</f>
        <v>9861.25414257431</v>
      </c>
      <c r="D10" s="14" t="n">
        <f aca="false">C10/B10-1</f>
        <v>-0.0208656053205802</v>
      </c>
      <c r="E10" s="17" t="n">
        <f aca="false">PL!D19</f>
        <v>9881.01788246575</v>
      </c>
      <c r="F10" s="14" t="n">
        <f aca="false">E10/B10-1</f>
        <v>-0.0189032426012523</v>
      </c>
      <c r="G10" s="17" t="n">
        <f aca="false">PL!D33</f>
        <v>9843.63335939362</v>
      </c>
      <c r="H10" s="14" t="n">
        <f aca="false">G10/B10-1</f>
        <v>-0.0226151915926667</v>
      </c>
      <c r="I10" s="8" t="s">
        <v>249</v>
      </c>
    </row>
    <row r="11" customFormat="false" ht="17.15" hidden="false" customHeight="false" outlineLevel="0" collapsed="false">
      <c r="A11" s="0" t="s">
        <v>760</v>
      </c>
      <c r="B11" s="17" t="n">
        <f aca="false">cons_ni26</f>
        <v>5573.9</v>
      </c>
      <c r="C11" s="17" t="n">
        <f aca="false">PL!D13</f>
        <v>5345.38359697976</v>
      </c>
      <c r="D11" s="14" t="n">
        <f aca="false">C11/B11-1</f>
        <v>-0.0409975785393063</v>
      </c>
      <c r="E11" s="17" t="n">
        <f aca="false">PL!D27</f>
        <v>5357.37621012714</v>
      </c>
      <c r="F11" s="14" t="n">
        <f aca="false">E11/B11-1</f>
        <v>-0.0388460126433666</v>
      </c>
      <c r="G11" s="17" t="n">
        <f aca="false">PL!D41</f>
        <v>5331.04367663842</v>
      </c>
      <c r="H11" s="14" t="n">
        <f aca="false">G11/B11-1</f>
        <v>-0.0435702691762649</v>
      </c>
      <c r="I11" s="8" t="s">
        <v>249</v>
      </c>
    </row>
    <row r="12" customFormat="false" ht="17.15" hidden="false" customHeight="false" outlineLevel="0" collapsed="false">
      <c r="A12" s="0" t="s">
        <v>761</v>
      </c>
      <c r="B12" s="17" t="n">
        <f aca="false">cons_eps26</f>
        <v>3486</v>
      </c>
      <c r="C12" s="17" t="n">
        <f aca="false">PL!D14</f>
        <v>3359.89398572193</v>
      </c>
      <c r="D12" s="14" t="n">
        <f aca="false">C12/B12-1</f>
        <v>-0.0361749897527446</v>
      </c>
      <c r="E12" s="17" t="n">
        <f aca="false">PL!D28</f>
        <v>3367.83013262514</v>
      </c>
      <c r="F12" s="14" t="n">
        <f aca="false">E12/B12-1</f>
        <v>-0.0338984129015666</v>
      </c>
      <c r="G12" s="17" t="n">
        <f aca="false">PL!D42</f>
        <v>3350.40696386792</v>
      </c>
      <c r="H12" s="14" t="n">
        <f aca="false">G12/B12-1</f>
        <v>-0.0388964532794267</v>
      </c>
      <c r="I12" s="8" t="s">
        <v>249</v>
      </c>
      <c r="J12" s="5" t="s">
        <v>762</v>
      </c>
    </row>
    <row r="13" customFormat="false" ht="17.15" hidden="false" customHeight="false" outlineLevel="0" collapsed="false">
      <c r="A13" s="0" t="s">
        <v>763</v>
      </c>
      <c r="B13" s="17" t="n">
        <f aca="false">cons_rev27</f>
        <v>13477.2</v>
      </c>
      <c r="C13" s="17" t="n">
        <f aca="false">PL!E5</f>
        <v>12399.7631810532</v>
      </c>
      <c r="D13" s="14" t="n">
        <f aca="false">C13/B13-1</f>
        <v>-0.0799451532177923</v>
      </c>
      <c r="E13" s="17" t="n">
        <f aca="false">PL!E19</f>
        <v>10595.374034981</v>
      </c>
      <c r="F13" s="14" t="n">
        <f aca="false">E13/B13-1</f>
        <v>-0.21382972464748</v>
      </c>
      <c r="G13" s="17" t="n">
        <f aca="false">PL!E33</f>
        <v>10189.2212281844</v>
      </c>
      <c r="H13" s="14" t="n">
        <f aca="false">G13/B13-1</f>
        <v>-0.24396601458876</v>
      </c>
      <c r="I13" s="8" t="s">
        <v>249</v>
      </c>
    </row>
    <row r="14" customFormat="false" ht="17.15" hidden="false" customHeight="false" outlineLevel="0" collapsed="false">
      <c r="A14" s="0" t="s">
        <v>764</v>
      </c>
      <c r="B14" s="17" t="n">
        <f aca="false">cons_eps27</f>
        <v>4871</v>
      </c>
      <c r="C14" s="17" t="n">
        <f aca="false">PL!E14</f>
        <v>4733.90793182165</v>
      </c>
      <c r="D14" s="14" t="n">
        <f aca="false">C14/B14-1</f>
        <v>-0.028144542840966</v>
      </c>
      <c r="E14" s="17" t="n">
        <f aca="false">PL!E28</f>
        <v>3868.05805615916</v>
      </c>
      <c r="F14" s="14" t="n">
        <f aca="false">E14/B14-1</f>
        <v>-0.20590062489034</v>
      </c>
      <c r="G14" s="17" t="n">
        <f aca="false">PL!E42</f>
        <v>3682.73279771712</v>
      </c>
      <c r="H14" s="14" t="n">
        <f aca="false">G14/B14-1</f>
        <v>-0.243947280288007</v>
      </c>
      <c r="I14" s="8" t="s">
        <v>249</v>
      </c>
    </row>
    <row r="15" customFormat="false" ht="17.15" hidden="false" customHeight="false" outlineLevel="0" collapsed="false">
      <c r="A15" s="0" t="s">
        <v>765</v>
      </c>
      <c r="B15" s="17" t="n">
        <f aca="false">cons_eps28</f>
        <v>5467</v>
      </c>
      <c r="C15" s="17" t="n">
        <f aca="false">PL!F14</f>
        <v>5116.97540133617</v>
      </c>
      <c r="D15" s="14" t="n">
        <f aca="false">C15/B15-1</f>
        <v>-0.0640249860369188</v>
      </c>
      <c r="E15" s="17" t="n">
        <f aca="false">PL!F28</f>
        <v>1309.11473255108</v>
      </c>
      <c r="F15" s="14" t="n">
        <f aca="false">E15/B15-1</f>
        <v>-0.760542393899564</v>
      </c>
      <c r="G15" s="17" t="n">
        <f aca="false">PL!F42</f>
        <v>536.855596848867</v>
      </c>
      <c r="H15" s="14" t="n">
        <f aca="false">G15/B15-1</f>
        <v>-0.90180069565596</v>
      </c>
      <c r="I15" s="8" t="s">
        <v>249</v>
      </c>
    </row>
    <row r="16" customFormat="false" ht="17.15" hidden="false" customHeight="false" outlineLevel="0" collapsed="false">
      <c r="A16" s="0" t="s">
        <v>766</v>
      </c>
      <c r="B16" s="17" t="n">
        <f aca="false">cons_bv27</f>
        <v>7808</v>
      </c>
      <c r="C16" s="17" t="n">
        <f aca="false">PL!E15</f>
        <v>7956.1349969918</v>
      </c>
      <c r="D16" s="14" t="n">
        <f aca="false">C16/B16-1</f>
        <v>0.0189722076065317</v>
      </c>
      <c r="E16" s="17" t="n">
        <f aca="false">PL!E29</f>
        <v>7209.69908533326</v>
      </c>
      <c r="F16" s="14" t="n">
        <f aca="false">E16/B16-1</f>
        <v>-0.0766266540300642</v>
      </c>
      <c r="G16" s="17" t="n">
        <f aca="false">PL!E43</f>
        <v>7033.24628146326</v>
      </c>
      <c r="H16" s="14" t="n">
        <f aca="false">G16/B16-1</f>
        <v>-0.0992256299355454</v>
      </c>
      <c r="I16" s="8" t="s">
        <v>249</v>
      </c>
    </row>
    <row r="17" customFormat="false" ht="17.15" hidden="false" customHeight="false" outlineLevel="0" collapsed="false">
      <c r="A17" s="1" t="s">
        <v>767</v>
      </c>
    </row>
    <row r="18" customFormat="false" ht="17.15" hidden="false" customHeight="false" outlineLevel="0" collapsed="false">
      <c r="A18" s="0" t="s">
        <v>768</v>
      </c>
      <c r="C18" s="31" t="n">
        <f aca="false">kx_k</f>
        <v>1.0302588619403</v>
      </c>
      <c r="I18" s="8" t="s">
        <v>769</v>
      </c>
    </row>
    <row r="19" customFormat="false" ht="17.15" hidden="false" customHeight="false" outlineLevel="0" collapsed="false">
      <c r="A19" s="0" t="s">
        <v>770</v>
      </c>
      <c r="C19" s="14" t="n">
        <v>0.245026657759283</v>
      </c>
      <c r="E19" s="14" t="n">
        <v>0.242026657759283</v>
      </c>
      <c r="G19" s="14" t="n">
        <v>0.239026657759283</v>
      </c>
      <c r="I19" s="8" t="s">
        <v>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9" min="3" style="0" width="14"/>
  </cols>
  <sheetData>
    <row r="1" customFormat="false" ht="17.15" hidden="false" customHeight="false" outlineLevel="0" collapsed="false">
      <c r="A1" s="0" t="s">
        <v>772</v>
      </c>
    </row>
    <row r="3" customFormat="false" ht="17.15" hidden="false" customHeight="false" outlineLevel="0" collapsed="false">
      <c r="A3" s="6" t="s">
        <v>773</v>
      </c>
      <c r="B3" s="6" t="s">
        <v>774</v>
      </c>
      <c r="C3" s="12" t="s">
        <v>775</v>
      </c>
      <c r="D3" s="12" t="s">
        <v>776</v>
      </c>
      <c r="E3" s="6" t="s">
        <v>777</v>
      </c>
      <c r="F3" s="12" t="s">
        <v>778</v>
      </c>
      <c r="G3" s="12" t="s">
        <v>779</v>
      </c>
      <c r="H3" s="6" t="s">
        <v>777</v>
      </c>
      <c r="I3" s="12" t="s">
        <v>780</v>
      </c>
    </row>
    <row r="4" customFormat="false" ht="17.15" hidden="false" customHeight="false" outlineLevel="0" collapsed="false">
      <c r="A4" s="5" t="s">
        <v>781</v>
      </c>
      <c r="B4" s="0" t="s">
        <v>782</v>
      </c>
      <c r="C4" s="17" t="n">
        <f aca="false">PL!E77</f>
        <v>12399.7631810532</v>
      </c>
      <c r="D4" s="17" t="n">
        <f aca="false">PL!E96</f>
        <v>4733.90793182165</v>
      </c>
      <c r="E4" s="14" t="n">
        <f aca="false">D4/D$4-1</f>
        <v>0</v>
      </c>
      <c r="F4" s="17" t="n">
        <f aca="false">PL!F77</f>
        <v>12509.9801209115</v>
      </c>
      <c r="G4" s="17" t="n">
        <f aca="false">PL!F96</f>
        <v>5116.97540133617</v>
      </c>
      <c r="H4" s="14" t="n">
        <f aca="false">G4/G$4-1</f>
        <v>0</v>
      </c>
      <c r="I4" s="14" t="n">
        <f aca="false">PL!E84</f>
        <v>0.85686965043755</v>
      </c>
    </row>
    <row r="5" customFormat="false" ht="17.15" hidden="false" customHeight="false" outlineLevel="0" collapsed="false">
      <c r="A5" s="5" t="s">
        <v>783</v>
      </c>
      <c r="B5" s="5" t="s">
        <v>784</v>
      </c>
      <c r="C5" s="17" t="n">
        <f aca="false">E81</f>
        <v>9919.81054484254</v>
      </c>
      <c r="D5" s="17" t="n">
        <f aca="false">E100</f>
        <v>3515.23561576813</v>
      </c>
      <c r="E5" s="14" t="n">
        <f aca="false">D5/D$4-1</f>
        <v>-0.257434731221012</v>
      </c>
      <c r="F5" s="17" t="n">
        <f aca="false">F81</f>
        <v>10007.9840967292</v>
      </c>
      <c r="G5" s="17" t="n">
        <f aca="false">F100</f>
        <v>3708.08198244895</v>
      </c>
      <c r="H5" s="14" t="n">
        <f aca="false">G5/G$4-1</f>
        <v>-0.275337149074299</v>
      </c>
      <c r="I5" s="14" t="n">
        <f aca="false">E88</f>
        <v>0.821087063046938</v>
      </c>
    </row>
    <row r="6" customFormat="false" ht="17.15" hidden="false" customHeight="false" outlineLevel="0" collapsed="false">
      <c r="A6" s="5" t="s">
        <v>785</v>
      </c>
      <c r="B6" s="5" t="s">
        <v>786</v>
      </c>
      <c r="C6" s="17" t="n">
        <f aca="false">E131</f>
        <v>14879.7158172638</v>
      </c>
      <c r="D6" s="17" t="n">
        <f aca="false">E150</f>
        <v>6016.83221947123</v>
      </c>
      <c r="E6" s="14" t="n">
        <f aca="false">D6/D$4-1</f>
        <v>0.271007443770858</v>
      </c>
      <c r="F6" s="17" t="n">
        <f aca="false">F131</f>
        <v>15011.9761450938</v>
      </c>
      <c r="G6" s="17" t="n">
        <f aca="false">F150</f>
        <v>6665.01260390438</v>
      </c>
      <c r="H6" s="14" t="n">
        <f aca="false">G6/G$4-1</f>
        <v>0.302529733123983</v>
      </c>
      <c r="I6" s="14" t="n">
        <f aca="false">E138</f>
        <v>0.880724708697959</v>
      </c>
    </row>
    <row r="7" customFormat="false" ht="17.15" hidden="false" customHeight="false" outlineLevel="0" collapsed="false">
      <c r="A7" s="5" t="s">
        <v>787</v>
      </c>
      <c r="B7" s="5" t="s">
        <v>788</v>
      </c>
      <c r="C7" s="17" t="n">
        <f aca="false">E181</f>
        <v>11159.7868629479</v>
      </c>
      <c r="D7" s="17" t="n">
        <f aca="false">E200</f>
        <v>4116.84578009688</v>
      </c>
      <c r="E7" s="14" t="n">
        <f aca="false">D7/D$4-1</f>
        <v>-0.130349419678578</v>
      </c>
      <c r="F7" s="17" t="n">
        <f aca="false">F181</f>
        <v>11258.9821088204</v>
      </c>
      <c r="G7" s="17" t="n">
        <f aca="false">F200</f>
        <v>4396.33518468036</v>
      </c>
      <c r="H7" s="14" t="n">
        <f aca="false">G7/G$4-1</f>
        <v>-0.140833238414168</v>
      </c>
      <c r="I7" s="14" t="n">
        <f aca="false">E188</f>
        <v>0.840966278263945</v>
      </c>
    </row>
    <row r="8" customFormat="false" ht="17.15" hidden="false" customHeight="false" outlineLevel="0" collapsed="false">
      <c r="A8" s="5" t="s">
        <v>789</v>
      </c>
      <c r="B8" s="5" t="s">
        <v>790</v>
      </c>
      <c r="C8" s="17" t="n">
        <f aca="false">E231</f>
        <v>13639.7394991585</v>
      </c>
      <c r="D8" s="17" t="n">
        <f aca="false">E250</f>
        <v>5367.02512771588</v>
      </c>
      <c r="E8" s="14" t="n">
        <f aca="false">D8/D$4-1</f>
        <v>0.133740918710811</v>
      </c>
      <c r="F8" s="17" t="n">
        <f aca="false">F231</f>
        <v>13760.9781330027</v>
      </c>
      <c r="G8" s="17" t="n">
        <f aca="false">F250</f>
        <v>5872.34376084091</v>
      </c>
      <c r="H8" s="14" t="n">
        <f aca="false">G8/G$4-1</f>
        <v>0.147620088091004</v>
      </c>
      <c r="I8" s="14" t="n">
        <f aca="false">E238</f>
        <v>0.869881500397773</v>
      </c>
    </row>
    <row r="9" customFormat="false" ht="17.15" hidden="false" customHeight="false" outlineLevel="0" collapsed="false">
      <c r="A9" s="5" t="s">
        <v>791</v>
      </c>
      <c r="B9" s="0" t="s">
        <v>792</v>
      </c>
      <c r="C9" s="17" t="n">
        <f aca="false">E281</f>
        <v>11237.2853828294</v>
      </c>
      <c r="D9" s="17" t="n">
        <f aca="false">E300</f>
        <v>4154.95336617396</v>
      </c>
      <c r="E9" s="14" t="n">
        <f aca="false">D9/D$4-1</f>
        <v>-0.122299498424108</v>
      </c>
      <c r="F9" s="17" t="n">
        <f aca="false">F281</f>
        <v>11337.1694845761</v>
      </c>
      <c r="G9" s="17" t="n">
        <f aca="false">F300</f>
        <v>4440.40315187504</v>
      </c>
      <c r="H9" s="14" t="n">
        <f aca="false">G9/G$4-1</f>
        <v>-0.132221126035597</v>
      </c>
      <c r="I9" s="14" t="n">
        <f aca="false">E288</f>
        <v>0.84206306255178</v>
      </c>
    </row>
    <row r="10" customFormat="false" ht="17.15" hidden="false" customHeight="false" outlineLevel="0" collapsed="false">
      <c r="A10" s="5" t="s">
        <v>793</v>
      </c>
      <c r="B10" s="0" t="s">
        <v>794</v>
      </c>
      <c r="C10" s="17" t="n">
        <f aca="false">E331</f>
        <v>13174.748379869</v>
      </c>
      <c r="D10" s="17" t="n">
        <f aca="false">E350</f>
        <v>5127.68514790779</v>
      </c>
      <c r="E10" s="14" t="n">
        <f aca="false">D10/D$4-1</f>
        <v>0.0831822717630697</v>
      </c>
      <c r="F10" s="17" t="n">
        <f aca="false">F331</f>
        <v>13291.8538784685</v>
      </c>
      <c r="G10" s="17" t="n">
        <f aca="false">F350</f>
        <v>5584.85299975295</v>
      </c>
      <c r="H10" s="14" t="n">
        <f aca="false">G10/G$4-1</f>
        <v>0.0914363587314904</v>
      </c>
      <c r="I10" s="14" t="n">
        <f aca="false">E338</f>
        <v>0.865289082764753</v>
      </c>
    </row>
    <row r="11" customFormat="false" ht="17.15" hidden="false" customHeight="false" outlineLevel="0" collapsed="false">
      <c r="A11" s="5" t="s">
        <v>795</v>
      </c>
      <c r="B11" s="0" t="s">
        <v>153</v>
      </c>
      <c r="C11" s="17" t="n">
        <f aca="false">E381</f>
        <v>12399.7631810532</v>
      </c>
      <c r="D11" s="17" t="n">
        <f aca="false">E400</f>
        <v>4687.23506606559</v>
      </c>
      <c r="E11" s="14" t="n">
        <f aca="false">D11/D$4-1</f>
        <v>-0.00985926773994206</v>
      </c>
      <c r="F11" s="17" t="n">
        <f aca="false">F381</f>
        <v>12509.9801209115</v>
      </c>
      <c r="G11" s="17" t="n">
        <f aca="false">F400</f>
        <v>5009.33557573177</v>
      </c>
      <c r="H11" s="14" t="n">
        <f aca="false">G11/G$4-1</f>
        <v>-0.0210358301852093</v>
      </c>
      <c r="I11" s="14" t="n">
        <f aca="false">E388</f>
        <v>0.849307932821285</v>
      </c>
    </row>
    <row r="12" customFormat="false" ht="17.15" hidden="false" customHeight="false" outlineLevel="0" collapsed="false">
      <c r="A12" s="5" t="s">
        <v>796</v>
      </c>
      <c r="B12" s="0" t="s">
        <v>797</v>
      </c>
      <c r="C12" s="17" t="n">
        <f aca="false">E431</f>
        <v>12399.7631810532</v>
      </c>
      <c r="D12" s="17" t="n">
        <f aca="false">E450</f>
        <v>4780.24055126723</v>
      </c>
      <c r="E12" s="14" t="n">
        <f aca="false">D12/D$4-1</f>
        <v>0.00978739344171187</v>
      </c>
      <c r="F12" s="17" t="n">
        <f aca="false">F431</f>
        <v>12509.9801209115</v>
      </c>
      <c r="G12" s="17" t="n">
        <f aca="false">F450</f>
        <v>5219.62766569685</v>
      </c>
      <c r="H12" s="14" t="n">
        <f aca="false">G12/G$4-1</f>
        <v>0.0200611213284077</v>
      </c>
      <c r="I12" s="14" t="n">
        <f aca="false">E438</f>
        <v>0.864361438172892</v>
      </c>
    </row>
    <row r="13" customFormat="false" ht="17.15" hidden="false" customHeight="false" outlineLevel="0" collapsed="false">
      <c r="A13" s="5" t="s">
        <v>798</v>
      </c>
      <c r="B13" s="0" t="s">
        <v>799</v>
      </c>
      <c r="C13" s="17" t="n">
        <f aca="false">E481</f>
        <v>12399.7631810532</v>
      </c>
      <c r="D13" s="17" t="n">
        <f aca="false">E500</f>
        <v>4735.23551724434</v>
      </c>
      <c r="E13" s="14" t="n">
        <f aca="false">D13/D$4-1</f>
        <v>0.000280441749566762</v>
      </c>
      <c r="F13" s="17" t="n">
        <f aca="false">F481</f>
        <v>12509.9801209115</v>
      </c>
      <c r="G13" s="17" t="n">
        <f aca="false">F500</f>
        <v>5119.25129566333</v>
      </c>
      <c r="H13" s="14" t="n">
        <f aca="false">G13/G$4-1</f>
        <v>0.000444773357043848</v>
      </c>
      <c r="I13" s="14" t="n">
        <f aca="false">E488</f>
        <v>0.853847897807801</v>
      </c>
    </row>
    <row r="14" customFormat="false" ht="17.15" hidden="false" customHeight="false" outlineLevel="0" collapsed="false">
      <c r="A14" s="5" t="s">
        <v>800</v>
      </c>
      <c r="B14" s="0" t="s">
        <v>801</v>
      </c>
      <c r="C14" s="17" t="n">
        <f aca="false">E531</f>
        <v>12399.7631810532</v>
      </c>
      <c r="D14" s="17" t="n">
        <f aca="false">E550</f>
        <v>4732.2854217969</v>
      </c>
      <c r="E14" s="14" t="n">
        <f aca="false">D14/D$4-1</f>
        <v>-0.000342742201183355</v>
      </c>
      <c r="F14" s="17" t="n">
        <f aca="false">F531</f>
        <v>12509.9801209115</v>
      </c>
      <c r="G14" s="17" t="n">
        <f aca="false">F550</f>
        <v>5114.19411843073</v>
      </c>
      <c r="H14" s="14" t="n">
        <f aca="false">G14/G$4-1</f>
        <v>-0.000543540409576604</v>
      </c>
      <c r="I14" s="14" t="n">
        <f aca="false">E538</f>
        <v>0.860562903651688</v>
      </c>
    </row>
    <row r="15" customFormat="false" ht="17.15" hidden="false" customHeight="false" outlineLevel="0" collapsed="false">
      <c r="A15" s="5" t="s">
        <v>802</v>
      </c>
      <c r="B15" s="0" t="s">
        <v>803</v>
      </c>
      <c r="C15" s="17" t="n">
        <f aca="false">E581</f>
        <v>12399.7631810532</v>
      </c>
      <c r="D15" s="17" t="n">
        <f aca="false">E600</f>
        <v>4727.07122356004</v>
      </c>
      <c r="E15" s="14" t="n">
        <f aca="false">D15/D$4-1</f>
        <v>-0.00144419966760634</v>
      </c>
      <c r="F15" s="17" t="n">
        <f aca="false">F581</f>
        <v>12509.9801209115</v>
      </c>
      <c r="G15" s="17" t="n">
        <f aca="false">F600</f>
        <v>5114.28160472525</v>
      </c>
      <c r="H15" s="14" t="n">
        <f aca="false">G15/G$4-1</f>
        <v>-0.000526443142605193</v>
      </c>
      <c r="I15" s="14" t="n">
        <f aca="false">E588</f>
        <v>0.85686965043755</v>
      </c>
    </row>
    <row r="16" customFormat="false" ht="17.15" hidden="false" customHeight="false" outlineLevel="0" collapsed="false">
      <c r="A16" s="5" t="s">
        <v>804</v>
      </c>
      <c r="B16" s="0" t="s">
        <v>805</v>
      </c>
      <c r="C16" s="17" t="n">
        <f aca="false">E631</f>
        <v>12399.7631810532</v>
      </c>
      <c r="D16" s="17" t="n">
        <f aca="false">E650</f>
        <v>4503.18994721337</v>
      </c>
      <c r="E16" s="14" t="n">
        <f aca="false">D16/D$4-1</f>
        <v>-0.0487373197643718</v>
      </c>
      <c r="F16" s="17" t="n">
        <f aca="false">F631</f>
        <v>12509.9801209115</v>
      </c>
      <c r="G16" s="17" t="n">
        <f aca="false">F650</f>
        <v>4847.41540040303</v>
      </c>
      <c r="H16" s="14" t="n">
        <f aca="false">G16/G$4-1</f>
        <v>-0.0526795577056607</v>
      </c>
      <c r="I16" s="14" t="n">
        <f aca="false">E638</f>
        <v>0.85686965043755</v>
      </c>
    </row>
    <row r="17" customFormat="false" ht="17.15" hidden="false" customHeight="false" outlineLevel="0" collapsed="false">
      <c r="A17" s="5" t="s">
        <v>806</v>
      </c>
      <c r="B17" s="0" t="s">
        <v>807</v>
      </c>
      <c r="C17" s="17" t="n">
        <f aca="false">E681</f>
        <v>12399.7631810532</v>
      </c>
      <c r="D17" s="17" t="n">
        <f aca="false">E700</f>
        <v>5045.03778784402</v>
      </c>
      <c r="E17" s="14" t="n">
        <f aca="false">D17/D$4-1</f>
        <v>0.0657236812593951</v>
      </c>
      <c r="F17" s="17" t="n">
        <f aca="false">F681</f>
        <v>12509.9801209115</v>
      </c>
      <c r="G17" s="17" t="n">
        <f aca="false">F700</f>
        <v>5484.0348343998</v>
      </c>
      <c r="H17" s="14" t="n">
        <f aca="false">G17/G$4-1</f>
        <v>0.0717336716076029</v>
      </c>
      <c r="I17" s="14" t="n">
        <f aca="false">E688</f>
        <v>0.85686965043755</v>
      </c>
    </row>
    <row r="18" customFormat="false" ht="17.15" hidden="false" customHeight="false" outlineLevel="0" collapsed="false">
      <c r="A18" s="5" t="s">
        <v>808</v>
      </c>
      <c r="B18" s="0" t="s">
        <v>809</v>
      </c>
      <c r="C18" s="17" t="n">
        <f aca="false">E731</f>
        <v>12399.7631810532</v>
      </c>
      <c r="D18" s="17" t="n">
        <f aca="false">E750</f>
        <v>5755.7755928901</v>
      </c>
      <c r="E18" s="14" t="n">
        <f aca="false">D18/D$4-1</f>
        <v>0.215861329748174</v>
      </c>
      <c r="F18" s="17" t="n">
        <f aca="false">F731</f>
        <v>12509.9801209115</v>
      </c>
      <c r="G18" s="17" t="n">
        <f aca="false">F750</f>
        <v>7388.89357548869</v>
      </c>
      <c r="H18" s="14" t="n">
        <f aca="false">G18/G$4-1</f>
        <v>0.44399630562212</v>
      </c>
      <c r="I18" s="14" t="n">
        <f aca="false">E738</f>
        <v>0.85686965043755</v>
      </c>
    </row>
    <row r="19" customFormat="false" ht="17.15" hidden="false" customHeight="false" outlineLevel="0" collapsed="false">
      <c r="A19" s="5" t="s">
        <v>810</v>
      </c>
      <c r="B19" s="0" t="s">
        <v>811</v>
      </c>
      <c r="C19" s="17" t="n">
        <f aca="false">E781</f>
        <v>12399.7631810532</v>
      </c>
      <c r="D19" s="17" t="n">
        <f aca="false">E800</f>
        <v>4233.26334124963</v>
      </c>
      <c r="E19" s="14" t="n">
        <f aca="false">D19/D$4-1</f>
        <v>-0.105757145635778</v>
      </c>
      <c r="F19" s="17" t="n">
        <f aca="false">F781</f>
        <v>12509.9801209115</v>
      </c>
      <c r="G19" s="17" t="n">
        <f aca="false">F800</f>
        <v>4248.31140789941</v>
      </c>
      <c r="H19" s="14" t="n">
        <f aca="false">G19/G$4-1</f>
        <v>-0.169761221289031</v>
      </c>
      <c r="I19" s="14" t="n">
        <f aca="false">E788</f>
        <v>0.85686965043755</v>
      </c>
    </row>
    <row r="20" customFormat="false" ht="17.15" hidden="false" customHeight="false" outlineLevel="0" collapsed="false">
      <c r="A20" s="5" t="s">
        <v>812</v>
      </c>
      <c r="B20" s="0" t="s">
        <v>813</v>
      </c>
      <c r="C20" s="17" t="n">
        <f aca="false">PL!E124</f>
        <v>10595.374034981</v>
      </c>
      <c r="D20" s="17" t="n">
        <f aca="false">PL!E143</f>
        <v>3868.05805615916</v>
      </c>
      <c r="E20" s="14" t="n">
        <f aca="false">D20/D$4-1</f>
        <v>-0.182903826633847</v>
      </c>
      <c r="F20" s="17" t="n">
        <f aca="false">PL!F124</f>
        <v>4805.28122544007</v>
      </c>
      <c r="G20" s="17" t="n">
        <f aca="false">PL!F143</f>
        <v>1309.11473255108</v>
      </c>
      <c r="H20" s="14" t="n">
        <f aca="false">G20/G$4-1</f>
        <v>-0.744162394798841</v>
      </c>
      <c r="I20" s="14" t="n">
        <f aca="false">PL!E131</f>
        <v>0.832935361487811</v>
      </c>
    </row>
    <row r="21" customFormat="false" ht="17.15" hidden="false" customHeight="false" outlineLevel="0" collapsed="false">
      <c r="A21" s="5" t="s">
        <v>814</v>
      </c>
      <c r="B21" s="0" t="s">
        <v>815</v>
      </c>
      <c r="C21" s="17" t="n">
        <f aca="false">PL!E171</f>
        <v>10189.2212281844</v>
      </c>
      <c r="D21" s="17" t="n">
        <f aca="false">PL!E190</f>
        <v>3682.73279771712</v>
      </c>
      <c r="E21" s="14" t="n">
        <f aca="false">D21/D$4-1</f>
        <v>-0.222052297857013</v>
      </c>
      <c r="F21" s="17" t="n">
        <f aca="false">PL!F171</f>
        <v>2915.37924361187</v>
      </c>
      <c r="G21" s="17" t="n">
        <f aca="false">PL!F190</f>
        <v>536.855596848867</v>
      </c>
      <c r="H21" s="14" t="n">
        <f aca="false">G21/G$4-1</f>
        <v>-0.895083412613498</v>
      </c>
      <c r="I21" s="14" t="n">
        <f aca="false">PL!E178</f>
        <v>0.827984875358738</v>
      </c>
    </row>
    <row r="23" customFormat="false" ht="15" hidden="false" customHeight="false" outlineLevel="0" collapsed="false">
      <c r="A23" s="5" t="s">
        <v>816</v>
      </c>
    </row>
    <row r="60" customFormat="false" ht="17.15" hidden="false" customHeight="false" outlineLevel="0" collapsed="false">
      <c r="A60" s="3" t="s">
        <v>817</v>
      </c>
    </row>
    <row r="61" customFormat="false" ht="17.15" hidden="false" customHeight="false" outlineLevel="0" collapsed="false">
      <c r="A61" s="12" t="s">
        <v>442</v>
      </c>
      <c r="B61" s="6" t="s">
        <v>17</v>
      </c>
      <c r="C61" s="12" t="s">
        <v>443</v>
      </c>
      <c r="D61" s="12" t="s">
        <v>444</v>
      </c>
      <c r="E61" s="12" t="s">
        <v>445</v>
      </c>
      <c r="F61" s="12" t="s">
        <v>446</v>
      </c>
      <c r="G61" s="12" t="s">
        <v>447</v>
      </c>
      <c r="H61" s="12" t="s">
        <v>448</v>
      </c>
      <c r="I61" s="12" t="s">
        <v>449</v>
      </c>
      <c r="J61" s="12" t="s">
        <v>450</v>
      </c>
      <c r="K61" s="12" t="s">
        <v>451</v>
      </c>
      <c r="L61" s="12" t="s">
        <v>452</v>
      </c>
      <c r="M61" s="12" t="s">
        <v>453</v>
      </c>
      <c r="N61" s="12" t="s">
        <v>454</v>
      </c>
      <c r="O61" s="12" t="s">
        <v>455</v>
      </c>
      <c r="P61" s="12" t="s">
        <v>456</v>
      </c>
      <c r="Q61" s="12" t="s">
        <v>457</v>
      </c>
      <c r="R61" s="12" t="s">
        <v>458</v>
      </c>
      <c r="S61" s="12"/>
      <c r="T61" s="6" t="s">
        <v>330</v>
      </c>
    </row>
    <row r="62" customFormat="false" ht="17.15" hidden="false" customHeight="false" outlineLevel="0" collapsed="false">
      <c r="A62" s="5" t="s">
        <v>459</v>
      </c>
      <c r="B62" s="0" t="s">
        <v>391</v>
      </c>
      <c r="C62" s="19" t="n">
        <f aca="false">Units!H4*1</f>
        <v>10.72</v>
      </c>
      <c r="D62" s="19" t="n">
        <f aca="false">Units!I4*1</f>
        <v>14.9513168749304</v>
      </c>
      <c r="E62" s="19" t="n">
        <f aca="false">Units!J4*1*0.8</f>
        <v>12.962851855111</v>
      </c>
      <c r="F62" s="19" t="n">
        <f aca="false">Units!K4*1*0.8</f>
        <v>14.2834759852586</v>
      </c>
      <c r="G62" s="19" t="n">
        <f aca="false">Units!L4*1*0.8</f>
        <v>15.1029370488559</v>
      </c>
      <c r="H62" s="19" t="n">
        <f aca="false">Units!M4*1*0.8</f>
        <v>15.1709410475614</v>
      </c>
      <c r="I62" s="19" t="n">
        <f aca="false">Units!N4*1*0.8</f>
        <v>14.9184249058294</v>
      </c>
      <c r="J62" s="19" t="n">
        <f aca="false">Units!O4*1*0.8</f>
        <v>14.985598101659</v>
      </c>
      <c r="K62" s="19" t="n">
        <f aca="false">Units!P4*1*0.8</f>
        <v>15.0530737582555</v>
      </c>
      <c r="L62" s="19" t="n">
        <f aca="false">Units!Q4*1*0.8</f>
        <v>15.1208532375091</v>
      </c>
      <c r="M62" s="19" t="n">
        <f aca="false">Units!R4*1*0.8</f>
        <v>15.1889379074422</v>
      </c>
      <c r="N62" s="19" t="n">
        <f aca="false">Units!S4*1*0.8</f>
        <v>15.3499354572354</v>
      </c>
      <c r="O62" s="19" t="n">
        <f aca="false">Units!T4*1*0.8</f>
        <v>15.6483389893177</v>
      </c>
      <c r="P62" s="19" t="n">
        <f aca="false">Units!U4*1*0.8</f>
        <v>15.952543501359</v>
      </c>
      <c r="Q62" s="19" t="n">
        <f aca="false">Units!V4*1*0.8</f>
        <v>16.2626617647071</v>
      </c>
      <c r="R62" s="19" t="n">
        <f aca="false">Units!W4*1*0.8</f>
        <v>16.047461857545</v>
      </c>
      <c r="T62" s="8" t="s">
        <v>460</v>
      </c>
    </row>
    <row r="63" customFormat="false" ht="15" hidden="false" customHeight="false" outlineLevel="0" collapsed="false">
      <c r="A63" s="5" t="s">
        <v>461</v>
      </c>
      <c r="B63" s="0" t="s">
        <v>398</v>
      </c>
      <c r="C63" s="19" t="n">
        <f aca="false">Units!H7*1</f>
        <v>40.1757580440862</v>
      </c>
      <c r="D63" s="19" t="n">
        <f aca="false">Units!I7*1</f>
        <v>44.8269021796765</v>
      </c>
      <c r="E63" s="19" t="n">
        <f aca="false">Units!J7*1</f>
        <v>44.9411476117569</v>
      </c>
      <c r="F63" s="19" t="n">
        <f aca="false">Units!K7*1</f>
        <v>48.0773237904583</v>
      </c>
      <c r="G63" s="19" t="n">
        <f aca="false">Units!L7*1</f>
        <v>50.835580599158</v>
      </c>
      <c r="H63" s="19" t="n">
        <f aca="false">Units!M7*1</f>
        <v>53.7520820858664</v>
      </c>
      <c r="I63" s="19" t="n">
        <f aca="false">Units!N7*1</f>
        <v>56.8359069476934</v>
      </c>
      <c r="J63" s="19" t="n">
        <f aca="false">Units!O7*1</f>
        <v>60.0966547380729</v>
      </c>
      <c r="K63" s="19" t="n">
        <f aca="false">Units!P7*1</f>
        <v>63.5444757489475</v>
      </c>
      <c r="L63" s="19" t="n">
        <f aca="false">Units!Q7*1</f>
        <v>67.190102607333</v>
      </c>
      <c r="M63" s="19" t="n">
        <f aca="false">Units!R7*1</f>
        <v>71.0448836846168</v>
      </c>
      <c r="N63" s="19" t="n">
        <f aca="false">Units!S7*1</f>
        <v>74.0184898623123</v>
      </c>
      <c r="O63" s="19" t="n">
        <f aca="false">Units!T7*1</f>
        <v>77.7911475249602</v>
      </c>
      <c r="P63" s="19" t="n">
        <f aca="false">Units!U7*1</f>
        <v>81.7560942476254</v>
      </c>
      <c r="Q63" s="19" t="n">
        <f aca="false">Units!V7*1</f>
        <v>85.9231308354458</v>
      </c>
      <c r="R63" s="19" t="n">
        <f aca="false">Units!W7*1</f>
        <v>87.5395173614874</v>
      </c>
    </row>
    <row r="64" customFormat="false" ht="17.15" hidden="false" customHeight="false" outlineLevel="0" collapsed="false">
      <c r="A64" s="5" t="s">
        <v>354</v>
      </c>
      <c r="B64" s="0" t="s">
        <v>27</v>
      </c>
      <c r="C64" s="13" t="n">
        <f aca="false">q1_rev</f>
        <v>1767.1</v>
      </c>
      <c r="D64" s="13" t="n">
        <f aca="false">g2_rev</f>
        <v>2480</v>
      </c>
      <c r="E64" s="13" t="n">
        <f aca="false">E62*kx_k*fx</f>
        <v>2136.81487995958</v>
      </c>
      <c r="F64" s="13" t="n">
        <f aca="false">F62*kx_k*fx</f>
        <v>2354.50843409986</v>
      </c>
      <c r="G64" s="13" t="n">
        <f aca="false">G62*kx_k*fx</f>
        <v>2489.58955774564</v>
      </c>
      <c r="H64" s="13" t="n">
        <f aca="false">H62*kx_k*fx</f>
        <v>2500.79943331584</v>
      </c>
      <c r="I64" s="13" t="n">
        <f aca="false">I62*kx_k*fx</f>
        <v>2459.17431446746</v>
      </c>
      <c r="J64" s="13" t="n">
        <f aca="false">J62*kx_k*fx</f>
        <v>2470.24723931359</v>
      </c>
      <c r="K64" s="13" t="n">
        <f aca="false">K62*kx_k*fx</f>
        <v>2481.37002222139</v>
      </c>
      <c r="L64" s="13" t="n">
        <f aca="false">L62*kx_k*fx</f>
        <v>2492.54288768679</v>
      </c>
      <c r="M64" s="13" t="n">
        <f aca="false">M62*kx_k*fx</f>
        <v>2503.76606121652</v>
      </c>
      <c r="N64" s="13" t="n">
        <f aca="false">N62*kx_k*fx</f>
        <v>2530.30512560453</v>
      </c>
      <c r="O64" s="13" t="n">
        <f aca="false">O62*kx_k*fx</f>
        <v>2579.49438694247</v>
      </c>
      <c r="P64" s="13" t="n">
        <f aca="false">P62*kx_k*fx</f>
        <v>2629.63989004212</v>
      </c>
      <c r="Q64" s="13" t="n">
        <f aca="false">Q62*kx_k*fx</f>
        <v>2680.76022429235</v>
      </c>
      <c r="R64" s="13" t="n">
        <f aca="false">R62*kx_k*fx</f>
        <v>2645.28636646154</v>
      </c>
      <c r="T64" s="5" t="s">
        <v>462</v>
      </c>
    </row>
    <row r="65" customFormat="false" ht="17.15" hidden="false" customHeight="false" outlineLevel="0" collapsed="false">
      <c r="A65" s="0" t="s">
        <v>463</v>
      </c>
      <c r="B65" s="0" t="s">
        <v>27</v>
      </c>
      <c r="C65" s="13" t="n">
        <f aca="false">q1_ss</f>
        <v>1174.7</v>
      </c>
      <c r="D65" s="13" t="n">
        <f aca="false">D64*sssh_26</f>
        <v>1636.8</v>
      </c>
      <c r="E65" s="13" t="n">
        <f aca="false">E64*sssh_26</f>
        <v>1410.29782077332</v>
      </c>
      <c r="F65" s="13" t="n">
        <f aca="false">F64*sssh_26</f>
        <v>1553.97556650591</v>
      </c>
      <c r="G65" s="13" t="n">
        <f aca="false">G64*sssh_27</f>
        <v>1692.92089926704</v>
      </c>
      <c r="H65" s="13" t="n">
        <f aca="false">H64*sssh_27</f>
        <v>1700.54361465477</v>
      </c>
      <c r="I65" s="13" t="n">
        <f aca="false">I64*sssh_27</f>
        <v>1672.23853383788</v>
      </c>
      <c r="J65" s="13" t="n">
        <f aca="false">J64*sssh_27</f>
        <v>1679.76812273324</v>
      </c>
      <c r="K65" s="13" t="n">
        <f aca="false">K64*sssh_28</f>
        <v>1736.95901555497</v>
      </c>
      <c r="L65" s="13" t="n">
        <f aca="false">L64*sssh_28</f>
        <v>1744.78002138075</v>
      </c>
      <c r="M65" s="13" t="n">
        <f aca="false">M64*sssh_28</f>
        <v>1752.63624285156</v>
      </c>
      <c r="N65" s="13" t="n">
        <f aca="false">N64*sssh_28</f>
        <v>1771.21358792317</v>
      </c>
      <c r="O65" s="13" t="n">
        <f aca="false">O64*sssh_29</f>
        <v>1805.64607085973</v>
      </c>
      <c r="P65" s="13" t="n">
        <f aca="false">P64*sssh_29</f>
        <v>1840.74792302949</v>
      </c>
      <c r="Q65" s="13" t="n">
        <f aca="false">Q64*sssh_29</f>
        <v>1876.53215700464</v>
      </c>
      <c r="R65" s="13" t="n">
        <f aca="false">R64*sssh_29</f>
        <v>1851.70045652308</v>
      </c>
      <c r="T65" s="5" t="s">
        <v>464</v>
      </c>
    </row>
    <row r="66" customFormat="false" ht="17.15" hidden="false" customHeight="false" outlineLevel="0" collapsed="false">
      <c r="A66" s="0" t="s">
        <v>465</v>
      </c>
      <c r="B66" s="0" t="s">
        <v>27</v>
      </c>
      <c r="C66" s="13" t="n">
        <f aca="false">C65*(0.75*Units!D16+0.25*Units!E16)</f>
        <v>687.403351447223</v>
      </c>
      <c r="D66" s="13" t="n">
        <f aca="false">D65*(0.75*Units!D16+0.25*Units!E16)</f>
        <v>957.812041924589</v>
      </c>
      <c r="E66" s="13" t="n">
        <f aca="false">E65*(0.75*Units!D16+0.25*Units!E16)</f>
        <v>825.268961043924</v>
      </c>
      <c r="F66" s="13" t="n">
        <f aca="false">F65*(0.75*Units!D16+0.25*Units!E16)</f>
        <v>909.345375400749</v>
      </c>
      <c r="G66" s="13" t="n">
        <f aca="false">G65*(0.75*Units!E16+0.25*Units!F16)</f>
        <v>1166.38098233733</v>
      </c>
      <c r="H66" s="13" t="n">
        <f aca="false">H65*(0.75*Units!E16+0.25*Units!F16)</f>
        <v>1171.63284629971</v>
      </c>
      <c r="I66" s="13" t="n">
        <f aca="false">I65*(0.75*Units!E16+0.25*Units!F16)</f>
        <v>1152.13133977177</v>
      </c>
      <c r="J66" s="13" t="n">
        <f aca="false">J65*(0.75*Units!E16+0.25*Units!F16)</f>
        <v>1157.31904186475</v>
      </c>
      <c r="K66" s="13" t="n">
        <f aca="false">K65*(0.75*Units!F16+0.25*Units!G16)</f>
        <v>1267.63495345536</v>
      </c>
      <c r="L66" s="13" t="n">
        <f aca="false">L65*(0.75*Units!F16+0.25*Units!G16)</f>
        <v>1273.34273370069</v>
      </c>
      <c r="M66" s="13" t="n">
        <f aca="false">M65*(0.75*Units!F16+0.25*Units!G16)</f>
        <v>1279.07621436966</v>
      </c>
      <c r="N66" s="13" t="n">
        <f aca="false">N65*(0.75*Units!F16+0.25*Units!G16)</f>
        <v>1292.63398501611</v>
      </c>
      <c r="O66" s="13" t="n">
        <f aca="false">O65*(0.75*Units!G16+0.25*Units!H16)</f>
        <v>1376.18692930386</v>
      </c>
      <c r="P66" s="13" t="n">
        <f aca="false">P65*(0.75*Units!G16+0.25*Units!H16)</f>
        <v>1402.94007374892</v>
      </c>
      <c r="Q66" s="13" t="n">
        <f aca="false">Q65*(0.75*Units!G16+0.25*Units!H16)</f>
        <v>1430.21330069329</v>
      </c>
      <c r="R66" s="13" t="n">
        <f aca="false">R65*(0.75*Units!G16+0.25*Units!H16)</f>
        <v>1411.28763071476</v>
      </c>
      <c r="T66" s="5" t="s">
        <v>466</v>
      </c>
    </row>
    <row r="67" customFormat="false" ht="17.15" hidden="false" customHeight="false" outlineLevel="0" collapsed="false">
      <c r="A67" s="0" t="s">
        <v>467</v>
      </c>
      <c r="B67" s="0" t="s">
        <v>27</v>
      </c>
      <c r="C67" s="13" t="n">
        <f aca="false">C65-C66</f>
        <v>487.296648552777</v>
      </c>
      <c r="D67" s="13" t="n">
        <f aca="false">D65-D66</f>
        <v>678.987958075412</v>
      </c>
      <c r="E67" s="13" t="n">
        <f aca="false">E65-E66</f>
        <v>585.0288597294</v>
      </c>
      <c r="F67" s="13" t="n">
        <f aca="false">F65-F66</f>
        <v>644.630191105162</v>
      </c>
      <c r="G67" s="13" t="n">
        <f aca="false">G65-G66</f>
        <v>526.539916929705</v>
      </c>
      <c r="H67" s="13" t="n">
        <f aca="false">H65-H66</f>
        <v>528.910768355058</v>
      </c>
      <c r="I67" s="13" t="n">
        <f aca="false">I65-I66</f>
        <v>520.107194066105</v>
      </c>
      <c r="J67" s="13" t="n">
        <f aca="false">J65-J66</f>
        <v>522.449080868494</v>
      </c>
      <c r="K67" s="13" t="n">
        <f aca="false">K65-K66</f>
        <v>469.324062099616</v>
      </c>
      <c r="L67" s="13" t="n">
        <f aca="false">L65-L66</f>
        <v>471.437287680063</v>
      </c>
      <c r="M67" s="13" t="n">
        <f aca="false">M65-M66</f>
        <v>473.560028481898</v>
      </c>
      <c r="N67" s="13" t="n">
        <f aca="false">N65-N66</f>
        <v>478.579602907061</v>
      </c>
      <c r="O67" s="13" t="n">
        <f aca="false">O65-O66</f>
        <v>429.459141555872</v>
      </c>
      <c r="P67" s="13" t="n">
        <f aca="false">P65-P66</f>
        <v>437.807849280563</v>
      </c>
      <c r="Q67" s="13" t="n">
        <f aca="false">Q65-Q66</f>
        <v>446.318856311353</v>
      </c>
      <c r="R67" s="13" t="n">
        <f aca="false">R65-R66</f>
        <v>440.412825808317</v>
      </c>
    </row>
    <row r="68" customFormat="false" ht="17.15" hidden="false" customHeight="false" outlineLevel="0" collapsed="false">
      <c r="A68" s="5" t="s">
        <v>468</v>
      </c>
      <c r="B68" s="0" t="s">
        <v>27</v>
      </c>
      <c r="C68" s="13" t="n">
        <f aca="false">q1_rev-q1_ss-q1_sd</f>
        <v>66.6999999999998</v>
      </c>
      <c r="D68" s="13" t="n">
        <f aca="false">D64*otsh_26</f>
        <v>99.2</v>
      </c>
      <c r="E68" s="13" t="n">
        <f aca="false">E64*otsh_26</f>
        <v>85.4725951983833</v>
      </c>
      <c r="F68" s="13" t="n">
        <f aca="false">F64*otsh_26</f>
        <v>94.1803373639946</v>
      </c>
      <c r="G68" s="13" t="n">
        <f aca="false">G64*otsh_27</f>
        <v>99.5835823098257</v>
      </c>
      <c r="H68" s="13" t="n">
        <f aca="false">H64*otsh_27</f>
        <v>100.031977332634</v>
      </c>
      <c r="I68" s="13" t="n">
        <f aca="false">I64*otsh_27</f>
        <v>98.3669725786985</v>
      </c>
      <c r="J68" s="13" t="n">
        <f aca="false">J64*otsh_27</f>
        <v>98.8098895725436</v>
      </c>
      <c r="K68" s="13" t="n">
        <f aca="false">K64*otsh_28</f>
        <v>99.2548008888557</v>
      </c>
      <c r="L68" s="13" t="n">
        <f aca="false">L64*otsh_28</f>
        <v>99.7017155074715</v>
      </c>
      <c r="M68" s="13" t="n">
        <f aca="false">M64*otsh_28</f>
        <v>100.150642448661</v>
      </c>
      <c r="N68" s="13" t="n">
        <f aca="false">N64*otsh_28</f>
        <v>101.212205024181</v>
      </c>
      <c r="O68" s="13" t="n">
        <f aca="false">O64*otsh_29</f>
        <v>103.179775477699</v>
      </c>
      <c r="P68" s="13" t="n">
        <f aca="false">P64*otsh_29</f>
        <v>105.185595601685</v>
      </c>
      <c r="Q68" s="13" t="n">
        <f aca="false">Q64*otsh_29</f>
        <v>107.230408971694</v>
      </c>
      <c r="R68" s="13" t="n">
        <f aca="false">R64*otsh_29</f>
        <v>105.811454658462</v>
      </c>
      <c r="T68" s="5" t="s">
        <v>469</v>
      </c>
    </row>
    <row r="69" customFormat="false" ht="17.15" hidden="false" customHeight="false" outlineLevel="0" collapsed="false">
      <c r="A69" s="5" t="s">
        <v>470</v>
      </c>
      <c r="B69" s="0" t="s">
        <v>27</v>
      </c>
      <c r="C69" s="13" t="n">
        <f aca="false">q1_sd</f>
        <v>525.7</v>
      </c>
      <c r="D69" s="13" t="n">
        <f aca="false">D64-D65-D68</f>
        <v>744</v>
      </c>
      <c r="E69" s="13" t="n">
        <f aca="false">E64-E65-E68</f>
        <v>641.044463987875</v>
      </c>
      <c r="F69" s="13" t="n">
        <f aca="false">F64-F65-F68</f>
        <v>706.352530229959</v>
      </c>
      <c r="G69" s="13" t="n">
        <f aca="false">G64-G65-G68</f>
        <v>697.08507616878</v>
      </c>
      <c r="H69" s="13" t="n">
        <f aca="false">H64-H65-H68</f>
        <v>700.223841328435</v>
      </c>
      <c r="I69" s="13" t="n">
        <f aca="false">I64-I65-I68</f>
        <v>688.568808050889</v>
      </c>
      <c r="J69" s="13" t="n">
        <f aca="false">J64-J65-J68</f>
        <v>691.669227007805</v>
      </c>
      <c r="K69" s="13" t="n">
        <f aca="false">K64-K65-K68</f>
        <v>645.156205777562</v>
      </c>
      <c r="L69" s="13" t="n">
        <f aca="false">L64-L65-L68</f>
        <v>648.061150798565</v>
      </c>
      <c r="M69" s="13" t="n">
        <f aca="false">M64-M65-M68</f>
        <v>650.979175916294</v>
      </c>
      <c r="N69" s="13" t="n">
        <f aca="false">N64-N65-N68</f>
        <v>657.879332657179</v>
      </c>
      <c r="O69" s="13" t="n">
        <f aca="false">O64-O65-O68</f>
        <v>670.668540605042</v>
      </c>
      <c r="P69" s="13" t="n">
        <f aca="false">P64-P65-P68</f>
        <v>683.706371410952</v>
      </c>
      <c r="Q69" s="13" t="n">
        <f aca="false">Q64-Q65-Q68</f>
        <v>696.99765831601</v>
      </c>
      <c r="R69" s="13" t="n">
        <f aca="false">R64-R65-R68</f>
        <v>687.77445528</v>
      </c>
      <c r="T69" s="5" t="s">
        <v>471</v>
      </c>
    </row>
    <row r="70" customFormat="false" ht="15" hidden="false" customHeight="false" outlineLevel="0" collapsed="false">
      <c r="A70" s="5" t="s">
        <v>472</v>
      </c>
      <c r="B70" s="0" t="s">
        <v>27</v>
      </c>
      <c r="C70" s="18" t="n">
        <f aca="false">C65+C69+C68-C64</f>
        <v>0</v>
      </c>
      <c r="D70" s="18" t="n">
        <f aca="false">D65+D69+D68-D64</f>
        <v>0</v>
      </c>
      <c r="E70" s="18" t="n">
        <f aca="false">E65+E69+E68-E64</f>
        <v>0</v>
      </c>
      <c r="F70" s="18" t="n">
        <f aca="false">F65+F69+F68-F64</f>
        <v>0</v>
      </c>
      <c r="G70" s="18" t="n">
        <f aca="false">G65+G69+G68-G64</f>
        <v>0</v>
      </c>
      <c r="H70" s="18" t="n">
        <f aca="false">H65+H69+H68-H64</f>
        <v>0</v>
      </c>
      <c r="I70" s="18" t="n">
        <f aca="false">I65+I69+I68-I64</f>
        <v>0</v>
      </c>
      <c r="J70" s="18" t="n">
        <f aca="false">J65+J69+J68-J64</f>
        <v>0</v>
      </c>
      <c r="K70" s="18" t="n">
        <f aca="false">K65+K69+K68-K64</f>
        <v>0</v>
      </c>
      <c r="L70" s="18" t="n">
        <f aca="false">L65+L69+L68-L64</f>
        <v>0</v>
      </c>
      <c r="M70" s="18" t="n">
        <f aca="false">M65+M69+M68-M64</f>
        <v>0</v>
      </c>
      <c r="N70" s="18" t="n">
        <f aca="false">N65+N69+N68-N64</f>
        <v>0</v>
      </c>
      <c r="O70" s="18" t="n">
        <f aca="false">O65+O69+O68-O64</f>
        <v>0</v>
      </c>
      <c r="P70" s="18" t="n">
        <f aca="false">P65+P69+P68-P64</f>
        <v>0</v>
      </c>
      <c r="Q70" s="18" t="n">
        <f aca="false">Q65+Q69+Q68-Q64</f>
        <v>0</v>
      </c>
      <c r="R70" s="18" t="n">
        <f aca="false">R65+R69+R68-R64</f>
        <v>0</v>
      </c>
    </row>
    <row r="71" customFormat="false" ht="17.15" hidden="false" customHeight="false" outlineLevel="0" collapsed="false">
      <c r="A71" s="5" t="s">
        <v>473</v>
      </c>
      <c r="B71" s="0" t="s">
        <v>474</v>
      </c>
      <c r="C71" s="20" t="n">
        <f aca="false">C72/C63</f>
        <v>9.63267449926724</v>
      </c>
      <c r="D71" s="20" t="n">
        <f aca="false">D72/D63</f>
        <v>9.50991434320605</v>
      </c>
      <c r="E71" s="20" t="n">
        <f aca="false">$D71*(1-cd_A)^(1/4)</f>
        <v>9.15801220601616</v>
      </c>
      <c r="F71" s="20" t="n">
        <f aca="false">$D71*(1-cd_A)^(2/4)</f>
        <v>8.81913175437355</v>
      </c>
      <c r="G71" s="20" t="n">
        <f aca="false">$D71*(1-cd_A)^(3/4)</f>
        <v>8.49279113756868</v>
      </c>
      <c r="H71" s="20" t="n">
        <f aca="false">$D71*(1-cd_A)^(4/4)</f>
        <v>8.1785263351572</v>
      </c>
      <c r="I71" s="20" t="n">
        <f aca="false">$D71*(1-cd_A)^(5/4)</f>
        <v>7.87589049717389</v>
      </c>
      <c r="J71" s="20" t="n">
        <f aca="false">$D71*(1-cd_A)^(6/4)</f>
        <v>7.58445330876125</v>
      </c>
      <c r="K71" s="20" t="n">
        <f aca="false">$D71*(1-cd_A)^(7/4)</f>
        <v>7.30380037830907</v>
      </c>
      <c r="L71" s="20" t="n">
        <f aca="false">$D71*(1-cd_A)^(8/4)</f>
        <v>7.03353264823519</v>
      </c>
      <c r="M71" s="20" t="n">
        <f aca="false">$D71*(1-cd_A)^(9/4)</f>
        <v>6.77326582756955</v>
      </c>
      <c r="N71" s="20" t="n">
        <f aca="false">$D71*(1-cd_A)^(10/4)</f>
        <v>6.52262984553468</v>
      </c>
      <c r="O71" s="20" t="n">
        <f aca="false">$D71*(1-cd_A)^(11/4)</f>
        <v>6.2812683253458</v>
      </c>
      <c r="P71" s="20" t="n">
        <f aca="false">$D71*(1-cd_A)^(12/4)</f>
        <v>6.04883807748227</v>
      </c>
      <c r="Q71" s="20" t="n">
        <f aca="false">$D71*(1-cd_A)^(13/4)</f>
        <v>5.82500861170981</v>
      </c>
      <c r="R71" s="20" t="n">
        <f aca="false">$D71*(1-cd_A)^(14/4)</f>
        <v>5.60946166715982</v>
      </c>
    </row>
    <row r="72" customFormat="false" ht="15" hidden="false" customHeight="false" outlineLevel="0" collapsed="false">
      <c r="A72" s="5" t="s">
        <v>475</v>
      </c>
      <c r="B72" s="0" t="s">
        <v>27</v>
      </c>
      <c r="C72" s="13" t="n">
        <f aca="false">q1_rev-q1_gp</f>
        <v>387</v>
      </c>
      <c r="D72" s="13" t="n">
        <f aca="false">g2_rev-g2_op-g2_ox</f>
        <v>426.3</v>
      </c>
      <c r="E72" s="13" t="n">
        <f aca="false">E63*E71</f>
        <v>411.571578380844</v>
      </c>
      <c r="F72" s="13" t="n">
        <f aca="false">F63*F71</f>
        <v>424.00025290573</v>
      </c>
      <c r="G72" s="13" t="n">
        <f aca="false">G63*G71</f>
        <v>431.735968385688</v>
      </c>
      <c r="H72" s="13" t="n">
        <f aca="false">H63*H71</f>
        <v>439.61281890879</v>
      </c>
      <c r="I72" s="13" t="n">
        <f aca="false">I63*I71</f>
        <v>447.633379427598</v>
      </c>
      <c r="J72" s="13" t="n">
        <f aca="false">J63*J71</f>
        <v>455.80027187366</v>
      </c>
      <c r="K72" s="13" t="n">
        <f aca="false">K63*K71</f>
        <v>464.116166014614</v>
      </c>
      <c r="L72" s="13" t="n">
        <f aca="false">L63*L71</f>
        <v>472.583780326949</v>
      </c>
      <c r="M72" s="13" t="n">
        <f aca="false">M63*M71</f>
        <v>481.205882884668</v>
      </c>
      <c r="N72" s="13" t="n">
        <f aca="false">N63*N71</f>
        <v>482.795211097324</v>
      </c>
      <c r="O72" s="13" t="n">
        <f aca="false">O63*O71</f>
        <v>488.627070940835</v>
      </c>
      <c r="P72" s="13" t="n">
        <f aca="false">P63*P71</f>
        <v>494.529375951265</v>
      </c>
      <c r="Q72" s="13" t="n">
        <f aca="false">Q63*Q71</f>
        <v>500.502977061541</v>
      </c>
      <c r="R72" s="13" t="n">
        <f aca="false">R63*R71</f>
        <v>491.049567000935</v>
      </c>
      <c r="T72" s="5" t="s">
        <v>476</v>
      </c>
    </row>
    <row r="73" customFormat="false" ht="15" hidden="false" customHeight="false" outlineLevel="0" collapsed="false">
      <c r="A73" s="5" t="s">
        <v>360</v>
      </c>
      <c r="B73" s="0" t="s">
        <v>145</v>
      </c>
      <c r="C73" s="14" t="n">
        <f aca="false">1-C72/C64</f>
        <v>0.780997113915455</v>
      </c>
      <c r="D73" s="14" t="n">
        <f aca="false">1-D72/D64</f>
        <v>0.828104838709677</v>
      </c>
      <c r="E73" s="14" t="n">
        <f aca="false">1-E72/E64</f>
        <v>0.807390157078732</v>
      </c>
      <c r="F73" s="14" t="n">
        <f aca="false">1-F72/F64</f>
        <v>0.819919841116294</v>
      </c>
      <c r="G73" s="14" t="n">
        <f aca="false">1-G72/G64</f>
        <v>0.826583475560273</v>
      </c>
      <c r="H73" s="14" t="n">
        <f aca="false">1-H72/H64</f>
        <v>0.824211085042553</v>
      </c>
      <c r="I73" s="14" t="n">
        <f aca="false">1-I72/I64</f>
        <v>0.817974115623221</v>
      </c>
      <c r="J73" s="14" t="n">
        <f aca="false">1-J72/J64</f>
        <v>0.81548394645699</v>
      </c>
      <c r="K73" s="14" t="n">
        <f aca="false">1-K72/K64</f>
        <v>0.812959711023218</v>
      </c>
      <c r="L73" s="14" t="n">
        <f aca="false">1-L72/L64</f>
        <v>0.810400943285059</v>
      </c>
      <c r="M73" s="14" t="n">
        <f aca="false">1-M72/M64</f>
        <v>0.807807170830144</v>
      </c>
      <c r="N73" s="14" t="n">
        <f aca="false">1-N72/N64</f>
        <v>0.809194864994009</v>
      </c>
      <c r="O73" s="14" t="n">
        <f aca="false">1-O72/O64</f>
        <v>0.810572539558803</v>
      </c>
      <c r="P73" s="14" t="n">
        <f aca="false">1-P72/P64</f>
        <v>0.811940266869262</v>
      </c>
      <c r="Q73" s="14" t="n">
        <f aca="false">1-Q72/Q64</f>
        <v>0.813298118747766</v>
      </c>
      <c r="R73" s="14" t="n">
        <f aca="false">1-R72/R64</f>
        <v>0.814368087619267</v>
      </c>
    </row>
    <row r="74" customFormat="false" ht="17.15" hidden="false" customHeight="false" outlineLevel="0" collapsed="false">
      <c r="A74" s="5" t="s">
        <v>477</v>
      </c>
      <c r="B74" s="0" t="s">
        <v>27</v>
      </c>
      <c r="C74" s="13" t="n">
        <f aca="false">q1_gp-q1_op</f>
        <v>110.1</v>
      </c>
      <c r="D74" s="13" t="n">
        <f aca="false">g2_ox</f>
        <v>59</v>
      </c>
      <c r="E74" s="13" t="n">
        <f aca="false">(g2_ox-ox_var*g2_rev)*(1+ox_g)^(1/4)+ox_var*E64</f>
        <v>56.3928369662838</v>
      </c>
      <c r="F74" s="13" t="n">
        <f aca="false">(g2_ox-ox_var*g2_rev)*(1+ox_g)^(2/4)+ox_var*F64</f>
        <v>59.4143469484178</v>
      </c>
      <c r="G74" s="13" t="n">
        <f aca="false">(g2_ox-ox_var*g2_rev)*(1+ox_g)^(3/4)+ox_var*G64</f>
        <v>61.6300984310792</v>
      </c>
      <c r="H74" s="13" t="n">
        <f aca="false">(g2_ox-ox_var*g2_rev)*(1+ox_g)^(4/4)+ox_var*H64</f>
        <v>62.6279943331584</v>
      </c>
      <c r="I74" s="13" t="n">
        <f aca="false">(g2_ox-ox_var*g2_rev)*(1+ox_g)^(5/4)+ox_var*I64</f>
        <v>63.1189001280315</v>
      </c>
      <c r="J74" s="13" t="n">
        <f aca="false">(g2_ox-ox_var*g2_rev)*(1+ox_g)^(6/4)+ox_var*J64</f>
        <v>64.158661261297</v>
      </c>
      <c r="K74" s="13" t="n">
        <f aca="false">(g2_ox-ox_var*g2_rev)*(1+ox_g)^(7/4)+ox_var*K64</f>
        <v>65.221323361199</v>
      </c>
      <c r="L74" s="13" t="n">
        <f aca="false">(g2_ox-ox_var*g2_rev)*(1+ox_g)^(8/4)+ox_var*L64</f>
        <v>66.3074288768679</v>
      </c>
      <c r="M74" s="13" t="n">
        <f aca="false">(g2_ox-ox_var*g2_rev)*(1+ox_g)^(9/4)+ox_var*M64</f>
        <v>67.4175332938577</v>
      </c>
      <c r="N74" s="13" t="n">
        <f aca="false">(g2_ox-ox_var*g2_rev)*(1+ox_g)^(10/4)+ox_var*N64</f>
        <v>68.7048590110226</v>
      </c>
      <c r="O74" s="13" t="n">
        <f aca="false">(g2_ox-ox_var*g2_rev)*(1+ox_g)^(11/4)+ox_var*O64</f>
        <v>70.2433293223083</v>
      </c>
      <c r="P74" s="13" t="n">
        <f aca="false">(g2_ox-ox_var*g2_rev)*(1+ox_g)^(12/4)+ox_var*P64</f>
        <v>71.8165989004212</v>
      </c>
      <c r="Q74" s="13" t="n">
        <f aca="false">(g2_ox-ox_var*g2_rev)*(1+ox_g)^(13/4)+ox_var*Q64</f>
        <v>73.4254621927852</v>
      </c>
      <c r="R74" s="13" t="n">
        <f aca="false">(g2_ox-ox_var*g2_rev)*(1+ox_g)^(14/4)+ox_var*R64</f>
        <v>74.1948521950904</v>
      </c>
      <c r="T74" s="5" t="s">
        <v>478</v>
      </c>
    </row>
    <row r="75" customFormat="false" ht="15" hidden="false" customHeight="false" outlineLevel="0" collapsed="false">
      <c r="A75" s="5" t="s">
        <v>358</v>
      </c>
      <c r="B75" s="0" t="s">
        <v>27</v>
      </c>
      <c r="C75" s="13" t="n">
        <f aca="false">C64-C72-C74</f>
        <v>1270</v>
      </c>
      <c r="D75" s="13" t="n">
        <f aca="false">D64-D72-D74</f>
        <v>1994.7</v>
      </c>
      <c r="E75" s="13" t="n">
        <f aca="false">E64-E72-E74</f>
        <v>1668.85046461245</v>
      </c>
      <c r="F75" s="13" t="n">
        <f aca="false">F64-F72-F74</f>
        <v>1871.09383424572</v>
      </c>
      <c r="G75" s="13" t="n">
        <f aca="false">G64-G72-G74</f>
        <v>1996.22349092888</v>
      </c>
      <c r="H75" s="13" t="n">
        <f aca="false">H64-H72-H74</f>
        <v>1998.55862007389</v>
      </c>
      <c r="I75" s="13" t="n">
        <f aca="false">I64-I72-I74</f>
        <v>1948.42203491183</v>
      </c>
      <c r="J75" s="13" t="n">
        <f aca="false">J64-J72-J74</f>
        <v>1950.28830617863</v>
      </c>
      <c r="K75" s="13" t="n">
        <f aca="false">K64-K72-K74</f>
        <v>1952.03253284558</v>
      </c>
      <c r="L75" s="13" t="n">
        <f aca="false">L64-L72-L74</f>
        <v>1953.65167848297</v>
      </c>
      <c r="M75" s="13" t="n">
        <f aca="false">M64-M72-M74</f>
        <v>1955.14264503799</v>
      </c>
      <c r="N75" s="13" t="n">
        <f aca="false">N64-N72-N74</f>
        <v>1978.80505549619</v>
      </c>
      <c r="O75" s="13" t="n">
        <f aca="false">O64-O72-O74</f>
        <v>2020.62398667933</v>
      </c>
      <c r="P75" s="13" t="n">
        <f aca="false">P64-P72-P74</f>
        <v>2063.29391519044</v>
      </c>
      <c r="Q75" s="13" t="n">
        <f aca="false">Q64-Q72-Q74</f>
        <v>2106.83178503802</v>
      </c>
      <c r="R75" s="13" t="n">
        <f aca="false">R64-R72-R74</f>
        <v>2080.04194726551</v>
      </c>
    </row>
    <row r="77" customFormat="false" ht="17.15" hidden="false" customHeight="false" outlineLevel="0" collapsed="false">
      <c r="A77" s="5" t="s">
        <v>359</v>
      </c>
      <c r="B77" s="0" t="s">
        <v>27</v>
      </c>
      <c r="C77" s="13" t="n">
        <f aca="false">q1_ni</f>
        <v>842.2</v>
      </c>
      <c r="D77" s="13" t="n">
        <f aca="false">g2_ni</f>
        <v>1360</v>
      </c>
      <c r="E77" s="13" t="n">
        <f aca="false">(E75+nonop_q+rf*nc_j/4)*(1-tax)</f>
        <v>1124.88419593647</v>
      </c>
      <c r="F77" s="13" t="n">
        <f aca="false">(F75+nonop_q+rf*nc_j/4)*(1-tax)</f>
        <v>1262.40968728709</v>
      </c>
      <c r="G77" s="13" t="n">
        <f aca="false">(G75+nonop_q+rf*$D98/4)*(1-tax)</f>
        <v>1352.46157351282</v>
      </c>
      <c r="H77" s="13" t="n">
        <f aca="false">(H75+nonop_q+rf*$D98/4)*(1-tax)</f>
        <v>1354.04946133143</v>
      </c>
      <c r="I77" s="13" t="n">
        <f aca="false">(I75+nonop_q+rf*$D98/4)*(1-tax)</f>
        <v>1319.95658342123</v>
      </c>
      <c r="J77" s="13" t="n">
        <f aca="false">(J75+nonop_q+rf*$D98/4)*(1-tax)</f>
        <v>1321.22564788265</v>
      </c>
      <c r="K77" s="13" t="n">
        <f aca="false">(K75+nonop_q+rf*$E98/4)*(1-tax)</f>
        <v>1329.48058485814</v>
      </c>
      <c r="L77" s="13" t="n">
        <f aca="false">(L75+nonop_q+rf*$E98/4)*(1-tax)</f>
        <v>1330.58160389157</v>
      </c>
      <c r="M77" s="13" t="n">
        <f aca="false">(M75+nonop_q+rf*$E98/4)*(1-tax)</f>
        <v>1331.59546114898</v>
      </c>
      <c r="N77" s="13" t="n">
        <f aca="false">(N75+nonop_q+rf*$E98/4)*(1-tax)</f>
        <v>1347.68590026055</v>
      </c>
      <c r="O77" s="13" t="n">
        <f aca="false">(O75+nonop_q+rf*$F98/4)*(1-tax)</f>
        <v>1383.1802806933</v>
      </c>
      <c r="P77" s="13" t="n">
        <f aca="false">(P75+nonop_q+rf*$F98/4)*(1-tax)</f>
        <v>1412.19583208086</v>
      </c>
      <c r="Q77" s="13" t="n">
        <f aca="false">(Q75+nonop_q+rf*$F98/4)*(1-tax)</f>
        <v>1441.80158357722</v>
      </c>
      <c r="R77" s="13" t="n">
        <f aca="false">(R75+nonop_q+rf*$F98/4)*(1-tax)</f>
        <v>1423.58449389191</v>
      </c>
      <c r="T77" s="5" t="s">
        <v>479</v>
      </c>
    </row>
    <row r="78" customFormat="false" ht="17.15" hidden="false" customHeight="false" outlineLevel="0" collapsed="false">
      <c r="A78" s="5" t="s">
        <v>480</v>
      </c>
      <c r="B78" s="0" t="s">
        <v>108</v>
      </c>
      <c r="C78" s="17" t="n">
        <f aca="false">C77/(sh0+dil)*1000</f>
        <v>507.343332753891</v>
      </c>
      <c r="D78" s="17" t="n">
        <f aca="false">D77/(sh0+dil)*1000</f>
        <v>819.267314824616</v>
      </c>
      <c r="E78" s="17" t="n">
        <f aca="false">E77/(sh0+dil)*1000</f>
        <v>677.632981392293</v>
      </c>
      <c r="F78" s="17" t="n">
        <f aca="false">F77/(sh0+dil)*1000</f>
        <v>760.478672582555</v>
      </c>
      <c r="G78" s="17" t="n">
        <f aca="false">G77/(sh0+dil)*1000</f>
        <v>814.726148334796</v>
      </c>
      <c r="H78" s="17" t="n">
        <f aca="false">H77/(sh0+dil)*1000</f>
        <v>815.682695826999</v>
      </c>
      <c r="I78" s="17" t="n">
        <f aca="false">I77/(sh0+dil)*1000</f>
        <v>795.145063076901</v>
      </c>
      <c r="J78" s="17" t="n">
        <f aca="false">J77/(sh0+dil)*1000</f>
        <v>795.909550601644</v>
      </c>
      <c r="K78" s="17" t="n">
        <f aca="false">K77/(sh0+dil)*1000</f>
        <v>800.88234475602</v>
      </c>
      <c r="L78" s="17" t="n">
        <f aca="false">L77/(sh0+dil)*1000</f>
        <v>801.545601305348</v>
      </c>
      <c r="M78" s="17" t="n">
        <f aca="false">M77/(sh0+dil)*1000</f>
        <v>802.15635138836</v>
      </c>
      <c r="N78" s="17" t="n">
        <f aca="false">N77/(sh0+dil)*1000</f>
        <v>811.849271127543</v>
      </c>
      <c r="O78" s="17" t="n">
        <f aca="false">O77/(sh0+dil)*1000</f>
        <v>833.231172413207</v>
      </c>
      <c r="P78" s="17" t="n">
        <f aca="false">P77/(sh0+dil)*1000</f>
        <v>850.710211290735</v>
      </c>
      <c r="Q78" s="17" t="n">
        <f aca="false">Q77/(sh0+dil)*1000</f>
        <v>868.544788152342</v>
      </c>
      <c r="R78" s="17" t="n">
        <f aca="false">R77/(sh0+dil)*1000</f>
        <v>857.570768924107</v>
      </c>
    </row>
    <row r="80" customFormat="false" ht="17.15" hidden="false" customHeight="false" outlineLevel="0" collapsed="false">
      <c r="A80" s="12" t="s">
        <v>481</v>
      </c>
      <c r="B80" s="6" t="s">
        <v>17</v>
      </c>
      <c r="C80" s="12" t="s">
        <v>425</v>
      </c>
      <c r="D80" s="12" t="s">
        <v>426</v>
      </c>
      <c r="E80" s="12" t="s">
        <v>427</v>
      </c>
      <c r="F80" s="12" t="s">
        <v>428</v>
      </c>
      <c r="G80" s="12" t="s">
        <v>429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6" t="s">
        <v>330</v>
      </c>
    </row>
    <row r="81" customFormat="false" ht="17.15" hidden="false" customHeight="false" outlineLevel="0" collapsed="false">
      <c r="A81" s="5" t="s">
        <v>354</v>
      </c>
      <c r="B81" s="0" t="s">
        <v>27</v>
      </c>
      <c r="C81" s="13" t="n">
        <f aca="false">a25_rev</f>
        <v>2337.6</v>
      </c>
      <c r="D81" s="13" t="n">
        <f aca="false">SUM(C64:F64)</f>
        <v>8738.42331405945</v>
      </c>
      <c r="E81" s="13" t="n">
        <f aca="false">SUM(G64:J64)</f>
        <v>9919.81054484254</v>
      </c>
      <c r="F81" s="13" t="n">
        <f aca="false">SUM(K64:N64)</f>
        <v>10007.9840967292</v>
      </c>
      <c r="G81" s="13" t="n">
        <f aca="false">SUM(O64:R64)</f>
        <v>10535.1808677385</v>
      </c>
      <c r="T81" s="8" t="s">
        <v>482</v>
      </c>
    </row>
    <row r="82" customFormat="false" ht="17.15" hidden="false" customHeight="false" outlineLevel="0" collapsed="false">
      <c r="A82" s="5" t="s">
        <v>483</v>
      </c>
      <c r="B82" s="0" t="s">
        <v>27</v>
      </c>
      <c r="C82" s="13" t="n">
        <f aca="false">p1_ss+p2_ss+p3_ss+p4_ss</f>
        <v>1364.7</v>
      </c>
      <c r="D82" s="13" t="n">
        <f aca="false">SUM(C65:F65)</f>
        <v>5775.77338727924</v>
      </c>
      <c r="E82" s="13" t="n">
        <f aca="false">SUM(G65:J65)</f>
        <v>6745.47117049293</v>
      </c>
      <c r="F82" s="13" t="n">
        <f aca="false">SUM(K65:N65)</f>
        <v>7005.58886771046</v>
      </c>
      <c r="G82" s="13" t="n">
        <f aca="false">SUM(O65:R65)</f>
        <v>7374.62660741693</v>
      </c>
    </row>
    <row r="83" customFormat="false" ht="17.15" hidden="false" customHeight="false" outlineLevel="0" collapsed="false">
      <c r="A83" s="0" t="s">
        <v>484</v>
      </c>
      <c r="B83" s="0" t="s">
        <v>27</v>
      </c>
      <c r="C83" s="13" t="n">
        <f aca="false">C82*(0.75*Units!C16+0.25*Units!D16)</f>
        <v>507.679569396364</v>
      </c>
      <c r="D83" s="13" t="n">
        <f aca="false">SUM(C66:F66)</f>
        <v>3379.82972981648</v>
      </c>
      <c r="E83" s="13" t="n">
        <f aca="false">SUM(G66:J66)</f>
        <v>4647.46421027356</v>
      </c>
      <c r="F83" s="13" t="n">
        <f aca="false">SUM(K66:N66)</f>
        <v>5112.68788654182</v>
      </c>
      <c r="G83" s="13" t="n">
        <f aca="false">SUM(O66:R66)</f>
        <v>5620.62793446083</v>
      </c>
    </row>
    <row r="84" customFormat="false" ht="15" hidden="false" customHeight="false" outlineLevel="0" collapsed="false">
      <c r="A84" s="5" t="s">
        <v>485</v>
      </c>
      <c r="B84" s="0" t="s">
        <v>27</v>
      </c>
      <c r="C84" s="13" t="n">
        <f aca="false">p1_sd+p2_sd+p3_sd+p4_sd</f>
        <v>759.5</v>
      </c>
      <c r="D84" s="13" t="n">
        <f aca="false">SUM(C69:F69)</f>
        <v>2617.09699421783</v>
      </c>
      <c r="E84" s="13" t="n">
        <f aca="false">SUM(G69:J69)</f>
        <v>2777.54695255591</v>
      </c>
      <c r="F84" s="13" t="n">
        <f aca="false">SUM(K69:N69)</f>
        <v>2602.0758651496</v>
      </c>
      <c r="G84" s="13" t="n">
        <f aca="false">SUM(O69:R69)</f>
        <v>2739.147025612</v>
      </c>
    </row>
    <row r="85" customFormat="false" ht="17.15" hidden="false" customHeight="false" outlineLevel="0" collapsed="false">
      <c r="A85" s="5" t="s">
        <v>486</v>
      </c>
      <c r="B85" s="0" t="s">
        <v>27</v>
      </c>
      <c r="C85" s="13" t="n">
        <f aca="false">a25_rev-C82-C84</f>
        <v>213.4</v>
      </c>
      <c r="D85" s="13" t="n">
        <f aca="false">SUM(C68:F68)</f>
        <v>345.552932562378</v>
      </c>
      <c r="E85" s="13" t="n">
        <f aca="false">SUM(G68:J68)</f>
        <v>396.792421793701</v>
      </c>
      <c r="F85" s="13" t="n">
        <f aca="false">SUM(K68:N68)</f>
        <v>400.319363869169</v>
      </c>
      <c r="G85" s="13" t="n">
        <f aca="false">SUM(O68:R68)</f>
        <v>421.407234709539</v>
      </c>
      <c r="T85" s="8" t="s">
        <v>487</v>
      </c>
    </row>
    <row r="86" customFormat="false" ht="15" hidden="false" customHeight="false" outlineLevel="0" collapsed="false">
      <c r="A86" s="5" t="s">
        <v>488</v>
      </c>
      <c r="B86" s="0" t="s">
        <v>27</v>
      </c>
      <c r="C86" s="18" t="n">
        <f aca="false">C82+C84+C85-C81</f>
        <v>0</v>
      </c>
      <c r="D86" s="18" t="n">
        <f aca="false">D82+D84+D85-D81</f>
        <v>0</v>
      </c>
      <c r="E86" s="18" t="n">
        <f aca="false">E82+E84+E85-E81</f>
        <v>0</v>
      </c>
      <c r="F86" s="18" t="n">
        <f aca="false">F82+F84+F85-F81</f>
        <v>0</v>
      </c>
      <c r="G86" s="18" t="n">
        <f aca="false">G82+G84+G85-G81</f>
        <v>0</v>
      </c>
    </row>
    <row r="87" customFormat="false" ht="15" hidden="false" customHeight="false" outlineLevel="0" collapsed="false">
      <c r="A87" s="5" t="s">
        <v>475</v>
      </c>
      <c r="B87" s="0" t="s">
        <v>27</v>
      </c>
      <c r="C87" s="13" t="n">
        <f aca="false">a25_rev-(p1_gp+p2_gp+p3_gp+p4_gp)</f>
        <v>1324.8</v>
      </c>
      <c r="D87" s="13" t="n">
        <f aca="false">SUM(C72:F72)</f>
        <v>1648.87183128657</v>
      </c>
      <c r="E87" s="13" t="n">
        <f aca="false">SUM(G72:J72)</f>
        <v>1774.78243859574</v>
      </c>
      <c r="F87" s="13" t="n">
        <f aca="false">SUM(K72:N72)</f>
        <v>1900.70104032356</v>
      </c>
      <c r="G87" s="13" t="n">
        <f aca="false">SUM(O72:R72)</f>
        <v>1974.70899095458</v>
      </c>
    </row>
    <row r="88" customFormat="false" ht="15" hidden="false" customHeight="false" outlineLevel="0" collapsed="false">
      <c r="A88" s="5" t="s">
        <v>360</v>
      </c>
      <c r="B88" s="0" t="s">
        <v>145</v>
      </c>
      <c r="C88" s="14" t="n">
        <f aca="false">1-C87/C81</f>
        <v>0.433264887063655</v>
      </c>
      <c r="D88" s="14" t="n">
        <f aca="false">1-D87/D81</f>
        <v>0.811307855888182</v>
      </c>
      <c r="E88" s="14" t="n">
        <f aca="false">1-E87/E81</f>
        <v>0.821087063046938</v>
      </c>
      <c r="F88" s="14" t="n">
        <f aca="false">1-F87/F81</f>
        <v>0.810081528712187</v>
      </c>
      <c r="G88" s="14" t="n">
        <f aca="false">1-G87/G81</f>
        <v>0.812560504110408</v>
      </c>
    </row>
    <row r="89" customFormat="false" ht="15" hidden="false" customHeight="false" outlineLevel="0" collapsed="false">
      <c r="A89" s="5" t="s">
        <v>477</v>
      </c>
      <c r="B89" s="0" t="s">
        <v>27</v>
      </c>
      <c r="D89" s="13" t="n">
        <f aca="false">SUM(C74:F74)</f>
        <v>284.907183914702</v>
      </c>
      <c r="E89" s="13" t="n">
        <f aca="false">SUM(G74:J74)</f>
        <v>251.535654153566</v>
      </c>
      <c r="F89" s="13" t="n">
        <f aca="false">SUM(K74:N74)</f>
        <v>267.651144542947</v>
      </c>
      <c r="G89" s="13" t="n">
        <f aca="false">SUM(O74:R74)</f>
        <v>289.680242610605</v>
      </c>
    </row>
    <row r="90" customFormat="false" ht="15" hidden="false" customHeight="false" outlineLevel="0" collapsed="false">
      <c r="A90" s="5" t="s">
        <v>358</v>
      </c>
      <c r="B90" s="0" t="s">
        <v>27</v>
      </c>
      <c r="C90" s="13" t="n">
        <f aca="false">p1_op+p2_op+p3_op+p4_op</f>
        <v>869</v>
      </c>
      <c r="D90" s="13" t="n">
        <f aca="false">SUM(C75:F75)</f>
        <v>6804.64429885817</v>
      </c>
      <c r="E90" s="13" t="n">
        <f aca="false">SUM(G75:J75)</f>
        <v>7893.49245209324</v>
      </c>
      <c r="F90" s="13" t="n">
        <f aca="false">SUM(K75:N75)</f>
        <v>7839.63191186273</v>
      </c>
      <c r="G90" s="13" t="n">
        <f aca="false">SUM(O75:R75)</f>
        <v>8270.7916341733</v>
      </c>
    </row>
    <row r="91" customFormat="false" ht="15" hidden="false" customHeight="false" outlineLevel="0" collapsed="false">
      <c r="A91" s="5" t="s">
        <v>361</v>
      </c>
      <c r="B91" s="0" t="s">
        <v>145</v>
      </c>
      <c r="C91" s="14" t="n">
        <f aca="false">C90/C81</f>
        <v>0.371748802190281</v>
      </c>
      <c r="D91" s="14" t="n">
        <f aca="false">D90/D81</f>
        <v>0.778703898208963</v>
      </c>
      <c r="E91" s="14" t="n">
        <f aca="false">E90/E81</f>
        <v>0.795730162023829</v>
      </c>
      <c r="F91" s="14" t="n">
        <f aca="false">F90/F81</f>
        <v>0.783337766736145</v>
      </c>
      <c r="G91" s="14" t="n">
        <f aca="false">G90/G81</f>
        <v>0.785064038103101</v>
      </c>
    </row>
    <row r="92" customFormat="false" ht="15" hidden="false" customHeight="false" outlineLevel="0" collapsed="false">
      <c r="A92" s="5" t="s">
        <v>359</v>
      </c>
      <c r="B92" s="0" t="s">
        <v>27</v>
      </c>
      <c r="C92" s="13" t="n">
        <f aca="false">a25_ni</f>
        <v>554.5</v>
      </c>
      <c r="D92" s="13" t="n">
        <f aca="false">SUM(C77:F77)</f>
        <v>4589.49388322356</v>
      </c>
      <c r="E92" s="13" t="n">
        <f aca="false">SUM(G77:J77)</f>
        <v>5347.69326614814</v>
      </c>
      <c r="F92" s="13" t="n">
        <f aca="false">SUM(K77:N77)</f>
        <v>5339.34355015924</v>
      </c>
      <c r="G92" s="13" t="n">
        <f aca="false">SUM(O77:R77)</f>
        <v>5660.76219024329</v>
      </c>
    </row>
    <row r="93" customFormat="false" ht="15" hidden="false" customHeight="false" outlineLevel="0" collapsed="false">
      <c r="A93" s="5" t="s">
        <v>489</v>
      </c>
      <c r="B93" s="0" t="s">
        <v>27</v>
      </c>
      <c r="D93" s="13" t="n">
        <f aca="false">da_y</f>
        <v>320</v>
      </c>
      <c r="E93" s="13" t="n">
        <f aca="false">da_y</f>
        <v>320</v>
      </c>
      <c r="F93" s="13" t="n">
        <f aca="false">da_y</f>
        <v>320</v>
      </c>
      <c r="G93" s="13" t="n">
        <f aca="false">da_y</f>
        <v>320</v>
      </c>
    </row>
    <row r="94" customFormat="false" ht="15" hidden="false" customHeight="false" outlineLevel="0" collapsed="false">
      <c r="A94" s="5" t="s">
        <v>490</v>
      </c>
      <c r="B94" s="0" t="s">
        <v>27</v>
      </c>
      <c r="D94" s="13" t="n">
        <f aca="false">cap_2026</f>
        <v>450</v>
      </c>
      <c r="E94" s="13" t="n">
        <f aca="false">cap_2027</f>
        <v>470</v>
      </c>
      <c r="F94" s="13" t="n">
        <f aca="false">cap_2028</f>
        <v>470</v>
      </c>
      <c r="G94" s="13" t="n">
        <f aca="false">cap_2029</f>
        <v>470</v>
      </c>
    </row>
    <row r="95" customFormat="false" ht="15" hidden="false" customHeight="false" outlineLevel="0" collapsed="false">
      <c r="A95" s="5" t="s">
        <v>491</v>
      </c>
      <c r="B95" s="0" t="s">
        <v>27</v>
      </c>
      <c r="D95" s="13" t="n">
        <f aca="false">D92+D93-D94</f>
        <v>4459.49388322356</v>
      </c>
      <c r="E95" s="13" t="n">
        <f aca="false">E92+E93-E94</f>
        <v>5197.69326614814</v>
      </c>
      <c r="F95" s="13" t="n">
        <f aca="false">F92+F93-F94</f>
        <v>5189.34355015924</v>
      </c>
      <c r="G95" s="13" t="n">
        <f aca="false">G92+G93-G94</f>
        <v>5510.76219024329</v>
      </c>
    </row>
    <row r="96" customFormat="false" ht="17.15" hidden="false" customHeight="false" outlineLevel="0" collapsed="false">
      <c r="A96" s="5" t="s">
        <v>492</v>
      </c>
      <c r="B96" s="0" t="s">
        <v>27</v>
      </c>
      <c r="D96" s="13" t="n">
        <f aca="false">MAX(0,payout*(SUM(D77:F77)+0.75*(D93-D94)))</f>
        <v>729.958776644711</v>
      </c>
      <c r="E96" s="13" t="n">
        <f aca="false">MAX(0,payout*E95)</f>
        <v>1039.53865322963</v>
      </c>
      <c r="F96" s="13" t="n">
        <f aca="false">MAX(0,payout*F95)</f>
        <v>1037.86871003185</v>
      </c>
      <c r="G96" s="13" t="n">
        <f aca="false">MAX(0,payout*G95)</f>
        <v>1102.15243804866</v>
      </c>
      <c r="T96" s="8" t="s">
        <v>493</v>
      </c>
    </row>
    <row r="97" customFormat="false" ht="17.15" hidden="false" customHeight="false" outlineLevel="0" collapsed="false">
      <c r="A97" s="5" t="s">
        <v>494</v>
      </c>
      <c r="B97" s="0" t="s">
        <v>27</v>
      </c>
      <c r="C97" s="13" t="n">
        <f aca="false">eq25</f>
        <v>1399.1</v>
      </c>
      <c r="D97" s="13" t="n">
        <f aca="false">eq_j+SUM(D77:F77)-D96</f>
        <v>5421.63510657885</v>
      </c>
      <c r="E97" s="13" t="n">
        <f aca="false">D97+E92-E96</f>
        <v>9729.78971949735</v>
      </c>
      <c r="F97" s="13" t="n">
        <f aca="false">E97+F92-F96</f>
        <v>14031.2645596247</v>
      </c>
      <c r="G97" s="13" t="n">
        <f aca="false">F97+G92-G96</f>
        <v>18589.8743118194</v>
      </c>
      <c r="T97" s="8" t="s">
        <v>495</v>
      </c>
    </row>
    <row r="98" customFormat="false" ht="15" hidden="false" customHeight="false" outlineLevel="0" collapsed="false">
      <c r="A98" s="5" t="s">
        <v>496</v>
      </c>
      <c r="B98" s="0" t="s">
        <v>27</v>
      </c>
      <c r="D98" s="13" t="n">
        <f aca="false">nc_j+(SUM(D77:F77)+0.75*(D93-D94))-D96</f>
        <v>3076.23510657885</v>
      </c>
      <c r="E98" s="13" t="n">
        <f aca="false">D98+E95-E96</f>
        <v>7234.38971949735</v>
      </c>
      <c r="F98" s="13" t="n">
        <f aca="false">E98+F95-F96</f>
        <v>11385.8645596247</v>
      </c>
      <c r="G98" s="13" t="n">
        <f aca="false">F98+G95-G96</f>
        <v>15794.4743118194</v>
      </c>
    </row>
    <row r="99" customFormat="false" ht="15" hidden="false" customHeight="false" outlineLevel="0" collapsed="false">
      <c r="A99" s="5" t="s">
        <v>497</v>
      </c>
      <c r="B99" s="5" t="s">
        <v>209</v>
      </c>
      <c r="D99" s="13" t="n">
        <f aca="false">sh0-D96/bb_px*1000</f>
        <v>1586.81468807725</v>
      </c>
      <c r="E99" s="13" t="n">
        <f aca="false">D99-E96/bb_px*1000</f>
        <v>1505.31420566019</v>
      </c>
      <c r="F99" s="13" t="n">
        <f aca="false">E99-F96/bb_px*1000</f>
        <v>1423.94464783723</v>
      </c>
      <c r="G99" s="13" t="n">
        <f aca="false">F99-G96/bb_px*1000</f>
        <v>1337.53520541867</v>
      </c>
    </row>
    <row r="100" customFormat="false" ht="17.15" hidden="false" customHeight="false" outlineLevel="0" collapsed="false">
      <c r="A100" s="0" t="s">
        <v>498</v>
      </c>
      <c r="B100" s="0" t="s">
        <v>108</v>
      </c>
      <c r="C100" s="17" t="n">
        <f aca="false">a25_eps</f>
        <v>341.4</v>
      </c>
      <c r="D100" s="17" t="n">
        <f aca="false">D92/(D99+dil)*1000</f>
        <v>2863.43944866087</v>
      </c>
      <c r="E100" s="17" t="n">
        <f aca="false">E92/(E99+dil)*1000</f>
        <v>3515.23561576813</v>
      </c>
      <c r="F100" s="17" t="n">
        <f aca="false">F92/(F99+dil)*1000</f>
        <v>3708.08198244895</v>
      </c>
      <c r="G100" s="17" t="n">
        <f aca="false">G92/(G99+dil)*1000</f>
        <v>4182.27973370552</v>
      </c>
    </row>
    <row r="101" customFormat="false" ht="17.15" hidden="false" customHeight="false" outlineLevel="0" collapsed="false">
      <c r="A101" s="5" t="s">
        <v>499</v>
      </c>
      <c r="B101" s="0" t="s">
        <v>108</v>
      </c>
      <c r="D101" s="17" t="n">
        <f aca="false">D97/D99*1000</f>
        <v>3416.67817125406</v>
      </c>
      <c r="E101" s="17" t="n">
        <f aca="false">E97/E99*1000</f>
        <v>6463.62711712414</v>
      </c>
      <c r="F101" s="17" t="n">
        <f aca="false">F97/F99*1000</f>
        <v>9853.79914938146</v>
      </c>
      <c r="G101" s="17" t="n">
        <f aca="false">G97/G99*1000</f>
        <v>13898.605611656</v>
      </c>
    </row>
    <row r="102" customFormat="false" ht="17.15" hidden="false" customHeight="false" outlineLevel="0" collapsed="false">
      <c r="A102" s="0" t="s">
        <v>500</v>
      </c>
      <c r="B102" s="0" t="s">
        <v>145</v>
      </c>
      <c r="D102" s="21" t="n">
        <f aca="false">D92/D97</f>
        <v>0.846514712444308</v>
      </c>
      <c r="E102" s="21" t="n">
        <f aca="false">E92/E97</f>
        <v>0.549620641382618</v>
      </c>
      <c r="F102" s="21" t="n">
        <f aca="false">F92/F97</f>
        <v>0.380531884882515</v>
      </c>
      <c r="G102" s="21" t="n">
        <f aca="false">G92/G97</f>
        <v>0.304507824813221</v>
      </c>
    </row>
    <row r="103" customFormat="false" ht="15" hidden="false" customHeight="false" outlineLevel="0" collapsed="false">
      <c r="A103" s="5" t="s">
        <v>501</v>
      </c>
      <c r="B103" s="0" t="s">
        <v>108</v>
      </c>
      <c r="E103" s="17" t="n">
        <f aca="false">E95/(E99+dil)*1000</f>
        <v>3416.63509473544</v>
      </c>
      <c r="F103" s="17" t="n">
        <f aca="false">F95/(F99+dil)*1000</f>
        <v>3603.90957021472</v>
      </c>
      <c r="G103" s="17" t="n">
        <f aca="false">G95/(G99+dil)*1000</f>
        <v>4071.45685527104</v>
      </c>
    </row>
    <row r="104" customFormat="false" ht="17.15" hidden="false" customHeight="false" outlineLevel="0" collapsed="false">
      <c r="A104" s="5" t="s">
        <v>502</v>
      </c>
      <c r="B104" s="0" t="s">
        <v>27</v>
      </c>
      <c r="D104" s="18" t="n">
        <f aca="false">ABS(C64-q1_rev)+ABS(D75-g2_op)+ABS(C81-2337.6)</f>
        <v>0</v>
      </c>
    </row>
    <row r="110" customFormat="false" ht="17.15" hidden="false" customHeight="false" outlineLevel="0" collapsed="false">
      <c r="A110" s="3" t="s">
        <v>818</v>
      </c>
    </row>
    <row r="111" customFormat="false" ht="17.15" hidden="false" customHeight="false" outlineLevel="0" collapsed="false">
      <c r="A111" s="12" t="s">
        <v>442</v>
      </c>
      <c r="B111" s="6" t="s">
        <v>17</v>
      </c>
      <c r="C111" s="12" t="s">
        <v>443</v>
      </c>
      <c r="D111" s="12" t="s">
        <v>444</v>
      </c>
      <c r="E111" s="12" t="s">
        <v>445</v>
      </c>
      <c r="F111" s="12" t="s">
        <v>446</v>
      </c>
      <c r="G111" s="12" t="s">
        <v>447</v>
      </c>
      <c r="H111" s="12" t="s">
        <v>448</v>
      </c>
      <c r="I111" s="12" t="s">
        <v>449</v>
      </c>
      <c r="J111" s="12" t="s">
        <v>450</v>
      </c>
      <c r="K111" s="12" t="s">
        <v>451</v>
      </c>
      <c r="L111" s="12" t="s">
        <v>452</v>
      </c>
      <c r="M111" s="12" t="s">
        <v>453</v>
      </c>
      <c r="N111" s="12" t="s">
        <v>454</v>
      </c>
      <c r="O111" s="12" t="s">
        <v>455</v>
      </c>
      <c r="P111" s="12" t="s">
        <v>456</v>
      </c>
      <c r="Q111" s="12" t="s">
        <v>457</v>
      </c>
      <c r="R111" s="12" t="s">
        <v>458</v>
      </c>
      <c r="S111" s="12"/>
      <c r="T111" s="6" t="s">
        <v>330</v>
      </c>
    </row>
    <row r="112" customFormat="false" ht="17.15" hidden="false" customHeight="false" outlineLevel="0" collapsed="false">
      <c r="A112" s="5" t="s">
        <v>459</v>
      </c>
      <c r="B112" s="0" t="s">
        <v>391</v>
      </c>
      <c r="C112" s="19" t="n">
        <f aca="false">Units!H4*1</f>
        <v>10.72</v>
      </c>
      <c r="D112" s="19" t="n">
        <f aca="false">Units!I4*1</f>
        <v>14.9513168749304</v>
      </c>
      <c r="E112" s="19" t="n">
        <f aca="false">Units!J4*1*1.2</f>
        <v>19.4442777826666</v>
      </c>
      <c r="F112" s="19" t="n">
        <f aca="false">Units!K4*1*1.2</f>
        <v>21.425213977888</v>
      </c>
      <c r="G112" s="19" t="n">
        <f aca="false">Units!L4*1*1.2</f>
        <v>22.6544055732839</v>
      </c>
      <c r="H112" s="19" t="n">
        <f aca="false">Units!M4*1*1.2</f>
        <v>22.7564115713422</v>
      </c>
      <c r="I112" s="19" t="n">
        <f aca="false">Units!N4*1*1.2</f>
        <v>22.3776373587442</v>
      </c>
      <c r="J112" s="19" t="n">
        <f aca="false">Units!O4*1*1.2</f>
        <v>22.4783971524886</v>
      </c>
      <c r="K112" s="19" t="n">
        <f aca="false">Units!P4*1*1.2</f>
        <v>22.5796106373833</v>
      </c>
      <c r="L112" s="19" t="n">
        <f aca="false">Units!Q4*1*1.2</f>
        <v>22.6812798562637</v>
      </c>
      <c r="M112" s="19" t="n">
        <f aca="false">Units!R4*1*1.2</f>
        <v>22.7834068611632</v>
      </c>
      <c r="N112" s="19" t="n">
        <f aca="false">Units!S4*1*1.2</f>
        <v>23.024903185853</v>
      </c>
      <c r="O112" s="19" t="n">
        <f aca="false">Units!T4*1*1.2</f>
        <v>23.4725084839765</v>
      </c>
      <c r="P112" s="19" t="n">
        <f aca="false">Units!U4*1*1.2</f>
        <v>23.9288152520386</v>
      </c>
      <c r="Q112" s="19" t="n">
        <f aca="false">Units!V4*1*1.2</f>
        <v>24.3939926470607</v>
      </c>
      <c r="R112" s="19" t="n">
        <f aca="false">Units!W4*1*1.2</f>
        <v>24.0711927863174</v>
      </c>
      <c r="T112" s="8" t="s">
        <v>460</v>
      </c>
    </row>
    <row r="113" customFormat="false" ht="15" hidden="false" customHeight="false" outlineLevel="0" collapsed="false">
      <c r="A113" s="5" t="s">
        <v>461</v>
      </c>
      <c r="B113" s="0" t="s">
        <v>398</v>
      </c>
      <c r="C113" s="19" t="n">
        <f aca="false">Units!H7*1</f>
        <v>40.1757580440862</v>
      </c>
      <c r="D113" s="19" t="n">
        <f aca="false">Units!I7*1</f>
        <v>44.8269021796765</v>
      </c>
      <c r="E113" s="19" t="n">
        <f aca="false">Units!J7*1</f>
        <v>44.9411476117569</v>
      </c>
      <c r="F113" s="19" t="n">
        <f aca="false">Units!K7*1</f>
        <v>48.0773237904583</v>
      </c>
      <c r="G113" s="19" t="n">
        <f aca="false">Units!L7*1</f>
        <v>50.835580599158</v>
      </c>
      <c r="H113" s="19" t="n">
        <f aca="false">Units!M7*1</f>
        <v>53.7520820858664</v>
      </c>
      <c r="I113" s="19" t="n">
        <f aca="false">Units!N7*1</f>
        <v>56.8359069476934</v>
      </c>
      <c r="J113" s="19" t="n">
        <f aca="false">Units!O7*1</f>
        <v>60.0966547380729</v>
      </c>
      <c r="K113" s="19" t="n">
        <f aca="false">Units!P7*1</f>
        <v>63.5444757489475</v>
      </c>
      <c r="L113" s="19" t="n">
        <f aca="false">Units!Q7*1</f>
        <v>67.190102607333</v>
      </c>
      <c r="M113" s="19" t="n">
        <f aca="false">Units!R7*1</f>
        <v>71.0448836846168</v>
      </c>
      <c r="N113" s="19" t="n">
        <f aca="false">Units!S7*1</f>
        <v>74.0184898623123</v>
      </c>
      <c r="O113" s="19" t="n">
        <f aca="false">Units!T7*1</f>
        <v>77.7911475249602</v>
      </c>
      <c r="P113" s="19" t="n">
        <f aca="false">Units!U7*1</f>
        <v>81.7560942476254</v>
      </c>
      <c r="Q113" s="19" t="n">
        <f aca="false">Units!V7*1</f>
        <v>85.9231308354458</v>
      </c>
      <c r="R113" s="19" t="n">
        <f aca="false">Units!W7*1</f>
        <v>87.5395173614874</v>
      </c>
    </row>
    <row r="114" customFormat="false" ht="17.15" hidden="false" customHeight="false" outlineLevel="0" collapsed="false">
      <c r="A114" s="5" t="s">
        <v>354</v>
      </c>
      <c r="B114" s="0" t="s">
        <v>27</v>
      </c>
      <c r="C114" s="13" t="n">
        <f aca="false">q1_rev</f>
        <v>1767.1</v>
      </c>
      <c r="D114" s="13" t="n">
        <f aca="false">g2_rev</f>
        <v>2480</v>
      </c>
      <c r="E114" s="13" t="n">
        <f aca="false">E112*kx_k*fx</f>
        <v>3205.22231993937</v>
      </c>
      <c r="F114" s="13" t="n">
        <f aca="false">F112*kx_k*fx</f>
        <v>3531.7626511498</v>
      </c>
      <c r="G114" s="13" t="n">
        <f aca="false">G112*kx_k*fx</f>
        <v>3734.38433661846</v>
      </c>
      <c r="H114" s="13" t="n">
        <f aca="false">H112*kx_k*fx</f>
        <v>3751.19914997376</v>
      </c>
      <c r="I114" s="13" t="n">
        <f aca="false">I112*kx_k*fx</f>
        <v>3688.76147170119</v>
      </c>
      <c r="J114" s="13" t="n">
        <f aca="false">J112*kx_k*fx</f>
        <v>3705.37085897038</v>
      </c>
      <c r="K114" s="13" t="n">
        <f aca="false">K112*kx_k*fx</f>
        <v>3722.05503333209</v>
      </c>
      <c r="L114" s="13" t="n">
        <f aca="false">L112*kx_k*fx</f>
        <v>3738.81433153018</v>
      </c>
      <c r="M114" s="13" t="n">
        <f aca="false">M112*kx_k*fx</f>
        <v>3755.64909182477</v>
      </c>
      <c r="N114" s="13" t="n">
        <f aca="false">N112*kx_k*fx</f>
        <v>3795.4576884068</v>
      </c>
      <c r="O114" s="13" t="n">
        <f aca="false">O112*kx_k*fx</f>
        <v>3869.2415804137</v>
      </c>
      <c r="P114" s="13" t="n">
        <f aca="false">P112*kx_k*fx</f>
        <v>3944.45983506318</v>
      </c>
      <c r="Q114" s="13" t="n">
        <f aca="false">Q112*kx_k*fx</f>
        <v>4021.14033643852</v>
      </c>
      <c r="R114" s="13" t="n">
        <f aca="false">R112*kx_k*fx</f>
        <v>3967.92954969231</v>
      </c>
      <c r="T114" s="5" t="s">
        <v>462</v>
      </c>
    </row>
    <row r="115" customFormat="false" ht="17.15" hidden="false" customHeight="false" outlineLevel="0" collapsed="false">
      <c r="A115" s="0" t="s">
        <v>463</v>
      </c>
      <c r="B115" s="0" t="s">
        <v>27</v>
      </c>
      <c r="C115" s="13" t="n">
        <f aca="false">q1_ss</f>
        <v>1174.7</v>
      </c>
      <c r="D115" s="13" t="n">
        <f aca="false">D114*sssh_26</f>
        <v>1636.8</v>
      </c>
      <c r="E115" s="13" t="n">
        <f aca="false">E114*sssh_26</f>
        <v>2115.44673115999</v>
      </c>
      <c r="F115" s="13" t="n">
        <f aca="false">F114*sssh_26</f>
        <v>2330.96334975886</v>
      </c>
      <c r="G115" s="13" t="n">
        <f aca="false">G114*sssh_27</f>
        <v>2539.38134890056</v>
      </c>
      <c r="H115" s="13" t="n">
        <f aca="false">H114*sssh_27</f>
        <v>2550.81542198216</v>
      </c>
      <c r="I115" s="13" t="n">
        <f aca="false">I114*sssh_27</f>
        <v>2508.35780075681</v>
      </c>
      <c r="J115" s="13" t="n">
        <f aca="false">J114*sssh_27</f>
        <v>2519.65218409986</v>
      </c>
      <c r="K115" s="13" t="n">
        <f aca="false">K114*sssh_28</f>
        <v>2605.43852333246</v>
      </c>
      <c r="L115" s="13" t="n">
        <f aca="false">L114*sssh_28</f>
        <v>2617.17003207113</v>
      </c>
      <c r="M115" s="13" t="n">
        <f aca="false">M114*sssh_28</f>
        <v>2628.95436427734</v>
      </c>
      <c r="N115" s="13" t="n">
        <f aca="false">N114*sssh_28</f>
        <v>2656.82038188476</v>
      </c>
      <c r="O115" s="13" t="n">
        <f aca="false">O114*sssh_29</f>
        <v>2708.46910628959</v>
      </c>
      <c r="P115" s="13" t="n">
        <f aca="false">P114*sssh_29</f>
        <v>2761.12188454423</v>
      </c>
      <c r="Q115" s="13" t="n">
        <f aca="false">Q114*sssh_29</f>
        <v>2814.79823550696</v>
      </c>
      <c r="R115" s="13" t="n">
        <f aca="false">R114*sssh_29</f>
        <v>2777.55068478462</v>
      </c>
      <c r="T115" s="5" t="s">
        <v>464</v>
      </c>
    </row>
    <row r="116" customFormat="false" ht="17.15" hidden="false" customHeight="false" outlineLevel="0" collapsed="false">
      <c r="A116" s="0" t="s">
        <v>465</v>
      </c>
      <c r="B116" s="0" t="s">
        <v>27</v>
      </c>
      <c r="C116" s="13" t="n">
        <f aca="false">C115*(0.75*Units!D16+0.25*Units!E16)</f>
        <v>687.403351447223</v>
      </c>
      <c r="D116" s="13" t="n">
        <f aca="false">D115*(0.75*Units!D16+0.25*Units!E16)</f>
        <v>957.812041924589</v>
      </c>
      <c r="E116" s="13" t="n">
        <f aca="false">E115*(0.75*Units!D16+0.25*Units!E16)</f>
        <v>1237.90344156589</v>
      </c>
      <c r="F116" s="13" t="n">
        <f aca="false">F115*(0.75*Units!D16+0.25*Units!E16)</f>
        <v>1364.01806310112</v>
      </c>
      <c r="G116" s="13" t="n">
        <f aca="false">G115*(0.75*Units!E16+0.25*Units!F16)</f>
        <v>1749.571473506</v>
      </c>
      <c r="H116" s="13" t="n">
        <f aca="false">H115*(0.75*Units!E16+0.25*Units!F16)</f>
        <v>1757.44926944957</v>
      </c>
      <c r="I116" s="13" t="n">
        <f aca="false">I115*(0.75*Units!E16+0.25*Units!F16)</f>
        <v>1728.19700965765</v>
      </c>
      <c r="J116" s="13" t="n">
        <f aca="false">J115*(0.75*Units!E16+0.25*Units!F16)</f>
        <v>1735.97856279712</v>
      </c>
      <c r="K116" s="13" t="n">
        <f aca="false">K115*(0.75*Units!F16+0.25*Units!G16)</f>
        <v>1901.45243018304</v>
      </c>
      <c r="L116" s="13" t="n">
        <f aca="false">L115*(0.75*Units!F16+0.25*Units!G16)</f>
        <v>1910.01410055103</v>
      </c>
      <c r="M116" s="13" t="n">
        <f aca="false">M115*(0.75*Units!F16+0.25*Units!G16)</f>
        <v>1918.61432155449</v>
      </c>
      <c r="N116" s="13" t="n">
        <f aca="false">N115*(0.75*Units!F16+0.25*Units!G16)</f>
        <v>1938.95097752417</v>
      </c>
      <c r="O116" s="13" t="n">
        <f aca="false">O115*(0.75*Units!G16+0.25*Units!H16)</f>
        <v>2064.28039395578</v>
      </c>
      <c r="P116" s="13" t="n">
        <f aca="false">P115*(0.75*Units!G16+0.25*Units!H16)</f>
        <v>2104.41011062338</v>
      </c>
      <c r="Q116" s="13" t="n">
        <f aca="false">Q115*(0.75*Units!G16+0.25*Units!H16)</f>
        <v>2145.31995103993</v>
      </c>
      <c r="R116" s="13" t="n">
        <f aca="false">R115*(0.75*Units!G16+0.25*Units!H16)</f>
        <v>2116.93144607214</v>
      </c>
      <c r="T116" s="5" t="s">
        <v>466</v>
      </c>
    </row>
    <row r="117" customFormat="false" ht="17.15" hidden="false" customHeight="false" outlineLevel="0" collapsed="false">
      <c r="A117" s="0" t="s">
        <v>467</v>
      </c>
      <c r="B117" s="0" t="s">
        <v>27</v>
      </c>
      <c r="C117" s="13" t="n">
        <f aca="false">C115-C116</f>
        <v>487.296648552777</v>
      </c>
      <c r="D117" s="13" t="n">
        <f aca="false">D115-D116</f>
        <v>678.987958075412</v>
      </c>
      <c r="E117" s="13" t="n">
        <f aca="false">E115-E116</f>
        <v>877.5432895941</v>
      </c>
      <c r="F117" s="13" t="n">
        <f aca="false">F115-F116</f>
        <v>966.945286657742</v>
      </c>
      <c r="G117" s="13" t="n">
        <f aca="false">G115-G116</f>
        <v>789.809875394557</v>
      </c>
      <c r="H117" s="13" t="n">
        <f aca="false">H115-H116</f>
        <v>793.366152532587</v>
      </c>
      <c r="I117" s="13" t="n">
        <f aca="false">I115-I116</f>
        <v>780.160791099158</v>
      </c>
      <c r="J117" s="13" t="n">
        <f aca="false">J115-J116</f>
        <v>783.67362130274</v>
      </c>
      <c r="K117" s="13" t="n">
        <f aca="false">K115-K116</f>
        <v>703.986093149425</v>
      </c>
      <c r="L117" s="13" t="n">
        <f aca="false">L115-L116</f>
        <v>707.155931520095</v>
      </c>
      <c r="M117" s="13" t="n">
        <f aca="false">M115-M116</f>
        <v>710.340042722848</v>
      </c>
      <c r="N117" s="13" t="n">
        <f aca="false">N115-N116</f>
        <v>717.869404360592</v>
      </c>
      <c r="O117" s="13" t="n">
        <f aca="false">O115-O116</f>
        <v>644.188712333808</v>
      </c>
      <c r="P117" s="13" t="n">
        <f aca="false">P115-P116</f>
        <v>656.711773920845</v>
      </c>
      <c r="Q117" s="13" t="n">
        <f aca="false">Q115-Q116</f>
        <v>669.47828446703</v>
      </c>
      <c r="R117" s="13" t="n">
        <f aca="false">R115-R116</f>
        <v>660.619238712475</v>
      </c>
    </row>
    <row r="118" customFormat="false" ht="17.15" hidden="false" customHeight="false" outlineLevel="0" collapsed="false">
      <c r="A118" s="5" t="s">
        <v>468</v>
      </c>
      <c r="B118" s="0" t="s">
        <v>27</v>
      </c>
      <c r="C118" s="13" t="n">
        <f aca="false">q1_rev-q1_ss-q1_sd</f>
        <v>66.6999999999998</v>
      </c>
      <c r="D118" s="13" t="n">
        <f aca="false">D114*otsh_26</f>
        <v>99.2</v>
      </c>
      <c r="E118" s="13" t="n">
        <f aca="false">E114*otsh_26</f>
        <v>128.208892797575</v>
      </c>
      <c r="F118" s="13" t="n">
        <f aca="false">F114*otsh_26</f>
        <v>141.270506045992</v>
      </c>
      <c r="G118" s="13" t="n">
        <f aca="false">G114*otsh_27</f>
        <v>149.375373464739</v>
      </c>
      <c r="H118" s="13" t="n">
        <f aca="false">H114*otsh_27</f>
        <v>150.04796599895</v>
      </c>
      <c r="I118" s="13" t="n">
        <f aca="false">I114*otsh_27</f>
        <v>147.550458868048</v>
      </c>
      <c r="J118" s="13" t="n">
        <f aca="false">J114*otsh_27</f>
        <v>148.214834358815</v>
      </c>
      <c r="K118" s="13" t="n">
        <f aca="false">K114*otsh_28</f>
        <v>148.882201333284</v>
      </c>
      <c r="L118" s="13" t="n">
        <f aca="false">L114*otsh_28</f>
        <v>149.552573261207</v>
      </c>
      <c r="M118" s="13" t="n">
        <f aca="false">M114*otsh_28</f>
        <v>150.225963672991</v>
      </c>
      <c r="N118" s="13" t="n">
        <f aca="false">N114*otsh_28</f>
        <v>151.818307536272</v>
      </c>
      <c r="O118" s="13" t="n">
        <f aca="false">O114*otsh_29</f>
        <v>154.769663216548</v>
      </c>
      <c r="P118" s="13" t="n">
        <f aca="false">P114*otsh_29</f>
        <v>157.778393402527</v>
      </c>
      <c r="Q118" s="13" t="n">
        <f aca="false">Q114*otsh_29</f>
        <v>160.845613457541</v>
      </c>
      <c r="R118" s="13" t="n">
        <f aca="false">R114*otsh_29</f>
        <v>158.717181987692</v>
      </c>
      <c r="T118" s="5" t="s">
        <v>469</v>
      </c>
    </row>
    <row r="119" customFormat="false" ht="17.15" hidden="false" customHeight="false" outlineLevel="0" collapsed="false">
      <c r="A119" s="5" t="s">
        <v>470</v>
      </c>
      <c r="B119" s="0" t="s">
        <v>27</v>
      </c>
      <c r="C119" s="13" t="n">
        <f aca="false">q1_sd</f>
        <v>525.7</v>
      </c>
      <c r="D119" s="13" t="n">
        <f aca="false">D114-D115-D118</f>
        <v>744</v>
      </c>
      <c r="E119" s="13" t="n">
        <f aca="false">E114-E115-E118</f>
        <v>961.566695981812</v>
      </c>
      <c r="F119" s="13" t="n">
        <f aca="false">F114-F115-F118</f>
        <v>1059.52879534494</v>
      </c>
      <c r="G119" s="13" t="n">
        <f aca="false">G114-G115-G118</f>
        <v>1045.62761425317</v>
      </c>
      <c r="H119" s="13" t="n">
        <f aca="false">H114-H115-H118</f>
        <v>1050.33576199265</v>
      </c>
      <c r="I119" s="13" t="n">
        <f aca="false">I114-I115-I118</f>
        <v>1032.85321207633</v>
      </c>
      <c r="J119" s="13" t="n">
        <f aca="false">J114-J115-J118</f>
        <v>1037.50384051171</v>
      </c>
      <c r="K119" s="13" t="n">
        <f aca="false">K114-K115-K118</f>
        <v>967.734308666343</v>
      </c>
      <c r="L119" s="13" t="n">
        <f aca="false">L114-L115-L118</f>
        <v>972.091726197848</v>
      </c>
      <c r="M119" s="13" t="n">
        <f aca="false">M114-M115-M118</f>
        <v>976.468763874441</v>
      </c>
      <c r="N119" s="13" t="n">
        <f aca="false">N114-N115-N118</f>
        <v>986.818998985769</v>
      </c>
      <c r="O119" s="13" t="n">
        <f aca="false">O114-O115-O118</f>
        <v>1006.00281090756</v>
      </c>
      <c r="P119" s="13" t="n">
        <f aca="false">P114-P115-P118</f>
        <v>1025.55955711643</v>
      </c>
      <c r="Q119" s="13" t="n">
        <f aca="false">Q114-Q115-Q118</f>
        <v>1045.49648747401</v>
      </c>
      <c r="R119" s="13" t="n">
        <f aca="false">R114-R115-R118</f>
        <v>1031.66168292</v>
      </c>
      <c r="T119" s="5" t="s">
        <v>471</v>
      </c>
    </row>
    <row r="120" customFormat="false" ht="15" hidden="false" customHeight="false" outlineLevel="0" collapsed="false">
      <c r="A120" s="5" t="s">
        <v>472</v>
      </c>
      <c r="B120" s="0" t="s">
        <v>27</v>
      </c>
      <c r="C120" s="18" t="n">
        <f aca="false">C115+C119+C118-C114</f>
        <v>0</v>
      </c>
      <c r="D120" s="18" t="n">
        <f aca="false">D115+D119+D118-D114</f>
        <v>0</v>
      </c>
      <c r="E120" s="18" t="n">
        <f aca="false">E115+E119+E118-E114</f>
        <v>0</v>
      </c>
      <c r="F120" s="18" t="n">
        <f aca="false">F115+F119+F118-F114</f>
        <v>0</v>
      </c>
      <c r="G120" s="18" t="n">
        <f aca="false">G115+G119+G118-G114</f>
        <v>0</v>
      </c>
      <c r="H120" s="18" t="n">
        <f aca="false">H115+H119+H118-H114</f>
        <v>0</v>
      </c>
      <c r="I120" s="18" t="n">
        <f aca="false">I115+I119+I118-I114</f>
        <v>0</v>
      </c>
      <c r="J120" s="18" t="n">
        <f aca="false">J115+J119+J118-J114</f>
        <v>0</v>
      </c>
      <c r="K120" s="18" t="n">
        <f aca="false">K115+K119+K118-K114</f>
        <v>0</v>
      </c>
      <c r="L120" s="18" t="n">
        <f aca="false">L115+L119+L118-L114</f>
        <v>0</v>
      </c>
      <c r="M120" s="18" t="n">
        <f aca="false">M115+M119+M118-M114</f>
        <v>0</v>
      </c>
      <c r="N120" s="18" t="n">
        <f aca="false">N115+N119+N118-N114</f>
        <v>0</v>
      </c>
      <c r="O120" s="18" t="n">
        <f aca="false">O115+O119+O118-O114</f>
        <v>0</v>
      </c>
      <c r="P120" s="18" t="n">
        <f aca="false">P115+P119+P118-P114</f>
        <v>0</v>
      </c>
      <c r="Q120" s="18" t="n">
        <f aca="false">Q115+Q119+Q118-Q114</f>
        <v>0</v>
      </c>
      <c r="R120" s="18" t="n">
        <f aca="false">R115+R119+R118-R114</f>
        <v>0</v>
      </c>
    </row>
    <row r="121" customFormat="false" ht="17.15" hidden="false" customHeight="false" outlineLevel="0" collapsed="false">
      <c r="A121" s="5" t="s">
        <v>473</v>
      </c>
      <c r="B121" s="0" t="s">
        <v>474</v>
      </c>
      <c r="C121" s="20" t="n">
        <f aca="false">C122/C113</f>
        <v>9.63267449926724</v>
      </c>
      <c r="D121" s="20" t="n">
        <f aca="false">D122/D113</f>
        <v>9.50991434320605</v>
      </c>
      <c r="E121" s="20" t="n">
        <f aca="false">$D121*(1-cd_A)^(1/4)</f>
        <v>9.15801220601616</v>
      </c>
      <c r="F121" s="20" t="n">
        <f aca="false">$D121*(1-cd_A)^(2/4)</f>
        <v>8.81913175437355</v>
      </c>
      <c r="G121" s="20" t="n">
        <f aca="false">$D121*(1-cd_A)^(3/4)</f>
        <v>8.49279113756868</v>
      </c>
      <c r="H121" s="20" t="n">
        <f aca="false">$D121*(1-cd_A)^(4/4)</f>
        <v>8.1785263351572</v>
      </c>
      <c r="I121" s="20" t="n">
        <f aca="false">$D121*(1-cd_A)^(5/4)</f>
        <v>7.87589049717389</v>
      </c>
      <c r="J121" s="20" t="n">
        <f aca="false">$D121*(1-cd_A)^(6/4)</f>
        <v>7.58445330876125</v>
      </c>
      <c r="K121" s="20" t="n">
        <f aca="false">$D121*(1-cd_A)^(7/4)</f>
        <v>7.30380037830907</v>
      </c>
      <c r="L121" s="20" t="n">
        <f aca="false">$D121*(1-cd_A)^(8/4)</f>
        <v>7.03353264823519</v>
      </c>
      <c r="M121" s="20" t="n">
        <f aca="false">$D121*(1-cd_A)^(9/4)</f>
        <v>6.77326582756955</v>
      </c>
      <c r="N121" s="20" t="n">
        <f aca="false">$D121*(1-cd_A)^(10/4)</f>
        <v>6.52262984553468</v>
      </c>
      <c r="O121" s="20" t="n">
        <f aca="false">$D121*(1-cd_A)^(11/4)</f>
        <v>6.2812683253458</v>
      </c>
      <c r="P121" s="20" t="n">
        <f aca="false">$D121*(1-cd_A)^(12/4)</f>
        <v>6.04883807748227</v>
      </c>
      <c r="Q121" s="20" t="n">
        <f aca="false">$D121*(1-cd_A)^(13/4)</f>
        <v>5.82500861170981</v>
      </c>
      <c r="R121" s="20" t="n">
        <f aca="false">$D121*(1-cd_A)^(14/4)</f>
        <v>5.60946166715982</v>
      </c>
    </row>
    <row r="122" customFormat="false" ht="15" hidden="false" customHeight="false" outlineLevel="0" collapsed="false">
      <c r="A122" s="5" t="s">
        <v>475</v>
      </c>
      <c r="B122" s="0" t="s">
        <v>27</v>
      </c>
      <c r="C122" s="13" t="n">
        <f aca="false">q1_rev-q1_gp</f>
        <v>387</v>
      </c>
      <c r="D122" s="13" t="n">
        <f aca="false">g2_rev-g2_op-g2_ox</f>
        <v>426.3</v>
      </c>
      <c r="E122" s="13" t="n">
        <f aca="false">E113*E121</f>
        <v>411.571578380844</v>
      </c>
      <c r="F122" s="13" t="n">
        <f aca="false">F113*F121</f>
        <v>424.00025290573</v>
      </c>
      <c r="G122" s="13" t="n">
        <f aca="false">G113*G121</f>
        <v>431.735968385688</v>
      </c>
      <c r="H122" s="13" t="n">
        <f aca="false">H113*H121</f>
        <v>439.61281890879</v>
      </c>
      <c r="I122" s="13" t="n">
        <f aca="false">I113*I121</f>
        <v>447.633379427598</v>
      </c>
      <c r="J122" s="13" t="n">
        <f aca="false">J113*J121</f>
        <v>455.80027187366</v>
      </c>
      <c r="K122" s="13" t="n">
        <f aca="false">K113*K121</f>
        <v>464.116166014614</v>
      </c>
      <c r="L122" s="13" t="n">
        <f aca="false">L113*L121</f>
        <v>472.583780326949</v>
      </c>
      <c r="M122" s="13" t="n">
        <f aca="false">M113*M121</f>
        <v>481.205882884668</v>
      </c>
      <c r="N122" s="13" t="n">
        <f aca="false">N113*N121</f>
        <v>482.795211097324</v>
      </c>
      <c r="O122" s="13" t="n">
        <f aca="false">O113*O121</f>
        <v>488.627070940835</v>
      </c>
      <c r="P122" s="13" t="n">
        <f aca="false">P113*P121</f>
        <v>494.529375951265</v>
      </c>
      <c r="Q122" s="13" t="n">
        <f aca="false">Q113*Q121</f>
        <v>500.502977061541</v>
      </c>
      <c r="R122" s="13" t="n">
        <f aca="false">R113*R121</f>
        <v>491.049567000935</v>
      </c>
      <c r="T122" s="5" t="s">
        <v>476</v>
      </c>
    </row>
    <row r="123" customFormat="false" ht="15" hidden="false" customHeight="false" outlineLevel="0" collapsed="false">
      <c r="A123" s="5" t="s">
        <v>360</v>
      </c>
      <c r="B123" s="0" t="s">
        <v>145</v>
      </c>
      <c r="C123" s="14" t="n">
        <f aca="false">1-C122/C114</f>
        <v>0.780997113915455</v>
      </c>
      <c r="D123" s="14" t="n">
        <f aca="false">1-D122/D114</f>
        <v>0.828104838709677</v>
      </c>
      <c r="E123" s="14" t="n">
        <f aca="false">1-E122/E114</f>
        <v>0.871593438052488</v>
      </c>
      <c r="F123" s="14" t="n">
        <f aca="false">1-F122/F114</f>
        <v>0.879946560744196</v>
      </c>
      <c r="G123" s="14" t="n">
        <f aca="false">1-G122/G114</f>
        <v>0.884388983706848</v>
      </c>
      <c r="H123" s="14" t="n">
        <f aca="false">1-H122/H114</f>
        <v>0.882807390028369</v>
      </c>
      <c r="I123" s="14" t="n">
        <f aca="false">1-I122/I114</f>
        <v>0.878649410415481</v>
      </c>
      <c r="J123" s="14" t="n">
        <f aca="false">1-J122/J114</f>
        <v>0.876989297637993</v>
      </c>
      <c r="K123" s="14" t="n">
        <f aca="false">1-K122/K114</f>
        <v>0.875306474015478</v>
      </c>
      <c r="L123" s="14" t="n">
        <f aca="false">1-L122/L114</f>
        <v>0.873600628856706</v>
      </c>
      <c r="M123" s="14" t="n">
        <f aca="false">1-M122/M114</f>
        <v>0.871871447220096</v>
      </c>
      <c r="N123" s="14" t="n">
        <f aca="false">1-N122/N114</f>
        <v>0.872796576662673</v>
      </c>
      <c r="O123" s="14" t="n">
        <f aca="false">1-O122/O114</f>
        <v>0.873715026372535</v>
      </c>
      <c r="P123" s="14" t="n">
        <f aca="false">1-P122/P114</f>
        <v>0.874626844579508</v>
      </c>
      <c r="Q123" s="14" t="n">
        <f aca="false">1-Q122/Q114</f>
        <v>0.875532079165178</v>
      </c>
      <c r="R123" s="14" t="n">
        <f aca="false">1-R122/R114</f>
        <v>0.876245391746178</v>
      </c>
    </row>
    <row r="124" customFormat="false" ht="17.15" hidden="false" customHeight="false" outlineLevel="0" collapsed="false">
      <c r="A124" s="5" t="s">
        <v>477</v>
      </c>
      <c r="B124" s="0" t="s">
        <v>27</v>
      </c>
      <c r="C124" s="13" t="n">
        <f aca="false">q1_gp-q1_op</f>
        <v>110.1</v>
      </c>
      <c r="D124" s="13" t="n">
        <f aca="false">g2_ox</f>
        <v>59</v>
      </c>
      <c r="E124" s="13" t="n">
        <f aca="false">(g2_ox-ox_var*g2_rev)*(1+ox_g)^(1/4)+ox_var*E114</f>
        <v>67.0769113660818</v>
      </c>
      <c r="F124" s="13" t="n">
        <f aca="false">(g2_ox-ox_var*g2_rev)*(1+ox_g)^(2/4)+ox_var*F114</f>
        <v>71.1868891189172</v>
      </c>
      <c r="G124" s="13" t="n">
        <f aca="false">(g2_ox-ox_var*g2_rev)*(1+ox_g)^(3/4)+ox_var*G114</f>
        <v>74.0780462198075</v>
      </c>
      <c r="H124" s="13" t="n">
        <f aca="false">(g2_ox-ox_var*g2_rev)*(1+ox_g)^(4/4)+ox_var*H114</f>
        <v>75.1319914997376</v>
      </c>
      <c r="I124" s="13" t="n">
        <f aca="false">(g2_ox-ox_var*g2_rev)*(1+ox_g)^(5/4)+ox_var*I114</f>
        <v>75.4147717003688</v>
      </c>
      <c r="J124" s="13" t="n">
        <f aca="false">(g2_ox-ox_var*g2_rev)*(1+ox_g)^(6/4)+ox_var*J114</f>
        <v>76.509897457865</v>
      </c>
      <c r="K124" s="13" t="n">
        <f aca="false">(g2_ox-ox_var*g2_rev)*(1+ox_g)^(7/4)+ox_var*K114</f>
        <v>77.628173472306</v>
      </c>
      <c r="L124" s="13" t="n">
        <f aca="false">(g2_ox-ox_var*g2_rev)*(1+ox_g)^(8/4)+ox_var*L114</f>
        <v>78.7701433153018</v>
      </c>
      <c r="M124" s="13" t="n">
        <f aca="false">(g2_ox-ox_var*g2_rev)*(1+ox_g)^(9/4)+ox_var*M114</f>
        <v>79.9363635999403</v>
      </c>
      <c r="N124" s="13" t="n">
        <f aca="false">(g2_ox-ox_var*g2_rev)*(1+ox_g)^(10/4)+ox_var*N114</f>
        <v>81.3563846390452</v>
      </c>
      <c r="O124" s="13" t="n">
        <f aca="false">(g2_ox-ox_var*g2_rev)*(1+ox_g)^(11/4)+ox_var*O114</f>
        <v>83.1408012570206</v>
      </c>
      <c r="P124" s="13" t="n">
        <f aca="false">(g2_ox-ox_var*g2_rev)*(1+ox_g)^(12/4)+ox_var*P114</f>
        <v>84.9647983506319</v>
      </c>
      <c r="Q124" s="13" t="n">
        <f aca="false">(g2_ox-ox_var*g2_rev)*(1+ox_g)^(13/4)+ox_var*Q114</f>
        <v>86.829263314247</v>
      </c>
      <c r="R124" s="13" t="n">
        <f aca="false">(g2_ox-ox_var*g2_rev)*(1+ox_g)^(14/4)+ox_var*R114</f>
        <v>87.421284027398</v>
      </c>
      <c r="T124" s="5" t="s">
        <v>478</v>
      </c>
    </row>
    <row r="125" customFormat="false" ht="15" hidden="false" customHeight="false" outlineLevel="0" collapsed="false">
      <c r="A125" s="5" t="s">
        <v>358</v>
      </c>
      <c r="B125" s="0" t="s">
        <v>27</v>
      </c>
      <c r="C125" s="13" t="n">
        <f aca="false">C114-C122-C124</f>
        <v>1270</v>
      </c>
      <c r="D125" s="13" t="n">
        <f aca="false">D114-D122-D124</f>
        <v>1994.7</v>
      </c>
      <c r="E125" s="13" t="n">
        <f aca="false">E114-E122-E124</f>
        <v>2726.57383019245</v>
      </c>
      <c r="F125" s="13" t="n">
        <f aca="false">F114-F122-F124</f>
        <v>3036.57550912515</v>
      </c>
      <c r="G125" s="13" t="n">
        <f aca="false">G114-G122-G124</f>
        <v>3228.57032201297</v>
      </c>
      <c r="H125" s="13" t="n">
        <f aca="false">H114-H122-H124</f>
        <v>3236.45433956523</v>
      </c>
      <c r="I125" s="13" t="n">
        <f aca="false">I114-I122-I124</f>
        <v>3165.71332057323</v>
      </c>
      <c r="J125" s="13" t="n">
        <f aca="false">J114-J122-J124</f>
        <v>3173.06068963886</v>
      </c>
      <c r="K125" s="13" t="n">
        <f aca="false">K114-K122-K124</f>
        <v>3180.31069384517</v>
      </c>
      <c r="L125" s="13" t="n">
        <f aca="false">L114-L122-L124</f>
        <v>3187.46040788793</v>
      </c>
      <c r="M125" s="13" t="n">
        <f aca="false">M114-M122-M124</f>
        <v>3194.50684534016</v>
      </c>
      <c r="N125" s="13" t="n">
        <f aca="false">N114-N122-N124</f>
        <v>3231.30609267043</v>
      </c>
      <c r="O125" s="13" t="n">
        <f aca="false">O114-O122-O124</f>
        <v>3297.47370821585</v>
      </c>
      <c r="P125" s="13" t="n">
        <f aca="false">P114-P122-P124</f>
        <v>3364.96566076129</v>
      </c>
      <c r="Q125" s="13" t="n">
        <f aca="false">Q114-Q122-Q124</f>
        <v>3433.80809606273</v>
      </c>
      <c r="R125" s="13" t="n">
        <f aca="false">R114-R122-R124</f>
        <v>3389.45869866397</v>
      </c>
    </row>
    <row r="127" customFormat="false" ht="17.15" hidden="false" customHeight="false" outlineLevel="0" collapsed="false">
      <c r="A127" s="5" t="s">
        <v>359</v>
      </c>
      <c r="B127" s="0" t="s">
        <v>27</v>
      </c>
      <c r="C127" s="13" t="n">
        <f aca="false">q1_ni</f>
        <v>842.2</v>
      </c>
      <c r="D127" s="13" t="n">
        <f aca="false">g2_ni</f>
        <v>1360</v>
      </c>
      <c r="E127" s="13" t="n">
        <f aca="false">(E125+nonop_q+rf*nc_j/4)*(1-tax)</f>
        <v>1844.13608453086</v>
      </c>
      <c r="F127" s="13" t="n">
        <f aca="false">(F125+nonop_q+rf*nc_j/4)*(1-tax)</f>
        <v>2054.9372262051</v>
      </c>
      <c r="G127" s="13" t="n">
        <f aca="false">(G125+nonop_q+rf*$D148/4)*(1-tax)</f>
        <v>2192.51343867142</v>
      </c>
      <c r="H127" s="13" t="n">
        <f aca="false">(H125+nonop_q+rf*$D148/4)*(1-tax)</f>
        <v>2197.87457060696</v>
      </c>
      <c r="I127" s="13" t="n">
        <f aca="false">(I125+nonop_q+rf*$D148/4)*(1-tax)</f>
        <v>2149.7706776924</v>
      </c>
      <c r="J127" s="13" t="n">
        <f aca="false">(J125+nonop_q+rf*$D148/4)*(1-tax)</f>
        <v>2154.76688865703</v>
      </c>
      <c r="K127" s="13" t="n">
        <f aca="false">(K125+nonop_q+rf*$E148/4)*(1-tax)</f>
        <v>2171.31799030017</v>
      </c>
      <c r="L127" s="13" t="n">
        <f aca="false">(L125+nonop_q+rf*$E148/4)*(1-tax)</f>
        <v>2176.17979584925</v>
      </c>
      <c r="M127" s="13" t="n">
        <f aca="false">(M125+nonop_q+rf*$E148/4)*(1-tax)</f>
        <v>2180.97137331677</v>
      </c>
      <c r="N127" s="13" t="n">
        <f aca="false">(N125+nonop_q+rf*$E148/4)*(1-tax)</f>
        <v>2205.99486150135</v>
      </c>
      <c r="O127" s="13" t="n">
        <f aca="false">(O125+nonop_q+rf*$F148/4)*(1-tax)</f>
        <v>2262.66371114075</v>
      </c>
      <c r="P127" s="13" t="n">
        <f aca="false">(P125+nonop_q+rf*$F148/4)*(1-tax)</f>
        <v>2308.55823887165</v>
      </c>
      <c r="Q127" s="13" t="n">
        <f aca="false">(Q125+nonop_q+rf*$F148/4)*(1-tax)</f>
        <v>2355.37109487663</v>
      </c>
      <c r="R127" s="13" t="n">
        <f aca="false">(R125+nonop_q+rf*$F148/4)*(1-tax)</f>
        <v>2325.21350464547</v>
      </c>
      <c r="T127" s="5" t="s">
        <v>479</v>
      </c>
    </row>
    <row r="128" customFormat="false" ht="17.15" hidden="false" customHeight="false" outlineLevel="0" collapsed="false">
      <c r="A128" s="5" t="s">
        <v>480</v>
      </c>
      <c r="B128" s="0" t="s">
        <v>108</v>
      </c>
      <c r="C128" s="17" t="n">
        <f aca="false">C127/(sh0+dil)*1000</f>
        <v>507.343332753891</v>
      </c>
      <c r="D128" s="17" t="n">
        <f aca="false">D127/(sh0+dil)*1000</f>
        <v>819.267314824616</v>
      </c>
      <c r="E128" s="17" t="n">
        <f aca="false">E127/(sh0+dil)*1000</f>
        <v>1110.91207216528</v>
      </c>
      <c r="F128" s="17" t="n">
        <f aca="false">F127/(sh0+dil)*1000</f>
        <v>1237.89919371044</v>
      </c>
      <c r="G128" s="17" t="n">
        <f aca="false">G127/(sh0+dil)*1000</f>
        <v>1320.77543942443</v>
      </c>
      <c r="H128" s="17" t="n">
        <f aca="false">H127/(sh0+dil)*1000</f>
        <v>1324.00499836946</v>
      </c>
      <c r="I128" s="17" t="n">
        <f aca="false">I127/(sh0+dil)*1000</f>
        <v>1295.02709603069</v>
      </c>
      <c r="J128" s="17" t="n">
        <f aca="false">J127/(sh0+dil)*1000</f>
        <v>1298.03682569341</v>
      </c>
      <c r="K128" s="17" t="n">
        <f aca="false">K127/(sh0+dil)*1000</f>
        <v>1308.00724966441</v>
      </c>
      <c r="L128" s="17" t="n">
        <f aca="false">L127/(sh0+dil)*1000</f>
        <v>1310.9360131772</v>
      </c>
      <c r="M128" s="17" t="n">
        <f aca="false">M127/(sh0+dil)*1000</f>
        <v>1313.82247112249</v>
      </c>
      <c r="N128" s="17" t="n">
        <f aca="false">N127/(sh0+dil)*1000</f>
        <v>1328.8966813964</v>
      </c>
      <c r="O128" s="17" t="n">
        <f aca="false">O127/(sh0+dil)*1000</f>
        <v>1363.03413454219</v>
      </c>
      <c r="P128" s="17" t="n">
        <f aca="false">P127/(sh0+dil)*1000</f>
        <v>1390.68110990928</v>
      </c>
      <c r="Q128" s="17" t="n">
        <f aca="false">Q127/(sh0+dil)*1000</f>
        <v>1418.88128846698</v>
      </c>
      <c r="R128" s="17" t="n">
        <f aca="false">R127/(sh0+dil)*1000</f>
        <v>1400.71428260649</v>
      </c>
    </row>
    <row r="130" customFormat="false" ht="17.15" hidden="false" customHeight="false" outlineLevel="0" collapsed="false">
      <c r="A130" s="12" t="s">
        <v>481</v>
      </c>
      <c r="B130" s="6" t="s">
        <v>17</v>
      </c>
      <c r="C130" s="12" t="s">
        <v>425</v>
      </c>
      <c r="D130" s="12" t="s">
        <v>426</v>
      </c>
      <c r="E130" s="12" t="s">
        <v>427</v>
      </c>
      <c r="F130" s="12" t="s">
        <v>428</v>
      </c>
      <c r="G130" s="12" t="s">
        <v>429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6" t="s">
        <v>330</v>
      </c>
    </row>
    <row r="131" customFormat="false" ht="17.15" hidden="false" customHeight="false" outlineLevel="0" collapsed="false">
      <c r="A131" s="5" t="s">
        <v>354</v>
      </c>
      <c r="B131" s="0" t="s">
        <v>27</v>
      </c>
      <c r="C131" s="13" t="n">
        <f aca="false">a25_rev</f>
        <v>2337.6</v>
      </c>
      <c r="D131" s="13" t="n">
        <f aca="false">SUM(C114:F114)</f>
        <v>10984.0849710892</v>
      </c>
      <c r="E131" s="13" t="n">
        <f aca="false">SUM(G114:J114)</f>
        <v>14879.7158172638</v>
      </c>
      <c r="F131" s="13" t="n">
        <f aca="false">SUM(K114:N114)</f>
        <v>15011.9761450938</v>
      </c>
      <c r="G131" s="13" t="n">
        <f aca="false">SUM(O114:R114)</f>
        <v>15802.7713016077</v>
      </c>
      <c r="T131" s="8" t="s">
        <v>482</v>
      </c>
    </row>
    <row r="132" customFormat="false" ht="17.15" hidden="false" customHeight="false" outlineLevel="0" collapsed="false">
      <c r="A132" s="5" t="s">
        <v>483</v>
      </c>
      <c r="B132" s="0" t="s">
        <v>27</v>
      </c>
      <c r="C132" s="13" t="n">
        <f aca="false">p1_ss+p2_ss+p3_ss+p4_ss</f>
        <v>1364.7</v>
      </c>
      <c r="D132" s="13" t="n">
        <f aca="false">SUM(C115:F115)</f>
        <v>7257.91008091885</v>
      </c>
      <c r="E132" s="13" t="n">
        <f aca="false">SUM(G115:J115)</f>
        <v>10118.2067557394</v>
      </c>
      <c r="F132" s="13" t="n">
        <f aca="false">SUM(K115:N115)</f>
        <v>10508.3833015657</v>
      </c>
      <c r="G132" s="13" t="n">
        <f aca="false">SUM(O115:R115)</f>
        <v>11061.9399111254</v>
      </c>
    </row>
    <row r="133" customFormat="false" ht="17.15" hidden="false" customHeight="false" outlineLevel="0" collapsed="false">
      <c r="A133" s="0" t="s">
        <v>484</v>
      </c>
      <c r="B133" s="0" t="s">
        <v>27</v>
      </c>
      <c r="C133" s="13" t="n">
        <f aca="false">C132*(0.75*Units!C16+0.25*Units!D16)</f>
        <v>507.679569396364</v>
      </c>
      <c r="D133" s="13" t="n">
        <f aca="false">SUM(C116:F116)</f>
        <v>4247.13689803882</v>
      </c>
      <c r="E133" s="13" t="n">
        <f aca="false">SUM(G116:J116)</f>
        <v>6971.19631541035</v>
      </c>
      <c r="F133" s="13" t="n">
        <f aca="false">SUM(K116:N116)</f>
        <v>7669.03182981273</v>
      </c>
      <c r="G133" s="13" t="n">
        <f aca="false">SUM(O116:R116)</f>
        <v>8430.94190169124</v>
      </c>
    </row>
    <row r="134" customFormat="false" ht="15" hidden="false" customHeight="false" outlineLevel="0" collapsed="false">
      <c r="A134" s="5" t="s">
        <v>485</v>
      </c>
      <c r="B134" s="0" t="s">
        <v>27</v>
      </c>
      <c r="C134" s="13" t="n">
        <f aca="false">p1_sd+p2_sd+p3_sd+p4_sd</f>
        <v>759.5</v>
      </c>
      <c r="D134" s="13" t="n">
        <f aca="false">SUM(C119:F119)</f>
        <v>3290.79549132675</v>
      </c>
      <c r="E134" s="13" t="n">
        <f aca="false">SUM(G119:J119)</f>
        <v>4166.32042883386</v>
      </c>
      <c r="F134" s="13" t="n">
        <f aca="false">SUM(K119:N119)</f>
        <v>3903.1137977244</v>
      </c>
      <c r="G134" s="13" t="n">
        <f aca="false">SUM(O119:R119)</f>
        <v>4108.72053841801</v>
      </c>
    </row>
    <row r="135" customFormat="false" ht="17.15" hidden="false" customHeight="false" outlineLevel="0" collapsed="false">
      <c r="A135" s="5" t="s">
        <v>486</v>
      </c>
      <c r="B135" s="0" t="s">
        <v>27</v>
      </c>
      <c r="C135" s="13" t="n">
        <f aca="false">a25_rev-C132-C134</f>
        <v>213.4</v>
      </c>
      <c r="D135" s="13" t="n">
        <f aca="false">SUM(C118:F118)</f>
        <v>435.379398843567</v>
      </c>
      <c r="E135" s="13" t="n">
        <f aca="false">SUM(G118:J118)</f>
        <v>595.188632690552</v>
      </c>
      <c r="F135" s="13" t="n">
        <f aca="false">SUM(K118:N118)</f>
        <v>600.479045803754</v>
      </c>
      <c r="G135" s="13" t="n">
        <f aca="false">SUM(O118:R118)</f>
        <v>632.110852064309</v>
      </c>
      <c r="T135" s="8" t="s">
        <v>487</v>
      </c>
    </row>
    <row r="136" customFormat="false" ht="15" hidden="false" customHeight="false" outlineLevel="0" collapsed="false">
      <c r="A136" s="5" t="s">
        <v>488</v>
      </c>
      <c r="B136" s="0" t="s">
        <v>27</v>
      </c>
      <c r="C136" s="18" t="n">
        <f aca="false">C132+C134+C135-C131</f>
        <v>0</v>
      </c>
      <c r="D136" s="18" t="n">
        <f aca="false">D132+D134+D135-D131</f>
        <v>0</v>
      </c>
      <c r="E136" s="18" t="n">
        <f aca="false">E132+E134+E135-E131</f>
        <v>0</v>
      </c>
      <c r="F136" s="18" t="n">
        <f aca="false">F132+F134+F135-F131</f>
        <v>0</v>
      </c>
      <c r="G136" s="18" t="n">
        <f aca="false">G132+G134+G135-G131</f>
        <v>0</v>
      </c>
    </row>
    <row r="137" customFormat="false" ht="15" hidden="false" customHeight="false" outlineLevel="0" collapsed="false">
      <c r="A137" s="5" t="s">
        <v>475</v>
      </c>
      <c r="B137" s="0" t="s">
        <v>27</v>
      </c>
      <c r="C137" s="13" t="n">
        <f aca="false">a25_rev-(p1_gp+p2_gp+p3_gp+p4_gp)</f>
        <v>1324.8</v>
      </c>
      <c r="D137" s="13" t="n">
        <f aca="false">SUM(C122:F122)</f>
        <v>1648.87183128657</v>
      </c>
      <c r="E137" s="13" t="n">
        <f aca="false">SUM(G122:J122)</f>
        <v>1774.78243859574</v>
      </c>
      <c r="F137" s="13" t="n">
        <f aca="false">SUM(K122:N122)</f>
        <v>1900.70104032356</v>
      </c>
      <c r="G137" s="13" t="n">
        <f aca="false">SUM(O122:R122)</f>
        <v>1974.70899095458</v>
      </c>
    </row>
    <row r="138" customFormat="false" ht="15" hidden="false" customHeight="false" outlineLevel="0" collapsed="false">
      <c r="A138" s="5" t="s">
        <v>360</v>
      </c>
      <c r="B138" s="0" t="s">
        <v>145</v>
      </c>
      <c r="C138" s="14" t="n">
        <f aca="false">1-C137/C131</f>
        <v>0.433264887063655</v>
      </c>
      <c r="D138" s="14" t="n">
        <f aca="false">1-D137/D131</f>
        <v>0.849885371824188</v>
      </c>
      <c r="E138" s="14" t="n">
        <f aca="false">1-E137/E131</f>
        <v>0.880724708697959</v>
      </c>
      <c r="F138" s="14" t="n">
        <f aca="false">1-F137/F131</f>
        <v>0.873387685808125</v>
      </c>
      <c r="G138" s="14" t="n">
        <f aca="false">1-G137/G131</f>
        <v>0.875040336073605</v>
      </c>
    </row>
    <row r="139" customFormat="false" ht="15" hidden="false" customHeight="false" outlineLevel="0" collapsed="false">
      <c r="A139" s="5" t="s">
        <v>477</v>
      </c>
      <c r="B139" s="0" t="s">
        <v>27</v>
      </c>
      <c r="D139" s="13" t="n">
        <f aca="false">SUM(C124:F124)</f>
        <v>307.363800484999</v>
      </c>
      <c r="E139" s="13" t="n">
        <f aca="false">SUM(G124:J124)</f>
        <v>301.134706877779</v>
      </c>
      <c r="F139" s="13" t="n">
        <f aca="false">SUM(K124:N124)</f>
        <v>317.691065026593</v>
      </c>
      <c r="G139" s="13" t="n">
        <f aca="false">SUM(O124:R124)</f>
        <v>342.356146949298</v>
      </c>
    </row>
    <row r="140" customFormat="false" ht="15" hidden="false" customHeight="false" outlineLevel="0" collapsed="false">
      <c r="A140" s="5" t="s">
        <v>358</v>
      </c>
      <c r="B140" s="0" t="s">
        <v>27</v>
      </c>
      <c r="C140" s="13" t="n">
        <f aca="false">p1_op+p2_op+p3_op+p4_op</f>
        <v>869</v>
      </c>
      <c r="D140" s="13" t="n">
        <f aca="false">SUM(C125:F125)</f>
        <v>9027.8493393176</v>
      </c>
      <c r="E140" s="13" t="n">
        <f aca="false">SUM(G125:J125)</f>
        <v>12803.7986717903</v>
      </c>
      <c r="F140" s="13" t="n">
        <f aca="false">SUM(K125:N125)</f>
        <v>12793.5840397437</v>
      </c>
      <c r="G140" s="13" t="n">
        <f aca="false">SUM(O125:R125)</f>
        <v>13485.7061637038</v>
      </c>
    </row>
    <row r="141" customFormat="false" ht="15" hidden="false" customHeight="false" outlineLevel="0" collapsed="false">
      <c r="A141" s="5" t="s">
        <v>361</v>
      </c>
      <c r="B141" s="0" t="s">
        <v>145</v>
      </c>
      <c r="C141" s="14" t="n">
        <f aca="false">C140/C131</f>
        <v>0.371748802190281</v>
      </c>
      <c r="D141" s="14" t="n">
        <f aca="false">D140/D131</f>
        <v>0.821902722264029</v>
      </c>
      <c r="E141" s="14" t="n">
        <f aca="false">E140/E131</f>
        <v>0.860486774682552</v>
      </c>
      <c r="F141" s="14" t="n">
        <f aca="false">F140/F131</f>
        <v>0.852225177824097</v>
      </c>
      <c r="G141" s="14" t="n">
        <f aca="false">G140/G131</f>
        <v>0.853376025402067</v>
      </c>
    </row>
    <row r="142" customFormat="false" ht="15" hidden="false" customHeight="false" outlineLevel="0" collapsed="false">
      <c r="A142" s="5" t="s">
        <v>359</v>
      </c>
      <c r="B142" s="0" t="s">
        <v>27</v>
      </c>
      <c r="C142" s="13" t="n">
        <f aca="false">a25_ni</f>
        <v>554.5</v>
      </c>
      <c r="D142" s="13" t="n">
        <f aca="false">SUM(C127:F127)</f>
        <v>6101.27331073597</v>
      </c>
      <c r="E142" s="13" t="n">
        <f aca="false">SUM(G127:J127)</f>
        <v>8694.9255756278</v>
      </c>
      <c r="F142" s="13" t="n">
        <f aca="false">SUM(K127:N127)</f>
        <v>8734.46402096753</v>
      </c>
      <c r="G142" s="13" t="n">
        <f aca="false">SUM(O127:R127)</f>
        <v>9251.80654953449</v>
      </c>
    </row>
    <row r="143" customFormat="false" ht="15" hidden="false" customHeight="false" outlineLevel="0" collapsed="false">
      <c r="A143" s="5" t="s">
        <v>489</v>
      </c>
      <c r="B143" s="0" t="s">
        <v>27</v>
      </c>
      <c r="D143" s="13" t="n">
        <f aca="false">da_y</f>
        <v>320</v>
      </c>
      <c r="E143" s="13" t="n">
        <f aca="false">da_y</f>
        <v>320</v>
      </c>
      <c r="F143" s="13" t="n">
        <f aca="false">da_y</f>
        <v>320</v>
      </c>
      <c r="G143" s="13" t="n">
        <f aca="false">da_y</f>
        <v>320</v>
      </c>
    </row>
    <row r="144" customFormat="false" ht="15" hidden="false" customHeight="false" outlineLevel="0" collapsed="false">
      <c r="A144" s="5" t="s">
        <v>490</v>
      </c>
      <c r="B144" s="0" t="s">
        <v>27</v>
      </c>
      <c r="D144" s="13" t="n">
        <f aca="false">cap_2026</f>
        <v>450</v>
      </c>
      <c r="E144" s="13" t="n">
        <f aca="false">cap_2027</f>
        <v>470</v>
      </c>
      <c r="F144" s="13" t="n">
        <f aca="false">cap_2028</f>
        <v>470</v>
      </c>
      <c r="G144" s="13" t="n">
        <f aca="false">cap_2029</f>
        <v>470</v>
      </c>
    </row>
    <row r="145" customFormat="false" ht="15" hidden="false" customHeight="false" outlineLevel="0" collapsed="false">
      <c r="A145" s="5" t="s">
        <v>491</v>
      </c>
      <c r="B145" s="0" t="s">
        <v>27</v>
      </c>
      <c r="D145" s="13" t="n">
        <f aca="false">D142+D143-D144</f>
        <v>5971.27331073597</v>
      </c>
      <c r="E145" s="13" t="n">
        <f aca="false">E142+E143-E144</f>
        <v>8544.9255756278</v>
      </c>
      <c r="F145" s="13" t="n">
        <f aca="false">F142+F143-F144</f>
        <v>8584.46402096753</v>
      </c>
      <c r="G145" s="13" t="n">
        <f aca="false">G142+G143-G144</f>
        <v>9101.80654953449</v>
      </c>
    </row>
    <row r="146" customFormat="false" ht="17.15" hidden="false" customHeight="false" outlineLevel="0" collapsed="false">
      <c r="A146" s="5" t="s">
        <v>492</v>
      </c>
      <c r="B146" s="0" t="s">
        <v>27</v>
      </c>
      <c r="D146" s="13" t="n">
        <f aca="false">MAX(0,payout*(SUM(D127:F127)+0.75*(D143-D144)))</f>
        <v>1032.31466214719</v>
      </c>
      <c r="E146" s="13" t="n">
        <f aca="false">MAX(0,payout*E145)</f>
        <v>1708.98511512556</v>
      </c>
      <c r="F146" s="13" t="n">
        <f aca="false">MAX(0,payout*F145)</f>
        <v>1716.89280419351</v>
      </c>
      <c r="G146" s="13" t="n">
        <f aca="false">MAX(0,payout*G145)</f>
        <v>1820.3613099069</v>
      </c>
      <c r="T146" s="8" t="s">
        <v>493</v>
      </c>
    </row>
    <row r="147" customFormat="false" ht="17.15" hidden="false" customHeight="false" outlineLevel="0" collapsed="false">
      <c r="A147" s="5" t="s">
        <v>494</v>
      </c>
      <c r="B147" s="0" t="s">
        <v>27</v>
      </c>
      <c r="C147" s="13" t="n">
        <f aca="false">eq25</f>
        <v>1399.1</v>
      </c>
      <c r="D147" s="13" t="n">
        <f aca="false">eq_j+SUM(D127:F127)-D146</f>
        <v>6631.05864858877</v>
      </c>
      <c r="E147" s="13" t="n">
        <f aca="false">D147+E142-E146</f>
        <v>13616.999109091</v>
      </c>
      <c r="F147" s="13" t="n">
        <f aca="false">E147+F142-F146</f>
        <v>20634.570325865</v>
      </c>
      <c r="G147" s="13" t="n">
        <f aca="false">F147+G142-G146</f>
        <v>28066.0155654926</v>
      </c>
      <c r="T147" s="8" t="s">
        <v>495</v>
      </c>
    </row>
    <row r="148" customFormat="false" ht="15" hidden="false" customHeight="false" outlineLevel="0" collapsed="false">
      <c r="A148" s="5" t="s">
        <v>496</v>
      </c>
      <c r="B148" s="0" t="s">
        <v>27</v>
      </c>
      <c r="D148" s="13" t="n">
        <f aca="false">nc_j+(SUM(D127:F127)+0.75*(D143-D144))-D146</f>
        <v>4285.65864858877</v>
      </c>
      <c r="E148" s="13" t="n">
        <f aca="false">D148+E145-E146</f>
        <v>11121.599109091</v>
      </c>
      <c r="F148" s="13" t="n">
        <f aca="false">E148+F145-F146</f>
        <v>17989.170325865</v>
      </c>
      <c r="G148" s="13" t="n">
        <f aca="false">F148+G145-G146</f>
        <v>25270.6155654926</v>
      </c>
    </row>
    <row r="149" customFormat="false" ht="15" hidden="false" customHeight="false" outlineLevel="0" collapsed="false">
      <c r="A149" s="5" t="s">
        <v>497</v>
      </c>
      <c r="B149" s="5" t="s">
        <v>209</v>
      </c>
      <c r="D149" s="13" t="n">
        <f aca="false">sh0-D146/bb_px*1000</f>
        <v>1563.10979701472</v>
      </c>
      <c r="E149" s="13" t="n">
        <f aca="false">D149-E146/bb_px*1000</f>
        <v>1429.12429210484</v>
      </c>
      <c r="F149" s="13" t="n">
        <f aca="false">E149-F146/bb_px*1000</f>
        <v>1294.51881941229</v>
      </c>
      <c r="G149" s="13" t="n">
        <f aca="false">F149-G146/bb_px*1000</f>
        <v>1151.80135097584</v>
      </c>
    </row>
    <row r="150" customFormat="false" ht="17.15" hidden="false" customHeight="false" outlineLevel="0" collapsed="false">
      <c r="A150" s="0" t="s">
        <v>498</v>
      </c>
      <c r="B150" s="0" t="s">
        <v>108</v>
      </c>
      <c r="C150" s="17" t="n">
        <f aca="false">a25_eps</f>
        <v>341.4</v>
      </c>
      <c r="D150" s="17" t="n">
        <f aca="false">D142/(D149+dil)*1000</f>
        <v>3863.80119018322</v>
      </c>
      <c r="E150" s="17" t="n">
        <f aca="false">E142/(E149+dil)*1000</f>
        <v>6016.83221947123</v>
      </c>
      <c r="F150" s="17" t="n">
        <f aca="false">F142/(F149+dil)*1000</f>
        <v>6665.01260390438</v>
      </c>
      <c r="G150" s="17" t="n">
        <f aca="false">G142/(G149+dil)*1000</f>
        <v>7922.57796216812</v>
      </c>
    </row>
    <row r="151" customFormat="false" ht="17.15" hidden="false" customHeight="false" outlineLevel="0" collapsed="false">
      <c r="A151" s="5" t="s">
        <v>499</v>
      </c>
      <c r="B151" s="0" t="s">
        <v>108</v>
      </c>
      <c r="D151" s="17" t="n">
        <f aca="false">D147/D149*1000</f>
        <v>4242.22192276766</v>
      </c>
      <c r="E151" s="17" t="n">
        <f aca="false">E147/E149*1000</f>
        <v>9528.21191572893</v>
      </c>
      <c r="F151" s="17" t="n">
        <f aca="false">F147/F149*1000</f>
        <v>15939.9539168022</v>
      </c>
      <c r="G151" s="17" t="n">
        <f aca="false">G147/G149*1000</f>
        <v>24367.0625509462</v>
      </c>
    </row>
    <row r="152" customFormat="false" ht="17.15" hidden="false" customHeight="false" outlineLevel="0" collapsed="false">
      <c r="A152" s="0" t="s">
        <v>500</v>
      </c>
      <c r="B152" s="0" t="s">
        <v>145</v>
      </c>
      <c r="D152" s="21" t="n">
        <f aca="false">D142/D147</f>
        <v>0.920105466422687</v>
      </c>
      <c r="E152" s="21" t="n">
        <f aca="false">E142/E147</f>
        <v>0.638534636447385</v>
      </c>
      <c r="F152" s="21" t="n">
        <f aca="false">F142/F147</f>
        <v>0.42329275012909</v>
      </c>
      <c r="G152" s="21" t="n">
        <f aca="false">G142/G147</f>
        <v>0.329644460145944</v>
      </c>
    </row>
    <row r="153" customFormat="false" ht="15" hidden="false" customHeight="false" outlineLevel="0" collapsed="false">
      <c r="A153" s="5" t="s">
        <v>501</v>
      </c>
      <c r="B153" s="0" t="s">
        <v>108</v>
      </c>
      <c r="E153" s="17" t="n">
        <f aca="false">E145/(E149+dil)*1000</f>
        <v>5913.03319036275</v>
      </c>
      <c r="F153" s="17" t="n">
        <f aca="false">F145/(F149+dil)*1000</f>
        <v>6550.55201557455</v>
      </c>
      <c r="G153" s="17" t="n">
        <f aca="false">G145/(G149+dil)*1000</f>
        <v>7794.12881140361</v>
      </c>
    </row>
    <row r="154" customFormat="false" ht="17.15" hidden="false" customHeight="false" outlineLevel="0" collapsed="false">
      <c r="A154" s="5" t="s">
        <v>502</v>
      </c>
      <c r="B154" s="0" t="s">
        <v>27</v>
      </c>
      <c r="D154" s="18" t="n">
        <f aca="false">ABS(C114-q1_rev)+ABS(D125-g2_op)+ABS(C131-2337.6)</f>
        <v>0</v>
      </c>
    </row>
    <row r="160" customFormat="false" ht="17.15" hidden="false" customHeight="false" outlineLevel="0" collapsed="false">
      <c r="A160" s="3" t="s">
        <v>819</v>
      </c>
    </row>
    <row r="161" customFormat="false" ht="17.15" hidden="false" customHeight="false" outlineLevel="0" collapsed="false">
      <c r="A161" s="12" t="s">
        <v>442</v>
      </c>
      <c r="B161" s="6" t="s">
        <v>17</v>
      </c>
      <c r="C161" s="12" t="s">
        <v>443</v>
      </c>
      <c r="D161" s="12" t="s">
        <v>444</v>
      </c>
      <c r="E161" s="12" t="s">
        <v>445</v>
      </c>
      <c r="F161" s="12" t="s">
        <v>446</v>
      </c>
      <c r="G161" s="12" t="s">
        <v>447</v>
      </c>
      <c r="H161" s="12" t="s">
        <v>448</v>
      </c>
      <c r="I161" s="12" t="s">
        <v>449</v>
      </c>
      <c r="J161" s="12" t="s">
        <v>450</v>
      </c>
      <c r="K161" s="12" t="s">
        <v>451</v>
      </c>
      <c r="L161" s="12" t="s">
        <v>452</v>
      </c>
      <c r="M161" s="12" t="s">
        <v>453</v>
      </c>
      <c r="N161" s="12" t="s">
        <v>454</v>
      </c>
      <c r="O161" s="12" t="s">
        <v>455</v>
      </c>
      <c r="P161" s="12" t="s">
        <v>456</v>
      </c>
      <c r="Q161" s="12" t="s">
        <v>457</v>
      </c>
      <c r="R161" s="12" t="s">
        <v>458</v>
      </c>
      <c r="S161" s="12"/>
      <c r="T161" s="6" t="s">
        <v>330</v>
      </c>
    </row>
    <row r="162" customFormat="false" ht="17.15" hidden="false" customHeight="false" outlineLevel="0" collapsed="false">
      <c r="A162" s="5" t="s">
        <v>459</v>
      </c>
      <c r="B162" s="0" t="s">
        <v>391</v>
      </c>
      <c r="C162" s="19" t="n">
        <f aca="false">Units!H4*0.9</f>
        <v>9.648</v>
      </c>
      <c r="D162" s="19" t="n">
        <f aca="false">Units!I4*0.9</f>
        <v>13.4561851874374</v>
      </c>
      <c r="E162" s="19" t="n">
        <f aca="false">Units!J4*0.9*1</f>
        <v>14.5832083369999</v>
      </c>
      <c r="F162" s="19" t="n">
        <f aca="false">Units!K4*0.9*1</f>
        <v>16.068910483416</v>
      </c>
      <c r="G162" s="19" t="n">
        <f aca="false">Units!L4*0.9*1</f>
        <v>16.9908041799629</v>
      </c>
      <c r="H162" s="19" t="n">
        <f aca="false">Units!M4*0.9*1</f>
        <v>17.0673086785066</v>
      </c>
      <c r="I162" s="19" t="n">
        <f aca="false">Units!N4*0.9*1</f>
        <v>16.7832280190581</v>
      </c>
      <c r="J162" s="19" t="n">
        <f aca="false">Units!O4*0.9*1</f>
        <v>16.8587978643664</v>
      </c>
      <c r="K162" s="19" t="n">
        <f aca="false">Units!P4*0.9*1</f>
        <v>16.9347079780375</v>
      </c>
      <c r="L162" s="19" t="n">
        <f aca="false">Units!Q4*0.9*1</f>
        <v>17.0109598921978</v>
      </c>
      <c r="M162" s="19" t="n">
        <f aca="false">Units!R4*0.9*1</f>
        <v>17.0875551458724</v>
      </c>
      <c r="N162" s="19" t="n">
        <f aca="false">Units!S4*0.9*1</f>
        <v>17.2686773893898</v>
      </c>
      <c r="O162" s="19" t="n">
        <f aca="false">Units!T4*0.9*1</f>
        <v>17.6043813629824</v>
      </c>
      <c r="P162" s="19" t="n">
        <f aca="false">Units!U4*0.9*1</f>
        <v>17.9466114390289</v>
      </c>
      <c r="Q162" s="19" t="n">
        <f aca="false">Units!V4*0.9*1</f>
        <v>18.2954944852955</v>
      </c>
      <c r="R162" s="19" t="n">
        <f aca="false">Units!W4*0.9*1</f>
        <v>18.0533945897381</v>
      </c>
      <c r="T162" s="8" t="s">
        <v>460</v>
      </c>
    </row>
    <row r="163" customFormat="false" ht="15" hidden="false" customHeight="false" outlineLevel="0" collapsed="false">
      <c r="A163" s="5" t="s">
        <v>461</v>
      </c>
      <c r="B163" s="0" t="s">
        <v>398</v>
      </c>
      <c r="C163" s="19" t="n">
        <f aca="false">Units!H7*0.9</f>
        <v>36.1581822396776</v>
      </c>
      <c r="D163" s="19" t="n">
        <f aca="false">Units!I7*0.9</f>
        <v>40.3442119617089</v>
      </c>
      <c r="E163" s="19" t="n">
        <f aca="false">Units!J7*0.9</f>
        <v>40.4470328505812</v>
      </c>
      <c r="F163" s="19" t="n">
        <f aca="false">Units!K7*0.9</f>
        <v>43.2695914114125</v>
      </c>
      <c r="G163" s="19" t="n">
        <f aca="false">Units!L7*0.9</f>
        <v>45.7520225392422</v>
      </c>
      <c r="H163" s="19" t="n">
        <f aca="false">Units!M7*0.9</f>
        <v>48.3768738772798</v>
      </c>
      <c r="I163" s="19" t="n">
        <f aca="false">Units!N7*0.9</f>
        <v>51.1523162529241</v>
      </c>
      <c r="J163" s="19" t="n">
        <f aca="false">Units!O7*0.9</f>
        <v>54.0869892642656</v>
      </c>
      <c r="K163" s="19" t="n">
        <f aca="false">Units!P7*0.9</f>
        <v>57.1900281740528</v>
      </c>
      <c r="L163" s="19" t="n">
        <f aca="false">Units!Q7*0.9</f>
        <v>60.4710923465997</v>
      </c>
      <c r="M163" s="19" t="n">
        <f aca="false">Units!R7*0.9</f>
        <v>63.9403953161551</v>
      </c>
      <c r="N163" s="19" t="n">
        <f aca="false">Units!S7*0.9</f>
        <v>66.6166408760811</v>
      </c>
      <c r="O163" s="19" t="n">
        <f aca="false">Units!T7*0.9</f>
        <v>70.0120327724642</v>
      </c>
      <c r="P163" s="19" t="n">
        <f aca="false">Units!U7*0.9</f>
        <v>73.5804848228629</v>
      </c>
      <c r="Q163" s="19" t="n">
        <f aca="false">Units!V7*0.9</f>
        <v>77.3308177519012</v>
      </c>
      <c r="R163" s="19" t="n">
        <f aca="false">Units!W7*0.9</f>
        <v>78.7855656253387</v>
      </c>
    </row>
    <row r="164" customFormat="false" ht="17.15" hidden="false" customHeight="false" outlineLevel="0" collapsed="false">
      <c r="A164" s="5" t="s">
        <v>354</v>
      </c>
      <c r="B164" s="0" t="s">
        <v>27</v>
      </c>
      <c r="C164" s="13" t="n">
        <f aca="false">q1_rev</f>
        <v>1767.1</v>
      </c>
      <c r="D164" s="13" t="n">
        <f aca="false">g2_rev</f>
        <v>2480</v>
      </c>
      <c r="E164" s="13" t="n">
        <f aca="false">E162*kx_k*fx</f>
        <v>2403.91673995453</v>
      </c>
      <c r="F164" s="13" t="n">
        <f aca="false">F162*kx_k*fx</f>
        <v>2648.82198836235</v>
      </c>
      <c r="G164" s="13" t="n">
        <f aca="false">G162*kx_k*fx</f>
        <v>2800.78825246385</v>
      </c>
      <c r="H164" s="13" t="n">
        <f aca="false">H162*kx_k*fx</f>
        <v>2813.39936248032</v>
      </c>
      <c r="I164" s="13" t="n">
        <f aca="false">I162*kx_k*fx</f>
        <v>2766.5711037759</v>
      </c>
      <c r="J164" s="13" t="n">
        <f aca="false">J162*kx_k*fx</f>
        <v>2779.02814422779</v>
      </c>
      <c r="K164" s="13" t="n">
        <f aca="false">K162*kx_k*fx</f>
        <v>2791.54127499907</v>
      </c>
      <c r="L164" s="13" t="n">
        <f aca="false">L162*kx_k*fx</f>
        <v>2804.11074864764</v>
      </c>
      <c r="M164" s="13" t="n">
        <f aca="false">M162*kx_k*fx</f>
        <v>2816.73681886858</v>
      </c>
      <c r="N164" s="13" t="n">
        <f aca="false">N162*kx_k*fx</f>
        <v>2846.5932663051</v>
      </c>
      <c r="O164" s="13" t="n">
        <f aca="false">O162*kx_k*fx</f>
        <v>2901.93118531028</v>
      </c>
      <c r="P164" s="13" t="n">
        <f aca="false">P162*kx_k*fx</f>
        <v>2958.34487629739</v>
      </c>
      <c r="Q164" s="13" t="n">
        <f aca="false">Q162*kx_k*fx</f>
        <v>3015.85525232889</v>
      </c>
      <c r="R164" s="13" t="n">
        <f aca="false">R162*kx_k*fx</f>
        <v>2975.94716226923</v>
      </c>
      <c r="T164" s="5" t="s">
        <v>462</v>
      </c>
    </row>
    <row r="165" customFormat="false" ht="17.15" hidden="false" customHeight="false" outlineLevel="0" collapsed="false">
      <c r="A165" s="0" t="s">
        <v>463</v>
      </c>
      <c r="B165" s="0" t="s">
        <v>27</v>
      </c>
      <c r="C165" s="13" t="n">
        <f aca="false">q1_ss</f>
        <v>1174.7</v>
      </c>
      <c r="D165" s="13" t="n">
        <f aca="false">D164*sssh_26</f>
        <v>1636.8</v>
      </c>
      <c r="E165" s="13" t="n">
        <f aca="false">E164*sssh_26</f>
        <v>1586.58504836999</v>
      </c>
      <c r="F165" s="13" t="n">
        <f aca="false">F164*sssh_26</f>
        <v>1748.22251231915</v>
      </c>
      <c r="G165" s="13" t="n">
        <f aca="false">G164*sssh_27</f>
        <v>1904.53601167542</v>
      </c>
      <c r="H165" s="13" t="n">
        <f aca="false">H164*sssh_27</f>
        <v>1913.11156648662</v>
      </c>
      <c r="I165" s="13" t="n">
        <f aca="false">I164*sssh_27</f>
        <v>1881.26835056761</v>
      </c>
      <c r="J165" s="13" t="n">
        <f aca="false">J164*sssh_27</f>
        <v>1889.7391380749</v>
      </c>
      <c r="K165" s="13" t="n">
        <f aca="false">K164*sssh_28</f>
        <v>1954.07889249935</v>
      </c>
      <c r="L165" s="13" t="n">
        <f aca="false">L164*sssh_28</f>
        <v>1962.87752405335</v>
      </c>
      <c r="M165" s="13" t="n">
        <f aca="false">M164*sssh_28</f>
        <v>1971.71577320801</v>
      </c>
      <c r="N165" s="13" t="n">
        <f aca="false">N164*sssh_28</f>
        <v>1992.61528641357</v>
      </c>
      <c r="O165" s="13" t="n">
        <f aca="false">O164*sssh_29</f>
        <v>2031.35182971719</v>
      </c>
      <c r="P165" s="13" t="n">
        <f aca="false">P164*sssh_29</f>
        <v>2070.84141340817</v>
      </c>
      <c r="Q165" s="13" t="n">
        <f aca="false">Q164*sssh_29</f>
        <v>2111.09867663022</v>
      </c>
      <c r="R165" s="13" t="n">
        <f aca="false">R164*sssh_29</f>
        <v>2083.16301358846</v>
      </c>
      <c r="T165" s="5" t="s">
        <v>464</v>
      </c>
    </row>
    <row r="166" customFormat="false" ht="17.15" hidden="false" customHeight="false" outlineLevel="0" collapsed="false">
      <c r="A166" s="0" t="s">
        <v>465</v>
      </c>
      <c r="B166" s="0" t="s">
        <v>27</v>
      </c>
      <c r="C166" s="13" t="n">
        <f aca="false">C165*(0.75*Units!D16+0.25*Units!E16)</f>
        <v>687.403351447223</v>
      </c>
      <c r="D166" s="13" t="n">
        <f aca="false">D165*(0.75*Units!D16+0.25*Units!E16)</f>
        <v>957.812041924589</v>
      </c>
      <c r="E166" s="13" t="n">
        <f aca="false">E165*(0.75*Units!D16+0.25*Units!E16)</f>
        <v>928.427581174415</v>
      </c>
      <c r="F166" s="13" t="n">
        <f aca="false">F165*(0.75*Units!D16+0.25*Units!E16)</f>
        <v>1023.01354732584</v>
      </c>
      <c r="G166" s="13" t="n">
        <f aca="false">G165*(0.75*Units!E16+0.25*Units!F16)</f>
        <v>1312.1786051295</v>
      </c>
      <c r="H166" s="13" t="n">
        <f aca="false">H165*(0.75*Units!E16+0.25*Units!F16)</f>
        <v>1318.08695208718</v>
      </c>
      <c r="I166" s="13" t="n">
        <f aca="false">I165*(0.75*Units!E16+0.25*Units!F16)</f>
        <v>1296.14775724324</v>
      </c>
      <c r="J166" s="13" t="n">
        <f aca="false">J165*(0.75*Units!E16+0.25*Units!F16)</f>
        <v>1301.98392209784</v>
      </c>
      <c r="K166" s="13" t="n">
        <f aca="false">K165*(0.75*Units!F16+0.25*Units!G16)</f>
        <v>1426.08932263728</v>
      </c>
      <c r="L166" s="13" t="n">
        <f aca="false">L165*(0.75*Units!F16+0.25*Units!G16)</f>
        <v>1432.51057541327</v>
      </c>
      <c r="M166" s="13" t="n">
        <f aca="false">M165*(0.75*Units!F16+0.25*Units!G16)</f>
        <v>1438.96074116587</v>
      </c>
      <c r="N166" s="13" t="n">
        <f aca="false">N165*(0.75*Units!F16+0.25*Units!G16)</f>
        <v>1454.21323314313</v>
      </c>
      <c r="O166" s="13" t="n">
        <f aca="false">O165*(0.75*Units!G16+0.25*Units!H16)</f>
        <v>1548.21029546684</v>
      </c>
      <c r="P166" s="13" t="n">
        <f aca="false">P165*(0.75*Units!G16+0.25*Units!H16)</f>
        <v>1578.30758296754</v>
      </c>
      <c r="Q166" s="13" t="n">
        <f aca="false">Q165*(0.75*Units!G16+0.25*Units!H16)</f>
        <v>1608.98996327995</v>
      </c>
      <c r="R166" s="13" t="n">
        <f aca="false">R165*(0.75*Units!G16+0.25*Units!H16)</f>
        <v>1587.69858455411</v>
      </c>
      <c r="T166" s="5" t="s">
        <v>466</v>
      </c>
    </row>
    <row r="167" customFormat="false" ht="17.15" hidden="false" customHeight="false" outlineLevel="0" collapsed="false">
      <c r="A167" s="0" t="s">
        <v>467</v>
      </c>
      <c r="B167" s="0" t="s">
        <v>27</v>
      </c>
      <c r="C167" s="13" t="n">
        <f aca="false">C165-C166</f>
        <v>487.296648552777</v>
      </c>
      <c r="D167" s="13" t="n">
        <f aca="false">D165-D166</f>
        <v>678.987958075412</v>
      </c>
      <c r="E167" s="13" t="n">
        <f aca="false">E165-E166</f>
        <v>658.157467195575</v>
      </c>
      <c r="F167" s="13" t="n">
        <f aca="false">F165-F166</f>
        <v>725.208964993307</v>
      </c>
      <c r="G167" s="13" t="n">
        <f aca="false">G165-G166</f>
        <v>592.357406545918</v>
      </c>
      <c r="H167" s="13" t="n">
        <f aca="false">H165-H166</f>
        <v>595.02461439944</v>
      </c>
      <c r="I167" s="13" t="n">
        <f aca="false">I165-I166</f>
        <v>585.120593324368</v>
      </c>
      <c r="J167" s="13" t="n">
        <f aca="false">J165-J166</f>
        <v>587.755215977055</v>
      </c>
      <c r="K167" s="13" t="n">
        <f aca="false">K165-K166</f>
        <v>527.989569862069</v>
      </c>
      <c r="L167" s="13" t="n">
        <f aca="false">L165-L166</f>
        <v>530.366948640071</v>
      </c>
      <c r="M167" s="13" t="n">
        <f aca="false">M165-M166</f>
        <v>532.755032042136</v>
      </c>
      <c r="N167" s="13" t="n">
        <f aca="false">N165-N166</f>
        <v>538.402053270444</v>
      </c>
      <c r="O167" s="13" t="n">
        <f aca="false">O165-O166</f>
        <v>483.141534250356</v>
      </c>
      <c r="P167" s="13" t="n">
        <f aca="false">P165-P166</f>
        <v>492.533830440634</v>
      </c>
      <c r="Q167" s="13" t="n">
        <f aca="false">Q165-Q166</f>
        <v>502.108713350273</v>
      </c>
      <c r="R167" s="13" t="n">
        <f aca="false">R165-R166</f>
        <v>495.464429034357</v>
      </c>
    </row>
    <row r="168" customFormat="false" ht="17.15" hidden="false" customHeight="false" outlineLevel="0" collapsed="false">
      <c r="A168" s="5" t="s">
        <v>468</v>
      </c>
      <c r="B168" s="0" t="s">
        <v>27</v>
      </c>
      <c r="C168" s="13" t="n">
        <f aca="false">q1_rev-q1_ss-q1_sd</f>
        <v>66.6999999999998</v>
      </c>
      <c r="D168" s="13" t="n">
        <f aca="false">D164*otsh_26</f>
        <v>99.2</v>
      </c>
      <c r="E168" s="13" t="n">
        <f aca="false">E164*otsh_26</f>
        <v>96.1566695981812</v>
      </c>
      <c r="F168" s="13" t="n">
        <f aca="false">F164*otsh_26</f>
        <v>105.952879534494</v>
      </c>
      <c r="G168" s="13" t="n">
        <f aca="false">G164*otsh_27</f>
        <v>112.031530098554</v>
      </c>
      <c r="H168" s="13" t="n">
        <f aca="false">H164*otsh_27</f>
        <v>112.535974499213</v>
      </c>
      <c r="I168" s="13" t="n">
        <f aca="false">I164*otsh_27</f>
        <v>110.662844151036</v>
      </c>
      <c r="J168" s="13" t="n">
        <f aca="false">J164*otsh_27</f>
        <v>111.161125769112</v>
      </c>
      <c r="K168" s="13" t="n">
        <f aca="false">K164*otsh_28</f>
        <v>111.661650999963</v>
      </c>
      <c r="L168" s="13" t="n">
        <f aca="false">L164*otsh_28</f>
        <v>112.164429945905</v>
      </c>
      <c r="M168" s="13" t="n">
        <f aca="false">M164*otsh_28</f>
        <v>112.669472754743</v>
      </c>
      <c r="N168" s="13" t="n">
        <f aca="false">N164*otsh_28</f>
        <v>113.863730652204</v>
      </c>
      <c r="O168" s="13" t="n">
        <f aca="false">O164*otsh_29</f>
        <v>116.077247412411</v>
      </c>
      <c r="P168" s="13" t="n">
        <f aca="false">P164*otsh_29</f>
        <v>118.333795051896</v>
      </c>
      <c r="Q168" s="13" t="n">
        <f aca="false">Q164*otsh_29</f>
        <v>120.634210093156</v>
      </c>
      <c r="R168" s="13" t="n">
        <f aca="false">R164*otsh_29</f>
        <v>119.037886490769</v>
      </c>
      <c r="T168" s="5" t="s">
        <v>469</v>
      </c>
    </row>
    <row r="169" customFormat="false" ht="17.15" hidden="false" customHeight="false" outlineLevel="0" collapsed="false">
      <c r="A169" s="5" t="s">
        <v>470</v>
      </c>
      <c r="B169" s="0" t="s">
        <v>27</v>
      </c>
      <c r="C169" s="13" t="n">
        <f aca="false">q1_sd</f>
        <v>525.7</v>
      </c>
      <c r="D169" s="13" t="n">
        <f aca="false">D164-D165-D168</f>
        <v>744</v>
      </c>
      <c r="E169" s="13" t="n">
        <f aca="false">E164-E165-E168</f>
        <v>721.175021986359</v>
      </c>
      <c r="F169" s="13" t="n">
        <f aca="false">F164-F165-F168</f>
        <v>794.646596508704</v>
      </c>
      <c r="G169" s="13" t="n">
        <f aca="false">G164-G165-G168</f>
        <v>784.220710689878</v>
      </c>
      <c r="H169" s="13" t="n">
        <f aca="false">H164-H165-H168</f>
        <v>787.75182149449</v>
      </c>
      <c r="I169" s="13" t="n">
        <f aca="false">I164-I165-I168</f>
        <v>774.639909057251</v>
      </c>
      <c r="J169" s="13" t="n">
        <f aca="false">J164-J165-J168</f>
        <v>778.127880383781</v>
      </c>
      <c r="K169" s="13" t="n">
        <f aca="false">K164-K165-K168</f>
        <v>725.800731499757</v>
      </c>
      <c r="L169" s="13" t="n">
        <f aca="false">L164-L165-L168</f>
        <v>729.068794648386</v>
      </c>
      <c r="M169" s="13" t="n">
        <f aca="false">M164-M165-M168</f>
        <v>732.351572905831</v>
      </c>
      <c r="N169" s="13" t="n">
        <f aca="false">N164-N165-N168</f>
        <v>740.114249239326</v>
      </c>
      <c r="O169" s="13" t="n">
        <f aca="false">O164-O165-O168</f>
        <v>754.502108180672</v>
      </c>
      <c r="P169" s="13" t="n">
        <f aca="false">P164-P165-P168</f>
        <v>769.169667837321</v>
      </c>
      <c r="Q169" s="13" t="n">
        <f aca="false">Q164-Q165-Q168</f>
        <v>784.122365605511</v>
      </c>
      <c r="R169" s="13" t="n">
        <f aca="false">R164-R165-R168</f>
        <v>773.74626219</v>
      </c>
      <c r="T169" s="5" t="s">
        <v>471</v>
      </c>
    </row>
    <row r="170" customFormat="false" ht="15" hidden="false" customHeight="false" outlineLevel="0" collapsed="false">
      <c r="A170" s="5" t="s">
        <v>472</v>
      </c>
      <c r="B170" s="0" t="s">
        <v>27</v>
      </c>
      <c r="C170" s="18" t="n">
        <f aca="false">C165+C169+C168-C164</f>
        <v>0</v>
      </c>
      <c r="D170" s="18" t="n">
        <f aca="false">D165+D169+D168-D164</f>
        <v>0</v>
      </c>
      <c r="E170" s="18" t="n">
        <f aca="false">E165+E169+E168-E164</f>
        <v>0</v>
      </c>
      <c r="F170" s="18" t="n">
        <f aca="false">F165+F169+F168-F164</f>
        <v>0</v>
      </c>
      <c r="G170" s="18" t="n">
        <f aca="false">G165+G169+G168-G164</f>
        <v>0</v>
      </c>
      <c r="H170" s="18" t="n">
        <f aca="false">H165+H169+H168-H164</f>
        <v>0</v>
      </c>
      <c r="I170" s="18" t="n">
        <f aca="false">I165+I169+I168-I164</f>
        <v>0</v>
      </c>
      <c r="J170" s="18" t="n">
        <f aca="false">J165+J169+J168-J164</f>
        <v>0</v>
      </c>
      <c r="K170" s="18" t="n">
        <f aca="false">K165+K169+K168-K164</f>
        <v>0</v>
      </c>
      <c r="L170" s="18" t="n">
        <f aca="false">L165+L169+L168-L164</f>
        <v>0</v>
      </c>
      <c r="M170" s="18" t="n">
        <f aca="false">M165+M169+M168-M164</f>
        <v>0</v>
      </c>
      <c r="N170" s="18" t="n">
        <f aca="false">N165+N169+N168-N164</f>
        <v>0</v>
      </c>
      <c r="O170" s="18" t="n">
        <f aca="false">O165+O169+O168-O164</f>
        <v>0</v>
      </c>
      <c r="P170" s="18" t="n">
        <f aca="false">P165+P169+P168-P164</f>
        <v>0</v>
      </c>
      <c r="Q170" s="18" t="n">
        <f aca="false">Q165+Q169+Q168-Q164</f>
        <v>0</v>
      </c>
      <c r="R170" s="18" t="n">
        <f aca="false">R165+R169+R168-R164</f>
        <v>0</v>
      </c>
    </row>
    <row r="171" customFormat="false" ht="17.15" hidden="false" customHeight="false" outlineLevel="0" collapsed="false">
      <c r="A171" s="5" t="s">
        <v>473</v>
      </c>
      <c r="B171" s="0" t="s">
        <v>474</v>
      </c>
      <c r="C171" s="20" t="n">
        <f aca="false">C172/C163</f>
        <v>10.7029716658525</v>
      </c>
      <c r="D171" s="20" t="n">
        <f aca="false">D172/D163</f>
        <v>10.5665714924512</v>
      </c>
      <c r="E171" s="20" t="n">
        <f aca="false">$D171*(1-cd_A)^(1/4)</f>
        <v>10.1755691177957</v>
      </c>
      <c r="F171" s="20" t="n">
        <f aca="false">$D171*(1-cd_A)^(2/4)</f>
        <v>9.79903528263727</v>
      </c>
      <c r="G171" s="20" t="n">
        <f aca="false">$D171*(1-cd_A)^(3/4)</f>
        <v>9.43643459729854</v>
      </c>
      <c r="H171" s="20" t="n">
        <f aca="false">$D171*(1-cd_A)^(4/4)</f>
        <v>9.087251483508</v>
      </c>
      <c r="I171" s="20" t="n">
        <f aca="false">$D171*(1-cd_A)^(5/4)</f>
        <v>8.75098944130433</v>
      </c>
      <c r="J171" s="20" t="n">
        <f aca="false">$D171*(1-cd_A)^(6/4)</f>
        <v>8.42717034306806</v>
      </c>
      <c r="K171" s="20" t="n">
        <f aca="false">$D171*(1-cd_A)^(7/4)</f>
        <v>8.11533375367674</v>
      </c>
      <c r="L171" s="20" t="n">
        <f aca="false">$D171*(1-cd_A)^(8/4)</f>
        <v>7.81503627581688</v>
      </c>
      <c r="M171" s="20" t="n">
        <f aca="false">$D171*(1-cd_A)^(9/4)</f>
        <v>7.52585091952172</v>
      </c>
      <c r="N171" s="20" t="n">
        <f aca="false">$D171*(1-cd_A)^(10/4)</f>
        <v>7.24736649503853</v>
      </c>
      <c r="O171" s="20" t="n">
        <f aca="false">$D171*(1-cd_A)^(11/4)</f>
        <v>6.979187028162</v>
      </c>
      <c r="P171" s="20" t="n">
        <f aca="false">$D171*(1-cd_A)^(12/4)</f>
        <v>6.72093119720252</v>
      </c>
      <c r="Q171" s="20" t="n">
        <f aca="false">$D171*(1-cd_A)^(13/4)</f>
        <v>6.47223179078868</v>
      </c>
      <c r="R171" s="20" t="n">
        <f aca="false">$D171*(1-cd_A)^(14/4)</f>
        <v>6.23273518573313</v>
      </c>
    </row>
    <row r="172" customFormat="false" ht="15" hidden="false" customHeight="false" outlineLevel="0" collapsed="false">
      <c r="A172" s="5" t="s">
        <v>475</v>
      </c>
      <c r="B172" s="0" t="s">
        <v>27</v>
      </c>
      <c r="C172" s="13" t="n">
        <f aca="false">q1_rev-q1_gp</f>
        <v>387</v>
      </c>
      <c r="D172" s="13" t="n">
        <f aca="false">g2_rev-g2_op-g2_ox</f>
        <v>426.3</v>
      </c>
      <c r="E172" s="13" t="n">
        <f aca="false">E163*E171</f>
        <v>411.571578380843</v>
      </c>
      <c r="F172" s="13" t="n">
        <f aca="false">F163*F171</f>
        <v>424.00025290573</v>
      </c>
      <c r="G172" s="13" t="n">
        <f aca="false">G163*G171</f>
        <v>431.735968385688</v>
      </c>
      <c r="H172" s="13" t="n">
        <f aca="false">H163*H171</f>
        <v>439.61281890879</v>
      </c>
      <c r="I172" s="13" t="n">
        <f aca="false">I163*I171</f>
        <v>447.633379427598</v>
      </c>
      <c r="J172" s="13" t="n">
        <f aca="false">J163*J171</f>
        <v>455.80027187366</v>
      </c>
      <c r="K172" s="13" t="n">
        <f aca="false">K163*K171</f>
        <v>464.116166014614</v>
      </c>
      <c r="L172" s="13" t="n">
        <f aca="false">L163*L171</f>
        <v>472.583780326949</v>
      </c>
      <c r="M172" s="13" t="n">
        <f aca="false">M163*M171</f>
        <v>481.205882884668</v>
      </c>
      <c r="N172" s="13" t="n">
        <f aca="false">N163*N171</f>
        <v>482.795211097324</v>
      </c>
      <c r="O172" s="13" t="n">
        <f aca="false">O163*O171</f>
        <v>488.627070940835</v>
      </c>
      <c r="P172" s="13" t="n">
        <f aca="false">P163*P171</f>
        <v>494.529375951265</v>
      </c>
      <c r="Q172" s="13" t="n">
        <f aca="false">Q163*Q171</f>
        <v>500.502977061541</v>
      </c>
      <c r="R172" s="13" t="n">
        <f aca="false">R163*R171</f>
        <v>491.049567000935</v>
      </c>
      <c r="T172" s="5" t="s">
        <v>476</v>
      </c>
    </row>
    <row r="173" customFormat="false" ht="15" hidden="false" customHeight="false" outlineLevel="0" collapsed="false">
      <c r="A173" s="5" t="s">
        <v>360</v>
      </c>
      <c r="B173" s="0" t="s">
        <v>145</v>
      </c>
      <c r="C173" s="14" t="n">
        <f aca="false">1-C172/C164</f>
        <v>0.780997113915455</v>
      </c>
      <c r="D173" s="14" t="n">
        <f aca="false">1-D172/D164</f>
        <v>0.828104838709677</v>
      </c>
      <c r="E173" s="14" t="n">
        <f aca="false">1-E172/E164</f>
        <v>0.828791250736651</v>
      </c>
      <c r="F173" s="14" t="n">
        <f aca="false">1-F172/F164</f>
        <v>0.839928747658928</v>
      </c>
      <c r="G173" s="14" t="n">
        <f aca="false">1-G172/G164</f>
        <v>0.845851978275798</v>
      </c>
      <c r="H173" s="14" t="n">
        <f aca="false">1-H172/H164</f>
        <v>0.843743186704492</v>
      </c>
      <c r="I173" s="14" t="n">
        <f aca="false">1-I172/I164</f>
        <v>0.838199213887308</v>
      </c>
      <c r="J173" s="14" t="n">
        <f aca="false">1-J172/J164</f>
        <v>0.835985730183991</v>
      </c>
      <c r="K173" s="14" t="n">
        <f aca="false">1-K172/K164</f>
        <v>0.833741965353971</v>
      </c>
      <c r="L173" s="14" t="n">
        <f aca="false">1-L172/L164</f>
        <v>0.831467505142275</v>
      </c>
      <c r="M173" s="14" t="n">
        <f aca="false">1-M172/M164</f>
        <v>0.829161929626795</v>
      </c>
      <c r="N173" s="14" t="n">
        <f aca="false">1-N172/N164</f>
        <v>0.83039543555023</v>
      </c>
      <c r="O173" s="14" t="n">
        <f aca="false">1-O172/O164</f>
        <v>0.83162003516338</v>
      </c>
      <c r="P173" s="14" t="n">
        <f aca="false">1-P172/P164</f>
        <v>0.832835792772677</v>
      </c>
      <c r="Q173" s="14" t="n">
        <f aca="false">1-Q172/Q164</f>
        <v>0.834042772220237</v>
      </c>
      <c r="R173" s="14" t="n">
        <f aca="false">1-R172/R164</f>
        <v>0.834993855661571</v>
      </c>
    </row>
    <row r="174" customFormat="false" ht="17.15" hidden="false" customHeight="false" outlineLevel="0" collapsed="false">
      <c r="A174" s="5" t="s">
        <v>477</v>
      </c>
      <c r="B174" s="0" t="s">
        <v>27</v>
      </c>
      <c r="C174" s="13" t="n">
        <f aca="false">q1_gp-q1_op</f>
        <v>110.1</v>
      </c>
      <c r="D174" s="13" t="n">
        <f aca="false">g2_ox</f>
        <v>59</v>
      </c>
      <c r="E174" s="13" t="n">
        <f aca="false">(g2_ox-ox_var*g2_rev)*(1+ox_g)^(1/4)+ox_var*E164</f>
        <v>59.0638555662333</v>
      </c>
      <c r="F174" s="13" t="n">
        <f aca="false">(g2_ox-ox_var*g2_rev)*(1+ox_g)^(2/4)+ox_var*F164</f>
        <v>62.3574824910427</v>
      </c>
      <c r="G174" s="13" t="n">
        <f aca="false">(g2_ox-ox_var*g2_rev)*(1+ox_g)^(3/4)+ox_var*G164</f>
        <v>64.7420853782613</v>
      </c>
      <c r="H174" s="13" t="n">
        <f aca="false">(g2_ox-ox_var*g2_rev)*(1+ox_g)^(4/4)+ox_var*H164</f>
        <v>65.7539936248032</v>
      </c>
      <c r="I174" s="13" t="n">
        <f aca="false">(g2_ox-ox_var*g2_rev)*(1+ox_g)^(5/4)+ox_var*I164</f>
        <v>66.1928680211158</v>
      </c>
      <c r="J174" s="13" t="n">
        <f aca="false">(g2_ox-ox_var*g2_rev)*(1+ox_g)^(6/4)+ox_var*J164</f>
        <v>67.246470310439</v>
      </c>
      <c r="K174" s="13" t="n">
        <f aca="false">(g2_ox-ox_var*g2_rev)*(1+ox_g)^(7/4)+ox_var*K164</f>
        <v>68.3230358889758</v>
      </c>
      <c r="L174" s="13" t="n">
        <f aca="false">(g2_ox-ox_var*g2_rev)*(1+ox_g)^(8/4)+ox_var*L164</f>
        <v>69.4231074864764</v>
      </c>
      <c r="M174" s="13" t="n">
        <f aca="false">(g2_ox-ox_var*g2_rev)*(1+ox_g)^(9/4)+ox_var*M164</f>
        <v>70.5472408703783</v>
      </c>
      <c r="N174" s="13" t="n">
        <f aca="false">(g2_ox-ox_var*g2_rev)*(1+ox_g)^(10/4)+ox_var*N164</f>
        <v>71.8677404180282</v>
      </c>
      <c r="O174" s="13" t="n">
        <f aca="false">(g2_ox-ox_var*g2_rev)*(1+ox_g)^(11/4)+ox_var*O164</f>
        <v>73.4676973059864</v>
      </c>
      <c r="P174" s="13" t="n">
        <f aca="false">(g2_ox-ox_var*g2_rev)*(1+ox_g)^(12/4)+ox_var*P164</f>
        <v>75.1036487629739</v>
      </c>
      <c r="Q174" s="13" t="n">
        <f aca="false">(g2_ox-ox_var*g2_rev)*(1+ox_g)^(13/4)+ox_var*Q164</f>
        <v>76.7764124731507</v>
      </c>
      <c r="R174" s="13" t="n">
        <f aca="false">(g2_ox-ox_var*g2_rev)*(1+ox_g)^(14/4)+ox_var*R164</f>
        <v>77.5014601531673</v>
      </c>
      <c r="T174" s="5" t="s">
        <v>478</v>
      </c>
    </row>
    <row r="175" customFormat="false" ht="15" hidden="false" customHeight="false" outlineLevel="0" collapsed="false">
      <c r="A175" s="5" t="s">
        <v>358</v>
      </c>
      <c r="B175" s="0" t="s">
        <v>27</v>
      </c>
      <c r="C175" s="13" t="n">
        <f aca="false">C164-C172-C174</f>
        <v>1270</v>
      </c>
      <c r="D175" s="13" t="n">
        <f aca="false">D164-D172-D174</f>
        <v>1994.7</v>
      </c>
      <c r="E175" s="13" t="n">
        <f aca="false">E164-E172-E174</f>
        <v>1933.28130600745</v>
      </c>
      <c r="F175" s="13" t="n">
        <f aca="false">F164-F172-F174</f>
        <v>2162.46425296557</v>
      </c>
      <c r="G175" s="13" t="n">
        <f aca="false">G164-G172-G174</f>
        <v>2304.3101986999</v>
      </c>
      <c r="H175" s="13" t="n">
        <f aca="false">H164-H172-H174</f>
        <v>2308.03254994673</v>
      </c>
      <c r="I175" s="13" t="n">
        <f aca="false">I164-I172-I174</f>
        <v>2252.74485632718</v>
      </c>
      <c r="J175" s="13" t="n">
        <f aca="false">J164-J172-J174</f>
        <v>2255.98140204369</v>
      </c>
      <c r="K175" s="13" t="n">
        <f aca="false">K164-K172-K174</f>
        <v>2259.10207309548</v>
      </c>
      <c r="L175" s="13" t="n">
        <f aca="false">L164-L172-L174</f>
        <v>2262.10386083421</v>
      </c>
      <c r="M175" s="13" t="n">
        <f aca="false">M164-M172-M174</f>
        <v>2264.98369511353</v>
      </c>
      <c r="N175" s="13" t="n">
        <f aca="false">N164-N172-N174</f>
        <v>2291.93031478975</v>
      </c>
      <c r="O175" s="13" t="n">
        <f aca="false">O164-O172-O174</f>
        <v>2339.83641706346</v>
      </c>
      <c r="P175" s="13" t="n">
        <f aca="false">P164-P172-P174</f>
        <v>2388.71185158315</v>
      </c>
      <c r="Q175" s="13" t="n">
        <f aca="false">Q164-Q172-Q174</f>
        <v>2438.5758627942</v>
      </c>
      <c r="R175" s="13" t="n">
        <f aca="false">R164-R172-R174</f>
        <v>2407.39613511513</v>
      </c>
    </row>
    <row r="177" customFormat="false" ht="17.15" hidden="false" customHeight="false" outlineLevel="0" collapsed="false">
      <c r="A177" s="5" t="s">
        <v>359</v>
      </c>
      <c r="B177" s="0" t="s">
        <v>27</v>
      </c>
      <c r="C177" s="13" t="n">
        <f aca="false">q1_ni</f>
        <v>842.2</v>
      </c>
      <c r="D177" s="13" t="n">
        <f aca="false">g2_ni</f>
        <v>1360</v>
      </c>
      <c r="E177" s="13" t="n">
        <f aca="false">(E175+nonop_q+rf*nc_j/4)*(1-tax)</f>
        <v>1304.69716808507</v>
      </c>
      <c r="F177" s="13" t="n">
        <f aca="false">(F175+nonop_q+rf*nc_j/4)*(1-tax)</f>
        <v>1460.54157201659</v>
      </c>
      <c r="G177" s="13" t="n">
        <f aca="false">(G175+nonop_q+rf*$D198/4)*(1-tax)</f>
        <v>1562.47453980247</v>
      </c>
      <c r="H177" s="13" t="n">
        <f aca="false">(H175+nonop_q+rf*$D198/4)*(1-tax)</f>
        <v>1565.00573865031</v>
      </c>
      <c r="I177" s="13" t="n">
        <f aca="false">(I175+nonop_q+rf*$D198/4)*(1-tax)</f>
        <v>1527.41010698902</v>
      </c>
      <c r="J177" s="13" t="n">
        <f aca="false">(J175+nonop_q+rf*$D198/4)*(1-tax)</f>
        <v>1529.61095807625</v>
      </c>
      <c r="K177" s="13" t="n">
        <f aca="false">(K175+nonop_q+rf*$E198/4)*(1-tax)</f>
        <v>1539.93993621865</v>
      </c>
      <c r="L177" s="13" t="n">
        <f aca="false">(L175+nonop_q+rf*$E198/4)*(1-tax)</f>
        <v>1541.98115188099</v>
      </c>
      <c r="M177" s="13" t="n">
        <f aca="false">(M175+nonop_q+rf*$E198/4)*(1-tax)</f>
        <v>1543.93943919093</v>
      </c>
      <c r="N177" s="13" t="n">
        <f aca="false">(N175+nonop_q+rf*$E198/4)*(1-tax)</f>
        <v>1562.26314057075</v>
      </c>
      <c r="O177" s="13" t="n">
        <f aca="false">(O175+nonop_q+rf*$F198/4)*(1-tax)</f>
        <v>1603.05113830516</v>
      </c>
      <c r="P177" s="13" t="n">
        <f aca="false">(P175+nonop_q+rf*$F198/4)*(1-tax)</f>
        <v>1636.28643377856</v>
      </c>
      <c r="Q177" s="13" t="n">
        <f aca="false">(Q175+nonop_q+rf*$F198/4)*(1-tax)</f>
        <v>1670.19396140207</v>
      </c>
      <c r="R177" s="13" t="n">
        <f aca="false">(R175+nonop_q+rf*$F198/4)*(1-tax)</f>
        <v>1648.9917465803</v>
      </c>
      <c r="T177" s="5" t="s">
        <v>479</v>
      </c>
    </row>
    <row r="178" customFormat="false" ht="17.15" hidden="false" customHeight="false" outlineLevel="0" collapsed="false">
      <c r="A178" s="5" t="s">
        <v>480</v>
      </c>
      <c r="B178" s="0" t="s">
        <v>108</v>
      </c>
      <c r="C178" s="17" t="n">
        <f aca="false">C177/(sh0+dil)*1000</f>
        <v>507.343332753891</v>
      </c>
      <c r="D178" s="17" t="n">
        <f aca="false">D177/(sh0+dil)*1000</f>
        <v>819.267314824616</v>
      </c>
      <c r="E178" s="17" t="n">
        <f aca="false">E177/(sh0+dil)*1000</f>
        <v>785.95275408554</v>
      </c>
      <c r="F178" s="17" t="n">
        <f aca="false">F177/(sh0+dil)*1000</f>
        <v>879.833802864526</v>
      </c>
      <c r="G178" s="17" t="n">
        <f aca="false">G177/(sh0+dil)*1000</f>
        <v>941.238471107203</v>
      </c>
      <c r="H178" s="17" t="n">
        <f aca="false">H177/(sh0+dil)*1000</f>
        <v>942.763271462615</v>
      </c>
      <c r="I178" s="17" t="n">
        <f aca="false">I177/(sh0+dil)*1000</f>
        <v>920.115571315349</v>
      </c>
      <c r="J178" s="17" t="n">
        <f aca="false">J177/(sh0+dil)*1000</f>
        <v>921.441369374585</v>
      </c>
      <c r="K178" s="17" t="n">
        <f aca="false">K177/(sh0+dil)*1000</f>
        <v>927.663570983118</v>
      </c>
      <c r="L178" s="17" t="n">
        <f aca="false">L177/(sh0+dil)*1000</f>
        <v>928.893204273311</v>
      </c>
      <c r="M178" s="17" t="n">
        <f aca="false">M177/(sh0+dil)*1000</f>
        <v>930.072881321891</v>
      </c>
      <c r="N178" s="17" t="n">
        <f aca="false">N177/(sh0+dil)*1000</f>
        <v>941.111123694758</v>
      </c>
      <c r="O178" s="17" t="n">
        <f aca="false">O177/(sh0+dil)*1000</f>
        <v>965.681912945453</v>
      </c>
      <c r="P178" s="17" t="n">
        <f aca="false">P177/(sh0+dil)*1000</f>
        <v>985.70293594537</v>
      </c>
      <c r="Q178" s="17" t="n">
        <f aca="false">Q177/(sh0+dil)*1000</f>
        <v>1006.128913231</v>
      </c>
      <c r="R178" s="17" t="n">
        <f aca="false">R177/(sh0+dil)*1000</f>
        <v>993.356647344703</v>
      </c>
    </row>
    <row r="180" customFormat="false" ht="17.15" hidden="false" customHeight="false" outlineLevel="0" collapsed="false">
      <c r="A180" s="12" t="s">
        <v>481</v>
      </c>
      <c r="B180" s="6" t="s">
        <v>17</v>
      </c>
      <c r="C180" s="12" t="s">
        <v>425</v>
      </c>
      <c r="D180" s="12" t="s">
        <v>426</v>
      </c>
      <c r="E180" s="12" t="s">
        <v>427</v>
      </c>
      <c r="F180" s="12" t="s">
        <v>428</v>
      </c>
      <c r="G180" s="12" t="s">
        <v>429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6" t="s">
        <v>330</v>
      </c>
    </row>
    <row r="181" customFormat="false" ht="17.15" hidden="false" customHeight="false" outlineLevel="0" collapsed="false">
      <c r="A181" s="5" t="s">
        <v>354</v>
      </c>
      <c r="B181" s="0" t="s">
        <v>27</v>
      </c>
      <c r="C181" s="13" t="n">
        <f aca="false">a25_rev</f>
        <v>2337.6</v>
      </c>
      <c r="D181" s="13" t="n">
        <f aca="false">SUM(C164:F164)</f>
        <v>9299.83872831688</v>
      </c>
      <c r="E181" s="13" t="n">
        <f aca="false">SUM(G164:J164)</f>
        <v>11159.7868629479</v>
      </c>
      <c r="F181" s="13" t="n">
        <f aca="false">SUM(K164:N164)</f>
        <v>11258.9821088204</v>
      </c>
      <c r="G181" s="13" t="n">
        <f aca="false">SUM(O164:R164)</f>
        <v>11852.0784762058</v>
      </c>
      <c r="T181" s="8" t="s">
        <v>482</v>
      </c>
    </row>
    <row r="182" customFormat="false" ht="17.15" hidden="false" customHeight="false" outlineLevel="0" collapsed="false">
      <c r="A182" s="5" t="s">
        <v>483</v>
      </c>
      <c r="B182" s="0" t="s">
        <v>27</v>
      </c>
      <c r="C182" s="13" t="n">
        <f aca="false">p1_ss+p2_ss+p3_ss+p4_ss</f>
        <v>1364.7</v>
      </c>
      <c r="D182" s="13" t="n">
        <f aca="false">SUM(C165:F165)</f>
        <v>6146.30756068914</v>
      </c>
      <c r="E182" s="13" t="n">
        <f aca="false">SUM(G165:J165)</f>
        <v>7588.65506680454</v>
      </c>
      <c r="F182" s="13" t="n">
        <f aca="false">SUM(K165:N165)</f>
        <v>7881.28747617427</v>
      </c>
      <c r="G182" s="13" t="n">
        <f aca="false">SUM(O165:R165)</f>
        <v>8296.45493334405</v>
      </c>
    </row>
    <row r="183" customFormat="false" ht="17.15" hidden="false" customHeight="false" outlineLevel="0" collapsed="false">
      <c r="A183" s="0" t="s">
        <v>484</v>
      </c>
      <c r="B183" s="0" t="s">
        <v>27</v>
      </c>
      <c r="C183" s="13" t="n">
        <f aca="false">C182*(0.75*Units!C16+0.25*Units!D16)</f>
        <v>507.679569396364</v>
      </c>
      <c r="D183" s="13" t="n">
        <f aca="false">SUM(C166:F166)</f>
        <v>3596.65652187207</v>
      </c>
      <c r="E183" s="13" t="n">
        <f aca="false">SUM(G166:J166)</f>
        <v>5228.39723655776</v>
      </c>
      <c r="F183" s="13" t="n">
        <f aca="false">SUM(K166:N166)</f>
        <v>5751.77387235955</v>
      </c>
      <c r="G183" s="13" t="n">
        <f aca="false">SUM(O166:R166)</f>
        <v>6323.20642626843</v>
      </c>
    </row>
    <row r="184" customFormat="false" ht="15" hidden="false" customHeight="false" outlineLevel="0" collapsed="false">
      <c r="A184" s="5" t="s">
        <v>485</v>
      </c>
      <c r="B184" s="0" t="s">
        <v>27</v>
      </c>
      <c r="C184" s="13" t="n">
        <f aca="false">p1_sd+p2_sd+p3_sd+p4_sd</f>
        <v>759.5</v>
      </c>
      <c r="D184" s="13" t="n">
        <f aca="false">SUM(C169:F169)</f>
        <v>2785.52161849506</v>
      </c>
      <c r="E184" s="13" t="n">
        <f aca="false">SUM(G169:J169)</f>
        <v>3124.7403216254</v>
      </c>
      <c r="F184" s="13" t="n">
        <f aca="false">SUM(K169:N169)</f>
        <v>2927.3353482933</v>
      </c>
      <c r="G184" s="13" t="n">
        <f aca="false">SUM(O169:R169)</f>
        <v>3081.54040381351</v>
      </c>
    </row>
    <row r="185" customFormat="false" ht="17.15" hidden="false" customHeight="false" outlineLevel="0" collapsed="false">
      <c r="A185" s="5" t="s">
        <v>486</v>
      </c>
      <c r="B185" s="0" t="s">
        <v>27</v>
      </c>
      <c r="C185" s="13" t="n">
        <f aca="false">a25_rev-C182-C184</f>
        <v>213.4</v>
      </c>
      <c r="D185" s="13" t="n">
        <f aca="false">SUM(C168:F168)</f>
        <v>368.009549132675</v>
      </c>
      <c r="E185" s="13" t="n">
        <f aca="false">SUM(G168:J168)</f>
        <v>446.391474517914</v>
      </c>
      <c r="F185" s="13" t="n">
        <f aca="false">SUM(K168:N168)</f>
        <v>450.359284352815</v>
      </c>
      <c r="G185" s="13" t="n">
        <f aca="false">SUM(O168:R168)</f>
        <v>474.083139048232</v>
      </c>
      <c r="T185" s="8" t="s">
        <v>487</v>
      </c>
    </row>
    <row r="186" customFormat="false" ht="15" hidden="false" customHeight="false" outlineLevel="0" collapsed="false">
      <c r="A186" s="5" t="s">
        <v>488</v>
      </c>
      <c r="B186" s="0" t="s">
        <v>27</v>
      </c>
      <c r="C186" s="18" t="n">
        <f aca="false">C182+C184+C185-C181</f>
        <v>0</v>
      </c>
      <c r="D186" s="18" t="n">
        <f aca="false">D182+D184+D185-D181</f>
        <v>0</v>
      </c>
      <c r="E186" s="18" t="n">
        <f aca="false">E182+E184+E185-E181</f>
        <v>0</v>
      </c>
      <c r="F186" s="18" t="n">
        <f aca="false">F182+F184+F185-F181</f>
        <v>0</v>
      </c>
      <c r="G186" s="18" t="n">
        <f aca="false">G182+G184+G185-G181</f>
        <v>0</v>
      </c>
    </row>
    <row r="187" customFormat="false" ht="15" hidden="false" customHeight="false" outlineLevel="0" collapsed="false">
      <c r="A187" s="5" t="s">
        <v>475</v>
      </c>
      <c r="B187" s="0" t="s">
        <v>27</v>
      </c>
      <c r="C187" s="13" t="n">
        <f aca="false">a25_rev-(p1_gp+p2_gp+p3_gp+p4_gp)</f>
        <v>1324.8</v>
      </c>
      <c r="D187" s="13" t="n">
        <f aca="false">SUM(C172:F172)</f>
        <v>1648.87183128657</v>
      </c>
      <c r="E187" s="13" t="n">
        <f aca="false">SUM(G172:J172)</f>
        <v>1774.78243859574</v>
      </c>
      <c r="F187" s="13" t="n">
        <f aca="false">SUM(K172:N172)</f>
        <v>1900.70104032356</v>
      </c>
      <c r="G187" s="13" t="n">
        <f aca="false">SUM(O172:R172)</f>
        <v>1974.70899095458</v>
      </c>
    </row>
    <row r="188" customFormat="false" ht="15" hidden="false" customHeight="false" outlineLevel="0" collapsed="false">
      <c r="A188" s="5" t="s">
        <v>360</v>
      </c>
      <c r="B188" s="0" t="s">
        <v>145</v>
      </c>
      <c r="C188" s="14" t="n">
        <f aca="false">1-C187/C181</f>
        <v>0.433264887063655</v>
      </c>
      <c r="D188" s="14" t="n">
        <f aca="false">1-D187/D181</f>
        <v>0.822698879039057</v>
      </c>
      <c r="E188" s="14" t="n">
        <f aca="false">1-E187/E181</f>
        <v>0.840966278263945</v>
      </c>
      <c r="F188" s="14" t="n">
        <f aca="false">1-F187/F181</f>
        <v>0.8311835810775</v>
      </c>
      <c r="G188" s="14" t="n">
        <f aca="false">1-G187/G181</f>
        <v>0.833387114764807</v>
      </c>
    </row>
    <row r="189" customFormat="false" ht="15" hidden="false" customHeight="false" outlineLevel="0" collapsed="false">
      <c r="A189" s="5" t="s">
        <v>477</v>
      </c>
      <c r="B189" s="0" t="s">
        <v>27</v>
      </c>
      <c r="D189" s="13" t="n">
        <f aca="false">SUM(C174:F174)</f>
        <v>290.521338057276</v>
      </c>
      <c r="E189" s="13" t="n">
        <f aca="false">SUM(G174:J174)</f>
        <v>263.935417334619</v>
      </c>
      <c r="F189" s="13" t="n">
        <f aca="false">SUM(K174:N174)</f>
        <v>280.161124663859</v>
      </c>
      <c r="G189" s="13" t="n">
        <f aca="false">SUM(O174:R174)</f>
        <v>302.849218695278</v>
      </c>
    </row>
    <row r="190" customFormat="false" ht="15" hidden="false" customHeight="false" outlineLevel="0" collapsed="false">
      <c r="A190" s="5" t="s">
        <v>358</v>
      </c>
      <c r="B190" s="0" t="s">
        <v>27</v>
      </c>
      <c r="C190" s="13" t="n">
        <f aca="false">p1_op+p2_op+p3_op+p4_op</f>
        <v>869</v>
      </c>
      <c r="D190" s="13" t="n">
        <f aca="false">SUM(C175:F175)</f>
        <v>7360.44555897303</v>
      </c>
      <c r="E190" s="13" t="n">
        <f aca="false">SUM(G175:J175)</f>
        <v>9121.0690070175</v>
      </c>
      <c r="F190" s="13" t="n">
        <f aca="false">SUM(K175:N175)</f>
        <v>9078.11994383297</v>
      </c>
      <c r="G190" s="13" t="n">
        <f aca="false">SUM(O175:R175)</f>
        <v>9574.52026655593</v>
      </c>
    </row>
    <row r="191" customFormat="false" ht="15" hidden="false" customHeight="false" outlineLevel="0" collapsed="false">
      <c r="A191" s="5" t="s">
        <v>361</v>
      </c>
      <c r="B191" s="0" t="s">
        <v>145</v>
      </c>
      <c r="C191" s="14" t="n">
        <f aca="false">C190/C181</f>
        <v>0.371748802190281</v>
      </c>
      <c r="D191" s="14" t="n">
        <f aca="false">D190/D181</f>
        <v>0.791459483760871</v>
      </c>
      <c r="E191" s="14" t="n">
        <f aca="false">E190/E181</f>
        <v>0.817315699576737</v>
      </c>
      <c r="F191" s="14" t="n">
        <f aca="false">F190/F181</f>
        <v>0.806300237098795</v>
      </c>
      <c r="G191" s="14" t="n">
        <f aca="false">G190/G181</f>
        <v>0.80783470053609</v>
      </c>
    </row>
    <row r="192" customFormat="false" ht="15" hidden="false" customHeight="false" outlineLevel="0" collapsed="false">
      <c r="A192" s="5" t="s">
        <v>359</v>
      </c>
      <c r="B192" s="0" t="s">
        <v>27</v>
      </c>
      <c r="C192" s="13" t="n">
        <f aca="false">a25_ni</f>
        <v>554.5</v>
      </c>
      <c r="D192" s="13" t="n">
        <f aca="false">SUM(C177:F177)</f>
        <v>4967.43874010166</v>
      </c>
      <c r="E192" s="13" t="n">
        <f aca="false">SUM(G177:J177)</f>
        <v>6184.50134351805</v>
      </c>
      <c r="F192" s="13" t="n">
        <f aca="false">SUM(K177:N177)</f>
        <v>6188.12366786131</v>
      </c>
      <c r="G192" s="13" t="n">
        <f aca="false">SUM(O177:R177)</f>
        <v>6558.52328006609</v>
      </c>
    </row>
    <row r="193" customFormat="false" ht="15" hidden="false" customHeight="false" outlineLevel="0" collapsed="false">
      <c r="A193" s="5" t="s">
        <v>489</v>
      </c>
      <c r="B193" s="0" t="s">
        <v>27</v>
      </c>
      <c r="D193" s="13" t="n">
        <f aca="false">da_y</f>
        <v>320</v>
      </c>
      <c r="E193" s="13" t="n">
        <f aca="false">da_y</f>
        <v>320</v>
      </c>
      <c r="F193" s="13" t="n">
        <f aca="false">da_y</f>
        <v>320</v>
      </c>
      <c r="G193" s="13" t="n">
        <f aca="false">da_y</f>
        <v>320</v>
      </c>
    </row>
    <row r="194" customFormat="false" ht="15" hidden="false" customHeight="false" outlineLevel="0" collapsed="false">
      <c r="A194" s="5" t="s">
        <v>490</v>
      </c>
      <c r="B194" s="0" t="s">
        <v>27</v>
      </c>
      <c r="D194" s="13" t="n">
        <f aca="false">cap_2026</f>
        <v>450</v>
      </c>
      <c r="E194" s="13" t="n">
        <f aca="false">cap_2027</f>
        <v>470</v>
      </c>
      <c r="F194" s="13" t="n">
        <f aca="false">cap_2028</f>
        <v>470</v>
      </c>
      <c r="G194" s="13" t="n">
        <f aca="false">cap_2029</f>
        <v>470</v>
      </c>
    </row>
    <row r="195" customFormat="false" ht="15" hidden="false" customHeight="false" outlineLevel="0" collapsed="false">
      <c r="A195" s="5" t="s">
        <v>491</v>
      </c>
      <c r="B195" s="0" t="s">
        <v>27</v>
      </c>
      <c r="D195" s="13" t="n">
        <f aca="false">D192+D193-D194</f>
        <v>4837.43874010166</v>
      </c>
      <c r="E195" s="13" t="n">
        <f aca="false">E192+E193-E194</f>
        <v>6034.50134351805</v>
      </c>
      <c r="F195" s="13" t="n">
        <f aca="false">F192+F193-F194</f>
        <v>6038.12366786131</v>
      </c>
      <c r="G195" s="13" t="n">
        <f aca="false">G192+G193-G194</f>
        <v>6408.52328006609</v>
      </c>
    </row>
    <row r="196" customFormat="false" ht="17.15" hidden="false" customHeight="false" outlineLevel="0" collapsed="false">
      <c r="A196" s="5" t="s">
        <v>492</v>
      </c>
      <c r="B196" s="0" t="s">
        <v>27</v>
      </c>
      <c r="D196" s="13" t="n">
        <f aca="false">MAX(0,payout*(SUM(D177:F177)+0.75*(D193-D194)))</f>
        <v>805.547748020332</v>
      </c>
      <c r="E196" s="13" t="n">
        <f aca="false">MAX(0,payout*E195)</f>
        <v>1206.90026870361</v>
      </c>
      <c r="F196" s="13" t="n">
        <f aca="false">MAX(0,payout*F195)</f>
        <v>1207.62473357226</v>
      </c>
      <c r="G196" s="13" t="n">
        <f aca="false">MAX(0,payout*G195)</f>
        <v>1281.70465601322</v>
      </c>
      <c r="T196" s="8" t="s">
        <v>493</v>
      </c>
    </row>
    <row r="197" customFormat="false" ht="17.15" hidden="false" customHeight="false" outlineLevel="0" collapsed="false">
      <c r="A197" s="5" t="s">
        <v>494</v>
      </c>
      <c r="B197" s="0" t="s">
        <v>27</v>
      </c>
      <c r="C197" s="13" t="n">
        <f aca="false">eq25</f>
        <v>1399.1</v>
      </c>
      <c r="D197" s="13" t="n">
        <f aca="false">eq_j+SUM(D177:F177)-D196</f>
        <v>5723.99099208133</v>
      </c>
      <c r="E197" s="13" t="n">
        <f aca="false">D197+E192-E196</f>
        <v>10701.5920668958</v>
      </c>
      <c r="F197" s="13" t="n">
        <f aca="false">E197+F192-F196</f>
        <v>15682.0910011848</v>
      </c>
      <c r="G197" s="13" t="n">
        <f aca="false">F197+G192-G196</f>
        <v>20958.9096252377</v>
      </c>
      <c r="T197" s="8" t="s">
        <v>495</v>
      </c>
    </row>
    <row r="198" customFormat="false" ht="15" hidden="false" customHeight="false" outlineLevel="0" collapsed="false">
      <c r="A198" s="5" t="s">
        <v>496</v>
      </c>
      <c r="B198" s="0" t="s">
        <v>27</v>
      </c>
      <c r="D198" s="13" t="n">
        <f aca="false">nc_j+(SUM(D177:F177)+0.75*(D193-D194))-D196</f>
        <v>3378.59099208133</v>
      </c>
      <c r="E198" s="13" t="n">
        <f aca="false">D198+E195-E196</f>
        <v>8206.19206689577</v>
      </c>
      <c r="F198" s="13" t="n">
        <f aca="false">E198+F195-F196</f>
        <v>13036.6910011848</v>
      </c>
      <c r="G198" s="13" t="n">
        <f aca="false">F198+G195-G196</f>
        <v>18163.5096252377</v>
      </c>
    </row>
    <row r="199" customFormat="false" ht="15" hidden="false" customHeight="false" outlineLevel="0" collapsed="false">
      <c r="A199" s="5" t="s">
        <v>497</v>
      </c>
      <c r="B199" s="5" t="s">
        <v>209</v>
      </c>
      <c r="D199" s="13" t="n">
        <f aca="false">sh0-D196/bb_px*1000</f>
        <v>1580.88846531162</v>
      </c>
      <c r="E199" s="13" t="n">
        <f aca="false">D199-E196/bb_px*1000</f>
        <v>1486.26672727135</v>
      </c>
      <c r="F199" s="13" t="n">
        <f aca="false">E199-F196/bb_px*1000</f>
        <v>1391.58819073099</v>
      </c>
      <c r="G199" s="13" t="n">
        <f aca="false">F199-G196/bb_px*1000</f>
        <v>1291.10174180796</v>
      </c>
    </row>
    <row r="200" customFormat="false" ht="17.15" hidden="false" customHeight="false" outlineLevel="0" collapsed="false">
      <c r="A200" s="0" t="s">
        <v>498</v>
      </c>
      <c r="B200" s="0" t="s">
        <v>108</v>
      </c>
      <c r="C200" s="17" t="n">
        <f aca="false">a25_eps</f>
        <v>341.4</v>
      </c>
      <c r="D200" s="17" t="n">
        <f aca="false">D192/(D199+dil)*1000</f>
        <v>3110.74550553792</v>
      </c>
      <c r="E200" s="17" t="n">
        <f aca="false">E192/(E199+dil)*1000</f>
        <v>4116.84578009688</v>
      </c>
      <c r="F200" s="17" t="n">
        <f aca="false">F192/(F199+dil)*1000</f>
        <v>4396.33518468036</v>
      </c>
      <c r="G200" s="17" t="n">
        <f aca="false">G192/(G199+dil)*1000</f>
        <v>5017.69973004714</v>
      </c>
    </row>
    <row r="201" customFormat="false" ht="17.15" hidden="false" customHeight="false" outlineLevel="0" collapsed="false">
      <c r="A201" s="5" t="s">
        <v>499</v>
      </c>
      <c r="B201" s="0" t="s">
        <v>108</v>
      </c>
      <c r="D201" s="17" t="n">
        <f aca="false">D197/D199*1000</f>
        <v>3620.74309331686</v>
      </c>
      <c r="E201" s="17" t="n">
        <f aca="false">E197/E199*1000</f>
        <v>7200.31732564109</v>
      </c>
      <c r="F201" s="17" t="n">
        <f aca="false">F197/F199*1000</f>
        <v>11269.2038532945</v>
      </c>
      <c r="G201" s="17" t="n">
        <f aca="false">G197/G199*1000</f>
        <v>16233.3524512858</v>
      </c>
    </row>
    <row r="202" customFormat="false" ht="17.15" hidden="false" customHeight="false" outlineLevel="0" collapsed="false">
      <c r="A202" s="0" t="s">
        <v>500</v>
      </c>
      <c r="B202" s="0" t="s">
        <v>145</v>
      </c>
      <c r="D202" s="21" t="n">
        <f aca="false">D192/D197</f>
        <v>0.867827840220871</v>
      </c>
      <c r="E202" s="21" t="n">
        <f aca="false">E192/E197</f>
        <v>0.577904792563449</v>
      </c>
      <c r="F202" s="21" t="n">
        <f aca="false">F192/F197</f>
        <v>0.394598122622409</v>
      </c>
      <c r="G202" s="21" t="n">
        <f aca="false">G192/G197</f>
        <v>0.312922923822747</v>
      </c>
    </row>
    <row r="203" customFormat="false" ht="15" hidden="false" customHeight="false" outlineLevel="0" collapsed="false">
      <c r="A203" s="5" t="s">
        <v>501</v>
      </c>
      <c r="B203" s="0" t="s">
        <v>108</v>
      </c>
      <c r="E203" s="17" t="n">
        <f aca="false">E195/(E199+dil)*1000</f>
        <v>4016.99506736937</v>
      </c>
      <c r="F203" s="17" t="n">
        <f aca="false">F195/(F199+dil)*1000</f>
        <v>4289.7681034297</v>
      </c>
      <c r="G203" s="17" t="n">
        <f aca="false">G195/(G199+dil)*1000</f>
        <v>4902.93990876318</v>
      </c>
    </row>
    <row r="204" customFormat="false" ht="17.15" hidden="false" customHeight="false" outlineLevel="0" collapsed="false">
      <c r="A204" s="5" t="s">
        <v>502</v>
      </c>
      <c r="B204" s="0" t="s">
        <v>27</v>
      </c>
      <c r="D204" s="18" t="n">
        <f aca="false">ABS(C164-q1_rev)+ABS(D175-g2_op)+ABS(C181-2337.6)</f>
        <v>0</v>
      </c>
    </row>
    <row r="210" customFormat="false" ht="17.15" hidden="false" customHeight="false" outlineLevel="0" collapsed="false">
      <c r="A210" s="3" t="s">
        <v>820</v>
      </c>
    </row>
    <row r="211" customFormat="false" ht="17.15" hidden="false" customHeight="false" outlineLevel="0" collapsed="false">
      <c r="A211" s="12" t="s">
        <v>442</v>
      </c>
      <c r="B211" s="6" t="s">
        <v>17</v>
      </c>
      <c r="C211" s="12" t="s">
        <v>443</v>
      </c>
      <c r="D211" s="12" t="s">
        <v>444</v>
      </c>
      <c r="E211" s="12" t="s">
        <v>445</v>
      </c>
      <c r="F211" s="12" t="s">
        <v>446</v>
      </c>
      <c r="G211" s="12" t="s">
        <v>447</v>
      </c>
      <c r="H211" s="12" t="s">
        <v>448</v>
      </c>
      <c r="I211" s="12" t="s">
        <v>449</v>
      </c>
      <c r="J211" s="12" t="s">
        <v>450</v>
      </c>
      <c r="K211" s="12" t="s">
        <v>451</v>
      </c>
      <c r="L211" s="12" t="s">
        <v>452</v>
      </c>
      <c r="M211" s="12" t="s">
        <v>453</v>
      </c>
      <c r="N211" s="12" t="s">
        <v>454</v>
      </c>
      <c r="O211" s="12" t="s">
        <v>455</v>
      </c>
      <c r="P211" s="12" t="s">
        <v>456</v>
      </c>
      <c r="Q211" s="12" t="s">
        <v>457</v>
      </c>
      <c r="R211" s="12" t="s">
        <v>458</v>
      </c>
      <c r="S211" s="12"/>
      <c r="T211" s="6" t="s">
        <v>330</v>
      </c>
    </row>
    <row r="212" customFormat="false" ht="17.15" hidden="false" customHeight="false" outlineLevel="0" collapsed="false">
      <c r="A212" s="5" t="s">
        <v>459</v>
      </c>
      <c r="B212" s="0" t="s">
        <v>391</v>
      </c>
      <c r="C212" s="19" t="n">
        <f aca="false">Units!H4*1.1</f>
        <v>11.792</v>
      </c>
      <c r="D212" s="19" t="n">
        <f aca="false">Units!I4*1.1</f>
        <v>16.4464485624234</v>
      </c>
      <c r="E212" s="19" t="n">
        <f aca="false">Units!J4*1.1*1</f>
        <v>17.8239213007777</v>
      </c>
      <c r="F212" s="19" t="n">
        <f aca="false">Units!K4*1.1*1</f>
        <v>19.6397794797306</v>
      </c>
      <c r="G212" s="19" t="n">
        <f aca="false">Units!L4*1.1*1</f>
        <v>20.7665384421769</v>
      </c>
      <c r="H212" s="19" t="n">
        <f aca="false">Units!M4*1.1*1</f>
        <v>20.860043940397</v>
      </c>
      <c r="I212" s="19" t="n">
        <f aca="false">Units!N4*1.1*1</f>
        <v>20.5128342455155</v>
      </c>
      <c r="J212" s="19" t="n">
        <f aca="false">Units!O4*1.1*1</f>
        <v>20.6051973897812</v>
      </c>
      <c r="K212" s="19" t="n">
        <f aca="false">Units!P4*1.1*1</f>
        <v>20.6979764176013</v>
      </c>
      <c r="L212" s="19" t="n">
        <f aca="false">Units!Q4*1.1*1</f>
        <v>20.791173201575</v>
      </c>
      <c r="M212" s="19" t="n">
        <f aca="false">Units!R4*1.1*1</f>
        <v>20.884789622733</v>
      </c>
      <c r="N212" s="19" t="n">
        <f aca="false">Units!S4*1.1*1</f>
        <v>21.1061612536986</v>
      </c>
      <c r="O212" s="19" t="n">
        <f aca="false">Units!T4*1.1*1</f>
        <v>21.5164661103118</v>
      </c>
      <c r="P212" s="19" t="n">
        <f aca="false">Units!U4*1.1*1</f>
        <v>21.9347473143687</v>
      </c>
      <c r="Q212" s="19" t="n">
        <f aca="false">Units!V4*1.1*1</f>
        <v>22.3611599264723</v>
      </c>
      <c r="R212" s="19" t="n">
        <f aca="false">Units!W4*1.1*1</f>
        <v>22.0652600541243</v>
      </c>
      <c r="T212" s="8" t="s">
        <v>460</v>
      </c>
    </row>
    <row r="213" customFormat="false" ht="15" hidden="false" customHeight="false" outlineLevel="0" collapsed="false">
      <c r="A213" s="5" t="s">
        <v>461</v>
      </c>
      <c r="B213" s="0" t="s">
        <v>398</v>
      </c>
      <c r="C213" s="19" t="n">
        <f aca="false">Units!H7*1.1</f>
        <v>44.1933338484948</v>
      </c>
      <c r="D213" s="19" t="n">
        <f aca="false">Units!I7*1.1</f>
        <v>49.3095923976442</v>
      </c>
      <c r="E213" s="19" t="n">
        <f aca="false">Units!J7*1.1</f>
        <v>49.4352623729326</v>
      </c>
      <c r="F213" s="19" t="n">
        <f aca="false">Units!K7*1.1</f>
        <v>52.8850561695041</v>
      </c>
      <c r="G213" s="19" t="n">
        <f aca="false">Units!L7*1.1</f>
        <v>55.9191386590738</v>
      </c>
      <c r="H213" s="19" t="n">
        <f aca="false">Units!M7*1.1</f>
        <v>59.127290294453</v>
      </c>
      <c r="I213" s="19" t="n">
        <f aca="false">Units!N7*1.1</f>
        <v>62.5194976424627</v>
      </c>
      <c r="J213" s="19" t="n">
        <f aca="false">Units!O7*1.1</f>
        <v>66.1063202118802</v>
      </c>
      <c r="K213" s="19" t="n">
        <f aca="false">Units!P7*1.1</f>
        <v>69.8989233238423</v>
      </c>
      <c r="L213" s="19" t="n">
        <f aca="false">Units!Q7*1.1</f>
        <v>73.9091128680663</v>
      </c>
      <c r="M213" s="19" t="n">
        <f aca="false">Units!R7*1.1</f>
        <v>78.1493720530785</v>
      </c>
      <c r="N213" s="19" t="n">
        <f aca="false">Units!S7*1.1</f>
        <v>81.4203388485435</v>
      </c>
      <c r="O213" s="19" t="n">
        <f aca="false">Units!T7*1.1</f>
        <v>85.5702622774562</v>
      </c>
      <c r="P213" s="19" t="n">
        <f aca="false">Units!U7*1.1</f>
        <v>89.9317036723879</v>
      </c>
      <c r="Q213" s="19" t="n">
        <f aca="false">Units!V7*1.1</f>
        <v>94.5154439189904</v>
      </c>
      <c r="R213" s="19" t="n">
        <f aca="false">Units!W7*1.1</f>
        <v>96.2934690976362</v>
      </c>
    </row>
    <row r="214" customFormat="false" ht="17.15" hidden="false" customHeight="false" outlineLevel="0" collapsed="false">
      <c r="A214" s="5" t="s">
        <v>354</v>
      </c>
      <c r="B214" s="0" t="s">
        <v>27</v>
      </c>
      <c r="C214" s="13" t="n">
        <f aca="false">q1_rev</f>
        <v>1767.1</v>
      </c>
      <c r="D214" s="13" t="n">
        <f aca="false">g2_rev</f>
        <v>2480</v>
      </c>
      <c r="E214" s="13" t="n">
        <f aca="false">E212*kx_k*fx</f>
        <v>2938.12045994443</v>
      </c>
      <c r="F214" s="13" t="n">
        <f aca="false">F212*kx_k*fx</f>
        <v>3237.44909688731</v>
      </c>
      <c r="G214" s="13" t="n">
        <f aca="false">G212*kx_k*fx</f>
        <v>3423.18564190026</v>
      </c>
      <c r="H214" s="13" t="n">
        <f aca="false">H212*kx_k*fx</f>
        <v>3438.59922080928</v>
      </c>
      <c r="I214" s="13" t="n">
        <f aca="false">I212*kx_k*fx</f>
        <v>3381.36468239276</v>
      </c>
      <c r="J214" s="13" t="n">
        <f aca="false">J212*kx_k*fx</f>
        <v>3396.58995405619</v>
      </c>
      <c r="K214" s="13" t="n">
        <f aca="false">K212*kx_k*fx</f>
        <v>3411.88378055441</v>
      </c>
      <c r="L214" s="13" t="n">
        <f aca="false">L212*kx_k*fx</f>
        <v>3427.24647056933</v>
      </c>
      <c r="M214" s="13" t="n">
        <f aca="false">M212*kx_k*fx</f>
        <v>3442.67833417271</v>
      </c>
      <c r="N214" s="13" t="n">
        <f aca="false">N212*kx_k*fx</f>
        <v>3479.16954770623</v>
      </c>
      <c r="O214" s="13" t="n">
        <f aca="false">O212*kx_k*fx</f>
        <v>3546.8047820459</v>
      </c>
      <c r="P214" s="13" t="n">
        <f aca="false">P212*kx_k*fx</f>
        <v>3615.75484880792</v>
      </c>
      <c r="Q214" s="13" t="n">
        <f aca="false">Q212*kx_k*fx</f>
        <v>3686.04530840198</v>
      </c>
      <c r="R214" s="13" t="n">
        <f aca="false">R212*kx_k*fx</f>
        <v>3637.26875388462</v>
      </c>
      <c r="T214" s="5" t="s">
        <v>462</v>
      </c>
    </row>
    <row r="215" customFormat="false" ht="17.15" hidden="false" customHeight="false" outlineLevel="0" collapsed="false">
      <c r="A215" s="0" t="s">
        <v>463</v>
      </c>
      <c r="B215" s="0" t="s">
        <v>27</v>
      </c>
      <c r="C215" s="13" t="n">
        <f aca="false">q1_ss</f>
        <v>1174.7</v>
      </c>
      <c r="D215" s="13" t="n">
        <f aca="false">D214*sssh_26</f>
        <v>1636.8</v>
      </c>
      <c r="E215" s="13" t="n">
        <f aca="false">E214*sssh_26</f>
        <v>1939.15950356332</v>
      </c>
      <c r="F215" s="13" t="n">
        <f aca="false">F214*sssh_26</f>
        <v>2136.71640394563</v>
      </c>
      <c r="G215" s="13" t="n">
        <f aca="false">G214*sssh_27</f>
        <v>2327.76623649218</v>
      </c>
      <c r="H215" s="13" t="n">
        <f aca="false">H214*sssh_27</f>
        <v>2338.24747015031</v>
      </c>
      <c r="I215" s="13" t="n">
        <f aca="false">I214*sssh_27</f>
        <v>2299.32798402708</v>
      </c>
      <c r="J215" s="13" t="n">
        <f aca="false">J214*sssh_27</f>
        <v>2309.68116875821</v>
      </c>
      <c r="K215" s="13" t="n">
        <f aca="false">K214*sssh_28</f>
        <v>2388.31864638809</v>
      </c>
      <c r="L215" s="13" t="n">
        <f aca="false">L214*sssh_28</f>
        <v>2399.07252939853</v>
      </c>
      <c r="M215" s="13" t="n">
        <f aca="false">M214*sssh_28</f>
        <v>2409.8748339209</v>
      </c>
      <c r="N215" s="13" t="n">
        <f aca="false">N214*sssh_28</f>
        <v>2435.41868339436</v>
      </c>
      <c r="O215" s="13" t="n">
        <f aca="false">O214*sssh_29</f>
        <v>2482.76334743213</v>
      </c>
      <c r="P215" s="13" t="n">
        <f aca="false">P214*sssh_29</f>
        <v>2531.02839416554</v>
      </c>
      <c r="Q215" s="13" t="n">
        <f aca="false">Q214*sssh_29</f>
        <v>2580.23171588138</v>
      </c>
      <c r="R215" s="13" t="n">
        <f aca="false">R214*sssh_29</f>
        <v>2546.08812771923</v>
      </c>
      <c r="T215" s="5" t="s">
        <v>464</v>
      </c>
    </row>
    <row r="216" customFormat="false" ht="17.15" hidden="false" customHeight="false" outlineLevel="0" collapsed="false">
      <c r="A216" s="0" t="s">
        <v>465</v>
      </c>
      <c r="B216" s="0" t="s">
        <v>27</v>
      </c>
      <c r="C216" s="13" t="n">
        <f aca="false">C215*(0.75*Units!D16+0.25*Units!E16)</f>
        <v>687.403351447223</v>
      </c>
      <c r="D216" s="13" t="n">
        <f aca="false">D215*(0.75*Units!D16+0.25*Units!E16)</f>
        <v>957.812041924589</v>
      </c>
      <c r="E216" s="13" t="n">
        <f aca="false">E215*(0.75*Units!D16+0.25*Units!E16)</f>
        <v>1134.7448214354</v>
      </c>
      <c r="F216" s="13" t="n">
        <f aca="false">F215*(0.75*Units!D16+0.25*Units!E16)</f>
        <v>1250.34989117603</v>
      </c>
      <c r="G216" s="13" t="n">
        <f aca="false">G215*(0.75*Units!E16+0.25*Units!F16)</f>
        <v>1603.77385071383</v>
      </c>
      <c r="H216" s="13" t="n">
        <f aca="false">H215*(0.75*Units!E16+0.25*Units!F16)</f>
        <v>1610.99516366211</v>
      </c>
      <c r="I216" s="13" t="n">
        <f aca="false">I215*(0.75*Units!E16+0.25*Units!F16)</f>
        <v>1584.18059218618</v>
      </c>
      <c r="J216" s="13" t="n">
        <f aca="false">J215*(0.75*Units!E16+0.25*Units!F16)</f>
        <v>1591.31368256403</v>
      </c>
      <c r="K216" s="13" t="n">
        <f aca="false">K215*(0.75*Units!F16+0.25*Units!G16)</f>
        <v>1742.99806100112</v>
      </c>
      <c r="L216" s="13" t="n">
        <f aca="false">L215*(0.75*Units!F16+0.25*Units!G16)</f>
        <v>1750.84625883845</v>
      </c>
      <c r="M216" s="13" t="n">
        <f aca="false">M215*(0.75*Units!F16+0.25*Units!G16)</f>
        <v>1758.72979475829</v>
      </c>
      <c r="N216" s="13" t="n">
        <f aca="false">N215*(0.75*Units!F16+0.25*Units!G16)</f>
        <v>1777.37172939715</v>
      </c>
      <c r="O216" s="13" t="n">
        <f aca="false">O215*(0.75*Units!G16+0.25*Units!H16)</f>
        <v>1892.2570277928</v>
      </c>
      <c r="P216" s="13" t="n">
        <f aca="false">P215*(0.75*Units!G16+0.25*Units!H16)</f>
        <v>1929.04260140477</v>
      </c>
      <c r="Q216" s="13" t="n">
        <f aca="false">Q215*(0.75*Units!G16+0.25*Units!H16)</f>
        <v>1966.54328845327</v>
      </c>
      <c r="R216" s="13" t="n">
        <f aca="false">R215*(0.75*Units!G16+0.25*Units!H16)</f>
        <v>1940.5204922328</v>
      </c>
      <c r="T216" s="5" t="s">
        <v>466</v>
      </c>
    </row>
    <row r="217" customFormat="false" ht="17.15" hidden="false" customHeight="false" outlineLevel="0" collapsed="false">
      <c r="A217" s="0" t="s">
        <v>467</v>
      </c>
      <c r="B217" s="0" t="s">
        <v>27</v>
      </c>
      <c r="C217" s="13" t="n">
        <f aca="false">C215-C216</f>
        <v>487.296648552777</v>
      </c>
      <c r="D217" s="13" t="n">
        <f aca="false">D215-D216</f>
        <v>678.987958075412</v>
      </c>
      <c r="E217" s="13" t="n">
        <f aca="false">E215-E216</f>
        <v>804.414682127925</v>
      </c>
      <c r="F217" s="13" t="n">
        <f aca="false">F215-F216</f>
        <v>886.366512769597</v>
      </c>
      <c r="G217" s="13" t="n">
        <f aca="false">G215-G216</f>
        <v>723.992385778344</v>
      </c>
      <c r="H217" s="13" t="n">
        <f aca="false">H215-H216</f>
        <v>727.252306488204</v>
      </c>
      <c r="I217" s="13" t="n">
        <f aca="false">I215-I216</f>
        <v>715.147391840895</v>
      </c>
      <c r="J217" s="13" t="n">
        <f aca="false">J215-J216</f>
        <v>718.367486194179</v>
      </c>
      <c r="K217" s="13" t="n">
        <f aca="false">K215-K216</f>
        <v>645.320585386972</v>
      </c>
      <c r="L217" s="13" t="n">
        <f aca="false">L215-L216</f>
        <v>648.226270560087</v>
      </c>
      <c r="M217" s="13" t="n">
        <f aca="false">M215-M216</f>
        <v>651.14503916261</v>
      </c>
      <c r="N217" s="13" t="n">
        <f aca="false">N215-N216</f>
        <v>658.046953997209</v>
      </c>
      <c r="O217" s="13" t="n">
        <f aca="false">O215-O216</f>
        <v>590.506319639324</v>
      </c>
      <c r="P217" s="13" t="n">
        <f aca="false">P215-P216</f>
        <v>601.985792760775</v>
      </c>
      <c r="Q217" s="13" t="n">
        <f aca="false">Q215-Q216</f>
        <v>613.688427428111</v>
      </c>
      <c r="R217" s="13" t="n">
        <f aca="false">R215-R216</f>
        <v>605.567635486436</v>
      </c>
    </row>
    <row r="218" customFormat="false" ht="17.15" hidden="false" customHeight="false" outlineLevel="0" collapsed="false">
      <c r="A218" s="5" t="s">
        <v>468</v>
      </c>
      <c r="B218" s="0" t="s">
        <v>27</v>
      </c>
      <c r="C218" s="13" t="n">
        <f aca="false">q1_rev-q1_ss-q1_sd</f>
        <v>66.6999999999998</v>
      </c>
      <c r="D218" s="13" t="n">
        <f aca="false">D214*otsh_26</f>
        <v>99.2</v>
      </c>
      <c r="E218" s="13" t="n">
        <f aca="false">E214*otsh_26</f>
        <v>117.524818397777</v>
      </c>
      <c r="F218" s="13" t="n">
        <f aca="false">F214*otsh_26</f>
        <v>129.497963875493</v>
      </c>
      <c r="G218" s="13" t="n">
        <f aca="false">G214*otsh_27</f>
        <v>136.92742567601</v>
      </c>
      <c r="H218" s="13" t="n">
        <f aca="false">H214*otsh_27</f>
        <v>137.543968832371</v>
      </c>
      <c r="I218" s="13" t="n">
        <f aca="false">I214*otsh_27</f>
        <v>135.25458729571</v>
      </c>
      <c r="J218" s="13" t="n">
        <f aca="false">J214*otsh_27</f>
        <v>135.863598162247</v>
      </c>
      <c r="K218" s="13" t="n">
        <f aca="false">K214*otsh_28</f>
        <v>136.475351222177</v>
      </c>
      <c r="L218" s="13" t="n">
        <f aca="false">L214*otsh_28</f>
        <v>137.089858822773</v>
      </c>
      <c r="M218" s="13" t="n">
        <f aca="false">M214*otsh_28</f>
        <v>137.707133366908</v>
      </c>
      <c r="N218" s="13" t="n">
        <f aca="false">N214*otsh_28</f>
        <v>139.166781908249</v>
      </c>
      <c r="O218" s="13" t="n">
        <f aca="false">O214*otsh_29</f>
        <v>141.872191281836</v>
      </c>
      <c r="P218" s="13" t="n">
        <f aca="false">P214*otsh_29</f>
        <v>144.630193952317</v>
      </c>
      <c r="Q218" s="13" t="n">
        <f aca="false">Q214*otsh_29</f>
        <v>147.441812336079</v>
      </c>
      <c r="R218" s="13" t="n">
        <f aca="false">R214*otsh_29</f>
        <v>145.490750155385</v>
      </c>
      <c r="T218" s="5" t="s">
        <v>469</v>
      </c>
    </row>
    <row r="219" customFormat="false" ht="17.15" hidden="false" customHeight="false" outlineLevel="0" collapsed="false">
      <c r="A219" s="5" t="s">
        <v>470</v>
      </c>
      <c r="B219" s="0" t="s">
        <v>27</v>
      </c>
      <c r="C219" s="13" t="n">
        <f aca="false">q1_sd</f>
        <v>525.7</v>
      </c>
      <c r="D219" s="13" t="n">
        <f aca="false">D214-D215-D218</f>
        <v>744</v>
      </c>
      <c r="E219" s="13" t="n">
        <f aca="false">E214-E215-E218</f>
        <v>881.436137983327</v>
      </c>
      <c r="F219" s="13" t="n">
        <f aca="false">F214-F215-F218</f>
        <v>971.234729066194</v>
      </c>
      <c r="G219" s="13" t="n">
        <f aca="false">G214-G215-G218</f>
        <v>958.491979732072</v>
      </c>
      <c r="H219" s="13" t="n">
        <f aca="false">H214-H215-H218</f>
        <v>962.807781826599</v>
      </c>
      <c r="I219" s="13" t="n">
        <f aca="false">I214-I215-I218</f>
        <v>946.782111069973</v>
      </c>
      <c r="J219" s="13" t="n">
        <f aca="false">J214-J215-J218</f>
        <v>951.045187135732</v>
      </c>
      <c r="K219" s="13" t="n">
        <f aca="false">K214-K215-K218</f>
        <v>887.089782944148</v>
      </c>
      <c r="L219" s="13" t="n">
        <f aca="false">L214-L215-L218</f>
        <v>891.084082348027</v>
      </c>
      <c r="M219" s="13" t="n">
        <f aca="false">M214-M215-M218</f>
        <v>895.096366884904</v>
      </c>
      <c r="N219" s="13" t="n">
        <f aca="false">N214-N215-N218</f>
        <v>904.584082403621</v>
      </c>
      <c r="O219" s="13" t="n">
        <f aca="false">O214-O215-O218</f>
        <v>922.169243331933</v>
      </c>
      <c r="P219" s="13" t="n">
        <f aca="false">P214-P215-P218</f>
        <v>940.096260690059</v>
      </c>
      <c r="Q219" s="13" t="n">
        <f aca="false">Q214-Q215-Q218</f>
        <v>958.371780184514</v>
      </c>
      <c r="R219" s="13" t="n">
        <f aca="false">R214-R215-R218</f>
        <v>945.689876010001</v>
      </c>
      <c r="T219" s="5" t="s">
        <v>471</v>
      </c>
    </row>
    <row r="220" customFormat="false" ht="15" hidden="false" customHeight="false" outlineLevel="0" collapsed="false">
      <c r="A220" s="5" t="s">
        <v>472</v>
      </c>
      <c r="B220" s="0" t="s">
        <v>27</v>
      </c>
      <c r="C220" s="18" t="n">
        <f aca="false">C215+C219+C218-C214</f>
        <v>0</v>
      </c>
      <c r="D220" s="18" t="n">
        <f aca="false">D215+D219+D218-D214</f>
        <v>0</v>
      </c>
      <c r="E220" s="18" t="n">
        <f aca="false">E215+E219+E218-E214</f>
        <v>0</v>
      </c>
      <c r="F220" s="18" t="n">
        <f aca="false">F215+F219+F218-F214</f>
        <v>0</v>
      </c>
      <c r="G220" s="18" t="n">
        <f aca="false">G215+G219+G218-G214</f>
        <v>0</v>
      </c>
      <c r="H220" s="18" t="n">
        <f aca="false">H215+H219+H218-H214</f>
        <v>0</v>
      </c>
      <c r="I220" s="18" t="n">
        <f aca="false">I215+I219+I218-I214</f>
        <v>0</v>
      </c>
      <c r="J220" s="18" t="n">
        <f aca="false">J215+J219+J218-J214</f>
        <v>0</v>
      </c>
      <c r="K220" s="18" t="n">
        <f aca="false">K215+K219+K218-K214</f>
        <v>0</v>
      </c>
      <c r="L220" s="18" t="n">
        <f aca="false">L215+L219+L218-L214</f>
        <v>0</v>
      </c>
      <c r="M220" s="18" t="n">
        <f aca="false">M215+M219+M218-M214</f>
        <v>0</v>
      </c>
      <c r="N220" s="18" t="n">
        <f aca="false">N215+N219+N218-N214</f>
        <v>0</v>
      </c>
      <c r="O220" s="18" t="n">
        <f aca="false">O215+O219+O218-O214</f>
        <v>0</v>
      </c>
      <c r="P220" s="18" t="n">
        <f aca="false">P215+P219+P218-P214</f>
        <v>0</v>
      </c>
      <c r="Q220" s="18" t="n">
        <f aca="false">Q215+Q219+Q218-Q214</f>
        <v>0</v>
      </c>
      <c r="R220" s="18" t="n">
        <f aca="false">R215+R219+R218-R214</f>
        <v>0</v>
      </c>
    </row>
    <row r="221" customFormat="false" ht="17.15" hidden="false" customHeight="false" outlineLevel="0" collapsed="false">
      <c r="A221" s="5" t="s">
        <v>473</v>
      </c>
      <c r="B221" s="0" t="s">
        <v>474</v>
      </c>
      <c r="C221" s="20" t="n">
        <f aca="false">C222/C213</f>
        <v>8.75697681751568</v>
      </c>
      <c r="D221" s="20" t="n">
        <f aca="false">D222/D213</f>
        <v>8.64537667564186</v>
      </c>
      <c r="E221" s="20" t="n">
        <f aca="false">$D221*(1-cd_A)^(1/4)</f>
        <v>8.32546564183287</v>
      </c>
      <c r="F221" s="20" t="n">
        <f aca="false">$D221*(1-cd_A)^(2/4)</f>
        <v>8.01739250397595</v>
      </c>
      <c r="G221" s="20" t="n">
        <f aca="false">$D221*(1-cd_A)^(3/4)</f>
        <v>7.72071921597153</v>
      </c>
      <c r="H221" s="20" t="n">
        <f aca="false">$D221*(1-cd_A)^(4/4)</f>
        <v>7.435023941052</v>
      </c>
      <c r="I221" s="20" t="n">
        <f aca="false">$D221*(1-cd_A)^(5/4)</f>
        <v>7.15990045197627</v>
      </c>
      <c r="J221" s="20" t="n">
        <f aca="false">$D221*(1-cd_A)^(6/4)</f>
        <v>6.89495755341932</v>
      </c>
      <c r="K221" s="20" t="n">
        <f aca="false">$D221*(1-cd_A)^(7/4)</f>
        <v>6.63981852573552</v>
      </c>
      <c r="L221" s="20" t="n">
        <f aca="false">$D221*(1-cd_A)^(8/4)</f>
        <v>6.39412058930472</v>
      </c>
      <c r="M221" s="20" t="n">
        <f aca="false">$D221*(1-cd_A)^(9/4)</f>
        <v>6.15751438869959</v>
      </c>
      <c r="N221" s="20" t="n">
        <f aca="false">$D221*(1-cd_A)^(10/4)</f>
        <v>5.92966349594061</v>
      </c>
      <c r="O221" s="20" t="n">
        <f aca="false">$D221*(1-cd_A)^(11/4)</f>
        <v>5.71024393213254</v>
      </c>
      <c r="P221" s="20" t="n">
        <f aca="false">$D221*(1-cd_A)^(12/4)</f>
        <v>5.49894370680206</v>
      </c>
      <c r="Q221" s="20" t="n">
        <f aca="false">$D221*(1-cd_A)^(13/4)</f>
        <v>5.29546237428165</v>
      </c>
      <c r="R221" s="20" t="n">
        <f aca="false">$D221*(1-cd_A)^(14/4)</f>
        <v>5.09951060650893</v>
      </c>
    </row>
    <row r="222" customFormat="false" ht="15" hidden="false" customHeight="false" outlineLevel="0" collapsed="false">
      <c r="A222" s="5" t="s">
        <v>475</v>
      </c>
      <c r="B222" s="0" t="s">
        <v>27</v>
      </c>
      <c r="C222" s="13" t="n">
        <f aca="false">q1_rev-q1_gp</f>
        <v>387</v>
      </c>
      <c r="D222" s="13" t="n">
        <f aca="false">g2_rev-g2_op-g2_ox</f>
        <v>426.3</v>
      </c>
      <c r="E222" s="13" t="n">
        <f aca="false">E213*E221</f>
        <v>411.571578380844</v>
      </c>
      <c r="F222" s="13" t="n">
        <f aca="false">F213*F221</f>
        <v>424.00025290573</v>
      </c>
      <c r="G222" s="13" t="n">
        <f aca="false">G213*G221</f>
        <v>431.735968385688</v>
      </c>
      <c r="H222" s="13" t="n">
        <f aca="false">H213*H221</f>
        <v>439.61281890879</v>
      </c>
      <c r="I222" s="13" t="n">
        <f aca="false">I213*I221</f>
        <v>447.633379427598</v>
      </c>
      <c r="J222" s="13" t="n">
        <f aca="false">J213*J221</f>
        <v>455.800271873659</v>
      </c>
      <c r="K222" s="13" t="n">
        <f aca="false">K213*K221</f>
        <v>464.116166014614</v>
      </c>
      <c r="L222" s="13" t="n">
        <f aca="false">L213*L221</f>
        <v>472.583780326949</v>
      </c>
      <c r="M222" s="13" t="n">
        <f aca="false">M213*M221</f>
        <v>481.205882884668</v>
      </c>
      <c r="N222" s="13" t="n">
        <f aca="false">N213*N221</f>
        <v>482.795211097324</v>
      </c>
      <c r="O222" s="13" t="n">
        <f aca="false">O213*O221</f>
        <v>488.627070940835</v>
      </c>
      <c r="P222" s="13" t="n">
        <f aca="false">P213*P221</f>
        <v>494.529375951265</v>
      </c>
      <c r="Q222" s="13" t="n">
        <f aca="false">Q213*Q221</f>
        <v>500.502977061541</v>
      </c>
      <c r="R222" s="13" t="n">
        <f aca="false">R213*R221</f>
        <v>491.049567000935</v>
      </c>
      <c r="T222" s="5" t="s">
        <v>476</v>
      </c>
    </row>
    <row r="223" customFormat="false" ht="15" hidden="false" customHeight="false" outlineLevel="0" collapsed="false">
      <c r="A223" s="5" t="s">
        <v>360</v>
      </c>
      <c r="B223" s="0" t="s">
        <v>145</v>
      </c>
      <c r="C223" s="14" t="n">
        <f aca="false">1-C222/C214</f>
        <v>0.780997113915455</v>
      </c>
      <c r="D223" s="14" t="n">
        <f aca="false">1-D222/D214</f>
        <v>0.828104838709677</v>
      </c>
      <c r="E223" s="14" t="n">
        <f aca="false">1-E222/E214</f>
        <v>0.859920114239078</v>
      </c>
      <c r="F223" s="14" t="n">
        <f aca="false">1-F222/F214</f>
        <v>0.869032611720941</v>
      </c>
      <c r="G223" s="14" t="n">
        <f aca="false">1-G222/G214</f>
        <v>0.873878891316562</v>
      </c>
      <c r="H223" s="14" t="n">
        <f aca="false">1-H222/H214</f>
        <v>0.872153516394584</v>
      </c>
      <c r="I223" s="14" t="n">
        <f aca="false">1-I222/I214</f>
        <v>0.86761753863507</v>
      </c>
      <c r="J223" s="14" t="n">
        <f aca="false">1-J222/J214</f>
        <v>0.865806506514175</v>
      </c>
      <c r="K223" s="14" t="n">
        <f aca="false">1-K222/K214</f>
        <v>0.863970698925976</v>
      </c>
      <c r="L223" s="14" t="n">
        <f aca="false">1-L222/L214</f>
        <v>0.862109776934589</v>
      </c>
      <c r="M223" s="14" t="n">
        <f aca="false">1-M222/M214</f>
        <v>0.860223396967378</v>
      </c>
      <c r="N223" s="14" t="n">
        <f aca="false">1-N222/N214</f>
        <v>0.861232629086552</v>
      </c>
      <c r="O223" s="14" t="n">
        <f aca="false">1-O222/O214</f>
        <v>0.862234574224584</v>
      </c>
      <c r="P223" s="14" t="n">
        <f aca="false">1-P222/P214</f>
        <v>0.863229284995827</v>
      </c>
      <c r="Q223" s="14" t="n">
        <f aca="false">1-Q222/Q214</f>
        <v>0.864216813634739</v>
      </c>
      <c r="R223" s="14" t="n">
        <f aca="false">1-R222/R214</f>
        <v>0.864994972814013</v>
      </c>
    </row>
    <row r="224" customFormat="false" ht="17.15" hidden="false" customHeight="false" outlineLevel="0" collapsed="false">
      <c r="A224" s="5" t="s">
        <v>477</v>
      </c>
      <c r="B224" s="0" t="s">
        <v>27</v>
      </c>
      <c r="C224" s="13" t="n">
        <f aca="false">q1_gp-q1_op</f>
        <v>110.1</v>
      </c>
      <c r="D224" s="13" t="n">
        <f aca="false">g2_ox</f>
        <v>59</v>
      </c>
      <c r="E224" s="13" t="n">
        <f aca="false">(g2_ox-ox_var*g2_rev)*(1+ox_g)^(1/4)+ox_var*E214</f>
        <v>64.4058927661323</v>
      </c>
      <c r="F224" s="13" t="n">
        <f aca="false">(g2_ox-ox_var*g2_rev)*(1+ox_g)^(2/4)+ox_var*F214</f>
        <v>68.2437535762923</v>
      </c>
      <c r="G224" s="13" t="n">
        <f aca="false">(g2_ox-ox_var*g2_rev)*(1+ox_g)^(3/4)+ox_var*G214</f>
        <v>70.9660592726254</v>
      </c>
      <c r="H224" s="13" t="n">
        <f aca="false">(g2_ox-ox_var*g2_rev)*(1+ox_g)^(4/4)+ox_var*H214</f>
        <v>72.0059922080928</v>
      </c>
      <c r="I224" s="13" t="n">
        <f aca="false">(g2_ox-ox_var*g2_rev)*(1+ox_g)^(5/4)+ox_var*I214</f>
        <v>72.3408038072844</v>
      </c>
      <c r="J224" s="13" t="n">
        <f aca="false">(g2_ox-ox_var*g2_rev)*(1+ox_g)^(6/4)+ox_var*J214</f>
        <v>73.422088408723</v>
      </c>
      <c r="K224" s="13" t="n">
        <f aca="false">(g2_ox-ox_var*g2_rev)*(1+ox_g)^(7/4)+ox_var*K214</f>
        <v>74.5264609445293</v>
      </c>
      <c r="L224" s="13" t="n">
        <f aca="false">(g2_ox-ox_var*g2_rev)*(1+ox_g)^(8/4)+ox_var*L214</f>
        <v>75.6544647056933</v>
      </c>
      <c r="M224" s="13" t="n">
        <f aca="false">(g2_ox-ox_var*g2_rev)*(1+ox_g)^(9/4)+ox_var*M214</f>
        <v>76.8066560234196</v>
      </c>
      <c r="N224" s="13" t="n">
        <f aca="false">(g2_ox-ox_var*g2_rev)*(1+ox_g)^(10/4)+ox_var*N214</f>
        <v>78.1935032320396</v>
      </c>
      <c r="O224" s="13" t="n">
        <f aca="false">(g2_ox-ox_var*g2_rev)*(1+ox_g)^(11/4)+ox_var*O214</f>
        <v>79.9164332733426</v>
      </c>
      <c r="P224" s="13" t="n">
        <f aca="false">(g2_ox-ox_var*g2_rev)*(1+ox_g)^(12/4)+ox_var*P214</f>
        <v>81.6777484880792</v>
      </c>
      <c r="Q224" s="13" t="n">
        <f aca="false">(g2_ox-ox_var*g2_rev)*(1+ox_g)^(13/4)+ox_var*Q214</f>
        <v>83.4783130338815</v>
      </c>
      <c r="R224" s="13" t="n">
        <f aca="false">(g2_ox-ox_var*g2_rev)*(1+ox_g)^(14/4)+ox_var*R214</f>
        <v>84.1146760693211</v>
      </c>
      <c r="T224" s="5" t="s">
        <v>478</v>
      </c>
    </row>
    <row r="225" customFormat="false" ht="15" hidden="false" customHeight="false" outlineLevel="0" collapsed="false">
      <c r="A225" s="5" t="s">
        <v>358</v>
      </c>
      <c r="B225" s="0" t="s">
        <v>27</v>
      </c>
      <c r="C225" s="13" t="n">
        <f aca="false">C214-C222-C224</f>
        <v>1270</v>
      </c>
      <c r="D225" s="13" t="n">
        <f aca="false">D214-D222-D224</f>
        <v>1994.7</v>
      </c>
      <c r="E225" s="13" t="n">
        <f aca="false">E214-E222-E224</f>
        <v>2462.14298879745</v>
      </c>
      <c r="F225" s="13" t="n">
        <f aca="false">F214-F222-F224</f>
        <v>2745.20509040529</v>
      </c>
      <c r="G225" s="13" t="n">
        <f aca="false">G214-G222-G224</f>
        <v>2920.48361424195</v>
      </c>
      <c r="H225" s="13" t="n">
        <f aca="false">H214-H222-H224</f>
        <v>2926.9804096924</v>
      </c>
      <c r="I225" s="13" t="n">
        <f aca="false">I214-I222-I224</f>
        <v>2861.39049915788</v>
      </c>
      <c r="J225" s="13" t="n">
        <f aca="false">J214-J222-J224</f>
        <v>2867.3675937738</v>
      </c>
      <c r="K225" s="13" t="n">
        <f aca="false">K214-K222-K224</f>
        <v>2873.24115359527</v>
      </c>
      <c r="L225" s="13" t="n">
        <f aca="false">L214-L222-L224</f>
        <v>2879.00822553669</v>
      </c>
      <c r="M225" s="13" t="n">
        <f aca="false">M214-M222-M224</f>
        <v>2884.66579526462</v>
      </c>
      <c r="N225" s="13" t="n">
        <f aca="false">N214-N222-N224</f>
        <v>2918.18083337687</v>
      </c>
      <c r="O225" s="13" t="n">
        <f aca="false">O214-O222-O224</f>
        <v>2978.26127783172</v>
      </c>
      <c r="P225" s="13" t="n">
        <f aca="false">P214-P222-P224</f>
        <v>3039.54772436858</v>
      </c>
      <c r="Q225" s="13" t="n">
        <f aca="false">Q214-Q222-Q224</f>
        <v>3102.06401830655</v>
      </c>
      <c r="R225" s="13" t="n">
        <f aca="false">R214-R222-R224</f>
        <v>3062.10451081436</v>
      </c>
    </row>
    <row r="227" customFormat="false" ht="17.15" hidden="false" customHeight="false" outlineLevel="0" collapsed="false">
      <c r="A227" s="5" t="s">
        <v>359</v>
      </c>
      <c r="B227" s="0" t="s">
        <v>27</v>
      </c>
      <c r="C227" s="13" t="n">
        <f aca="false">q1_ni</f>
        <v>842.2</v>
      </c>
      <c r="D227" s="13" t="n">
        <f aca="false">g2_ni</f>
        <v>1360</v>
      </c>
      <c r="E227" s="13" t="n">
        <f aca="false">(E225+nonop_q+rf*nc_j/4)*(1-tax)</f>
        <v>1664.32311238227</v>
      </c>
      <c r="F227" s="13" t="n">
        <f aca="false">(F225+nonop_q+rf*nc_j/4)*(1-tax)</f>
        <v>1856.8053414756</v>
      </c>
      <c r="G227" s="13" t="n">
        <f aca="false">(G225+nonop_q+rf*$D248/4)*(1-tax)</f>
        <v>1982.50047238177</v>
      </c>
      <c r="H227" s="13" t="n">
        <f aca="false">(H225+nonop_q+rf*$D248/4)*(1-tax)</f>
        <v>1986.91829328808</v>
      </c>
      <c r="I227" s="13" t="n">
        <f aca="false">(I225+nonop_q+rf*$D248/4)*(1-tax)</f>
        <v>1942.3171541246</v>
      </c>
      <c r="J227" s="13" t="n">
        <f aca="false">(J225+nonop_q+rf*$D248/4)*(1-tax)</f>
        <v>1946.38157846343</v>
      </c>
      <c r="K227" s="13" t="n">
        <f aca="false">(K225+nonop_q+rf*$E248/4)*(1-tax)</f>
        <v>1960.85863893966</v>
      </c>
      <c r="L227" s="13" t="n">
        <f aca="false">(L225+nonop_q+rf*$E248/4)*(1-tax)</f>
        <v>1964.78024785983</v>
      </c>
      <c r="M227" s="13" t="n">
        <f aca="false">(M225+nonop_q+rf*$E248/4)*(1-tax)</f>
        <v>1968.62739527482</v>
      </c>
      <c r="N227" s="13" t="n">
        <f aca="false">(N225+nonop_q+rf*$E248/4)*(1-tax)</f>
        <v>1991.41762119115</v>
      </c>
      <c r="O227" s="13" t="n">
        <f aca="false">(O225+nonop_q+rf*$F248/4)*(1-tax)</f>
        <v>2042.79285352889</v>
      </c>
      <c r="P227" s="13" t="n">
        <f aca="false">(P225+nonop_q+rf*$F248/4)*(1-tax)</f>
        <v>2084.46763717395</v>
      </c>
      <c r="Q227" s="13" t="n">
        <f aca="false">(Q225+nonop_q+rf*$F248/4)*(1-tax)</f>
        <v>2126.97871705178</v>
      </c>
      <c r="R227" s="13" t="n">
        <f aca="false">(R225+nonop_q+rf*$F248/4)*(1-tax)</f>
        <v>2099.80625195708</v>
      </c>
      <c r="T227" s="5" t="s">
        <v>479</v>
      </c>
    </row>
    <row r="228" customFormat="false" ht="17.15" hidden="false" customHeight="false" outlineLevel="0" collapsed="false">
      <c r="A228" s="5" t="s">
        <v>480</v>
      </c>
      <c r="B228" s="0" t="s">
        <v>108</v>
      </c>
      <c r="C228" s="17" t="n">
        <f aca="false">C227/(sh0+dil)*1000</f>
        <v>507.343332753891</v>
      </c>
      <c r="D228" s="17" t="n">
        <f aca="false">D227/(sh0+dil)*1000</f>
        <v>819.267314824616</v>
      </c>
      <c r="E228" s="17" t="n">
        <f aca="false">E227/(sh0+dil)*1000</f>
        <v>1002.59229947203</v>
      </c>
      <c r="F228" s="17" t="n">
        <f aca="false">F227/(sh0+dil)*1000</f>
        <v>1118.54406342847</v>
      </c>
      <c r="G228" s="17" t="n">
        <f aca="false">G227/(sh0+dil)*1000</f>
        <v>1194.26311665202</v>
      </c>
      <c r="H228" s="17" t="n">
        <f aca="false">H227/(sh0+dil)*1000</f>
        <v>1196.92442273385</v>
      </c>
      <c r="I228" s="17" t="n">
        <f aca="false">I227/(sh0+dil)*1000</f>
        <v>1170.05658779225</v>
      </c>
      <c r="J228" s="17" t="n">
        <f aca="false">J227/(sh0+dil)*1000</f>
        <v>1172.50500692047</v>
      </c>
      <c r="K228" s="17" t="n">
        <f aca="false">K227/(sh0+dil)*1000</f>
        <v>1181.22602343731</v>
      </c>
      <c r="L228" s="17" t="n">
        <f aca="false">L227/(sh0+dil)*1000</f>
        <v>1183.58841020924</v>
      </c>
      <c r="M228" s="17" t="n">
        <f aca="false">M227/(sh0+dil)*1000</f>
        <v>1185.90594118895</v>
      </c>
      <c r="N228" s="17" t="n">
        <f aca="false">N227/(sh0+dil)*1000</f>
        <v>1199.63482882919</v>
      </c>
      <c r="O228" s="17" t="n">
        <f aca="false">O227/(sh0+dil)*1000</f>
        <v>1230.58339400995</v>
      </c>
      <c r="P228" s="17" t="n">
        <f aca="false">P227/(sh0+dil)*1000</f>
        <v>1255.68838525464</v>
      </c>
      <c r="Q228" s="17" t="n">
        <f aca="false">Q227/(sh0+dil)*1000</f>
        <v>1281.29716338832</v>
      </c>
      <c r="R228" s="17" t="n">
        <f aca="false">R227/(sh0+dil)*1000</f>
        <v>1264.9284041859</v>
      </c>
    </row>
    <row r="230" customFormat="false" ht="17.15" hidden="false" customHeight="false" outlineLevel="0" collapsed="false">
      <c r="A230" s="12" t="s">
        <v>481</v>
      </c>
      <c r="B230" s="6" t="s">
        <v>17</v>
      </c>
      <c r="C230" s="12" t="s">
        <v>425</v>
      </c>
      <c r="D230" s="12" t="s">
        <v>426</v>
      </c>
      <c r="E230" s="12" t="s">
        <v>427</v>
      </c>
      <c r="F230" s="12" t="s">
        <v>428</v>
      </c>
      <c r="G230" s="12" t="s">
        <v>429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6" t="s">
        <v>330</v>
      </c>
    </row>
    <row r="231" customFormat="false" ht="17.15" hidden="false" customHeight="false" outlineLevel="0" collapsed="false">
      <c r="A231" s="5" t="s">
        <v>354</v>
      </c>
      <c r="B231" s="0" t="s">
        <v>27</v>
      </c>
      <c r="C231" s="13" t="n">
        <f aca="false">a25_rev</f>
        <v>2337.6</v>
      </c>
      <c r="D231" s="13" t="n">
        <f aca="false">SUM(C214:F214)</f>
        <v>10422.6695568317</v>
      </c>
      <c r="E231" s="13" t="n">
        <f aca="false">SUM(G214:J214)</f>
        <v>13639.7394991585</v>
      </c>
      <c r="F231" s="13" t="n">
        <f aca="false">SUM(K214:N214)</f>
        <v>13760.9781330027</v>
      </c>
      <c r="G231" s="13" t="n">
        <f aca="false">SUM(O214:R214)</f>
        <v>14485.8736931404</v>
      </c>
      <c r="T231" s="8" t="s">
        <v>482</v>
      </c>
    </row>
    <row r="232" customFormat="false" ht="17.15" hidden="false" customHeight="false" outlineLevel="0" collapsed="false">
      <c r="A232" s="5" t="s">
        <v>483</v>
      </c>
      <c r="B232" s="0" t="s">
        <v>27</v>
      </c>
      <c r="C232" s="13" t="n">
        <f aca="false">p1_ss+p2_ss+p3_ss+p4_ss</f>
        <v>1364.7</v>
      </c>
      <c r="D232" s="13" t="n">
        <f aca="false">SUM(C215:F215)</f>
        <v>6887.37590750895</v>
      </c>
      <c r="E232" s="13" t="n">
        <f aca="false">SUM(G215:J215)</f>
        <v>9275.02285942777</v>
      </c>
      <c r="F232" s="13" t="n">
        <f aca="false">SUM(K215:N215)</f>
        <v>9632.68469310188</v>
      </c>
      <c r="G232" s="13" t="n">
        <f aca="false">SUM(O215:R215)</f>
        <v>10140.1115851983</v>
      </c>
    </row>
    <row r="233" customFormat="false" ht="17.15" hidden="false" customHeight="false" outlineLevel="0" collapsed="false">
      <c r="A233" s="0" t="s">
        <v>484</v>
      </c>
      <c r="B233" s="0" t="s">
        <v>27</v>
      </c>
      <c r="C233" s="13" t="n">
        <f aca="false">C232*(0.75*Units!C16+0.25*Units!D16)</f>
        <v>507.679569396364</v>
      </c>
      <c r="D233" s="13" t="n">
        <f aca="false">SUM(C216:F216)</f>
        <v>4030.31010598324</v>
      </c>
      <c r="E233" s="13" t="n">
        <f aca="false">SUM(G216:J216)</f>
        <v>6390.26328912615</v>
      </c>
      <c r="F233" s="13" t="n">
        <f aca="false">SUM(K216:N216)</f>
        <v>7029.945843995</v>
      </c>
      <c r="G233" s="13" t="n">
        <f aca="false">SUM(O216:R216)</f>
        <v>7728.36340988364</v>
      </c>
    </row>
    <row r="234" customFormat="false" ht="15" hidden="false" customHeight="false" outlineLevel="0" collapsed="false">
      <c r="A234" s="5" t="s">
        <v>485</v>
      </c>
      <c r="B234" s="0" t="s">
        <v>27</v>
      </c>
      <c r="C234" s="13" t="n">
        <f aca="false">p1_sd+p2_sd+p3_sd+p4_sd</f>
        <v>759.5</v>
      </c>
      <c r="D234" s="13" t="n">
        <f aca="false">SUM(C219:F219)</f>
        <v>3122.37086704952</v>
      </c>
      <c r="E234" s="13" t="n">
        <f aca="false">SUM(G219:J219)</f>
        <v>3819.12705976438</v>
      </c>
      <c r="F234" s="13" t="n">
        <f aca="false">SUM(K219:N219)</f>
        <v>3577.8543145807</v>
      </c>
      <c r="G234" s="13" t="n">
        <f aca="false">SUM(O219:R219)</f>
        <v>3766.32716021651</v>
      </c>
    </row>
    <row r="235" customFormat="false" ht="17.15" hidden="false" customHeight="false" outlineLevel="0" collapsed="false">
      <c r="A235" s="5" t="s">
        <v>486</v>
      </c>
      <c r="B235" s="0" t="s">
        <v>27</v>
      </c>
      <c r="C235" s="13" t="n">
        <f aca="false">a25_rev-C232-C234</f>
        <v>213.4</v>
      </c>
      <c r="D235" s="13" t="n">
        <f aca="false">SUM(C218:F218)</f>
        <v>412.922782273269</v>
      </c>
      <c r="E235" s="13" t="n">
        <f aca="false">SUM(G218:J218)</f>
        <v>545.58957996634</v>
      </c>
      <c r="F235" s="13" t="n">
        <f aca="false">SUM(K218:N218)</f>
        <v>550.439125320108</v>
      </c>
      <c r="G235" s="13" t="n">
        <f aca="false">SUM(O218:R218)</f>
        <v>579.434947725616</v>
      </c>
      <c r="T235" s="8" t="s">
        <v>487</v>
      </c>
    </row>
    <row r="236" customFormat="false" ht="15" hidden="false" customHeight="false" outlineLevel="0" collapsed="false">
      <c r="A236" s="5" t="s">
        <v>488</v>
      </c>
      <c r="B236" s="0" t="s">
        <v>27</v>
      </c>
      <c r="C236" s="18" t="n">
        <f aca="false">C232+C234+C235-C231</f>
        <v>0</v>
      </c>
      <c r="D236" s="18" t="n">
        <f aca="false">D232+D234+D235-D231</f>
        <v>0</v>
      </c>
      <c r="E236" s="18" t="n">
        <f aca="false">E232+E234+E235-E231</f>
        <v>0</v>
      </c>
      <c r="F236" s="18" t="n">
        <f aca="false">F232+F234+F235-F231</f>
        <v>0</v>
      </c>
      <c r="G236" s="18" t="n">
        <f aca="false">G232+G234+G235-G231</f>
        <v>0</v>
      </c>
    </row>
    <row r="237" customFormat="false" ht="15" hidden="false" customHeight="false" outlineLevel="0" collapsed="false">
      <c r="A237" s="5" t="s">
        <v>475</v>
      </c>
      <c r="B237" s="0" t="s">
        <v>27</v>
      </c>
      <c r="C237" s="13" t="n">
        <f aca="false">a25_rev-(p1_gp+p2_gp+p3_gp+p4_gp)</f>
        <v>1324.8</v>
      </c>
      <c r="D237" s="13" t="n">
        <f aca="false">SUM(C222:F222)</f>
        <v>1648.87183128657</v>
      </c>
      <c r="E237" s="13" t="n">
        <f aca="false">SUM(G222:J222)</f>
        <v>1774.78243859573</v>
      </c>
      <c r="F237" s="13" t="n">
        <f aca="false">SUM(K222:N222)</f>
        <v>1900.70104032356</v>
      </c>
      <c r="G237" s="13" t="n">
        <f aca="false">SUM(O222:R222)</f>
        <v>1974.70899095458</v>
      </c>
    </row>
    <row r="238" customFormat="false" ht="15" hidden="false" customHeight="false" outlineLevel="0" collapsed="false">
      <c r="A238" s="5" t="s">
        <v>360</v>
      </c>
      <c r="B238" s="0" t="s">
        <v>145</v>
      </c>
      <c r="C238" s="14" t="n">
        <f aca="false">1-C237/C231</f>
        <v>0.433264887063655</v>
      </c>
      <c r="D238" s="14" t="n">
        <f aca="false">1-D237/D231</f>
        <v>0.841799471594512</v>
      </c>
      <c r="E238" s="14" t="n">
        <f aca="false">1-E237/E231</f>
        <v>0.869881500397773</v>
      </c>
      <c r="F238" s="14" t="n">
        <f aca="false">1-F237/F231</f>
        <v>0.861877475427045</v>
      </c>
      <c r="G238" s="14" t="n">
        <f aca="false">1-G237/G231</f>
        <v>0.863680366625751</v>
      </c>
    </row>
    <row r="239" customFormat="false" ht="15" hidden="false" customHeight="false" outlineLevel="0" collapsed="false">
      <c r="A239" s="5" t="s">
        <v>477</v>
      </c>
      <c r="B239" s="0" t="s">
        <v>27</v>
      </c>
      <c r="D239" s="13" t="n">
        <f aca="false">SUM(C224:F224)</f>
        <v>301.749646342425</v>
      </c>
      <c r="E239" s="13" t="n">
        <f aca="false">SUM(G224:J224)</f>
        <v>288.734943696726</v>
      </c>
      <c r="F239" s="13" t="n">
        <f aca="false">SUM(K224:N224)</f>
        <v>305.181084905682</v>
      </c>
      <c r="G239" s="13" t="n">
        <f aca="false">SUM(O224:R224)</f>
        <v>329.187170864624</v>
      </c>
    </row>
    <row r="240" customFormat="false" ht="15" hidden="false" customHeight="false" outlineLevel="0" collapsed="false">
      <c r="A240" s="5" t="s">
        <v>358</v>
      </c>
      <c r="B240" s="0" t="s">
        <v>27</v>
      </c>
      <c r="C240" s="13" t="n">
        <f aca="false">p1_op+p2_op+p3_op+p4_op</f>
        <v>869</v>
      </c>
      <c r="D240" s="13" t="n">
        <f aca="false">SUM(C225:F225)</f>
        <v>8472.04807920274</v>
      </c>
      <c r="E240" s="13" t="n">
        <f aca="false">SUM(G225:J225)</f>
        <v>11576.222116866</v>
      </c>
      <c r="F240" s="13" t="n">
        <f aca="false">SUM(K225:N225)</f>
        <v>11555.0960077735</v>
      </c>
      <c r="G240" s="13" t="n">
        <f aca="false">SUM(O225:R225)</f>
        <v>12181.9775313212</v>
      </c>
    </row>
    <row r="241" customFormat="false" ht="15" hidden="false" customHeight="false" outlineLevel="0" collapsed="false">
      <c r="A241" s="5" t="s">
        <v>361</v>
      </c>
      <c r="B241" s="0" t="s">
        <v>145</v>
      </c>
      <c r="C241" s="14" t="n">
        <f aca="false">C240/C231</f>
        <v>0.371748802190281</v>
      </c>
      <c r="D241" s="14" t="n">
        <f aca="false">D240/D231</f>
        <v>0.812848189516819</v>
      </c>
      <c r="E241" s="14" t="n">
        <f aca="false">E240/E231</f>
        <v>0.848712845108239</v>
      </c>
      <c r="F241" s="14" t="n">
        <f aca="false">F240/F231</f>
        <v>0.839700193989924</v>
      </c>
      <c r="G241" s="14" t="n">
        <f aca="false">G240/G231</f>
        <v>0.840955664074982</v>
      </c>
    </row>
    <row r="242" customFormat="false" ht="15" hidden="false" customHeight="false" outlineLevel="0" collapsed="false">
      <c r="A242" s="5" t="s">
        <v>359</v>
      </c>
      <c r="B242" s="0" t="s">
        <v>27</v>
      </c>
      <c r="C242" s="13" t="n">
        <f aca="false">a25_ni</f>
        <v>554.5</v>
      </c>
      <c r="D242" s="13" t="n">
        <f aca="false">SUM(C227:F227)</f>
        <v>5723.32845385786</v>
      </c>
      <c r="E242" s="13" t="n">
        <f aca="false">SUM(G227:J227)</f>
        <v>7858.11749825789</v>
      </c>
      <c r="F242" s="13" t="n">
        <f aca="false">SUM(K227:N227)</f>
        <v>7885.68390326546</v>
      </c>
      <c r="G242" s="13" t="n">
        <f aca="false">SUM(O227:R227)</f>
        <v>8354.0454597117</v>
      </c>
    </row>
    <row r="243" customFormat="false" ht="15" hidden="false" customHeight="false" outlineLevel="0" collapsed="false">
      <c r="A243" s="5" t="s">
        <v>489</v>
      </c>
      <c r="B243" s="0" t="s">
        <v>27</v>
      </c>
      <c r="D243" s="13" t="n">
        <f aca="false">da_y</f>
        <v>320</v>
      </c>
      <c r="E243" s="13" t="n">
        <f aca="false">da_y</f>
        <v>320</v>
      </c>
      <c r="F243" s="13" t="n">
        <f aca="false">da_y</f>
        <v>320</v>
      </c>
      <c r="G243" s="13" t="n">
        <f aca="false">da_y</f>
        <v>320</v>
      </c>
    </row>
    <row r="244" customFormat="false" ht="15" hidden="false" customHeight="false" outlineLevel="0" collapsed="false">
      <c r="A244" s="5" t="s">
        <v>490</v>
      </c>
      <c r="B244" s="0" t="s">
        <v>27</v>
      </c>
      <c r="D244" s="13" t="n">
        <f aca="false">cap_2026</f>
        <v>450</v>
      </c>
      <c r="E244" s="13" t="n">
        <f aca="false">cap_2027</f>
        <v>470</v>
      </c>
      <c r="F244" s="13" t="n">
        <f aca="false">cap_2028</f>
        <v>470</v>
      </c>
      <c r="G244" s="13" t="n">
        <f aca="false">cap_2029</f>
        <v>470</v>
      </c>
    </row>
    <row r="245" customFormat="false" ht="15" hidden="false" customHeight="false" outlineLevel="0" collapsed="false">
      <c r="A245" s="5" t="s">
        <v>491</v>
      </c>
      <c r="B245" s="0" t="s">
        <v>27</v>
      </c>
      <c r="D245" s="13" t="n">
        <f aca="false">D242+D243-D244</f>
        <v>5593.32845385786</v>
      </c>
      <c r="E245" s="13" t="n">
        <f aca="false">E242+E243-E244</f>
        <v>7708.11749825789</v>
      </c>
      <c r="F245" s="13" t="n">
        <f aca="false">F242+F243-F244</f>
        <v>7735.68390326546</v>
      </c>
      <c r="G245" s="13" t="n">
        <f aca="false">G242+G243-G244</f>
        <v>8204.0454597117</v>
      </c>
    </row>
    <row r="246" customFormat="false" ht="17.15" hidden="false" customHeight="false" outlineLevel="0" collapsed="false">
      <c r="A246" s="5" t="s">
        <v>492</v>
      </c>
      <c r="B246" s="0" t="s">
        <v>27</v>
      </c>
      <c r="D246" s="13" t="n">
        <f aca="false">MAX(0,payout*(SUM(D227:F227)+0.75*(D243-D244)))</f>
        <v>956.725690771573</v>
      </c>
      <c r="E246" s="13" t="n">
        <f aca="false">MAX(0,payout*E245)</f>
        <v>1541.62349965158</v>
      </c>
      <c r="F246" s="13" t="n">
        <f aca="false">MAX(0,payout*F245)</f>
        <v>1547.13678065309</v>
      </c>
      <c r="G246" s="13" t="n">
        <f aca="false">MAX(0,payout*G245)</f>
        <v>1640.80909194234</v>
      </c>
      <c r="T246" s="8" t="s">
        <v>493</v>
      </c>
    </row>
    <row r="247" customFormat="false" ht="17.15" hidden="false" customHeight="false" outlineLevel="0" collapsed="false">
      <c r="A247" s="5" t="s">
        <v>494</v>
      </c>
      <c r="B247" s="0" t="s">
        <v>27</v>
      </c>
      <c r="C247" s="13" t="n">
        <f aca="false">eq25</f>
        <v>1399.1</v>
      </c>
      <c r="D247" s="13" t="n">
        <f aca="false">eq_j+SUM(D227:F227)-D246</f>
        <v>6328.70276308629</v>
      </c>
      <c r="E247" s="13" t="n">
        <f aca="false">D247+E242-E246</f>
        <v>12645.1967616926</v>
      </c>
      <c r="F247" s="13" t="n">
        <f aca="false">E247+F242-F246</f>
        <v>18983.743884305</v>
      </c>
      <c r="G247" s="13" t="n">
        <f aca="false">F247+G242-G246</f>
        <v>25696.9802520743</v>
      </c>
      <c r="T247" s="8" t="s">
        <v>495</v>
      </c>
    </row>
    <row r="248" customFormat="false" ht="15" hidden="false" customHeight="false" outlineLevel="0" collapsed="false">
      <c r="A248" s="5" t="s">
        <v>496</v>
      </c>
      <c r="B248" s="0" t="s">
        <v>27</v>
      </c>
      <c r="D248" s="13" t="n">
        <f aca="false">nc_j+(SUM(D227:F227)+0.75*(D243-D244))-D246</f>
        <v>3983.30276308629</v>
      </c>
      <c r="E248" s="13" t="n">
        <f aca="false">D248+E245-E246</f>
        <v>10149.7967616926</v>
      </c>
      <c r="F248" s="13" t="n">
        <f aca="false">E248+F245-F246</f>
        <v>16338.343884305</v>
      </c>
      <c r="G248" s="13" t="n">
        <f aca="false">F248+G245-G246</f>
        <v>22901.5802520743</v>
      </c>
    </row>
    <row r="249" customFormat="false" ht="15" hidden="false" customHeight="false" outlineLevel="0" collapsed="false">
      <c r="A249" s="5" t="s">
        <v>497</v>
      </c>
      <c r="B249" s="5" t="s">
        <v>209</v>
      </c>
      <c r="D249" s="13" t="n">
        <f aca="false">sh0-D246/bb_px*1000</f>
        <v>1569.03601978035</v>
      </c>
      <c r="E249" s="13" t="n">
        <f aca="false">D249-E246/bb_px*1000</f>
        <v>1448.17177049368</v>
      </c>
      <c r="F249" s="13" t="n">
        <f aca="false">E249-F246/bb_px*1000</f>
        <v>1326.87527651852</v>
      </c>
      <c r="G249" s="13" t="n">
        <f aca="false">F249-G246/bb_px*1000</f>
        <v>1198.23481458655</v>
      </c>
    </row>
    <row r="250" customFormat="false" ht="17.15" hidden="false" customHeight="false" outlineLevel="0" collapsed="false">
      <c r="A250" s="0" t="s">
        <v>498</v>
      </c>
      <c r="B250" s="0" t="s">
        <v>108</v>
      </c>
      <c r="C250" s="17" t="n">
        <f aca="false">a25_eps</f>
        <v>341.4</v>
      </c>
      <c r="D250" s="17" t="n">
        <f aca="false">D242/(D249+dil)*1000</f>
        <v>3610.90555519768</v>
      </c>
      <c r="E250" s="17" t="n">
        <f aca="false">E242/(E249+dil)*1000</f>
        <v>5367.02512771588</v>
      </c>
      <c r="F250" s="17" t="n">
        <f aca="false">F242/(F249+dil)*1000</f>
        <v>5872.34376084091</v>
      </c>
      <c r="G250" s="17" t="n">
        <f aca="false">G242/(G249+dil)*1000</f>
        <v>6880.22692783162</v>
      </c>
    </row>
    <row r="251" customFormat="false" ht="17.15" hidden="false" customHeight="false" outlineLevel="0" collapsed="false">
      <c r="A251" s="5" t="s">
        <v>499</v>
      </c>
      <c r="B251" s="0" t="s">
        <v>108</v>
      </c>
      <c r="D251" s="17" t="n">
        <f aca="false">D247/D249*1000</f>
        <v>4033.49743619795</v>
      </c>
      <c r="E251" s="17" t="n">
        <f aca="false">E247/E249*1000</f>
        <v>8731.83486885806</v>
      </c>
      <c r="F251" s="17" t="n">
        <f aca="false">F247/F249*1000</f>
        <v>14307.1049858694</v>
      </c>
      <c r="G251" s="17" t="n">
        <f aca="false">G247/G249*1000</f>
        <v>21445.6965690328</v>
      </c>
    </row>
    <row r="252" customFormat="false" ht="17.15" hidden="false" customHeight="false" outlineLevel="0" collapsed="false">
      <c r="A252" s="0" t="s">
        <v>500</v>
      </c>
      <c r="B252" s="0" t="s">
        <v>145</v>
      </c>
      <c r="D252" s="21" t="n">
        <f aca="false">D242/D247</f>
        <v>0.904344645041726</v>
      </c>
      <c r="E252" s="21" t="n">
        <f aca="false">E242/E247</f>
        <v>0.621431018144636</v>
      </c>
      <c r="F252" s="21" t="n">
        <f aca="false">F242/F247</f>
        <v>0.415391397572796</v>
      </c>
      <c r="G252" s="21" t="n">
        <f aca="false">G242/G247</f>
        <v>0.325098333647096</v>
      </c>
    </row>
    <row r="253" customFormat="false" ht="15" hidden="false" customHeight="false" outlineLevel="0" collapsed="false">
      <c r="A253" s="5" t="s">
        <v>501</v>
      </c>
      <c r="B253" s="0" t="s">
        <v>108</v>
      </c>
      <c r="E253" s="17" t="n">
        <f aca="false">E245/(E249+dil)*1000</f>
        <v>5264.57644718446</v>
      </c>
      <c r="F253" s="17" t="n">
        <f aca="false">F245/(F249+dil)*1000</f>
        <v>5760.64113936487</v>
      </c>
      <c r="G253" s="17" t="n">
        <f aca="false">G245/(G249+dil)*1000</f>
        <v>6756.68988890217</v>
      </c>
    </row>
    <row r="254" customFormat="false" ht="17.15" hidden="false" customHeight="false" outlineLevel="0" collapsed="false">
      <c r="A254" s="5" t="s">
        <v>502</v>
      </c>
      <c r="B254" s="0" t="s">
        <v>27</v>
      </c>
      <c r="D254" s="18" t="n">
        <f aca="false">ABS(C214-q1_rev)+ABS(D225-g2_op)+ABS(C231-2337.6)</f>
        <v>0</v>
      </c>
    </row>
    <row r="260" customFormat="false" ht="17.15" hidden="false" customHeight="false" outlineLevel="0" collapsed="false">
      <c r="A260" s="3" t="s">
        <v>821</v>
      </c>
    </row>
    <row r="261" customFormat="false" ht="17.15" hidden="false" customHeight="false" outlineLevel="0" collapsed="false">
      <c r="A261" s="12" t="s">
        <v>442</v>
      </c>
      <c r="B261" s="6" t="s">
        <v>17</v>
      </c>
      <c r="C261" s="12" t="s">
        <v>443</v>
      </c>
      <c r="D261" s="12" t="s">
        <v>444</v>
      </c>
      <c r="E261" s="12" t="s">
        <v>445</v>
      </c>
      <c r="F261" s="12" t="s">
        <v>446</v>
      </c>
      <c r="G261" s="12" t="s">
        <v>447</v>
      </c>
      <c r="H261" s="12" t="s">
        <v>448</v>
      </c>
      <c r="I261" s="12" t="s">
        <v>449</v>
      </c>
      <c r="J261" s="12" t="s">
        <v>450</v>
      </c>
      <c r="K261" s="12" t="s">
        <v>451</v>
      </c>
      <c r="L261" s="12" t="s">
        <v>452</v>
      </c>
      <c r="M261" s="12" t="s">
        <v>453</v>
      </c>
      <c r="N261" s="12" t="s">
        <v>454</v>
      </c>
      <c r="O261" s="12" t="s">
        <v>455</v>
      </c>
      <c r="P261" s="12" t="s">
        <v>456</v>
      </c>
      <c r="Q261" s="12" t="s">
        <v>457</v>
      </c>
      <c r="R261" s="12" t="s">
        <v>458</v>
      </c>
      <c r="S261" s="12"/>
      <c r="T261" s="6" t="s">
        <v>330</v>
      </c>
    </row>
    <row r="262" customFormat="false" ht="17.15" hidden="false" customHeight="false" outlineLevel="0" collapsed="false">
      <c r="A262" s="5" t="s">
        <v>459</v>
      </c>
      <c r="B262" s="0" t="s">
        <v>391</v>
      </c>
      <c r="C262" s="19" t="n">
        <f aca="false">Units!H4*1</f>
        <v>10.72</v>
      </c>
      <c r="D262" s="19" t="n">
        <f aca="false">Units!I4*1</f>
        <v>14.9513168749304</v>
      </c>
      <c r="E262" s="19" t="n">
        <f aca="false">Units!J4*1*1</f>
        <v>16.2035648188888</v>
      </c>
      <c r="F262" s="19" t="n">
        <f aca="false">Units!K4*1*1</f>
        <v>17.8543449815733</v>
      </c>
      <c r="G262" s="19" t="n">
        <f aca="false">Units!L4*1*1</f>
        <v>18.8786713110699</v>
      </c>
      <c r="H262" s="19" t="n">
        <f aca="false">Units!M4*1*1</f>
        <v>18.9636763094518</v>
      </c>
      <c r="I262" s="19" t="n">
        <f aca="false">Units!N4*1*1</f>
        <v>18.6480311322868</v>
      </c>
      <c r="J262" s="19" t="n">
        <f aca="false">Units!O4*1*1</f>
        <v>18.7319976270738</v>
      </c>
      <c r="K262" s="19" t="n">
        <f aca="false">Units!P4*1*1</f>
        <v>18.8163421978194</v>
      </c>
      <c r="L262" s="19" t="n">
        <f aca="false">Units!Q4*1*1</f>
        <v>18.9010665468864</v>
      </c>
      <c r="M262" s="19" t="n">
        <f aca="false">Units!R4*1*1</f>
        <v>18.9861723843027</v>
      </c>
      <c r="N262" s="19" t="n">
        <f aca="false">Units!S4*1*1</f>
        <v>19.1874193215442</v>
      </c>
      <c r="O262" s="19" t="n">
        <f aca="false">Units!T4*1*1</f>
        <v>19.5604237366471</v>
      </c>
      <c r="P262" s="19" t="n">
        <f aca="false">Units!U4*1*1</f>
        <v>19.9406793766988</v>
      </c>
      <c r="Q262" s="19" t="n">
        <f aca="false">Units!V4*1*1</f>
        <v>20.3283272058839</v>
      </c>
      <c r="R262" s="19" t="n">
        <f aca="false">Units!W4*1*1</f>
        <v>20.0593273219312</v>
      </c>
      <c r="T262" s="8" t="s">
        <v>460</v>
      </c>
    </row>
    <row r="263" customFormat="false" ht="15" hidden="false" customHeight="false" outlineLevel="0" collapsed="false">
      <c r="A263" s="5" t="s">
        <v>461</v>
      </c>
      <c r="B263" s="0" t="s">
        <v>398</v>
      </c>
      <c r="C263" s="19" t="n">
        <f aca="false">Units!H7*1</f>
        <v>40.1757580440862</v>
      </c>
      <c r="D263" s="19" t="n">
        <f aca="false">Units!I7*1</f>
        <v>44.8269021796765</v>
      </c>
      <c r="E263" s="19" t="n">
        <f aca="false">Units!J7*1</f>
        <v>44.9411476117569</v>
      </c>
      <c r="F263" s="19" t="n">
        <f aca="false">Units!K7*1</f>
        <v>48.0773237904583</v>
      </c>
      <c r="G263" s="19" t="n">
        <f aca="false">Units!L7*1</f>
        <v>50.835580599158</v>
      </c>
      <c r="H263" s="19" t="n">
        <f aca="false">Units!M7*1</f>
        <v>53.7520820858664</v>
      </c>
      <c r="I263" s="19" t="n">
        <f aca="false">Units!N7*1</f>
        <v>56.8359069476934</v>
      </c>
      <c r="J263" s="19" t="n">
        <f aca="false">Units!O7*1</f>
        <v>60.0966547380729</v>
      </c>
      <c r="K263" s="19" t="n">
        <f aca="false">Units!P7*1</f>
        <v>63.5444757489475</v>
      </c>
      <c r="L263" s="19" t="n">
        <f aca="false">Units!Q7*1</f>
        <v>67.190102607333</v>
      </c>
      <c r="M263" s="19" t="n">
        <f aca="false">Units!R7*1</f>
        <v>71.0448836846168</v>
      </c>
      <c r="N263" s="19" t="n">
        <f aca="false">Units!S7*1</f>
        <v>74.0184898623123</v>
      </c>
      <c r="O263" s="19" t="n">
        <f aca="false">Units!T7*1</f>
        <v>77.7911475249602</v>
      </c>
      <c r="P263" s="19" t="n">
        <f aca="false">Units!U7*1</f>
        <v>81.7560942476254</v>
      </c>
      <c r="Q263" s="19" t="n">
        <f aca="false">Units!V7*1</f>
        <v>85.9231308354458</v>
      </c>
      <c r="R263" s="19" t="n">
        <f aca="false">Units!W7*1</f>
        <v>87.5395173614874</v>
      </c>
    </row>
    <row r="264" customFormat="false" ht="17.15" hidden="false" customHeight="false" outlineLevel="0" collapsed="false">
      <c r="A264" s="5" t="s">
        <v>354</v>
      </c>
      <c r="B264" s="0" t="s">
        <v>27</v>
      </c>
      <c r="C264" s="13" t="n">
        <f aca="false">q1_rev</f>
        <v>1767.1</v>
      </c>
      <c r="D264" s="13" t="n">
        <f aca="false">g2_rev</f>
        <v>2480</v>
      </c>
      <c r="E264" s="13" t="n">
        <f aca="false">E262*kx_k*fx_lo</f>
        <v>2420.61060620421</v>
      </c>
      <c r="F264" s="13" t="n">
        <f aca="false">F262*kx_k*fx_lo</f>
        <v>2667.21658550375</v>
      </c>
      <c r="G264" s="13" t="n">
        <f aca="false">G262*kx_k*fx_lo</f>
        <v>2820.23817088374</v>
      </c>
      <c r="H264" s="13" t="n">
        <f aca="false">H262*kx_k*fx_lo</f>
        <v>2832.9368580531</v>
      </c>
      <c r="I264" s="13" t="n">
        <f aca="false">I262*kx_k*fx_lo</f>
        <v>2785.78340310767</v>
      </c>
      <c r="J264" s="13" t="n">
        <f aca="false">J262*kx_k*fx_lo</f>
        <v>2798.32695078493</v>
      </c>
      <c r="K264" s="13" t="n">
        <f aca="false">K262*kx_k*fx_lo</f>
        <v>2810.92697829767</v>
      </c>
      <c r="L264" s="13" t="n">
        <f aca="false">L262*kx_k*fx_lo</f>
        <v>2823.58373995769</v>
      </c>
      <c r="M264" s="13" t="n">
        <f aca="false">M262*kx_k*fx_lo</f>
        <v>2836.29749122183</v>
      </c>
      <c r="N264" s="13" t="n">
        <f aca="false">N262*kx_k*fx_lo</f>
        <v>2866.36127509889</v>
      </c>
      <c r="O264" s="13" t="n">
        <f aca="false">O262*kx_k*fx_lo</f>
        <v>2922.08348520827</v>
      </c>
      <c r="P264" s="13" t="n">
        <f aca="false">P262*kx_k*fx_lo</f>
        <v>2978.88893793834</v>
      </c>
      <c r="Q264" s="13" t="n">
        <f aca="false">Q262*kx_k*fx_lo</f>
        <v>3036.79869158117</v>
      </c>
      <c r="R264" s="13" t="n">
        <f aca="false">R262*kx_k*fx_lo</f>
        <v>2996.61346200721</v>
      </c>
      <c r="T264" s="5" t="s">
        <v>462</v>
      </c>
    </row>
    <row r="265" customFormat="false" ht="17.15" hidden="false" customHeight="false" outlineLevel="0" collapsed="false">
      <c r="A265" s="0" t="s">
        <v>463</v>
      </c>
      <c r="B265" s="0" t="s">
        <v>27</v>
      </c>
      <c r="C265" s="13" t="n">
        <f aca="false">q1_ss</f>
        <v>1174.7</v>
      </c>
      <c r="D265" s="13" t="n">
        <f aca="false">D264*sssh_26</f>
        <v>1636.8</v>
      </c>
      <c r="E265" s="13" t="n">
        <f aca="false">E264*sssh_26</f>
        <v>1597.60300009478</v>
      </c>
      <c r="F265" s="13" t="n">
        <f aca="false">F264*sssh_26</f>
        <v>1760.36294643248</v>
      </c>
      <c r="G265" s="13" t="n">
        <f aca="false">G264*sssh_27</f>
        <v>1917.76195620094</v>
      </c>
      <c r="H265" s="13" t="n">
        <f aca="false">H264*sssh_27</f>
        <v>1926.39706347611</v>
      </c>
      <c r="I265" s="13" t="n">
        <f aca="false">I264*sssh_27</f>
        <v>1894.33271411322</v>
      </c>
      <c r="J265" s="13" t="n">
        <f aca="false">J264*sssh_27</f>
        <v>1902.86232653375</v>
      </c>
      <c r="K265" s="13" t="n">
        <f aca="false">K264*sssh_28</f>
        <v>1967.64888480837</v>
      </c>
      <c r="L265" s="13" t="n">
        <f aca="false">L264*sssh_28</f>
        <v>1976.50861797038</v>
      </c>
      <c r="M265" s="13" t="n">
        <f aca="false">M264*sssh_28</f>
        <v>1985.40824385528</v>
      </c>
      <c r="N265" s="13" t="n">
        <f aca="false">N264*sssh_28</f>
        <v>2006.45289256922</v>
      </c>
      <c r="O265" s="13" t="n">
        <f aca="false">O264*sssh_29</f>
        <v>2045.45843964579</v>
      </c>
      <c r="P265" s="13" t="n">
        <f aca="false">P264*sssh_29</f>
        <v>2085.22225655684</v>
      </c>
      <c r="Q265" s="13" t="n">
        <f aca="false">Q264*sssh_29</f>
        <v>2125.75908410682</v>
      </c>
      <c r="R265" s="13" t="n">
        <f aca="false">R264*sssh_29</f>
        <v>2097.62942340505</v>
      </c>
      <c r="T265" s="5" t="s">
        <v>464</v>
      </c>
    </row>
    <row r="266" customFormat="false" ht="17.15" hidden="false" customHeight="false" outlineLevel="0" collapsed="false">
      <c r="A266" s="0" t="s">
        <v>465</v>
      </c>
      <c r="B266" s="0" t="s">
        <v>27</v>
      </c>
      <c r="C266" s="13" t="n">
        <f aca="false">C265*(0.75*Units!D16+0.25*Units!E16)</f>
        <v>687.403351447223</v>
      </c>
      <c r="D266" s="13" t="n">
        <f aca="false">D265*(0.75*Units!D16+0.25*Units!E16)</f>
        <v>957.812041924589</v>
      </c>
      <c r="E266" s="13" t="n">
        <f aca="false">E265*(0.75*Units!D16+0.25*Units!E16)</f>
        <v>934.87499493257</v>
      </c>
      <c r="F266" s="13" t="n">
        <f aca="false">F265*(0.75*Units!D16+0.25*Units!E16)</f>
        <v>1030.11780807116</v>
      </c>
      <c r="G266" s="13" t="n">
        <f aca="false">G265*(0.75*Units!E16+0.25*Units!F16)</f>
        <v>1321.29095655401</v>
      </c>
      <c r="H266" s="13" t="n">
        <f aca="false">H265*(0.75*Units!E16+0.25*Units!F16)</f>
        <v>1327.2403336989</v>
      </c>
      <c r="I266" s="13" t="n">
        <f aca="false">I265*(0.75*Units!E16+0.25*Units!F16)</f>
        <v>1305.14878333521</v>
      </c>
      <c r="J266" s="13" t="n">
        <f aca="false">J265*(0.75*Units!E16+0.25*Units!F16)</f>
        <v>1311.02547711241</v>
      </c>
      <c r="K266" s="13" t="n">
        <f aca="false">K265*(0.75*Units!F16+0.25*Units!G16)</f>
        <v>1435.99272071115</v>
      </c>
      <c r="L266" s="13" t="n">
        <f aca="false">L265*(0.75*Units!F16+0.25*Units!G16)</f>
        <v>1442.45856552031</v>
      </c>
      <c r="M266" s="13" t="n">
        <f aca="false">M265*(0.75*Units!F16+0.25*Units!G16)</f>
        <v>1448.95352409063</v>
      </c>
      <c r="N266" s="13" t="n">
        <f aca="false">N265*(0.75*Units!F16+0.25*Units!G16)</f>
        <v>1464.31193615106</v>
      </c>
      <c r="O266" s="13" t="n">
        <f aca="false">O265*(0.75*Units!G16+0.25*Units!H16)</f>
        <v>1558.96175585202</v>
      </c>
      <c r="P266" s="13" t="n">
        <f aca="false">P265*(0.75*Units!G16+0.25*Units!H16)</f>
        <v>1589.2680522937</v>
      </c>
      <c r="Q266" s="13" t="n">
        <f aca="false">Q265*(0.75*Units!G16+0.25*Units!H16)</f>
        <v>1620.16350469162</v>
      </c>
      <c r="R266" s="13" t="n">
        <f aca="false">R265*(0.75*Units!G16+0.25*Units!H16)</f>
        <v>1598.72426916906</v>
      </c>
      <c r="T266" s="5" t="s">
        <v>466</v>
      </c>
    </row>
    <row r="267" customFormat="false" ht="17.15" hidden="false" customHeight="false" outlineLevel="0" collapsed="false">
      <c r="A267" s="0" t="s">
        <v>467</v>
      </c>
      <c r="B267" s="0" t="s">
        <v>27</v>
      </c>
      <c r="C267" s="13" t="n">
        <f aca="false">C265-C266</f>
        <v>487.296648552777</v>
      </c>
      <c r="D267" s="13" t="n">
        <f aca="false">D265-D266</f>
        <v>678.987958075412</v>
      </c>
      <c r="E267" s="13" t="n">
        <f aca="false">E265-E266</f>
        <v>662.728005162211</v>
      </c>
      <c r="F267" s="13" t="n">
        <f aca="false">F265-F266</f>
        <v>730.245138361316</v>
      </c>
      <c r="G267" s="13" t="n">
        <f aca="false">G265-G266</f>
        <v>596.470999646931</v>
      </c>
      <c r="H267" s="13" t="n">
        <f aca="false">H265-H266</f>
        <v>599.156729777214</v>
      </c>
      <c r="I267" s="13" t="n">
        <f aca="false">I265-I266</f>
        <v>589.18393077801</v>
      </c>
      <c r="J267" s="13" t="n">
        <f aca="false">J265-J266</f>
        <v>591.83684942134</v>
      </c>
      <c r="K267" s="13" t="n">
        <f aca="false">K265-K266</f>
        <v>531.656164097222</v>
      </c>
      <c r="L267" s="13" t="n">
        <f aca="false">L265-L266</f>
        <v>534.050052450072</v>
      </c>
      <c r="M267" s="13" t="n">
        <f aca="false">M265-M266</f>
        <v>536.454719764651</v>
      </c>
      <c r="N267" s="13" t="n">
        <f aca="false">N265-N266</f>
        <v>542.140956418155</v>
      </c>
      <c r="O267" s="13" t="n">
        <f aca="false">O265-O266</f>
        <v>486.496683793761</v>
      </c>
      <c r="P267" s="13" t="n">
        <f aca="false">P265-P266</f>
        <v>495.954204263138</v>
      </c>
      <c r="Q267" s="13" t="n">
        <f aca="false">Q265-Q266</f>
        <v>505.595579415205</v>
      </c>
      <c r="R267" s="13" t="n">
        <f aca="false">R265-R266</f>
        <v>498.905154235984</v>
      </c>
    </row>
    <row r="268" customFormat="false" ht="17.15" hidden="false" customHeight="false" outlineLevel="0" collapsed="false">
      <c r="A268" s="5" t="s">
        <v>468</v>
      </c>
      <c r="B268" s="0" t="s">
        <v>27</v>
      </c>
      <c r="C268" s="13" t="n">
        <f aca="false">q1_rev-q1_ss-q1_sd</f>
        <v>66.6999999999998</v>
      </c>
      <c r="D268" s="13" t="n">
        <f aca="false">D264*otsh_26</f>
        <v>99.2</v>
      </c>
      <c r="E268" s="13" t="n">
        <f aca="false">E264*otsh_26</f>
        <v>96.8244242481686</v>
      </c>
      <c r="F268" s="13" t="n">
        <f aca="false">F264*otsh_26</f>
        <v>106.68866342015</v>
      </c>
      <c r="G268" s="13" t="n">
        <f aca="false">G264*otsh_27</f>
        <v>112.809526835349</v>
      </c>
      <c r="H268" s="13" t="n">
        <f aca="false">H264*otsh_27</f>
        <v>113.317474322124</v>
      </c>
      <c r="I268" s="13" t="n">
        <f aca="false">I264*otsh_27</f>
        <v>111.431336124307</v>
      </c>
      <c r="J268" s="13" t="n">
        <f aca="false">J264*otsh_27</f>
        <v>111.933078031397</v>
      </c>
      <c r="K268" s="13" t="n">
        <f aca="false">K264*otsh_28</f>
        <v>112.437079131907</v>
      </c>
      <c r="L268" s="13" t="n">
        <f aca="false">L264*otsh_28</f>
        <v>112.943349598308</v>
      </c>
      <c r="M268" s="13" t="n">
        <f aca="false">M264*otsh_28</f>
        <v>113.451899648873</v>
      </c>
      <c r="N268" s="13" t="n">
        <f aca="false">N264*otsh_28</f>
        <v>114.654451003955</v>
      </c>
      <c r="O268" s="13" t="n">
        <f aca="false">O264*otsh_29</f>
        <v>116.883339408331</v>
      </c>
      <c r="P268" s="13" t="n">
        <f aca="false">P264*otsh_29</f>
        <v>119.155557517534</v>
      </c>
      <c r="Q268" s="13" t="n">
        <f aca="false">Q264*otsh_29</f>
        <v>121.471947663247</v>
      </c>
      <c r="R268" s="13" t="n">
        <f aca="false">R264*otsh_29</f>
        <v>119.864538480288</v>
      </c>
      <c r="T268" s="5" t="s">
        <v>469</v>
      </c>
    </row>
    <row r="269" customFormat="false" ht="17.15" hidden="false" customHeight="false" outlineLevel="0" collapsed="false">
      <c r="A269" s="5" t="s">
        <v>470</v>
      </c>
      <c r="B269" s="0" t="s">
        <v>27</v>
      </c>
      <c r="C269" s="13" t="n">
        <f aca="false">q1_sd</f>
        <v>525.7</v>
      </c>
      <c r="D269" s="13" t="n">
        <f aca="false">D264-D265-D268</f>
        <v>744</v>
      </c>
      <c r="E269" s="13" t="n">
        <f aca="false">E264-E265-E268</f>
        <v>726.183181861264</v>
      </c>
      <c r="F269" s="13" t="n">
        <f aca="false">F264-F265-F268</f>
        <v>800.164975651126</v>
      </c>
      <c r="G269" s="13" t="n">
        <f aca="false">G264-G265-G268</f>
        <v>789.666687847446</v>
      </c>
      <c r="H269" s="13" t="n">
        <f aca="false">H264-H265-H268</f>
        <v>793.222320254868</v>
      </c>
      <c r="I269" s="13" t="n">
        <f aca="false">I264-I265-I268</f>
        <v>780.019352870148</v>
      </c>
      <c r="J269" s="13" t="n">
        <f aca="false">J264-J265-J268</f>
        <v>783.531546219779</v>
      </c>
      <c r="K269" s="13" t="n">
        <f aca="false">K264-K265-K268</f>
        <v>730.841014357395</v>
      </c>
      <c r="L269" s="13" t="n">
        <f aca="false">L264-L265-L268</f>
        <v>734.131772388999</v>
      </c>
      <c r="M269" s="13" t="n">
        <f aca="false">M264-M265-M268</f>
        <v>737.437347717677</v>
      </c>
      <c r="N269" s="13" t="n">
        <f aca="false">N264-N265-N268</f>
        <v>745.25393152571</v>
      </c>
      <c r="O269" s="13" t="n">
        <f aca="false">O264-O265-O268</f>
        <v>759.741706154149</v>
      </c>
      <c r="P269" s="13" t="n">
        <f aca="false">P264-P265-P268</f>
        <v>774.511123863969</v>
      </c>
      <c r="Q269" s="13" t="n">
        <f aca="false">Q264-Q265-Q268</f>
        <v>789.567659811105</v>
      </c>
      <c r="R269" s="13" t="n">
        <f aca="false">R264-R265-R268</f>
        <v>779.119500121875</v>
      </c>
      <c r="T269" s="5" t="s">
        <v>471</v>
      </c>
    </row>
    <row r="270" customFormat="false" ht="15" hidden="false" customHeight="false" outlineLevel="0" collapsed="false">
      <c r="A270" s="5" t="s">
        <v>472</v>
      </c>
      <c r="B270" s="0" t="s">
        <v>27</v>
      </c>
      <c r="C270" s="18" t="n">
        <f aca="false">C265+C269+C268-C264</f>
        <v>0</v>
      </c>
      <c r="D270" s="18" t="n">
        <f aca="false">D265+D269+D268-D264</f>
        <v>0</v>
      </c>
      <c r="E270" s="18" t="n">
        <f aca="false">E265+E269+E268-E264</f>
        <v>0</v>
      </c>
      <c r="F270" s="18" t="n">
        <f aca="false">F265+F269+F268-F264</f>
        <v>0</v>
      </c>
      <c r="G270" s="18" t="n">
        <f aca="false">G265+G269+G268-G264</f>
        <v>0</v>
      </c>
      <c r="H270" s="18" t="n">
        <f aca="false">H265+H269+H268-H264</f>
        <v>0</v>
      </c>
      <c r="I270" s="18" t="n">
        <f aca="false">I265+I269+I268-I264</f>
        <v>0</v>
      </c>
      <c r="J270" s="18" t="n">
        <f aca="false">J265+J269+J268-J264</f>
        <v>0</v>
      </c>
      <c r="K270" s="18" t="n">
        <f aca="false">K265+K269+K268-K264</f>
        <v>0</v>
      </c>
      <c r="L270" s="18" t="n">
        <f aca="false">L265+L269+L268-L264</f>
        <v>0</v>
      </c>
      <c r="M270" s="18" t="n">
        <f aca="false">M265+M269+M268-M264</f>
        <v>0</v>
      </c>
      <c r="N270" s="18" t="n">
        <f aca="false">N265+N269+N268-N264</f>
        <v>0</v>
      </c>
      <c r="O270" s="18" t="n">
        <f aca="false">O265+O269+O268-O264</f>
        <v>0</v>
      </c>
      <c r="P270" s="18" t="n">
        <f aca="false">P265+P269+P268-P264</f>
        <v>0</v>
      </c>
      <c r="Q270" s="18" t="n">
        <f aca="false">Q265+Q269+Q268-Q264</f>
        <v>0</v>
      </c>
      <c r="R270" s="18" t="n">
        <f aca="false">R265+R269+R268-R264</f>
        <v>0</v>
      </c>
    </row>
    <row r="271" customFormat="false" ht="17.15" hidden="false" customHeight="false" outlineLevel="0" collapsed="false">
      <c r="A271" s="5" t="s">
        <v>473</v>
      </c>
      <c r="B271" s="0" t="s">
        <v>474</v>
      </c>
      <c r="C271" s="20" t="n">
        <f aca="false">C272/C263</f>
        <v>9.63267449926724</v>
      </c>
      <c r="D271" s="20" t="n">
        <f aca="false">D272/D263</f>
        <v>9.50991434320605</v>
      </c>
      <c r="E271" s="20" t="n">
        <f aca="false">$D271*(1-cd_A)^(1/4)</f>
        <v>9.15801220601616</v>
      </c>
      <c r="F271" s="20" t="n">
        <f aca="false">$D271*(1-cd_A)^(2/4)</f>
        <v>8.81913175437355</v>
      </c>
      <c r="G271" s="20" t="n">
        <f aca="false">$D271*(1-cd_A)^(3/4)</f>
        <v>8.49279113756868</v>
      </c>
      <c r="H271" s="20" t="n">
        <f aca="false">$D271*(1-cd_A)^(4/4)</f>
        <v>8.1785263351572</v>
      </c>
      <c r="I271" s="20" t="n">
        <f aca="false">$D271*(1-cd_A)^(5/4)</f>
        <v>7.87589049717389</v>
      </c>
      <c r="J271" s="20" t="n">
        <f aca="false">$D271*(1-cd_A)^(6/4)</f>
        <v>7.58445330876125</v>
      </c>
      <c r="K271" s="20" t="n">
        <f aca="false">$D271*(1-cd_A)^(7/4)</f>
        <v>7.30380037830907</v>
      </c>
      <c r="L271" s="20" t="n">
        <f aca="false">$D271*(1-cd_A)^(8/4)</f>
        <v>7.03353264823519</v>
      </c>
      <c r="M271" s="20" t="n">
        <f aca="false">$D271*(1-cd_A)^(9/4)</f>
        <v>6.77326582756955</v>
      </c>
      <c r="N271" s="20" t="n">
        <f aca="false">$D271*(1-cd_A)^(10/4)</f>
        <v>6.52262984553468</v>
      </c>
      <c r="O271" s="20" t="n">
        <f aca="false">$D271*(1-cd_A)^(11/4)</f>
        <v>6.2812683253458</v>
      </c>
      <c r="P271" s="20" t="n">
        <f aca="false">$D271*(1-cd_A)^(12/4)</f>
        <v>6.04883807748227</v>
      </c>
      <c r="Q271" s="20" t="n">
        <f aca="false">$D271*(1-cd_A)^(13/4)</f>
        <v>5.82500861170981</v>
      </c>
      <c r="R271" s="20" t="n">
        <f aca="false">$D271*(1-cd_A)^(14/4)</f>
        <v>5.60946166715982</v>
      </c>
    </row>
    <row r="272" customFormat="false" ht="15" hidden="false" customHeight="false" outlineLevel="0" collapsed="false">
      <c r="A272" s="5" t="s">
        <v>475</v>
      </c>
      <c r="B272" s="0" t="s">
        <v>27</v>
      </c>
      <c r="C272" s="13" t="n">
        <f aca="false">q1_rev-q1_gp</f>
        <v>387</v>
      </c>
      <c r="D272" s="13" t="n">
        <f aca="false">g2_rev-g2_op-g2_ox</f>
        <v>426.3</v>
      </c>
      <c r="E272" s="13" t="n">
        <f aca="false">E263*E271</f>
        <v>411.571578380844</v>
      </c>
      <c r="F272" s="13" t="n">
        <f aca="false">F263*F271</f>
        <v>424.00025290573</v>
      </c>
      <c r="G272" s="13" t="n">
        <f aca="false">G263*G271</f>
        <v>431.735968385688</v>
      </c>
      <c r="H272" s="13" t="n">
        <f aca="false">H263*H271</f>
        <v>439.61281890879</v>
      </c>
      <c r="I272" s="13" t="n">
        <f aca="false">I263*I271</f>
        <v>447.633379427598</v>
      </c>
      <c r="J272" s="13" t="n">
        <f aca="false">J263*J271</f>
        <v>455.80027187366</v>
      </c>
      <c r="K272" s="13" t="n">
        <f aca="false">K263*K271</f>
        <v>464.116166014614</v>
      </c>
      <c r="L272" s="13" t="n">
        <f aca="false">L263*L271</f>
        <v>472.583780326949</v>
      </c>
      <c r="M272" s="13" t="n">
        <f aca="false">M263*M271</f>
        <v>481.205882884668</v>
      </c>
      <c r="N272" s="13" t="n">
        <f aca="false">N263*N271</f>
        <v>482.795211097324</v>
      </c>
      <c r="O272" s="13" t="n">
        <f aca="false">O263*O271</f>
        <v>488.627070940835</v>
      </c>
      <c r="P272" s="13" t="n">
        <f aca="false">P263*P271</f>
        <v>494.529375951265</v>
      </c>
      <c r="Q272" s="13" t="n">
        <f aca="false">Q263*Q271</f>
        <v>500.502977061541</v>
      </c>
      <c r="R272" s="13" t="n">
        <f aca="false">R263*R271</f>
        <v>491.049567000935</v>
      </c>
      <c r="T272" s="5" t="s">
        <v>476</v>
      </c>
    </row>
    <row r="273" customFormat="false" ht="15" hidden="false" customHeight="false" outlineLevel="0" collapsed="false">
      <c r="A273" s="5" t="s">
        <v>360</v>
      </c>
      <c r="B273" s="0" t="s">
        <v>145</v>
      </c>
      <c r="C273" s="14" t="n">
        <f aca="false">1-C272/C264</f>
        <v>0.780997113915455</v>
      </c>
      <c r="D273" s="14" t="n">
        <f aca="false">1-D272/D264</f>
        <v>0.828104838709677</v>
      </c>
      <c r="E273" s="14" t="n">
        <f aca="false">1-E272/E264</f>
        <v>0.82997200073157</v>
      </c>
      <c r="F273" s="14" t="n">
        <f aca="false">1-F272/F264</f>
        <v>0.841032687330246</v>
      </c>
      <c r="G273" s="14" t="n">
        <f aca="false">1-G272/G264</f>
        <v>0.846915068080792</v>
      </c>
      <c r="H273" s="14" t="n">
        <f aca="false">1-H272/H264</f>
        <v>0.844820819899633</v>
      </c>
      <c r="I273" s="14" t="n">
        <f aca="false">1-I272/I264</f>
        <v>0.83931508137774</v>
      </c>
      <c r="J273" s="14" t="n">
        <f aca="false">1-J272/J264</f>
        <v>0.837116863079274</v>
      </c>
      <c r="K273" s="14" t="n">
        <f aca="false">1-K272/K264</f>
        <v>0.834888572489461</v>
      </c>
      <c r="L273" s="14" t="n">
        <f aca="false">1-L272/L264</f>
        <v>0.832629798210259</v>
      </c>
      <c r="M273" s="14" t="n">
        <f aca="false">1-M272/M264</f>
        <v>0.830340123215576</v>
      </c>
      <c r="N273" s="14" t="n">
        <f aca="false">1-N272/N264</f>
        <v>0.831565122201608</v>
      </c>
      <c r="O273" s="14" t="n">
        <f aca="false">1-O272/O264</f>
        <v>0.832781276300185</v>
      </c>
      <c r="P273" s="14" t="n">
        <f aca="false">1-P272/P264</f>
        <v>0.833988649374245</v>
      </c>
      <c r="Q273" s="14" t="n">
        <f aca="false">1-Q272/Q264</f>
        <v>0.835187304825614</v>
      </c>
      <c r="R273" s="14" t="n">
        <f aca="false">1-R272/R264</f>
        <v>0.836131829070802</v>
      </c>
    </row>
    <row r="274" customFormat="false" ht="17.15" hidden="false" customHeight="false" outlineLevel="0" collapsed="false">
      <c r="A274" s="5" t="s">
        <v>477</v>
      </c>
      <c r="B274" s="0" t="s">
        <v>27</v>
      </c>
      <c r="C274" s="13" t="n">
        <f aca="false">q1_gp-q1_op</f>
        <v>110.1</v>
      </c>
      <c r="D274" s="13" t="n">
        <f aca="false">g2_ox</f>
        <v>59</v>
      </c>
      <c r="E274" s="13" t="n">
        <f aca="false">(g2_ox-ox_var*g2_rev)*(1+ox_g)^(1/4)+ox_var*E264</f>
        <v>59.2307942287302</v>
      </c>
      <c r="F274" s="13" t="n">
        <f aca="false">(g2_ox-ox_var*g2_rev)*(1+ox_g)^(2/4)+ox_var*F264</f>
        <v>62.5414284624567</v>
      </c>
      <c r="G274" s="13" t="n">
        <f aca="false">(g2_ox-ox_var*g2_rev)*(1+ox_g)^(3/4)+ox_var*G264</f>
        <v>64.9365845624602</v>
      </c>
      <c r="H274" s="13" t="n">
        <f aca="false">(g2_ox-ox_var*g2_rev)*(1+ox_g)^(4/4)+ox_var*H264</f>
        <v>65.949368580531</v>
      </c>
      <c r="I274" s="13" t="n">
        <f aca="false">(g2_ox-ox_var*g2_rev)*(1+ox_g)^(5/4)+ox_var*I264</f>
        <v>66.3849910144336</v>
      </c>
      <c r="J274" s="13" t="n">
        <f aca="false">(g2_ox-ox_var*g2_rev)*(1+ox_g)^(6/4)+ox_var*J264</f>
        <v>67.4394583760104</v>
      </c>
      <c r="K274" s="13" t="n">
        <f aca="false">(g2_ox-ox_var*g2_rev)*(1+ox_g)^(7/4)+ox_var*K264</f>
        <v>68.5168929219618</v>
      </c>
      <c r="L274" s="13" t="n">
        <f aca="false">(g2_ox-ox_var*g2_rev)*(1+ox_g)^(8/4)+ox_var*L264</f>
        <v>69.6178373995769</v>
      </c>
      <c r="M274" s="13" t="n">
        <f aca="false">(g2_ox-ox_var*g2_rev)*(1+ox_g)^(9/4)+ox_var*M264</f>
        <v>70.7428475939109</v>
      </c>
      <c r="N274" s="13" t="n">
        <f aca="false">(g2_ox-ox_var*g2_rev)*(1+ox_g)^(10/4)+ox_var*N264</f>
        <v>72.0654205059661</v>
      </c>
      <c r="O274" s="13" t="n">
        <f aca="false">(g2_ox-ox_var*g2_rev)*(1+ox_g)^(11/4)+ox_var*O264</f>
        <v>73.6692203049663</v>
      </c>
      <c r="P274" s="13" t="n">
        <f aca="false">(g2_ox-ox_var*g2_rev)*(1+ox_g)^(12/4)+ox_var*P264</f>
        <v>75.3090893793834</v>
      </c>
      <c r="Q274" s="13" t="n">
        <f aca="false">(g2_ox-ox_var*g2_rev)*(1+ox_g)^(13/4)+ox_var*Q264</f>
        <v>76.9858468656735</v>
      </c>
      <c r="R274" s="13" t="n">
        <f aca="false">(g2_ox-ox_var*g2_rev)*(1+ox_g)^(14/4)+ox_var*R264</f>
        <v>77.7081231505471</v>
      </c>
      <c r="T274" s="5" t="s">
        <v>478</v>
      </c>
    </row>
    <row r="275" customFormat="false" ht="15" hidden="false" customHeight="false" outlineLevel="0" collapsed="false">
      <c r="A275" s="5" t="s">
        <v>358</v>
      </c>
      <c r="B275" s="0" t="s">
        <v>27</v>
      </c>
      <c r="C275" s="13" t="n">
        <f aca="false">C264-C272-C274</f>
        <v>1270</v>
      </c>
      <c r="D275" s="13" t="n">
        <f aca="false">D264-D272-D274</f>
        <v>1994.7</v>
      </c>
      <c r="E275" s="13" t="n">
        <f aca="false">E264-E272-E274</f>
        <v>1949.80823359464</v>
      </c>
      <c r="F275" s="13" t="n">
        <f aca="false">F264-F272-F274</f>
        <v>2180.67490413557</v>
      </c>
      <c r="G275" s="13" t="n">
        <f aca="false">G264-G272-G274</f>
        <v>2323.56561793559</v>
      </c>
      <c r="H275" s="13" t="n">
        <f aca="false">H264-H272-H274</f>
        <v>2327.37467056378</v>
      </c>
      <c r="I275" s="13" t="n">
        <f aca="false">I264-I272-I274</f>
        <v>2271.76503266564</v>
      </c>
      <c r="J275" s="13" t="n">
        <f aca="false">J264-J272-J274</f>
        <v>2275.08722053526</v>
      </c>
      <c r="K275" s="13" t="n">
        <f aca="false">K264-K272-K274</f>
        <v>2278.2939193611</v>
      </c>
      <c r="L275" s="13" t="n">
        <f aca="false">L264-L272-L274</f>
        <v>2281.38212223116</v>
      </c>
      <c r="M275" s="13" t="n">
        <f aca="false">M264-M272-M274</f>
        <v>2284.34876074325</v>
      </c>
      <c r="N275" s="13" t="n">
        <f aca="false">N264-N272-N274</f>
        <v>2311.5006434956</v>
      </c>
      <c r="O275" s="13" t="n">
        <f aca="false">O264-O272-O274</f>
        <v>2359.78719396246</v>
      </c>
      <c r="P275" s="13" t="n">
        <f aca="false">P264-P272-P274</f>
        <v>2409.05047260769</v>
      </c>
      <c r="Q275" s="13" t="n">
        <f aca="false">Q264-Q272-Q274</f>
        <v>2459.30986765396</v>
      </c>
      <c r="R275" s="13" t="n">
        <f aca="false">R264-R272-R274</f>
        <v>2427.85577185573</v>
      </c>
    </row>
    <row r="277" customFormat="false" ht="17.15" hidden="false" customHeight="false" outlineLevel="0" collapsed="false">
      <c r="A277" s="5" t="s">
        <v>359</v>
      </c>
      <c r="B277" s="0" t="s">
        <v>27</v>
      </c>
      <c r="C277" s="13" t="n">
        <f aca="false">q1_ni</f>
        <v>842.2</v>
      </c>
      <c r="D277" s="13" t="n">
        <f aca="false">g2_ni</f>
        <v>1360</v>
      </c>
      <c r="E277" s="13" t="n">
        <f aca="false">(E275+nonop_q+rf*nc_j/4)*(1-tax)</f>
        <v>1315.93547884436</v>
      </c>
      <c r="F277" s="13" t="n">
        <f aca="false">(F275+nonop_q+rf*nc_j/4)*(1-tax)</f>
        <v>1472.92481481218</v>
      </c>
      <c r="G277" s="13" t="n">
        <f aca="false">(G275+nonop_q+rf*$D298/4)*(1-tax)</f>
        <v>1575.60035019557</v>
      </c>
      <c r="H277" s="13" t="n">
        <f aca="false">(H275+nonop_q+rf*$D298/4)*(1-tax)</f>
        <v>1578.19050598274</v>
      </c>
      <c r="I277" s="13" t="n">
        <f aca="false">(I275+nonop_q+rf*$D298/4)*(1-tax)</f>
        <v>1540.37595221201</v>
      </c>
      <c r="J277" s="13" t="n">
        <f aca="false">(J275+nonop_q+rf*$D298/4)*(1-tax)</f>
        <v>1542.63503996335</v>
      </c>
      <c r="K277" s="13" t="n">
        <f aca="false">(K275+nonop_q+rf*$E298/4)*(1-tax)</f>
        <v>1553.09364567868</v>
      </c>
      <c r="L277" s="13" t="n">
        <f aca="false">(L275+nonop_q+rf*$E298/4)*(1-tax)</f>
        <v>1555.19362363032</v>
      </c>
      <c r="M277" s="13" t="n">
        <f aca="false">(M275+nonop_q+rf*$E298/4)*(1-tax)</f>
        <v>1557.21093781855</v>
      </c>
      <c r="N277" s="13" t="n">
        <f aca="false">(N275+nonop_q+rf*$E298/4)*(1-tax)</f>
        <v>1575.67421809014</v>
      </c>
      <c r="O277" s="13" t="n">
        <f aca="false">(O275+nonop_q+rf*$F298/4)*(1-tax)</f>
        <v>1616.79306690591</v>
      </c>
      <c r="P277" s="13" t="n">
        <f aca="false">(P275+nonop_q+rf*$F298/4)*(1-tax)</f>
        <v>1650.29209638466</v>
      </c>
      <c r="Q277" s="13" t="n">
        <f aca="false">(Q275+nonop_q+rf*$F298/4)*(1-tax)</f>
        <v>1684.46848501612</v>
      </c>
      <c r="R277" s="13" t="n">
        <f aca="false">(R275+nonop_q+rf*$F298/4)*(1-tax)</f>
        <v>1663.07969987333</v>
      </c>
      <c r="T277" s="5" t="s">
        <v>479</v>
      </c>
    </row>
    <row r="278" customFormat="false" ht="17.15" hidden="false" customHeight="false" outlineLevel="0" collapsed="false">
      <c r="A278" s="5" t="s">
        <v>480</v>
      </c>
      <c r="B278" s="0" t="s">
        <v>108</v>
      </c>
      <c r="C278" s="17" t="n">
        <f aca="false">C277/(sh0+dil)*1000</f>
        <v>507.343332753891</v>
      </c>
      <c r="D278" s="17" t="n">
        <f aca="false">D277/(sh0+dil)*1000</f>
        <v>819.267314824616</v>
      </c>
      <c r="E278" s="17" t="n">
        <f aca="false">E277/(sh0+dil)*1000</f>
        <v>792.722739878868</v>
      </c>
      <c r="F278" s="17" t="n">
        <f aca="false">F277/(sh0+dil)*1000</f>
        <v>887.293498507149</v>
      </c>
      <c r="G278" s="17" t="n">
        <f aca="false">G277/(sh0+dil)*1000</f>
        <v>949.145491280479</v>
      </c>
      <c r="H278" s="17" t="n">
        <f aca="false">H277/(sh0+dil)*1000</f>
        <v>950.705807439841</v>
      </c>
      <c r="I278" s="17" t="n">
        <f aca="false">I277/(sh0+dil)*1000</f>
        <v>927.926228080252</v>
      </c>
      <c r="J278" s="17" t="n">
        <f aca="false">J277/(sh0+dil)*1000</f>
        <v>929.287108047893</v>
      </c>
      <c r="K278" s="17" t="n">
        <f aca="false">K277/(sh0+dil)*1000</f>
        <v>935.587397622312</v>
      </c>
      <c r="L278" s="17" t="n">
        <f aca="false">L277/(sh0+dil)*1000</f>
        <v>936.852429458809</v>
      </c>
      <c r="M278" s="17" t="n">
        <f aca="false">M277/(sh0+dil)*1000</f>
        <v>938.067664442737</v>
      </c>
      <c r="N278" s="17" t="n">
        <f aca="false">N277/(sh0+dil)*1000</f>
        <v>949.189989480209</v>
      </c>
      <c r="O278" s="17" t="n">
        <f aca="false">O277/(sh0+dil)*1000</f>
        <v>973.960084228718</v>
      </c>
      <c r="P278" s="17" t="n">
        <f aca="false">P277/(sh0+dil)*1000</f>
        <v>994.139981236285</v>
      </c>
      <c r="Q278" s="17" t="n">
        <f aca="false">Q277/(sh0+dil)*1000</f>
        <v>1014.72792104842</v>
      </c>
      <c r="R278" s="17" t="n">
        <f aca="false">R277/(sh0+dil)*1000</f>
        <v>1001.84326474599</v>
      </c>
    </row>
    <row r="280" customFormat="false" ht="17.15" hidden="false" customHeight="false" outlineLevel="0" collapsed="false">
      <c r="A280" s="12" t="s">
        <v>481</v>
      </c>
      <c r="B280" s="6" t="s">
        <v>17</v>
      </c>
      <c r="C280" s="12" t="s">
        <v>425</v>
      </c>
      <c r="D280" s="12" t="s">
        <v>426</v>
      </c>
      <c r="E280" s="12" t="s">
        <v>427</v>
      </c>
      <c r="F280" s="12" t="s">
        <v>428</v>
      </c>
      <c r="G280" s="12" t="s">
        <v>429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6" t="s">
        <v>330</v>
      </c>
    </row>
    <row r="281" customFormat="false" ht="17.15" hidden="false" customHeight="false" outlineLevel="0" collapsed="false">
      <c r="A281" s="5" t="s">
        <v>354</v>
      </c>
      <c r="B281" s="0" t="s">
        <v>27</v>
      </c>
      <c r="C281" s="13" t="n">
        <f aca="false">a25_rev</f>
        <v>2337.6</v>
      </c>
      <c r="D281" s="13" t="n">
        <f aca="false">SUM(C264:F264)</f>
        <v>9334.92719170797</v>
      </c>
      <c r="E281" s="13" t="n">
        <f aca="false">SUM(G264:J264)</f>
        <v>11237.2853828294</v>
      </c>
      <c r="F281" s="13" t="n">
        <f aca="false">SUM(K264:N264)</f>
        <v>11337.1694845761</v>
      </c>
      <c r="G281" s="13" t="n">
        <f aca="false">SUM(O264:R264)</f>
        <v>11934.384576735</v>
      </c>
      <c r="T281" s="8" t="s">
        <v>482</v>
      </c>
    </row>
    <row r="282" customFormat="false" ht="17.15" hidden="false" customHeight="false" outlineLevel="0" collapsed="false">
      <c r="A282" s="5" t="s">
        <v>483</v>
      </c>
      <c r="B282" s="0" t="s">
        <v>27</v>
      </c>
      <c r="C282" s="13" t="n">
        <f aca="false">p1_ss+p2_ss+p3_ss+p4_ss</f>
        <v>1364.7</v>
      </c>
      <c r="D282" s="13" t="n">
        <f aca="false">SUM(C265:F265)</f>
        <v>6169.46594652726</v>
      </c>
      <c r="E282" s="13" t="n">
        <f aca="false">SUM(G265:J265)</f>
        <v>7641.35406032402</v>
      </c>
      <c r="F282" s="13" t="n">
        <f aca="false">SUM(K265:N265)</f>
        <v>7936.01863920326</v>
      </c>
      <c r="G282" s="13" t="n">
        <f aca="false">SUM(O265:R265)</f>
        <v>8354.0692037145</v>
      </c>
    </row>
    <row r="283" customFormat="false" ht="17.15" hidden="false" customHeight="false" outlineLevel="0" collapsed="false">
      <c r="A283" s="0" t="s">
        <v>484</v>
      </c>
      <c r="B283" s="0" t="s">
        <v>27</v>
      </c>
      <c r="C283" s="13" t="n">
        <f aca="false">C282*(0.75*Units!C16+0.25*Units!D16)</f>
        <v>507.679569396364</v>
      </c>
      <c r="D283" s="13" t="n">
        <f aca="false">SUM(C266:F266)</f>
        <v>3610.20819637554</v>
      </c>
      <c r="E283" s="13" t="n">
        <f aca="false">SUM(G266:J266)</f>
        <v>5264.70555070052</v>
      </c>
      <c r="F283" s="13" t="n">
        <f aca="false">SUM(K266:N266)</f>
        <v>5791.71674647316</v>
      </c>
      <c r="G283" s="13" t="n">
        <f aca="false">SUM(O266:R266)</f>
        <v>6367.11758200641</v>
      </c>
    </row>
    <row r="284" customFormat="false" ht="15" hidden="false" customHeight="false" outlineLevel="0" collapsed="false">
      <c r="A284" s="5" t="s">
        <v>485</v>
      </c>
      <c r="B284" s="0" t="s">
        <v>27</v>
      </c>
      <c r="C284" s="13" t="n">
        <f aca="false">p1_sd+p2_sd+p3_sd+p4_sd</f>
        <v>759.5</v>
      </c>
      <c r="D284" s="13" t="n">
        <f aca="false">SUM(C269:F269)</f>
        <v>2796.04815751239</v>
      </c>
      <c r="E284" s="13" t="n">
        <f aca="false">SUM(G269:J269)</f>
        <v>3146.43990719224</v>
      </c>
      <c r="F284" s="13" t="n">
        <f aca="false">SUM(K269:N269)</f>
        <v>2947.66406598978</v>
      </c>
      <c r="G284" s="13" t="n">
        <f aca="false">SUM(O269:R269)</f>
        <v>3102.9399899511</v>
      </c>
    </row>
    <row r="285" customFormat="false" ht="17.15" hidden="false" customHeight="false" outlineLevel="0" collapsed="false">
      <c r="A285" s="5" t="s">
        <v>486</v>
      </c>
      <c r="B285" s="0" t="s">
        <v>27</v>
      </c>
      <c r="C285" s="13" t="n">
        <f aca="false">a25_rev-C282-C284</f>
        <v>213.4</v>
      </c>
      <c r="D285" s="13" t="n">
        <f aca="false">SUM(C268:F268)</f>
        <v>369.413087668318</v>
      </c>
      <c r="E285" s="13" t="n">
        <f aca="false">SUM(G268:J268)</f>
        <v>449.491415313177</v>
      </c>
      <c r="F285" s="13" t="n">
        <f aca="false">SUM(K268:N268)</f>
        <v>453.486779383043</v>
      </c>
      <c r="G285" s="13" t="n">
        <f aca="false">SUM(O268:R268)</f>
        <v>477.3753830694</v>
      </c>
      <c r="T285" s="8" t="s">
        <v>487</v>
      </c>
    </row>
    <row r="286" customFormat="false" ht="15" hidden="false" customHeight="false" outlineLevel="0" collapsed="false">
      <c r="A286" s="5" t="s">
        <v>488</v>
      </c>
      <c r="B286" s="0" t="s">
        <v>27</v>
      </c>
      <c r="C286" s="18" t="n">
        <f aca="false">C282+C284+C285-C281</f>
        <v>0</v>
      </c>
      <c r="D286" s="18" t="n">
        <f aca="false">D282+D284+D285-D281</f>
        <v>0</v>
      </c>
      <c r="E286" s="18" t="n">
        <f aca="false">E282+E284+E285-E281</f>
        <v>0</v>
      </c>
      <c r="F286" s="18" t="n">
        <f aca="false">F282+F284+F285-F281</f>
        <v>0</v>
      </c>
      <c r="G286" s="18" t="n">
        <f aca="false">G282+G284+G285-G281</f>
        <v>0</v>
      </c>
    </row>
    <row r="287" customFormat="false" ht="15" hidden="false" customHeight="false" outlineLevel="0" collapsed="false">
      <c r="A287" s="5" t="s">
        <v>475</v>
      </c>
      <c r="B287" s="0" t="s">
        <v>27</v>
      </c>
      <c r="C287" s="13" t="n">
        <f aca="false">a25_rev-(p1_gp+p2_gp+p3_gp+p4_gp)</f>
        <v>1324.8</v>
      </c>
      <c r="D287" s="13" t="n">
        <f aca="false">SUM(C272:F272)</f>
        <v>1648.87183128657</v>
      </c>
      <c r="E287" s="13" t="n">
        <f aca="false">SUM(G272:J272)</f>
        <v>1774.78243859574</v>
      </c>
      <c r="F287" s="13" t="n">
        <f aca="false">SUM(K272:N272)</f>
        <v>1900.70104032356</v>
      </c>
      <c r="G287" s="13" t="n">
        <f aca="false">SUM(O272:R272)</f>
        <v>1974.70899095458</v>
      </c>
    </row>
    <row r="288" customFormat="false" ht="15" hidden="false" customHeight="false" outlineLevel="0" collapsed="false">
      <c r="A288" s="5" t="s">
        <v>360</v>
      </c>
      <c r="B288" s="0" t="s">
        <v>145</v>
      </c>
      <c r="C288" s="14" t="n">
        <f aca="false">1-C287/C281</f>
        <v>0.433264887063655</v>
      </c>
      <c r="D288" s="14" t="n">
        <f aca="false">1-D287/D281</f>
        <v>0.82336532493245</v>
      </c>
      <c r="E288" s="14" t="n">
        <f aca="false">1-E287/E281</f>
        <v>0.84206306255178</v>
      </c>
      <c r="F288" s="14" t="n">
        <f aca="false">1-F287/F281</f>
        <v>0.832347832242483</v>
      </c>
      <c r="G288" s="14" t="n">
        <f aca="false">1-G287/G281</f>
        <v>0.834536169145739</v>
      </c>
    </row>
    <row r="289" customFormat="false" ht="15" hidden="false" customHeight="false" outlineLevel="0" collapsed="false">
      <c r="A289" s="5" t="s">
        <v>477</v>
      </c>
      <c r="B289" s="0" t="s">
        <v>27</v>
      </c>
      <c r="D289" s="13" t="n">
        <f aca="false">SUM(C274:F274)</f>
        <v>290.872222691187</v>
      </c>
      <c r="E289" s="13" t="n">
        <f aca="false">SUM(G274:J274)</f>
        <v>264.710402533435</v>
      </c>
      <c r="F289" s="13" t="n">
        <f aca="false">SUM(K274:N274)</f>
        <v>280.942998421416</v>
      </c>
      <c r="G289" s="13" t="n">
        <f aca="false">SUM(O274:R274)</f>
        <v>303.67227970057</v>
      </c>
    </row>
    <row r="290" customFormat="false" ht="15" hidden="false" customHeight="false" outlineLevel="0" collapsed="false">
      <c r="A290" s="5" t="s">
        <v>358</v>
      </c>
      <c r="B290" s="0" t="s">
        <v>27</v>
      </c>
      <c r="C290" s="13" t="n">
        <f aca="false">p1_op+p2_op+p3_op+p4_op</f>
        <v>869</v>
      </c>
      <c r="D290" s="13" t="n">
        <f aca="false">SUM(C275:F275)</f>
        <v>7395.18313773021</v>
      </c>
      <c r="E290" s="13" t="n">
        <f aca="false">SUM(G275:J275)</f>
        <v>9197.79254170027</v>
      </c>
      <c r="F290" s="13" t="n">
        <f aca="false">SUM(K275:N275)</f>
        <v>9155.52544583111</v>
      </c>
      <c r="G290" s="13" t="n">
        <f aca="false">SUM(O275:R275)</f>
        <v>9656.00330607985</v>
      </c>
    </row>
    <row r="291" customFormat="false" ht="15" hidden="false" customHeight="false" outlineLevel="0" collapsed="false">
      <c r="A291" s="5" t="s">
        <v>361</v>
      </c>
      <c r="B291" s="0" t="s">
        <v>145</v>
      </c>
      <c r="C291" s="14" t="n">
        <f aca="false">C290/C281</f>
        <v>0.371748802190281</v>
      </c>
      <c r="D291" s="14" t="n">
        <f aca="false">D290/D281</f>
        <v>0.792205765064692</v>
      </c>
      <c r="E291" s="14" t="n">
        <f aca="false">E290/E281</f>
        <v>0.818506625786552</v>
      </c>
      <c r="F291" s="14" t="n">
        <f aca="false">F290/F281</f>
        <v>0.807567132015355</v>
      </c>
      <c r="G291" s="14" t="n">
        <f aca="false">G290/G281</f>
        <v>0.809091012946185</v>
      </c>
    </row>
    <row r="292" customFormat="false" ht="15" hidden="false" customHeight="false" outlineLevel="0" collapsed="false">
      <c r="A292" s="5" t="s">
        <v>359</v>
      </c>
      <c r="B292" s="0" t="s">
        <v>27</v>
      </c>
      <c r="C292" s="13" t="n">
        <f aca="false">a25_ni</f>
        <v>554.5</v>
      </c>
      <c r="D292" s="13" t="n">
        <f aca="false">SUM(C277:F277)</f>
        <v>4991.06029365654</v>
      </c>
      <c r="E292" s="13" t="n">
        <f aca="false">SUM(G277:J277)</f>
        <v>6236.80184835367</v>
      </c>
      <c r="F292" s="13" t="n">
        <f aca="false">SUM(K277:N277)</f>
        <v>6241.17242521769</v>
      </c>
      <c r="G292" s="13" t="n">
        <f aca="false">SUM(O277:R277)</f>
        <v>6614.63334818002</v>
      </c>
    </row>
    <row r="293" customFormat="false" ht="15" hidden="false" customHeight="false" outlineLevel="0" collapsed="false">
      <c r="A293" s="5" t="s">
        <v>489</v>
      </c>
      <c r="B293" s="0" t="s">
        <v>27</v>
      </c>
      <c r="D293" s="13" t="n">
        <f aca="false">da_y</f>
        <v>320</v>
      </c>
      <c r="E293" s="13" t="n">
        <f aca="false">da_y</f>
        <v>320</v>
      </c>
      <c r="F293" s="13" t="n">
        <f aca="false">da_y</f>
        <v>320</v>
      </c>
      <c r="G293" s="13" t="n">
        <f aca="false">da_y</f>
        <v>320</v>
      </c>
    </row>
    <row r="294" customFormat="false" ht="15" hidden="false" customHeight="false" outlineLevel="0" collapsed="false">
      <c r="A294" s="5" t="s">
        <v>490</v>
      </c>
      <c r="B294" s="0" t="s">
        <v>27</v>
      </c>
      <c r="D294" s="13" t="n">
        <f aca="false">cap_2026</f>
        <v>450</v>
      </c>
      <c r="E294" s="13" t="n">
        <f aca="false">cap_2027</f>
        <v>470</v>
      </c>
      <c r="F294" s="13" t="n">
        <f aca="false">cap_2028</f>
        <v>470</v>
      </c>
      <c r="G294" s="13" t="n">
        <f aca="false">cap_2029</f>
        <v>470</v>
      </c>
    </row>
    <row r="295" customFormat="false" ht="15" hidden="false" customHeight="false" outlineLevel="0" collapsed="false">
      <c r="A295" s="5" t="s">
        <v>491</v>
      </c>
      <c r="B295" s="0" t="s">
        <v>27</v>
      </c>
      <c r="D295" s="13" t="n">
        <f aca="false">D292+D293-D294</f>
        <v>4861.06029365654</v>
      </c>
      <c r="E295" s="13" t="n">
        <f aca="false">E292+E293-E294</f>
        <v>6086.80184835367</v>
      </c>
      <c r="F295" s="13" t="n">
        <f aca="false">F292+F293-F294</f>
        <v>6091.17242521769</v>
      </c>
      <c r="G295" s="13" t="n">
        <f aca="false">G292+G293-G294</f>
        <v>6464.63334818002</v>
      </c>
    </row>
    <row r="296" customFormat="false" ht="17.15" hidden="false" customHeight="false" outlineLevel="0" collapsed="false">
      <c r="A296" s="5" t="s">
        <v>492</v>
      </c>
      <c r="B296" s="0" t="s">
        <v>27</v>
      </c>
      <c r="D296" s="13" t="n">
        <f aca="false">MAX(0,payout*(SUM(D277:F277)+0.75*(D293-D294)))</f>
        <v>810.272058731308</v>
      </c>
      <c r="E296" s="13" t="n">
        <f aca="false">MAX(0,payout*E295)</f>
        <v>1217.36036967073</v>
      </c>
      <c r="F296" s="13" t="n">
        <f aca="false">MAX(0,payout*F295)</f>
        <v>1218.23448504354</v>
      </c>
      <c r="G296" s="13" t="n">
        <f aca="false">MAX(0,payout*G295)</f>
        <v>1292.926669636</v>
      </c>
      <c r="T296" s="8" t="s">
        <v>493</v>
      </c>
    </row>
    <row r="297" customFormat="false" ht="17.15" hidden="false" customHeight="false" outlineLevel="0" collapsed="false">
      <c r="A297" s="5" t="s">
        <v>494</v>
      </c>
      <c r="B297" s="0" t="s">
        <v>27</v>
      </c>
      <c r="C297" s="13" t="n">
        <f aca="false">eq25</f>
        <v>1399.1</v>
      </c>
      <c r="D297" s="13" t="n">
        <f aca="false">eq_j+SUM(D277:F277)-D296</f>
        <v>5742.88823492523</v>
      </c>
      <c r="E297" s="13" t="n">
        <f aca="false">D297+E292-E296</f>
        <v>10762.3297136082</v>
      </c>
      <c r="F297" s="13" t="n">
        <f aca="false">E297+F292-F296</f>
        <v>15785.2676537823</v>
      </c>
      <c r="G297" s="13" t="n">
        <f aca="false">F297+G292-G296</f>
        <v>21106.9743323263</v>
      </c>
      <c r="T297" s="8" t="s">
        <v>495</v>
      </c>
    </row>
    <row r="298" customFormat="false" ht="15" hidden="false" customHeight="false" outlineLevel="0" collapsed="false">
      <c r="A298" s="5" t="s">
        <v>496</v>
      </c>
      <c r="B298" s="0" t="s">
        <v>27</v>
      </c>
      <c r="D298" s="13" t="n">
        <f aca="false">nc_j+(SUM(D277:F277)+0.75*(D293-D294))-D296</f>
        <v>3397.48823492523</v>
      </c>
      <c r="E298" s="13" t="n">
        <f aca="false">D298+E295-E296</f>
        <v>8266.92971360817</v>
      </c>
      <c r="F298" s="13" t="n">
        <f aca="false">E298+F295-F296</f>
        <v>13139.8676537823</v>
      </c>
      <c r="G298" s="13" t="n">
        <f aca="false">F298+G295-G296</f>
        <v>18311.5743323263</v>
      </c>
    </row>
    <row r="299" customFormat="false" ht="15" hidden="false" customHeight="false" outlineLevel="0" collapsed="false">
      <c r="A299" s="5" t="s">
        <v>497</v>
      </c>
      <c r="B299" s="5" t="s">
        <v>209</v>
      </c>
      <c r="D299" s="13" t="n">
        <f aca="false">sh0-D296/bb_px*1000</f>
        <v>1580.51807638876</v>
      </c>
      <c r="E299" s="13" t="n">
        <f aca="false">D299-E296/bb_px*1000</f>
        <v>1485.07625987205</v>
      </c>
      <c r="F299" s="13" t="n">
        <f aca="false">E299-F296/bb_px*1000</f>
        <v>1389.56591216185</v>
      </c>
      <c r="G299" s="13" t="n">
        <f aca="false">F299-G296/bb_px*1000</f>
        <v>1288.19965033229</v>
      </c>
    </row>
    <row r="300" customFormat="false" ht="17.15" hidden="false" customHeight="false" outlineLevel="0" collapsed="false">
      <c r="A300" s="0" t="s">
        <v>498</v>
      </c>
      <c r="B300" s="0" t="s">
        <v>108</v>
      </c>
      <c r="C300" s="17" t="n">
        <f aca="false">a25_eps</f>
        <v>341.4</v>
      </c>
      <c r="D300" s="17" t="n">
        <f aca="false">D292/(D299+dil)*1000</f>
        <v>3126.26309541652</v>
      </c>
      <c r="E300" s="17" t="n">
        <f aca="false">E292/(E299+dil)*1000</f>
        <v>4154.95336617396</v>
      </c>
      <c r="F300" s="17" t="n">
        <f aca="false">F292/(F299+dil)*1000</f>
        <v>4440.40315187504</v>
      </c>
      <c r="G300" s="17" t="n">
        <f aca="false">G292/(G299+dil)*1000</f>
        <v>5071.8886696375</v>
      </c>
    </row>
    <row r="301" customFormat="false" ht="17.15" hidden="false" customHeight="false" outlineLevel="0" collapsed="false">
      <c r="A301" s="5" t="s">
        <v>499</v>
      </c>
      <c r="B301" s="0" t="s">
        <v>108</v>
      </c>
      <c r="D301" s="17" t="n">
        <f aca="false">D297/D299*1000</f>
        <v>3633.54796172077</v>
      </c>
      <c r="E301" s="17" t="n">
        <f aca="false">E297/E299*1000</f>
        <v>7246.98791867796</v>
      </c>
      <c r="F301" s="17" t="n">
        <f aca="false">F297/F299*1000</f>
        <v>11359.8552725174</v>
      </c>
      <c r="G301" s="17" t="n">
        <f aca="false">G297/G299*1000</f>
        <v>16384.8626467813</v>
      </c>
    </row>
    <row r="302" customFormat="false" ht="17.15" hidden="false" customHeight="false" outlineLevel="0" collapsed="false">
      <c r="A302" s="0" t="s">
        <v>500</v>
      </c>
      <c r="B302" s="0" t="s">
        <v>145</v>
      </c>
      <c r="D302" s="21" t="n">
        <f aca="false">D292/D297</f>
        <v>0.869085395620888</v>
      </c>
      <c r="E302" s="21" t="n">
        <f aca="false">E292/E297</f>
        <v>0.579502952828856</v>
      </c>
      <c r="F302" s="21" t="n">
        <f aca="false">F292/F297</f>
        <v>0.395379575570405</v>
      </c>
      <c r="G302" s="21" t="n">
        <f aca="false">G292/G297</f>
        <v>0.313386146400405</v>
      </c>
    </row>
    <row r="303" customFormat="false" ht="15" hidden="false" customHeight="false" outlineLevel="0" collapsed="false">
      <c r="A303" s="5" t="s">
        <v>501</v>
      </c>
      <c r="B303" s="0" t="s">
        <v>108</v>
      </c>
      <c r="E303" s="17" t="n">
        <f aca="false">E295/(E299+dil)*1000</f>
        <v>4055.02346298317</v>
      </c>
      <c r="F303" s="17" t="n">
        <f aca="false">F295/(F299+dil)*1000</f>
        <v>4333.68274304769</v>
      </c>
      <c r="G303" s="17" t="n">
        <f aca="false">G295/(G299+dil)*1000</f>
        <v>4956.87348128168</v>
      </c>
    </row>
    <row r="304" customFormat="false" ht="17.15" hidden="false" customHeight="false" outlineLevel="0" collapsed="false">
      <c r="A304" s="5" t="s">
        <v>502</v>
      </c>
      <c r="B304" s="0" t="s">
        <v>27</v>
      </c>
      <c r="D304" s="18" t="n">
        <f aca="false">ABS(C264-q1_rev)+ABS(D275-g2_op)+ABS(C281-2337.6)</f>
        <v>0</v>
      </c>
    </row>
    <row r="310" customFormat="false" ht="17.15" hidden="false" customHeight="false" outlineLevel="0" collapsed="false">
      <c r="A310" s="3" t="s">
        <v>822</v>
      </c>
    </row>
    <row r="311" customFormat="false" ht="17.15" hidden="false" customHeight="false" outlineLevel="0" collapsed="false">
      <c r="A311" s="12" t="s">
        <v>442</v>
      </c>
      <c r="B311" s="6" t="s">
        <v>17</v>
      </c>
      <c r="C311" s="12" t="s">
        <v>443</v>
      </c>
      <c r="D311" s="12" t="s">
        <v>444</v>
      </c>
      <c r="E311" s="12" t="s">
        <v>445</v>
      </c>
      <c r="F311" s="12" t="s">
        <v>446</v>
      </c>
      <c r="G311" s="12" t="s">
        <v>447</v>
      </c>
      <c r="H311" s="12" t="s">
        <v>448</v>
      </c>
      <c r="I311" s="12" t="s">
        <v>449</v>
      </c>
      <c r="J311" s="12" t="s">
        <v>450</v>
      </c>
      <c r="K311" s="12" t="s">
        <v>451</v>
      </c>
      <c r="L311" s="12" t="s">
        <v>452</v>
      </c>
      <c r="M311" s="12" t="s">
        <v>453</v>
      </c>
      <c r="N311" s="12" t="s">
        <v>454</v>
      </c>
      <c r="O311" s="12" t="s">
        <v>455</v>
      </c>
      <c r="P311" s="12" t="s">
        <v>456</v>
      </c>
      <c r="Q311" s="12" t="s">
        <v>457</v>
      </c>
      <c r="R311" s="12" t="s">
        <v>458</v>
      </c>
      <c r="S311" s="12"/>
      <c r="T311" s="6" t="s">
        <v>330</v>
      </c>
    </row>
    <row r="312" customFormat="false" ht="17.15" hidden="false" customHeight="false" outlineLevel="0" collapsed="false">
      <c r="A312" s="5" t="s">
        <v>459</v>
      </c>
      <c r="B312" s="0" t="s">
        <v>391</v>
      </c>
      <c r="C312" s="19" t="n">
        <f aca="false">Units!H4*1</f>
        <v>10.72</v>
      </c>
      <c r="D312" s="19" t="n">
        <f aca="false">Units!I4*1</f>
        <v>14.9513168749304</v>
      </c>
      <c r="E312" s="19" t="n">
        <f aca="false">Units!J4*1*1</f>
        <v>16.2035648188888</v>
      </c>
      <c r="F312" s="19" t="n">
        <f aca="false">Units!K4*1*1</f>
        <v>17.8543449815733</v>
      </c>
      <c r="G312" s="19" t="n">
        <f aca="false">Units!L4*1*1</f>
        <v>18.8786713110699</v>
      </c>
      <c r="H312" s="19" t="n">
        <f aca="false">Units!M4*1*1</f>
        <v>18.9636763094518</v>
      </c>
      <c r="I312" s="19" t="n">
        <f aca="false">Units!N4*1*1</f>
        <v>18.6480311322868</v>
      </c>
      <c r="J312" s="19" t="n">
        <f aca="false">Units!O4*1*1</f>
        <v>18.7319976270738</v>
      </c>
      <c r="K312" s="19" t="n">
        <f aca="false">Units!P4*1*1</f>
        <v>18.8163421978194</v>
      </c>
      <c r="L312" s="19" t="n">
        <f aca="false">Units!Q4*1*1</f>
        <v>18.9010665468864</v>
      </c>
      <c r="M312" s="19" t="n">
        <f aca="false">Units!R4*1*1</f>
        <v>18.9861723843027</v>
      </c>
      <c r="N312" s="19" t="n">
        <f aca="false">Units!S4*1*1</f>
        <v>19.1874193215442</v>
      </c>
      <c r="O312" s="19" t="n">
        <f aca="false">Units!T4*1*1</f>
        <v>19.5604237366471</v>
      </c>
      <c r="P312" s="19" t="n">
        <f aca="false">Units!U4*1*1</f>
        <v>19.9406793766988</v>
      </c>
      <c r="Q312" s="19" t="n">
        <f aca="false">Units!V4*1*1</f>
        <v>20.3283272058839</v>
      </c>
      <c r="R312" s="19" t="n">
        <f aca="false">Units!W4*1*1</f>
        <v>20.0593273219312</v>
      </c>
      <c r="T312" s="8" t="s">
        <v>460</v>
      </c>
    </row>
    <row r="313" customFormat="false" ht="15" hidden="false" customHeight="false" outlineLevel="0" collapsed="false">
      <c r="A313" s="5" t="s">
        <v>461</v>
      </c>
      <c r="B313" s="0" t="s">
        <v>398</v>
      </c>
      <c r="C313" s="19" t="n">
        <f aca="false">Units!H7*1</f>
        <v>40.1757580440862</v>
      </c>
      <c r="D313" s="19" t="n">
        <f aca="false">Units!I7*1</f>
        <v>44.8269021796765</v>
      </c>
      <c r="E313" s="19" t="n">
        <f aca="false">Units!J7*1</f>
        <v>44.9411476117569</v>
      </c>
      <c r="F313" s="19" t="n">
        <f aca="false">Units!K7*1</f>
        <v>48.0773237904583</v>
      </c>
      <c r="G313" s="19" t="n">
        <f aca="false">Units!L7*1</f>
        <v>50.835580599158</v>
      </c>
      <c r="H313" s="19" t="n">
        <f aca="false">Units!M7*1</f>
        <v>53.7520820858664</v>
      </c>
      <c r="I313" s="19" t="n">
        <f aca="false">Units!N7*1</f>
        <v>56.8359069476934</v>
      </c>
      <c r="J313" s="19" t="n">
        <f aca="false">Units!O7*1</f>
        <v>60.0966547380729</v>
      </c>
      <c r="K313" s="19" t="n">
        <f aca="false">Units!P7*1</f>
        <v>63.5444757489475</v>
      </c>
      <c r="L313" s="19" t="n">
        <f aca="false">Units!Q7*1</f>
        <v>67.190102607333</v>
      </c>
      <c r="M313" s="19" t="n">
        <f aca="false">Units!R7*1</f>
        <v>71.0448836846168</v>
      </c>
      <c r="N313" s="19" t="n">
        <f aca="false">Units!S7*1</f>
        <v>74.0184898623123</v>
      </c>
      <c r="O313" s="19" t="n">
        <f aca="false">Units!T7*1</f>
        <v>77.7911475249602</v>
      </c>
      <c r="P313" s="19" t="n">
        <f aca="false">Units!U7*1</f>
        <v>81.7560942476254</v>
      </c>
      <c r="Q313" s="19" t="n">
        <f aca="false">Units!V7*1</f>
        <v>85.9231308354458</v>
      </c>
      <c r="R313" s="19" t="n">
        <f aca="false">Units!W7*1</f>
        <v>87.5395173614874</v>
      </c>
    </row>
    <row r="314" customFormat="false" ht="17.15" hidden="false" customHeight="false" outlineLevel="0" collapsed="false">
      <c r="A314" s="5" t="s">
        <v>354</v>
      </c>
      <c r="B314" s="0" t="s">
        <v>27</v>
      </c>
      <c r="C314" s="13" t="n">
        <f aca="false">q1_rev</f>
        <v>1767.1</v>
      </c>
      <c r="D314" s="13" t="n">
        <f aca="false">g2_rev</f>
        <v>2480</v>
      </c>
      <c r="E314" s="13" t="n">
        <f aca="false">E312*kx_k*fx_hi</f>
        <v>2837.95726244632</v>
      </c>
      <c r="F314" s="13" t="n">
        <f aca="false">F312*kx_k*fx_hi</f>
        <v>3127.08151403888</v>
      </c>
      <c r="G314" s="13" t="n">
        <f aca="false">G312*kx_k*fx_hi</f>
        <v>3306.48613138093</v>
      </c>
      <c r="H314" s="13" t="n">
        <f aca="false">H312*kx_k*fx_hi</f>
        <v>3321.3742473726</v>
      </c>
      <c r="I314" s="13" t="n">
        <f aca="false">I312*kx_k*fx_hi</f>
        <v>3266.0908864021</v>
      </c>
      <c r="J314" s="13" t="n">
        <f aca="false">J312*kx_k*fx_hi</f>
        <v>3280.79711471336</v>
      </c>
      <c r="K314" s="13" t="n">
        <f aca="false">K312*kx_k*fx_hi</f>
        <v>3295.56956076279</v>
      </c>
      <c r="L314" s="13" t="n">
        <f aca="false">L312*kx_k*fx_hi</f>
        <v>3310.40852270902</v>
      </c>
      <c r="M314" s="13" t="n">
        <f aca="false">M312*kx_k*fx_hi</f>
        <v>3325.31430005318</v>
      </c>
      <c r="N314" s="13" t="n">
        <f aca="false">N312*kx_k*fx_hi</f>
        <v>3360.56149494352</v>
      </c>
      <c r="O314" s="13" t="n">
        <f aca="false">O312*kx_k*fx_hi</f>
        <v>3425.89098265797</v>
      </c>
      <c r="P314" s="13" t="n">
        <f aca="false">P312*kx_k*fx_hi</f>
        <v>3492.49047896219</v>
      </c>
      <c r="Q314" s="13" t="n">
        <f aca="false">Q312*kx_k*fx_hi</f>
        <v>3560.38467288827</v>
      </c>
      <c r="R314" s="13" t="n">
        <f aca="false">R312*kx_k*fx_hi</f>
        <v>3513.27095545673</v>
      </c>
      <c r="T314" s="5" t="s">
        <v>462</v>
      </c>
    </row>
    <row r="315" customFormat="false" ht="17.15" hidden="false" customHeight="false" outlineLevel="0" collapsed="false">
      <c r="A315" s="0" t="s">
        <v>463</v>
      </c>
      <c r="B315" s="0" t="s">
        <v>27</v>
      </c>
      <c r="C315" s="13" t="n">
        <f aca="false">q1_ss</f>
        <v>1174.7</v>
      </c>
      <c r="D315" s="13" t="n">
        <f aca="false">D314*sssh_26</f>
        <v>1636.8</v>
      </c>
      <c r="E315" s="13" t="n">
        <f aca="false">E314*sssh_26</f>
        <v>1873.05179321457</v>
      </c>
      <c r="F315" s="13" t="n">
        <f aca="false">F314*sssh_26</f>
        <v>2063.87379926566</v>
      </c>
      <c r="G315" s="13" t="n">
        <f aca="false">G314*sssh_27</f>
        <v>2248.41056933903</v>
      </c>
      <c r="H315" s="13" t="n">
        <f aca="false">H314*sssh_27</f>
        <v>2258.53448821337</v>
      </c>
      <c r="I315" s="13" t="n">
        <f aca="false">I314*sssh_27</f>
        <v>2220.94180275343</v>
      </c>
      <c r="J315" s="13" t="n">
        <f aca="false">J314*sssh_27</f>
        <v>2230.94203800509</v>
      </c>
      <c r="K315" s="13" t="n">
        <f aca="false">K314*sssh_28</f>
        <v>2306.89869253395</v>
      </c>
      <c r="L315" s="13" t="n">
        <f aca="false">L314*sssh_28</f>
        <v>2317.28596589631</v>
      </c>
      <c r="M315" s="13" t="n">
        <f aca="false">M314*sssh_28</f>
        <v>2327.72001003723</v>
      </c>
      <c r="N315" s="13" t="n">
        <f aca="false">N314*sssh_28</f>
        <v>2352.39304646046</v>
      </c>
      <c r="O315" s="13" t="n">
        <f aca="false">O314*sssh_29</f>
        <v>2398.12368786058</v>
      </c>
      <c r="P315" s="13" t="n">
        <f aca="false">P314*sssh_29</f>
        <v>2444.74333527354</v>
      </c>
      <c r="Q315" s="13" t="n">
        <f aca="false">Q314*sssh_29</f>
        <v>2492.26927102179</v>
      </c>
      <c r="R315" s="13" t="n">
        <f aca="false">R314*sssh_29</f>
        <v>2459.28966881971</v>
      </c>
      <c r="T315" s="5" t="s">
        <v>464</v>
      </c>
    </row>
    <row r="316" customFormat="false" ht="17.15" hidden="false" customHeight="false" outlineLevel="0" collapsed="false">
      <c r="A316" s="0" t="s">
        <v>465</v>
      </c>
      <c r="B316" s="0" t="s">
        <v>27</v>
      </c>
      <c r="C316" s="13" t="n">
        <f aca="false">C315*(0.75*Units!D16+0.25*Units!E16)</f>
        <v>687.403351447223</v>
      </c>
      <c r="D316" s="13" t="n">
        <f aca="false">D315*(0.75*Units!D16+0.25*Units!E16)</f>
        <v>957.812041924589</v>
      </c>
      <c r="E316" s="13" t="n">
        <f aca="false">E315*(0.75*Units!D16+0.25*Units!E16)</f>
        <v>1096.06033888646</v>
      </c>
      <c r="F316" s="13" t="n">
        <f aca="false">F315*(0.75*Units!D16+0.25*Units!E16)</f>
        <v>1207.72432670412</v>
      </c>
      <c r="G316" s="13" t="n">
        <f aca="false">G315*(0.75*Units!E16+0.25*Units!F16)</f>
        <v>1549.09974216677</v>
      </c>
      <c r="H316" s="13" t="n">
        <f aca="false">H315*(0.75*Units!E16+0.25*Units!F16)</f>
        <v>1556.07487399181</v>
      </c>
      <c r="I316" s="13" t="n">
        <f aca="false">I315*(0.75*Units!E16+0.25*Units!F16)</f>
        <v>1530.17443563438</v>
      </c>
      <c r="J316" s="13" t="n">
        <f aca="false">J315*(0.75*Units!E16+0.25*Units!F16)</f>
        <v>1537.06435247662</v>
      </c>
      <c r="K316" s="13" t="n">
        <f aca="false">K315*(0.75*Units!F16+0.25*Units!G16)</f>
        <v>1683.5776725579</v>
      </c>
      <c r="L316" s="13" t="n">
        <f aca="false">L315*(0.75*Units!F16+0.25*Units!G16)</f>
        <v>1691.15831819623</v>
      </c>
      <c r="M316" s="13" t="n">
        <f aca="false">M315*(0.75*Units!F16+0.25*Units!G16)</f>
        <v>1698.77309720971</v>
      </c>
      <c r="N316" s="13" t="n">
        <f aca="false">N315*(0.75*Units!F16+0.25*Units!G16)</f>
        <v>1716.77951134952</v>
      </c>
      <c r="O316" s="13" t="n">
        <f aca="false">O315*(0.75*Units!G16+0.25*Units!H16)</f>
        <v>1827.74826548168</v>
      </c>
      <c r="P316" s="13" t="n">
        <f aca="false">P315*(0.75*Units!G16+0.25*Units!H16)</f>
        <v>1863.27978544779</v>
      </c>
      <c r="Q316" s="13" t="n">
        <f aca="false">Q315*(0.75*Units!G16+0.25*Units!H16)</f>
        <v>1899.50203998327</v>
      </c>
      <c r="R316" s="13" t="n">
        <f aca="false">R315*(0.75*Units!G16+0.25*Units!H16)</f>
        <v>1874.36638454304</v>
      </c>
      <c r="T316" s="5" t="s">
        <v>466</v>
      </c>
    </row>
    <row r="317" customFormat="false" ht="17.15" hidden="false" customHeight="false" outlineLevel="0" collapsed="false">
      <c r="A317" s="0" t="s">
        <v>467</v>
      </c>
      <c r="B317" s="0" t="s">
        <v>27</v>
      </c>
      <c r="C317" s="13" t="n">
        <f aca="false">C315-C316</f>
        <v>487.296648552777</v>
      </c>
      <c r="D317" s="13" t="n">
        <f aca="false">D315-D316</f>
        <v>678.987958075412</v>
      </c>
      <c r="E317" s="13" t="n">
        <f aca="false">E315-E316</f>
        <v>776.991454328109</v>
      </c>
      <c r="F317" s="13" t="n">
        <f aca="false">F315-F316</f>
        <v>856.149472561543</v>
      </c>
      <c r="G317" s="13" t="n">
        <f aca="false">G315-G316</f>
        <v>699.310827172265</v>
      </c>
      <c r="H317" s="13" t="n">
        <f aca="false">H315-H316</f>
        <v>702.459614221561</v>
      </c>
      <c r="I317" s="13" t="n">
        <f aca="false">I315-I316</f>
        <v>690.767367119046</v>
      </c>
      <c r="J317" s="13" t="n">
        <f aca="false">J315-J316</f>
        <v>693.877685528468</v>
      </c>
      <c r="K317" s="13" t="n">
        <f aca="false">K315-K316</f>
        <v>623.321019976053</v>
      </c>
      <c r="L317" s="13" t="n">
        <f aca="false">L315-L316</f>
        <v>626.127647700084</v>
      </c>
      <c r="M317" s="13" t="n">
        <f aca="false">M315-M316</f>
        <v>628.946912827521</v>
      </c>
      <c r="N317" s="13" t="n">
        <f aca="false">N315-N316</f>
        <v>635.613535110941</v>
      </c>
      <c r="O317" s="13" t="n">
        <f aca="false">O315-O316</f>
        <v>570.375422378893</v>
      </c>
      <c r="P317" s="13" t="n">
        <f aca="false">P315-P316</f>
        <v>581.463549825749</v>
      </c>
      <c r="Q317" s="13" t="n">
        <f aca="false">Q315-Q316</f>
        <v>592.767231038516</v>
      </c>
      <c r="R317" s="13" t="n">
        <f aca="false">R315-R316</f>
        <v>584.923284276671</v>
      </c>
    </row>
    <row r="318" customFormat="false" ht="17.15" hidden="false" customHeight="false" outlineLevel="0" collapsed="false">
      <c r="A318" s="5" t="s">
        <v>468</v>
      </c>
      <c r="B318" s="0" t="s">
        <v>27</v>
      </c>
      <c r="C318" s="13" t="n">
        <f aca="false">q1_rev-q1_ss-q1_sd</f>
        <v>66.6999999999998</v>
      </c>
      <c r="D318" s="13" t="n">
        <f aca="false">D314*otsh_26</f>
        <v>99.2</v>
      </c>
      <c r="E318" s="13" t="n">
        <f aca="false">E314*otsh_26</f>
        <v>113.518290497853</v>
      </c>
      <c r="F318" s="13" t="n">
        <f aca="false">F314*otsh_26</f>
        <v>125.083260561555</v>
      </c>
      <c r="G318" s="13" t="n">
        <f aca="false">G314*otsh_27</f>
        <v>132.259445255237</v>
      </c>
      <c r="H318" s="13" t="n">
        <f aca="false">H314*otsh_27</f>
        <v>132.854969894904</v>
      </c>
      <c r="I318" s="13" t="n">
        <f aca="false">I314*otsh_27</f>
        <v>130.643635456084</v>
      </c>
      <c r="J318" s="13" t="n">
        <f aca="false">J314*otsh_27</f>
        <v>131.231884588534</v>
      </c>
      <c r="K318" s="13" t="n">
        <f aca="false">K314*otsh_28</f>
        <v>131.822782430511</v>
      </c>
      <c r="L318" s="13" t="n">
        <f aca="false">L314*otsh_28</f>
        <v>132.416340908361</v>
      </c>
      <c r="M318" s="13" t="n">
        <f aca="false">M314*otsh_28</f>
        <v>133.012572002127</v>
      </c>
      <c r="N318" s="13" t="n">
        <f aca="false">N314*otsh_28</f>
        <v>134.422459797741</v>
      </c>
      <c r="O318" s="13" t="n">
        <f aca="false">O314*otsh_29</f>
        <v>137.035639306319</v>
      </c>
      <c r="P318" s="13" t="n">
        <f aca="false">P314*otsh_29</f>
        <v>139.699619158488</v>
      </c>
      <c r="Q318" s="13" t="n">
        <f aca="false">Q314*otsh_29</f>
        <v>142.415386915531</v>
      </c>
      <c r="R318" s="13" t="n">
        <f aca="false">R314*otsh_29</f>
        <v>140.530838218269</v>
      </c>
      <c r="T318" s="5" t="s">
        <v>469</v>
      </c>
    </row>
    <row r="319" customFormat="false" ht="17.15" hidden="false" customHeight="false" outlineLevel="0" collapsed="false">
      <c r="A319" s="5" t="s">
        <v>470</v>
      </c>
      <c r="B319" s="0" t="s">
        <v>27</v>
      </c>
      <c r="C319" s="13" t="n">
        <f aca="false">q1_sd</f>
        <v>525.7</v>
      </c>
      <c r="D319" s="13" t="n">
        <f aca="false">D314-D315-D318</f>
        <v>744</v>
      </c>
      <c r="E319" s="13" t="n">
        <f aca="false">E314-E315-E318</f>
        <v>851.387178733896</v>
      </c>
      <c r="F319" s="13" t="n">
        <f aca="false">F314-F315-F318</f>
        <v>938.124454211665</v>
      </c>
      <c r="G319" s="13" t="n">
        <f aca="false">G314-G315-G318</f>
        <v>925.816116786661</v>
      </c>
      <c r="H319" s="13" t="n">
        <f aca="false">H314-H315-H318</f>
        <v>929.984789264328</v>
      </c>
      <c r="I319" s="13" t="n">
        <f aca="false">I314-I315-I318</f>
        <v>914.505448192587</v>
      </c>
      <c r="J319" s="13" t="n">
        <f aca="false">J314-J315-J318</f>
        <v>918.623192119741</v>
      </c>
      <c r="K319" s="13" t="n">
        <f aca="false">K314-K315-K318</f>
        <v>856.848085798324</v>
      </c>
      <c r="L319" s="13" t="n">
        <f aca="false">L314-L315-L318</f>
        <v>860.706215904344</v>
      </c>
      <c r="M319" s="13" t="n">
        <f aca="false">M314-M315-M318</f>
        <v>864.581718013828</v>
      </c>
      <c r="N319" s="13" t="n">
        <f aca="false">N314-N315-N318</f>
        <v>873.745988685316</v>
      </c>
      <c r="O319" s="13" t="n">
        <f aca="false">O314-O315-O318</f>
        <v>890.731655491072</v>
      </c>
      <c r="P319" s="13" t="n">
        <f aca="false">P314-P315-P318</f>
        <v>908.047524530171</v>
      </c>
      <c r="Q319" s="13" t="n">
        <f aca="false">Q314-Q315-Q318</f>
        <v>925.700014950951</v>
      </c>
      <c r="R319" s="13" t="n">
        <f aca="false">R314-R315-R318</f>
        <v>913.45044841875</v>
      </c>
      <c r="T319" s="5" t="s">
        <v>471</v>
      </c>
    </row>
    <row r="320" customFormat="false" ht="15" hidden="false" customHeight="false" outlineLevel="0" collapsed="false">
      <c r="A320" s="5" t="s">
        <v>472</v>
      </c>
      <c r="B320" s="0" t="s">
        <v>27</v>
      </c>
      <c r="C320" s="18" t="n">
        <f aca="false">C315+C319+C318-C314</f>
        <v>0</v>
      </c>
      <c r="D320" s="18" t="n">
        <f aca="false">D315+D319+D318-D314</f>
        <v>0</v>
      </c>
      <c r="E320" s="18" t="n">
        <f aca="false">E315+E319+E318-E314</f>
        <v>0</v>
      </c>
      <c r="F320" s="18" t="n">
        <f aca="false">F315+F319+F318-F314</f>
        <v>0</v>
      </c>
      <c r="G320" s="18" t="n">
        <f aca="false">G315+G319+G318-G314</f>
        <v>0</v>
      </c>
      <c r="H320" s="18" t="n">
        <f aca="false">H315+H319+H318-H314</f>
        <v>0</v>
      </c>
      <c r="I320" s="18" t="n">
        <f aca="false">I315+I319+I318-I314</f>
        <v>0</v>
      </c>
      <c r="J320" s="18" t="n">
        <f aca="false">J315+J319+J318-J314</f>
        <v>0</v>
      </c>
      <c r="K320" s="18" t="n">
        <f aca="false">K315+K319+K318-K314</f>
        <v>0</v>
      </c>
      <c r="L320" s="18" t="n">
        <f aca="false">L315+L319+L318-L314</f>
        <v>0</v>
      </c>
      <c r="M320" s="18" t="n">
        <f aca="false">M315+M319+M318-M314</f>
        <v>0</v>
      </c>
      <c r="N320" s="18" t="n">
        <f aca="false">N315+N319+N318-N314</f>
        <v>0</v>
      </c>
      <c r="O320" s="18" t="n">
        <f aca="false">O315+O319+O318-O314</f>
        <v>0</v>
      </c>
      <c r="P320" s="18" t="n">
        <f aca="false">P315+P319+P318-P314</f>
        <v>0</v>
      </c>
      <c r="Q320" s="18" t="n">
        <f aca="false">Q315+Q319+Q318-Q314</f>
        <v>0</v>
      </c>
      <c r="R320" s="18" t="n">
        <f aca="false">R315+R319+R318-R314</f>
        <v>0</v>
      </c>
    </row>
    <row r="321" customFormat="false" ht="17.15" hidden="false" customHeight="false" outlineLevel="0" collapsed="false">
      <c r="A321" s="5" t="s">
        <v>473</v>
      </c>
      <c r="B321" s="0" t="s">
        <v>474</v>
      </c>
      <c r="C321" s="20" t="n">
        <f aca="false">C322/C313</f>
        <v>9.63267449926724</v>
      </c>
      <c r="D321" s="20" t="n">
        <f aca="false">D322/D313</f>
        <v>9.50991434320605</v>
      </c>
      <c r="E321" s="20" t="n">
        <f aca="false">$D321*(1-cd_A)^(1/4)</f>
        <v>9.15801220601616</v>
      </c>
      <c r="F321" s="20" t="n">
        <f aca="false">$D321*(1-cd_A)^(2/4)</f>
        <v>8.81913175437355</v>
      </c>
      <c r="G321" s="20" t="n">
        <f aca="false">$D321*(1-cd_A)^(3/4)</f>
        <v>8.49279113756868</v>
      </c>
      <c r="H321" s="20" t="n">
        <f aca="false">$D321*(1-cd_A)^(4/4)</f>
        <v>8.1785263351572</v>
      </c>
      <c r="I321" s="20" t="n">
        <f aca="false">$D321*(1-cd_A)^(5/4)</f>
        <v>7.87589049717389</v>
      </c>
      <c r="J321" s="20" t="n">
        <f aca="false">$D321*(1-cd_A)^(6/4)</f>
        <v>7.58445330876125</v>
      </c>
      <c r="K321" s="20" t="n">
        <f aca="false">$D321*(1-cd_A)^(7/4)</f>
        <v>7.30380037830907</v>
      </c>
      <c r="L321" s="20" t="n">
        <f aca="false">$D321*(1-cd_A)^(8/4)</f>
        <v>7.03353264823519</v>
      </c>
      <c r="M321" s="20" t="n">
        <f aca="false">$D321*(1-cd_A)^(9/4)</f>
        <v>6.77326582756955</v>
      </c>
      <c r="N321" s="20" t="n">
        <f aca="false">$D321*(1-cd_A)^(10/4)</f>
        <v>6.52262984553468</v>
      </c>
      <c r="O321" s="20" t="n">
        <f aca="false">$D321*(1-cd_A)^(11/4)</f>
        <v>6.2812683253458</v>
      </c>
      <c r="P321" s="20" t="n">
        <f aca="false">$D321*(1-cd_A)^(12/4)</f>
        <v>6.04883807748227</v>
      </c>
      <c r="Q321" s="20" t="n">
        <f aca="false">$D321*(1-cd_A)^(13/4)</f>
        <v>5.82500861170981</v>
      </c>
      <c r="R321" s="20" t="n">
        <f aca="false">$D321*(1-cd_A)^(14/4)</f>
        <v>5.60946166715982</v>
      </c>
    </row>
    <row r="322" customFormat="false" ht="15" hidden="false" customHeight="false" outlineLevel="0" collapsed="false">
      <c r="A322" s="5" t="s">
        <v>475</v>
      </c>
      <c r="B322" s="0" t="s">
        <v>27</v>
      </c>
      <c r="C322" s="13" t="n">
        <f aca="false">q1_rev-q1_gp</f>
        <v>387</v>
      </c>
      <c r="D322" s="13" t="n">
        <f aca="false">g2_rev-g2_op-g2_ox</f>
        <v>426.3</v>
      </c>
      <c r="E322" s="13" t="n">
        <f aca="false">E313*E321</f>
        <v>411.571578380844</v>
      </c>
      <c r="F322" s="13" t="n">
        <f aca="false">F313*F321</f>
        <v>424.00025290573</v>
      </c>
      <c r="G322" s="13" t="n">
        <f aca="false">G313*G321</f>
        <v>431.735968385688</v>
      </c>
      <c r="H322" s="13" t="n">
        <f aca="false">H313*H321</f>
        <v>439.61281890879</v>
      </c>
      <c r="I322" s="13" t="n">
        <f aca="false">I313*I321</f>
        <v>447.633379427598</v>
      </c>
      <c r="J322" s="13" t="n">
        <f aca="false">J313*J321</f>
        <v>455.80027187366</v>
      </c>
      <c r="K322" s="13" t="n">
        <f aca="false">K313*K321</f>
        <v>464.116166014614</v>
      </c>
      <c r="L322" s="13" t="n">
        <f aca="false">L313*L321</f>
        <v>472.583780326949</v>
      </c>
      <c r="M322" s="13" t="n">
        <f aca="false">M313*M321</f>
        <v>481.205882884668</v>
      </c>
      <c r="N322" s="13" t="n">
        <f aca="false">N313*N321</f>
        <v>482.795211097324</v>
      </c>
      <c r="O322" s="13" t="n">
        <f aca="false">O313*O321</f>
        <v>488.627070940835</v>
      </c>
      <c r="P322" s="13" t="n">
        <f aca="false">P313*P321</f>
        <v>494.529375951265</v>
      </c>
      <c r="Q322" s="13" t="n">
        <f aca="false">Q313*Q321</f>
        <v>500.502977061541</v>
      </c>
      <c r="R322" s="13" t="n">
        <f aca="false">R313*R321</f>
        <v>491.049567000935</v>
      </c>
      <c r="T322" s="5" t="s">
        <v>476</v>
      </c>
    </row>
    <row r="323" customFormat="false" ht="15" hidden="false" customHeight="false" outlineLevel="0" collapsed="false">
      <c r="A323" s="5" t="s">
        <v>360</v>
      </c>
      <c r="B323" s="0" t="s">
        <v>145</v>
      </c>
      <c r="C323" s="14" t="n">
        <f aca="false">1-C322/C314</f>
        <v>0.780997113915455</v>
      </c>
      <c r="D323" s="14" t="n">
        <f aca="false">1-D322/D314</f>
        <v>0.828104838709677</v>
      </c>
      <c r="E323" s="14" t="n">
        <f aca="false">1-E322/E314</f>
        <v>0.854976118271045</v>
      </c>
      <c r="F323" s="14" t="n">
        <f aca="false">1-F322/F314</f>
        <v>0.864410233311092</v>
      </c>
      <c r="G323" s="14" t="n">
        <f aca="false">1-G322/G314</f>
        <v>0.869427558068911</v>
      </c>
      <c r="H323" s="14" t="n">
        <f aca="false">1-H322/H314</f>
        <v>0.867641287561452</v>
      </c>
      <c r="I323" s="14" t="n">
        <f aca="false">1-I322/I314</f>
        <v>0.862945216469249</v>
      </c>
      <c r="J323" s="14" t="n">
        <f aca="false">1-J322/J314</f>
        <v>0.861070265567616</v>
      </c>
      <c r="K323" s="14" t="n">
        <f aca="false">1-K322/K314</f>
        <v>0.859169664770423</v>
      </c>
      <c r="L323" s="14" t="n">
        <f aca="false">1-L322/L314</f>
        <v>0.857243063179339</v>
      </c>
      <c r="M323" s="14" t="n">
        <f aca="false">1-M322/M314</f>
        <v>0.855290105095638</v>
      </c>
      <c r="N323" s="14" t="n">
        <f aca="false">1-N322/N314</f>
        <v>0.85633495717196</v>
      </c>
      <c r="O323" s="14" t="n">
        <f aca="false">1-O322/O314</f>
        <v>0.857372265079569</v>
      </c>
      <c r="P323" s="14" t="n">
        <f aca="false">1-P322/P314</f>
        <v>0.858402083289797</v>
      </c>
      <c r="Q323" s="14" t="n">
        <f aca="false">1-Q322/Q314</f>
        <v>0.859424465880671</v>
      </c>
      <c r="R323" s="14" t="n">
        <f aca="false">1-R322/R314</f>
        <v>0.860230089501566</v>
      </c>
    </row>
    <row r="324" customFormat="false" ht="17.15" hidden="false" customHeight="false" outlineLevel="0" collapsed="false">
      <c r="A324" s="5" t="s">
        <v>477</v>
      </c>
      <c r="B324" s="0" t="s">
        <v>27</v>
      </c>
      <c r="C324" s="13" t="n">
        <f aca="false">q1_gp-q1_op</f>
        <v>110.1</v>
      </c>
      <c r="D324" s="13" t="n">
        <f aca="false">g2_ox</f>
        <v>59</v>
      </c>
      <c r="E324" s="13" t="n">
        <f aca="false">(g2_ox-ox_var*g2_rev)*(1+ox_g)^(1/4)+ox_var*E314</f>
        <v>63.4042607911512</v>
      </c>
      <c r="F324" s="13" t="n">
        <f aca="false">(g2_ox-ox_var*g2_rev)*(1+ox_g)^(2/4)+ox_var*F314</f>
        <v>67.140077747808</v>
      </c>
      <c r="G324" s="13" t="n">
        <f aca="false">(g2_ox-ox_var*g2_rev)*(1+ox_g)^(3/4)+ox_var*G314</f>
        <v>69.7990641674321</v>
      </c>
      <c r="H324" s="13" t="n">
        <f aca="false">(g2_ox-ox_var*g2_rev)*(1+ox_g)^(4/4)+ox_var*H314</f>
        <v>70.833742473726</v>
      </c>
      <c r="I324" s="13" t="n">
        <f aca="false">(g2_ox-ox_var*g2_rev)*(1+ox_g)^(5/4)+ox_var*I314</f>
        <v>71.1880658473778</v>
      </c>
      <c r="J324" s="13" t="n">
        <f aca="false">(g2_ox-ox_var*g2_rev)*(1+ox_g)^(6/4)+ox_var*J314</f>
        <v>72.2641600152947</v>
      </c>
      <c r="K324" s="13" t="n">
        <f aca="false">(g2_ox-ox_var*g2_rev)*(1+ox_g)^(7/4)+ox_var*K314</f>
        <v>73.363318746613</v>
      </c>
      <c r="L324" s="13" t="n">
        <f aca="false">(g2_ox-ox_var*g2_rev)*(1+ox_g)^(8/4)+ox_var*L314</f>
        <v>74.4860852270902</v>
      </c>
      <c r="M324" s="13" t="n">
        <f aca="false">(g2_ox-ox_var*g2_rev)*(1+ox_g)^(9/4)+ox_var*M314</f>
        <v>75.6330156822244</v>
      </c>
      <c r="N324" s="13" t="n">
        <f aca="false">(g2_ox-ox_var*g2_rev)*(1+ox_g)^(10/4)+ox_var*N314</f>
        <v>77.0074227044124</v>
      </c>
      <c r="O324" s="13" t="n">
        <f aca="false">(g2_ox-ox_var*g2_rev)*(1+ox_g)^(11/4)+ox_var*O314</f>
        <v>78.7072952794633</v>
      </c>
      <c r="P324" s="13" t="n">
        <f aca="false">(g2_ox-ox_var*g2_rev)*(1+ox_g)^(12/4)+ox_var*P314</f>
        <v>80.445104789622</v>
      </c>
      <c r="Q324" s="13" t="n">
        <f aca="false">(g2_ox-ox_var*g2_rev)*(1+ox_g)^(13/4)+ox_var*Q314</f>
        <v>82.2217066787445</v>
      </c>
      <c r="R324" s="13" t="n">
        <f aca="false">(g2_ox-ox_var*g2_rev)*(1+ox_g)^(14/4)+ox_var*R314</f>
        <v>82.8746980850423</v>
      </c>
      <c r="T324" s="5" t="s">
        <v>478</v>
      </c>
    </row>
    <row r="325" customFormat="false" ht="15" hidden="false" customHeight="false" outlineLevel="0" collapsed="false">
      <c r="A325" s="5" t="s">
        <v>358</v>
      </c>
      <c r="B325" s="0" t="s">
        <v>27</v>
      </c>
      <c r="C325" s="13" t="n">
        <f aca="false">C314-C322-C324</f>
        <v>1270</v>
      </c>
      <c r="D325" s="13" t="n">
        <f aca="false">D314-D322-D324</f>
        <v>1994.7</v>
      </c>
      <c r="E325" s="13" t="n">
        <f aca="false">E314-E322-E324</f>
        <v>2362.98142327433</v>
      </c>
      <c r="F325" s="13" t="n">
        <f aca="false">F314-F322-F324</f>
        <v>2635.94118338534</v>
      </c>
      <c r="G325" s="13" t="n">
        <f aca="false">G314-G322-G324</f>
        <v>2804.95109882781</v>
      </c>
      <c r="H325" s="13" t="n">
        <f aca="false">H314-H322-H324</f>
        <v>2810.92768599009</v>
      </c>
      <c r="I325" s="13" t="n">
        <f aca="false">I314-I322-I324</f>
        <v>2747.26944112712</v>
      </c>
      <c r="J325" s="13" t="n">
        <f aca="false">J314-J322-J324</f>
        <v>2752.73268282441</v>
      </c>
      <c r="K325" s="13" t="n">
        <f aca="false">K314-K322-K324</f>
        <v>2758.09007600156</v>
      </c>
      <c r="L325" s="13" t="n">
        <f aca="false">L314-L322-L324</f>
        <v>2763.33865715498</v>
      </c>
      <c r="M325" s="13" t="n">
        <f aca="false">M314-M322-M324</f>
        <v>2768.47540148629</v>
      </c>
      <c r="N325" s="13" t="n">
        <f aca="false">N314-N322-N324</f>
        <v>2800.75886114179</v>
      </c>
      <c r="O325" s="13" t="n">
        <f aca="false">O314-O322-O324</f>
        <v>2858.55661643767</v>
      </c>
      <c r="P325" s="13" t="n">
        <f aca="false">P314-P322-P324</f>
        <v>2917.51599822131</v>
      </c>
      <c r="Q325" s="13" t="n">
        <f aca="false">Q314-Q322-Q324</f>
        <v>2977.65998914799</v>
      </c>
      <c r="R325" s="13" t="n">
        <f aca="false">R314-R322-R324</f>
        <v>2939.34669037075</v>
      </c>
    </row>
    <row r="327" customFormat="false" ht="17.15" hidden="false" customHeight="false" outlineLevel="0" collapsed="false">
      <c r="A327" s="5" t="s">
        <v>359</v>
      </c>
      <c r="B327" s="0" t="s">
        <v>27</v>
      </c>
      <c r="C327" s="13" t="n">
        <f aca="false">q1_ni</f>
        <v>842.2</v>
      </c>
      <c r="D327" s="13" t="n">
        <f aca="false">g2_ni</f>
        <v>1360</v>
      </c>
      <c r="E327" s="13" t="n">
        <f aca="false">(E325+nonop_q+rf*nc_j/4)*(1-tax)</f>
        <v>1596.89324782654</v>
      </c>
      <c r="F327" s="13" t="n">
        <f aca="false">(F325+nonop_q+rf*nc_j/4)*(1-tax)</f>
        <v>1782.50588470203</v>
      </c>
      <c r="G327" s="13" t="n">
        <f aca="false">(G325+nonop_q+rf*$D348/4)*(1-tax)</f>
        <v>1903.74561002315</v>
      </c>
      <c r="H327" s="13" t="n">
        <f aca="false">(H325+nonop_q+rf*$D348/4)*(1-tax)</f>
        <v>1907.8096892935</v>
      </c>
      <c r="I327" s="13" t="n">
        <f aca="false">(I325+nonop_q+rf*$D348/4)*(1-tax)</f>
        <v>1864.52208278668</v>
      </c>
      <c r="J327" s="13" t="n">
        <f aca="false">(J325+nonop_q+rf*$D348/4)*(1-tax)</f>
        <v>1868.23708714084</v>
      </c>
      <c r="K327" s="13" t="n">
        <f aca="false">(K325+nonop_q+rf*$E348/4)*(1-tax)</f>
        <v>1881.93638217947</v>
      </c>
      <c r="L327" s="13" t="n">
        <f aca="false">(L325+nonop_q+rf*$E348/4)*(1-tax)</f>
        <v>1885.50541736379</v>
      </c>
      <c r="M327" s="13" t="n">
        <f aca="false">(M325+nonop_q+rf*$E348/4)*(1-tax)</f>
        <v>1888.99840350909</v>
      </c>
      <c r="N327" s="13" t="n">
        <f aca="false">(N325+nonop_q+rf*$E348/4)*(1-tax)</f>
        <v>1910.95115607482</v>
      </c>
      <c r="O327" s="13" t="n">
        <f aca="false">(O325+nonop_q+rf*$F348/4)*(1-tax)</f>
        <v>1960.34128192444</v>
      </c>
      <c r="P327" s="13" t="n">
        <f aca="false">(P325+nonop_q+rf*$F348/4)*(1-tax)</f>
        <v>2000.43366153731</v>
      </c>
      <c r="Q327" s="13" t="n">
        <f aca="false">(Q325+nonop_q+rf*$F348/4)*(1-tax)</f>
        <v>2041.33157536746</v>
      </c>
      <c r="R327" s="13" t="n">
        <f aca="false">(R325+nonop_q+rf*$F348/4)*(1-tax)</f>
        <v>2015.27853219894</v>
      </c>
      <c r="T327" s="5" t="s">
        <v>479</v>
      </c>
    </row>
    <row r="328" customFormat="false" ht="17.15" hidden="false" customHeight="false" outlineLevel="0" collapsed="false">
      <c r="A328" s="5" t="s">
        <v>480</v>
      </c>
      <c r="B328" s="0" t="s">
        <v>108</v>
      </c>
      <c r="C328" s="17" t="n">
        <f aca="false">C327/(sh0+dil)*1000</f>
        <v>507.343332753891</v>
      </c>
      <c r="D328" s="17" t="n">
        <f aca="false">D327/(sh0+dil)*1000</f>
        <v>819.267314824616</v>
      </c>
      <c r="E328" s="17" t="n">
        <f aca="false">E327/(sh0+dil)*1000</f>
        <v>961.972384712066</v>
      </c>
      <c r="F328" s="17" t="n">
        <f aca="false">F327/(sh0+dil)*1000</f>
        <v>1073.78588957273</v>
      </c>
      <c r="G328" s="17" t="n">
        <f aca="false">G327/(sh0+dil)*1000</f>
        <v>1146.82099561237</v>
      </c>
      <c r="H328" s="17" t="n">
        <f aca="false">H327/(sh0+dil)*1000</f>
        <v>1149.26920687049</v>
      </c>
      <c r="I328" s="17" t="n">
        <f aca="false">I327/(sh0+dil)*1000</f>
        <v>1123.19264720283</v>
      </c>
      <c r="J328" s="17" t="n">
        <f aca="false">J327/(sh0+dil)*1000</f>
        <v>1125.43057488061</v>
      </c>
      <c r="K328" s="17" t="n">
        <f aca="false">K327/(sh0+dil)*1000</f>
        <v>1133.68306360215</v>
      </c>
      <c r="L328" s="17" t="n">
        <f aca="false">L327/(sh0+dil)*1000</f>
        <v>1135.83305909625</v>
      </c>
      <c r="M328" s="17" t="n">
        <f aca="false">M327/(sh0+dil)*1000</f>
        <v>1137.93724246388</v>
      </c>
      <c r="N328" s="17" t="n">
        <f aca="false">N327/(sh0+dil)*1000</f>
        <v>1151.16163411648</v>
      </c>
      <c r="O328" s="17" t="n">
        <f aca="false">O327/(sh0+dil)*1000</f>
        <v>1180.91436631035</v>
      </c>
      <c r="P328" s="17" t="n">
        <f aca="false">P327/(sh0+dil)*1000</f>
        <v>1205.06611350915</v>
      </c>
      <c r="Q328" s="17" t="n">
        <f aca="false">Q327/(sh0+dil)*1000</f>
        <v>1229.70311648382</v>
      </c>
      <c r="R328" s="17" t="n">
        <f aca="false">R327/(sh0+dil)*1000</f>
        <v>1214.00869977817</v>
      </c>
    </row>
    <row r="330" customFormat="false" ht="17.15" hidden="false" customHeight="false" outlineLevel="0" collapsed="false">
      <c r="A330" s="12" t="s">
        <v>481</v>
      </c>
      <c r="B330" s="6" t="s">
        <v>17</v>
      </c>
      <c r="C330" s="12" t="s">
        <v>425</v>
      </c>
      <c r="D330" s="12" t="s">
        <v>426</v>
      </c>
      <c r="E330" s="12" t="s">
        <v>427</v>
      </c>
      <c r="F330" s="12" t="s">
        <v>428</v>
      </c>
      <c r="G330" s="12" t="s">
        <v>429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6" t="s">
        <v>330</v>
      </c>
    </row>
    <row r="331" customFormat="false" ht="17.15" hidden="false" customHeight="false" outlineLevel="0" collapsed="false">
      <c r="A331" s="5" t="s">
        <v>354</v>
      </c>
      <c r="B331" s="0" t="s">
        <v>27</v>
      </c>
      <c r="C331" s="13" t="n">
        <f aca="false">a25_rev</f>
        <v>2337.6</v>
      </c>
      <c r="D331" s="13" t="n">
        <f aca="false">SUM(C314:F314)</f>
        <v>10212.1387764852</v>
      </c>
      <c r="E331" s="13" t="n">
        <f aca="false">SUM(G314:J314)</f>
        <v>13174.748379869</v>
      </c>
      <c r="F331" s="13" t="n">
        <f aca="false">SUM(K314:N314)</f>
        <v>13291.8538784685</v>
      </c>
      <c r="G331" s="13" t="n">
        <f aca="false">SUM(O314:R314)</f>
        <v>13992.0370899652</v>
      </c>
      <c r="T331" s="8" t="s">
        <v>482</v>
      </c>
    </row>
    <row r="332" customFormat="false" ht="17.15" hidden="false" customHeight="false" outlineLevel="0" collapsed="false">
      <c r="A332" s="5" t="s">
        <v>483</v>
      </c>
      <c r="B332" s="0" t="s">
        <v>27</v>
      </c>
      <c r="C332" s="13" t="n">
        <f aca="false">p1_ss+p2_ss+p3_ss+p4_ss</f>
        <v>1364.7</v>
      </c>
      <c r="D332" s="13" t="n">
        <f aca="false">SUM(C315:F315)</f>
        <v>6748.42559248023</v>
      </c>
      <c r="E332" s="13" t="n">
        <f aca="false">SUM(G315:J315)</f>
        <v>8958.82889831092</v>
      </c>
      <c r="F332" s="13" t="n">
        <f aca="false">SUM(K315:N315)</f>
        <v>9304.29771492795</v>
      </c>
      <c r="G332" s="13" t="n">
        <f aca="false">SUM(O315:R315)</f>
        <v>9794.42596297561</v>
      </c>
    </row>
    <row r="333" customFormat="false" ht="17.15" hidden="false" customHeight="false" outlineLevel="0" collapsed="false">
      <c r="A333" s="0" t="s">
        <v>484</v>
      </c>
      <c r="B333" s="0" t="s">
        <v>27</v>
      </c>
      <c r="C333" s="13" t="n">
        <f aca="false">C332*(0.75*Units!C16+0.25*Units!D16)</f>
        <v>507.679569396364</v>
      </c>
      <c r="D333" s="13" t="n">
        <f aca="false">SUM(C316:F316)</f>
        <v>3949.00005896239</v>
      </c>
      <c r="E333" s="13" t="n">
        <f aca="false">SUM(G316:J316)</f>
        <v>6172.41340426958</v>
      </c>
      <c r="F333" s="13" t="n">
        <f aca="false">SUM(K316:N316)</f>
        <v>6790.28859931336</v>
      </c>
      <c r="G333" s="13" t="n">
        <f aca="false">SUM(O316:R316)</f>
        <v>7464.89647545579</v>
      </c>
    </row>
    <row r="334" customFormat="false" ht="15" hidden="false" customHeight="false" outlineLevel="0" collapsed="false">
      <c r="A334" s="5" t="s">
        <v>485</v>
      </c>
      <c r="B334" s="0" t="s">
        <v>27</v>
      </c>
      <c r="C334" s="13" t="n">
        <f aca="false">p1_sd+p2_sd+p3_sd+p4_sd</f>
        <v>759.5</v>
      </c>
      <c r="D334" s="13" t="n">
        <f aca="false">SUM(C319:F319)</f>
        <v>3059.21163294556</v>
      </c>
      <c r="E334" s="13" t="n">
        <f aca="false">SUM(G319:J319)</f>
        <v>3688.92954636332</v>
      </c>
      <c r="F334" s="13" t="n">
        <f aca="false">SUM(K319:N319)</f>
        <v>3455.88200840181</v>
      </c>
      <c r="G334" s="13" t="n">
        <f aca="false">SUM(O319:R319)</f>
        <v>3637.92964339094</v>
      </c>
    </row>
    <row r="335" customFormat="false" ht="17.15" hidden="false" customHeight="false" outlineLevel="0" collapsed="false">
      <c r="A335" s="5" t="s">
        <v>486</v>
      </c>
      <c r="B335" s="0" t="s">
        <v>27</v>
      </c>
      <c r="C335" s="13" t="n">
        <f aca="false">a25_rev-C332-C334</f>
        <v>213.4</v>
      </c>
      <c r="D335" s="13" t="n">
        <f aca="false">SUM(C318:F318)</f>
        <v>404.501551059408</v>
      </c>
      <c r="E335" s="13" t="n">
        <f aca="false">SUM(G318:J318)</f>
        <v>526.98993519476</v>
      </c>
      <c r="F335" s="13" t="n">
        <f aca="false">SUM(K318:N318)</f>
        <v>531.67415513874</v>
      </c>
      <c r="G335" s="13" t="n">
        <f aca="false">SUM(O318:R318)</f>
        <v>559.681483598607</v>
      </c>
      <c r="T335" s="8" t="s">
        <v>487</v>
      </c>
    </row>
    <row r="336" customFormat="false" ht="15" hidden="false" customHeight="false" outlineLevel="0" collapsed="false">
      <c r="A336" s="5" t="s">
        <v>488</v>
      </c>
      <c r="B336" s="0" t="s">
        <v>27</v>
      </c>
      <c r="C336" s="18" t="n">
        <f aca="false">C332+C334+C335-C331</f>
        <v>0</v>
      </c>
      <c r="D336" s="18" t="n">
        <f aca="false">D332+D334+D335-D331</f>
        <v>0</v>
      </c>
      <c r="E336" s="18" t="n">
        <f aca="false">E332+E334+E335-E331</f>
        <v>0</v>
      </c>
      <c r="F336" s="18" t="n">
        <f aca="false">F332+F334+F335-F331</f>
        <v>0</v>
      </c>
      <c r="G336" s="18" t="n">
        <f aca="false">G332+G334+G335-G331</f>
        <v>0</v>
      </c>
    </row>
    <row r="337" customFormat="false" ht="15" hidden="false" customHeight="false" outlineLevel="0" collapsed="false">
      <c r="A337" s="5" t="s">
        <v>475</v>
      </c>
      <c r="B337" s="0" t="s">
        <v>27</v>
      </c>
      <c r="C337" s="13" t="n">
        <f aca="false">a25_rev-(p1_gp+p2_gp+p3_gp+p4_gp)</f>
        <v>1324.8</v>
      </c>
      <c r="D337" s="13" t="n">
        <f aca="false">SUM(C322:F322)</f>
        <v>1648.87183128657</v>
      </c>
      <c r="E337" s="13" t="n">
        <f aca="false">SUM(G322:J322)</f>
        <v>1774.78243859574</v>
      </c>
      <c r="F337" s="13" t="n">
        <f aca="false">SUM(K322:N322)</f>
        <v>1900.70104032356</v>
      </c>
      <c r="G337" s="13" t="n">
        <f aca="false">SUM(O322:R322)</f>
        <v>1974.70899095458</v>
      </c>
    </row>
    <row r="338" customFormat="false" ht="15" hidden="false" customHeight="false" outlineLevel="0" collapsed="false">
      <c r="A338" s="5" t="s">
        <v>360</v>
      </c>
      <c r="B338" s="0" t="s">
        <v>145</v>
      </c>
      <c r="C338" s="14" t="n">
        <f aca="false">1-C337/C331</f>
        <v>0.433264887063655</v>
      </c>
      <c r="D338" s="14" t="n">
        <f aca="false">1-D337/D331</f>
        <v>0.838538050904349</v>
      </c>
      <c r="E338" s="14" t="n">
        <f aca="false">1-E337/E331</f>
        <v>0.865289082764753</v>
      </c>
      <c r="F338" s="14" t="n">
        <f aca="false">1-F337/F331</f>
        <v>0.857002562795059</v>
      </c>
      <c r="G338" s="14" t="n">
        <f aca="false">1-G337/G331</f>
        <v>0.858869085447837</v>
      </c>
    </row>
    <row r="339" customFormat="false" ht="15" hidden="false" customHeight="false" outlineLevel="0" collapsed="false">
      <c r="A339" s="5" t="s">
        <v>477</v>
      </c>
      <c r="B339" s="0" t="s">
        <v>27</v>
      </c>
      <c r="D339" s="13" t="n">
        <f aca="false">SUM(C324:F324)</f>
        <v>299.644338538959</v>
      </c>
      <c r="E339" s="13" t="n">
        <f aca="false">SUM(G324:J324)</f>
        <v>284.085032503831</v>
      </c>
      <c r="F339" s="13" t="n">
        <f aca="false">SUM(K324:N324)</f>
        <v>300.48984236034</v>
      </c>
      <c r="G339" s="13" t="n">
        <f aca="false">SUM(O324:R324)</f>
        <v>324.248804832872</v>
      </c>
    </row>
    <row r="340" customFormat="false" ht="15" hidden="false" customHeight="false" outlineLevel="0" collapsed="false">
      <c r="A340" s="5" t="s">
        <v>358</v>
      </c>
      <c r="B340" s="0" t="s">
        <v>27</v>
      </c>
      <c r="C340" s="13" t="n">
        <f aca="false">p1_op+p2_op+p3_op+p4_op</f>
        <v>869</v>
      </c>
      <c r="D340" s="13" t="n">
        <f aca="false">SUM(C325:F325)</f>
        <v>8263.62260665967</v>
      </c>
      <c r="E340" s="13" t="n">
        <f aca="false">SUM(G325:J325)</f>
        <v>11115.8809087694</v>
      </c>
      <c r="F340" s="13" t="n">
        <f aca="false">SUM(K325:N325)</f>
        <v>11090.6629957846</v>
      </c>
      <c r="G340" s="13" t="n">
        <f aca="false">SUM(O325:R325)</f>
        <v>11693.0792941777</v>
      </c>
    </row>
    <row r="341" customFormat="false" ht="15" hidden="false" customHeight="false" outlineLevel="0" collapsed="false">
      <c r="A341" s="5" t="s">
        <v>361</v>
      </c>
      <c r="B341" s="0" t="s">
        <v>145</v>
      </c>
      <c r="C341" s="14" t="n">
        <f aca="false">C340/C331</f>
        <v>0.371748802190281</v>
      </c>
      <c r="D341" s="14" t="n">
        <f aca="false">D340/D331</f>
        <v>0.809196074155176</v>
      </c>
      <c r="E341" s="14" t="n">
        <f aca="false">E340/E331</f>
        <v>0.843726239641471</v>
      </c>
      <c r="F341" s="14" t="n">
        <f aca="false">F340/F331</f>
        <v>0.834395494954274</v>
      </c>
      <c r="G341" s="14" t="n">
        <f aca="false">G340/G331</f>
        <v>0.835695275748217</v>
      </c>
    </row>
    <row r="342" customFormat="false" ht="15" hidden="false" customHeight="false" outlineLevel="0" collapsed="false">
      <c r="A342" s="5" t="s">
        <v>359</v>
      </c>
      <c r="B342" s="0" t="s">
        <v>27</v>
      </c>
      <c r="C342" s="13" t="n">
        <f aca="false">a25_ni</f>
        <v>554.5</v>
      </c>
      <c r="D342" s="13" t="n">
        <f aca="false">SUM(C327:F327)</f>
        <v>5581.59913252858</v>
      </c>
      <c r="E342" s="13" t="n">
        <f aca="false">SUM(G327:J327)</f>
        <v>7544.31446924417</v>
      </c>
      <c r="F342" s="13" t="n">
        <f aca="false">SUM(K327:N327)</f>
        <v>7567.39135912718</v>
      </c>
      <c r="G342" s="13" t="n">
        <f aca="false">SUM(O327:R327)</f>
        <v>8017.38505102814</v>
      </c>
    </row>
    <row r="343" customFormat="false" ht="15" hidden="false" customHeight="false" outlineLevel="0" collapsed="false">
      <c r="A343" s="5" t="s">
        <v>489</v>
      </c>
      <c r="B343" s="0" t="s">
        <v>27</v>
      </c>
      <c r="D343" s="13" t="n">
        <f aca="false">da_y</f>
        <v>320</v>
      </c>
      <c r="E343" s="13" t="n">
        <f aca="false">da_y</f>
        <v>320</v>
      </c>
      <c r="F343" s="13" t="n">
        <f aca="false">da_y</f>
        <v>320</v>
      </c>
      <c r="G343" s="13" t="n">
        <f aca="false">da_y</f>
        <v>320</v>
      </c>
    </row>
    <row r="344" customFormat="false" ht="15" hidden="false" customHeight="false" outlineLevel="0" collapsed="false">
      <c r="A344" s="5" t="s">
        <v>490</v>
      </c>
      <c r="B344" s="0" t="s">
        <v>27</v>
      </c>
      <c r="D344" s="13" t="n">
        <f aca="false">cap_2026</f>
        <v>450</v>
      </c>
      <c r="E344" s="13" t="n">
        <f aca="false">cap_2027</f>
        <v>470</v>
      </c>
      <c r="F344" s="13" t="n">
        <f aca="false">cap_2028</f>
        <v>470</v>
      </c>
      <c r="G344" s="13" t="n">
        <f aca="false">cap_2029</f>
        <v>470</v>
      </c>
    </row>
    <row r="345" customFormat="false" ht="15" hidden="false" customHeight="false" outlineLevel="0" collapsed="false">
      <c r="A345" s="5" t="s">
        <v>491</v>
      </c>
      <c r="B345" s="0" t="s">
        <v>27</v>
      </c>
      <c r="D345" s="13" t="n">
        <f aca="false">D342+D343-D344</f>
        <v>5451.59913252858</v>
      </c>
      <c r="E345" s="13" t="n">
        <f aca="false">E342+E343-E344</f>
        <v>7394.31446924417</v>
      </c>
      <c r="F345" s="13" t="n">
        <f aca="false">F342+F343-F344</f>
        <v>7417.39135912718</v>
      </c>
      <c r="G345" s="13" t="n">
        <f aca="false">G342+G343-G344</f>
        <v>7867.38505102814</v>
      </c>
    </row>
    <row r="346" customFormat="false" ht="17.15" hidden="false" customHeight="false" outlineLevel="0" collapsed="false">
      <c r="A346" s="5" t="s">
        <v>492</v>
      </c>
      <c r="B346" s="0" t="s">
        <v>27</v>
      </c>
      <c r="D346" s="13" t="n">
        <f aca="false">MAX(0,payout*(SUM(D327:F327)+0.75*(D343-D344)))</f>
        <v>928.379826505715</v>
      </c>
      <c r="E346" s="13" t="n">
        <f aca="false">MAX(0,payout*E345)</f>
        <v>1478.86289384883</v>
      </c>
      <c r="F346" s="13" t="n">
        <f aca="false">MAX(0,payout*F345)</f>
        <v>1483.47827182544</v>
      </c>
      <c r="G346" s="13" t="n">
        <f aca="false">MAX(0,payout*G345)</f>
        <v>1573.47701020563</v>
      </c>
      <c r="T346" s="8" t="s">
        <v>493</v>
      </c>
    </row>
    <row r="347" customFormat="false" ht="17.15" hidden="false" customHeight="false" outlineLevel="0" collapsed="false">
      <c r="A347" s="5" t="s">
        <v>494</v>
      </c>
      <c r="B347" s="0" t="s">
        <v>27</v>
      </c>
      <c r="C347" s="13" t="n">
        <f aca="false">eq25</f>
        <v>1399.1</v>
      </c>
      <c r="D347" s="13" t="n">
        <f aca="false">eq_j+SUM(D327:F327)-D346</f>
        <v>6215.31930602286</v>
      </c>
      <c r="E347" s="13" t="n">
        <f aca="false">D347+E342-E346</f>
        <v>12280.7708814182</v>
      </c>
      <c r="F347" s="13" t="n">
        <f aca="false">E347+F342-F346</f>
        <v>18364.6839687199</v>
      </c>
      <c r="G347" s="13" t="n">
        <f aca="false">F347+G342-G346</f>
        <v>24808.5920095425</v>
      </c>
      <c r="T347" s="8" t="s">
        <v>495</v>
      </c>
    </row>
    <row r="348" customFormat="false" ht="15" hidden="false" customHeight="false" outlineLevel="0" collapsed="false">
      <c r="A348" s="5" t="s">
        <v>496</v>
      </c>
      <c r="B348" s="0" t="s">
        <v>27</v>
      </c>
      <c r="D348" s="13" t="n">
        <f aca="false">nc_j+(SUM(D327:F327)+0.75*(D343-D344))-D346</f>
        <v>3869.91930602286</v>
      </c>
      <c r="E348" s="13" t="n">
        <f aca="false">D348+E345-E346</f>
        <v>9785.37088141819</v>
      </c>
      <c r="F348" s="13" t="n">
        <f aca="false">E348+F345-F346</f>
        <v>15719.2839687199</v>
      </c>
      <c r="G348" s="13" t="n">
        <f aca="false">F348+G345-G346</f>
        <v>22013.1920095425</v>
      </c>
    </row>
    <row r="349" customFormat="false" ht="15" hidden="false" customHeight="false" outlineLevel="0" collapsed="false">
      <c r="A349" s="5" t="s">
        <v>497</v>
      </c>
      <c r="B349" s="5" t="s">
        <v>209</v>
      </c>
      <c r="D349" s="13" t="n">
        <f aca="false">sh0-D346/bb_px*1000</f>
        <v>1571.25835331747</v>
      </c>
      <c r="E349" s="13" t="n">
        <f aca="false">D349-E346/bb_px*1000</f>
        <v>1455.31457488949</v>
      </c>
      <c r="F349" s="13" t="n">
        <f aca="false">E349-F346/bb_px*1000</f>
        <v>1339.00894793336</v>
      </c>
      <c r="G349" s="13" t="n">
        <f aca="false">F349-G346/bb_px*1000</f>
        <v>1215.64736344056</v>
      </c>
    </row>
    <row r="350" customFormat="false" ht="17.15" hidden="false" customHeight="false" outlineLevel="0" collapsed="false">
      <c r="A350" s="0" t="s">
        <v>498</v>
      </c>
      <c r="B350" s="0" t="s">
        <v>108</v>
      </c>
      <c r="C350" s="17" t="n">
        <f aca="false">a25_eps</f>
        <v>341.4</v>
      </c>
      <c r="D350" s="17" t="n">
        <f aca="false">D342/(D349+dil)*1000</f>
        <v>3516.55656120534</v>
      </c>
      <c r="E350" s="17" t="n">
        <f aca="false">E342/(E349+dil)*1000</f>
        <v>5127.68514790779</v>
      </c>
      <c r="F350" s="17" t="n">
        <f aca="false">F342/(F349+dil)*1000</f>
        <v>5584.85299975295</v>
      </c>
      <c r="G350" s="17" t="n">
        <f aca="false">G342/(G349+dil)*1000</f>
        <v>6509.60816908469</v>
      </c>
    </row>
    <row r="351" customFormat="false" ht="17.15" hidden="false" customHeight="false" outlineLevel="0" collapsed="false">
      <c r="A351" s="5" t="s">
        <v>499</v>
      </c>
      <c r="B351" s="0" t="s">
        <v>108</v>
      </c>
      <c r="D351" s="17" t="n">
        <f aca="false">D347/D349*1000</f>
        <v>3955.63167120174</v>
      </c>
      <c r="E351" s="17" t="n">
        <f aca="false">E347/E349*1000</f>
        <v>8438.56791742138</v>
      </c>
      <c r="F351" s="17" t="n">
        <f aca="false">F347/F349*1000</f>
        <v>13715.1316255684</v>
      </c>
      <c r="G351" s="17" t="n">
        <f aca="false">G347/G349*1000</f>
        <v>20407.7208207225</v>
      </c>
    </row>
    <row r="352" customFormat="false" ht="17.15" hidden="false" customHeight="false" outlineLevel="0" collapsed="false">
      <c r="A352" s="0" t="s">
        <v>500</v>
      </c>
      <c r="B352" s="0" t="s">
        <v>145</v>
      </c>
      <c r="D352" s="21" t="n">
        <f aca="false">D342/D347</f>
        <v>0.898038999721191</v>
      </c>
      <c r="E352" s="21" t="n">
        <f aca="false">E342/E347</f>
        <v>0.614319291687082</v>
      </c>
      <c r="F352" s="21" t="n">
        <f aca="false">F342/F347</f>
        <v>0.412062160830892</v>
      </c>
      <c r="G352" s="21" t="n">
        <f aca="false">G342/G347</f>
        <v>0.323169692497837</v>
      </c>
    </row>
    <row r="353" customFormat="false" ht="15" hidden="false" customHeight="false" outlineLevel="0" collapsed="false">
      <c r="A353" s="5" t="s">
        <v>501</v>
      </c>
      <c r="B353" s="0" t="s">
        <v>108</v>
      </c>
      <c r="E353" s="17" t="n">
        <f aca="false">E345/(E349+dil)*1000</f>
        <v>5025.73383406453</v>
      </c>
      <c r="F353" s="17" t="n">
        <f aca="false">F345/(F349+dil)*1000</f>
        <v>5474.15065726705</v>
      </c>
      <c r="G353" s="17" t="n">
        <f aca="false">G345/(G349+dil)*1000</f>
        <v>6387.81768264204</v>
      </c>
    </row>
    <row r="354" customFormat="false" ht="17.15" hidden="false" customHeight="false" outlineLevel="0" collapsed="false">
      <c r="A354" s="5" t="s">
        <v>502</v>
      </c>
      <c r="B354" s="0" t="s">
        <v>27</v>
      </c>
      <c r="D354" s="18" t="n">
        <f aca="false">ABS(C314-q1_rev)+ABS(D325-g2_op)+ABS(C331-2337.6)</f>
        <v>0</v>
      </c>
    </row>
    <row r="360" customFormat="false" ht="17.15" hidden="false" customHeight="false" outlineLevel="0" collapsed="false">
      <c r="A360" s="3" t="s">
        <v>823</v>
      </c>
    </row>
    <row r="361" customFormat="false" ht="17.15" hidden="false" customHeight="false" outlineLevel="0" collapsed="false">
      <c r="A361" s="12" t="s">
        <v>442</v>
      </c>
      <c r="B361" s="6" t="s">
        <v>17</v>
      </c>
      <c r="C361" s="12" t="s">
        <v>443</v>
      </c>
      <c r="D361" s="12" t="s">
        <v>444</v>
      </c>
      <c r="E361" s="12" t="s">
        <v>445</v>
      </c>
      <c r="F361" s="12" t="s">
        <v>446</v>
      </c>
      <c r="G361" s="12" t="s">
        <v>447</v>
      </c>
      <c r="H361" s="12" t="s">
        <v>448</v>
      </c>
      <c r="I361" s="12" t="s">
        <v>449</v>
      </c>
      <c r="J361" s="12" t="s">
        <v>450</v>
      </c>
      <c r="K361" s="12" t="s">
        <v>451</v>
      </c>
      <c r="L361" s="12" t="s">
        <v>452</v>
      </c>
      <c r="M361" s="12" t="s">
        <v>453</v>
      </c>
      <c r="N361" s="12" t="s">
        <v>454</v>
      </c>
      <c r="O361" s="12" t="s">
        <v>455</v>
      </c>
      <c r="P361" s="12" t="s">
        <v>456</v>
      </c>
      <c r="Q361" s="12" t="s">
        <v>457</v>
      </c>
      <c r="R361" s="12" t="s">
        <v>458</v>
      </c>
      <c r="S361" s="12"/>
      <c r="T361" s="6" t="s">
        <v>330</v>
      </c>
    </row>
    <row r="362" customFormat="false" ht="17.15" hidden="false" customHeight="false" outlineLevel="0" collapsed="false">
      <c r="A362" s="5" t="s">
        <v>459</v>
      </c>
      <c r="B362" s="0" t="s">
        <v>391</v>
      </c>
      <c r="C362" s="19" t="n">
        <f aca="false">Units!H4*1</f>
        <v>10.72</v>
      </c>
      <c r="D362" s="19" t="n">
        <f aca="false">Units!I4*1</f>
        <v>14.9513168749304</v>
      </c>
      <c r="E362" s="19" t="n">
        <f aca="false">Units!J4*1*1</f>
        <v>16.2035648188888</v>
      </c>
      <c r="F362" s="19" t="n">
        <f aca="false">Units!K4*1*1</f>
        <v>17.8543449815733</v>
      </c>
      <c r="G362" s="19" t="n">
        <f aca="false">Units!L4*1*1</f>
        <v>18.8786713110699</v>
      </c>
      <c r="H362" s="19" t="n">
        <f aca="false">Units!M4*1*1</f>
        <v>18.9636763094518</v>
      </c>
      <c r="I362" s="19" t="n">
        <f aca="false">Units!N4*1*1</f>
        <v>18.6480311322868</v>
      </c>
      <c r="J362" s="19" t="n">
        <f aca="false">Units!O4*1*1</f>
        <v>18.7319976270738</v>
      </c>
      <c r="K362" s="19" t="n">
        <f aca="false">Units!P4*1*1</f>
        <v>18.8163421978194</v>
      </c>
      <c r="L362" s="19" t="n">
        <f aca="false">Units!Q4*1*1</f>
        <v>18.9010665468864</v>
      </c>
      <c r="M362" s="19" t="n">
        <f aca="false">Units!R4*1*1</f>
        <v>18.9861723843027</v>
      </c>
      <c r="N362" s="19" t="n">
        <f aca="false">Units!S4*1*1</f>
        <v>19.1874193215442</v>
      </c>
      <c r="O362" s="19" t="n">
        <f aca="false">Units!T4*1*1</f>
        <v>19.5604237366471</v>
      </c>
      <c r="P362" s="19" t="n">
        <f aca="false">Units!U4*1*1</f>
        <v>19.9406793766988</v>
      </c>
      <c r="Q362" s="19" t="n">
        <f aca="false">Units!V4*1*1</f>
        <v>20.3283272058839</v>
      </c>
      <c r="R362" s="19" t="n">
        <f aca="false">Units!W4*1*1</f>
        <v>20.0593273219312</v>
      </c>
      <c r="T362" s="8" t="s">
        <v>460</v>
      </c>
    </row>
    <row r="363" customFormat="false" ht="15" hidden="false" customHeight="false" outlineLevel="0" collapsed="false">
      <c r="A363" s="5" t="s">
        <v>461</v>
      </c>
      <c r="B363" s="0" t="s">
        <v>398</v>
      </c>
      <c r="C363" s="19" t="n">
        <f aca="false">Units!H7*1</f>
        <v>40.1757580440862</v>
      </c>
      <c r="D363" s="19" t="n">
        <f aca="false">Units!I7*1</f>
        <v>44.8269021796765</v>
      </c>
      <c r="E363" s="19" t="n">
        <f aca="false">Units!J7*1</f>
        <v>44.9411476117569</v>
      </c>
      <c r="F363" s="19" t="n">
        <f aca="false">Units!K7*1</f>
        <v>48.0773237904583</v>
      </c>
      <c r="G363" s="19" t="n">
        <f aca="false">Units!L7*1</f>
        <v>50.835580599158</v>
      </c>
      <c r="H363" s="19" t="n">
        <f aca="false">Units!M7*1</f>
        <v>53.7520820858664</v>
      </c>
      <c r="I363" s="19" t="n">
        <f aca="false">Units!N7*1</f>
        <v>56.8359069476934</v>
      </c>
      <c r="J363" s="19" t="n">
        <f aca="false">Units!O7*1</f>
        <v>60.0966547380729</v>
      </c>
      <c r="K363" s="19" t="n">
        <f aca="false">Units!P7*1</f>
        <v>63.5444757489475</v>
      </c>
      <c r="L363" s="19" t="n">
        <f aca="false">Units!Q7*1</f>
        <v>67.190102607333</v>
      </c>
      <c r="M363" s="19" t="n">
        <f aca="false">Units!R7*1</f>
        <v>71.0448836846168</v>
      </c>
      <c r="N363" s="19" t="n">
        <f aca="false">Units!S7*1</f>
        <v>74.0184898623123</v>
      </c>
      <c r="O363" s="19" t="n">
        <f aca="false">Units!T7*1</f>
        <v>77.7911475249602</v>
      </c>
      <c r="P363" s="19" t="n">
        <f aca="false">Units!U7*1</f>
        <v>81.7560942476254</v>
      </c>
      <c r="Q363" s="19" t="n">
        <f aca="false">Units!V7*1</f>
        <v>85.9231308354458</v>
      </c>
      <c r="R363" s="19" t="n">
        <f aca="false">Units!W7*1</f>
        <v>87.5395173614874</v>
      </c>
    </row>
    <row r="364" customFormat="false" ht="17.15" hidden="false" customHeight="false" outlineLevel="0" collapsed="false">
      <c r="A364" s="5" t="s">
        <v>354</v>
      </c>
      <c r="B364" s="0" t="s">
        <v>27</v>
      </c>
      <c r="C364" s="13" t="n">
        <f aca="false">q1_rev</f>
        <v>1767.1</v>
      </c>
      <c r="D364" s="13" t="n">
        <f aca="false">g2_rev</f>
        <v>2480</v>
      </c>
      <c r="E364" s="13" t="n">
        <f aca="false">E362*kx_k*fx</f>
        <v>2671.01859994948</v>
      </c>
      <c r="F364" s="13" t="n">
        <f aca="false">F362*kx_k*fx</f>
        <v>2943.13554262483</v>
      </c>
      <c r="G364" s="13" t="n">
        <f aca="false">G362*kx_k*fx</f>
        <v>3111.98694718205</v>
      </c>
      <c r="H364" s="13" t="n">
        <f aca="false">H362*kx_k*fx</f>
        <v>3125.9992916448</v>
      </c>
      <c r="I364" s="13" t="n">
        <f aca="false">I362*kx_k*fx</f>
        <v>3073.96789308433</v>
      </c>
      <c r="J364" s="13" t="n">
        <f aca="false">J362*kx_k*fx</f>
        <v>3087.80904914199</v>
      </c>
      <c r="K364" s="13" t="n">
        <f aca="false">K362*kx_k*fx</f>
        <v>3101.71252777674</v>
      </c>
      <c r="L364" s="13" t="n">
        <f aca="false">L362*kx_k*fx</f>
        <v>3115.67860960848</v>
      </c>
      <c r="M364" s="13" t="n">
        <f aca="false">M362*kx_k*fx</f>
        <v>3129.70757652064</v>
      </c>
      <c r="N364" s="13" t="n">
        <f aca="false">N362*kx_k*fx</f>
        <v>3162.88140700567</v>
      </c>
      <c r="O364" s="13" t="n">
        <f aca="false">O362*kx_k*fx</f>
        <v>3224.36798367809</v>
      </c>
      <c r="P364" s="13" t="n">
        <f aca="false">P362*kx_k*fx</f>
        <v>3287.04986255265</v>
      </c>
      <c r="Q364" s="13" t="n">
        <f aca="false">Q362*kx_k*fx</f>
        <v>3350.95028036543</v>
      </c>
      <c r="R364" s="13" t="n">
        <f aca="false">R362*kx_k*fx</f>
        <v>3306.60795807692</v>
      </c>
      <c r="T364" s="5" t="s">
        <v>462</v>
      </c>
    </row>
    <row r="365" customFormat="false" ht="17.15" hidden="false" customHeight="false" outlineLevel="0" collapsed="false">
      <c r="A365" s="0" t="s">
        <v>463</v>
      </c>
      <c r="B365" s="0" t="s">
        <v>27</v>
      </c>
      <c r="C365" s="13" t="n">
        <f aca="false">q1_ss</f>
        <v>1174.7</v>
      </c>
      <c r="D365" s="13" t="n">
        <f aca="false">D364*sssh_26</f>
        <v>1636.8</v>
      </c>
      <c r="E365" s="13" t="n">
        <f aca="false">E364*sssh_26</f>
        <v>1762.87227596666</v>
      </c>
      <c r="F365" s="13" t="n">
        <f aca="false">F364*sssh_26</f>
        <v>1942.46945813239</v>
      </c>
      <c r="G365" s="13" t="n">
        <f aca="false">G364*sssh_27</f>
        <v>2116.1511240838</v>
      </c>
      <c r="H365" s="13" t="n">
        <f aca="false">H364*sssh_27</f>
        <v>2125.67951831847</v>
      </c>
      <c r="I365" s="13" t="n">
        <f aca="false">I364*sssh_27</f>
        <v>2090.29816729734</v>
      </c>
      <c r="J365" s="13" t="n">
        <f aca="false">J364*sssh_27</f>
        <v>2099.71015341655</v>
      </c>
      <c r="K365" s="13" t="n">
        <f aca="false">K364*sssh_28</f>
        <v>2171.19876944372</v>
      </c>
      <c r="L365" s="13" t="n">
        <f aca="false">L364*sssh_28</f>
        <v>2180.97502672594</v>
      </c>
      <c r="M365" s="13" t="n">
        <f aca="false">M364*sssh_28</f>
        <v>2190.79530356445</v>
      </c>
      <c r="N365" s="13" t="n">
        <f aca="false">N364*sssh_28</f>
        <v>2214.01698490397</v>
      </c>
      <c r="O365" s="13" t="n">
        <f aca="false">O364*sssh_29</f>
        <v>2257.05758857466</v>
      </c>
      <c r="P365" s="13" t="n">
        <f aca="false">P364*sssh_29</f>
        <v>2300.93490378686</v>
      </c>
      <c r="Q365" s="13" t="n">
        <f aca="false">Q364*sssh_29</f>
        <v>2345.6651962558</v>
      </c>
      <c r="R365" s="13" t="n">
        <f aca="false">R364*sssh_29</f>
        <v>2314.62557065385</v>
      </c>
      <c r="T365" s="5" t="s">
        <v>464</v>
      </c>
    </row>
    <row r="366" customFormat="false" ht="17.15" hidden="false" customHeight="false" outlineLevel="0" collapsed="false">
      <c r="A366" s="0" t="s">
        <v>465</v>
      </c>
      <c r="B366" s="0" t="s">
        <v>27</v>
      </c>
      <c r="C366" s="13" t="n">
        <f aca="false">C365*(0.75*Units!D16+0.25*Units!E16)</f>
        <v>687.403351447223</v>
      </c>
      <c r="D366" s="13" t="n">
        <f aca="false">D365*(0.75*Units!D16+0.25*Units!E16)</f>
        <v>957.812041924589</v>
      </c>
      <c r="E366" s="13" t="n">
        <f aca="false">E365*(0.75*Units!D16+0.25*Units!E16)</f>
        <v>1031.58620130491</v>
      </c>
      <c r="F366" s="13" t="n">
        <f aca="false">F365*(0.75*Units!D16+0.25*Units!E16)</f>
        <v>1136.68171925094</v>
      </c>
      <c r="G366" s="13" t="n">
        <f aca="false">G365*(0.75*Units!E16+0.25*Units!F16)</f>
        <v>1457.97622792167</v>
      </c>
      <c r="H366" s="13" t="n">
        <f aca="false">H365*(0.75*Units!E16+0.25*Units!F16)</f>
        <v>1464.54105787464</v>
      </c>
      <c r="I366" s="13" t="n">
        <f aca="false">I365*(0.75*Units!E16+0.25*Units!F16)</f>
        <v>1440.16417471471</v>
      </c>
      <c r="J366" s="13" t="n">
        <f aca="false">J365*(0.75*Units!E16+0.25*Units!F16)</f>
        <v>1446.64880233093</v>
      </c>
      <c r="K366" s="13" t="n">
        <f aca="false">K365*(0.75*Units!F16+0.25*Units!G16)</f>
        <v>1584.5436918192</v>
      </c>
      <c r="L366" s="13" t="n">
        <f aca="false">L365*(0.75*Units!F16+0.25*Units!G16)</f>
        <v>1591.67841712586</v>
      </c>
      <c r="M366" s="13" t="n">
        <f aca="false">M365*(0.75*Units!F16+0.25*Units!G16)</f>
        <v>1598.84526796208</v>
      </c>
      <c r="N366" s="13" t="n">
        <f aca="false">N365*(0.75*Units!F16+0.25*Units!G16)</f>
        <v>1615.79248127014</v>
      </c>
      <c r="O366" s="13" t="n">
        <f aca="false">O365*(0.75*Units!G16+0.25*Units!H16)</f>
        <v>1720.23366162982</v>
      </c>
      <c r="P366" s="13" t="n">
        <f aca="false">P365*(0.75*Units!G16+0.25*Units!H16)</f>
        <v>1753.67509218615</v>
      </c>
      <c r="Q366" s="13" t="n">
        <f aca="false">Q365*(0.75*Units!G16+0.25*Units!H16)</f>
        <v>1787.76662586661</v>
      </c>
      <c r="R366" s="13" t="n">
        <f aca="false">R365*(0.75*Units!G16+0.25*Units!H16)</f>
        <v>1764.10953839345</v>
      </c>
      <c r="T366" s="5" t="s">
        <v>466</v>
      </c>
    </row>
    <row r="367" customFormat="false" ht="17.15" hidden="false" customHeight="false" outlineLevel="0" collapsed="false">
      <c r="A367" s="0" t="s">
        <v>467</v>
      </c>
      <c r="B367" s="0" t="s">
        <v>27</v>
      </c>
      <c r="C367" s="13" t="n">
        <f aca="false">C365-C366</f>
        <v>487.296648552777</v>
      </c>
      <c r="D367" s="13" t="n">
        <f aca="false">D365-D366</f>
        <v>678.987958075412</v>
      </c>
      <c r="E367" s="13" t="n">
        <f aca="false">E365-E366</f>
        <v>731.28607466175</v>
      </c>
      <c r="F367" s="13" t="n">
        <f aca="false">F365-F366</f>
        <v>805.787738881452</v>
      </c>
      <c r="G367" s="13" t="n">
        <f aca="false">G365-G366</f>
        <v>658.174896162131</v>
      </c>
      <c r="H367" s="13" t="n">
        <f aca="false">H365-H366</f>
        <v>661.138460443822</v>
      </c>
      <c r="I367" s="13" t="n">
        <f aca="false">I365-I366</f>
        <v>650.133992582631</v>
      </c>
      <c r="J367" s="13" t="n">
        <f aca="false">J365-J366</f>
        <v>653.061351085617</v>
      </c>
      <c r="K367" s="13" t="n">
        <f aca="false">K365-K366</f>
        <v>586.65507762452</v>
      </c>
      <c r="L367" s="13" t="n">
        <f aca="false">L365-L366</f>
        <v>589.296609600079</v>
      </c>
      <c r="M367" s="13" t="n">
        <f aca="false">M365-M366</f>
        <v>591.950035602373</v>
      </c>
      <c r="N367" s="13" t="n">
        <f aca="false">N365-N366</f>
        <v>598.224503633827</v>
      </c>
      <c r="O367" s="13" t="n">
        <f aca="false">O365-O366</f>
        <v>536.82392694484</v>
      </c>
      <c r="P367" s="13" t="n">
        <f aca="false">P365-P366</f>
        <v>547.259811600705</v>
      </c>
      <c r="Q367" s="13" t="n">
        <f aca="false">Q365-Q366</f>
        <v>557.898570389192</v>
      </c>
      <c r="R367" s="13" t="n">
        <f aca="false">R365-R366</f>
        <v>550.516032260396</v>
      </c>
    </row>
    <row r="368" customFormat="false" ht="17.15" hidden="false" customHeight="false" outlineLevel="0" collapsed="false">
      <c r="A368" s="5" t="s">
        <v>468</v>
      </c>
      <c r="B368" s="0" t="s">
        <v>27</v>
      </c>
      <c r="C368" s="13" t="n">
        <f aca="false">q1_rev-q1_ss-q1_sd</f>
        <v>66.6999999999998</v>
      </c>
      <c r="D368" s="13" t="n">
        <f aca="false">D364*otsh_26</f>
        <v>99.2</v>
      </c>
      <c r="E368" s="13" t="n">
        <f aca="false">E364*otsh_26</f>
        <v>106.840743997979</v>
      </c>
      <c r="F368" s="13" t="n">
        <f aca="false">F364*otsh_26</f>
        <v>117.725421704993</v>
      </c>
      <c r="G368" s="13" t="n">
        <f aca="false">G364*otsh_27</f>
        <v>124.479477887282</v>
      </c>
      <c r="H368" s="13" t="n">
        <f aca="false">H364*otsh_27</f>
        <v>125.039971665792</v>
      </c>
      <c r="I368" s="13" t="n">
        <f aca="false">I364*otsh_27</f>
        <v>122.958715723373</v>
      </c>
      <c r="J368" s="13" t="n">
        <f aca="false">J364*otsh_27</f>
        <v>123.51236196568</v>
      </c>
      <c r="K368" s="13" t="n">
        <f aca="false">K364*otsh_28</f>
        <v>124.06850111107</v>
      </c>
      <c r="L368" s="13" t="n">
        <f aca="false">L364*otsh_28</f>
        <v>124.627144384339</v>
      </c>
      <c r="M368" s="13" t="n">
        <f aca="false">M364*otsh_28</f>
        <v>125.188303060826</v>
      </c>
      <c r="N368" s="13" t="n">
        <f aca="false">N364*otsh_28</f>
        <v>126.515256280227</v>
      </c>
      <c r="O368" s="13" t="n">
        <f aca="false">O364*otsh_29</f>
        <v>128.974719347123</v>
      </c>
      <c r="P368" s="13" t="n">
        <f aca="false">P364*otsh_29</f>
        <v>131.481994502106</v>
      </c>
      <c r="Q368" s="13" t="n">
        <f aca="false">Q364*otsh_29</f>
        <v>134.038011214617</v>
      </c>
      <c r="R368" s="13" t="n">
        <f aca="false">R364*otsh_29</f>
        <v>132.264318323077</v>
      </c>
      <c r="T368" s="5" t="s">
        <v>469</v>
      </c>
    </row>
    <row r="369" customFormat="false" ht="17.15" hidden="false" customHeight="false" outlineLevel="0" collapsed="false">
      <c r="A369" s="5" t="s">
        <v>470</v>
      </c>
      <c r="B369" s="0" t="s">
        <v>27</v>
      </c>
      <c r="C369" s="13" t="n">
        <f aca="false">q1_sd</f>
        <v>525.7</v>
      </c>
      <c r="D369" s="13" t="n">
        <f aca="false">D364-D365-D368</f>
        <v>744</v>
      </c>
      <c r="E369" s="13" t="n">
        <f aca="false">E364-E365-E368</f>
        <v>801.305579984843</v>
      </c>
      <c r="F369" s="13" t="n">
        <f aca="false">F364-F365-F368</f>
        <v>882.940662787449</v>
      </c>
      <c r="G369" s="13" t="n">
        <f aca="false">G364-G365-G368</f>
        <v>871.356345210975</v>
      </c>
      <c r="H369" s="13" t="n">
        <f aca="false">H364-H365-H368</f>
        <v>875.279801660544</v>
      </c>
      <c r="I369" s="13" t="n">
        <f aca="false">I364-I365-I368</f>
        <v>860.711010063612</v>
      </c>
      <c r="J369" s="13" t="n">
        <f aca="false">J364-J365-J368</f>
        <v>864.586533759756</v>
      </c>
      <c r="K369" s="13" t="n">
        <f aca="false">K364-K365-K368</f>
        <v>806.445257221952</v>
      </c>
      <c r="L369" s="13" t="n">
        <f aca="false">L364-L365-L368</f>
        <v>810.076438498206</v>
      </c>
      <c r="M369" s="13" t="n">
        <f aca="false">M364-M365-M368</f>
        <v>813.723969895367</v>
      </c>
      <c r="N369" s="13" t="n">
        <f aca="false">N364-N365-N368</f>
        <v>822.349165821474</v>
      </c>
      <c r="O369" s="13" t="n">
        <f aca="false">O364-O365-O368</f>
        <v>838.335675756302</v>
      </c>
      <c r="P369" s="13" t="n">
        <f aca="false">P364-P365-P368</f>
        <v>854.63296426369</v>
      </c>
      <c r="Q369" s="13" t="n">
        <f aca="false">Q364-Q365-Q368</f>
        <v>871.247072895013</v>
      </c>
      <c r="R369" s="13" t="n">
        <f aca="false">R364-R365-R368</f>
        <v>859.7180691</v>
      </c>
      <c r="T369" s="5" t="s">
        <v>471</v>
      </c>
    </row>
    <row r="370" customFormat="false" ht="15" hidden="false" customHeight="false" outlineLevel="0" collapsed="false">
      <c r="A370" s="5" t="s">
        <v>472</v>
      </c>
      <c r="B370" s="0" t="s">
        <v>27</v>
      </c>
      <c r="C370" s="18" t="n">
        <f aca="false">C365+C369+C368-C364</f>
        <v>0</v>
      </c>
      <c r="D370" s="18" t="n">
        <f aca="false">D365+D369+D368-D364</f>
        <v>0</v>
      </c>
      <c r="E370" s="18" t="n">
        <f aca="false">E365+E369+E368-E364</f>
        <v>0</v>
      </c>
      <c r="F370" s="18" t="n">
        <f aca="false">F365+F369+F368-F364</f>
        <v>0</v>
      </c>
      <c r="G370" s="18" t="n">
        <f aca="false">G365+G369+G368-G364</f>
        <v>0</v>
      </c>
      <c r="H370" s="18" t="n">
        <f aca="false">H365+H369+H368-H364</f>
        <v>0</v>
      </c>
      <c r="I370" s="18" t="n">
        <f aca="false">I365+I369+I368-I364</f>
        <v>0</v>
      </c>
      <c r="J370" s="18" t="n">
        <f aca="false">J365+J369+J368-J364</f>
        <v>0</v>
      </c>
      <c r="K370" s="18" t="n">
        <f aca="false">K365+K369+K368-K364</f>
        <v>0</v>
      </c>
      <c r="L370" s="18" t="n">
        <f aca="false">L365+L369+L368-L364</f>
        <v>0</v>
      </c>
      <c r="M370" s="18" t="n">
        <f aca="false">M365+M369+M368-M364</f>
        <v>0</v>
      </c>
      <c r="N370" s="18" t="n">
        <f aca="false">N365+N369+N368-N364</f>
        <v>0</v>
      </c>
      <c r="O370" s="18" t="n">
        <f aca="false">O365+O369+O368-O364</f>
        <v>0</v>
      </c>
      <c r="P370" s="18" t="n">
        <f aca="false">P365+P369+P368-P364</f>
        <v>0</v>
      </c>
      <c r="Q370" s="18" t="n">
        <f aca="false">Q365+Q369+Q368-Q364</f>
        <v>0</v>
      </c>
      <c r="R370" s="18" t="n">
        <f aca="false">R365+R369+R368-R364</f>
        <v>0</v>
      </c>
    </row>
    <row r="371" customFormat="false" ht="17.15" hidden="false" customHeight="false" outlineLevel="0" collapsed="false">
      <c r="A371" s="5" t="s">
        <v>473</v>
      </c>
      <c r="B371" s="0" t="s">
        <v>474</v>
      </c>
      <c r="C371" s="20" t="n">
        <f aca="false">C372/C363</f>
        <v>9.63267449926724</v>
      </c>
      <c r="D371" s="20" t="n">
        <f aca="false">D372/D363</f>
        <v>9.50991434320605</v>
      </c>
      <c r="E371" s="20" t="n">
        <f aca="false">$D371*(1-cd_C)^(1/4)</f>
        <v>9.26269219846636</v>
      </c>
      <c r="F371" s="20" t="n">
        <f aca="false">$D371*(1-cd_C)^(2/4)</f>
        <v>9.0218969032906</v>
      </c>
      <c r="G371" s="20" t="n">
        <f aca="false">$D371*(1-cd_C)^(3/4)</f>
        <v>8.78736138366783</v>
      </c>
      <c r="H371" s="20" t="n">
        <f aca="false">$D371*(1-cd_C)^(4/4)</f>
        <v>8.55892290888544</v>
      </c>
      <c r="I371" s="20" t="n">
        <f aca="false">$D371*(1-cd_C)^(5/4)</f>
        <v>8.33642297861972</v>
      </c>
      <c r="J371" s="20" t="n">
        <f aca="false">$D371*(1-cd_C)^(6/4)</f>
        <v>8.11970721296154</v>
      </c>
      <c r="K371" s="20" t="n">
        <f aca="false">$D371*(1-cd_C)^(7/4)</f>
        <v>7.90862524530104</v>
      </c>
      <c r="L371" s="20" t="n">
        <f aca="false">$D371*(1-cd_C)^(8/4)</f>
        <v>7.7030306179969</v>
      </c>
      <c r="M371" s="20" t="n">
        <f aca="false">$D371*(1-cd_C)^(9/4)</f>
        <v>7.50278068075775</v>
      </c>
      <c r="N371" s="20" t="n">
        <f aca="false">$D371*(1-cd_C)^(10/4)</f>
        <v>7.30773649166539</v>
      </c>
      <c r="O371" s="20" t="n">
        <f aca="false">$D371*(1-cd_C)^(11/4)</f>
        <v>7.11776272077094</v>
      </c>
      <c r="P371" s="20" t="n">
        <f aca="false">$D371*(1-cd_C)^(12/4)</f>
        <v>6.93272755619721</v>
      </c>
      <c r="Q371" s="20" t="n">
        <f aca="false">$D371*(1-cd_C)^(13/4)</f>
        <v>6.75250261268197</v>
      </c>
      <c r="R371" s="20" t="n">
        <f aca="false">$D371*(1-cd_C)^(14/4)</f>
        <v>6.57696284249885</v>
      </c>
    </row>
    <row r="372" customFormat="false" ht="15" hidden="false" customHeight="false" outlineLevel="0" collapsed="false">
      <c r="A372" s="5" t="s">
        <v>475</v>
      </c>
      <c r="B372" s="0" t="s">
        <v>27</v>
      </c>
      <c r="C372" s="13" t="n">
        <f aca="false">q1_rev-q1_gp</f>
        <v>387</v>
      </c>
      <c r="D372" s="13" t="n">
        <f aca="false">g2_rev-g2_op-g2_ox</f>
        <v>426.3</v>
      </c>
      <c r="E372" s="13" t="n">
        <f aca="false">E363*E371</f>
        <v>416.276017373546</v>
      </c>
      <c r="F372" s="13" t="n">
        <f aca="false">F363*F371</f>
        <v>433.748658623635</v>
      </c>
      <c r="G372" s="13" t="n">
        <f aca="false">G363*G371</f>
        <v>446.710617873374</v>
      </c>
      <c r="H372" s="13" t="n">
        <f aca="false">H363*H371</f>
        <v>460.059926765013</v>
      </c>
      <c r="I372" s="13" t="n">
        <f aca="false">I363*I371</f>
        <v>473.808160689444</v>
      </c>
      <c r="J372" s="13" t="n">
        <f aca="false">J363*J371</f>
        <v>487.96724095159</v>
      </c>
      <c r="K372" s="13" t="n">
        <f aca="false">K363*K371</f>
        <v>502.549445107546</v>
      </c>
      <c r="L372" s="13" t="n">
        <f aca="false">L363*L371</f>
        <v>517.567417610639</v>
      </c>
      <c r="M372" s="13" t="n">
        <f aca="false">M363*M371</f>
        <v>533.034180775624</v>
      </c>
      <c r="N372" s="13" t="n">
        <f aca="false">N363*N371</f>
        <v>540.907619424784</v>
      </c>
      <c r="O372" s="13" t="n">
        <f aca="false">O363*O371</f>
        <v>553.698929859154</v>
      </c>
      <c r="P372" s="13" t="n">
        <f aca="false">P363*P371</f>
        <v>566.792727477569</v>
      </c>
      <c r="Q372" s="13" t="n">
        <f aca="false">Q363*Q371</f>
        <v>580.196165456163</v>
      </c>
      <c r="R372" s="13" t="n">
        <f aca="false">R363*R371</f>
        <v>575.744152936785</v>
      </c>
      <c r="T372" s="5" t="s">
        <v>476</v>
      </c>
    </row>
    <row r="373" customFormat="false" ht="15" hidden="false" customHeight="false" outlineLevel="0" collapsed="false">
      <c r="A373" s="5" t="s">
        <v>360</v>
      </c>
      <c r="B373" s="0" t="s">
        <v>145</v>
      </c>
      <c r="C373" s="14" t="n">
        <f aca="false">1-C372/C364</f>
        <v>0.780997113915455</v>
      </c>
      <c r="D373" s="14" t="n">
        <f aca="false">1-D372/D364</f>
        <v>0.828104838709677</v>
      </c>
      <c r="E373" s="14" t="n">
        <f aca="false">1-E372/E364</f>
        <v>0.844150835422329</v>
      </c>
      <c r="F373" s="14" t="n">
        <f aca="false">1-F372/F364</f>
        <v>0.852623621188443</v>
      </c>
      <c r="G373" s="14" t="n">
        <f aca="false">1-G372/G364</f>
        <v>0.85645485490295</v>
      </c>
      <c r="H373" s="14" t="n">
        <f aca="false">1-H372/H364</f>
        <v>0.852827885151905</v>
      </c>
      <c r="I373" s="14" t="n">
        <f aca="false">1-I372/I364</f>
        <v>0.845864310503895</v>
      </c>
      <c r="J373" s="14" t="n">
        <f aca="false">1-J372/J364</f>
        <v>0.841969748392576</v>
      </c>
      <c r="K373" s="14" t="n">
        <f aca="false">1-K372/K364</f>
        <v>0.837976781985091</v>
      </c>
      <c r="L373" s="14" t="n">
        <f aca="false">1-L372/L364</f>
        <v>0.833882924890101</v>
      </c>
      <c r="M373" s="14" t="n">
        <f aca="false">1-M372/M364</f>
        <v>0.829685627892364</v>
      </c>
      <c r="N373" s="14" t="n">
        <f aca="false">1-N372/N364</f>
        <v>0.828982642780506</v>
      </c>
      <c r="O373" s="14" t="n">
        <f aca="false">1-O372/O364</f>
        <v>0.828276756045834</v>
      </c>
      <c r="P373" s="14" t="n">
        <f aca="false">1-P372/P364</f>
        <v>0.827567955711688</v>
      </c>
      <c r="Q373" s="14" t="n">
        <f aca="false">1-Q372/Q364</f>
        <v>0.82685622975197</v>
      </c>
      <c r="R373" s="14" t="n">
        <f aca="false">1-R372/R364</f>
        <v>0.825880733296357</v>
      </c>
    </row>
    <row r="374" customFormat="false" ht="17.15" hidden="false" customHeight="false" outlineLevel="0" collapsed="false">
      <c r="A374" s="5" t="s">
        <v>477</v>
      </c>
      <c r="B374" s="0" t="s">
        <v>27</v>
      </c>
      <c r="C374" s="13" t="n">
        <f aca="false">q1_gp-q1_op</f>
        <v>110.1</v>
      </c>
      <c r="D374" s="13" t="n">
        <f aca="false">g2_ox</f>
        <v>59</v>
      </c>
      <c r="E374" s="13" t="n">
        <f aca="false">(g2_ox-ox_var*g2_rev)*(1+ox_g)^(1/4)+ox_var*E364</f>
        <v>61.7348741661828</v>
      </c>
      <c r="F374" s="13" t="n">
        <f aca="false">(g2_ox-ox_var*g2_rev)*(1+ox_g)^(2/4)+ox_var*F364</f>
        <v>65.3006180336675</v>
      </c>
      <c r="G374" s="13" t="n">
        <f aca="false">(g2_ox-ox_var*g2_rev)*(1+ox_g)^(3/4)+ox_var*G364</f>
        <v>67.8540723254433</v>
      </c>
      <c r="H374" s="13" t="n">
        <f aca="false">(g2_ox-ox_var*g2_rev)*(1+ox_g)^(4/4)+ox_var*H364</f>
        <v>68.879992916448</v>
      </c>
      <c r="I374" s="13" t="n">
        <f aca="false">(g2_ox-ox_var*g2_rev)*(1+ox_g)^(5/4)+ox_var*I364</f>
        <v>69.2668359142001</v>
      </c>
      <c r="J374" s="13" t="n">
        <f aca="false">(g2_ox-ox_var*g2_rev)*(1+ox_g)^(6/4)+ox_var*J364</f>
        <v>70.334279359581</v>
      </c>
      <c r="K374" s="13" t="n">
        <f aca="false">(g2_ox-ox_var*g2_rev)*(1+ox_g)^(7/4)+ox_var*K364</f>
        <v>71.4247484167525</v>
      </c>
      <c r="L374" s="13" t="n">
        <f aca="false">(g2_ox-ox_var*g2_rev)*(1+ox_g)^(8/4)+ox_var*L364</f>
        <v>72.5387860960849</v>
      </c>
      <c r="M374" s="13" t="n">
        <f aca="false">(g2_ox-ox_var*g2_rev)*(1+ox_g)^(9/4)+ox_var*M364</f>
        <v>73.676948446899</v>
      </c>
      <c r="N374" s="13" t="n">
        <f aca="false">(g2_ox-ox_var*g2_rev)*(1+ox_g)^(10/4)+ox_var*N364</f>
        <v>75.0306218250339</v>
      </c>
      <c r="O374" s="13" t="n">
        <f aca="false">(g2_ox-ox_var*g2_rev)*(1+ox_g)^(11/4)+ox_var*O364</f>
        <v>76.6920652896645</v>
      </c>
      <c r="P374" s="13" t="n">
        <f aca="false">(g2_ox-ox_var*g2_rev)*(1+ox_g)^(12/4)+ox_var*P364</f>
        <v>78.3906986255266</v>
      </c>
      <c r="Q374" s="13" t="n">
        <f aca="false">(g2_ox-ox_var*g2_rev)*(1+ox_g)^(13/4)+ox_var*Q364</f>
        <v>80.1273627535161</v>
      </c>
      <c r="R374" s="13" t="n">
        <f aca="false">(g2_ox-ox_var*g2_rev)*(1+ox_g)^(14/4)+ox_var*R364</f>
        <v>80.8080681112442</v>
      </c>
      <c r="T374" s="5" t="s">
        <v>478</v>
      </c>
    </row>
    <row r="375" customFormat="false" ht="15" hidden="false" customHeight="false" outlineLevel="0" collapsed="false">
      <c r="A375" s="5" t="s">
        <v>358</v>
      </c>
      <c r="B375" s="0" t="s">
        <v>27</v>
      </c>
      <c r="C375" s="13" t="n">
        <f aca="false">C364-C372-C374</f>
        <v>1270</v>
      </c>
      <c r="D375" s="13" t="n">
        <f aca="false">D364-D372-D374</f>
        <v>1994.7</v>
      </c>
      <c r="E375" s="13" t="n">
        <f aca="false">E364-E372-E374</f>
        <v>2193.00770840975</v>
      </c>
      <c r="F375" s="13" t="n">
        <f aca="false">F364-F372-F374</f>
        <v>2444.08626596753</v>
      </c>
      <c r="G375" s="13" t="n">
        <f aca="false">G364-G372-G374</f>
        <v>2597.42225698324</v>
      </c>
      <c r="H375" s="13" t="n">
        <f aca="false">H364-H372-H374</f>
        <v>2597.05937196334</v>
      </c>
      <c r="I375" s="13" t="n">
        <f aca="false">I364-I372-I374</f>
        <v>2530.89289648068</v>
      </c>
      <c r="J375" s="13" t="n">
        <f aca="false">J364-J372-J374</f>
        <v>2529.50752883082</v>
      </c>
      <c r="K375" s="13" t="n">
        <f aca="false">K364-K372-K374</f>
        <v>2527.73833425244</v>
      </c>
      <c r="L375" s="13" t="n">
        <f aca="false">L364-L372-L374</f>
        <v>2525.57240590176</v>
      </c>
      <c r="M375" s="13" t="n">
        <f aca="false">M364-M372-M374</f>
        <v>2522.99644729812</v>
      </c>
      <c r="N375" s="13" t="n">
        <f aca="false">N364-N372-N374</f>
        <v>2546.94316575585</v>
      </c>
      <c r="O375" s="13" t="n">
        <f aca="false">O364-O372-O374</f>
        <v>2593.97698852927</v>
      </c>
      <c r="P375" s="13" t="n">
        <f aca="false">P364-P372-P374</f>
        <v>2641.86643644956</v>
      </c>
      <c r="Q375" s="13" t="n">
        <f aca="false">Q364-Q372-Q374</f>
        <v>2690.62675215575</v>
      </c>
      <c r="R375" s="13" t="n">
        <f aca="false">R364-R372-R374</f>
        <v>2650.05573702889</v>
      </c>
    </row>
    <row r="377" customFormat="false" ht="17.15" hidden="false" customHeight="false" outlineLevel="0" collapsed="false">
      <c r="A377" s="5" t="s">
        <v>359</v>
      </c>
      <c r="B377" s="0" t="s">
        <v>27</v>
      </c>
      <c r="C377" s="13" t="n">
        <f aca="false">q1_ni</f>
        <v>842.2</v>
      </c>
      <c r="D377" s="13" t="n">
        <f aca="false">g2_ni</f>
        <v>1360</v>
      </c>
      <c r="E377" s="13" t="n">
        <f aca="false">(E375+nonop_q+rf*nc_j/4)*(1-tax)</f>
        <v>1481.31112171863</v>
      </c>
      <c r="F377" s="13" t="n">
        <f aca="false">(F375+nonop_q+rf*nc_j/4)*(1-tax)</f>
        <v>1652.04454085792</v>
      </c>
      <c r="G377" s="13" t="n">
        <f aca="false">(G375+nonop_q+rf*$D398/4)*(1-tax)</f>
        <v>1762.2913784497</v>
      </c>
      <c r="H377" s="13" t="n">
        <f aca="false">(H375+nonop_q+rf*$D398/4)*(1-tax)</f>
        <v>1762.04461663618</v>
      </c>
      <c r="I377" s="13" t="n">
        <f aca="false">(I375+nonop_q+rf*$D398/4)*(1-tax)</f>
        <v>1717.05141330797</v>
      </c>
      <c r="J377" s="13" t="n">
        <f aca="false">(J375+nonop_q+rf*$D398/4)*(1-tax)</f>
        <v>1716.10936330606</v>
      </c>
      <c r="K377" s="13" t="n">
        <f aca="false">(K375+nonop_q+rf*$E398/4)*(1-tax)</f>
        <v>1724.16450660228</v>
      </c>
      <c r="L377" s="13" t="n">
        <f aca="false">(L375+nonop_q+rf*$E398/4)*(1-tax)</f>
        <v>1722.69167532381</v>
      </c>
      <c r="M377" s="13" t="n">
        <f aca="false">(M375+nonop_q+rf*$E398/4)*(1-tax)</f>
        <v>1720.94002347334</v>
      </c>
      <c r="N377" s="13" t="n">
        <f aca="false">(N375+nonop_q+rf*$E398/4)*(1-tax)</f>
        <v>1737.22379202459</v>
      </c>
      <c r="O377" s="13" t="n">
        <f aca="false">(O375+nonop_q+rf*$F398/4)*(1-tax)</f>
        <v>1778.39361870701</v>
      </c>
      <c r="P377" s="13" t="n">
        <f aca="false">(P375+nonop_q+rf*$F398/4)*(1-tax)</f>
        <v>1810.95844329281</v>
      </c>
      <c r="Q377" s="13" t="n">
        <f aca="false">(Q375+nonop_q+rf*$F398/4)*(1-tax)</f>
        <v>1844.11545797303</v>
      </c>
      <c r="R377" s="13" t="n">
        <f aca="false">(R375+nonop_q+rf*$F398/4)*(1-tax)</f>
        <v>1816.52716768676</v>
      </c>
      <c r="T377" s="5" t="s">
        <v>479</v>
      </c>
    </row>
    <row r="378" customFormat="false" ht="17.15" hidden="false" customHeight="false" outlineLevel="0" collapsed="false">
      <c r="A378" s="5" t="s">
        <v>480</v>
      </c>
      <c r="B378" s="0" t="s">
        <v>108</v>
      </c>
      <c r="C378" s="17" t="n">
        <f aca="false">C377/(sh0+dil)*1000</f>
        <v>507.343332753891</v>
      </c>
      <c r="D378" s="17" t="n">
        <f aca="false">D377/(sh0+dil)*1000</f>
        <v>819.267314824616</v>
      </c>
      <c r="E378" s="17" t="n">
        <f aca="false">E377/(sh0+dil)*1000</f>
        <v>892.345430228133</v>
      </c>
      <c r="F378" s="17" t="n">
        <f aca="false">F377/(sh0+dil)*1000</f>
        <v>995.195658058333</v>
      </c>
      <c r="G378" s="17" t="n">
        <f aca="false">G377/(sh0+dil)*1000</f>
        <v>1061.60862173607</v>
      </c>
      <c r="H378" s="17" t="n">
        <f aca="false">H377/(sh0+dil)*1000</f>
        <v>1061.45997181815</v>
      </c>
      <c r="I378" s="17" t="n">
        <f aca="false">I377/(sh0+dil)*1000</f>
        <v>1034.35595646811</v>
      </c>
      <c r="J378" s="17" t="n">
        <f aca="false">J377/(sh0+dil)*1000</f>
        <v>1033.78846325084</v>
      </c>
      <c r="K378" s="17" t="n">
        <f aca="false">K377/(sh0+dil)*1000</f>
        <v>1038.64090120585</v>
      </c>
      <c r="L378" s="17" t="n">
        <f aca="false">L377/(sh0+dil)*1000</f>
        <v>1037.75366405387</v>
      </c>
      <c r="M378" s="17" t="n">
        <f aca="false">M377/(sh0+dil)*1000</f>
        <v>1036.69846470972</v>
      </c>
      <c r="N378" s="17" t="n">
        <f aca="false">N377/(sh0+dil)*1000</f>
        <v>1046.50784657458</v>
      </c>
      <c r="O378" s="17" t="n">
        <f aca="false">O377/(sh0+dil)*1000</f>
        <v>1071.30865051421</v>
      </c>
      <c r="P378" s="17" t="n">
        <f aca="false">P377/(sh0+dil)*1000</f>
        <v>1090.92578021726</v>
      </c>
      <c r="Q378" s="17" t="n">
        <f aca="false">Q377/(sh0+dil)*1000</f>
        <v>1110.89964667656</v>
      </c>
      <c r="R378" s="17" t="n">
        <f aca="false">R377/(sh0+dil)*1000</f>
        <v>1094.28039336522</v>
      </c>
    </row>
    <row r="380" customFormat="false" ht="17.15" hidden="false" customHeight="false" outlineLevel="0" collapsed="false">
      <c r="A380" s="12" t="s">
        <v>481</v>
      </c>
      <c r="B380" s="6" t="s">
        <v>17</v>
      </c>
      <c r="C380" s="12" t="s">
        <v>425</v>
      </c>
      <c r="D380" s="12" t="s">
        <v>426</v>
      </c>
      <c r="E380" s="12" t="s">
        <v>427</v>
      </c>
      <c r="F380" s="12" t="s">
        <v>428</v>
      </c>
      <c r="G380" s="12" t="s">
        <v>429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6" t="s">
        <v>330</v>
      </c>
    </row>
    <row r="381" customFormat="false" ht="17.15" hidden="false" customHeight="false" outlineLevel="0" collapsed="false">
      <c r="A381" s="5" t="s">
        <v>354</v>
      </c>
      <c r="B381" s="0" t="s">
        <v>27</v>
      </c>
      <c r="C381" s="13" t="n">
        <f aca="false">a25_rev</f>
        <v>2337.6</v>
      </c>
      <c r="D381" s="13" t="n">
        <f aca="false">SUM(C364:F364)</f>
        <v>9861.25414257431</v>
      </c>
      <c r="E381" s="13" t="n">
        <f aca="false">SUM(G364:J364)</f>
        <v>12399.7631810532</v>
      </c>
      <c r="F381" s="13" t="n">
        <f aca="false">SUM(K364:N364)</f>
        <v>12509.9801209115</v>
      </c>
      <c r="G381" s="13" t="n">
        <f aca="false">SUM(O364:R364)</f>
        <v>13168.9760846731</v>
      </c>
      <c r="T381" s="8" t="s">
        <v>482</v>
      </c>
    </row>
    <row r="382" customFormat="false" ht="17.15" hidden="false" customHeight="false" outlineLevel="0" collapsed="false">
      <c r="A382" s="5" t="s">
        <v>483</v>
      </c>
      <c r="B382" s="0" t="s">
        <v>27</v>
      </c>
      <c r="C382" s="13" t="n">
        <f aca="false">p1_ss+p2_ss+p3_ss+p4_ss</f>
        <v>1364.7</v>
      </c>
      <c r="D382" s="13" t="n">
        <f aca="false">SUM(C365:F365)</f>
        <v>6516.84173409904</v>
      </c>
      <c r="E382" s="13" t="n">
        <f aca="false">SUM(G365:J365)</f>
        <v>8431.83896311616</v>
      </c>
      <c r="F382" s="13" t="n">
        <f aca="false">SUM(K365:N365)</f>
        <v>8756.98608463807</v>
      </c>
      <c r="G382" s="13" t="n">
        <f aca="false">SUM(O365:R365)</f>
        <v>9218.28325927117</v>
      </c>
    </row>
    <row r="383" customFormat="false" ht="17.15" hidden="false" customHeight="false" outlineLevel="0" collapsed="false">
      <c r="A383" s="0" t="s">
        <v>484</v>
      </c>
      <c r="B383" s="0" t="s">
        <v>27</v>
      </c>
      <c r="C383" s="13" t="n">
        <f aca="false">C382*(0.75*Units!C16+0.25*Units!D16)</f>
        <v>507.679569396364</v>
      </c>
      <c r="D383" s="13" t="n">
        <f aca="false">SUM(C366:F366)</f>
        <v>3813.48331392765</v>
      </c>
      <c r="E383" s="13" t="n">
        <f aca="false">SUM(G366:J366)</f>
        <v>5809.33026284196</v>
      </c>
      <c r="F383" s="13" t="n">
        <f aca="false">SUM(K366:N366)</f>
        <v>6390.85985817728</v>
      </c>
      <c r="G383" s="13" t="n">
        <f aca="false">SUM(O366:R366)</f>
        <v>7025.78491807603</v>
      </c>
    </row>
    <row r="384" customFormat="false" ht="15" hidden="false" customHeight="false" outlineLevel="0" collapsed="false">
      <c r="A384" s="5" t="s">
        <v>485</v>
      </c>
      <c r="B384" s="0" t="s">
        <v>27</v>
      </c>
      <c r="C384" s="13" t="n">
        <f aca="false">p1_sd+p2_sd+p3_sd+p4_sd</f>
        <v>759.5</v>
      </c>
      <c r="D384" s="13" t="n">
        <f aca="false">SUM(C369:F369)</f>
        <v>2953.94624277229</v>
      </c>
      <c r="E384" s="13" t="n">
        <f aca="false">SUM(G369:J369)</f>
        <v>3471.93369069489</v>
      </c>
      <c r="F384" s="13" t="n">
        <f aca="false">SUM(K369:N369)</f>
        <v>3252.594831437</v>
      </c>
      <c r="G384" s="13" t="n">
        <f aca="false">SUM(O369:R369)</f>
        <v>3423.93378201501</v>
      </c>
    </row>
    <row r="385" customFormat="false" ht="17.15" hidden="false" customHeight="false" outlineLevel="0" collapsed="false">
      <c r="A385" s="5" t="s">
        <v>486</v>
      </c>
      <c r="B385" s="0" t="s">
        <v>27</v>
      </c>
      <c r="C385" s="13" t="n">
        <f aca="false">a25_rev-C382-C384</f>
        <v>213.4</v>
      </c>
      <c r="D385" s="13" t="n">
        <f aca="false">SUM(C368:F368)</f>
        <v>390.466165702972</v>
      </c>
      <c r="E385" s="13" t="n">
        <f aca="false">SUM(G368:J368)</f>
        <v>495.990527242127</v>
      </c>
      <c r="F385" s="13" t="n">
        <f aca="false">SUM(K368:N368)</f>
        <v>500.399204836461</v>
      </c>
      <c r="G385" s="13" t="n">
        <f aca="false">SUM(O368:R368)</f>
        <v>526.759043386924</v>
      </c>
      <c r="T385" s="8" t="s">
        <v>487</v>
      </c>
    </row>
    <row r="386" customFormat="false" ht="15" hidden="false" customHeight="false" outlineLevel="0" collapsed="false">
      <c r="A386" s="5" t="s">
        <v>488</v>
      </c>
      <c r="B386" s="0" t="s">
        <v>27</v>
      </c>
      <c r="C386" s="18" t="n">
        <f aca="false">C382+C384+C385-C381</f>
        <v>0</v>
      </c>
      <c r="D386" s="18" t="n">
        <f aca="false">D382+D384+D385-D381</f>
        <v>0</v>
      </c>
      <c r="E386" s="18" t="n">
        <f aca="false">E382+E384+E385-E381</f>
        <v>0</v>
      </c>
      <c r="F386" s="18" t="n">
        <f aca="false">F382+F384+F385-F381</f>
        <v>0</v>
      </c>
      <c r="G386" s="18" t="n">
        <f aca="false">G382+G384+G385-G381</f>
        <v>0</v>
      </c>
    </row>
    <row r="387" customFormat="false" ht="15" hidden="false" customHeight="false" outlineLevel="0" collapsed="false">
      <c r="A387" s="5" t="s">
        <v>475</v>
      </c>
      <c r="B387" s="0" t="s">
        <v>27</v>
      </c>
      <c r="C387" s="13" t="n">
        <f aca="false">a25_rev-(p1_gp+p2_gp+p3_gp+p4_gp)</f>
        <v>1324.8</v>
      </c>
      <c r="D387" s="13" t="n">
        <f aca="false">SUM(C372:F372)</f>
        <v>1663.32467599718</v>
      </c>
      <c r="E387" s="13" t="n">
        <f aca="false">SUM(G372:J372)</f>
        <v>1868.54594627942</v>
      </c>
      <c r="F387" s="13" t="n">
        <f aca="false">SUM(K372:N372)</f>
        <v>2094.05866291859</v>
      </c>
      <c r="G387" s="13" t="n">
        <f aca="false">SUM(O372:R372)</f>
        <v>2276.43197572967</v>
      </c>
    </row>
    <row r="388" customFormat="false" ht="15" hidden="false" customHeight="false" outlineLevel="0" collapsed="false">
      <c r="A388" s="5" t="s">
        <v>360</v>
      </c>
      <c r="B388" s="0" t="s">
        <v>145</v>
      </c>
      <c r="C388" s="14" t="n">
        <f aca="false">1-C387/C381</f>
        <v>0.433264887063655</v>
      </c>
      <c r="D388" s="14" t="n">
        <f aca="false">1-D387/D381</f>
        <v>0.831327268119371</v>
      </c>
      <c r="E388" s="14" t="n">
        <f aca="false">1-E387/E381</f>
        <v>0.849307932821285</v>
      </c>
      <c r="F388" s="14" t="n">
        <f aca="false">1-F387/F381</f>
        <v>0.832608953597121</v>
      </c>
      <c r="G388" s="14" t="n">
        <f aca="false">1-G387/G381</f>
        <v>0.827136752235496</v>
      </c>
    </row>
    <row r="389" customFormat="false" ht="15" hidden="false" customHeight="false" outlineLevel="0" collapsed="false">
      <c r="A389" s="5" t="s">
        <v>477</v>
      </c>
      <c r="B389" s="0" t="s">
        <v>27</v>
      </c>
      <c r="D389" s="13" t="n">
        <f aca="false">SUM(C374:F374)</f>
        <v>296.13549219985</v>
      </c>
      <c r="E389" s="13" t="n">
        <f aca="false">SUM(G374:J374)</f>
        <v>276.335180515672</v>
      </c>
      <c r="F389" s="13" t="n">
        <f aca="false">SUM(K374:N374)</f>
        <v>292.67110478477</v>
      </c>
      <c r="G389" s="13" t="n">
        <f aca="false">SUM(O374:R374)</f>
        <v>316.018194779951</v>
      </c>
    </row>
    <row r="390" customFormat="false" ht="15" hidden="false" customHeight="false" outlineLevel="0" collapsed="false">
      <c r="A390" s="5" t="s">
        <v>358</v>
      </c>
      <c r="B390" s="0" t="s">
        <v>27</v>
      </c>
      <c r="C390" s="13" t="n">
        <f aca="false">p1_op+p2_op+p3_op+p4_op</f>
        <v>869</v>
      </c>
      <c r="D390" s="13" t="n">
        <f aca="false">SUM(C375:F375)</f>
        <v>7901.79397437728</v>
      </c>
      <c r="E390" s="13" t="n">
        <f aca="false">SUM(G375:J375)</f>
        <v>10254.8820542581</v>
      </c>
      <c r="F390" s="13" t="n">
        <f aca="false">SUM(K375:N375)</f>
        <v>10123.2503532082</v>
      </c>
      <c r="G390" s="13" t="n">
        <f aca="false">SUM(O375:R375)</f>
        <v>10576.5259141635</v>
      </c>
    </row>
    <row r="391" customFormat="false" ht="15" hidden="false" customHeight="false" outlineLevel="0" collapsed="false">
      <c r="A391" s="5" t="s">
        <v>361</v>
      </c>
      <c r="B391" s="0" t="s">
        <v>145</v>
      </c>
      <c r="C391" s="14" t="n">
        <f aca="false">C390/C381</f>
        <v>0.371748802190281</v>
      </c>
      <c r="D391" s="14" t="n">
        <f aca="false">D390/D381</f>
        <v>0.801297062232948</v>
      </c>
      <c r="E391" s="14" t="n">
        <f aca="false">E390/E381</f>
        <v>0.827022412002798</v>
      </c>
      <c r="F391" s="14" t="n">
        <f aca="false">F390/F381</f>
        <v>0.809213944016287</v>
      </c>
      <c r="G391" s="14" t="n">
        <f aca="false">G390/G381</f>
        <v>0.80313957942965</v>
      </c>
    </row>
    <row r="392" customFormat="false" ht="15" hidden="false" customHeight="false" outlineLevel="0" collapsed="false">
      <c r="A392" s="5" t="s">
        <v>359</v>
      </c>
      <c r="B392" s="0" t="s">
        <v>27</v>
      </c>
      <c r="C392" s="13" t="n">
        <f aca="false">a25_ni</f>
        <v>554.5</v>
      </c>
      <c r="D392" s="13" t="n">
        <f aca="false">SUM(C377:F377)</f>
        <v>5335.55566257655</v>
      </c>
      <c r="E392" s="13" t="n">
        <f aca="false">SUM(G377:J377)</f>
        <v>6957.49677169991</v>
      </c>
      <c r="F392" s="13" t="n">
        <f aca="false">SUM(K377:N377)</f>
        <v>6905.01999742402</v>
      </c>
      <c r="G392" s="13" t="n">
        <f aca="false">SUM(O377:R377)</f>
        <v>7249.99468765961</v>
      </c>
    </row>
    <row r="393" customFormat="false" ht="15" hidden="false" customHeight="false" outlineLevel="0" collapsed="false">
      <c r="A393" s="5" t="s">
        <v>489</v>
      </c>
      <c r="B393" s="0" t="s">
        <v>27</v>
      </c>
      <c r="D393" s="13" t="n">
        <f aca="false">da_y</f>
        <v>320</v>
      </c>
      <c r="E393" s="13" t="n">
        <f aca="false">da_y</f>
        <v>320</v>
      </c>
      <c r="F393" s="13" t="n">
        <f aca="false">da_y</f>
        <v>320</v>
      </c>
      <c r="G393" s="13" t="n">
        <f aca="false">da_y</f>
        <v>320</v>
      </c>
    </row>
    <row r="394" customFormat="false" ht="15" hidden="false" customHeight="false" outlineLevel="0" collapsed="false">
      <c r="A394" s="5" t="s">
        <v>490</v>
      </c>
      <c r="B394" s="0" t="s">
        <v>27</v>
      </c>
      <c r="D394" s="13" t="n">
        <f aca="false">cap_2026</f>
        <v>450</v>
      </c>
      <c r="E394" s="13" t="n">
        <f aca="false">cap_2027</f>
        <v>470</v>
      </c>
      <c r="F394" s="13" t="n">
        <f aca="false">cap_2028</f>
        <v>470</v>
      </c>
      <c r="G394" s="13" t="n">
        <f aca="false">cap_2029</f>
        <v>470</v>
      </c>
    </row>
    <row r="395" customFormat="false" ht="15" hidden="false" customHeight="false" outlineLevel="0" collapsed="false">
      <c r="A395" s="5" t="s">
        <v>491</v>
      </c>
      <c r="B395" s="0" t="s">
        <v>27</v>
      </c>
      <c r="D395" s="13" t="n">
        <f aca="false">D392+D393-D394</f>
        <v>5205.55566257655</v>
      </c>
      <c r="E395" s="13" t="n">
        <f aca="false">E392+E393-E394</f>
        <v>6807.49677169991</v>
      </c>
      <c r="F395" s="13" t="n">
        <f aca="false">F392+F393-F394</f>
        <v>6755.01999742402</v>
      </c>
      <c r="G395" s="13" t="n">
        <f aca="false">G392+G393-G394</f>
        <v>7099.99468765961</v>
      </c>
    </row>
    <row r="396" customFormat="false" ht="17.15" hidden="false" customHeight="false" outlineLevel="0" collapsed="false">
      <c r="A396" s="5" t="s">
        <v>492</v>
      </c>
      <c r="B396" s="0" t="s">
        <v>27</v>
      </c>
      <c r="D396" s="13" t="n">
        <f aca="false">MAX(0,payout*(SUM(D377:F377)+0.75*(D393-D394)))</f>
        <v>879.17113251531</v>
      </c>
      <c r="E396" s="13" t="n">
        <f aca="false">MAX(0,payout*E395)</f>
        <v>1361.49935433998</v>
      </c>
      <c r="F396" s="13" t="n">
        <f aca="false">MAX(0,payout*F395)</f>
        <v>1351.0039994848</v>
      </c>
      <c r="G396" s="13" t="n">
        <f aca="false">MAX(0,payout*G395)</f>
        <v>1419.99893753192</v>
      </c>
      <c r="T396" s="8" t="s">
        <v>493</v>
      </c>
    </row>
    <row r="397" customFormat="false" ht="17.15" hidden="false" customHeight="false" outlineLevel="0" collapsed="false">
      <c r="A397" s="5" t="s">
        <v>494</v>
      </c>
      <c r="B397" s="0" t="s">
        <v>27</v>
      </c>
      <c r="C397" s="13" t="n">
        <f aca="false">eq25</f>
        <v>1399.1</v>
      </c>
      <c r="D397" s="13" t="n">
        <f aca="false">eq_j+SUM(D377:F377)-D396</f>
        <v>6018.48453006124</v>
      </c>
      <c r="E397" s="13" t="n">
        <f aca="false">D397+E392-E396</f>
        <v>11614.4819474212</v>
      </c>
      <c r="F397" s="13" t="n">
        <f aca="false">E397+F392-F396</f>
        <v>17168.4979453604</v>
      </c>
      <c r="G397" s="13" t="n">
        <f aca="false">F397+G392-G396</f>
        <v>22998.4936954881</v>
      </c>
      <c r="T397" s="8" t="s">
        <v>495</v>
      </c>
    </row>
    <row r="398" customFormat="false" ht="15" hidden="false" customHeight="false" outlineLevel="0" collapsed="false">
      <c r="A398" s="5" t="s">
        <v>496</v>
      </c>
      <c r="B398" s="0" t="s">
        <v>27</v>
      </c>
      <c r="D398" s="13" t="n">
        <f aca="false">nc_j+(SUM(D377:F377)+0.75*(D393-D394))-D396</f>
        <v>3673.08453006124</v>
      </c>
      <c r="E398" s="13" t="n">
        <f aca="false">D398+E395-E396</f>
        <v>9119.08194742117</v>
      </c>
      <c r="F398" s="13" t="n">
        <f aca="false">E398+F395-F396</f>
        <v>14523.0979453604</v>
      </c>
      <c r="G398" s="13" t="n">
        <f aca="false">F398+G395-G396</f>
        <v>20203.0936954881</v>
      </c>
    </row>
    <row r="399" customFormat="false" ht="15" hidden="false" customHeight="false" outlineLevel="0" collapsed="false">
      <c r="A399" s="5" t="s">
        <v>497</v>
      </c>
      <c r="B399" s="5" t="s">
        <v>209</v>
      </c>
      <c r="D399" s="13" t="n">
        <f aca="false">sh0-D396/bb_px*1000</f>
        <v>1575.11634579025</v>
      </c>
      <c r="E399" s="13" t="n">
        <f aca="false">D399-E396/bb_px*1000</f>
        <v>1468.37394247077</v>
      </c>
      <c r="F399" s="13" t="n">
        <f aca="false">E399-F396/bb_px*1000</f>
        <v>1362.45438155468</v>
      </c>
      <c r="G399" s="13" t="n">
        <f aca="false">F399-G396/bb_px*1000</f>
        <v>1251.12557422172</v>
      </c>
    </row>
    <row r="400" customFormat="false" ht="17.15" hidden="false" customHeight="false" outlineLevel="0" collapsed="false">
      <c r="A400" s="0" t="s">
        <v>498</v>
      </c>
      <c r="B400" s="0" t="s">
        <v>108</v>
      </c>
      <c r="C400" s="17" t="n">
        <f aca="false">a25_eps</f>
        <v>341.4</v>
      </c>
      <c r="D400" s="17" t="n">
        <f aca="false">D392/(D399+dil)*1000</f>
        <v>3353.39171987261</v>
      </c>
      <c r="E400" s="17" t="n">
        <f aca="false">E392/(E399+dil)*1000</f>
        <v>4687.23506606559</v>
      </c>
      <c r="F400" s="17" t="n">
        <f aca="false">F392/(F399+dil)*1000</f>
        <v>5009.33557573177</v>
      </c>
      <c r="G400" s="17" t="n">
        <f aca="false">G392/(G399+dil)*1000</f>
        <v>5721.71579352401</v>
      </c>
    </row>
    <row r="401" customFormat="false" ht="17.15" hidden="false" customHeight="false" outlineLevel="0" collapsed="false">
      <c r="A401" s="5" t="s">
        <v>499</v>
      </c>
      <c r="B401" s="0" t="s">
        <v>108</v>
      </c>
      <c r="D401" s="17" t="n">
        <f aca="false">D397/D399*1000</f>
        <v>3820.97776214855</v>
      </c>
      <c r="E401" s="17" t="n">
        <f aca="false">E397/E399*1000</f>
        <v>7909.75759749451</v>
      </c>
      <c r="F401" s="17" t="n">
        <f aca="false">F397/F399*1000</f>
        <v>12601.1543416005</v>
      </c>
      <c r="G401" s="17" t="n">
        <f aca="false">G397/G399*1000</f>
        <v>18382.2424937598</v>
      </c>
    </row>
    <row r="402" customFormat="false" ht="17.15" hidden="false" customHeight="false" outlineLevel="0" collapsed="false">
      <c r="A402" s="0" t="s">
        <v>500</v>
      </c>
      <c r="B402" s="0" t="s">
        <v>145</v>
      </c>
      <c r="D402" s="21" t="n">
        <f aca="false">D392/D397</f>
        <v>0.88652810120661</v>
      </c>
      <c r="E402" s="21" t="n">
        <f aca="false">E392/E397</f>
        <v>0.59903634128466</v>
      </c>
      <c r="F402" s="21" t="n">
        <f aca="false">F392/F397</f>
        <v>0.402191270278833</v>
      </c>
      <c r="G402" s="21" t="n">
        <f aca="false">G392/G397</f>
        <v>0.315237805729944</v>
      </c>
    </row>
    <row r="403" customFormat="false" ht="15" hidden="false" customHeight="false" outlineLevel="0" collapsed="false">
      <c r="A403" s="5" t="s">
        <v>501</v>
      </c>
      <c r="B403" s="0" t="s">
        <v>108</v>
      </c>
      <c r="E403" s="17" t="n">
        <f aca="false">E395/(E399+dil)*1000</f>
        <v>4586.18072382433</v>
      </c>
      <c r="F403" s="17" t="n">
        <f aca="false">F395/(F399+dil)*1000</f>
        <v>4900.51614629636</v>
      </c>
      <c r="G403" s="17" t="n">
        <f aca="false">G395/(G399+dil)*1000</f>
        <v>5603.33538001978</v>
      </c>
    </row>
    <row r="404" customFormat="false" ht="17.15" hidden="false" customHeight="false" outlineLevel="0" collapsed="false">
      <c r="A404" s="5" t="s">
        <v>502</v>
      </c>
      <c r="B404" s="0" t="s">
        <v>27</v>
      </c>
      <c r="D404" s="18" t="n">
        <f aca="false">ABS(C364-q1_rev)+ABS(D375-g2_op)+ABS(C381-2337.6)</f>
        <v>0</v>
      </c>
    </row>
    <row r="410" customFormat="false" ht="17.15" hidden="false" customHeight="false" outlineLevel="0" collapsed="false">
      <c r="A410" s="3" t="s">
        <v>824</v>
      </c>
    </row>
    <row r="411" customFormat="false" ht="17.15" hidden="false" customHeight="false" outlineLevel="0" collapsed="false">
      <c r="A411" s="12" t="s">
        <v>442</v>
      </c>
      <c r="B411" s="6" t="s">
        <v>17</v>
      </c>
      <c r="C411" s="12" t="s">
        <v>443</v>
      </c>
      <c r="D411" s="12" t="s">
        <v>444</v>
      </c>
      <c r="E411" s="12" t="s">
        <v>445</v>
      </c>
      <c r="F411" s="12" t="s">
        <v>446</v>
      </c>
      <c r="G411" s="12" t="s">
        <v>447</v>
      </c>
      <c r="H411" s="12" t="s">
        <v>448</v>
      </c>
      <c r="I411" s="12" t="s">
        <v>449</v>
      </c>
      <c r="J411" s="12" t="s">
        <v>450</v>
      </c>
      <c r="K411" s="12" t="s">
        <v>451</v>
      </c>
      <c r="L411" s="12" t="s">
        <v>452</v>
      </c>
      <c r="M411" s="12" t="s">
        <v>453</v>
      </c>
      <c r="N411" s="12" t="s">
        <v>454</v>
      </c>
      <c r="O411" s="12" t="s">
        <v>455</v>
      </c>
      <c r="P411" s="12" t="s">
        <v>456</v>
      </c>
      <c r="Q411" s="12" t="s">
        <v>457</v>
      </c>
      <c r="R411" s="12" t="s">
        <v>458</v>
      </c>
      <c r="S411" s="12"/>
      <c r="T411" s="6" t="s">
        <v>330</v>
      </c>
    </row>
    <row r="412" customFormat="false" ht="17.15" hidden="false" customHeight="false" outlineLevel="0" collapsed="false">
      <c r="A412" s="5" t="s">
        <v>459</v>
      </c>
      <c r="B412" s="0" t="s">
        <v>391</v>
      </c>
      <c r="C412" s="19" t="n">
        <f aca="false">Units!H4*1</f>
        <v>10.72</v>
      </c>
      <c r="D412" s="19" t="n">
        <f aca="false">Units!I4*1</f>
        <v>14.9513168749304</v>
      </c>
      <c r="E412" s="19" t="n">
        <f aca="false">Units!J4*1*1</f>
        <v>16.2035648188888</v>
      </c>
      <c r="F412" s="19" t="n">
        <f aca="false">Units!K4*1*1</f>
        <v>17.8543449815733</v>
      </c>
      <c r="G412" s="19" t="n">
        <f aca="false">Units!L4*1*1</f>
        <v>18.8786713110699</v>
      </c>
      <c r="H412" s="19" t="n">
        <f aca="false">Units!M4*1*1</f>
        <v>18.9636763094518</v>
      </c>
      <c r="I412" s="19" t="n">
        <f aca="false">Units!N4*1*1</f>
        <v>18.6480311322868</v>
      </c>
      <c r="J412" s="19" t="n">
        <f aca="false">Units!O4*1*1</f>
        <v>18.7319976270738</v>
      </c>
      <c r="K412" s="19" t="n">
        <f aca="false">Units!P4*1*1</f>
        <v>18.8163421978194</v>
      </c>
      <c r="L412" s="19" t="n">
        <f aca="false">Units!Q4*1*1</f>
        <v>18.9010665468864</v>
      </c>
      <c r="M412" s="19" t="n">
        <f aca="false">Units!R4*1*1</f>
        <v>18.9861723843027</v>
      </c>
      <c r="N412" s="19" t="n">
        <f aca="false">Units!S4*1*1</f>
        <v>19.1874193215442</v>
      </c>
      <c r="O412" s="19" t="n">
        <f aca="false">Units!T4*1*1</f>
        <v>19.5604237366471</v>
      </c>
      <c r="P412" s="19" t="n">
        <f aca="false">Units!U4*1*1</f>
        <v>19.9406793766988</v>
      </c>
      <c r="Q412" s="19" t="n">
        <f aca="false">Units!V4*1*1</f>
        <v>20.3283272058839</v>
      </c>
      <c r="R412" s="19" t="n">
        <f aca="false">Units!W4*1*1</f>
        <v>20.0593273219312</v>
      </c>
      <c r="T412" s="8" t="s">
        <v>460</v>
      </c>
    </row>
    <row r="413" customFormat="false" ht="15" hidden="false" customHeight="false" outlineLevel="0" collapsed="false">
      <c r="A413" s="5" t="s">
        <v>461</v>
      </c>
      <c r="B413" s="0" t="s">
        <v>398</v>
      </c>
      <c r="C413" s="19" t="n">
        <f aca="false">Units!H7*1</f>
        <v>40.1757580440862</v>
      </c>
      <c r="D413" s="19" t="n">
        <f aca="false">Units!I7*1</f>
        <v>44.8269021796765</v>
      </c>
      <c r="E413" s="19" t="n">
        <f aca="false">Units!J7*1</f>
        <v>44.9411476117569</v>
      </c>
      <c r="F413" s="19" t="n">
        <f aca="false">Units!K7*1</f>
        <v>48.0773237904583</v>
      </c>
      <c r="G413" s="19" t="n">
        <f aca="false">Units!L7*1</f>
        <v>50.835580599158</v>
      </c>
      <c r="H413" s="19" t="n">
        <f aca="false">Units!M7*1</f>
        <v>53.7520820858664</v>
      </c>
      <c r="I413" s="19" t="n">
        <f aca="false">Units!N7*1</f>
        <v>56.8359069476934</v>
      </c>
      <c r="J413" s="19" t="n">
        <f aca="false">Units!O7*1</f>
        <v>60.0966547380729</v>
      </c>
      <c r="K413" s="19" t="n">
        <f aca="false">Units!P7*1</f>
        <v>63.5444757489475</v>
      </c>
      <c r="L413" s="19" t="n">
        <f aca="false">Units!Q7*1</f>
        <v>67.190102607333</v>
      </c>
      <c r="M413" s="19" t="n">
        <f aca="false">Units!R7*1</f>
        <v>71.0448836846168</v>
      </c>
      <c r="N413" s="19" t="n">
        <f aca="false">Units!S7*1</f>
        <v>74.0184898623123</v>
      </c>
      <c r="O413" s="19" t="n">
        <f aca="false">Units!T7*1</f>
        <v>77.7911475249602</v>
      </c>
      <c r="P413" s="19" t="n">
        <f aca="false">Units!U7*1</f>
        <v>81.7560942476254</v>
      </c>
      <c r="Q413" s="19" t="n">
        <f aca="false">Units!V7*1</f>
        <v>85.9231308354458</v>
      </c>
      <c r="R413" s="19" t="n">
        <f aca="false">Units!W7*1</f>
        <v>87.5395173614874</v>
      </c>
    </row>
    <row r="414" customFormat="false" ht="17.15" hidden="false" customHeight="false" outlineLevel="0" collapsed="false">
      <c r="A414" s="5" t="s">
        <v>354</v>
      </c>
      <c r="B414" s="0" t="s">
        <v>27</v>
      </c>
      <c r="C414" s="13" t="n">
        <f aca="false">q1_rev</f>
        <v>1767.1</v>
      </c>
      <c r="D414" s="13" t="n">
        <f aca="false">g2_rev</f>
        <v>2480</v>
      </c>
      <c r="E414" s="13" t="n">
        <f aca="false">E412*kx_k*fx</f>
        <v>2671.01859994948</v>
      </c>
      <c r="F414" s="13" t="n">
        <f aca="false">F412*kx_k*fx</f>
        <v>2943.13554262483</v>
      </c>
      <c r="G414" s="13" t="n">
        <f aca="false">G412*kx_k*fx</f>
        <v>3111.98694718205</v>
      </c>
      <c r="H414" s="13" t="n">
        <f aca="false">H412*kx_k*fx</f>
        <v>3125.9992916448</v>
      </c>
      <c r="I414" s="13" t="n">
        <f aca="false">I412*kx_k*fx</f>
        <v>3073.96789308433</v>
      </c>
      <c r="J414" s="13" t="n">
        <f aca="false">J412*kx_k*fx</f>
        <v>3087.80904914199</v>
      </c>
      <c r="K414" s="13" t="n">
        <f aca="false">K412*kx_k*fx</f>
        <v>3101.71252777674</v>
      </c>
      <c r="L414" s="13" t="n">
        <f aca="false">L412*kx_k*fx</f>
        <v>3115.67860960848</v>
      </c>
      <c r="M414" s="13" t="n">
        <f aca="false">M412*kx_k*fx</f>
        <v>3129.70757652064</v>
      </c>
      <c r="N414" s="13" t="n">
        <f aca="false">N412*kx_k*fx</f>
        <v>3162.88140700567</v>
      </c>
      <c r="O414" s="13" t="n">
        <f aca="false">O412*kx_k*fx</f>
        <v>3224.36798367809</v>
      </c>
      <c r="P414" s="13" t="n">
        <f aca="false">P412*kx_k*fx</f>
        <v>3287.04986255265</v>
      </c>
      <c r="Q414" s="13" t="n">
        <f aca="false">Q412*kx_k*fx</f>
        <v>3350.95028036543</v>
      </c>
      <c r="R414" s="13" t="n">
        <f aca="false">R412*kx_k*fx</f>
        <v>3306.60795807692</v>
      </c>
      <c r="T414" s="5" t="s">
        <v>462</v>
      </c>
    </row>
    <row r="415" customFormat="false" ht="17.15" hidden="false" customHeight="false" outlineLevel="0" collapsed="false">
      <c r="A415" s="0" t="s">
        <v>463</v>
      </c>
      <c r="B415" s="0" t="s">
        <v>27</v>
      </c>
      <c r="C415" s="13" t="n">
        <f aca="false">q1_ss</f>
        <v>1174.7</v>
      </c>
      <c r="D415" s="13" t="n">
        <f aca="false">D414*sssh_26</f>
        <v>1636.8</v>
      </c>
      <c r="E415" s="13" t="n">
        <f aca="false">E414*sssh_26</f>
        <v>1762.87227596666</v>
      </c>
      <c r="F415" s="13" t="n">
        <f aca="false">F414*sssh_26</f>
        <v>1942.46945813239</v>
      </c>
      <c r="G415" s="13" t="n">
        <f aca="false">G414*sssh_27</f>
        <v>2116.1511240838</v>
      </c>
      <c r="H415" s="13" t="n">
        <f aca="false">H414*sssh_27</f>
        <v>2125.67951831847</v>
      </c>
      <c r="I415" s="13" t="n">
        <f aca="false">I414*sssh_27</f>
        <v>2090.29816729734</v>
      </c>
      <c r="J415" s="13" t="n">
        <f aca="false">J414*sssh_27</f>
        <v>2099.71015341655</v>
      </c>
      <c r="K415" s="13" t="n">
        <f aca="false">K414*sssh_28</f>
        <v>2171.19876944372</v>
      </c>
      <c r="L415" s="13" t="n">
        <f aca="false">L414*sssh_28</f>
        <v>2180.97502672594</v>
      </c>
      <c r="M415" s="13" t="n">
        <f aca="false">M414*sssh_28</f>
        <v>2190.79530356445</v>
      </c>
      <c r="N415" s="13" t="n">
        <f aca="false">N414*sssh_28</f>
        <v>2214.01698490397</v>
      </c>
      <c r="O415" s="13" t="n">
        <f aca="false">O414*sssh_29</f>
        <v>2257.05758857466</v>
      </c>
      <c r="P415" s="13" t="n">
        <f aca="false">P414*sssh_29</f>
        <v>2300.93490378686</v>
      </c>
      <c r="Q415" s="13" t="n">
        <f aca="false">Q414*sssh_29</f>
        <v>2345.6651962558</v>
      </c>
      <c r="R415" s="13" t="n">
        <f aca="false">R414*sssh_29</f>
        <v>2314.62557065385</v>
      </c>
      <c r="T415" s="5" t="s">
        <v>464</v>
      </c>
    </row>
    <row r="416" customFormat="false" ht="17.15" hidden="false" customHeight="false" outlineLevel="0" collapsed="false">
      <c r="A416" s="0" t="s">
        <v>465</v>
      </c>
      <c r="B416" s="0" t="s">
        <v>27</v>
      </c>
      <c r="C416" s="13" t="n">
        <f aca="false">C415*(0.75*Units!D16+0.25*Units!E16)</f>
        <v>687.403351447223</v>
      </c>
      <c r="D416" s="13" t="n">
        <f aca="false">D415*(0.75*Units!D16+0.25*Units!E16)</f>
        <v>957.812041924589</v>
      </c>
      <c r="E416" s="13" t="n">
        <f aca="false">E415*(0.75*Units!D16+0.25*Units!E16)</f>
        <v>1031.58620130491</v>
      </c>
      <c r="F416" s="13" t="n">
        <f aca="false">F415*(0.75*Units!D16+0.25*Units!E16)</f>
        <v>1136.68171925094</v>
      </c>
      <c r="G416" s="13" t="n">
        <f aca="false">G415*(0.75*Units!E16+0.25*Units!F16)</f>
        <v>1457.97622792167</v>
      </c>
      <c r="H416" s="13" t="n">
        <f aca="false">H415*(0.75*Units!E16+0.25*Units!F16)</f>
        <v>1464.54105787464</v>
      </c>
      <c r="I416" s="13" t="n">
        <f aca="false">I415*(0.75*Units!E16+0.25*Units!F16)</f>
        <v>1440.16417471471</v>
      </c>
      <c r="J416" s="13" t="n">
        <f aca="false">J415*(0.75*Units!E16+0.25*Units!F16)</f>
        <v>1446.64880233093</v>
      </c>
      <c r="K416" s="13" t="n">
        <f aca="false">K415*(0.75*Units!F16+0.25*Units!G16)</f>
        <v>1584.5436918192</v>
      </c>
      <c r="L416" s="13" t="n">
        <f aca="false">L415*(0.75*Units!F16+0.25*Units!G16)</f>
        <v>1591.67841712586</v>
      </c>
      <c r="M416" s="13" t="n">
        <f aca="false">M415*(0.75*Units!F16+0.25*Units!G16)</f>
        <v>1598.84526796208</v>
      </c>
      <c r="N416" s="13" t="n">
        <f aca="false">N415*(0.75*Units!F16+0.25*Units!G16)</f>
        <v>1615.79248127014</v>
      </c>
      <c r="O416" s="13" t="n">
        <f aca="false">O415*(0.75*Units!G16+0.25*Units!H16)</f>
        <v>1720.23366162982</v>
      </c>
      <c r="P416" s="13" t="n">
        <f aca="false">P415*(0.75*Units!G16+0.25*Units!H16)</f>
        <v>1753.67509218615</v>
      </c>
      <c r="Q416" s="13" t="n">
        <f aca="false">Q415*(0.75*Units!G16+0.25*Units!H16)</f>
        <v>1787.76662586661</v>
      </c>
      <c r="R416" s="13" t="n">
        <f aca="false">R415*(0.75*Units!G16+0.25*Units!H16)</f>
        <v>1764.10953839345</v>
      </c>
      <c r="T416" s="5" t="s">
        <v>466</v>
      </c>
    </row>
    <row r="417" customFormat="false" ht="17.15" hidden="false" customHeight="false" outlineLevel="0" collapsed="false">
      <c r="A417" s="0" t="s">
        <v>467</v>
      </c>
      <c r="B417" s="0" t="s">
        <v>27</v>
      </c>
      <c r="C417" s="13" t="n">
        <f aca="false">C415-C416</f>
        <v>487.296648552777</v>
      </c>
      <c r="D417" s="13" t="n">
        <f aca="false">D415-D416</f>
        <v>678.987958075412</v>
      </c>
      <c r="E417" s="13" t="n">
        <f aca="false">E415-E416</f>
        <v>731.28607466175</v>
      </c>
      <c r="F417" s="13" t="n">
        <f aca="false">F415-F416</f>
        <v>805.787738881452</v>
      </c>
      <c r="G417" s="13" t="n">
        <f aca="false">G415-G416</f>
        <v>658.174896162131</v>
      </c>
      <c r="H417" s="13" t="n">
        <f aca="false">H415-H416</f>
        <v>661.138460443822</v>
      </c>
      <c r="I417" s="13" t="n">
        <f aca="false">I415-I416</f>
        <v>650.133992582631</v>
      </c>
      <c r="J417" s="13" t="n">
        <f aca="false">J415-J416</f>
        <v>653.061351085617</v>
      </c>
      <c r="K417" s="13" t="n">
        <f aca="false">K415-K416</f>
        <v>586.65507762452</v>
      </c>
      <c r="L417" s="13" t="n">
        <f aca="false">L415-L416</f>
        <v>589.296609600079</v>
      </c>
      <c r="M417" s="13" t="n">
        <f aca="false">M415-M416</f>
        <v>591.950035602373</v>
      </c>
      <c r="N417" s="13" t="n">
        <f aca="false">N415-N416</f>
        <v>598.224503633827</v>
      </c>
      <c r="O417" s="13" t="n">
        <f aca="false">O415-O416</f>
        <v>536.82392694484</v>
      </c>
      <c r="P417" s="13" t="n">
        <f aca="false">P415-P416</f>
        <v>547.259811600705</v>
      </c>
      <c r="Q417" s="13" t="n">
        <f aca="false">Q415-Q416</f>
        <v>557.898570389192</v>
      </c>
      <c r="R417" s="13" t="n">
        <f aca="false">R415-R416</f>
        <v>550.516032260396</v>
      </c>
    </row>
    <row r="418" customFormat="false" ht="17.15" hidden="false" customHeight="false" outlineLevel="0" collapsed="false">
      <c r="A418" s="5" t="s">
        <v>468</v>
      </c>
      <c r="B418" s="0" t="s">
        <v>27</v>
      </c>
      <c r="C418" s="13" t="n">
        <f aca="false">q1_rev-q1_ss-q1_sd</f>
        <v>66.6999999999998</v>
      </c>
      <c r="D418" s="13" t="n">
        <f aca="false">D414*otsh_26</f>
        <v>99.2</v>
      </c>
      <c r="E418" s="13" t="n">
        <f aca="false">E414*otsh_26</f>
        <v>106.840743997979</v>
      </c>
      <c r="F418" s="13" t="n">
        <f aca="false">F414*otsh_26</f>
        <v>117.725421704993</v>
      </c>
      <c r="G418" s="13" t="n">
        <f aca="false">G414*otsh_27</f>
        <v>124.479477887282</v>
      </c>
      <c r="H418" s="13" t="n">
        <f aca="false">H414*otsh_27</f>
        <v>125.039971665792</v>
      </c>
      <c r="I418" s="13" t="n">
        <f aca="false">I414*otsh_27</f>
        <v>122.958715723373</v>
      </c>
      <c r="J418" s="13" t="n">
        <f aca="false">J414*otsh_27</f>
        <v>123.51236196568</v>
      </c>
      <c r="K418" s="13" t="n">
        <f aca="false">K414*otsh_28</f>
        <v>124.06850111107</v>
      </c>
      <c r="L418" s="13" t="n">
        <f aca="false">L414*otsh_28</f>
        <v>124.627144384339</v>
      </c>
      <c r="M418" s="13" t="n">
        <f aca="false">M414*otsh_28</f>
        <v>125.188303060826</v>
      </c>
      <c r="N418" s="13" t="n">
        <f aca="false">N414*otsh_28</f>
        <v>126.515256280227</v>
      </c>
      <c r="O418" s="13" t="n">
        <f aca="false">O414*otsh_29</f>
        <v>128.974719347123</v>
      </c>
      <c r="P418" s="13" t="n">
        <f aca="false">P414*otsh_29</f>
        <v>131.481994502106</v>
      </c>
      <c r="Q418" s="13" t="n">
        <f aca="false">Q414*otsh_29</f>
        <v>134.038011214617</v>
      </c>
      <c r="R418" s="13" t="n">
        <f aca="false">R414*otsh_29</f>
        <v>132.264318323077</v>
      </c>
      <c r="T418" s="5" t="s">
        <v>469</v>
      </c>
    </row>
    <row r="419" customFormat="false" ht="17.15" hidden="false" customHeight="false" outlineLevel="0" collapsed="false">
      <c r="A419" s="5" t="s">
        <v>470</v>
      </c>
      <c r="B419" s="0" t="s">
        <v>27</v>
      </c>
      <c r="C419" s="13" t="n">
        <f aca="false">q1_sd</f>
        <v>525.7</v>
      </c>
      <c r="D419" s="13" t="n">
        <f aca="false">D414-D415-D418</f>
        <v>744</v>
      </c>
      <c r="E419" s="13" t="n">
        <f aca="false">E414-E415-E418</f>
        <v>801.305579984843</v>
      </c>
      <c r="F419" s="13" t="n">
        <f aca="false">F414-F415-F418</f>
        <v>882.940662787449</v>
      </c>
      <c r="G419" s="13" t="n">
        <f aca="false">G414-G415-G418</f>
        <v>871.356345210975</v>
      </c>
      <c r="H419" s="13" t="n">
        <f aca="false">H414-H415-H418</f>
        <v>875.279801660544</v>
      </c>
      <c r="I419" s="13" t="n">
        <f aca="false">I414-I415-I418</f>
        <v>860.711010063612</v>
      </c>
      <c r="J419" s="13" t="n">
        <f aca="false">J414-J415-J418</f>
        <v>864.586533759756</v>
      </c>
      <c r="K419" s="13" t="n">
        <f aca="false">K414-K415-K418</f>
        <v>806.445257221952</v>
      </c>
      <c r="L419" s="13" t="n">
        <f aca="false">L414-L415-L418</f>
        <v>810.076438498206</v>
      </c>
      <c r="M419" s="13" t="n">
        <f aca="false">M414-M415-M418</f>
        <v>813.723969895367</v>
      </c>
      <c r="N419" s="13" t="n">
        <f aca="false">N414-N415-N418</f>
        <v>822.349165821474</v>
      </c>
      <c r="O419" s="13" t="n">
        <f aca="false">O414-O415-O418</f>
        <v>838.335675756302</v>
      </c>
      <c r="P419" s="13" t="n">
        <f aca="false">P414-P415-P418</f>
        <v>854.63296426369</v>
      </c>
      <c r="Q419" s="13" t="n">
        <f aca="false">Q414-Q415-Q418</f>
        <v>871.247072895013</v>
      </c>
      <c r="R419" s="13" t="n">
        <f aca="false">R414-R415-R418</f>
        <v>859.7180691</v>
      </c>
      <c r="T419" s="5" t="s">
        <v>471</v>
      </c>
    </row>
    <row r="420" customFormat="false" ht="15" hidden="false" customHeight="false" outlineLevel="0" collapsed="false">
      <c r="A420" s="5" t="s">
        <v>472</v>
      </c>
      <c r="B420" s="0" t="s">
        <v>27</v>
      </c>
      <c r="C420" s="18" t="n">
        <f aca="false">C415+C419+C418-C414</f>
        <v>0</v>
      </c>
      <c r="D420" s="18" t="n">
        <f aca="false">D415+D419+D418-D414</f>
        <v>0</v>
      </c>
      <c r="E420" s="18" t="n">
        <f aca="false">E415+E419+E418-E414</f>
        <v>0</v>
      </c>
      <c r="F420" s="18" t="n">
        <f aca="false">F415+F419+F418-F414</f>
        <v>0</v>
      </c>
      <c r="G420" s="18" t="n">
        <f aca="false">G415+G419+G418-G414</f>
        <v>0</v>
      </c>
      <c r="H420" s="18" t="n">
        <f aca="false">H415+H419+H418-H414</f>
        <v>0</v>
      </c>
      <c r="I420" s="18" t="n">
        <f aca="false">I415+I419+I418-I414</f>
        <v>0</v>
      </c>
      <c r="J420" s="18" t="n">
        <f aca="false">J415+J419+J418-J414</f>
        <v>0</v>
      </c>
      <c r="K420" s="18" t="n">
        <f aca="false">K415+K419+K418-K414</f>
        <v>0</v>
      </c>
      <c r="L420" s="18" t="n">
        <f aca="false">L415+L419+L418-L414</f>
        <v>0</v>
      </c>
      <c r="M420" s="18" t="n">
        <f aca="false">M415+M419+M418-M414</f>
        <v>0</v>
      </c>
      <c r="N420" s="18" t="n">
        <f aca="false">N415+N419+N418-N414</f>
        <v>0</v>
      </c>
      <c r="O420" s="18" t="n">
        <f aca="false">O415+O419+O418-O414</f>
        <v>0</v>
      </c>
      <c r="P420" s="18" t="n">
        <f aca="false">P415+P419+P418-P414</f>
        <v>0</v>
      </c>
      <c r="Q420" s="18" t="n">
        <f aca="false">Q415+Q419+Q418-Q414</f>
        <v>0</v>
      </c>
      <c r="R420" s="18" t="n">
        <f aca="false">R415+R419+R418-R414</f>
        <v>0</v>
      </c>
    </row>
    <row r="421" customFormat="false" ht="17.15" hidden="false" customHeight="false" outlineLevel="0" collapsed="false">
      <c r="A421" s="5" t="s">
        <v>473</v>
      </c>
      <c r="B421" s="0" t="s">
        <v>474</v>
      </c>
      <c r="C421" s="20" t="n">
        <f aca="false">C422/C413</f>
        <v>9.63267449926724</v>
      </c>
      <c r="D421" s="20" t="n">
        <f aca="false">D422/D413</f>
        <v>9.50991434320605</v>
      </c>
      <c r="E421" s="20" t="n">
        <f aca="false">$D421*(1-cd_A_hi)^(1/4)</f>
        <v>9.04961427097905</v>
      </c>
      <c r="F421" s="20" t="n">
        <f aca="false">$D421*(1-cd_A_hi)^(2/4)</f>
        <v>8.61159370084279</v>
      </c>
      <c r="G421" s="20" t="n">
        <f aca="false">$D421*(1-cd_A_hi)^(3/4)</f>
        <v>8.19477425753</v>
      </c>
      <c r="H421" s="20" t="n">
        <f aca="false">$D421*(1-cd_A_hi)^(4/4)</f>
        <v>7.79812976142896</v>
      </c>
      <c r="I421" s="20" t="n">
        <f aca="false">$D421*(1-cd_A_hi)^(5/4)</f>
        <v>7.42068370220282</v>
      </c>
      <c r="J421" s="20" t="n">
        <f aca="false">$D421*(1-cd_A_hi)^(6/4)</f>
        <v>7.06150683469109</v>
      </c>
      <c r="K421" s="20" t="n">
        <f aca="false">$D421*(1-cd_A_hi)^(7/4)</f>
        <v>6.7197148911746</v>
      </c>
      <c r="L421" s="20" t="n">
        <f aca="false">$D421*(1-cd_A_hi)^(8/4)</f>
        <v>6.39446640437175</v>
      </c>
      <c r="M421" s="20" t="n">
        <f aca="false">$D421*(1-cd_A_hi)^(9/4)</f>
        <v>6.08496063580632</v>
      </c>
      <c r="N421" s="20" t="n">
        <f aca="false">$D421*(1-cd_A_hi)^(10/4)</f>
        <v>5.79043560444669</v>
      </c>
      <c r="O421" s="20" t="n">
        <f aca="false">$D421*(1-cd_A_hi)^(11/4)</f>
        <v>5.51016621076317</v>
      </c>
      <c r="P421" s="20" t="n">
        <f aca="false">$D421*(1-cd_A_hi)^(12/4)</f>
        <v>5.24346245158483</v>
      </c>
      <c r="Q421" s="20" t="n">
        <f aca="false">$D421*(1-cd_A_hi)^(13/4)</f>
        <v>4.98966772136118</v>
      </c>
      <c r="R421" s="20" t="n">
        <f aca="false">$D421*(1-cd_A_hi)^(14/4)</f>
        <v>4.74815719564629</v>
      </c>
    </row>
    <row r="422" customFormat="false" ht="15" hidden="false" customHeight="false" outlineLevel="0" collapsed="false">
      <c r="A422" s="5" t="s">
        <v>475</v>
      </c>
      <c r="B422" s="0" t="s">
        <v>27</v>
      </c>
      <c r="C422" s="13" t="n">
        <f aca="false">q1_rev-q1_gp</f>
        <v>387</v>
      </c>
      <c r="D422" s="13" t="n">
        <f aca="false">g2_rev-g2_op-g2_ox</f>
        <v>426.3</v>
      </c>
      <c r="E422" s="13" t="n">
        <f aca="false">E413*E421</f>
        <v>406.700050781531</v>
      </c>
      <c r="F422" s="13" t="n">
        <f aca="false">F413*F421</f>
        <v>414.02237870729</v>
      </c>
      <c r="G422" s="13" t="n">
        <f aca="false">G413*G421</f>
        <v>416.586107260571</v>
      </c>
      <c r="H422" s="13" t="n">
        <f aca="false">H413*H421</f>
        <v>419.165711052567</v>
      </c>
      <c r="I422" s="13" t="n">
        <f aca="false">I413*I421</f>
        <v>421.761288386665</v>
      </c>
      <c r="J422" s="13" t="n">
        <f aca="false">J413*J421</f>
        <v>424.372938174972</v>
      </c>
      <c r="K422" s="13" t="n">
        <f aca="false">K413*K421</f>
        <v>427.000759942086</v>
      </c>
      <c r="L422" s="13" t="n">
        <f aca="false">L413*L421</f>
        <v>429.644853828881</v>
      </c>
      <c r="M422" s="13" t="n">
        <f aca="false">M413*M421</f>
        <v>432.305320596332</v>
      </c>
      <c r="N422" s="13" t="n">
        <f aca="false">N413*N421</f>
        <v>428.59929908611</v>
      </c>
      <c r="O422" s="13" t="n">
        <f aca="false">O413*O421</f>
        <v>428.642152588529</v>
      </c>
      <c r="P422" s="13" t="n">
        <f aca="false">P413*P421</f>
        <v>428.685010375655</v>
      </c>
      <c r="Q422" s="13" t="n">
        <f aca="false">Q413*Q421</f>
        <v>428.727872447917</v>
      </c>
      <c r="R422" s="13" t="n">
        <f aca="false">R413*R421</f>
        <v>415.65138926335</v>
      </c>
      <c r="T422" s="5" t="s">
        <v>476</v>
      </c>
    </row>
    <row r="423" customFormat="false" ht="15" hidden="false" customHeight="false" outlineLevel="0" collapsed="false">
      <c r="A423" s="5" t="s">
        <v>360</v>
      </c>
      <c r="B423" s="0" t="s">
        <v>145</v>
      </c>
      <c r="C423" s="14" t="n">
        <f aca="false">1-C422/C414</f>
        <v>0.780997113915455</v>
      </c>
      <c r="D423" s="14" t="n">
        <f aca="false">1-D422/D414</f>
        <v>0.828104838709677</v>
      </c>
      <c r="E423" s="14" t="n">
        <f aca="false">1-E422/E414</f>
        <v>0.847735972041069</v>
      </c>
      <c r="F423" s="14" t="n">
        <f aca="false">1-F422/F414</f>
        <v>0.859326091948166</v>
      </c>
      <c r="G423" s="14" t="n">
        <f aca="false">1-G422/G414</f>
        <v>0.866135008169686</v>
      </c>
      <c r="H423" s="14" t="n">
        <f aca="false">1-H422/H414</f>
        <v>0.86590985091618</v>
      </c>
      <c r="I423" s="14" t="n">
        <f aca="false">1-I422/I414</f>
        <v>0.862795805598515</v>
      </c>
      <c r="J423" s="14" t="n">
        <f aca="false">1-J422/J414</f>
        <v>0.862565031897651</v>
      </c>
      <c r="K423" s="14" t="n">
        <f aca="false">1-K422/K414</f>
        <v>0.862333870041737</v>
      </c>
      <c r="L423" s="14" t="n">
        <f aca="false">1-L422/L414</f>
        <v>0.862102319377906</v>
      </c>
      <c r="M423" s="14" t="n">
        <f aca="false">1-M422/M414</f>
        <v>0.861870379252194</v>
      </c>
      <c r="N423" s="14" t="n">
        <f aca="false">1-N422/N414</f>
        <v>0.864490872741299</v>
      </c>
      <c r="O423" s="14" t="n">
        <f aca="false">1-O422/O414</f>
        <v>0.867061652156845</v>
      </c>
      <c r="P423" s="14" t="n">
        <f aca="false">1-P422/P414</f>
        <v>0.869583660637643</v>
      </c>
      <c r="Q423" s="14" t="n">
        <f aca="false">1-Q422/Q414</f>
        <v>0.872057823429967</v>
      </c>
      <c r="R423" s="14" t="n">
        <f aca="false">1-R422/R414</f>
        <v>0.874296743208383</v>
      </c>
    </row>
    <row r="424" customFormat="false" ht="17.15" hidden="false" customHeight="false" outlineLevel="0" collapsed="false">
      <c r="A424" s="5" t="s">
        <v>477</v>
      </c>
      <c r="B424" s="0" t="s">
        <v>27</v>
      </c>
      <c r="C424" s="13" t="n">
        <f aca="false">q1_gp-q1_op</f>
        <v>110.1</v>
      </c>
      <c r="D424" s="13" t="n">
        <f aca="false">g2_ox</f>
        <v>59</v>
      </c>
      <c r="E424" s="13" t="n">
        <f aca="false">(g2_ox-ox_var*g2_rev)*(1+ox_g)^(1/4)+ox_var*E414</f>
        <v>61.7348741661828</v>
      </c>
      <c r="F424" s="13" t="n">
        <f aca="false">(g2_ox-ox_var*g2_rev)*(1+ox_g)^(2/4)+ox_var*F414</f>
        <v>65.3006180336675</v>
      </c>
      <c r="G424" s="13" t="n">
        <f aca="false">(g2_ox-ox_var*g2_rev)*(1+ox_g)^(3/4)+ox_var*G414</f>
        <v>67.8540723254433</v>
      </c>
      <c r="H424" s="13" t="n">
        <f aca="false">(g2_ox-ox_var*g2_rev)*(1+ox_g)^(4/4)+ox_var*H414</f>
        <v>68.879992916448</v>
      </c>
      <c r="I424" s="13" t="n">
        <f aca="false">(g2_ox-ox_var*g2_rev)*(1+ox_g)^(5/4)+ox_var*I414</f>
        <v>69.2668359142001</v>
      </c>
      <c r="J424" s="13" t="n">
        <f aca="false">(g2_ox-ox_var*g2_rev)*(1+ox_g)^(6/4)+ox_var*J414</f>
        <v>70.334279359581</v>
      </c>
      <c r="K424" s="13" t="n">
        <f aca="false">(g2_ox-ox_var*g2_rev)*(1+ox_g)^(7/4)+ox_var*K414</f>
        <v>71.4247484167525</v>
      </c>
      <c r="L424" s="13" t="n">
        <f aca="false">(g2_ox-ox_var*g2_rev)*(1+ox_g)^(8/4)+ox_var*L414</f>
        <v>72.5387860960849</v>
      </c>
      <c r="M424" s="13" t="n">
        <f aca="false">(g2_ox-ox_var*g2_rev)*(1+ox_g)^(9/4)+ox_var*M414</f>
        <v>73.676948446899</v>
      </c>
      <c r="N424" s="13" t="n">
        <f aca="false">(g2_ox-ox_var*g2_rev)*(1+ox_g)^(10/4)+ox_var*N414</f>
        <v>75.0306218250339</v>
      </c>
      <c r="O424" s="13" t="n">
        <f aca="false">(g2_ox-ox_var*g2_rev)*(1+ox_g)^(11/4)+ox_var*O414</f>
        <v>76.6920652896645</v>
      </c>
      <c r="P424" s="13" t="n">
        <f aca="false">(g2_ox-ox_var*g2_rev)*(1+ox_g)^(12/4)+ox_var*P414</f>
        <v>78.3906986255266</v>
      </c>
      <c r="Q424" s="13" t="n">
        <f aca="false">(g2_ox-ox_var*g2_rev)*(1+ox_g)^(13/4)+ox_var*Q414</f>
        <v>80.1273627535161</v>
      </c>
      <c r="R424" s="13" t="n">
        <f aca="false">(g2_ox-ox_var*g2_rev)*(1+ox_g)^(14/4)+ox_var*R414</f>
        <v>80.8080681112442</v>
      </c>
      <c r="T424" s="5" t="s">
        <v>478</v>
      </c>
    </row>
    <row r="425" customFormat="false" ht="15" hidden="false" customHeight="false" outlineLevel="0" collapsed="false">
      <c r="A425" s="5" t="s">
        <v>358</v>
      </c>
      <c r="B425" s="0" t="s">
        <v>27</v>
      </c>
      <c r="C425" s="13" t="n">
        <f aca="false">C414-C422-C424</f>
        <v>1270</v>
      </c>
      <c r="D425" s="13" t="n">
        <f aca="false">D414-D422-D424</f>
        <v>1994.7</v>
      </c>
      <c r="E425" s="13" t="n">
        <f aca="false">E414-E422-E424</f>
        <v>2202.58367500176</v>
      </c>
      <c r="F425" s="13" t="n">
        <f aca="false">F414-F422-F424</f>
        <v>2463.81254588387</v>
      </c>
      <c r="G425" s="13" t="n">
        <f aca="false">G414-G422-G424</f>
        <v>2627.54676759604</v>
      </c>
      <c r="H425" s="13" t="n">
        <f aca="false">H414-H422-H424</f>
        <v>2637.95358767579</v>
      </c>
      <c r="I425" s="13" t="n">
        <f aca="false">I414-I422-I424</f>
        <v>2582.93976878346</v>
      </c>
      <c r="J425" s="13" t="n">
        <f aca="false">J414-J422-J424</f>
        <v>2593.10183160743</v>
      </c>
      <c r="K425" s="13" t="n">
        <f aca="false">K414-K422-K424</f>
        <v>2603.2870194179</v>
      </c>
      <c r="L425" s="13" t="n">
        <f aca="false">L414-L422-L424</f>
        <v>2613.49496968352</v>
      </c>
      <c r="M425" s="13" t="n">
        <f aca="false">M414-M422-M424</f>
        <v>2623.72530747741</v>
      </c>
      <c r="N425" s="13" t="n">
        <f aca="false">N414-N422-N424</f>
        <v>2659.25148609452</v>
      </c>
      <c r="O425" s="13" t="n">
        <f aca="false">O414-O422-O424</f>
        <v>2719.03376579989</v>
      </c>
      <c r="P425" s="13" t="n">
        <f aca="false">P414-P422-P424</f>
        <v>2779.97415355147</v>
      </c>
      <c r="Q425" s="13" t="n">
        <f aca="false">Q414-Q422-Q424</f>
        <v>2842.095045164</v>
      </c>
      <c r="R425" s="13" t="n">
        <f aca="false">R414-R422-R424</f>
        <v>2810.14850070233</v>
      </c>
    </row>
    <row r="427" customFormat="false" ht="17.15" hidden="false" customHeight="false" outlineLevel="0" collapsed="false">
      <c r="A427" s="5" t="s">
        <v>359</v>
      </c>
      <c r="B427" s="0" t="s">
        <v>27</v>
      </c>
      <c r="C427" s="13" t="n">
        <f aca="false">q1_ni</f>
        <v>842.2</v>
      </c>
      <c r="D427" s="13" t="n">
        <f aca="false">g2_ni</f>
        <v>1360</v>
      </c>
      <c r="E427" s="13" t="n">
        <f aca="false">(E425+nonop_q+rf*nc_j/4)*(1-tax)</f>
        <v>1487.8227790012</v>
      </c>
      <c r="F427" s="13" t="n">
        <f aca="false">(F425+nonop_q+rf*nc_j/4)*(1-tax)</f>
        <v>1665.45841120103</v>
      </c>
      <c r="G427" s="13" t="n">
        <f aca="false">(G425+nonop_q+rf*$D448/4)*(1-tax)</f>
        <v>1782.80314438398</v>
      </c>
      <c r="H427" s="13" t="n">
        <f aca="false">(H425+nonop_q+rf*$D448/4)*(1-tax)</f>
        <v>1789.87978203821</v>
      </c>
      <c r="I427" s="13" t="n">
        <f aca="false">(I425+nonop_q+rf*$D448/4)*(1-tax)</f>
        <v>1752.47038519143</v>
      </c>
      <c r="J427" s="13" t="n">
        <f aca="false">(J425+nonop_q+rf*$D448/4)*(1-tax)</f>
        <v>1759.38058791173</v>
      </c>
      <c r="K427" s="13" t="n">
        <f aca="false">(K425+nonop_q+rf*$E448/4)*(1-tax)</f>
        <v>1775.7374817262</v>
      </c>
      <c r="L427" s="13" t="n">
        <f aca="false">(L425+nonop_q+rf*$E448/4)*(1-tax)</f>
        <v>1782.67888790682</v>
      </c>
      <c r="M427" s="13" t="n">
        <f aca="false">(M425+nonop_q+rf*$E448/4)*(1-tax)</f>
        <v>1789.63551760667</v>
      </c>
      <c r="N427" s="13" t="n">
        <f aca="false">(N425+nonop_q+rf*$E448/4)*(1-tax)</f>
        <v>1813.79331906631</v>
      </c>
      <c r="O427" s="13" t="n">
        <f aca="false">(O425+nonop_q+rf*$F448/4)*(1-tax)</f>
        <v>1863.98137874653</v>
      </c>
      <c r="P427" s="13" t="n">
        <f aca="false">(P425+nonop_q+rf*$F448/4)*(1-tax)</f>
        <v>1905.42084241761</v>
      </c>
      <c r="Q427" s="13" t="n">
        <f aca="false">(Q425+nonop_q+rf*$F448/4)*(1-tax)</f>
        <v>1947.66304871413</v>
      </c>
      <c r="R427" s="13" t="n">
        <f aca="false">(R425+nonop_q+rf*$F448/4)*(1-tax)</f>
        <v>1925.93939848019</v>
      </c>
      <c r="T427" s="5" t="s">
        <v>479</v>
      </c>
    </row>
    <row r="428" customFormat="false" ht="17.15" hidden="false" customHeight="false" outlineLevel="0" collapsed="false">
      <c r="A428" s="5" t="s">
        <v>480</v>
      </c>
      <c r="B428" s="0" t="s">
        <v>108</v>
      </c>
      <c r="C428" s="17" t="n">
        <f aca="false">C427/(sh0+dil)*1000</f>
        <v>507.343332753891</v>
      </c>
      <c r="D428" s="17" t="n">
        <f aca="false">D427/(sh0+dil)*1000</f>
        <v>819.267314824616</v>
      </c>
      <c r="E428" s="17" t="n">
        <f aca="false">E427/(sh0+dil)*1000</f>
        <v>896.268068446478</v>
      </c>
      <c r="F428" s="17" t="n">
        <f aca="false">F427/(sh0+dil)*1000</f>
        <v>1003.2762062476</v>
      </c>
      <c r="G428" s="17" t="n">
        <f aca="false">G427/(sh0+dil)*1000</f>
        <v>1073.96495952967</v>
      </c>
      <c r="H428" s="17" t="n">
        <f aca="false">H427/(sh0+dil)*1000</f>
        <v>1078.22794330096</v>
      </c>
      <c r="I428" s="17" t="n">
        <f aca="false">I427/(sh0+dil)*1000</f>
        <v>1055.69243145988</v>
      </c>
      <c r="J428" s="17" t="n">
        <f aca="false">J427/(sh0+dil)*1000</f>
        <v>1059.85515442132</v>
      </c>
      <c r="K428" s="17" t="n">
        <f aca="false">K427/(sh0+dil)*1000</f>
        <v>1069.70858712298</v>
      </c>
      <c r="L428" s="17" t="n">
        <f aca="false">L427/(sh0+dil)*1000</f>
        <v>1073.89010712497</v>
      </c>
      <c r="M428" s="17" t="n">
        <f aca="false">M427/(sh0+dil)*1000</f>
        <v>1078.08079781204</v>
      </c>
      <c r="N428" s="17" t="n">
        <f aca="false">N427/(sh0+dil)*1000</f>
        <v>1092.63351629285</v>
      </c>
      <c r="O428" s="17" t="n">
        <f aca="false">O427/(sh0+dil)*1000</f>
        <v>1122.86692577114</v>
      </c>
      <c r="P428" s="17" t="n">
        <f aca="false">P427/(sh0+dil)*1000</f>
        <v>1147.83015968995</v>
      </c>
      <c r="Q428" s="17" t="n">
        <f aca="false">Q427/(sh0+dil)*1000</f>
        <v>1173.2769677229</v>
      </c>
      <c r="R428" s="17" t="n">
        <f aca="false">R427/(sh0+dil)*1000</f>
        <v>1160.19058787338</v>
      </c>
    </row>
    <row r="430" customFormat="false" ht="17.15" hidden="false" customHeight="false" outlineLevel="0" collapsed="false">
      <c r="A430" s="12" t="s">
        <v>481</v>
      </c>
      <c r="B430" s="6" t="s">
        <v>17</v>
      </c>
      <c r="C430" s="12" t="s">
        <v>425</v>
      </c>
      <c r="D430" s="12" t="s">
        <v>426</v>
      </c>
      <c r="E430" s="12" t="s">
        <v>427</v>
      </c>
      <c r="F430" s="12" t="s">
        <v>428</v>
      </c>
      <c r="G430" s="12" t="s">
        <v>429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6" t="s">
        <v>330</v>
      </c>
    </row>
    <row r="431" customFormat="false" ht="17.15" hidden="false" customHeight="false" outlineLevel="0" collapsed="false">
      <c r="A431" s="5" t="s">
        <v>354</v>
      </c>
      <c r="B431" s="0" t="s">
        <v>27</v>
      </c>
      <c r="C431" s="13" t="n">
        <f aca="false">a25_rev</f>
        <v>2337.6</v>
      </c>
      <c r="D431" s="13" t="n">
        <f aca="false">SUM(C414:F414)</f>
        <v>9861.25414257431</v>
      </c>
      <c r="E431" s="13" t="n">
        <f aca="false">SUM(G414:J414)</f>
        <v>12399.7631810532</v>
      </c>
      <c r="F431" s="13" t="n">
        <f aca="false">SUM(K414:N414)</f>
        <v>12509.9801209115</v>
      </c>
      <c r="G431" s="13" t="n">
        <f aca="false">SUM(O414:R414)</f>
        <v>13168.9760846731</v>
      </c>
      <c r="T431" s="8" t="s">
        <v>482</v>
      </c>
    </row>
    <row r="432" customFormat="false" ht="17.15" hidden="false" customHeight="false" outlineLevel="0" collapsed="false">
      <c r="A432" s="5" t="s">
        <v>483</v>
      </c>
      <c r="B432" s="0" t="s">
        <v>27</v>
      </c>
      <c r="C432" s="13" t="n">
        <f aca="false">p1_ss+p2_ss+p3_ss+p4_ss</f>
        <v>1364.7</v>
      </c>
      <c r="D432" s="13" t="n">
        <f aca="false">SUM(C415:F415)</f>
        <v>6516.84173409904</v>
      </c>
      <c r="E432" s="13" t="n">
        <f aca="false">SUM(G415:J415)</f>
        <v>8431.83896311616</v>
      </c>
      <c r="F432" s="13" t="n">
        <f aca="false">SUM(K415:N415)</f>
        <v>8756.98608463807</v>
      </c>
      <c r="G432" s="13" t="n">
        <f aca="false">SUM(O415:R415)</f>
        <v>9218.28325927117</v>
      </c>
    </row>
    <row r="433" customFormat="false" ht="17.15" hidden="false" customHeight="false" outlineLevel="0" collapsed="false">
      <c r="A433" s="0" t="s">
        <v>484</v>
      </c>
      <c r="B433" s="0" t="s">
        <v>27</v>
      </c>
      <c r="C433" s="13" t="n">
        <f aca="false">C432*(0.75*Units!C16+0.25*Units!D16)</f>
        <v>507.679569396364</v>
      </c>
      <c r="D433" s="13" t="n">
        <f aca="false">SUM(C416:F416)</f>
        <v>3813.48331392765</v>
      </c>
      <c r="E433" s="13" t="n">
        <f aca="false">SUM(G416:J416)</f>
        <v>5809.33026284196</v>
      </c>
      <c r="F433" s="13" t="n">
        <f aca="false">SUM(K416:N416)</f>
        <v>6390.85985817728</v>
      </c>
      <c r="G433" s="13" t="n">
        <f aca="false">SUM(O416:R416)</f>
        <v>7025.78491807603</v>
      </c>
    </row>
    <row r="434" customFormat="false" ht="15" hidden="false" customHeight="false" outlineLevel="0" collapsed="false">
      <c r="A434" s="5" t="s">
        <v>485</v>
      </c>
      <c r="B434" s="0" t="s">
        <v>27</v>
      </c>
      <c r="C434" s="13" t="n">
        <f aca="false">p1_sd+p2_sd+p3_sd+p4_sd</f>
        <v>759.5</v>
      </c>
      <c r="D434" s="13" t="n">
        <f aca="false">SUM(C419:F419)</f>
        <v>2953.94624277229</v>
      </c>
      <c r="E434" s="13" t="n">
        <f aca="false">SUM(G419:J419)</f>
        <v>3471.93369069489</v>
      </c>
      <c r="F434" s="13" t="n">
        <f aca="false">SUM(K419:N419)</f>
        <v>3252.594831437</v>
      </c>
      <c r="G434" s="13" t="n">
        <f aca="false">SUM(O419:R419)</f>
        <v>3423.93378201501</v>
      </c>
    </row>
    <row r="435" customFormat="false" ht="17.15" hidden="false" customHeight="false" outlineLevel="0" collapsed="false">
      <c r="A435" s="5" t="s">
        <v>486</v>
      </c>
      <c r="B435" s="0" t="s">
        <v>27</v>
      </c>
      <c r="C435" s="13" t="n">
        <f aca="false">a25_rev-C432-C434</f>
        <v>213.4</v>
      </c>
      <c r="D435" s="13" t="n">
        <f aca="false">SUM(C418:F418)</f>
        <v>390.466165702972</v>
      </c>
      <c r="E435" s="13" t="n">
        <f aca="false">SUM(G418:J418)</f>
        <v>495.990527242127</v>
      </c>
      <c r="F435" s="13" t="n">
        <f aca="false">SUM(K418:N418)</f>
        <v>500.399204836461</v>
      </c>
      <c r="G435" s="13" t="n">
        <f aca="false">SUM(O418:R418)</f>
        <v>526.759043386924</v>
      </c>
      <c r="T435" s="8" t="s">
        <v>487</v>
      </c>
    </row>
    <row r="436" customFormat="false" ht="15" hidden="false" customHeight="false" outlineLevel="0" collapsed="false">
      <c r="A436" s="5" t="s">
        <v>488</v>
      </c>
      <c r="B436" s="0" t="s">
        <v>27</v>
      </c>
      <c r="C436" s="18" t="n">
        <f aca="false">C432+C434+C435-C431</f>
        <v>0</v>
      </c>
      <c r="D436" s="18" t="n">
        <f aca="false">D432+D434+D435-D431</f>
        <v>0</v>
      </c>
      <c r="E436" s="18" t="n">
        <f aca="false">E432+E434+E435-E431</f>
        <v>0</v>
      </c>
      <c r="F436" s="18" t="n">
        <f aca="false">F432+F434+F435-F431</f>
        <v>0</v>
      </c>
      <c r="G436" s="18" t="n">
        <f aca="false">G432+G434+G435-G431</f>
        <v>0</v>
      </c>
    </row>
    <row r="437" customFormat="false" ht="15" hidden="false" customHeight="false" outlineLevel="0" collapsed="false">
      <c r="A437" s="5" t="s">
        <v>475</v>
      </c>
      <c r="B437" s="0" t="s">
        <v>27</v>
      </c>
      <c r="C437" s="13" t="n">
        <f aca="false">a25_rev-(p1_gp+p2_gp+p3_gp+p4_gp)</f>
        <v>1324.8</v>
      </c>
      <c r="D437" s="13" t="n">
        <f aca="false">SUM(C422:F422)</f>
        <v>1634.02242948882</v>
      </c>
      <c r="E437" s="13" t="n">
        <f aca="false">SUM(G422:J422)</f>
        <v>1681.88604487478</v>
      </c>
      <c r="F437" s="13" t="n">
        <f aca="false">SUM(K422:N422)</f>
        <v>1717.55023345341</v>
      </c>
      <c r="G437" s="13" t="n">
        <f aca="false">SUM(O422:R422)</f>
        <v>1701.70642467545</v>
      </c>
    </row>
    <row r="438" customFormat="false" ht="15" hidden="false" customHeight="false" outlineLevel="0" collapsed="false">
      <c r="A438" s="5" t="s">
        <v>360</v>
      </c>
      <c r="B438" s="0" t="s">
        <v>145</v>
      </c>
      <c r="C438" s="14" t="n">
        <f aca="false">1-C437/C431</f>
        <v>0.433264887063655</v>
      </c>
      <c r="D438" s="14" t="n">
        <f aca="false">1-D437/D431</f>
        <v>0.834298720440212</v>
      </c>
      <c r="E438" s="14" t="n">
        <f aca="false">1-E437/E431</f>
        <v>0.864361438172892</v>
      </c>
      <c r="F438" s="14" t="n">
        <f aca="false">1-F437/F431</f>
        <v>0.862705598501922</v>
      </c>
      <c r="G438" s="14" t="n">
        <f aca="false">1-G437/G431</f>
        <v>0.870779139263833</v>
      </c>
    </row>
    <row r="439" customFormat="false" ht="15" hidden="false" customHeight="false" outlineLevel="0" collapsed="false">
      <c r="A439" s="5" t="s">
        <v>477</v>
      </c>
      <c r="B439" s="0" t="s">
        <v>27</v>
      </c>
      <c r="D439" s="13" t="n">
        <f aca="false">SUM(C424:F424)</f>
        <v>296.13549219985</v>
      </c>
      <c r="E439" s="13" t="n">
        <f aca="false">SUM(G424:J424)</f>
        <v>276.335180515672</v>
      </c>
      <c r="F439" s="13" t="n">
        <f aca="false">SUM(K424:N424)</f>
        <v>292.67110478477</v>
      </c>
      <c r="G439" s="13" t="n">
        <f aca="false">SUM(O424:R424)</f>
        <v>316.018194779951</v>
      </c>
    </row>
    <row r="440" customFormat="false" ht="15" hidden="false" customHeight="false" outlineLevel="0" collapsed="false">
      <c r="A440" s="5" t="s">
        <v>358</v>
      </c>
      <c r="B440" s="0" t="s">
        <v>27</v>
      </c>
      <c r="C440" s="13" t="n">
        <f aca="false">p1_op+p2_op+p3_op+p4_op</f>
        <v>869</v>
      </c>
      <c r="D440" s="13" t="n">
        <f aca="false">SUM(C425:F425)</f>
        <v>7931.09622088564</v>
      </c>
      <c r="E440" s="13" t="n">
        <f aca="false">SUM(G425:J425)</f>
        <v>10441.5419556627</v>
      </c>
      <c r="F440" s="13" t="n">
        <f aca="false">SUM(K425:N425)</f>
        <v>10499.7587826734</v>
      </c>
      <c r="G440" s="13" t="n">
        <f aca="false">SUM(O425:R425)</f>
        <v>11151.2514652177</v>
      </c>
    </row>
    <row r="441" customFormat="false" ht="15" hidden="false" customHeight="false" outlineLevel="0" collapsed="false">
      <c r="A441" s="5" t="s">
        <v>361</v>
      </c>
      <c r="B441" s="0" t="s">
        <v>145</v>
      </c>
      <c r="C441" s="14" t="n">
        <f aca="false">C440/C431</f>
        <v>0.371748802190281</v>
      </c>
      <c r="D441" s="14" t="n">
        <f aca="false">D440/D431</f>
        <v>0.804268514553789</v>
      </c>
      <c r="E441" s="14" t="n">
        <f aca="false">E440/E431</f>
        <v>0.842075917354405</v>
      </c>
      <c r="F441" s="14" t="n">
        <f aca="false">F440/F431</f>
        <v>0.839310588921087</v>
      </c>
      <c r="G441" s="14" t="n">
        <f aca="false">G440/G431</f>
        <v>0.846781966457988</v>
      </c>
    </row>
    <row r="442" customFormat="false" ht="15" hidden="false" customHeight="false" outlineLevel="0" collapsed="false">
      <c r="A442" s="5" t="s">
        <v>359</v>
      </c>
      <c r="B442" s="0" t="s">
        <v>27</v>
      </c>
      <c r="C442" s="13" t="n">
        <f aca="false">a25_ni</f>
        <v>554.5</v>
      </c>
      <c r="D442" s="13" t="n">
        <f aca="false">SUM(C427:F427)</f>
        <v>5355.48119020223</v>
      </c>
      <c r="E442" s="13" t="n">
        <f aca="false">SUM(G427:J427)</f>
        <v>7084.53389952535</v>
      </c>
      <c r="F442" s="13" t="n">
        <f aca="false">SUM(K427:N427)</f>
        <v>7161.845206306</v>
      </c>
      <c r="G442" s="13" t="n">
        <f aca="false">SUM(O427:R427)</f>
        <v>7643.00466835846</v>
      </c>
    </row>
    <row r="443" customFormat="false" ht="15" hidden="false" customHeight="false" outlineLevel="0" collapsed="false">
      <c r="A443" s="5" t="s">
        <v>489</v>
      </c>
      <c r="B443" s="0" t="s">
        <v>27</v>
      </c>
      <c r="D443" s="13" t="n">
        <f aca="false">da_y</f>
        <v>320</v>
      </c>
      <c r="E443" s="13" t="n">
        <f aca="false">da_y</f>
        <v>320</v>
      </c>
      <c r="F443" s="13" t="n">
        <f aca="false">da_y</f>
        <v>320</v>
      </c>
      <c r="G443" s="13" t="n">
        <f aca="false">da_y</f>
        <v>320</v>
      </c>
    </row>
    <row r="444" customFormat="false" ht="15" hidden="false" customHeight="false" outlineLevel="0" collapsed="false">
      <c r="A444" s="5" t="s">
        <v>490</v>
      </c>
      <c r="B444" s="0" t="s">
        <v>27</v>
      </c>
      <c r="D444" s="13" t="n">
        <f aca="false">cap_2026</f>
        <v>450</v>
      </c>
      <c r="E444" s="13" t="n">
        <f aca="false">cap_2027</f>
        <v>470</v>
      </c>
      <c r="F444" s="13" t="n">
        <f aca="false">cap_2028</f>
        <v>470</v>
      </c>
      <c r="G444" s="13" t="n">
        <f aca="false">cap_2029</f>
        <v>470</v>
      </c>
    </row>
    <row r="445" customFormat="false" ht="15" hidden="false" customHeight="false" outlineLevel="0" collapsed="false">
      <c r="A445" s="5" t="s">
        <v>491</v>
      </c>
      <c r="B445" s="0" t="s">
        <v>27</v>
      </c>
      <c r="D445" s="13" t="n">
        <f aca="false">D442+D443-D444</f>
        <v>5225.48119020223</v>
      </c>
      <c r="E445" s="13" t="n">
        <f aca="false">E442+E443-E444</f>
        <v>6934.53389952535</v>
      </c>
      <c r="F445" s="13" t="n">
        <f aca="false">F442+F443-F444</f>
        <v>7011.845206306</v>
      </c>
      <c r="G445" s="13" t="n">
        <f aca="false">G442+G443-G444</f>
        <v>7493.00466835846</v>
      </c>
    </row>
    <row r="446" customFormat="false" ht="17.15" hidden="false" customHeight="false" outlineLevel="0" collapsed="false">
      <c r="A446" s="5" t="s">
        <v>492</v>
      </c>
      <c r="B446" s="0" t="s">
        <v>27</v>
      </c>
      <c r="D446" s="13" t="n">
        <f aca="false">MAX(0,payout*(SUM(D427:F427)+0.75*(D443-D444)))</f>
        <v>883.156238040446</v>
      </c>
      <c r="E446" s="13" t="n">
        <f aca="false">MAX(0,payout*E445)</f>
        <v>1386.90677990507</v>
      </c>
      <c r="F446" s="13" t="n">
        <f aca="false">MAX(0,payout*F445)</f>
        <v>1402.3690412612</v>
      </c>
      <c r="G446" s="13" t="n">
        <f aca="false">MAX(0,payout*G445)</f>
        <v>1498.60093367169</v>
      </c>
      <c r="T446" s="8" t="s">
        <v>493</v>
      </c>
    </row>
    <row r="447" customFormat="false" ht="17.15" hidden="false" customHeight="false" outlineLevel="0" collapsed="false">
      <c r="A447" s="5" t="s">
        <v>494</v>
      </c>
      <c r="B447" s="0" t="s">
        <v>27</v>
      </c>
      <c r="C447" s="13" t="n">
        <f aca="false">eq25</f>
        <v>1399.1</v>
      </c>
      <c r="D447" s="13" t="n">
        <f aca="false">eq_j+SUM(D427:F427)-D446</f>
        <v>6034.42495216179</v>
      </c>
      <c r="E447" s="13" t="n">
        <f aca="false">D447+E442-E446</f>
        <v>11732.0520717821</v>
      </c>
      <c r="F447" s="13" t="n">
        <f aca="false">E447+F442-F446</f>
        <v>17491.5282368269</v>
      </c>
      <c r="G447" s="13" t="n">
        <f aca="false">F447+G442-G446</f>
        <v>23635.9319715136</v>
      </c>
      <c r="T447" s="8" t="s">
        <v>495</v>
      </c>
    </row>
    <row r="448" customFormat="false" ht="15" hidden="false" customHeight="false" outlineLevel="0" collapsed="false">
      <c r="A448" s="5" t="s">
        <v>496</v>
      </c>
      <c r="B448" s="0" t="s">
        <v>27</v>
      </c>
      <c r="D448" s="13" t="n">
        <f aca="false">nc_j+(SUM(D427:F427)+0.75*(D443-D444))-D446</f>
        <v>3689.02495216178</v>
      </c>
      <c r="E448" s="13" t="n">
        <f aca="false">D448+E445-E446</f>
        <v>9236.65207178207</v>
      </c>
      <c r="F448" s="13" t="n">
        <f aca="false">E448+F445-F446</f>
        <v>14846.1282368269</v>
      </c>
      <c r="G448" s="13" t="n">
        <f aca="false">F448+G445-G446</f>
        <v>20840.5319715136</v>
      </c>
    </row>
    <row r="449" customFormat="false" ht="15" hidden="false" customHeight="false" outlineLevel="0" collapsed="false">
      <c r="A449" s="5" t="s">
        <v>497</v>
      </c>
      <c r="B449" s="5" t="s">
        <v>209</v>
      </c>
      <c r="D449" s="13" t="n">
        <f aca="false">sh0-D446/bb_px*1000</f>
        <v>1574.80391101761</v>
      </c>
      <c r="E449" s="13" t="n">
        <f aca="false">D449-E446/bb_px*1000</f>
        <v>1466.06954959816</v>
      </c>
      <c r="F449" s="13" t="n">
        <f aca="false">E449-F446/bb_px*1000</f>
        <v>1356.12293719038</v>
      </c>
      <c r="G449" s="13" t="n">
        <f aca="false">F449-G446/bb_px*1000</f>
        <v>1238.63168406049</v>
      </c>
    </row>
    <row r="450" customFormat="false" ht="17.15" hidden="false" customHeight="false" outlineLevel="0" collapsed="false">
      <c r="A450" s="0" t="s">
        <v>498</v>
      </c>
      <c r="B450" s="0" t="s">
        <v>108</v>
      </c>
      <c r="C450" s="17" t="n">
        <f aca="false">a25_eps</f>
        <v>341.4</v>
      </c>
      <c r="D450" s="17" t="n">
        <f aca="false">D442/(D449+dil)*1000</f>
        <v>3366.57597282006</v>
      </c>
      <c r="E450" s="17" t="n">
        <f aca="false">E442/(E449+dil)*1000</f>
        <v>4780.24055126723</v>
      </c>
      <c r="F450" s="17" t="n">
        <f aca="false">F442/(F449+dil)*1000</f>
        <v>5219.62766569685</v>
      </c>
      <c r="G450" s="17" t="n">
        <f aca="false">G442/(G449+dil)*1000</f>
        <v>6091.94825841482</v>
      </c>
    </row>
    <row r="451" customFormat="false" ht="17.15" hidden="false" customHeight="false" outlineLevel="0" collapsed="false">
      <c r="A451" s="5" t="s">
        <v>499</v>
      </c>
      <c r="B451" s="0" t="s">
        <v>108</v>
      </c>
      <c r="D451" s="17" t="n">
        <f aca="false">D447/D449*1000</f>
        <v>3831.85799193404</v>
      </c>
      <c r="E451" s="17" t="n">
        <f aca="false">E447/E449*1000</f>
        <v>8002.38438551416</v>
      </c>
      <c r="F451" s="17" t="n">
        <f aca="false">F447/F449*1000</f>
        <v>12898.1877358891</v>
      </c>
      <c r="G451" s="17" t="n">
        <f aca="false">G447/G449*1000</f>
        <v>19082.2924002962</v>
      </c>
    </row>
    <row r="452" customFormat="false" ht="17.15" hidden="false" customHeight="false" outlineLevel="0" collapsed="false">
      <c r="A452" s="0" t="s">
        <v>500</v>
      </c>
      <c r="B452" s="0" t="s">
        <v>145</v>
      </c>
      <c r="D452" s="21" t="n">
        <f aca="false">D442/D447</f>
        <v>0.88748824165651</v>
      </c>
      <c r="E452" s="21" t="n">
        <f aca="false">E442/E447</f>
        <v>0.603861443520616</v>
      </c>
      <c r="F452" s="21" t="n">
        <f aca="false">F442/F447</f>
        <v>0.409446510867322</v>
      </c>
      <c r="G452" s="21" t="n">
        <f aca="false">G442/G447</f>
        <v>0.323363795325267</v>
      </c>
    </row>
    <row r="453" customFormat="false" ht="15" hidden="false" customHeight="false" outlineLevel="0" collapsed="false">
      <c r="A453" s="5" t="s">
        <v>501</v>
      </c>
      <c r="B453" s="0" t="s">
        <v>108</v>
      </c>
      <c r="E453" s="17" t="n">
        <f aca="false">E445/(E449+dil)*1000</f>
        <v>4679.02908233233</v>
      </c>
      <c r="F453" s="17" t="n">
        <f aca="false">F445/(F449+dil)*1000</f>
        <v>5110.30609739974</v>
      </c>
      <c r="G453" s="17" t="n">
        <f aca="false">G445/(G449+dil)*1000</f>
        <v>5972.388964863</v>
      </c>
    </row>
    <row r="454" customFormat="false" ht="17.15" hidden="false" customHeight="false" outlineLevel="0" collapsed="false">
      <c r="A454" s="5" t="s">
        <v>502</v>
      </c>
      <c r="B454" s="0" t="s">
        <v>27</v>
      </c>
      <c r="D454" s="18" t="n">
        <f aca="false">ABS(C414-q1_rev)+ABS(D425-g2_op)+ABS(C431-2337.6)</f>
        <v>0</v>
      </c>
    </row>
    <row r="460" customFormat="false" ht="17.15" hidden="false" customHeight="false" outlineLevel="0" collapsed="false">
      <c r="A460" s="3" t="s">
        <v>825</v>
      </c>
    </row>
    <row r="461" customFormat="false" ht="17.15" hidden="false" customHeight="false" outlineLevel="0" collapsed="false">
      <c r="A461" s="12" t="s">
        <v>442</v>
      </c>
      <c r="B461" s="6" t="s">
        <v>17</v>
      </c>
      <c r="C461" s="12" t="s">
        <v>443</v>
      </c>
      <c r="D461" s="12" t="s">
        <v>444</v>
      </c>
      <c r="E461" s="12" t="s">
        <v>445</v>
      </c>
      <c r="F461" s="12" t="s">
        <v>446</v>
      </c>
      <c r="G461" s="12" t="s">
        <v>447</v>
      </c>
      <c r="H461" s="12" t="s">
        <v>448</v>
      </c>
      <c r="I461" s="12" t="s">
        <v>449</v>
      </c>
      <c r="J461" s="12" t="s">
        <v>450</v>
      </c>
      <c r="K461" s="12" t="s">
        <v>451</v>
      </c>
      <c r="L461" s="12" t="s">
        <v>452</v>
      </c>
      <c r="M461" s="12" t="s">
        <v>453</v>
      </c>
      <c r="N461" s="12" t="s">
        <v>454</v>
      </c>
      <c r="O461" s="12" t="s">
        <v>455</v>
      </c>
      <c r="P461" s="12" t="s">
        <v>456</v>
      </c>
      <c r="Q461" s="12" t="s">
        <v>457</v>
      </c>
      <c r="R461" s="12" t="s">
        <v>458</v>
      </c>
      <c r="S461" s="12"/>
      <c r="T461" s="6" t="s">
        <v>330</v>
      </c>
    </row>
    <row r="462" customFormat="false" ht="17.15" hidden="false" customHeight="false" outlineLevel="0" collapsed="false">
      <c r="A462" s="5" t="s">
        <v>459</v>
      </c>
      <c r="B462" s="0" t="s">
        <v>391</v>
      </c>
      <c r="C462" s="19" t="n">
        <f aca="false">Units!H4*1</f>
        <v>10.72</v>
      </c>
      <c r="D462" s="19" t="n">
        <f aca="false">Units!I4*1</f>
        <v>14.9513168749304</v>
      </c>
      <c r="E462" s="19" t="n">
        <f aca="false">Units!J4*1*1</f>
        <v>16.2035648188888</v>
      </c>
      <c r="F462" s="19" t="n">
        <f aca="false">Units!K4*1*1</f>
        <v>17.8543449815733</v>
      </c>
      <c r="G462" s="19" t="n">
        <f aca="false">Units!L4*1*1</f>
        <v>18.8786713110699</v>
      </c>
      <c r="H462" s="19" t="n">
        <f aca="false">Units!M4*1*1</f>
        <v>18.9636763094518</v>
      </c>
      <c r="I462" s="19" t="n">
        <f aca="false">Units!N4*1*1</f>
        <v>18.6480311322868</v>
      </c>
      <c r="J462" s="19" t="n">
        <f aca="false">Units!O4*1*1</f>
        <v>18.7319976270738</v>
      </c>
      <c r="K462" s="19" t="n">
        <f aca="false">Units!P4*1*1</f>
        <v>18.8163421978194</v>
      </c>
      <c r="L462" s="19" t="n">
        <f aca="false">Units!Q4*1*1</f>
        <v>18.9010665468864</v>
      </c>
      <c r="M462" s="19" t="n">
        <f aca="false">Units!R4*1*1</f>
        <v>18.9861723843027</v>
      </c>
      <c r="N462" s="19" t="n">
        <f aca="false">Units!S4*1*1</f>
        <v>19.1874193215442</v>
      </c>
      <c r="O462" s="19" t="n">
        <f aca="false">Units!T4*1*1</f>
        <v>19.5604237366471</v>
      </c>
      <c r="P462" s="19" t="n">
        <f aca="false">Units!U4*1*1</f>
        <v>19.9406793766988</v>
      </c>
      <c r="Q462" s="19" t="n">
        <f aca="false">Units!V4*1*1</f>
        <v>20.3283272058839</v>
      </c>
      <c r="R462" s="19" t="n">
        <f aca="false">Units!W4*1*1</f>
        <v>20.0593273219312</v>
      </c>
      <c r="T462" s="8" t="s">
        <v>460</v>
      </c>
    </row>
    <row r="463" customFormat="false" ht="15" hidden="false" customHeight="false" outlineLevel="0" collapsed="false">
      <c r="A463" s="5" t="s">
        <v>461</v>
      </c>
      <c r="B463" s="0" t="s">
        <v>398</v>
      </c>
      <c r="C463" s="19" t="n">
        <f aca="false">Units!H7*1</f>
        <v>40.1757580440862</v>
      </c>
      <c r="D463" s="19" t="n">
        <f aca="false">Units!I7*1</f>
        <v>44.8269021796765</v>
      </c>
      <c r="E463" s="19" t="n">
        <f aca="false">Units!J7*1</f>
        <v>44.9411476117569</v>
      </c>
      <c r="F463" s="19" t="n">
        <f aca="false">Units!K7*1</f>
        <v>48.0773237904583</v>
      </c>
      <c r="G463" s="19" t="n">
        <f aca="false">Units!L7*1</f>
        <v>50.835580599158</v>
      </c>
      <c r="H463" s="19" t="n">
        <f aca="false">Units!M7*1</f>
        <v>53.7520820858664</v>
      </c>
      <c r="I463" s="19" t="n">
        <f aca="false">Units!N7*1</f>
        <v>56.8359069476934</v>
      </c>
      <c r="J463" s="19" t="n">
        <f aca="false">Units!O7*1</f>
        <v>60.0966547380729</v>
      </c>
      <c r="K463" s="19" t="n">
        <f aca="false">Units!P7*1</f>
        <v>63.5444757489475</v>
      </c>
      <c r="L463" s="19" t="n">
        <f aca="false">Units!Q7*1</f>
        <v>67.190102607333</v>
      </c>
      <c r="M463" s="19" t="n">
        <f aca="false">Units!R7*1</f>
        <v>71.0448836846168</v>
      </c>
      <c r="N463" s="19" t="n">
        <f aca="false">Units!S7*1</f>
        <v>74.0184898623123</v>
      </c>
      <c r="O463" s="19" t="n">
        <f aca="false">Units!T7*1</f>
        <v>77.7911475249602</v>
      </c>
      <c r="P463" s="19" t="n">
        <f aca="false">Units!U7*1</f>
        <v>81.7560942476254</v>
      </c>
      <c r="Q463" s="19" t="n">
        <f aca="false">Units!V7*1</f>
        <v>85.9231308354458</v>
      </c>
      <c r="R463" s="19" t="n">
        <f aca="false">Units!W7*1</f>
        <v>87.5395173614874</v>
      </c>
    </row>
    <row r="464" customFormat="false" ht="17.15" hidden="false" customHeight="false" outlineLevel="0" collapsed="false">
      <c r="A464" s="5" t="s">
        <v>354</v>
      </c>
      <c r="B464" s="0" t="s">
        <v>27</v>
      </c>
      <c r="C464" s="13" t="n">
        <f aca="false">q1_rev</f>
        <v>1767.1</v>
      </c>
      <c r="D464" s="13" t="n">
        <f aca="false">g2_rev</f>
        <v>2480</v>
      </c>
      <c r="E464" s="13" t="n">
        <f aca="false">E462*kx_k*fx</f>
        <v>2671.01859994948</v>
      </c>
      <c r="F464" s="13" t="n">
        <f aca="false">F462*kx_k*fx</f>
        <v>2943.13554262483</v>
      </c>
      <c r="G464" s="13" t="n">
        <f aca="false">G462*kx_k*fx</f>
        <v>3111.98694718205</v>
      </c>
      <c r="H464" s="13" t="n">
        <f aca="false">H462*kx_k*fx</f>
        <v>3125.9992916448</v>
      </c>
      <c r="I464" s="13" t="n">
        <f aca="false">I462*kx_k*fx</f>
        <v>3073.96789308433</v>
      </c>
      <c r="J464" s="13" t="n">
        <f aca="false">J462*kx_k*fx</f>
        <v>3087.80904914199</v>
      </c>
      <c r="K464" s="13" t="n">
        <f aca="false">K462*kx_k*fx</f>
        <v>3101.71252777674</v>
      </c>
      <c r="L464" s="13" t="n">
        <f aca="false">L462*kx_k*fx</f>
        <v>3115.67860960848</v>
      </c>
      <c r="M464" s="13" t="n">
        <f aca="false">M462*kx_k*fx</f>
        <v>3129.70757652064</v>
      </c>
      <c r="N464" s="13" t="n">
        <f aca="false">N462*kx_k*fx</f>
        <v>3162.88140700567</v>
      </c>
      <c r="O464" s="13" t="n">
        <f aca="false">O462*kx_k*fx</f>
        <v>3224.36798367809</v>
      </c>
      <c r="P464" s="13" t="n">
        <f aca="false">P462*kx_k*fx</f>
        <v>3287.04986255265</v>
      </c>
      <c r="Q464" s="13" t="n">
        <f aca="false">Q462*kx_k*fx</f>
        <v>3350.95028036543</v>
      </c>
      <c r="R464" s="13" t="n">
        <f aca="false">R462*kx_k*fx</f>
        <v>3306.60795807692</v>
      </c>
      <c r="T464" s="5" t="s">
        <v>462</v>
      </c>
    </row>
    <row r="465" customFormat="false" ht="17.15" hidden="false" customHeight="false" outlineLevel="0" collapsed="false">
      <c r="A465" s="0" t="s">
        <v>463</v>
      </c>
      <c r="B465" s="0" t="s">
        <v>27</v>
      </c>
      <c r="C465" s="13" t="n">
        <f aca="false">q1_ss</f>
        <v>1174.7</v>
      </c>
      <c r="D465" s="13" t="n">
        <f aca="false">D464*sssh_26</f>
        <v>1636.8</v>
      </c>
      <c r="E465" s="13" t="n">
        <f aca="false">E464*sssh_26</f>
        <v>1762.87227596666</v>
      </c>
      <c r="F465" s="13" t="n">
        <f aca="false">F464*sssh_26</f>
        <v>1942.46945813239</v>
      </c>
      <c r="G465" s="13" t="n">
        <f aca="false">G464*sssh_27</f>
        <v>2116.1511240838</v>
      </c>
      <c r="H465" s="13" t="n">
        <f aca="false">H464*sssh_27</f>
        <v>2125.67951831847</v>
      </c>
      <c r="I465" s="13" t="n">
        <f aca="false">I464*sssh_27</f>
        <v>2090.29816729734</v>
      </c>
      <c r="J465" s="13" t="n">
        <f aca="false">J464*sssh_27</f>
        <v>2099.71015341655</v>
      </c>
      <c r="K465" s="13" t="n">
        <f aca="false">K464*sssh_28</f>
        <v>2171.19876944372</v>
      </c>
      <c r="L465" s="13" t="n">
        <f aca="false">L464*sssh_28</f>
        <v>2180.97502672594</v>
      </c>
      <c r="M465" s="13" t="n">
        <f aca="false">M464*sssh_28</f>
        <v>2190.79530356445</v>
      </c>
      <c r="N465" s="13" t="n">
        <f aca="false">N464*sssh_28</f>
        <v>2214.01698490397</v>
      </c>
      <c r="O465" s="13" t="n">
        <f aca="false">O464*sssh_29</f>
        <v>2257.05758857466</v>
      </c>
      <c r="P465" s="13" t="n">
        <f aca="false">P464*sssh_29</f>
        <v>2300.93490378686</v>
      </c>
      <c r="Q465" s="13" t="n">
        <f aca="false">Q464*sssh_29</f>
        <v>2345.6651962558</v>
      </c>
      <c r="R465" s="13" t="n">
        <f aca="false">R464*sssh_29</f>
        <v>2314.62557065385</v>
      </c>
      <c r="T465" s="5" t="s">
        <v>464</v>
      </c>
    </row>
    <row r="466" customFormat="false" ht="17.15" hidden="false" customHeight="false" outlineLevel="0" collapsed="false">
      <c r="A466" s="0" t="s">
        <v>465</v>
      </c>
      <c r="B466" s="0" t="s">
        <v>27</v>
      </c>
      <c r="C466" s="13" t="n">
        <f aca="false">C465*(0.75*Units!D16+0.25*Units!E16)</f>
        <v>687.403351447223</v>
      </c>
      <c r="D466" s="13" t="n">
        <f aca="false">D465*(0.75*Units!D16+0.25*Units!E16)</f>
        <v>957.812041924589</v>
      </c>
      <c r="E466" s="13" t="n">
        <f aca="false">E465*(0.75*Units!D16+0.25*Units!E16)</f>
        <v>1031.58620130491</v>
      </c>
      <c r="F466" s="13" t="n">
        <f aca="false">F465*(0.75*Units!D16+0.25*Units!E16)</f>
        <v>1136.68171925094</v>
      </c>
      <c r="G466" s="13" t="n">
        <f aca="false">G465*(0.75*Units!E16+0.25*Units!F16)</f>
        <v>1457.97622792167</v>
      </c>
      <c r="H466" s="13" t="n">
        <f aca="false">H465*(0.75*Units!E16+0.25*Units!F16)</f>
        <v>1464.54105787464</v>
      </c>
      <c r="I466" s="13" t="n">
        <f aca="false">I465*(0.75*Units!E16+0.25*Units!F16)</f>
        <v>1440.16417471471</v>
      </c>
      <c r="J466" s="13" t="n">
        <f aca="false">J465*(0.75*Units!E16+0.25*Units!F16)</f>
        <v>1446.64880233093</v>
      </c>
      <c r="K466" s="13" t="n">
        <f aca="false">K465*(0.75*Units!F16+0.25*Units!G16)</f>
        <v>1584.5436918192</v>
      </c>
      <c r="L466" s="13" t="n">
        <f aca="false">L465*(0.75*Units!F16+0.25*Units!G16)</f>
        <v>1591.67841712586</v>
      </c>
      <c r="M466" s="13" t="n">
        <f aca="false">M465*(0.75*Units!F16+0.25*Units!G16)</f>
        <v>1598.84526796208</v>
      </c>
      <c r="N466" s="13" t="n">
        <f aca="false">N465*(0.75*Units!F16+0.25*Units!G16)</f>
        <v>1615.79248127014</v>
      </c>
      <c r="O466" s="13" t="n">
        <f aca="false">O465*(0.75*Units!G16+0.25*Units!H16)</f>
        <v>1720.23366162982</v>
      </c>
      <c r="P466" s="13" t="n">
        <f aca="false">P465*(0.75*Units!G16+0.25*Units!H16)</f>
        <v>1753.67509218615</v>
      </c>
      <c r="Q466" s="13" t="n">
        <f aca="false">Q465*(0.75*Units!G16+0.25*Units!H16)</f>
        <v>1787.76662586661</v>
      </c>
      <c r="R466" s="13" t="n">
        <f aca="false">R465*(0.75*Units!G16+0.25*Units!H16)</f>
        <v>1764.10953839345</v>
      </c>
      <c r="T466" s="5" t="s">
        <v>466</v>
      </c>
    </row>
    <row r="467" customFormat="false" ht="17.15" hidden="false" customHeight="false" outlineLevel="0" collapsed="false">
      <c r="A467" s="0" t="s">
        <v>467</v>
      </c>
      <c r="B467" s="0" t="s">
        <v>27</v>
      </c>
      <c r="C467" s="13" t="n">
        <f aca="false">C465-C466</f>
        <v>487.296648552777</v>
      </c>
      <c r="D467" s="13" t="n">
        <f aca="false">D465-D466</f>
        <v>678.987958075412</v>
      </c>
      <c r="E467" s="13" t="n">
        <f aca="false">E465-E466</f>
        <v>731.28607466175</v>
      </c>
      <c r="F467" s="13" t="n">
        <f aca="false">F465-F466</f>
        <v>805.787738881452</v>
      </c>
      <c r="G467" s="13" t="n">
        <f aca="false">G465-G466</f>
        <v>658.174896162131</v>
      </c>
      <c r="H467" s="13" t="n">
        <f aca="false">H465-H466</f>
        <v>661.138460443822</v>
      </c>
      <c r="I467" s="13" t="n">
        <f aca="false">I465-I466</f>
        <v>650.133992582631</v>
      </c>
      <c r="J467" s="13" t="n">
        <f aca="false">J465-J466</f>
        <v>653.061351085617</v>
      </c>
      <c r="K467" s="13" t="n">
        <f aca="false">K465-K466</f>
        <v>586.65507762452</v>
      </c>
      <c r="L467" s="13" t="n">
        <f aca="false">L465-L466</f>
        <v>589.296609600079</v>
      </c>
      <c r="M467" s="13" t="n">
        <f aca="false">M465-M466</f>
        <v>591.950035602373</v>
      </c>
      <c r="N467" s="13" t="n">
        <f aca="false">N465-N466</f>
        <v>598.224503633827</v>
      </c>
      <c r="O467" s="13" t="n">
        <f aca="false">O465-O466</f>
        <v>536.82392694484</v>
      </c>
      <c r="P467" s="13" t="n">
        <f aca="false">P465-P466</f>
        <v>547.259811600705</v>
      </c>
      <c r="Q467" s="13" t="n">
        <f aca="false">Q465-Q466</f>
        <v>557.898570389192</v>
      </c>
      <c r="R467" s="13" t="n">
        <f aca="false">R465-R466</f>
        <v>550.516032260396</v>
      </c>
    </row>
    <row r="468" customFormat="false" ht="17.15" hidden="false" customHeight="false" outlineLevel="0" collapsed="false">
      <c r="A468" s="5" t="s">
        <v>468</v>
      </c>
      <c r="B468" s="0" t="s">
        <v>27</v>
      </c>
      <c r="C468" s="13" t="n">
        <f aca="false">q1_rev-q1_ss-q1_sd</f>
        <v>66.6999999999998</v>
      </c>
      <c r="D468" s="13" t="n">
        <f aca="false">D464*otsh_26</f>
        <v>99.2</v>
      </c>
      <c r="E468" s="13" t="n">
        <f aca="false">E464*otsh_26</f>
        <v>106.840743997979</v>
      </c>
      <c r="F468" s="13" t="n">
        <f aca="false">F464*otsh_26</f>
        <v>117.725421704993</v>
      </c>
      <c r="G468" s="13" t="n">
        <f aca="false">G464*otsh_27</f>
        <v>124.479477887282</v>
      </c>
      <c r="H468" s="13" t="n">
        <f aca="false">H464*otsh_27</f>
        <v>125.039971665792</v>
      </c>
      <c r="I468" s="13" t="n">
        <f aca="false">I464*otsh_27</f>
        <v>122.958715723373</v>
      </c>
      <c r="J468" s="13" t="n">
        <f aca="false">J464*otsh_27</f>
        <v>123.51236196568</v>
      </c>
      <c r="K468" s="13" t="n">
        <f aca="false">K464*otsh_28</f>
        <v>124.06850111107</v>
      </c>
      <c r="L468" s="13" t="n">
        <f aca="false">L464*otsh_28</f>
        <v>124.627144384339</v>
      </c>
      <c r="M468" s="13" t="n">
        <f aca="false">M464*otsh_28</f>
        <v>125.188303060826</v>
      </c>
      <c r="N468" s="13" t="n">
        <f aca="false">N464*otsh_28</f>
        <v>126.515256280227</v>
      </c>
      <c r="O468" s="13" t="n">
        <f aca="false">O464*otsh_29</f>
        <v>128.974719347123</v>
      </c>
      <c r="P468" s="13" t="n">
        <f aca="false">P464*otsh_29</f>
        <v>131.481994502106</v>
      </c>
      <c r="Q468" s="13" t="n">
        <f aca="false">Q464*otsh_29</f>
        <v>134.038011214617</v>
      </c>
      <c r="R468" s="13" t="n">
        <f aca="false">R464*otsh_29</f>
        <v>132.264318323077</v>
      </c>
      <c r="T468" s="5" t="s">
        <v>469</v>
      </c>
    </row>
    <row r="469" customFormat="false" ht="17.15" hidden="false" customHeight="false" outlineLevel="0" collapsed="false">
      <c r="A469" s="5" t="s">
        <v>470</v>
      </c>
      <c r="B469" s="0" t="s">
        <v>27</v>
      </c>
      <c r="C469" s="13" t="n">
        <f aca="false">q1_sd</f>
        <v>525.7</v>
      </c>
      <c r="D469" s="13" t="n">
        <f aca="false">D464-D465-D468</f>
        <v>744</v>
      </c>
      <c r="E469" s="13" t="n">
        <f aca="false">E464-E465-E468</f>
        <v>801.305579984843</v>
      </c>
      <c r="F469" s="13" t="n">
        <f aca="false">F464-F465-F468</f>
        <v>882.940662787449</v>
      </c>
      <c r="G469" s="13" t="n">
        <f aca="false">G464-G465-G468</f>
        <v>871.356345210975</v>
      </c>
      <c r="H469" s="13" t="n">
        <f aca="false">H464-H465-H468</f>
        <v>875.279801660544</v>
      </c>
      <c r="I469" s="13" t="n">
        <f aca="false">I464-I465-I468</f>
        <v>860.711010063612</v>
      </c>
      <c r="J469" s="13" t="n">
        <f aca="false">J464-J465-J468</f>
        <v>864.586533759756</v>
      </c>
      <c r="K469" s="13" t="n">
        <f aca="false">K464-K465-K468</f>
        <v>806.445257221952</v>
      </c>
      <c r="L469" s="13" t="n">
        <f aca="false">L464-L465-L468</f>
        <v>810.076438498206</v>
      </c>
      <c r="M469" s="13" t="n">
        <f aca="false">M464-M465-M468</f>
        <v>813.723969895367</v>
      </c>
      <c r="N469" s="13" t="n">
        <f aca="false">N464-N465-N468</f>
        <v>822.349165821474</v>
      </c>
      <c r="O469" s="13" t="n">
        <f aca="false">O464-O465-O468</f>
        <v>838.335675756302</v>
      </c>
      <c r="P469" s="13" t="n">
        <f aca="false">P464-P465-P468</f>
        <v>854.63296426369</v>
      </c>
      <c r="Q469" s="13" t="n">
        <f aca="false">Q464-Q465-Q468</f>
        <v>871.247072895013</v>
      </c>
      <c r="R469" s="13" t="n">
        <f aca="false">R464-R465-R468</f>
        <v>859.7180691</v>
      </c>
      <c r="T469" s="5" t="s">
        <v>471</v>
      </c>
    </row>
    <row r="470" customFormat="false" ht="15" hidden="false" customHeight="false" outlineLevel="0" collapsed="false">
      <c r="A470" s="5" t="s">
        <v>472</v>
      </c>
      <c r="B470" s="0" t="s">
        <v>27</v>
      </c>
      <c r="C470" s="18" t="n">
        <f aca="false">C465+C469+C468-C464</f>
        <v>0</v>
      </c>
      <c r="D470" s="18" t="n">
        <f aca="false">D465+D469+D468-D464</f>
        <v>0</v>
      </c>
      <c r="E470" s="18" t="n">
        <f aca="false">E465+E469+E468-E464</f>
        <v>0</v>
      </c>
      <c r="F470" s="18" t="n">
        <f aca="false">F465+F469+F468-F464</f>
        <v>0</v>
      </c>
      <c r="G470" s="18" t="n">
        <f aca="false">G465+G469+G468-G464</f>
        <v>0</v>
      </c>
      <c r="H470" s="18" t="n">
        <f aca="false">H465+H469+H468-H464</f>
        <v>0</v>
      </c>
      <c r="I470" s="18" t="n">
        <f aca="false">I465+I469+I468-I464</f>
        <v>0</v>
      </c>
      <c r="J470" s="18" t="n">
        <f aca="false">J465+J469+J468-J464</f>
        <v>0</v>
      </c>
      <c r="K470" s="18" t="n">
        <f aca="false">K465+K469+K468-K464</f>
        <v>0</v>
      </c>
      <c r="L470" s="18" t="n">
        <f aca="false">L465+L469+L468-L464</f>
        <v>0</v>
      </c>
      <c r="M470" s="18" t="n">
        <f aca="false">M465+M469+M468-M464</f>
        <v>0</v>
      </c>
      <c r="N470" s="18" t="n">
        <f aca="false">N465+N469+N468-N464</f>
        <v>0</v>
      </c>
      <c r="O470" s="18" t="n">
        <f aca="false">O465+O469+O468-O464</f>
        <v>0</v>
      </c>
      <c r="P470" s="18" t="n">
        <f aca="false">P465+P469+P468-P464</f>
        <v>0</v>
      </c>
      <c r="Q470" s="18" t="n">
        <f aca="false">Q465+Q469+Q468-Q464</f>
        <v>0</v>
      </c>
      <c r="R470" s="18" t="n">
        <f aca="false">R465+R469+R468-R464</f>
        <v>0</v>
      </c>
    </row>
    <row r="471" customFormat="false" ht="17.15" hidden="false" customHeight="false" outlineLevel="0" collapsed="false">
      <c r="A471" s="5" t="s">
        <v>473</v>
      </c>
      <c r="B471" s="0" t="s">
        <v>474</v>
      </c>
      <c r="C471" s="20" t="n">
        <f aca="false">C472/C463</f>
        <v>9.63267449926724</v>
      </c>
      <c r="D471" s="20" t="n">
        <f aca="false">D472/D463</f>
        <v>9.71068663757352</v>
      </c>
      <c r="E471" s="20" t="n">
        <f aca="false">$D471*(1-cd_A)^(1/4)</f>
        <v>9.35135518010517</v>
      </c>
      <c r="F471" s="20" t="n">
        <f aca="false">$D471*(1-cd_A)^(2/4)</f>
        <v>9.00532032061648</v>
      </c>
      <c r="G471" s="20" t="n">
        <f aca="false">$D471*(1-cd_A)^(3/4)</f>
        <v>8.67209003561728</v>
      </c>
      <c r="H471" s="20" t="n">
        <f aca="false">$D471*(1-cd_A)^(4/4)</f>
        <v>8.35119050831323</v>
      </c>
      <c r="I471" s="20" t="n">
        <f aca="false">$D471*(1-cd_A)^(5/4)</f>
        <v>8.04216545489044</v>
      </c>
      <c r="J471" s="20" t="n">
        <f aca="false">$D471*(1-cd_A)^(6/4)</f>
        <v>7.74457547573017</v>
      </c>
      <c r="K471" s="20" t="n">
        <f aca="false">$D471*(1-cd_A)^(7/4)</f>
        <v>7.45799743063087</v>
      </c>
      <c r="L471" s="20" t="n">
        <f aca="false">$D471*(1-cd_A)^(8/4)</f>
        <v>7.18202383714938</v>
      </c>
      <c r="M471" s="20" t="n">
        <f aca="false">$D471*(1-cd_A)^(9/4)</f>
        <v>6.91626229120578</v>
      </c>
      <c r="N471" s="20" t="n">
        <f aca="false">$D471*(1-cd_A)^(10/4)</f>
        <v>6.66033490912795</v>
      </c>
      <c r="O471" s="20" t="n">
        <f aca="false">$D471*(1-cd_A)^(11/4)</f>
        <v>6.41387779034254</v>
      </c>
      <c r="P471" s="20" t="n">
        <f aca="false">$D471*(1-cd_A)^(12/4)</f>
        <v>6.17654049994846</v>
      </c>
      <c r="Q471" s="20" t="n">
        <f aca="false">$D471*(1-cd_A)^(13/4)</f>
        <v>5.94798557043697</v>
      </c>
      <c r="R471" s="20" t="n">
        <f aca="false">$D471*(1-cd_A)^(14/4)</f>
        <v>5.72788802185004</v>
      </c>
    </row>
    <row r="472" customFormat="false" ht="15" hidden="false" customHeight="false" outlineLevel="0" collapsed="false">
      <c r="A472" s="5" t="s">
        <v>475</v>
      </c>
      <c r="B472" s="0" t="s">
        <v>27</v>
      </c>
      <c r="C472" s="13" t="n">
        <f aca="false">q1_rev-q1_gp</f>
        <v>387</v>
      </c>
      <c r="D472" s="13" t="n">
        <f aca="false">g2_rev-g2_op-g2_ox_lo</f>
        <v>435.3</v>
      </c>
      <c r="E472" s="13" t="n">
        <f aca="false">E463*E471</f>
        <v>420.260633519074</v>
      </c>
      <c r="F472" s="13" t="n">
        <f aca="false">F463*F471</f>
        <v>432.951700891072</v>
      </c>
      <c r="G472" s="13" t="n">
        <f aca="false">G463*G471</f>
        <v>440.850731968777</v>
      </c>
      <c r="H472" s="13" t="n">
        <f aca="false">H463*H471</f>
        <v>448.893877717561</v>
      </c>
      <c r="I472" s="13" t="n">
        <f aca="false">I463*I471</f>
        <v>457.083767452108</v>
      </c>
      <c r="J472" s="13" t="n">
        <f aca="false">J463*J471</f>
        <v>465.423078457903</v>
      </c>
      <c r="K472" s="13" t="n">
        <f aca="false">K463*K471</f>
        <v>473.914536866436</v>
      </c>
      <c r="L472" s="13" t="n">
        <f aca="false">L463*L471</f>
        <v>482.560918546378</v>
      </c>
      <c r="M472" s="13" t="n">
        <f aca="false">M463*M471</f>
        <v>491.365050011016</v>
      </c>
      <c r="N472" s="13" t="n">
        <f aca="false">N463*N471</f>
        <v>492.987931950892</v>
      </c>
      <c r="O472" s="13" t="n">
        <f aca="false">O463*O471</f>
        <v>498.942913395603</v>
      </c>
      <c r="P472" s="13" t="n">
        <f aca="false">P463*P471</f>
        <v>504.969827238062</v>
      </c>
      <c r="Q472" s="13" t="n">
        <f aca="false">Q463*Q471</f>
        <v>511.069542376</v>
      </c>
      <c r="R472" s="13" t="n">
        <f aca="false">R463*R471</f>
        <v>501.416552933397</v>
      </c>
      <c r="T472" s="5" t="s">
        <v>476</v>
      </c>
    </row>
    <row r="473" customFormat="false" ht="15" hidden="false" customHeight="false" outlineLevel="0" collapsed="false">
      <c r="A473" s="5" t="s">
        <v>360</v>
      </c>
      <c r="B473" s="0" t="s">
        <v>145</v>
      </c>
      <c r="C473" s="14" t="n">
        <f aca="false">1-C472/C464</f>
        <v>0.780997113915455</v>
      </c>
      <c r="D473" s="14" t="n">
        <f aca="false">1-D472/D464</f>
        <v>0.824475806451613</v>
      </c>
      <c r="E473" s="14" t="n">
        <f aca="false">1-E472/E464</f>
        <v>0.842659038942289</v>
      </c>
      <c r="F473" s="14" t="n">
        <f aca="false">1-F472/F464</f>
        <v>0.85289440645165</v>
      </c>
      <c r="G473" s="14" t="n">
        <f aca="false">1-G472/G464</f>
        <v>0.858337859556907</v>
      </c>
      <c r="H473" s="14" t="n">
        <f aca="false">1-H472/H464</f>
        <v>0.856399878618857</v>
      </c>
      <c r="I473" s="14" t="n">
        <f aca="false">1-I472/I464</f>
        <v>0.851304963698406</v>
      </c>
      <c r="J473" s="14" t="n">
        <f aca="false">1-J472/J464</f>
        <v>0.849270770617364</v>
      </c>
      <c r="K473" s="14" t="n">
        <f aca="false">1-K472/K464</f>
        <v>0.847208749159572</v>
      </c>
      <c r="L473" s="14" t="n">
        <f aca="false">1-L472/L464</f>
        <v>0.845118518624417</v>
      </c>
      <c r="M473" s="14" t="n">
        <f aca="false">1-M472/M464</f>
        <v>0.842999693103189</v>
      </c>
      <c r="N473" s="14" t="n">
        <f aca="false">1-N472/N464</f>
        <v>0.844133285914881</v>
      </c>
      <c r="O473" s="14" t="n">
        <f aca="false">1-O472/O464</f>
        <v>0.845258693821153</v>
      </c>
      <c r="P473" s="14" t="n">
        <f aca="false">1-P472/P464</f>
        <v>0.846375975919662</v>
      </c>
      <c r="Q473" s="14" t="n">
        <f aca="false">1-Q472/Q464</f>
        <v>0.847485190881356</v>
      </c>
      <c r="R473" s="14" t="n">
        <f aca="false">1-R472/R464</f>
        <v>0.848359237233248</v>
      </c>
    </row>
    <row r="474" customFormat="false" ht="17.15" hidden="false" customHeight="false" outlineLevel="0" collapsed="false">
      <c r="A474" s="5" t="s">
        <v>477</v>
      </c>
      <c r="B474" s="0" t="s">
        <v>27</v>
      </c>
      <c r="C474" s="13" t="n">
        <f aca="false">q1_gp-q1_op</f>
        <v>110.1</v>
      </c>
      <c r="D474" s="13" t="n">
        <f aca="false">g2_ox_lo</f>
        <v>50</v>
      </c>
      <c r="E474" s="13" t="n">
        <f aca="false">(g2_ox_lo-ox_var*g2_rev)*(1+ox_g)^(1/4)+ox_var*E464</f>
        <v>52.5178509644228</v>
      </c>
      <c r="F474" s="13" t="n">
        <f aca="false">(g2_ox_lo-ox_var*g2_rev)*(1+ox_g)^(2/4)+ox_var*F464</f>
        <v>55.8613384001361</v>
      </c>
      <c r="G474" s="13" t="n">
        <f aca="false">(g2_ox_lo-ox_var*g2_rev)*(1+ox_g)^(3/4)+ox_var*G464</f>
        <v>58.1871768376479</v>
      </c>
      <c r="H474" s="13" t="n">
        <f aca="false">(g2_ox_lo-ox_var*g2_rev)*(1+ox_g)^(4/4)+ox_var*H464</f>
        <v>58.979992916448</v>
      </c>
      <c r="I474" s="13" t="n">
        <f aca="false">(g2_ox_lo-ox_var*g2_rev)*(1+ox_g)^(5/4)+ox_var*I464</f>
        <v>59.1281103922641</v>
      </c>
      <c r="J474" s="13" t="n">
        <f aca="false">(g2_ox_lo-ox_var*g2_rev)*(1+ox_g)^(6/4)+ox_var*J464</f>
        <v>59.9510717626965</v>
      </c>
      <c r="K474" s="13" t="n">
        <f aca="false">(g2_ox_lo-ox_var*g2_rev)*(1+ox_g)^(7/4)+ox_var*K464</f>
        <v>60.7911633801775</v>
      </c>
      <c r="L474" s="13" t="n">
        <f aca="false">(g2_ox_lo-ox_var*g2_rev)*(1+ox_g)^(8/4)+ox_var*L464</f>
        <v>61.6487860960849</v>
      </c>
      <c r="M474" s="13" t="n">
        <f aca="false">(g2_ox_lo-ox_var*g2_rev)*(1+ox_g)^(9/4)+ox_var*M464</f>
        <v>62.5243503727694</v>
      </c>
      <c r="N474" s="13" t="n">
        <f aca="false">(g2_ox_lo-ox_var*g2_rev)*(1+ox_g)^(10/4)+ox_var*N464</f>
        <v>63.6090934684609</v>
      </c>
      <c r="O474" s="13" t="n">
        <f aca="false">(g2_ox_lo-ox_var*g2_rev)*(1+ox_g)^(11/4)+ox_var*O464</f>
        <v>64.9951217494319</v>
      </c>
      <c r="P474" s="13" t="n">
        <f aca="false">(g2_ox_lo-ox_var*g2_rev)*(1+ox_g)^(12/4)+ox_var*P464</f>
        <v>66.4116986255266</v>
      </c>
      <c r="Q474" s="13" t="n">
        <f aca="false">(g2_ox_lo-ox_var*g2_rev)*(1+ox_g)^(13/4)+ox_var*Q464</f>
        <v>67.8595048719735</v>
      </c>
      <c r="R474" s="13" t="n">
        <f aca="false">(g2_ox_lo-ox_var*g2_rev)*(1+ox_g)^(14/4)+ox_var*R464</f>
        <v>68.244386919014</v>
      </c>
      <c r="T474" s="5" t="s">
        <v>478</v>
      </c>
    </row>
    <row r="475" customFormat="false" ht="15" hidden="false" customHeight="false" outlineLevel="0" collapsed="false">
      <c r="A475" s="5" t="s">
        <v>358</v>
      </c>
      <c r="B475" s="0" t="s">
        <v>27</v>
      </c>
      <c r="C475" s="13" t="n">
        <f aca="false">C464-C472-C474</f>
        <v>1270</v>
      </c>
      <c r="D475" s="13" t="n">
        <f aca="false">D464-D472-D474</f>
        <v>1994.7</v>
      </c>
      <c r="E475" s="13" t="n">
        <f aca="false">E464-E472-E474</f>
        <v>2198.24011546598</v>
      </c>
      <c r="F475" s="13" t="n">
        <f aca="false">F464-F472-F474</f>
        <v>2454.32250333362</v>
      </c>
      <c r="G475" s="13" t="n">
        <f aca="false">G464-G472-G474</f>
        <v>2612.94903837563</v>
      </c>
      <c r="H475" s="13" t="n">
        <f aca="false">H464-H472-H474</f>
        <v>2618.12542101079</v>
      </c>
      <c r="I475" s="13" t="n">
        <f aca="false">I464-I472-I474</f>
        <v>2557.75601523996</v>
      </c>
      <c r="J475" s="13" t="n">
        <f aca="false">J464-J472-J474</f>
        <v>2562.43489892139</v>
      </c>
      <c r="K475" s="13" t="n">
        <f aca="false">K464-K472-K474</f>
        <v>2567.00682753013</v>
      </c>
      <c r="L475" s="13" t="n">
        <f aca="false">L464-L472-L474</f>
        <v>2571.46890496602</v>
      </c>
      <c r="M475" s="13" t="n">
        <f aca="false">M464-M472-M474</f>
        <v>2575.81817613686</v>
      </c>
      <c r="N475" s="13" t="n">
        <f aca="false">N464-N472-N474</f>
        <v>2606.28438158631</v>
      </c>
      <c r="O475" s="13" t="n">
        <f aca="false">O464-O472-O474</f>
        <v>2660.42994853305</v>
      </c>
      <c r="P475" s="13" t="n">
        <f aca="false">P464-P472-P474</f>
        <v>2715.66833668906</v>
      </c>
      <c r="Q475" s="13" t="n">
        <f aca="false">Q464-Q472-Q474</f>
        <v>2772.02123311746</v>
      </c>
      <c r="R475" s="13" t="n">
        <f aca="false">R464-R472-R474</f>
        <v>2736.94701822451</v>
      </c>
    </row>
    <row r="477" customFormat="false" ht="17.15" hidden="false" customHeight="false" outlineLevel="0" collapsed="false">
      <c r="A477" s="5" t="s">
        <v>359</v>
      </c>
      <c r="B477" s="0" t="s">
        <v>27</v>
      </c>
      <c r="C477" s="13" t="n">
        <f aca="false">q1_ni</f>
        <v>842.2</v>
      </c>
      <c r="D477" s="13" t="n">
        <f aca="false">g2_ni</f>
        <v>1360</v>
      </c>
      <c r="E477" s="13" t="n">
        <f aca="false">(E475+nonop_q+rf*nc_j/4)*(1-tax)</f>
        <v>1484.86915851687</v>
      </c>
      <c r="F477" s="13" t="n">
        <f aca="false">(F475+nonop_q+rf*nc_j/4)*(1-tax)</f>
        <v>1659.00518226686</v>
      </c>
      <c r="G477" s="13" t="n">
        <f aca="false">(G475+nonop_q+rf*$D498/4)*(1-tax)</f>
        <v>1772.86389519889</v>
      </c>
      <c r="H477" s="13" t="n">
        <f aca="false">(H475+nonop_q+rf*$D498/4)*(1-tax)</f>
        <v>1776.3838353908</v>
      </c>
      <c r="I477" s="13" t="n">
        <f aca="false">(I475+nonop_q+rf*$D498/4)*(1-tax)</f>
        <v>1735.33263946664</v>
      </c>
      <c r="J477" s="13" t="n">
        <f aca="false">(J475+nonop_q+rf*$D498/4)*(1-tax)</f>
        <v>1738.51428037001</v>
      </c>
      <c r="K477" s="13" t="n">
        <f aca="false">(K475+nonop_q+rf*$E498/4)*(1-tax)</f>
        <v>1750.97060054853</v>
      </c>
      <c r="L477" s="13" t="n">
        <f aca="false">(L475+nonop_q+rf*$E498/4)*(1-tax)</f>
        <v>1754.00481320494</v>
      </c>
      <c r="M477" s="13" t="n">
        <f aca="false">(M475+nonop_q+rf*$E498/4)*(1-tax)</f>
        <v>1756.96231760111</v>
      </c>
      <c r="N477" s="13" t="n">
        <f aca="false">(N475+nonop_q+rf*$E498/4)*(1-tax)</f>
        <v>1777.67933730674</v>
      </c>
      <c r="O477" s="13" t="n">
        <f aca="false">(O475+nonop_q+rf*$F498/4)*(1-tax)</f>
        <v>1823.8682020439</v>
      </c>
      <c r="P477" s="13" t="n">
        <f aca="false">(P475+nonop_q+rf*$F498/4)*(1-tax)</f>
        <v>1861.43030598999</v>
      </c>
      <c r="Q477" s="13" t="n">
        <f aca="false">(Q475+nonop_q+rf*$F498/4)*(1-tax)</f>
        <v>1899.7502755613</v>
      </c>
      <c r="R477" s="13" t="n">
        <f aca="false">(R475+nonop_q+rf*$F498/4)*(1-tax)</f>
        <v>1875.89980943409</v>
      </c>
      <c r="T477" s="5" t="s">
        <v>479</v>
      </c>
    </row>
    <row r="478" customFormat="false" ht="17.15" hidden="false" customHeight="false" outlineLevel="0" collapsed="false">
      <c r="A478" s="5" t="s">
        <v>480</v>
      </c>
      <c r="B478" s="0" t="s">
        <v>108</v>
      </c>
      <c r="C478" s="17" t="n">
        <f aca="false">C477/(sh0+dil)*1000</f>
        <v>507.343332753891</v>
      </c>
      <c r="D478" s="17" t="n">
        <f aca="false">D477/(sh0+dil)*1000</f>
        <v>819.267314824616</v>
      </c>
      <c r="E478" s="17" t="n">
        <f aca="false">E477/(sh0+dil)*1000</f>
        <v>894.488800267647</v>
      </c>
      <c r="F478" s="17" t="n">
        <f aca="false">F477/(sh0+dil)*1000</f>
        <v>999.388765408746</v>
      </c>
      <c r="G478" s="17" t="n">
        <f aca="false">G477/(sh0+dil)*1000</f>
        <v>1067.97753159493</v>
      </c>
      <c r="H478" s="17" t="n">
        <f aca="false">H477/(sh0+dil)*1000</f>
        <v>1070.09795214594</v>
      </c>
      <c r="I478" s="17" t="n">
        <f aca="false">I477/(sh0+dil)*1000</f>
        <v>1045.36861166422</v>
      </c>
      <c r="J478" s="17" t="n">
        <f aca="false">J477/(sh0+dil)*1000</f>
        <v>1047.28523989926</v>
      </c>
      <c r="K478" s="17" t="n">
        <f aca="false">K477/(sh0+dil)*1000</f>
        <v>1054.78895753547</v>
      </c>
      <c r="L478" s="17" t="n">
        <f aca="false">L477/(sh0+dil)*1000</f>
        <v>1056.61677463519</v>
      </c>
      <c r="M478" s="17" t="n">
        <f aca="false">M477/(sh0+dil)*1000</f>
        <v>1058.39838249198</v>
      </c>
      <c r="N478" s="17" t="n">
        <f aca="false">N477/(sh0+dil)*1000</f>
        <v>1070.87836565772</v>
      </c>
      <c r="O478" s="17" t="n">
        <f aca="false">O477/(sh0+dil)*1000</f>
        <v>1098.70265035478</v>
      </c>
      <c r="P478" s="17" t="n">
        <f aca="false">P477/(sh0+dil)*1000</f>
        <v>1121.33015332469</v>
      </c>
      <c r="Q478" s="17" t="n">
        <f aca="false">Q477/(sh0+dil)*1000</f>
        <v>1144.41419639443</v>
      </c>
      <c r="R478" s="17" t="n">
        <f aca="false">R477/(sh0+dil)*1000</f>
        <v>1130.04661746697</v>
      </c>
    </row>
    <row r="480" customFormat="false" ht="17.15" hidden="false" customHeight="false" outlineLevel="0" collapsed="false">
      <c r="A480" s="12" t="s">
        <v>481</v>
      </c>
      <c r="B480" s="6" t="s">
        <v>17</v>
      </c>
      <c r="C480" s="12" t="s">
        <v>425</v>
      </c>
      <c r="D480" s="12" t="s">
        <v>426</v>
      </c>
      <c r="E480" s="12" t="s">
        <v>427</v>
      </c>
      <c r="F480" s="12" t="s">
        <v>428</v>
      </c>
      <c r="G480" s="12" t="s">
        <v>429</v>
      </c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6" t="s">
        <v>330</v>
      </c>
    </row>
    <row r="481" customFormat="false" ht="17.15" hidden="false" customHeight="false" outlineLevel="0" collapsed="false">
      <c r="A481" s="5" t="s">
        <v>354</v>
      </c>
      <c r="B481" s="0" t="s">
        <v>27</v>
      </c>
      <c r="C481" s="13" t="n">
        <f aca="false">a25_rev</f>
        <v>2337.6</v>
      </c>
      <c r="D481" s="13" t="n">
        <f aca="false">SUM(C464:F464)</f>
        <v>9861.25414257431</v>
      </c>
      <c r="E481" s="13" t="n">
        <f aca="false">SUM(G464:J464)</f>
        <v>12399.7631810532</v>
      </c>
      <c r="F481" s="13" t="n">
        <f aca="false">SUM(K464:N464)</f>
        <v>12509.9801209115</v>
      </c>
      <c r="G481" s="13" t="n">
        <f aca="false">SUM(O464:R464)</f>
        <v>13168.9760846731</v>
      </c>
      <c r="T481" s="8" t="s">
        <v>482</v>
      </c>
    </row>
    <row r="482" customFormat="false" ht="17.15" hidden="false" customHeight="false" outlineLevel="0" collapsed="false">
      <c r="A482" s="5" t="s">
        <v>483</v>
      </c>
      <c r="B482" s="0" t="s">
        <v>27</v>
      </c>
      <c r="C482" s="13" t="n">
        <f aca="false">p1_ss+p2_ss+p3_ss+p4_ss</f>
        <v>1364.7</v>
      </c>
      <c r="D482" s="13" t="n">
        <f aca="false">SUM(C465:F465)</f>
        <v>6516.84173409904</v>
      </c>
      <c r="E482" s="13" t="n">
        <f aca="false">SUM(G465:J465)</f>
        <v>8431.83896311616</v>
      </c>
      <c r="F482" s="13" t="n">
        <f aca="false">SUM(K465:N465)</f>
        <v>8756.98608463807</v>
      </c>
      <c r="G482" s="13" t="n">
        <f aca="false">SUM(O465:R465)</f>
        <v>9218.28325927117</v>
      </c>
    </row>
    <row r="483" customFormat="false" ht="17.15" hidden="false" customHeight="false" outlineLevel="0" collapsed="false">
      <c r="A483" s="0" t="s">
        <v>484</v>
      </c>
      <c r="B483" s="0" t="s">
        <v>27</v>
      </c>
      <c r="C483" s="13" t="n">
        <f aca="false">C482*(0.75*Units!C16+0.25*Units!D16)</f>
        <v>507.679569396364</v>
      </c>
      <c r="D483" s="13" t="n">
        <f aca="false">SUM(C466:F466)</f>
        <v>3813.48331392765</v>
      </c>
      <c r="E483" s="13" t="n">
        <f aca="false">SUM(G466:J466)</f>
        <v>5809.33026284196</v>
      </c>
      <c r="F483" s="13" t="n">
        <f aca="false">SUM(K466:N466)</f>
        <v>6390.85985817728</v>
      </c>
      <c r="G483" s="13" t="n">
        <f aca="false">SUM(O466:R466)</f>
        <v>7025.78491807603</v>
      </c>
    </row>
    <row r="484" customFormat="false" ht="15" hidden="false" customHeight="false" outlineLevel="0" collapsed="false">
      <c r="A484" s="5" t="s">
        <v>485</v>
      </c>
      <c r="B484" s="0" t="s">
        <v>27</v>
      </c>
      <c r="C484" s="13" t="n">
        <f aca="false">p1_sd+p2_sd+p3_sd+p4_sd</f>
        <v>759.5</v>
      </c>
      <c r="D484" s="13" t="n">
        <f aca="false">SUM(C469:F469)</f>
        <v>2953.94624277229</v>
      </c>
      <c r="E484" s="13" t="n">
        <f aca="false">SUM(G469:J469)</f>
        <v>3471.93369069489</v>
      </c>
      <c r="F484" s="13" t="n">
        <f aca="false">SUM(K469:N469)</f>
        <v>3252.594831437</v>
      </c>
      <c r="G484" s="13" t="n">
        <f aca="false">SUM(O469:R469)</f>
        <v>3423.93378201501</v>
      </c>
    </row>
    <row r="485" customFormat="false" ht="17.15" hidden="false" customHeight="false" outlineLevel="0" collapsed="false">
      <c r="A485" s="5" t="s">
        <v>486</v>
      </c>
      <c r="B485" s="0" t="s">
        <v>27</v>
      </c>
      <c r="C485" s="13" t="n">
        <f aca="false">a25_rev-C482-C484</f>
        <v>213.4</v>
      </c>
      <c r="D485" s="13" t="n">
        <f aca="false">SUM(C468:F468)</f>
        <v>390.466165702972</v>
      </c>
      <c r="E485" s="13" t="n">
        <f aca="false">SUM(G468:J468)</f>
        <v>495.990527242127</v>
      </c>
      <c r="F485" s="13" t="n">
        <f aca="false">SUM(K468:N468)</f>
        <v>500.399204836461</v>
      </c>
      <c r="G485" s="13" t="n">
        <f aca="false">SUM(O468:R468)</f>
        <v>526.759043386924</v>
      </c>
      <c r="T485" s="8" t="s">
        <v>487</v>
      </c>
    </row>
    <row r="486" customFormat="false" ht="15" hidden="false" customHeight="false" outlineLevel="0" collapsed="false">
      <c r="A486" s="5" t="s">
        <v>488</v>
      </c>
      <c r="B486" s="0" t="s">
        <v>27</v>
      </c>
      <c r="C486" s="18" t="n">
        <f aca="false">C482+C484+C485-C481</f>
        <v>0</v>
      </c>
      <c r="D486" s="18" t="n">
        <f aca="false">D482+D484+D485-D481</f>
        <v>0</v>
      </c>
      <c r="E486" s="18" t="n">
        <f aca="false">E482+E484+E485-E481</f>
        <v>0</v>
      </c>
      <c r="F486" s="18" t="n">
        <f aca="false">F482+F484+F485-F481</f>
        <v>0</v>
      </c>
      <c r="G486" s="18" t="n">
        <f aca="false">G482+G484+G485-G481</f>
        <v>0</v>
      </c>
    </row>
    <row r="487" customFormat="false" ht="15" hidden="false" customHeight="false" outlineLevel="0" collapsed="false">
      <c r="A487" s="5" t="s">
        <v>475</v>
      </c>
      <c r="B487" s="0" t="s">
        <v>27</v>
      </c>
      <c r="C487" s="13" t="n">
        <f aca="false">a25_rev-(p1_gp+p2_gp+p3_gp+p4_gp)</f>
        <v>1324.8</v>
      </c>
      <c r="D487" s="13" t="n">
        <f aca="false">SUM(C472:F472)</f>
        <v>1675.51233441015</v>
      </c>
      <c r="E487" s="13" t="n">
        <f aca="false">SUM(G472:J472)</f>
        <v>1812.25145559635</v>
      </c>
      <c r="F487" s="13" t="n">
        <f aca="false">SUM(K472:N472)</f>
        <v>1940.82843737472</v>
      </c>
      <c r="G487" s="13" t="n">
        <f aca="false">SUM(O472:R472)</f>
        <v>2016.39883594306</v>
      </c>
    </row>
    <row r="488" customFormat="false" ht="15" hidden="false" customHeight="false" outlineLevel="0" collapsed="false">
      <c r="A488" s="5" t="s">
        <v>360</v>
      </c>
      <c r="B488" s="0" t="s">
        <v>145</v>
      </c>
      <c r="C488" s="14" t="n">
        <f aca="false">1-C487/C481</f>
        <v>0.433264887063655</v>
      </c>
      <c r="D488" s="14" t="n">
        <f aca="false">1-D487/D481</f>
        <v>0.830091354488431</v>
      </c>
      <c r="E488" s="14" t="n">
        <f aca="false">1-E487/E481</f>
        <v>0.853847897807801</v>
      </c>
      <c r="F488" s="14" t="n">
        <f aca="false">1-F487/F481</f>
        <v>0.844857592209083</v>
      </c>
      <c r="G488" s="14" t="n">
        <f aca="false">1-G487/G481</f>
        <v>0.846882641218411</v>
      </c>
    </row>
    <row r="489" customFormat="false" ht="15" hidden="false" customHeight="false" outlineLevel="0" collapsed="false">
      <c r="A489" s="5" t="s">
        <v>477</v>
      </c>
      <c r="B489" s="0" t="s">
        <v>27</v>
      </c>
      <c r="D489" s="13" t="n">
        <f aca="false">SUM(C474:F474)</f>
        <v>268.479189364559</v>
      </c>
      <c r="E489" s="13" t="n">
        <f aca="false">SUM(G474:J474)</f>
        <v>236.246351909056</v>
      </c>
      <c r="F489" s="13" t="n">
        <f aca="false">SUM(K474:N474)</f>
        <v>248.573393317493</v>
      </c>
      <c r="G489" s="13" t="n">
        <f aca="false">SUM(O474:R474)</f>
        <v>267.510712165946</v>
      </c>
    </row>
    <row r="490" customFormat="false" ht="15" hidden="false" customHeight="false" outlineLevel="0" collapsed="false">
      <c r="A490" s="5" t="s">
        <v>358</v>
      </c>
      <c r="B490" s="0" t="s">
        <v>27</v>
      </c>
      <c r="C490" s="13" t="n">
        <f aca="false">p1_op+p2_op+p3_op+p4_op</f>
        <v>869</v>
      </c>
      <c r="D490" s="13" t="n">
        <f aca="false">SUM(C475:F475)</f>
        <v>7917.2626187996</v>
      </c>
      <c r="E490" s="13" t="n">
        <f aca="false">SUM(G475:J475)</f>
        <v>10351.2653735478</v>
      </c>
      <c r="F490" s="13" t="n">
        <f aca="false">SUM(K475:N475)</f>
        <v>10320.5782902193</v>
      </c>
      <c r="G490" s="13" t="n">
        <f aca="false">SUM(O475:R475)</f>
        <v>10885.0665365641</v>
      </c>
    </row>
    <row r="491" customFormat="false" ht="15" hidden="false" customHeight="false" outlineLevel="0" collapsed="false">
      <c r="A491" s="5" t="s">
        <v>361</v>
      </c>
      <c r="B491" s="0" t="s">
        <v>145</v>
      </c>
      <c r="C491" s="14" t="n">
        <f aca="false">C490/C481</f>
        <v>0.371748802190281</v>
      </c>
      <c r="D491" s="14" t="n">
        <f aca="false">D490/D481</f>
        <v>0.802865690745983</v>
      </c>
      <c r="E491" s="14" t="n">
        <f aca="false">E490/E481</f>
        <v>0.834795408783652</v>
      </c>
      <c r="F491" s="14" t="n">
        <f aca="false">F490/F481</f>
        <v>0.824987585149521</v>
      </c>
      <c r="G491" s="14" t="n">
        <f aca="false">G490/G481</f>
        <v>0.826568934940419</v>
      </c>
    </row>
    <row r="492" customFormat="false" ht="15" hidden="false" customHeight="false" outlineLevel="0" collapsed="false">
      <c r="A492" s="5" t="s">
        <v>359</v>
      </c>
      <c r="B492" s="0" t="s">
        <v>27</v>
      </c>
      <c r="C492" s="13" t="n">
        <f aca="false">a25_ni</f>
        <v>554.5</v>
      </c>
      <c r="D492" s="13" t="n">
        <f aca="false">SUM(C477:F477)</f>
        <v>5346.07434078373</v>
      </c>
      <c r="E492" s="13" t="n">
        <f aca="false">SUM(G477:J477)</f>
        <v>7023.09465042634</v>
      </c>
      <c r="F492" s="13" t="n">
        <f aca="false">SUM(K477:N477)</f>
        <v>7039.61706866132</v>
      </c>
      <c r="G492" s="13" t="n">
        <f aca="false">SUM(O477:R477)</f>
        <v>7460.94859302928</v>
      </c>
    </row>
    <row r="493" customFormat="false" ht="15" hidden="false" customHeight="false" outlineLevel="0" collapsed="false">
      <c r="A493" s="5" t="s">
        <v>489</v>
      </c>
      <c r="B493" s="0" t="s">
        <v>27</v>
      </c>
      <c r="D493" s="13" t="n">
        <f aca="false">da_y</f>
        <v>320</v>
      </c>
      <c r="E493" s="13" t="n">
        <f aca="false">da_y</f>
        <v>320</v>
      </c>
      <c r="F493" s="13" t="n">
        <f aca="false">da_y</f>
        <v>320</v>
      </c>
      <c r="G493" s="13" t="n">
        <f aca="false">da_y</f>
        <v>320</v>
      </c>
    </row>
    <row r="494" customFormat="false" ht="15" hidden="false" customHeight="false" outlineLevel="0" collapsed="false">
      <c r="A494" s="5" t="s">
        <v>490</v>
      </c>
      <c r="B494" s="0" t="s">
        <v>27</v>
      </c>
      <c r="D494" s="13" t="n">
        <f aca="false">cap_2026</f>
        <v>450</v>
      </c>
      <c r="E494" s="13" t="n">
        <f aca="false">cap_2027</f>
        <v>470</v>
      </c>
      <c r="F494" s="13" t="n">
        <f aca="false">cap_2028</f>
        <v>470</v>
      </c>
      <c r="G494" s="13" t="n">
        <f aca="false">cap_2029</f>
        <v>470</v>
      </c>
    </row>
    <row r="495" customFormat="false" ht="15" hidden="false" customHeight="false" outlineLevel="0" collapsed="false">
      <c r="A495" s="5" t="s">
        <v>491</v>
      </c>
      <c r="B495" s="0" t="s">
        <v>27</v>
      </c>
      <c r="D495" s="13" t="n">
        <f aca="false">D492+D493-D494</f>
        <v>5216.07434078373</v>
      </c>
      <c r="E495" s="13" t="n">
        <f aca="false">E492+E493-E494</f>
        <v>6873.09465042634</v>
      </c>
      <c r="F495" s="13" t="n">
        <f aca="false">F492+F493-F494</f>
        <v>6889.61706866132</v>
      </c>
      <c r="G495" s="13" t="n">
        <f aca="false">G492+G493-G494</f>
        <v>7310.94859302928</v>
      </c>
    </row>
    <row r="496" customFormat="false" ht="17.15" hidden="false" customHeight="false" outlineLevel="0" collapsed="false">
      <c r="A496" s="5" t="s">
        <v>492</v>
      </c>
      <c r="B496" s="0" t="s">
        <v>27</v>
      </c>
      <c r="D496" s="13" t="n">
        <f aca="false">MAX(0,payout*(SUM(D477:F477)+0.75*(D493-D494)))</f>
        <v>881.274868156746</v>
      </c>
      <c r="E496" s="13" t="n">
        <f aca="false">MAX(0,payout*E495)</f>
        <v>1374.61893008527</v>
      </c>
      <c r="F496" s="13" t="n">
        <f aca="false">MAX(0,payout*F495)</f>
        <v>1377.92341373226</v>
      </c>
      <c r="G496" s="13" t="n">
        <f aca="false">MAX(0,payout*G495)</f>
        <v>1462.18971860586</v>
      </c>
      <c r="T496" s="8" t="s">
        <v>493</v>
      </c>
    </row>
    <row r="497" customFormat="false" ht="17.15" hidden="false" customHeight="false" outlineLevel="0" collapsed="false">
      <c r="A497" s="5" t="s">
        <v>494</v>
      </c>
      <c r="B497" s="0" t="s">
        <v>27</v>
      </c>
      <c r="C497" s="13" t="n">
        <f aca="false">eq25</f>
        <v>1399.1</v>
      </c>
      <c r="D497" s="13" t="n">
        <f aca="false">eq_j+SUM(D477:F477)-D496</f>
        <v>6026.89947262698</v>
      </c>
      <c r="E497" s="13" t="n">
        <f aca="false">D497+E492-E496</f>
        <v>11675.3751929681</v>
      </c>
      <c r="F497" s="13" t="n">
        <f aca="false">E497+F492-F496</f>
        <v>17337.0688478971</v>
      </c>
      <c r="G497" s="13" t="n">
        <f aca="false">F497+G492-G496</f>
        <v>23335.8277223205</v>
      </c>
      <c r="T497" s="8" t="s">
        <v>495</v>
      </c>
    </row>
    <row r="498" customFormat="false" ht="15" hidden="false" customHeight="false" outlineLevel="0" collapsed="false">
      <c r="A498" s="5" t="s">
        <v>496</v>
      </c>
      <c r="B498" s="0" t="s">
        <v>27</v>
      </c>
      <c r="D498" s="13" t="n">
        <f aca="false">nc_j+(SUM(D477:F477)+0.75*(D493-D494))-D496</f>
        <v>3681.49947262698</v>
      </c>
      <c r="E498" s="13" t="n">
        <f aca="false">D498+E495-E496</f>
        <v>9179.97519296806</v>
      </c>
      <c r="F498" s="13" t="n">
        <f aca="false">E498+F495-F496</f>
        <v>14691.6688478971</v>
      </c>
      <c r="G498" s="13" t="n">
        <f aca="false">F498+G495-G496</f>
        <v>20540.4277223205</v>
      </c>
    </row>
    <row r="499" customFormat="false" ht="15" hidden="false" customHeight="false" outlineLevel="0" collapsed="false">
      <c r="A499" s="5" t="s">
        <v>497</v>
      </c>
      <c r="B499" s="5" t="s">
        <v>209</v>
      </c>
      <c r="D499" s="13" t="n">
        <f aca="false">sh0-D496/bb_px*1000</f>
        <v>1574.95141159649</v>
      </c>
      <c r="E499" s="13" t="n">
        <f aca="false">D499-E496/bb_px*1000</f>
        <v>1467.18042530992</v>
      </c>
      <c r="F499" s="13" t="n">
        <f aca="false">E499-F496/bb_px*1000</f>
        <v>1359.15036543283</v>
      </c>
      <c r="G499" s="13" t="n">
        <f aca="false">F499-G496/bb_px*1000</f>
        <v>1244.5137744014</v>
      </c>
    </row>
    <row r="500" customFormat="false" ht="17.15" hidden="false" customHeight="false" outlineLevel="0" collapsed="false">
      <c r="A500" s="0" t="s">
        <v>498</v>
      </c>
      <c r="B500" s="0" t="s">
        <v>108</v>
      </c>
      <c r="C500" s="17" t="n">
        <f aca="false">a25_eps</f>
        <v>341.4</v>
      </c>
      <c r="D500" s="17" t="n">
        <f aca="false">D492/(D499+dil)*1000</f>
        <v>3360.35103654198</v>
      </c>
      <c r="E500" s="17" t="n">
        <f aca="false">E492/(E499+dil)*1000</f>
        <v>4735.23551724434</v>
      </c>
      <c r="F500" s="17" t="n">
        <f aca="false">F492/(F499+dil)*1000</f>
        <v>5119.25129566333</v>
      </c>
      <c r="G500" s="17" t="n">
        <f aca="false">G492/(G499+dil)*1000</f>
        <v>5919.08729445137</v>
      </c>
    </row>
    <row r="501" customFormat="false" ht="17.15" hidden="false" customHeight="false" outlineLevel="0" collapsed="false">
      <c r="A501" s="5" t="s">
        <v>499</v>
      </c>
      <c r="B501" s="0" t="s">
        <v>108</v>
      </c>
      <c r="D501" s="17" t="n">
        <f aca="false">D497/D499*1000</f>
        <v>3826.72089326086</v>
      </c>
      <c r="E501" s="17" t="n">
        <f aca="false">E497/E499*1000</f>
        <v>7957.69558505515</v>
      </c>
      <c r="F501" s="17" t="n">
        <f aca="false">F497/F499*1000</f>
        <v>12755.8136971666</v>
      </c>
      <c r="G501" s="17" t="n">
        <f aca="false">G497/G499*1000</f>
        <v>18750.9597742659</v>
      </c>
    </row>
    <row r="502" customFormat="false" ht="17.15" hidden="false" customHeight="false" outlineLevel="0" collapsed="false">
      <c r="A502" s="0" t="s">
        <v>500</v>
      </c>
      <c r="B502" s="0" t="s">
        <v>145</v>
      </c>
      <c r="D502" s="21" t="n">
        <f aca="false">D492/D497</f>
        <v>0.887035591860221</v>
      </c>
      <c r="E502" s="21" t="n">
        <f aca="false">E492/E497</f>
        <v>0.601530531940102</v>
      </c>
      <c r="F502" s="21" t="n">
        <f aca="false">F492/F497</f>
        <v>0.406044247180525</v>
      </c>
      <c r="G502" s="21" t="n">
        <f aca="false">G492/G497</f>
        <v>0.31972076078934</v>
      </c>
    </row>
    <row r="503" customFormat="false" ht="15" hidden="false" customHeight="false" outlineLevel="0" collapsed="false">
      <c r="A503" s="5" t="s">
        <v>501</v>
      </c>
      <c r="B503" s="0" t="s">
        <v>108</v>
      </c>
      <c r="E503" s="17" t="n">
        <f aca="false">E495/(E499+dil)*1000</f>
        <v>4634.09985512657</v>
      </c>
      <c r="F503" s="17" t="n">
        <f aca="false">F495/(F499+dil)*1000</f>
        <v>5010.17040577118</v>
      </c>
      <c r="G503" s="17" t="n">
        <f aca="false">G495/(G499+dil)*1000</f>
        <v>5800.08592577859</v>
      </c>
    </row>
    <row r="504" customFormat="false" ht="17.15" hidden="false" customHeight="false" outlineLevel="0" collapsed="false">
      <c r="A504" s="5" t="s">
        <v>502</v>
      </c>
      <c r="B504" s="0" t="s">
        <v>27</v>
      </c>
      <c r="D504" s="18" t="n">
        <f aca="false">ABS(C464-q1_rev)+ABS(D475-g2_op)+ABS(C481-2337.6)</f>
        <v>0</v>
      </c>
    </row>
    <row r="510" customFormat="false" ht="17.15" hidden="false" customHeight="false" outlineLevel="0" collapsed="false">
      <c r="A510" s="3" t="s">
        <v>826</v>
      </c>
    </row>
    <row r="511" customFormat="false" ht="17.15" hidden="false" customHeight="false" outlineLevel="0" collapsed="false">
      <c r="A511" s="12" t="s">
        <v>442</v>
      </c>
      <c r="B511" s="6" t="s">
        <v>17</v>
      </c>
      <c r="C511" s="12" t="s">
        <v>443</v>
      </c>
      <c r="D511" s="12" t="s">
        <v>444</v>
      </c>
      <c r="E511" s="12" t="s">
        <v>445</v>
      </c>
      <c r="F511" s="12" t="s">
        <v>446</v>
      </c>
      <c r="G511" s="12" t="s">
        <v>447</v>
      </c>
      <c r="H511" s="12" t="s">
        <v>448</v>
      </c>
      <c r="I511" s="12" t="s">
        <v>449</v>
      </c>
      <c r="J511" s="12" t="s">
        <v>450</v>
      </c>
      <c r="K511" s="12" t="s">
        <v>451</v>
      </c>
      <c r="L511" s="12" t="s">
        <v>452</v>
      </c>
      <c r="M511" s="12" t="s">
        <v>453</v>
      </c>
      <c r="N511" s="12" t="s">
        <v>454</v>
      </c>
      <c r="O511" s="12" t="s">
        <v>455</v>
      </c>
      <c r="P511" s="12" t="s">
        <v>456</v>
      </c>
      <c r="Q511" s="12" t="s">
        <v>457</v>
      </c>
      <c r="R511" s="12" t="s">
        <v>458</v>
      </c>
      <c r="S511" s="12"/>
      <c r="T511" s="6" t="s">
        <v>330</v>
      </c>
    </row>
    <row r="512" customFormat="false" ht="17.15" hidden="false" customHeight="false" outlineLevel="0" collapsed="false">
      <c r="A512" s="5" t="s">
        <v>459</v>
      </c>
      <c r="B512" s="0" t="s">
        <v>391</v>
      </c>
      <c r="C512" s="19" t="n">
        <f aca="false">Units!H4*1</f>
        <v>10.72</v>
      </c>
      <c r="D512" s="19" t="n">
        <f aca="false">Units!I4*1</f>
        <v>14.9513168749304</v>
      </c>
      <c r="E512" s="19" t="n">
        <f aca="false">Units!J4*1*1</f>
        <v>16.2035648188888</v>
      </c>
      <c r="F512" s="19" t="n">
        <f aca="false">Units!K4*1*1</f>
        <v>17.8543449815733</v>
      </c>
      <c r="G512" s="19" t="n">
        <f aca="false">Units!L4*1*1</f>
        <v>18.8786713110699</v>
      </c>
      <c r="H512" s="19" t="n">
        <f aca="false">Units!M4*1*1</f>
        <v>18.9636763094518</v>
      </c>
      <c r="I512" s="19" t="n">
        <f aca="false">Units!N4*1*1</f>
        <v>18.6480311322868</v>
      </c>
      <c r="J512" s="19" t="n">
        <f aca="false">Units!O4*1*1</f>
        <v>18.7319976270738</v>
      </c>
      <c r="K512" s="19" t="n">
        <f aca="false">Units!P4*1*1</f>
        <v>18.8163421978194</v>
      </c>
      <c r="L512" s="19" t="n">
        <f aca="false">Units!Q4*1*1</f>
        <v>18.9010665468864</v>
      </c>
      <c r="M512" s="19" t="n">
        <f aca="false">Units!R4*1*1</f>
        <v>18.9861723843027</v>
      </c>
      <c r="N512" s="19" t="n">
        <f aca="false">Units!S4*1*1</f>
        <v>19.1874193215442</v>
      </c>
      <c r="O512" s="19" t="n">
        <f aca="false">Units!T4*1*1</f>
        <v>19.5604237366471</v>
      </c>
      <c r="P512" s="19" t="n">
        <f aca="false">Units!U4*1*1</f>
        <v>19.9406793766988</v>
      </c>
      <c r="Q512" s="19" t="n">
        <f aca="false">Units!V4*1*1</f>
        <v>20.3283272058839</v>
      </c>
      <c r="R512" s="19" t="n">
        <f aca="false">Units!W4*1*1</f>
        <v>20.0593273219312</v>
      </c>
      <c r="T512" s="8" t="s">
        <v>460</v>
      </c>
    </row>
    <row r="513" customFormat="false" ht="15" hidden="false" customHeight="false" outlineLevel="0" collapsed="false">
      <c r="A513" s="5" t="s">
        <v>461</v>
      </c>
      <c r="B513" s="0" t="s">
        <v>398</v>
      </c>
      <c r="C513" s="19" t="n">
        <f aca="false">Units!H7*1</f>
        <v>40.1757580440862</v>
      </c>
      <c r="D513" s="19" t="n">
        <f aca="false">Units!I7*1</f>
        <v>44.8269021796765</v>
      </c>
      <c r="E513" s="19" t="n">
        <f aca="false">Units!J7*1</f>
        <v>44.9411476117569</v>
      </c>
      <c r="F513" s="19" t="n">
        <f aca="false">Units!K7*1</f>
        <v>48.0773237904583</v>
      </c>
      <c r="G513" s="19" t="n">
        <f aca="false">Units!L7*1</f>
        <v>50.835580599158</v>
      </c>
      <c r="H513" s="19" t="n">
        <f aca="false">Units!M7*1</f>
        <v>53.7520820858664</v>
      </c>
      <c r="I513" s="19" t="n">
        <f aca="false">Units!N7*1</f>
        <v>56.8359069476934</v>
      </c>
      <c r="J513" s="19" t="n">
        <f aca="false">Units!O7*1</f>
        <v>60.0966547380729</v>
      </c>
      <c r="K513" s="19" t="n">
        <f aca="false">Units!P7*1</f>
        <v>63.5444757489475</v>
      </c>
      <c r="L513" s="19" t="n">
        <f aca="false">Units!Q7*1</f>
        <v>67.190102607333</v>
      </c>
      <c r="M513" s="19" t="n">
        <f aca="false">Units!R7*1</f>
        <v>71.0448836846168</v>
      </c>
      <c r="N513" s="19" t="n">
        <f aca="false">Units!S7*1</f>
        <v>74.0184898623123</v>
      </c>
      <c r="O513" s="19" t="n">
        <f aca="false">Units!T7*1</f>
        <v>77.7911475249602</v>
      </c>
      <c r="P513" s="19" t="n">
        <f aca="false">Units!U7*1</f>
        <v>81.7560942476254</v>
      </c>
      <c r="Q513" s="19" t="n">
        <f aca="false">Units!V7*1</f>
        <v>85.9231308354458</v>
      </c>
      <c r="R513" s="19" t="n">
        <f aca="false">Units!W7*1</f>
        <v>87.5395173614874</v>
      </c>
    </row>
    <row r="514" customFormat="false" ht="17.15" hidden="false" customHeight="false" outlineLevel="0" collapsed="false">
      <c r="A514" s="5" t="s">
        <v>354</v>
      </c>
      <c r="B514" s="0" t="s">
        <v>27</v>
      </c>
      <c r="C514" s="13" t="n">
        <f aca="false">q1_rev</f>
        <v>1767.1</v>
      </c>
      <c r="D514" s="13" t="n">
        <f aca="false">g2_rev</f>
        <v>2480</v>
      </c>
      <c r="E514" s="13" t="n">
        <f aca="false">E512*kx_k*fx</f>
        <v>2671.01859994948</v>
      </c>
      <c r="F514" s="13" t="n">
        <f aca="false">F512*kx_k*fx</f>
        <v>2943.13554262483</v>
      </c>
      <c r="G514" s="13" t="n">
        <f aca="false">G512*kx_k*fx</f>
        <v>3111.98694718205</v>
      </c>
      <c r="H514" s="13" t="n">
        <f aca="false">H512*kx_k*fx</f>
        <v>3125.9992916448</v>
      </c>
      <c r="I514" s="13" t="n">
        <f aca="false">I512*kx_k*fx</f>
        <v>3073.96789308433</v>
      </c>
      <c r="J514" s="13" t="n">
        <f aca="false">J512*kx_k*fx</f>
        <v>3087.80904914199</v>
      </c>
      <c r="K514" s="13" t="n">
        <f aca="false">K512*kx_k*fx</f>
        <v>3101.71252777674</v>
      </c>
      <c r="L514" s="13" t="n">
        <f aca="false">L512*kx_k*fx</f>
        <v>3115.67860960848</v>
      </c>
      <c r="M514" s="13" t="n">
        <f aca="false">M512*kx_k*fx</f>
        <v>3129.70757652064</v>
      </c>
      <c r="N514" s="13" t="n">
        <f aca="false">N512*kx_k*fx</f>
        <v>3162.88140700567</v>
      </c>
      <c r="O514" s="13" t="n">
        <f aca="false">O512*kx_k*fx</f>
        <v>3224.36798367809</v>
      </c>
      <c r="P514" s="13" t="n">
        <f aca="false">P512*kx_k*fx</f>
        <v>3287.04986255265</v>
      </c>
      <c r="Q514" s="13" t="n">
        <f aca="false">Q512*kx_k*fx</f>
        <v>3350.95028036543</v>
      </c>
      <c r="R514" s="13" t="n">
        <f aca="false">R512*kx_k*fx</f>
        <v>3306.60795807692</v>
      </c>
      <c r="T514" s="5" t="s">
        <v>462</v>
      </c>
    </row>
    <row r="515" customFormat="false" ht="17.15" hidden="false" customHeight="false" outlineLevel="0" collapsed="false">
      <c r="A515" s="0" t="s">
        <v>463</v>
      </c>
      <c r="B515" s="0" t="s">
        <v>27</v>
      </c>
      <c r="C515" s="13" t="n">
        <f aca="false">q1_ss</f>
        <v>1174.7</v>
      </c>
      <c r="D515" s="13" t="n">
        <f aca="false">D514*sssh_26</f>
        <v>1636.8</v>
      </c>
      <c r="E515" s="13" t="n">
        <f aca="false">E514*sssh_26</f>
        <v>1762.87227596666</v>
      </c>
      <c r="F515" s="13" t="n">
        <f aca="false">F514*sssh_26</f>
        <v>1942.46945813239</v>
      </c>
      <c r="G515" s="13" t="n">
        <f aca="false">G514*sssh_27</f>
        <v>2116.1511240838</v>
      </c>
      <c r="H515" s="13" t="n">
        <f aca="false">H514*sssh_27</f>
        <v>2125.67951831847</v>
      </c>
      <c r="I515" s="13" t="n">
        <f aca="false">I514*sssh_27</f>
        <v>2090.29816729734</v>
      </c>
      <c r="J515" s="13" t="n">
        <f aca="false">J514*sssh_27</f>
        <v>2099.71015341655</v>
      </c>
      <c r="K515" s="13" t="n">
        <f aca="false">K514*sssh_28</f>
        <v>2171.19876944372</v>
      </c>
      <c r="L515" s="13" t="n">
        <f aca="false">L514*sssh_28</f>
        <v>2180.97502672594</v>
      </c>
      <c r="M515" s="13" t="n">
        <f aca="false">M514*sssh_28</f>
        <v>2190.79530356445</v>
      </c>
      <c r="N515" s="13" t="n">
        <f aca="false">N514*sssh_28</f>
        <v>2214.01698490397</v>
      </c>
      <c r="O515" s="13" t="n">
        <f aca="false">O514*sssh_29</f>
        <v>2257.05758857466</v>
      </c>
      <c r="P515" s="13" t="n">
        <f aca="false">P514*sssh_29</f>
        <v>2300.93490378686</v>
      </c>
      <c r="Q515" s="13" t="n">
        <f aca="false">Q514*sssh_29</f>
        <v>2345.6651962558</v>
      </c>
      <c r="R515" s="13" t="n">
        <f aca="false">R514*sssh_29</f>
        <v>2314.62557065385</v>
      </c>
      <c r="T515" s="5" t="s">
        <v>464</v>
      </c>
    </row>
    <row r="516" customFormat="false" ht="17.15" hidden="false" customHeight="false" outlineLevel="0" collapsed="false">
      <c r="A516" s="0" t="s">
        <v>465</v>
      </c>
      <c r="B516" s="0" t="s">
        <v>27</v>
      </c>
      <c r="C516" s="13" t="n">
        <f aca="false">C515*(0.75*Units!D16+0.25*Units!E16)</f>
        <v>687.403351447223</v>
      </c>
      <c r="D516" s="13" t="n">
        <f aca="false">D515*(0.75*Units!D16+0.25*Units!E16)</f>
        <v>957.812041924589</v>
      </c>
      <c r="E516" s="13" t="n">
        <f aca="false">E515*(0.75*Units!D16+0.25*Units!E16)</f>
        <v>1031.58620130491</v>
      </c>
      <c r="F516" s="13" t="n">
        <f aca="false">F515*(0.75*Units!D16+0.25*Units!E16)</f>
        <v>1136.68171925094</v>
      </c>
      <c r="G516" s="13" t="n">
        <f aca="false">G515*(0.75*Units!E16+0.25*Units!F16)</f>
        <v>1457.97622792167</v>
      </c>
      <c r="H516" s="13" t="n">
        <f aca="false">H515*(0.75*Units!E16+0.25*Units!F16)</f>
        <v>1464.54105787464</v>
      </c>
      <c r="I516" s="13" t="n">
        <f aca="false">I515*(0.75*Units!E16+0.25*Units!F16)</f>
        <v>1440.16417471471</v>
      </c>
      <c r="J516" s="13" t="n">
        <f aca="false">J515*(0.75*Units!E16+0.25*Units!F16)</f>
        <v>1446.64880233093</v>
      </c>
      <c r="K516" s="13" t="n">
        <f aca="false">K515*(0.75*Units!F16+0.25*Units!G16)</f>
        <v>1584.5436918192</v>
      </c>
      <c r="L516" s="13" t="n">
        <f aca="false">L515*(0.75*Units!F16+0.25*Units!G16)</f>
        <v>1591.67841712586</v>
      </c>
      <c r="M516" s="13" t="n">
        <f aca="false">M515*(0.75*Units!F16+0.25*Units!G16)</f>
        <v>1598.84526796208</v>
      </c>
      <c r="N516" s="13" t="n">
        <f aca="false">N515*(0.75*Units!F16+0.25*Units!G16)</f>
        <v>1615.79248127014</v>
      </c>
      <c r="O516" s="13" t="n">
        <f aca="false">O515*(0.75*Units!G16+0.25*Units!H16)</f>
        <v>1720.23366162982</v>
      </c>
      <c r="P516" s="13" t="n">
        <f aca="false">P515*(0.75*Units!G16+0.25*Units!H16)</f>
        <v>1753.67509218615</v>
      </c>
      <c r="Q516" s="13" t="n">
        <f aca="false">Q515*(0.75*Units!G16+0.25*Units!H16)</f>
        <v>1787.76662586661</v>
      </c>
      <c r="R516" s="13" t="n">
        <f aca="false">R515*(0.75*Units!G16+0.25*Units!H16)</f>
        <v>1764.10953839345</v>
      </c>
      <c r="T516" s="5" t="s">
        <v>466</v>
      </c>
    </row>
    <row r="517" customFormat="false" ht="17.15" hidden="false" customHeight="false" outlineLevel="0" collapsed="false">
      <c r="A517" s="0" t="s">
        <v>467</v>
      </c>
      <c r="B517" s="0" t="s">
        <v>27</v>
      </c>
      <c r="C517" s="13" t="n">
        <f aca="false">C515-C516</f>
        <v>487.296648552777</v>
      </c>
      <c r="D517" s="13" t="n">
        <f aca="false">D515-D516</f>
        <v>678.987958075412</v>
      </c>
      <c r="E517" s="13" t="n">
        <f aca="false">E515-E516</f>
        <v>731.28607466175</v>
      </c>
      <c r="F517" s="13" t="n">
        <f aca="false">F515-F516</f>
        <v>805.787738881452</v>
      </c>
      <c r="G517" s="13" t="n">
        <f aca="false">G515-G516</f>
        <v>658.174896162131</v>
      </c>
      <c r="H517" s="13" t="n">
        <f aca="false">H515-H516</f>
        <v>661.138460443822</v>
      </c>
      <c r="I517" s="13" t="n">
        <f aca="false">I515-I516</f>
        <v>650.133992582631</v>
      </c>
      <c r="J517" s="13" t="n">
        <f aca="false">J515-J516</f>
        <v>653.061351085617</v>
      </c>
      <c r="K517" s="13" t="n">
        <f aca="false">K515-K516</f>
        <v>586.65507762452</v>
      </c>
      <c r="L517" s="13" t="n">
        <f aca="false">L515-L516</f>
        <v>589.296609600079</v>
      </c>
      <c r="M517" s="13" t="n">
        <f aca="false">M515-M516</f>
        <v>591.950035602373</v>
      </c>
      <c r="N517" s="13" t="n">
        <f aca="false">N515-N516</f>
        <v>598.224503633827</v>
      </c>
      <c r="O517" s="13" t="n">
        <f aca="false">O515-O516</f>
        <v>536.82392694484</v>
      </c>
      <c r="P517" s="13" t="n">
        <f aca="false">P515-P516</f>
        <v>547.259811600705</v>
      </c>
      <c r="Q517" s="13" t="n">
        <f aca="false">Q515-Q516</f>
        <v>557.898570389192</v>
      </c>
      <c r="R517" s="13" t="n">
        <f aca="false">R515-R516</f>
        <v>550.516032260396</v>
      </c>
    </row>
    <row r="518" customFormat="false" ht="17.15" hidden="false" customHeight="false" outlineLevel="0" collapsed="false">
      <c r="A518" s="5" t="s">
        <v>468</v>
      </c>
      <c r="B518" s="0" t="s">
        <v>27</v>
      </c>
      <c r="C518" s="13" t="n">
        <f aca="false">q1_rev-q1_ss-q1_sd</f>
        <v>66.6999999999998</v>
      </c>
      <c r="D518" s="13" t="n">
        <f aca="false">D514*otsh_26</f>
        <v>99.2</v>
      </c>
      <c r="E518" s="13" t="n">
        <f aca="false">E514*otsh_26</f>
        <v>106.840743997979</v>
      </c>
      <c r="F518" s="13" t="n">
        <f aca="false">F514*otsh_26</f>
        <v>117.725421704993</v>
      </c>
      <c r="G518" s="13" t="n">
        <f aca="false">G514*otsh_27</f>
        <v>124.479477887282</v>
      </c>
      <c r="H518" s="13" t="n">
        <f aca="false">H514*otsh_27</f>
        <v>125.039971665792</v>
      </c>
      <c r="I518" s="13" t="n">
        <f aca="false">I514*otsh_27</f>
        <v>122.958715723373</v>
      </c>
      <c r="J518" s="13" t="n">
        <f aca="false">J514*otsh_27</f>
        <v>123.51236196568</v>
      </c>
      <c r="K518" s="13" t="n">
        <f aca="false">K514*otsh_28</f>
        <v>124.06850111107</v>
      </c>
      <c r="L518" s="13" t="n">
        <f aca="false">L514*otsh_28</f>
        <v>124.627144384339</v>
      </c>
      <c r="M518" s="13" t="n">
        <f aca="false">M514*otsh_28</f>
        <v>125.188303060826</v>
      </c>
      <c r="N518" s="13" t="n">
        <f aca="false">N514*otsh_28</f>
        <v>126.515256280227</v>
      </c>
      <c r="O518" s="13" t="n">
        <f aca="false">O514*otsh_29</f>
        <v>128.974719347123</v>
      </c>
      <c r="P518" s="13" t="n">
        <f aca="false">P514*otsh_29</f>
        <v>131.481994502106</v>
      </c>
      <c r="Q518" s="13" t="n">
        <f aca="false">Q514*otsh_29</f>
        <v>134.038011214617</v>
      </c>
      <c r="R518" s="13" t="n">
        <f aca="false">R514*otsh_29</f>
        <v>132.264318323077</v>
      </c>
      <c r="T518" s="5" t="s">
        <v>469</v>
      </c>
    </row>
    <row r="519" customFormat="false" ht="17.15" hidden="false" customHeight="false" outlineLevel="0" collapsed="false">
      <c r="A519" s="5" t="s">
        <v>470</v>
      </c>
      <c r="B519" s="0" t="s">
        <v>27</v>
      </c>
      <c r="C519" s="13" t="n">
        <f aca="false">q1_sd</f>
        <v>525.7</v>
      </c>
      <c r="D519" s="13" t="n">
        <f aca="false">D514-D515-D518</f>
        <v>744</v>
      </c>
      <c r="E519" s="13" t="n">
        <f aca="false">E514-E515-E518</f>
        <v>801.305579984843</v>
      </c>
      <c r="F519" s="13" t="n">
        <f aca="false">F514-F515-F518</f>
        <v>882.940662787449</v>
      </c>
      <c r="G519" s="13" t="n">
        <f aca="false">G514-G515-G518</f>
        <v>871.356345210975</v>
      </c>
      <c r="H519" s="13" t="n">
        <f aca="false">H514-H515-H518</f>
        <v>875.279801660544</v>
      </c>
      <c r="I519" s="13" t="n">
        <f aca="false">I514-I515-I518</f>
        <v>860.711010063612</v>
      </c>
      <c r="J519" s="13" t="n">
        <f aca="false">J514-J515-J518</f>
        <v>864.586533759756</v>
      </c>
      <c r="K519" s="13" t="n">
        <f aca="false">K514-K515-K518</f>
        <v>806.445257221952</v>
      </c>
      <c r="L519" s="13" t="n">
        <f aca="false">L514-L515-L518</f>
        <v>810.076438498206</v>
      </c>
      <c r="M519" s="13" t="n">
        <f aca="false">M514-M515-M518</f>
        <v>813.723969895367</v>
      </c>
      <c r="N519" s="13" t="n">
        <f aca="false">N514-N515-N518</f>
        <v>822.349165821474</v>
      </c>
      <c r="O519" s="13" t="n">
        <f aca="false">O514-O515-O518</f>
        <v>838.335675756302</v>
      </c>
      <c r="P519" s="13" t="n">
        <f aca="false">P514-P515-P518</f>
        <v>854.63296426369</v>
      </c>
      <c r="Q519" s="13" t="n">
        <f aca="false">Q514-Q515-Q518</f>
        <v>871.247072895013</v>
      </c>
      <c r="R519" s="13" t="n">
        <f aca="false">R514-R515-R518</f>
        <v>859.7180691</v>
      </c>
      <c r="T519" s="5" t="s">
        <v>471</v>
      </c>
    </row>
    <row r="520" customFormat="false" ht="15" hidden="false" customHeight="false" outlineLevel="0" collapsed="false">
      <c r="A520" s="5" t="s">
        <v>472</v>
      </c>
      <c r="B520" s="0" t="s">
        <v>27</v>
      </c>
      <c r="C520" s="18" t="n">
        <f aca="false">C515+C519+C518-C514</f>
        <v>0</v>
      </c>
      <c r="D520" s="18" t="n">
        <f aca="false">D515+D519+D518-D514</f>
        <v>0</v>
      </c>
      <c r="E520" s="18" t="n">
        <f aca="false">E515+E519+E518-E514</f>
        <v>0</v>
      </c>
      <c r="F520" s="18" t="n">
        <f aca="false">F515+F519+F518-F514</f>
        <v>0</v>
      </c>
      <c r="G520" s="18" t="n">
        <f aca="false">G515+G519+G518-G514</f>
        <v>0</v>
      </c>
      <c r="H520" s="18" t="n">
        <f aca="false">H515+H519+H518-H514</f>
        <v>0</v>
      </c>
      <c r="I520" s="18" t="n">
        <f aca="false">I515+I519+I518-I514</f>
        <v>0</v>
      </c>
      <c r="J520" s="18" t="n">
        <f aca="false">J515+J519+J518-J514</f>
        <v>0</v>
      </c>
      <c r="K520" s="18" t="n">
        <f aca="false">K515+K519+K518-K514</f>
        <v>0</v>
      </c>
      <c r="L520" s="18" t="n">
        <f aca="false">L515+L519+L518-L514</f>
        <v>0</v>
      </c>
      <c r="M520" s="18" t="n">
        <f aca="false">M515+M519+M518-M514</f>
        <v>0</v>
      </c>
      <c r="N520" s="18" t="n">
        <f aca="false">N515+N519+N518-N514</f>
        <v>0</v>
      </c>
      <c r="O520" s="18" t="n">
        <f aca="false">O515+O519+O518-O514</f>
        <v>0</v>
      </c>
      <c r="P520" s="18" t="n">
        <f aca="false">P515+P519+P518-P514</f>
        <v>0</v>
      </c>
      <c r="Q520" s="18" t="n">
        <f aca="false">Q515+Q519+Q518-Q514</f>
        <v>0</v>
      </c>
      <c r="R520" s="18" t="n">
        <f aca="false">R515+R519+R518-R514</f>
        <v>0</v>
      </c>
    </row>
    <row r="521" customFormat="false" ht="17.15" hidden="false" customHeight="false" outlineLevel="0" collapsed="false">
      <c r="A521" s="5" t="s">
        <v>473</v>
      </c>
      <c r="B521" s="0" t="s">
        <v>474</v>
      </c>
      <c r="C521" s="20" t="n">
        <f aca="false">C522/C513</f>
        <v>9.63267449926724</v>
      </c>
      <c r="D521" s="20" t="n">
        <f aca="false">D522/D513</f>
        <v>9.26452598342358</v>
      </c>
      <c r="E521" s="20" t="n">
        <f aca="false">$D521*(1-cd_A)^(1/4)</f>
        <v>8.92170412657403</v>
      </c>
      <c r="F521" s="20" t="n">
        <f aca="false">$D521*(1-cd_A)^(2/4)</f>
        <v>8.59156795118774</v>
      </c>
      <c r="G521" s="20" t="n">
        <f aca="false">$D521*(1-cd_A)^(3/4)</f>
        <v>8.27364803995373</v>
      </c>
      <c r="H521" s="20" t="n">
        <f aca="false">$D521*(1-cd_A)^(4/4)</f>
        <v>7.96749234574428</v>
      </c>
      <c r="I521" s="20" t="n">
        <f aca="false">$D521*(1-cd_A)^(5/4)</f>
        <v>7.67266554885367</v>
      </c>
      <c r="J521" s="20" t="n">
        <f aca="false">$D521*(1-cd_A)^(6/4)</f>
        <v>7.38874843802146</v>
      </c>
      <c r="K521" s="20" t="n">
        <f aca="false">$D521*(1-cd_A)^(7/4)</f>
        <v>7.11533731436021</v>
      </c>
      <c r="L521" s="20" t="n">
        <f aca="false">$D521*(1-cd_A)^(8/4)</f>
        <v>6.85204341734008</v>
      </c>
      <c r="M521" s="20" t="n">
        <f aca="false">$D521*(1-cd_A)^(9/4)</f>
        <v>6.59849237201415</v>
      </c>
      <c r="N521" s="20" t="n">
        <f aca="false">$D521*(1-cd_A)^(10/4)</f>
        <v>6.35432365669845</v>
      </c>
      <c r="O521" s="20" t="n">
        <f aca="false">$D521*(1-cd_A)^(11/4)</f>
        <v>6.11919009034978</v>
      </c>
      <c r="P521" s="20" t="n">
        <f aca="false">$D521*(1-cd_A)^(12/4)</f>
        <v>5.89275733891247</v>
      </c>
      <c r="Q521" s="20" t="n">
        <f aca="false">$D521*(1-cd_A)^(13/4)</f>
        <v>5.67470343993217</v>
      </c>
      <c r="R521" s="20" t="n">
        <f aca="false">$D521*(1-cd_A)^(14/4)</f>
        <v>5.46471834476067</v>
      </c>
    </row>
    <row r="522" customFormat="false" ht="15" hidden="false" customHeight="false" outlineLevel="0" collapsed="false">
      <c r="A522" s="5" t="s">
        <v>475</v>
      </c>
      <c r="B522" s="0" t="s">
        <v>27</v>
      </c>
      <c r="C522" s="13" t="n">
        <f aca="false">q1_rev-q1_gp</f>
        <v>387</v>
      </c>
      <c r="D522" s="13" t="n">
        <f aca="false">g2_rev-g2_op-g2_ox_hi</f>
        <v>415.3</v>
      </c>
      <c r="E522" s="13" t="n">
        <f aca="false">E513*E521</f>
        <v>400.951622100784</v>
      </c>
      <c r="F522" s="13" t="n">
        <f aca="false">F513*F521</f>
        <v>413.059594256978</v>
      </c>
      <c r="G522" s="13" t="n">
        <f aca="false">G513*G521</f>
        <v>420.595701784133</v>
      </c>
      <c r="H522" s="13" t="n">
        <f aca="false">H513*H521</f>
        <v>428.269302586959</v>
      </c>
      <c r="I522" s="13" t="n">
        <f aca="false">I513*I521</f>
        <v>436.08290517542</v>
      </c>
      <c r="J522" s="13" t="n">
        <f aca="false">J513*J521</f>
        <v>444.039063826251</v>
      </c>
      <c r="K522" s="13" t="n">
        <f aca="false">K513*K521</f>
        <v>452.140379417943</v>
      </c>
      <c r="L522" s="13" t="n">
        <f aca="false">L513*L521</f>
        <v>460.389500280981</v>
      </c>
      <c r="M522" s="13" t="n">
        <f aca="false">M513*M521</f>
        <v>468.789123063577</v>
      </c>
      <c r="N522" s="13" t="n">
        <f aca="false">N513*N521</f>
        <v>470.337441165186</v>
      </c>
      <c r="O522" s="13" t="n">
        <f aca="false">O513*O521</f>
        <v>476.018819051674</v>
      </c>
      <c r="P522" s="13" t="n">
        <f aca="false">P513*P521</f>
        <v>481.768824378514</v>
      </c>
      <c r="Q522" s="13" t="n">
        <f aca="false">Q513*Q521</f>
        <v>487.588286121646</v>
      </c>
      <c r="R522" s="13" t="n">
        <f aca="false">R513*R521</f>
        <v>478.378806416815</v>
      </c>
      <c r="T522" s="5" t="s">
        <v>476</v>
      </c>
    </row>
    <row r="523" customFormat="false" ht="15" hidden="false" customHeight="false" outlineLevel="0" collapsed="false">
      <c r="A523" s="5" t="s">
        <v>360</v>
      </c>
      <c r="B523" s="0" t="s">
        <v>145</v>
      </c>
      <c r="C523" s="14" t="n">
        <f aca="false">1-C522/C514</f>
        <v>0.780997113915455</v>
      </c>
      <c r="D523" s="14" t="n">
        <f aca="false">1-D522/D514</f>
        <v>0.832540322580645</v>
      </c>
      <c r="E523" s="14" t="n">
        <f aca="false">1-E522/E514</f>
        <v>0.849888120543837</v>
      </c>
      <c r="F523" s="14" t="n">
        <f aca="false">1-F522/F514</f>
        <v>0.85965322076584</v>
      </c>
      <c r="G523" s="14" t="n">
        <f aca="false">1-G522/G514</f>
        <v>0.86484657264871</v>
      </c>
      <c r="H523" s="14" t="n">
        <f aca="false">1-H522/H514</f>
        <v>0.862997632874825</v>
      </c>
      <c r="I523" s="14" t="n">
        <f aca="false">1-I522/I514</f>
        <v>0.858136805476564</v>
      </c>
      <c r="J523" s="14" t="n">
        <f aca="false">1-J522/J514</f>
        <v>0.856196074057871</v>
      </c>
      <c r="K523" s="14" t="n">
        <f aca="false">1-K522/K514</f>
        <v>0.854228792846244</v>
      </c>
      <c r="L523" s="14" t="n">
        <f aca="false">1-L522/L514</f>
        <v>0.852234598632484</v>
      </c>
      <c r="M523" s="14" t="n">
        <f aca="false">1-M522/M514</f>
        <v>0.850213123238581</v>
      </c>
      <c r="N523" s="14" t="n">
        <f aca="false">1-N522/N514</f>
        <v>0.851294632760051</v>
      </c>
      <c r="O523" s="14" t="n">
        <f aca="false">1-O522/O514</f>
        <v>0.85236833343424</v>
      </c>
      <c r="P523" s="14" t="n">
        <f aca="false">1-P522/P514</f>
        <v>0.853434281643546</v>
      </c>
      <c r="Q523" s="14" t="n">
        <f aca="false">1-Q522/Q514</f>
        <v>0.85449253336326</v>
      </c>
      <c r="R523" s="14" t="n">
        <f aca="false">1-R522/R514</f>
        <v>0.855326421371394</v>
      </c>
    </row>
    <row r="524" customFormat="false" ht="17.15" hidden="false" customHeight="false" outlineLevel="0" collapsed="false">
      <c r="A524" s="5" t="s">
        <v>477</v>
      </c>
      <c r="B524" s="0" t="s">
        <v>27</v>
      </c>
      <c r="C524" s="13" t="n">
        <f aca="false">q1_gp-q1_op</f>
        <v>110.1</v>
      </c>
      <c r="D524" s="13" t="n">
        <f aca="false">g2_ox_hi</f>
        <v>70</v>
      </c>
      <c r="E524" s="13" t="n">
        <f aca="false">(g2_ox_hi-ox_var*g2_rev)*(1+ox_g)^(1/4)+ox_var*E514</f>
        <v>73.0001247461117</v>
      </c>
      <c r="F524" s="13" t="n">
        <f aca="false">(g2_ox_hi-ox_var*g2_rev)*(1+ox_g)^(2/4)+ox_var*F514</f>
        <v>76.8375153635392</v>
      </c>
      <c r="G524" s="13" t="n">
        <f aca="false">(g2_ox_hi-ox_var*g2_rev)*(1+ox_g)^(3/4)+ox_var*G514</f>
        <v>79.6691668105267</v>
      </c>
      <c r="H524" s="13" t="n">
        <f aca="false">(g2_ox_hi-ox_var*g2_rev)*(1+ox_g)^(4/4)+ox_var*H514</f>
        <v>80.979992916448</v>
      </c>
      <c r="I524" s="13" t="n">
        <f aca="false">(g2_ox_hi-ox_var*g2_rev)*(1+ox_g)^(5/4)+ox_var*I514</f>
        <v>81.6586115521219</v>
      </c>
      <c r="J524" s="13" t="n">
        <f aca="false">(g2_ox_hi-ox_var*g2_rev)*(1+ox_g)^(6/4)+ox_var*J514</f>
        <v>83.0248664224398</v>
      </c>
      <c r="K524" s="13" t="n">
        <f aca="false">(g2_ox_hi-ox_var*g2_rev)*(1+ox_g)^(7/4)+ox_var*K514</f>
        <v>84.4213523503442</v>
      </c>
      <c r="L524" s="13" t="n">
        <f aca="false">(g2_ox_hi-ox_var*g2_rev)*(1+ox_g)^(8/4)+ox_var*L514</f>
        <v>85.8487860960849</v>
      </c>
      <c r="M524" s="13" t="n">
        <f aca="false">(g2_ox_hi-ox_var*g2_rev)*(1+ox_g)^(9/4)+ox_var*M514</f>
        <v>87.3079016486129</v>
      </c>
      <c r="N524" s="13" t="n">
        <f aca="false">(g2_ox_hi-ox_var*g2_rev)*(1+ox_g)^(10/4)+ox_var*N514</f>
        <v>88.9902675941786</v>
      </c>
      <c r="O524" s="13" t="n">
        <f aca="false">(g2_ox_hi-ox_var*g2_rev)*(1+ox_g)^(11/4)+ox_var*O514</f>
        <v>90.9883296166153</v>
      </c>
      <c r="P524" s="13" t="n">
        <f aca="false">(g2_ox_hi-ox_var*g2_rev)*(1+ox_g)^(12/4)+ox_var*P514</f>
        <v>93.0316986255266</v>
      </c>
      <c r="Q524" s="13" t="n">
        <f aca="false">(g2_ox_hi-ox_var*g2_rev)*(1+ox_g)^(13/4)+ox_var*Q514</f>
        <v>95.1214112754015</v>
      </c>
      <c r="R524" s="13" t="n">
        <f aca="false">(g2_ox_hi-ox_var*g2_rev)*(1+ox_g)^(14/4)+ox_var*R514</f>
        <v>96.1636784573034</v>
      </c>
      <c r="T524" s="5" t="s">
        <v>478</v>
      </c>
    </row>
    <row r="525" customFormat="false" ht="15" hidden="false" customHeight="false" outlineLevel="0" collapsed="false">
      <c r="A525" s="5" t="s">
        <v>358</v>
      </c>
      <c r="B525" s="0" t="s">
        <v>27</v>
      </c>
      <c r="C525" s="13" t="n">
        <f aca="false">C514-C522-C524</f>
        <v>1270</v>
      </c>
      <c r="D525" s="13" t="n">
        <f aca="false">D514-D522-D524</f>
        <v>1994.7</v>
      </c>
      <c r="E525" s="13" t="n">
        <f aca="false">E514-E522-E524</f>
        <v>2197.06685310258</v>
      </c>
      <c r="F525" s="13" t="n">
        <f aca="false">F514-F522-F524</f>
        <v>2453.23843300431</v>
      </c>
      <c r="G525" s="13" t="n">
        <f aca="false">G514-G522-G524</f>
        <v>2611.72207858739</v>
      </c>
      <c r="H525" s="13" t="n">
        <f aca="false">H514-H522-H524</f>
        <v>2616.74999614139</v>
      </c>
      <c r="I525" s="13" t="n">
        <f aca="false">I514-I522-I524</f>
        <v>2556.22637635679</v>
      </c>
      <c r="J525" s="13" t="n">
        <f aca="false">J514-J522-J524</f>
        <v>2560.7451188933</v>
      </c>
      <c r="K525" s="13" t="n">
        <f aca="false">K514-K522-K524</f>
        <v>2565.15079600845</v>
      </c>
      <c r="L525" s="13" t="n">
        <f aca="false">L514-L522-L524</f>
        <v>2569.44032323142</v>
      </c>
      <c r="M525" s="13" t="n">
        <f aca="false">M514-M522-M524</f>
        <v>2573.61055180845</v>
      </c>
      <c r="N525" s="13" t="n">
        <f aca="false">N514-N522-N524</f>
        <v>2603.5536982463</v>
      </c>
      <c r="O525" s="13" t="n">
        <f aca="false">O514-O522-O524</f>
        <v>2657.3608350098</v>
      </c>
      <c r="P525" s="13" t="n">
        <f aca="false">P514-P522-P524</f>
        <v>2712.24933954861</v>
      </c>
      <c r="Q525" s="13" t="n">
        <f aca="false">Q514-Q522-Q524</f>
        <v>2768.24058296839</v>
      </c>
      <c r="R525" s="13" t="n">
        <f aca="false">R514-R522-R524</f>
        <v>2732.06547320281</v>
      </c>
    </row>
    <row r="527" customFormat="false" ht="17.15" hidden="false" customHeight="false" outlineLevel="0" collapsed="false">
      <c r="A527" s="5" t="s">
        <v>359</v>
      </c>
      <c r="B527" s="0" t="s">
        <v>27</v>
      </c>
      <c r="C527" s="13" t="n">
        <f aca="false">q1_ni</f>
        <v>842.2</v>
      </c>
      <c r="D527" s="13" t="n">
        <f aca="false">g2_ni</f>
        <v>1360</v>
      </c>
      <c r="E527" s="13" t="n">
        <f aca="false">(E525+nonop_q+rf*nc_j/4)*(1-tax)</f>
        <v>1484.07134010976</v>
      </c>
      <c r="F527" s="13" t="n">
        <f aca="false">(F525+nonop_q+rf*nc_j/4)*(1-tax)</f>
        <v>1658.26801444293</v>
      </c>
      <c r="G527" s="13" t="n">
        <f aca="false">(G525+nonop_q+rf*$D548/4)*(1-tax)</f>
        <v>1772.02747496162</v>
      </c>
      <c r="H527" s="13" t="n">
        <f aca="false">(H525+nonop_q+rf*$D548/4)*(1-tax)</f>
        <v>1775.44645889834</v>
      </c>
      <c r="I527" s="13" t="n">
        <f aca="false">(I525+nonop_q+rf*$D548/4)*(1-tax)</f>
        <v>1734.29039744481</v>
      </c>
      <c r="J527" s="13" t="n">
        <f aca="false">(J525+nonop_q+rf*$D548/4)*(1-tax)</f>
        <v>1737.36314236963</v>
      </c>
      <c r="K527" s="13" t="n">
        <f aca="false">(K525+nonop_q+rf*$E548/4)*(1-tax)</f>
        <v>1749.70101617214</v>
      </c>
      <c r="L527" s="13" t="n">
        <f aca="false">(L525+nonop_q+rf*$E548/4)*(1-tax)</f>
        <v>1752.61789468375</v>
      </c>
      <c r="M527" s="13" t="n">
        <f aca="false">(M525+nonop_q+rf*$E548/4)*(1-tax)</f>
        <v>1755.45365011614</v>
      </c>
      <c r="N527" s="13" t="n">
        <f aca="false">(N525+nonop_q+rf*$E548/4)*(1-tax)</f>
        <v>1775.81498969387</v>
      </c>
      <c r="O527" s="13" t="n">
        <f aca="false">(O525+nonop_q+rf*$F548/4)*(1-tax)</f>
        <v>1821.76552176196</v>
      </c>
      <c r="P527" s="13" t="n">
        <f aca="false">(P525+nonop_q+rf*$F548/4)*(1-tax)</f>
        <v>1859.08970484835</v>
      </c>
      <c r="Q527" s="13" t="n">
        <f aca="false">(Q525+nonop_q+rf*$F548/4)*(1-tax)</f>
        <v>1897.1637503738</v>
      </c>
      <c r="R527" s="13" t="n">
        <f aca="false">(R525+nonop_q+rf*$F548/4)*(1-tax)</f>
        <v>1872.5646757332</v>
      </c>
      <c r="T527" s="5" t="s">
        <v>479</v>
      </c>
    </row>
    <row r="528" customFormat="false" ht="17.15" hidden="false" customHeight="false" outlineLevel="0" collapsed="false">
      <c r="A528" s="5" t="s">
        <v>480</v>
      </c>
      <c r="B528" s="0" t="s">
        <v>108</v>
      </c>
      <c r="C528" s="17" t="n">
        <f aca="false">C527/(sh0+dil)*1000</f>
        <v>507.343332753891</v>
      </c>
      <c r="D528" s="17" t="n">
        <f aca="false">D527/(sh0+dil)*1000</f>
        <v>819.267314824616</v>
      </c>
      <c r="E528" s="17" t="n">
        <f aca="false">E527/(sh0+dil)*1000</f>
        <v>894.008192514624</v>
      </c>
      <c r="F528" s="17" t="n">
        <f aca="false">F527/(sh0+dil)*1000</f>
        <v>998.944693714859</v>
      </c>
      <c r="G528" s="17" t="n">
        <f aca="false">G527/(sh0+dil)*1000</f>
        <v>1067.47367000533</v>
      </c>
      <c r="H528" s="17" t="n">
        <f aca="false">H527/(sh0+dil)*1000</f>
        <v>1069.53327426214</v>
      </c>
      <c r="I528" s="17" t="n">
        <f aca="false">I527/(sh0+dil)*1000</f>
        <v>1044.74076252994</v>
      </c>
      <c r="J528" s="17" t="n">
        <f aca="false">J527/(sh0+dil)*1000</f>
        <v>1046.59179156208</v>
      </c>
      <c r="K528" s="17" t="n">
        <f aca="false">K527/(sh0+dil)*1000</f>
        <v>1054.02415681268</v>
      </c>
      <c r="L528" s="17" t="n">
        <f aca="false">L527/(sh0+dil)*1000</f>
        <v>1055.7812915376</v>
      </c>
      <c r="M528" s="17" t="n">
        <f aca="false">M527/(sh0+dil)*1000</f>
        <v>1057.48955752185</v>
      </c>
      <c r="N528" s="17" t="n">
        <f aca="false">N527/(sh0+dil)*1000</f>
        <v>1069.75527811162</v>
      </c>
      <c r="O528" s="17" t="n">
        <f aca="false">O527/(sh0+dil)*1000</f>
        <v>1097.43599062793</v>
      </c>
      <c r="P528" s="17" t="n">
        <f aca="false">P527/(sh0+dil)*1000</f>
        <v>1119.92016949206</v>
      </c>
      <c r="Q528" s="17" t="n">
        <f aca="false">Q527/(sh0+dil)*1000</f>
        <v>1142.85606731716</v>
      </c>
      <c r="R528" s="17" t="n">
        <f aca="false">R527/(sh0+dil)*1000</f>
        <v>1128.03752479659</v>
      </c>
    </row>
    <row r="530" customFormat="false" ht="17.15" hidden="false" customHeight="false" outlineLevel="0" collapsed="false">
      <c r="A530" s="12" t="s">
        <v>481</v>
      </c>
      <c r="B530" s="6" t="s">
        <v>17</v>
      </c>
      <c r="C530" s="12" t="s">
        <v>425</v>
      </c>
      <c r="D530" s="12" t="s">
        <v>426</v>
      </c>
      <c r="E530" s="12" t="s">
        <v>427</v>
      </c>
      <c r="F530" s="12" t="s">
        <v>428</v>
      </c>
      <c r="G530" s="12" t="s">
        <v>429</v>
      </c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6" t="s">
        <v>330</v>
      </c>
    </row>
    <row r="531" customFormat="false" ht="17.15" hidden="false" customHeight="false" outlineLevel="0" collapsed="false">
      <c r="A531" s="5" t="s">
        <v>354</v>
      </c>
      <c r="B531" s="0" t="s">
        <v>27</v>
      </c>
      <c r="C531" s="13" t="n">
        <f aca="false">a25_rev</f>
        <v>2337.6</v>
      </c>
      <c r="D531" s="13" t="n">
        <f aca="false">SUM(C514:F514)</f>
        <v>9861.25414257431</v>
      </c>
      <c r="E531" s="13" t="n">
        <f aca="false">SUM(G514:J514)</f>
        <v>12399.7631810532</v>
      </c>
      <c r="F531" s="13" t="n">
        <f aca="false">SUM(K514:N514)</f>
        <v>12509.9801209115</v>
      </c>
      <c r="G531" s="13" t="n">
        <f aca="false">SUM(O514:R514)</f>
        <v>13168.9760846731</v>
      </c>
      <c r="T531" s="8" t="s">
        <v>482</v>
      </c>
    </row>
    <row r="532" customFormat="false" ht="17.15" hidden="false" customHeight="false" outlineLevel="0" collapsed="false">
      <c r="A532" s="5" t="s">
        <v>483</v>
      </c>
      <c r="B532" s="0" t="s">
        <v>27</v>
      </c>
      <c r="C532" s="13" t="n">
        <f aca="false">p1_ss+p2_ss+p3_ss+p4_ss</f>
        <v>1364.7</v>
      </c>
      <c r="D532" s="13" t="n">
        <f aca="false">SUM(C515:F515)</f>
        <v>6516.84173409904</v>
      </c>
      <c r="E532" s="13" t="n">
        <f aca="false">SUM(G515:J515)</f>
        <v>8431.83896311616</v>
      </c>
      <c r="F532" s="13" t="n">
        <f aca="false">SUM(K515:N515)</f>
        <v>8756.98608463807</v>
      </c>
      <c r="G532" s="13" t="n">
        <f aca="false">SUM(O515:R515)</f>
        <v>9218.28325927117</v>
      </c>
    </row>
    <row r="533" customFormat="false" ht="17.15" hidden="false" customHeight="false" outlineLevel="0" collapsed="false">
      <c r="A533" s="0" t="s">
        <v>484</v>
      </c>
      <c r="B533" s="0" t="s">
        <v>27</v>
      </c>
      <c r="C533" s="13" t="n">
        <f aca="false">C532*(0.75*Units!C16+0.25*Units!D16)</f>
        <v>507.679569396364</v>
      </c>
      <c r="D533" s="13" t="n">
        <f aca="false">SUM(C516:F516)</f>
        <v>3813.48331392765</v>
      </c>
      <c r="E533" s="13" t="n">
        <f aca="false">SUM(G516:J516)</f>
        <v>5809.33026284196</v>
      </c>
      <c r="F533" s="13" t="n">
        <f aca="false">SUM(K516:N516)</f>
        <v>6390.85985817728</v>
      </c>
      <c r="G533" s="13" t="n">
        <f aca="false">SUM(O516:R516)</f>
        <v>7025.78491807603</v>
      </c>
    </row>
    <row r="534" customFormat="false" ht="15" hidden="false" customHeight="false" outlineLevel="0" collapsed="false">
      <c r="A534" s="5" t="s">
        <v>485</v>
      </c>
      <c r="B534" s="0" t="s">
        <v>27</v>
      </c>
      <c r="C534" s="13" t="n">
        <f aca="false">p1_sd+p2_sd+p3_sd+p4_sd</f>
        <v>759.5</v>
      </c>
      <c r="D534" s="13" t="n">
        <f aca="false">SUM(C519:F519)</f>
        <v>2953.94624277229</v>
      </c>
      <c r="E534" s="13" t="n">
        <f aca="false">SUM(G519:J519)</f>
        <v>3471.93369069489</v>
      </c>
      <c r="F534" s="13" t="n">
        <f aca="false">SUM(K519:N519)</f>
        <v>3252.594831437</v>
      </c>
      <c r="G534" s="13" t="n">
        <f aca="false">SUM(O519:R519)</f>
        <v>3423.93378201501</v>
      </c>
    </row>
    <row r="535" customFormat="false" ht="17.15" hidden="false" customHeight="false" outlineLevel="0" collapsed="false">
      <c r="A535" s="5" t="s">
        <v>486</v>
      </c>
      <c r="B535" s="0" t="s">
        <v>27</v>
      </c>
      <c r="C535" s="13" t="n">
        <f aca="false">a25_rev-C532-C534</f>
        <v>213.4</v>
      </c>
      <c r="D535" s="13" t="n">
        <f aca="false">SUM(C518:F518)</f>
        <v>390.466165702972</v>
      </c>
      <c r="E535" s="13" t="n">
        <f aca="false">SUM(G518:J518)</f>
        <v>495.990527242127</v>
      </c>
      <c r="F535" s="13" t="n">
        <f aca="false">SUM(K518:N518)</f>
        <v>500.399204836461</v>
      </c>
      <c r="G535" s="13" t="n">
        <f aca="false">SUM(O518:R518)</f>
        <v>526.759043386924</v>
      </c>
      <c r="T535" s="8" t="s">
        <v>487</v>
      </c>
    </row>
    <row r="536" customFormat="false" ht="15" hidden="false" customHeight="false" outlineLevel="0" collapsed="false">
      <c r="A536" s="5" t="s">
        <v>488</v>
      </c>
      <c r="B536" s="0" t="s">
        <v>27</v>
      </c>
      <c r="C536" s="18" t="n">
        <f aca="false">C532+C534+C535-C531</f>
        <v>0</v>
      </c>
      <c r="D536" s="18" t="n">
        <f aca="false">D532+D534+D535-D531</f>
        <v>0</v>
      </c>
      <c r="E536" s="18" t="n">
        <f aca="false">E532+E534+E535-E531</f>
        <v>0</v>
      </c>
      <c r="F536" s="18" t="n">
        <f aca="false">F532+F534+F535-F531</f>
        <v>0</v>
      </c>
      <c r="G536" s="18" t="n">
        <f aca="false">G532+G534+G535-G531</f>
        <v>0</v>
      </c>
    </row>
    <row r="537" customFormat="false" ht="15" hidden="false" customHeight="false" outlineLevel="0" collapsed="false">
      <c r="A537" s="5" t="s">
        <v>475</v>
      </c>
      <c r="B537" s="0" t="s">
        <v>27</v>
      </c>
      <c r="C537" s="13" t="n">
        <f aca="false">a25_rev-(p1_gp+p2_gp+p3_gp+p4_gp)</f>
        <v>1324.8</v>
      </c>
      <c r="D537" s="13" t="n">
        <f aca="false">SUM(C522:F522)</f>
        <v>1616.31121635776</v>
      </c>
      <c r="E537" s="13" t="n">
        <f aca="false">SUM(G522:J522)</f>
        <v>1728.98697337276</v>
      </c>
      <c r="F537" s="13" t="n">
        <f aca="false">SUM(K522:N522)</f>
        <v>1851.65644392769</v>
      </c>
      <c r="G537" s="13" t="n">
        <f aca="false">SUM(O522:R522)</f>
        <v>1923.75473596865</v>
      </c>
    </row>
    <row r="538" customFormat="false" ht="15" hidden="false" customHeight="false" outlineLevel="0" collapsed="false">
      <c r="A538" s="5" t="s">
        <v>360</v>
      </c>
      <c r="B538" s="0" t="s">
        <v>145</v>
      </c>
      <c r="C538" s="14" t="n">
        <f aca="false">1-C537/C531</f>
        <v>0.433264887063655</v>
      </c>
      <c r="D538" s="14" t="n">
        <f aca="false">1-D537/D531</f>
        <v>0.836094761073076</v>
      </c>
      <c r="E538" s="14" t="n">
        <f aca="false">1-E537/E531</f>
        <v>0.860562903651688</v>
      </c>
      <c r="F538" s="14" t="n">
        <f aca="false">1-F537/F531</f>
        <v>0.85198566056612</v>
      </c>
      <c r="G538" s="14" t="n">
        <f aca="false">1-G537/G531</f>
        <v>0.853917668040445</v>
      </c>
    </row>
    <row r="539" customFormat="false" ht="15" hidden="false" customHeight="false" outlineLevel="0" collapsed="false">
      <c r="A539" s="5" t="s">
        <v>477</v>
      </c>
      <c r="B539" s="0" t="s">
        <v>27</v>
      </c>
      <c r="D539" s="13" t="n">
        <f aca="false">SUM(C524:F524)</f>
        <v>329.937640109651</v>
      </c>
      <c r="E539" s="13" t="n">
        <f aca="false">SUM(G524:J524)</f>
        <v>325.332637701536</v>
      </c>
      <c r="F539" s="13" t="n">
        <f aca="false">SUM(K524:N524)</f>
        <v>346.568307689221</v>
      </c>
      <c r="G539" s="13" t="n">
        <f aca="false">SUM(O524:R524)</f>
        <v>375.305117974847</v>
      </c>
    </row>
    <row r="540" customFormat="false" ht="15" hidden="false" customHeight="false" outlineLevel="0" collapsed="false">
      <c r="A540" s="5" t="s">
        <v>358</v>
      </c>
      <c r="B540" s="0" t="s">
        <v>27</v>
      </c>
      <c r="C540" s="13" t="n">
        <f aca="false">p1_op+p2_op+p3_op+p4_op</f>
        <v>869</v>
      </c>
      <c r="D540" s="13" t="n">
        <f aca="false">SUM(C525:F525)</f>
        <v>7915.00528610689</v>
      </c>
      <c r="E540" s="13" t="n">
        <f aca="false">SUM(G525:J525)</f>
        <v>10345.4435699789</v>
      </c>
      <c r="F540" s="13" t="n">
        <f aca="false">SUM(K525:N525)</f>
        <v>10311.7553692946</v>
      </c>
      <c r="G540" s="13" t="n">
        <f aca="false">SUM(O525:R525)</f>
        <v>10869.9162307296</v>
      </c>
    </row>
    <row r="541" customFormat="false" ht="15" hidden="false" customHeight="false" outlineLevel="0" collapsed="false">
      <c r="A541" s="5" t="s">
        <v>361</v>
      </c>
      <c r="B541" s="0" t="s">
        <v>145</v>
      </c>
      <c r="C541" s="14" t="n">
        <f aca="false">C540/C531</f>
        <v>0.371748802190281</v>
      </c>
      <c r="D541" s="14" t="n">
        <f aca="false">D540/D531</f>
        <v>0.802636781455128</v>
      </c>
      <c r="E541" s="14" t="n">
        <f aca="false">E540/E531</f>
        <v>0.834325899529009</v>
      </c>
      <c r="F541" s="14" t="n">
        <f aca="false">F540/F531</f>
        <v>0.824282314570398</v>
      </c>
      <c r="G541" s="14" t="n">
        <f aca="false">G540/G531</f>
        <v>0.825418480589445</v>
      </c>
    </row>
    <row r="542" customFormat="false" ht="15" hidden="false" customHeight="false" outlineLevel="0" collapsed="false">
      <c r="A542" s="5" t="s">
        <v>359</v>
      </c>
      <c r="B542" s="0" t="s">
        <v>27</v>
      </c>
      <c r="C542" s="13" t="n">
        <f aca="false">a25_ni</f>
        <v>554.5</v>
      </c>
      <c r="D542" s="13" t="n">
        <f aca="false">SUM(C527:F527)</f>
        <v>5344.53935455269</v>
      </c>
      <c r="E542" s="13" t="n">
        <f aca="false">SUM(G527:J527)</f>
        <v>7019.1274736744</v>
      </c>
      <c r="F542" s="13" t="n">
        <f aca="false">SUM(K527:N527)</f>
        <v>7033.5875506659</v>
      </c>
      <c r="G542" s="13" t="n">
        <f aca="false">SUM(O527:R527)</f>
        <v>7450.5836527173</v>
      </c>
    </row>
    <row r="543" customFormat="false" ht="15" hidden="false" customHeight="false" outlineLevel="0" collapsed="false">
      <c r="A543" s="5" t="s">
        <v>489</v>
      </c>
      <c r="B543" s="0" t="s">
        <v>27</v>
      </c>
      <c r="D543" s="13" t="n">
        <f aca="false">da_y</f>
        <v>320</v>
      </c>
      <c r="E543" s="13" t="n">
        <f aca="false">da_y</f>
        <v>320</v>
      </c>
      <c r="F543" s="13" t="n">
        <f aca="false">da_y</f>
        <v>320</v>
      </c>
      <c r="G543" s="13" t="n">
        <f aca="false">da_y</f>
        <v>320</v>
      </c>
    </row>
    <row r="544" customFormat="false" ht="15" hidden="false" customHeight="false" outlineLevel="0" collapsed="false">
      <c r="A544" s="5" t="s">
        <v>490</v>
      </c>
      <c r="B544" s="0" t="s">
        <v>27</v>
      </c>
      <c r="D544" s="13" t="n">
        <f aca="false">cap_2026</f>
        <v>450</v>
      </c>
      <c r="E544" s="13" t="n">
        <f aca="false">cap_2027</f>
        <v>470</v>
      </c>
      <c r="F544" s="13" t="n">
        <f aca="false">cap_2028</f>
        <v>470</v>
      </c>
      <c r="G544" s="13" t="n">
        <f aca="false">cap_2029</f>
        <v>470</v>
      </c>
    </row>
    <row r="545" customFormat="false" ht="15" hidden="false" customHeight="false" outlineLevel="0" collapsed="false">
      <c r="A545" s="5" t="s">
        <v>491</v>
      </c>
      <c r="B545" s="0" t="s">
        <v>27</v>
      </c>
      <c r="D545" s="13" t="n">
        <f aca="false">D542+D543-D544</f>
        <v>5214.53935455269</v>
      </c>
      <c r="E545" s="13" t="n">
        <f aca="false">E542+E543-E544</f>
        <v>6869.1274736744</v>
      </c>
      <c r="F545" s="13" t="n">
        <f aca="false">F542+F543-F544</f>
        <v>6883.5875506659</v>
      </c>
      <c r="G545" s="13" t="n">
        <f aca="false">G542+G543-G544</f>
        <v>7300.5836527173</v>
      </c>
    </row>
    <row r="546" customFormat="false" ht="17.15" hidden="false" customHeight="false" outlineLevel="0" collapsed="false">
      <c r="A546" s="5" t="s">
        <v>492</v>
      </c>
      <c r="B546" s="0" t="s">
        <v>27</v>
      </c>
      <c r="D546" s="13" t="n">
        <f aca="false">MAX(0,payout*(SUM(D527:F527)+0.75*(D543-D544)))</f>
        <v>880.967870910538</v>
      </c>
      <c r="E546" s="13" t="n">
        <f aca="false">MAX(0,payout*E545)</f>
        <v>1373.82549473488</v>
      </c>
      <c r="F546" s="13" t="n">
        <f aca="false">MAX(0,payout*F545)</f>
        <v>1376.71751013318</v>
      </c>
      <c r="G546" s="13" t="n">
        <f aca="false">MAX(0,payout*G545)</f>
        <v>1460.11673054346</v>
      </c>
      <c r="T546" s="8" t="s">
        <v>493</v>
      </c>
    </row>
    <row r="547" customFormat="false" ht="17.15" hidden="false" customHeight="false" outlineLevel="0" collapsed="false">
      <c r="A547" s="5" t="s">
        <v>494</v>
      </c>
      <c r="B547" s="0" t="s">
        <v>27</v>
      </c>
      <c r="C547" s="13" t="n">
        <f aca="false">eq25</f>
        <v>1399.1</v>
      </c>
      <c r="D547" s="13" t="n">
        <f aca="false">eq_j+SUM(D527:F527)-D546</f>
        <v>6025.67148364215</v>
      </c>
      <c r="E547" s="13" t="n">
        <f aca="false">D547+E542-E546</f>
        <v>11670.9734625817</v>
      </c>
      <c r="F547" s="13" t="n">
        <f aca="false">E547+F542-F546</f>
        <v>17327.8435031144</v>
      </c>
      <c r="G547" s="13" t="n">
        <f aca="false">F547+G542-G546</f>
        <v>23318.3104252882</v>
      </c>
      <c r="T547" s="8" t="s">
        <v>495</v>
      </c>
    </row>
    <row r="548" customFormat="false" ht="15" hidden="false" customHeight="false" outlineLevel="0" collapsed="false">
      <c r="A548" s="5" t="s">
        <v>496</v>
      </c>
      <c r="B548" s="0" t="s">
        <v>27</v>
      </c>
      <c r="D548" s="13" t="n">
        <f aca="false">nc_j+(SUM(D527:F527)+0.75*(D543-D544))-D546</f>
        <v>3680.27148364215</v>
      </c>
      <c r="E548" s="13" t="n">
        <f aca="false">D548+E545-E546</f>
        <v>9175.57346258167</v>
      </c>
      <c r="F548" s="13" t="n">
        <f aca="false">E548+F545-F546</f>
        <v>14682.4435031144</v>
      </c>
      <c r="G548" s="13" t="n">
        <f aca="false">F548+G545-G546</f>
        <v>20522.9104252882</v>
      </c>
    </row>
    <row r="549" customFormat="false" ht="15" hidden="false" customHeight="false" outlineLevel="0" collapsed="false">
      <c r="A549" s="5" t="s">
        <v>497</v>
      </c>
      <c r="B549" s="5" t="s">
        <v>209</v>
      </c>
      <c r="D549" s="13" t="n">
        <f aca="false">sh0-D546/bb_px*1000</f>
        <v>1574.97548037314</v>
      </c>
      <c r="E549" s="13" t="n">
        <f aca="false">D549-E546/bb_px*1000</f>
        <v>1467.26669991569</v>
      </c>
      <c r="F549" s="13" t="n">
        <f aca="false">E549-F546/bb_px*1000</f>
        <v>1359.33118363711</v>
      </c>
      <c r="G549" s="13" t="n">
        <f aca="false">F549-G546/bb_px*1000</f>
        <v>1244.85711616997</v>
      </c>
    </row>
    <row r="550" customFormat="false" ht="17.15" hidden="false" customHeight="false" outlineLevel="0" collapsed="false">
      <c r="A550" s="0" t="s">
        <v>498</v>
      </c>
      <c r="B550" s="0" t="s">
        <v>108</v>
      </c>
      <c r="C550" s="17" t="n">
        <f aca="false">a25_eps</f>
        <v>341.4</v>
      </c>
      <c r="D550" s="17" t="n">
        <f aca="false">D542/(D549+dil)*1000</f>
        <v>3359.33537650406</v>
      </c>
      <c r="E550" s="17" t="n">
        <f aca="false">E542/(E549+dil)*1000</f>
        <v>4732.2854217969</v>
      </c>
      <c r="F550" s="17" t="n">
        <f aca="false">F542/(F549+dil)*1000</f>
        <v>5114.19411843073</v>
      </c>
      <c r="G550" s="17" t="n">
        <f aca="false">G542/(G549+dil)*1000</f>
        <v>5909.25473949779</v>
      </c>
    </row>
    <row r="551" customFormat="false" ht="17.15" hidden="false" customHeight="false" outlineLevel="0" collapsed="false">
      <c r="A551" s="5" t="s">
        <v>499</v>
      </c>
      <c r="B551" s="0" t="s">
        <v>108</v>
      </c>
      <c r="D551" s="17" t="n">
        <f aca="false">D547/D549*1000</f>
        <v>3825.88272562475</v>
      </c>
      <c r="E551" s="17" t="n">
        <f aca="false">E547/E549*1000</f>
        <v>7954.22772373442</v>
      </c>
      <c r="F551" s="17" t="n">
        <f aca="false">F547/F549*1000</f>
        <v>12747.3302398249</v>
      </c>
      <c r="G551" s="17" t="n">
        <f aca="false">G547/G549*1000</f>
        <v>18731.7163732263</v>
      </c>
    </row>
    <row r="552" customFormat="false" ht="17.15" hidden="false" customHeight="false" outlineLevel="0" collapsed="false">
      <c r="A552" s="0" t="s">
        <v>500</v>
      </c>
      <c r="B552" s="0" t="s">
        <v>145</v>
      </c>
      <c r="D552" s="21" t="n">
        <f aca="false">D542/D547</f>
        <v>0.886961622295784</v>
      </c>
      <c r="E552" s="21" t="n">
        <f aca="false">E542/E547</f>
        <v>0.601417482113076</v>
      </c>
      <c r="F552" s="21" t="n">
        <f aca="false">F542/F547</f>
        <v>0.405912458142973</v>
      </c>
      <c r="G552" s="21" t="n">
        <f aca="false">G542/G547</f>
        <v>0.319516445095323</v>
      </c>
    </row>
    <row r="553" customFormat="false" ht="15" hidden="false" customHeight="false" outlineLevel="0" collapsed="false">
      <c r="A553" s="5" t="s">
        <v>501</v>
      </c>
      <c r="B553" s="0" t="s">
        <v>108</v>
      </c>
      <c r="E553" s="17" t="n">
        <f aca="false">E545/(E549+dil)*1000</f>
        <v>4631.15564235753</v>
      </c>
      <c r="F553" s="17" t="n">
        <f aca="false">F545/(F549+dil)*1000</f>
        <v>5005.12756992491</v>
      </c>
      <c r="G553" s="17" t="n">
        <f aca="false">G545/(G549+dil)*1000</f>
        <v>5790.28577649563</v>
      </c>
    </row>
    <row r="554" customFormat="false" ht="17.15" hidden="false" customHeight="false" outlineLevel="0" collapsed="false">
      <c r="A554" s="5" t="s">
        <v>502</v>
      </c>
      <c r="B554" s="0" t="s">
        <v>27</v>
      </c>
      <c r="D554" s="18" t="n">
        <f aca="false">ABS(C514-q1_rev)+ABS(D525-g2_op)+ABS(C531-2337.6)</f>
        <v>0</v>
      </c>
    </row>
    <row r="560" customFormat="false" ht="17.15" hidden="false" customHeight="false" outlineLevel="0" collapsed="false">
      <c r="A560" s="3" t="s">
        <v>827</v>
      </c>
    </row>
    <row r="561" customFormat="false" ht="17.15" hidden="false" customHeight="false" outlineLevel="0" collapsed="false">
      <c r="A561" s="12" t="s">
        <v>442</v>
      </c>
      <c r="B561" s="6" t="s">
        <v>17</v>
      </c>
      <c r="C561" s="12" t="s">
        <v>443</v>
      </c>
      <c r="D561" s="12" t="s">
        <v>444</v>
      </c>
      <c r="E561" s="12" t="s">
        <v>445</v>
      </c>
      <c r="F561" s="12" t="s">
        <v>446</v>
      </c>
      <c r="G561" s="12" t="s">
        <v>447</v>
      </c>
      <c r="H561" s="12" t="s">
        <v>448</v>
      </c>
      <c r="I561" s="12" t="s">
        <v>449</v>
      </c>
      <c r="J561" s="12" t="s">
        <v>450</v>
      </c>
      <c r="K561" s="12" t="s">
        <v>451</v>
      </c>
      <c r="L561" s="12" t="s">
        <v>452</v>
      </c>
      <c r="M561" s="12" t="s">
        <v>453</v>
      </c>
      <c r="N561" s="12" t="s">
        <v>454</v>
      </c>
      <c r="O561" s="12" t="s">
        <v>455</v>
      </c>
      <c r="P561" s="12" t="s">
        <v>456</v>
      </c>
      <c r="Q561" s="12" t="s">
        <v>457</v>
      </c>
      <c r="R561" s="12" t="s">
        <v>458</v>
      </c>
      <c r="S561" s="12"/>
      <c r="T561" s="6" t="s">
        <v>330</v>
      </c>
    </row>
    <row r="562" customFormat="false" ht="17.15" hidden="false" customHeight="false" outlineLevel="0" collapsed="false">
      <c r="A562" s="5" t="s">
        <v>459</v>
      </c>
      <c r="B562" s="0" t="s">
        <v>391</v>
      </c>
      <c r="C562" s="19" t="n">
        <f aca="false">Units!H4*1</f>
        <v>10.72</v>
      </c>
      <c r="D562" s="19" t="n">
        <f aca="false">Units!I4*1</f>
        <v>14.9513168749304</v>
      </c>
      <c r="E562" s="19" t="n">
        <f aca="false">Units!J4*1*1</f>
        <v>16.2035648188888</v>
      </c>
      <c r="F562" s="19" t="n">
        <f aca="false">Units!K4*1*1</f>
        <v>17.8543449815733</v>
      </c>
      <c r="G562" s="19" t="n">
        <f aca="false">Units!L4*1*1</f>
        <v>18.8786713110699</v>
      </c>
      <c r="H562" s="19" t="n">
        <f aca="false">Units!M4*1*1</f>
        <v>18.9636763094518</v>
      </c>
      <c r="I562" s="19" t="n">
        <f aca="false">Units!N4*1*1</f>
        <v>18.6480311322868</v>
      </c>
      <c r="J562" s="19" t="n">
        <f aca="false">Units!O4*1*1</f>
        <v>18.7319976270738</v>
      </c>
      <c r="K562" s="19" t="n">
        <f aca="false">Units!P4*1*1</f>
        <v>18.8163421978194</v>
      </c>
      <c r="L562" s="19" t="n">
        <f aca="false">Units!Q4*1*1</f>
        <v>18.9010665468864</v>
      </c>
      <c r="M562" s="19" t="n">
        <f aca="false">Units!R4*1*1</f>
        <v>18.9861723843027</v>
      </c>
      <c r="N562" s="19" t="n">
        <f aca="false">Units!S4*1*1</f>
        <v>19.1874193215442</v>
      </c>
      <c r="O562" s="19" t="n">
        <f aca="false">Units!T4*1*1</f>
        <v>19.5604237366471</v>
      </c>
      <c r="P562" s="19" t="n">
        <f aca="false">Units!U4*1*1</f>
        <v>19.9406793766988</v>
      </c>
      <c r="Q562" s="19" t="n">
        <f aca="false">Units!V4*1*1</f>
        <v>20.3283272058839</v>
      </c>
      <c r="R562" s="19" t="n">
        <f aca="false">Units!W4*1*1</f>
        <v>20.0593273219312</v>
      </c>
      <c r="T562" s="8" t="s">
        <v>460</v>
      </c>
    </row>
    <row r="563" customFormat="false" ht="15" hidden="false" customHeight="false" outlineLevel="0" collapsed="false">
      <c r="A563" s="5" t="s">
        <v>461</v>
      </c>
      <c r="B563" s="0" t="s">
        <v>398</v>
      </c>
      <c r="C563" s="19" t="n">
        <f aca="false">Units!H7*1</f>
        <v>40.1757580440862</v>
      </c>
      <c r="D563" s="19" t="n">
        <f aca="false">Units!I7*1</f>
        <v>44.8269021796765</v>
      </c>
      <c r="E563" s="19" t="n">
        <f aca="false">Units!J7*1</f>
        <v>44.9411476117569</v>
      </c>
      <c r="F563" s="19" t="n">
        <f aca="false">Units!K7*1</f>
        <v>48.0773237904583</v>
      </c>
      <c r="G563" s="19" t="n">
        <f aca="false">Units!L7*1</f>
        <v>50.835580599158</v>
      </c>
      <c r="H563" s="19" t="n">
        <f aca="false">Units!M7*1</f>
        <v>53.7520820858664</v>
      </c>
      <c r="I563" s="19" t="n">
        <f aca="false">Units!N7*1</f>
        <v>56.8359069476934</v>
      </c>
      <c r="J563" s="19" t="n">
        <f aca="false">Units!O7*1</f>
        <v>60.0966547380729</v>
      </c>
      <c r="K563" s="19" t="n">
        <f aca="false">Units!P7*1</f>
        <v>63.5444757489475</v>
      </c>
      <c r="L563" s="19" t="n">
        <f aca="false">Units!Q7*1</f>
        <v>67.190102607333</v>
      </c>
      <c r="M563" s="19" t="n">
        <f aca="false">Units!R7*1</f>
        <v>71.0448836846168</v>
      </c>
      <c r="N563" s="19" t="n">
        <f aca="false">Units!S7*1</f>
        <v>74.0184898623123</v>
      </c>
      <c r="O563" s="19" t="n">
        <f aca="false">Units!T7*1</f>
        <v>77.7911475249602</v>
      </c>
      <c r="P563" s="19" t="n">
        <f aca="false">Units!U7*1</f>
        <v>81.7560942476254</v>
      </c>
      <c r="Q563" s="19" t="n">
        <f aca="false">Units!V7*1</f>
        <v>85.9231308354458</v>
      </c>
      <c r="R563" s="19" t="n">
        <f aca="false">Units!W7*1</f>
        <v>87.5395173614874</v>
      </c>
    </row>
    <row r="564" customFormat="false" ht="17.15" hidden="false" customHeight="false" outlineLevel="0" collapsed="false">
      <c r="A564" s="5" t="s">
        <v>354</v>
      </c>
      <c r="B564" s="0" t="s">
        <v>27</v>
      </c>
      <c r="C564" s="13" t="n">
        <f aca="false">q1_rev</f>
        <v>1767.1</v>
      </c>
      <c r="D564" s="13" t="n">
        <f aca="false">g2_rev</f>
        <v>2480</v>
      </c>
      <c r="E564" s="13" t="n">
        <f aca="false">E562*kx_k*fx</f>
        <v>2671.01859994948</v>
      </c>
      <c r="F564" s="13" t="n">
        <f aca="false">F562*kx_k*fx</f>
        <v>2943.13554262483</v>
      </c>
      <c r="G564" s="13" t="n">
        <f aca="false">G562*kx_k*fx</f>
        <v>3111.98694718205</v>
      </c>
      <c r="H564" s="13" t="n">
        <f aca="false">H562*kx_k*fx</f>
        <v>3125.9992916448</v>
      </c>
      <c r="I564" s="13" t="n">
        <f aca="false">I562*kx_k*fx</f>
        <v>3073.96789308433</v>
      </c>
      <c r="J564" s="13" t="n">
        <f aca="false">J562*kx_k*fx</f>
        <v>3087.80904914199</v>
      </c>
      <c r="K564" s="13" t="n">
        <f aca="false">K562*kx_k*fx</f>
        <v>3101.71252777674</v>
      </c>
      <c r="L564" s="13" t="n">
        <f aca="false">L562*kx_k*fx</f>
        <v>3115.67860960848</v>
      </c>
      <c r="M564" s="13" t="n">
        <f aca="false">M562*kx_k*fx</f>
        <v>3129.70757652064</v>
      </c>
      <c r="N564" s="13" t="n">
        <f aca="false">N562*kx_k*fx</f>
        <v>3162.88140700567</v>
      </c>
      <c r="O564" s="13" t="n">
        <f aca="false">O562*kx_k*fx</f>
        <v>3224.36798367809</v>
      </c>
      <c r="P564" s="13" t="n">
        <f aca="false">P562*kx_k*fx</f>
        <v>3287.04986255265</v>
      </c>
      <c r="Q564" s="13" t="n">
        <f aca="false">Q562*kx_k*fx</f>
        <v>3350.95028036543</v>
      </c>
      <c r="R564" s="13" t="n">
        <f aca="false">R562*kx_k*fx</f>
        <v>3306.60795807692</v>
      </c>
      <c r="T564" s="5" t="s">
        <v>462</v>
      </c>
    </row>
    <row r="565" customFormat="false" ht="17.15" hidden="false" customHeight="false" outlineLevel="0" collapsed="false">
      <c r="A565" s="0" t="s">
        <v>463</v>
      </c>
      <c r="B565" s="0" t="s">
        <v>27</v>
      </c>
      <c r="C565" s="13" t="n">
        <f aca="false">q1_ss</f>
        <v>1174.7</v>
      </c>
      <c r="D565" s="13" t="n">
        <f aca="false">D564*sssh_26</f>
        <v>1636.8</v>
      </c>
      <c r="E565" s="13" t="n">
        <f aca="false">E564*sssh_26</f>
        <v>1762.87227596666</v>
      </c>
      <c r="F565" s="13" t="n">
        <f aca="false">F564*sssh_26</f>
        <v>1942.46945813239</v>
      </c>
      <c r="G565" s="13" t="n">
        <f aca="false">G564*sssh_27</f>
        <v>2116.1511240838</v>
      </c>
      <c r="H565" s="13" t="n">
        <f aca="false">H564*sssh_27</f>
        <v>2125.67951831847</v>
      </c>
      <c r="I565" s="13" t="n">
        <f aca="false">I564*sssh_27</f>
        <v>2090.29816729734</v>
      </c>
      <c r="J565" s="13" t="n">
        <f aca="false">J564*sssh_27</f>
        <v>2099.71015341655</v>
      </c>
      <c r="K565" s="13" t="n">
        <f aca="false">K564*sssh_28</f>
        <v>2171.19876944372</v>
      </c>
      <c r="L565" s="13" t="n">
        <f aca="false">L564*sssh_28</f>
        <v>2180.97502672594</v>
      </c>
      <c r="M565" s="13" t="n">
        <f aca="false">M564*sssh_28</f>
        <v>2190.79530356445</v>
      </c>
      <c r="N565" s="13" t="n">
        <f aca="false">N564*sssh_28</f>
        <v>2214.01698490397</v>
      </c>
      <c r="O565" s="13" t="n">
        <f aca="false">O564*sssh_29</f>
        <v>2257.05758857466</v>
      </c>
      <c r="P565" s="13" t="n">
        <f aca="false">P564*sssh_29</f>
        <v>2300.93490378686</v>
      </c>
      <c r="Q565" s="13" t="n">
        <f aca="false">Q564*sssh_29</f>
        <v>2345.6651962558</v>
      </c>
      <c r="R565" s="13" t="n">
        <f aca="false">R564*sssh_29</f>
        <v>2314.62557065385</v>
      </c>
      <c r="T565" s="5" t="s">
        <v>464</v>
      </c>
    </row>
    <row r="566" customFormat="false" ht="17.15" hidden="false" customHeight="false" outlineLevel="0" collapsed="false">
      <c r="A566" s="0" t="s">
        <v>465</v>
      </c>
      <c r="B566" s="0" t="s">
        <v>27</v>
      </c>
      <c r="C566" s="13" t="n">
        <f aca="false">C565*(0.75*Units!D16+0.25*Units!E16)</f>
        <v>687.403351447223</v>
      </c>
      <c r="D566" s="13" t="n">
        <f aca="false">D565*(0.75*Units!D16+0.25*Units!E16)</f>
        <v>957.812041924589</v>
      </c>
      <c r="E566" s="13" t="n">
        <f aca="false">E565*(0.75*Units!D16+0.25*Units!E16)</f>
        <v>1031.58620130491</v>
      </c>
      <c r="F566" s="13" t="n">
        <f aca="false">F565*(0.75*Units!D16+0.25*Units!E16)</f>
        <v>1136.68171925094</v>
      </c>
      <c r="G566" s="13" t="n">
        <f aca="false">G565*(0.75*Units!E16+0.25*Units!F16)</f>
        <v>1457.97622792167</v>
      </c>
      <c r="H566" s="13" t="n">
        <f aca="false">H565*(0.75*Units!E16+0.25*Units!F16)</f>
        <v>1464.54105787464</v>
      </c>
      <c r="I566" s="13" t="n">
        <f aca="false">I565*(0.75*Units!E16+0.25*Units!F16)</f>
        <v>1440.16417471471</v>
      </c>
      <c r="J566" s="13" t="n">
        <f aca="false">J565*(0.75*Units!E16+0.25*Units!F16)</f>
        <v>1446.64880233093</v>
      </c>
      <c r="K566" s="13" t="n">
        <f aca="false">K565*(0.75*Units!F16+0.25*Units!G16)</f>
        <v>1584.5436918192</v>
      </c>
      <c r="L566" s="13" t="n">
        <f aca="false">L565*(0.75*Units!F16+0.25*Units!G16)</f>
        <v>1591.67841712586</v>
      </c>
      <c r="M566" s="13" t="n">
        <f aca="false">M565*(0.75*Units!F16+0.25*Units!G16)</f>
        <v>1598.84526796208</v>
      </c>
      <c r="N566" s="13" t="n">
        <f aca="false">N565*(0.75*Units!F16+0.25*Units!G16)</f>
        <v>1615.79248127014</v>
      </c>
      <c r="O566" s="13" t="n">
        <f aca="false">O565*(0.75*Units!G16+0.25*Units!H16)</f>
        <v>1720.23366162982</v>
      </c>
      <c r="P566" s="13" t="n">
        <f aca="false">P565*(0.75*Units!G16+0.25*Units!H16)</f>
        <v>1753.67509218615</v>
      </c>
      <c r="Q566" s="13" t="n">
        <f aca="false">Q565*(0.75*Units!G16+0.25*Units!H16)</f>
        <v>1787.76662586661</v>
      </c>
      <c r="R566" s="13" t="n">
        <f aca="false">R565*(0.75*Units!G16+0.25*Units!H16)</f>
        <v>1764.10953839345</v>
      </c>
      <c r="T566" s="5" t="s">
        <v>466</v>
      </c>
    </row>
    <row r="567" customFormat="false" ht="17.15" hidden="false" customHeight="false" outlineLevel="0" collapsed="false">
      <c r="A567" s="0" t="s">
        <v>467</v>
      </c>
      <c r="B567" s="0" t="s">
        <v>27</v>
      </c>
      <c r="C567" s="13" t="n">
        <f aca="false">C565-C566</f>
        <v>487.296648552777</v>
      </c>
      <c r="D567" s="13" t="n">
        <f aca="false">D565-D566</f>
        <v>678.987958075412</v>
      </c>
      <c r="E567" s="13" t="n">
        <f aca="false">E565-E566</f>
        <v>731.28607466175</v>
      </c>
      <c r="F567" s="13" t="n">
        <f aca="false">F565-F566</f>
        <v>805.787738881452</v>
      </c>
      <c r="G567" s="13" t="n">
        <f aca="false">G565-G566</f>
        <v>658.174896162131</v>
      </c>
      <c r="H567" s="13" t="n">
        <f aca="false">H565-H566</f>
        <v>661.138460443822</v>
      </c>
      <c r="I567" s="13" t="n">
        <f aca="false">I565-I566</f>
        <v>650.133992582631</v>
      </c>
      <c r="J567" s="13" t="n">
        <f aca="false">J565-J566</f>
        <v>653.061351085617</v>
      </c>
      <c r="K567" s="13" t="n">
        <f aca="false">K565-K566</f>
        <v>586.65507762452</v>
      </c>
      <c r="L567" s="13" t="n">
        <f aca="false">L565-L566</f>
        <v>589.296609600079</v>
      </c>
      <c r="M567" s="13" t="n">
        <f aca="false">M565-M566</f>
        <v>591.950035602373</v>
      </c>
      <c r="N567" s="13" t="n">
        <f aca="false">N565-N566</f>
        <v>598.224503633827</v>
      </c>
      <c r="O567" s="13" t="n">
        <f aca="false">O565-O566</f>
        <v>536.82392694484</v>
      </c>
      <c r="P567" s="13" t="n">
        <f aca="false">P565-P566</f>
        <v>547.259811600705</v>
      </c>
      <c r="Q567" s="13" t="n">
        <f aca="false">Q565-Q566</f>
        <v>557.898570389192</v>
      </c>
      <c r="R567" s="13" t="n">
        <f aca="false">R565-R566</f>
        <v>550.516032260396</v>
      </c>
    </row>
    <row r="568" customFormat="false" ht="17.15" hidden="false" customHeight="false" outlineLevel="0" collapsed="false">
      <c r="A568" s="5" t="s">
        <v>468</v>
      </c>
      <c r="B568" s="0" t="s">
        <v>27</v>
      </c>
      <c r="C568" s="13" t="n">
        <f aca="false">q1_rev-q1_ss-q1_sd</f>
        <v>66.6999999999998</v>
      </c>
      <c r="D568" s="13" t="n">
        <f aca="false">D564*otsh_26</f>
        <v>99.2</v>
      </c>
      <c r="E568" s="13" t="n">
        <f aca="false">E564*otsh_26</f>
        <v>106.840743997979</v>
      </c>
      <c r="F568" s="13" t="n">
        <f aca="false">F564*otsh_26</f>
        <v>117.725421704993</v>
      </c>
      <c r="G568" s="13" t="n">
        <f aca="false">G564*otsh_27</f>
        <v>124.479477887282</v>
      </c>
      <c r="H568" s="13" t="n">
        <f aca="false">H564*otsh_27</f>
        <v>125.039971665792</v>
      </c>
      <c r="I568" s="13" t="n">
        <f aca="false">I564*otsh_27</f>
        <v>122.958715723373</v>
      </c>
      <c r="J568" s="13" t="n">
        <f aca="false">J564*otsh_27</f>
        <v>123.51236196568</v>
      </c>
      <c r="K568" s="13" t="n">
        <f aca="false">K564*otsh_28</f>
        <v>124.06850111107</v>
      </c>
      <c r="L568" s="13" t="n">
        <f aca="false">L564*otsh_28</f>
        <v>124.627144384339</v>
      </c>
      <c r="M568" s="13" t="n">
        <f aca="false">M564*otsh_28</f>
        <v>125.188303060826</v>
      </c>
      <c r="N568" s="13" t="n">
        <f aca="false">N564*otsh_28</f>
        <v>126.515256280227</v>
      </c>
      <c r="O568" s="13" t="n">
        <f aca="false">O564*otsh_29</f>
        <v>128.974719347123</v>
      </c>
      <c r="P568" s="13" t="n">
        <f aca="false">P564*otsh_29</f>
        <v>131.481994502106</v>
      </c>
      <c r="Q568" s="13" t="n">
        <f aca="false">Q564*otsh_29</f>
        <v>134.038011214617</v>
      </c>
      <c r="R568" s="13" t="n">
        <f aca="false">R564*otsh_29</f>
        <v>132.264318323077</v>
      </c>
      <c r="T568" s="5" t="s">
        <v>469</v>
      </c>
    </row>
    <row r="569" customFormat="false" ht="17.15" hidden="false" customHeight="false" outlineLevel="0" collapsed="false">
      <c r="A569" s="5" t="s">
        <v>470</v>
      </c>
      <c r="B569" s="0" t="s">
        <v>27</v>
      </c>
      <c r="C569" s="13" t="n">
        <f aca="false">q1_sd</f>
        <v>525.7</v>
      </c>
      <c r="D569" s="13" t="n">
        <f aca="false">D564-D565-D568</f>
        <v>744</v>
      </c>
      <c r="E569" s="13" t="n">
        <f aca="false">E564-E565-E568</f>
        <v>801.305579984843</v>
      </c>
      <c r="F569" s="13" t="n">
        <f aca="false">F564-F565-F568</f>
        <v>882.940662787449</v>
      </c>
      <c r="G569" s="13" t="n">
        <f aca="false">G564-G565-G568</f>
        <v>871.356345210975</v>
      </c>
      <c r="H569" s="13" t="n">
        <f aca="false">H564-H565-H568</f>
        <v>875.279801660544</v>
      </c>
      <c r="I569" s="13" t="n">
        <f aca="false">I564-I565-I568</f>
        <v>860.711010063612</v>
      </c>
      <c r="J569" s="13" t="n">
        <f aca="false">J564-J565-J568</f>
        <v>864.586533759756</v>
      </c>
      <c r="K569" s="13" t="n">
        <f aca="false">K564-K565-K568</f>
        <v>806.445257221952</v>
      </c>
      <c r="L569" s="13" t="n">
        <f aca="false">L564-L565-L568</f>
        <v>810.076438498206</v>
      </c>
      <c r="M569" s="13" t="n">
        <f aca="false">M564-M565-M568</f>
        <v>813.723969895367</v>
      </c>
      <c r="N569" s="13" t="n">
        <f aca="false">N564-N565-N568</f>
        <v>822.349165821474</v>
      </c>
      <c r="O569" s="13" t="n">
        <f aca="false">O564-O565-O568</f>
        <v>838.335675756302</v>
      </c>
      <c r="P569" s="13" t="n">
        <f aca="false">P564-P565-P568</f>
        <v>854.63296426369</v>
      </c>
      <c r="Q569" s="13" t="n">
        <f aca="false">Q564-Q565-Q568</f>
        <v>871.247072895013</v>
      </c>
      <c r="R569" s="13" t="n">
        <f aca="false">R564-R565-R568</f>
        <v>859.7180691</v>
      </c>
      <c r="T569" s="5" t="s">
        <v>471</v>
      </c>
    </row>
    <row r="570" customFormat="false" ht="15" hidden="false" customHeight="false" outlineLevel="0" collapsed="false">
      <c r="A570" s="5" t="s">
        <v>472</v>
      </c>
      <c r="B570" s="0" t="s">
        <v>27</v>
      </c>
      <c r="C570" s="18" t="n">
        <f aca="false">C565+C569+C568-C564</f>
        <v>0</v>
      </c>
      <c r="D570" s="18" t="n">
        <f aca="false">D565+D569+D568-D564</f>
        <v>0</v>
      </c>
      <c r="E570" s="18" t="n">
        <f aca="false">E565+E569+E568-E564</f>
        <v>0</v>
      </c>
      <c r="F570" s="18" t="n">
        <f aca="false">F565+F569+F568-F564</f>
        <v>0</v>
      </c>
      <c r="G570" s="18" t="n">
        <f aca="false">G565+G569+G568-G564</f>
        <v>0</v>
      </c>
      <c r="H570" s="18" t="n">
        <f aca="false">H565+H569+H568-H564</f>
        <v>0</v>
      </c>
      <c r="I570" s="18" t="n">
        <f aca="false">I565+I569+I568-I564</f>
        <v>0</v>
      </c>
      <c r="J570" s="18" t="n">
        <f aca="false">J565+J569+J568-J564</f>
        <v>0</v>
      </c>
      <c r="K570" s="18" t="n">
        <f aca="false">K565+K569+K568-K564</f>
        <v>0</v>
      </c>
      <c r="L570" s="18" t="n">
        <f aca="false">L565+L569+L568-L564</f>
        <v>0</v>
      </c>
      <c r="M570" s="18" t="n">
        <f aca="false">M565+M569+M568-M564</f>
        <v>0</v>
      </c>
      <c r="N570" s="18" t="n">
        <f aca="false">N565+N569+N568-N564</f>
        <v>0</v>
      </c>
      <c r="O570" s="18" t="n">
        <f aca="false">O565+O569+O568-O564</f>
        <v>0</v>
      </c>
      <c r="P570" s="18" t="n">
        <f aca="false">P565+P569+P568-P564</f>
        <v>0</v>
      </c>
      <c r="Q570" s="18" t="n">
        <f aca="false">Q565+Q569+Q568-Q564</f>
        <v>0</v>
      </c>
      <c r="R570" s="18" t="n">
        <f aca="false">R565+R569+R568-R564</f>
        <v>0</v>
      </c>
    </row>
    <row r="571" customFormat="false" ht="17.15" hidden="false" customHeight="false" outlineLevel="0" collapsed="false">
      <c r="A571" s="5" t="s">
        <v>473</v>
      </c>
      <c r="B571" s="0" t="s">
        <v>474</v>
      </c>
      <c r="C571" s="20" t="n">
        <f aca="false">C572/C563</f>
        <v>9.63267449926724</v>
      </c>
      <c r="D571" s="20" t="n">
        <f aca="false">D572/D563</f>
        <v>9.50991434320605</v>
      </c>
      <c r="E571" s="20" t="n">
        <f aca="false">$D571*(1-cd_A)^(1/4)</f>
        <v>9.15801220601616</v>
      </c>
      <c r="F571" s="20" t="n">
        <f aca="false">$D571*(1-cd_A)^(2/4)</f>
        <v>8.81913175437355</v>
      </c>
      <c r="G571" s="20" t="n">
        <f aca="false">$D571*(1-cd_A)^(3/4)</f>
        <v>8.49279113756868</v>
      </c>
      <c r="H571" s="20" t="n">
        <f aca="false">$D571*(1-cd_A)^(4/4)</f>
        <v>8.1785263351572</v>
      </c>
      <c r="I571" s="20" t="n">
        <f aca="false">$D571*(1-cd_A)^(5/4)</f>
        <v>7.87589049717389</v>
      </c>
      <c r="J571" s="20" t="n">
        <f aca="false">$D571*(1-cd_A)^(6/4)</f>
        <v>7.58445330876125</v>
      </c>
      <c r="K571" s="20" t="n">
        <f aca="false">$D571*(1-cd_A)^(7/4)</f>
        <v>7.30380037830907</v>
      </c>
      <c r="L571" s="20" t="n">
        <f aca="false">$D571*(1-cd_A)^(8/4)</f>
        <v>7.03353264823519</v>
      </c>
      <c r="M571" s="20" t="n">
        <f aca="false">$D571*(1-cd_A)^(9/4)</f>
        <v>6.77326582756955</v>
      </c>
      <c r="N571" s="20" t="n">
        <f aca="false">$D571*(1-cd_A)^(10/4)</f>
        <v>6.52262984553468</v>
      </c>
      <c r="O571" s="20" t="n">
        <f aca="false">$D571*(1-cd_A)^(11/4)</f>
        <v>6.2812683253458</v>
      </c>
      <c r="P571" s="20" t="n">
        <f aca="false">$D571*(1-cd_A)^(12/4)</f>
        <v>6.04883807748227</v>
      </c>
      <c r="Q571" s="20" t="n">
        <f aca="false">$D571*(1-cd_A)^(13/4)</f>
        <v>5.82500861170981</v>
      </c>
      <c r="R571" s="20" t="n">
        <f aca="false">$D571*(1-cd_A)^(14/4)</f>
        <v>5.60946166715982</v>
      </c>
    </row>
    <row r="572" customFormat="false" ht="15" hidden="false" customHeight="false" outlineLevel="0" collapsed="false">
      <c r="A572" s="5" t="s">
        <v>475</v>
      </c>
      <c r="B572" s="0" t="s">
        <v>27</v>
      </c>
      <c r="C572" s="13" t="n">
        <f aca="false">q1_rev-q1_gp</f>
        <v>387</v>
      </c>
      <c r="D572" s="13" t="n">
        <f aca="false">g2_rev-g2_op-g2_ox</f>
        <v>426.3</v>
      </c>
      <c r="E572" s="13" t="n">
        <f aca="false">E563*E571</f>
        <v>411.571578380844</v>
      </c>
      <c r="F572" s="13" t="n">
        <f aca="false">F563*F571</f>
        <v>424.00025290573</v>
      </c>
      <c r="G572" s="13" t="n">
        <f aca="false">G563*G571</f>
        <v>431.735968385688</v>
      </c>
      <c r="H572" s="13" t="n">
        <f aca="false">H563*H571</f>
        <v>439.61281890879</v>
      </c>
      <c r="I572" s="13" t="n">
        <f aca="false">I563*I571</f>
        <v>447.633379427598</v>
      </c>
      <c r="J572" s="13" t="n">
        <f aca="false">J563*J571</f>
        <v>455.80027187366</v>
      </c>
      <c r="K572" s="13" t="n">
        <f aca="false">K563*K571</f>
        <v>464.116166014614</v>
      </c>
      <c r="L572" s="13" t="n">
        <f aca="false">L563*L571</f>
        <v>472.583780326949</v>
      </c>
      <c r="M572" s="13" t="n">
        <f aca="false">M563*M571</f>
        <v>481.205882884668</v>
      </c>
      <c r="N572" s="13" t="n">
        <f aca="false">N563*N571</f>
        <v>482.795211097324</v>
      </c>
      <c r="O572" s="13" t="n">
        <f aca="false">O563*O571</f>
        <v>488.627070940835</v>
      </c>
      <c r="P572" s="13" t="n">
        <f aca="false">P563*P571</f>
        <v>494.529375951265</v>
      </c>
      <c r="Q572" s="13" t="n">
        <f aca="false">Q563*Q571</f>
        <v>500.502977061541</v>
      </c>
      <c r="R572" s="13" t="n">
        <f aca="false">R563*R571</f>
        <v>491.049567000935</v>
      </c>
      <c r="T572" s="5" t="s">
        <v>476</v>
      </c>
    </row>
    <row r="573" customFormat="false" ht="15" hidden="false" customHeight="false" outlineLevel="0" collapsed="false">
      <c r="A573" s="5" t="s">
        <v>360</v>
      </c>
      <c r="B573" s="0" t="s">
        <v>145</v>
      </c>
      <c r="C573" s="14" t="n">
        <f aca="false">1-C572/C564</f>
        <v>0.780997113915455</v>
      </c>
      <c r="D573" s="14" t="n">
        <f aca="false">1-D572/D564</f>
        <v>0.828104838709677</v>
      </c>
      <c r="E573" s="14" t="n">
        <f aca="false">1-E572/E564</f>
        <v>0.845912125662986</v>
      </c>
      <c r="F573" s="14" t="n">
        <f aca="false">1-F572/F564</f>
        <v>0.855935872893035</v>
      </c>
      <c r="G573" s="14" t="n">
        <f aca="false">1-G572/G564</f>
        <v>0.861266780448218</v>
      </c>
      <c r="H573" s="14" t="n">
        <f aca="false">1-H572/H564</f>
        <v>0.859368868034042</v>
      </c>
      <c r="I573" s="14" t="n">
        <f aca="false">1-I572/I564</f>
        <v>0.854379292498577</v>
      </c>
      <c r="J573" s="14" t="n">
        <f aca="false">1-J572/J564</f>
        <v>0.852387157165592</v>
      </c>
      <c r="K573" s="14" t="n">
        <f aca="false">1-K572/K564</f>
        <v>0.850367768818574</v>
      </c>
      <c r="L573" s="14" t="n">
        <f aca="false">1-L572/L564</f>
        <v>0.848320754628048</v>
      </c>
      <c r="M573" s="14" t="n">
        <f aca="false">1-M572/M564</f>
        <v>0.846245736664115</v>
      </c>
      <c r="N573" s="14" t="n">
        <f aca="false">1-N572/N564</f>
        <v>0.847355891995207</v>
      </c>
      <c r="O573" s="14" t="n">
        <f aca="false">1-O572/O564</f>
        <v>0.848458031647042</v>
      </c>
      <c r="P573" s="14" t="n">
        <f aca="false">1-P572/P564</f>
        <v>0.849552213495409</v>
      </c>
      <c r="Q573" s="14" t="n">
        <f aca="false">1-Q572/Q564</f>
        <v>0.850638494998213</v>
      </c>
      <c r="R573" s="14" t="n">
        <f aca="false">1-R572/R564</f>
        <v>0.851494470095414</v>
      </c>
    </row>
    <row r="574" customFormat="false" ht="17.15" hidden="false" customHeight="false" outlineLevel="0" collapsed="false">
      <c r="A574" s="5" t="s">
        <v>477</v>
      </c>
      <c r="B574" s="0" t="s">
        <v>27</v>
      </c>
      <c r="C574" s="13" t="n">
        <f aca="false">q1_gp-q1_op</f>
        <v>110.1</v>
      </c>
      <c r="D574" s="13" t="n">
        <f aca="false">g2_ox</f>
        <v>59</v>
      </c>
      <c r="E574" s="13" t="n">
        <f aca="false">(g2_ox-ox_var_hi*g2_rev)*(1+ox_g)^(1/4)+ox_var_hi*E564</f>
        <v>63.0470406763833</v>
      </c>
      <c r="F574" s="13" t="n">
        <f aca="false">(g2_ox-ox_var_hi*g2_rev)*(1+ox_g)^(2/4)+ox_var_hi*F564</f>
        <v>68.721514025296</v>
      </c>
      <c r="G574" s="13" t="n">
        <f aca="false">(g2_ox-ox_var_hi*g2_rev)*(1+ox_g)^(3/4)+ox_var_hi*G564</f>
        <v>72.3362742308941</v>
      </c>
      <c r="H574" s="13" t="n">
        <f aca="false">(g2_ox-ox_var_hi*g2_rev)*(1+ox_g)^(4/4)+ox_var_hi*H564</f>
        <v>72.859985832896</v>
      </c>
      <c r="I574" s="13" t="n">
        <f aca="false">(g2_ox-ox_var_hi*g2_rev)*(1+ox_g)^(5/4)+ox_var_hi*I564</f>
        <v>72.0686934068197</v>
      </c>
      <c r="J574" s="13" t="n">
        <f aca="false">(g2_ox-ox_var_hi*g2_rev)*(1+ox_g)^(6/4)+ox_var_hi*J564</f>
        <v>72.6008644729191</v>
      </c>
      <c r="K574" s="13" t="n">
        <f aca="false">(g2_ox-ox_var_hi*g2_rev)*(1+ox_g)^(7/4)+ox_var_hi*K564</f>
        <v>73.1404393715132</v>
      </c>
      <c r="L574" s="13" t="n">
        <f aca="false">(g2_ox-ox_var_hi*g2_rev)*(1+ox_g)^(8/4)+ox_var_hi*L564</f>
        <v>73.6875721921697</v>
      </c>
      <c r="M574" s="13" t="n">
        <f aca="false">(g2_ox-ox_var_hi*g2_rev)*(1+ox_g)^(9/4)+ox_var_hi*M564</f>
        <v>74.2424206300594</v>
      </c>
      <c r="N574" s="13" t="n">
        <f aca="false">(g2_ox-ox_var_hi*g2_rev)*(1+ox_g)^(10/4)+ox_var_hi*N564</f>
        <v>75.1867799792007</v>
      </c>
      <c r="O574" s="13" t="n">
        <f aca="false">(g2_ox-ox_var_hi*g2_rev)*(1+ox_g)^(11/4)+ox_var_hi*O564</f>
        <v>76.7041673711379</v>
      </c>
      <c r="P574" s="13" t="n">
        <f aca="false">(g2_ox-ox_var_hi*g2_rev)*(1+ox_g)^(12/4)+ox_var_hi*P564</f>
        <v>78.2523972510531</v>
      </c>
      <c r="Q574" s="13" t="n">
        <f aca="false">(g2_ox-ox_var_hi*g2_rev)*(1+ox_g)^(13/4)+ox_var_hi*Q564</f>
        <v>79.8321016169198</v>
      </c>
      <c r="R574" s="13" t="n">
        <f aca="false">(g2_ox-ox_var_hi*g2_rev)*(1+ox_g)^(14/4)+ox_var_hi*R564</f>
        <v>79.2542261845345</v>
      </c>
      <c r="T574" s="5" t="s">
        <v>478</v>
      </c>
    </row>
    <row r="575" customFormat="false" ht="15" hidden="false" customHeight="false" outlineLevel="0" collapsed="false">
      <c r="A575" s="5" t="s">
        <v>358</v>
      </c>
      <c r="B575" s="0" t="s">
        <v>27</v>
      </c>
      <c r="C575" s="13" t="n">
        <f aca="false">C564-C572-C574</f>
        <v>1270</v>
      </c>
      <c r="D575" s="13" t="n">
        <f aca="false">D564-D572-D574</f>
        <v>1994.7</v>
      </c>
      <c r="E575" s="13" t="n">
        <f aca="false">E564-E572-E574</f>
        <v>2196.39998089225</v>
      </c>
      <c r="F575" s="13" t="n">
        <f aca="false">F564-F572-F574</f>
        <v>2450.4137756938</v>
      </c>
      <c r="G575" s="13" t="n">
        <f aca="false">G564-G572-G574</f>
        <v>2607.91470456547</v>
      </c>
      <c r="H575" s="13" t="n">
        <f aca="false">H564-H572-H574</f>
        <v>2613.52648690312</v>
      </c>
      <c r="I575" s="13" t="n">
        <f aca="false">I564-I572-I574</f>
        <v>2554.26582024991</v>
      </c>
      <c r="J575" s="13" t="n">
        <f aca="false">J564-J572-J574</f>
        <v>2559.40791279541</v>
      </c>
      <c r="K575" s="13" t="n">
        <f aca="false">K564-K572-K574</f>
        <v>2564.45592239061</v>
      </c>
      <c r="L575" s="13" t="n">
        <f aca="false">L564-L572-L574</f>
        <v>2569.40725708937</v>
      </c>
      <c r="M575" s="13" t="n">
        <f aca="false">M564-M572-M574</f>
        <v>2574.25927300592</v>
      </c>
      <c r="N575" s="13" t="n">
        <f aca="false">N564-N572-N574</f>
        <v>2604.89941592914</v>
      </c>
      <c r="O575" s="13" t="n">
        <f aca="false">O564-O572-O574</f>
        <v>2659.03674536611</v>
      </c>
      <c r="P575" s="13" t="n">
        <f aca="false">P564-P572-P574</f>
        <v>2714.26808935034</v>
      </c>
      <c r="Q575" s="13" t="n">
        <f aca="false">Q564-Q572-Q574</f>
        <v>2770.61520168697</v>
      </c>
      <c r="R575" s="13" t="n">
        <f aca="false">R564-R572-R574</f>
        <v>2736.30416489145</v>
      </c>
    </row>
    <row r="577" customFormat="false" ht="17.15" hidden="false" customHeight="false" outlineLevel="0" collapsed="false">
      <c r="A577" s="5" t="s">
        <v>359</v>
      </c>
      <c r="B577" s="0" t="s">
        <v>27</v>
      </c>
      <c r="C577" s="13" t="n">
        <f aca="false">q1_ni</f>
        <v>842.2</v>
      </c>
      <c r="D577" s="13" t="n">
        <f aca="false">g2_ni</f>
        <v>1360</v>
      </c>
      <c r="E577" s="13" t="n">
        <f aca="false">(E575+nonop_q+rf*nc_j/4)*(1-tax)</f>
        <v>1483.61786700673</v>
      </c>
      <c r="F577" s="13" t="n">
        <f aca="false">(F575+nonop_q+rf*nc_j/4)*(1-tax)</f>
        <v>1656.34724747179</v>
      </c>
      <c r="G577" s="13" t="n">
        <f aca="false">(G575+nonop_q+rf*$D598/4)*(1-tax)</f>
        <v>1769.43523166021</v>
      </c>
      <c r="H577" s="13" t="n">
        <f aca="false">(H575+nonop_q+rf*$D598/4)*(1-tax)</f>
        <v>1773.25124364981</v>
      </c>
      <c r="I577" s="13" t="n">
        <f aca="false">(I575+nonop_q+rf*$D598/4)*(1-tax)</f>
        <v>1732.95399032563</v>
      </c>
      <c r="J577" s="13" t="n">
        <f aca="false">(J575+nonop_q+rf*$D598/4)*(1-tax)</f>
        <v>1736.45061325657</v>
      </c>
      <c r="K577" s="13" t="n">
        <f aca="false">(K575+nonop_q+rf*$E598/4)*(1-tax)</f>
        <v>1749.2157036486</v>
      </c>
      <c r="L577" s="13" t="n">
        <f aca="false">(L575+nonop_q+rf*$E598/4)*(1-tax)</f>
        <v>1752.58261124375</v>
      </c>
      <c r="M577" s="13" t="n">
        <f aca="false">(M575+nonop_q+rf*$E598/4)*(1-tax)</f>
        <v>1755.88198206701</v>
      </c>
      <c r="N577" s="13" t="n">
        <f aca="false">(N575+nonop_q+rf*$E598/4)*(1-tax)</f>
        <v>1776.7172792548</v>
      </c>
      <c r="O577" s="13" t="n">
        <f aca="false">(O575+nonop_q+rf*$F598/4)*(1-tax)</f>
        <v>1822.89344397559</v>
      </c>
      <c r="P577" s="13" t="n">
        <f aca="false">(P575+nonop_q+rf*$F598/4)*(1-tax)</f>
        <v>1860.45075788486</v>
      </c>
      <c r="Q577" s="13" t="n">
        <f aca="false">(Q575+nonop_q+rf*$F598/4)*(1-tax)</f>
        <v>1898.76679427378</v>
      </c>
      <c r="R577" s="13" t="n">
        <f aca="false">(R575+nonop_q+rf*$F598/4)*(1-tax)</f>
        <v>1875.43528925282</v>
      </c>
      <c r="T577" s="5" t="s">
        <v>479</v>
      </c>
    </row>
    <row r="578" customFormat="false" ht="17.15" hidden="false" customHeight="false" outlineLevel="0" collapsed="false">
      <c r="A578" s="5" t="s">
        <v>480</v>
      </c>
      <c r="B578" s="0" t="s">
        <v>108</v>
      </c>
      <c r="C578" s="17" t="n">
        <f aca="false">C577/(sh0+dil)*1000</f>
        <v>507.343332753891</v>
      </c>
      <c r="D578" s="17" t="n">
        <f aca="false">D577/(sh0+dil)*1000</f>
        <v>819.267314824616</v>
      </c>
      <c r="E578" s="17" t="n">
        <f aca="false">E577/(sh0+dil)*1000</f>
        <v>893.735019212079</v>
      </c>
      <c r="F578" s="17" t="n">
        <f aca="false">F577/(sh0+dil)*1000</f>
        <v>997.787619009819</v>
      </c>
      <c r="G578" s="17" t="n">
        <f aca="false">G577/(sh0+dil)*1000</f>
        <v>1065.9120963223</v>
      </c>
      <c r="H578" s="17" t="n">
        <f aca="false">H577/(sh0+dil)*1000</f>
        <v>1068.21087124587</v>
      </c>
      <c r="I578" s="17" t="n">
        <f aca="false">I577/(sh0+dil)*1000</f>
        <v>1043.93570762403</v>
      </c>
      <c r="J578" s="17" t="n">
        <f aca="false">J577/(sh0+dil)*1000</f>
        <v>1046.0420818002</v>
      </c>
      <c r="K578" s="17" t="n">
        <f aca="false">K577/(sh0+dil)*1000</f>
        <v>1053.73180336562</v>
      </c>
      <c r="L578" s="17" t="n">
        <f aca="false">L577/(sh0+dil)*1000</f>
        <v>1055.76003670734</v>
      </c>
      <c r="M578" s="17" t="n">
        <f aca="false">M577/(sh0+dil)*1000</f>
        <v>1057.74758573306</v>
      </c>
      <c r="N578" s="17" t="n">
        <f aca="false">N577/(sh0+dil)*1000</f>
        <v>1070.29881954234</v>
      </c>
      <c r="O578" s="17" t="n">
        <f aca="false">O577/(sh0+dil)*1000</f>
        <v>1098.11545371859</v>
      </c>
      <c r="P578" s="17" t="n">
        <f aca="false">P577/(sh0+dil)*1000</f>
        <v>1120.74007115864</v>
      </c>
      <c r="Q578" s="17" t="n">
        <f aca="false">Q577/(sh0+dil)*1000</f>
        <v>1143.82174486972</v>
      </c>
      <c r="R578" s="17" t="n">
        <f aca="false">R577/(sh0+dil)*1000</f>
        <v>1129.76678937756</v>
      </c>
    </row>
    <row r="580" customFormat="false" ht="17.15" hidden="false" customHeight="false" outlineLevel="0" collapsed="false">
      <c r="A580" s="12" t="s">
        <v>481</v>
      </c>
      <c r="B580" s="6" t="s">
        <v>17</v>
      </c>
      <c r="C580" s="12" t="s">
        <v>425</v>
      </c>
      <c r="D580" s="12" t="s">
        <v>426</v>
      </c>
      <c r="E580" s="12" t="s">
        <v>427</v>
      </c>
      <c r="F580" s="12" t="s">
        <v>428</v>
      </c>
      <c r="G580" s="12" t="s">
        <v>429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6" t="s">
        <v>330</v>
      </c>
    </row>
    <row r="581" customFormat="false" ht="17.15" hidden="false" customHeight="false" outlineLevel="0" collapsed="false">
      <c r="A581" s="5" t="s">
        <v>354</v>
      </c>
      <c r="B581" s="0" t="s">
        <v>27</v>
      </c>
      <c r="C581" s="13" t="n">
        <f aca="false">a25_rev</f>
        <v>2337.6</v>
      </c>
      <c r="D581" s="13" t="n">
        <f aca="false">SUM(C564:F564)</f>
        <v>9861.25414257431</v>
      </c>
      <c r="E581" s="13" t="n">
        <f aca="false">SUM(G564:J564)</f>
        <v>12399.7631810532</v>
      </c>
      <c r="F581" s="13" t="n">
        <f aca="false">SUM(K564:N564)</f>
        <v>12509.9801209115</v>
      </c>
      <c r="G581" s="13" t="n">
        <f aca="false">SUM(O564:R564)</f>
        <v>13168.9760846731</v>
      </c>
      <c r="T581" s="8" t="s">
        <v>482</v>
      </c>
    </row>
    <row r="582" customFormat="false" ht="17.15" hidden="false" customHeight="false" outlineLevel="0" collapsed="false">
      <c r="A582" s="5" t="s">
        <v>483</v>
      </c>
      <c r="B582" s="0" t="s">
        <v>27</v>
      </c>
      <c r="C582" s="13" t="n">
        <f aca="false">p1_ss+p2_ss+p3_ss+p4_ss</f>
        <v>1364.7</v>
      </c>
      <c r="D582" s="13" t="n">
        <f aca="false">SUM(C565:F565)</f>
        <v>6516.84173409904</v>
      </c>
      <c r="E582" s="13" t="n">
        <f aca="false">SUM(G565:J565)</f>
        <v>8431.83896311616</v>
      </c>
      <c r="F582" s="13" t="n">
        <f aca="false">SUM(K565:N565)</f>
        <v>8756.98608463807</v>
      </c>
      <c r="G582" s="13" t="n">
        <f aca="false">SUM(O565:R565)</f>
        <v>9218.28325927117</v>
      </c>
    </row>
    <row r="583" customFormat="false" ht="17.15" hidden="false" customHeight="false" outlineLevel="0" collapsed="false">
      <c r="A583" s="0" t="s">
        <v>484</v>
      </c>
      <c r="B583" s="0" t="s">
        <v>27</v>
      </c>
      <c r="C583" s="13" t="n">
        <f aca="false">C582*(0.75*Units!C16+0.25*Units!D16)</f>
        <v>507.679569396364</v>
      </c>
      <c r="D583" s="13" t="n">
        <f aca="false">SUM(C566:F566)</f>
        <v>3813.48331392765</v>
      </c>
      <c r="E583" s="13" t="n">
        <f aca="false">SUM(G566:J566)</f>
        <v>5809.33026284196</v>
      </c>
      <c r="F583" s="13" t="n">
        <f aca="false">SUM(K566:N566)</f>
        <v>6390.85985817728</v>
      </c>
      <c r="G583" s="13" t="n">
        <f aca="false">SUM(O566:R566)</f>
        <v>7025.78491807603</v>
      </c>
    </row>
    <row r="584" customFormat="false" ht="15" hidden="false" customHeight="false" outlineLevel="0" collapsed="false">
      <c r="A584" s="5" t="s">
        <v>485</v>
      </c>
      <c r="B584" s="0" t="s">
        <v>27</v>
      </c>
      <c r="C584" s="13" t="n">
        <f aca="false">p1_sd+p2_sd+p3_sd+p4_sd</f>
        <v>759.5</v>
      </c>
      <c r="D584" s="13" t="n">
        <f aca="false">SUM(C569:F569)</f>
        <v>2953.94624277229</v>
      </c>
      <c r="E584" s="13" t="n">
        <f aca="false">SUM(G569:J569)</f>
        <v>3471.93369069489</v>
      </c>
      <c r="F584" s="13" t="n">
        <f aca="false">SUM(K569:N569)</f>
        <v>3252.594831437</v>
      </c>
      <c r="G584" s="13" t="n">
        <f aca="false">SUM(O569:R569)</f>
        <v>3423.93378201501</v>
      </c>
    </row>
    <row r="585" customFormat="false" ht="17.15" hidden="false" customHeight="false" outlineLevel="0" collapsed="false">
      <c r="A585" s="5" t="s">
        <v>486</v>
      </c>
      <c r="B585" s="0" t="s">
        <v>27</v>
      </c>
      <c r="C585" s="13" t="n">
        <f aca="false">a25_rev-C582-C584</f>
        <v>213.4</v>
      </c>
      <c r="D585" s="13" t="n">
        <f aca="false">SUM(C568:F568)</f>
        <v>390.466165702972</v>
      </c>
      <c r="E585" s="13" t="n">
        <f aca="false">SUM(G568:J568)</f>
        <v>495.990527242127</v>
      </c>
      <c r="F585" s="13" t="n">
        <f aca="false">SUM(K568:N568)</f>
        <v>500.399204836461</v>
      </c>
      <c r="G585" s="13" t="n">
        <f aca="false">SUM(O568:R568)</f>
        <v>526.759043386924</v>
      </c>
      <c r="T585" s="8" t="s">
        <v>487</v>
      </c>
    </row>
    <row r="586" customFormat="false" ht="15" hidden="false" customHeight="false" outlineLevel="0" collapsed="false">
      <c r="A586" s="5" t="s">
        <v>488</v>
      </c>
      <c r="B586" s="0" t="s">
        <v>27</v>
      </c>
      <c r="C586" s="18" t="n">
        <f aca="false">C582+C584+C585-C581</f>
        <v>0</v>
      </c>
      <c r="D586" s="18" t="n">
        <f aca="false">D582+D584+D585-D581</f>
        <v>0</v>
      </c>
      <c r="E586" s="18" t="n">
        <f aca="false">E582+E584+E585-E581</f>
        <v>0</v>
      </c>
      <c r="F586" s="18" t="n">
        <f aca="false">F582+F584+F585-F581</f>
        <v>0</v>
      </c>
      <c r="G586" s="18" t="n">
        <f aca="false">G582+G584+G585-G581</f>
        <v>0</v>
      </c>
    </row>
    <row r="587" customFormat="false" ht="15" hidden="false" customHeight="false" outlineLevel="0" collapsed="false">
      <c r="A587" s="5" t="s">
        <v>475</v>
      </c>
      <c r="B587" s="0" t="s">
        <v>27</v>
      </c>
      <c r="C587" s="13" t="n">
        <f aca="false">a25_rev-(p1_gp+p2_gp+p3_gp+p4_gp)</f>
        <v>1324.8</v>
      </c>
      <c r="D587" s="13" t="n">
        <f aca="false">SUM(C572:F572)</f>
        <v>1648.87183128657</v>
      </c>
      <c r="E587" s="13" t="n">
        <f aca="false">SUM(G572:J572)</f>
        <v>1774.78243859574</v>
      </c>
      <c r="F587" s="13" t="n">
        <f aca="false">SUM(K572:N572)</f>
        <v>1900.70104032356</v>
      </c>
      <c r="G587" s="13" t="n">
        <f aca="false">SUM(O572:R572)</f>
        <v>1974.70899095458</v>
      </c>
    </row>
    <row r="588" customFormat="false" ht="15" hidden="false" customHeight="false" outlineLevel="0" collapsed="false">
      <c r="A588" s="5" t="s">
        <v>360</v>
      </c>
      <c r="B588" s="0" t="s">
        <v>145</v>
      </c>
      <c r="C588" s="14" t="n">
        <f aca="false">1-C587/C581</f>
        <v>0.433264887063655</v>
      </c>
      <c r="D588" s="14" t="n">
        <f aca="false">1-D587/D581</f>
        <v>0.832792887451521</v>
      </c>
      <c r="E588" s="14" t="n">
        <f aca="false">1-E587/E581</f>
        <v>0.85686965043755</v>
      </c>
      <c r="F588" s="14" t="n">
        <f aca="false">1-F587/F581</f>
        <v>0.84806522296975</v>
      </c>
      <c r="G588" s="14" t="n">
        <f aca="false">1-G587/G581</f>
        <v>0.850048403288326</v>
      </c>
    </row>
    <row r="589" customFormat="false" ht="15" hidden="false" customHeight="false" outlineLevel="0" collapsed="false">
      <c r="A589" s="5" t="s">
        <v>477</v>
      </c>
      <c r="B589" s="0" t="s">
        <v>27</v>
      </c>
      <c r="D589" s="13" t="n">
        <f aca="false">SUM(C574:F574)</f>
        <v>300.868554701679</v>
      </c>
      <c r="E589" s="13" t="n">
        <f aca="false">SUM(G574:J574)</f>
        <v>289.865817943529</v>
      </c>
      <c r="F589" s="13" t="n">
        <f aca="false">SUM(K574:N574)</f>
        <v>296.257212172943</v>
      </c>
      <c r="G589" s="13" t="n">
        <f aca="false">SUM(O574:R574)</f>
        <v>314.042892423645</v>
      </c>
    </row>
    <row r="590" customFormat="false" ht="15" hidden="false" customHeight="false" outlineLevel="0" collapsed="false">
      <c r="A590" s="5" t="s">
        <v>358</v>
      </c>
      <c r="B590" s="0" t="s">
        <v>27</v>
      </c>
      <c r="C590" s="13" t="n">
        <f aca="false">p1_op+p2_op+p3_op+p4_op</f>
        <v>869</v>
      </c>
      <c r="D590" s="13" t="n">
        <f aca="false">SUM(C575:F575)</f>
        <v>7911.51375658605</v>
      </c>
      <c r="E590" s="13" t="n">
        <f aca="false">SUM(G575:J575)</f>
        <v>10335.1149245139</v>
      </c>
      <c r="F590" s="13" t="n">
        <f aca="false">SUM(K575:N575)</f>
        <v>10313.021868415</v>
      </c>
      <c r="G590" s="13" t="n">
        <f aca="false">SUM(O575:R575)</f>
        <v>10880.2242012949</v>
      </c>
    </row>
    <row r="591" customFormat="false" ht="15" hidden="false" customHeight="false" outlineLevel="0" collapsed="false">
      <c r="A591" s="5" t="s">
        <v>361</v>
      </c>
      <c r="B591" s="0" t="s">
        <v>145</v>
      </c>
      <c r="C591" s="14" t="n">
        <f aca="false">C590/C581</f>
        <v>0.371748802190281</v>
      </c>
      <c r="D591" s="14" t="n">
        <f aca="false">D590/D581</f>
        <v>0.802282715991409</v>
      </c>
      <c r="E591" s="14" t="n">
        <f aca="false">E590/E581</f>
        <v>0.833492928341241</v>
      </c>
      <c r="F591" s="14" t="n">
        <f aca="false">F590/F581</f>
        <v>0.824383553669755</v>
      </c>
      <c r="G591" s="14" t="n">
        <f aca="false">G590/G581</f>
        <v>0.826201227137012</v>
      </c>
    </row>
    <row r="592" customFormat="false" ht="15" hidden="false" customHeight="false" outlineLevel="0" collapsed="false">
      <c r="A592" s="5" t="s">
        <v>359</v>
      </c>
      <c r="B592" s="0" t="s">
        <v>27</v>
      </c>
      <c r="C592" s="13" t="n">
        <f aca="false">a25_ni</f>
        <v>554.5</v>
      </c>
      <c r="D592" s="13" t="n">
        <f aca="false">SUM(C577:F577)</f>
        <v>5342.16511447852</v>
      </c>
      <c r="E592" s="13" t="n">
        <f aca="false">SUM(G577:J577)</f>
        <v>7012.09107889222</v>
      </c>
      <c r="F592" s="13" t="n">
        <f aca="false">SUM(K577:N577)</f>
        <v>7034.39757621416</v>
      </c>
      <c r="G592" s="13" t="n">
        <f aca="false">SUM(O577:R577)</f>
        <v>7457.54628538706</v>
      </c>
    </row>
    <row r="593" customFormat="false" ht="15" hidden="false" customHeight="false" outlineLevel="0" collapsed="false">
      <c r="A593" s="5" t="s">
        <v>489</v>
      </c>
      <c r="B593" s="0" t="s">
        <v>27</v>
      </c>
      <c r="D593" s="13" t="n">
        <f aca="false">da_y</f>
        <v>320</v>
      </c>
      <c r="E593" s="13" t="n">
        <f aca="false">da_y</f>
        <v>320</v>
      </c>
      <c r="F593" s="13" t="n">
        <f aca="false">da_y</f>
        <v>320</v>
      </c>
      <c r="G593" s="13" t="n">
        <f aca="false">da_y</f>
        <v>320</v>
      </c>
    </row>
    <row r="594" customFormat="false" ht="15" hidden="false" customHeight="false" outlineLevel="0" collapsed="false">
      <c r="A594" s="5" t="s">
        <v>490</v>
      </c>
      <c r="B594" s="0" t="s">
        <v>27</v>
      </c>
      <c r="D594" s="13" t="n">
        <f aca="false">cap_2026</f>
        <v>450</v>
      </c>
      <c r="E594" s="13" t="n">
        <f aca="false">cap_2027</f>
        <v>470</v>
      </c>
      <c r="F594" s="13" t="n">
        <f aca="false">cap_2028</f>
        <v>470</v>
      </c>
      <c r="G594" s="13" t="n">
        <f aca="false">cap_2029</f>
        <v>470</v>
      </c>
    </row>
    <row r="595" customFormat="false" ht="15" hidden="false" customHeight="false" outlineLevel="0" collapsed="false">
      <c r="A595" s="5" t="s">
        <v>491</v>
      </c>
      <c r="B595" s="0" t="s">
        <v>27</v>
      </c>
      <c r="D595" s="13" t="n">
        <f aca="false">D592+D593-D594</f>
        <v>5212.16511447852</v>
      </c>
      <c r="E595" s="13" t="n">
        <f aca="false">E592+E593-E594</f>
        <v>6862.09107889222</v>
      </c>
      <c r="F595" s="13" t="n">
        <f aca="false">F592+F593-F594</f>
        <v>6884.39757621416</v>
      </c>
      <c r="G595" s="13" t="n">
        <f aca="false">G592+G593-G594</f>
        <v>7307.54628538706</v>
      </c>
    </row>
    <row r="596" customFormat="false" ht="17.15" hidden="false" customHeight="false" outlineLevel="0" collapsed="false">
      <c r="A596" s="5" t="s">
        <v>492</v>
      </c>
      <c r="B596" s="0" t="s">
        <v>27</v>
      </c>
      <c r="D596" s="13" t="n">
        <f aca="false">MAX(0,payout*(SUM(D577:F577)+0.75*(D593-D594)))</f>
        <v>880.493022895703</v>
      </c>
      <c r="E596" s="13" t="n">
        <f aca="false">MAX(0,payout*E595)</f>
        <v>1372.41821577844</v>
      </c>
      <c r="F596" s="13" t="n">
        <f aca="false">MAX(0,payout*F595)</f>
        <v>1376.87951524283</v>
      </c>
      <c r="G596" s="13" t="n">
        <f aca="false">MAX(0,payout*G595)</f>
        <v>1461.50925707741</v>
      </c>
      <c r="T596" s="8" t="s">
        <v>493</v>
      </c>
    </row>
    <row r="597" customFormat="false" ht="17.15" hidden="false" customHeight="false" outlineLevel="0" collapsed="false">
      <c r="A597" s="5" t="s">
        <v>494</v>
      </c>
      <c r="B597" s="0" t="s">
        <v>27</v>
      </c>
      <c r="C597" s="13" t="n">
        <f aca="false">eq25</f>
        <v>1399.1</v>
      </c>
      <c r="D597" s="13" t="n">
        <f aca="false">eq_j+SUM(D577:F577)-D596</f>
        <v>6023.77209158281</v>
      </c>
      <c r="E597" s="13" t="n">
        <f aca="false">D597+E592-E596</f>
        <v>11663.4449546966</v>
      </c>
      <c r="F597" s="13" t="n">
        <f aca="false">E597+F592-F596</f>
        <v>17320.9630156679</v>
      </c>
      <c r="G597" s="13" t="n">
        <f aca="false">F597+G592-G596</f>
        <v>23317.0000439776</v>
      </c>
      <c r="T597" s="8" t="s">
        <v>495</v>
      </c>
    </row>
    <row r="598" customFormat="false" ht="15" hidden="false" customHeight="false" outlineLevel="0" collapsed="false">
      <c r="A598" s="5" t="s">
        <v>496</v>
      </c>
      <c r="B598" s="0" t="s">
        <v>27</v>
      </c>
      <c r="D598" s="13" t="n">
        <f aca="false">nc_j+(SUM(D577:F577)+0.75*(D593-D594))-D596</f>
        <v>3678.37209158281</v>
      </c>
      <c r="E598" s="13" t="n">
        <f aca="false">D598+E595-E596</f>
        <v>9168.04495469659</v>
      </c>
      <c r="F598" s="13" t="n">
        <f aca="false">E598+F595-F596</f>
        <v>14675.5630156679</v>
      </c>
      <c r="G598" s="13" t="n">
        <f aca="false">F598+G595-G596</f>
        <v>20521.6000439776</v>
      </c>
    </row>
    <row r="599" customFormat="false" ht="15" hidden="false" customHeight="false" outlineLevel="0" collapsed="false">
      <c r="A599" s="5" t="s">
        <v>497</v>
      </c>
      <c r="B599" s="5" t="s">
        <v>209</v>
      </c>
      <c r="D599" s="13" t="n">
        <f aca="false">sh0-D596/bb_px*1000</f>
        <v>1575.01270875533</v>
      </c>
      <c r="E599" s="13" t="n">
        <f aca="false">D599-E596/bb_px*1000</f>
        <v>1467.41425985071</v>
      </c>
      <c r="F599" s="13" t="n">
        <f aca="false">E599-F596/bb_px*1000</f>
        <v>1359.46604226993</v>
      </c>
      <c r="G599" s="13" t="n">
        <f aca="false">F599-G596/bb_px*1000</f>
        <v>1244.88279984913</v>
      </c>
    </row>
    <row r="600" customFormat="false" ht="17.15" hidden="false" customHeight="false" outlineLevel="0" collapsed="false">
      <c r="A600" s="0" t="s">
        <v>498</v>
      </c>
      <c r="B600" s="0" t="s">
        <v>108</v>
      </c>
      <c r="C600" s="17" t="n">
        <f aca="false">a25_eps</f>
        <v>341.4</v>
      </c>
      <c r="D600" s="17" t="n">
        <f aca="false">D592/(D599+dil)*1000</f>
        <v>3357.7644647861</v>
      </c>
      <c r="E600" s="17" t="n">
        <f aca="false">E592/(E599+dil)*1000</f>
        <v>4727.07122356004</v>
      </c>
      <c r="F600" s="17" t="n">
        <f aca="false">F592/(F599+dil)*1000</f>
        <v>5114.28160472525</v>
      </c>
      <c r="G600" s="17" t="n">
        <f aca="false">G592/(G599+dil)*1000</f>
        <v>5914.65650347555</v>
      </c>
    </row>
    <row r="601" customFormat="false" ht="17.15" hidden="false" customHeight="false" outlineLevel="0" collapsed="false">
      <c r="A601" s="5" t="s">
        <v>499</v>
      </c>
      <c r="B601" s="0" t="s">
        <v>108</v>
      </c>
      <c r="D601" s="17" t="n">
        <f aca="false">D597/D599*1000</f>
        <v>3824.5863402227</v>
      </c>
      <c r="E601" s="17" t="n">
        <f aca="false">E597/E599*1000</f>
        <v>7948.29740572588</v>
      </c>
      <c r="F601" s="17" t="n">
        <f aca="false">F597/F599*1000</f>
        <v>12741.0045393607</v>
      </c>
      <c r="G601" s="17" t="n">
        <f aca="false">G597/G599*1000</f>
        <v>18730.2772974319</v>
      </c>
    </row>
    <row r="602" customFormat="false" ht="17.15" hidden="false" customHeight="false" outlineLevel="0" collapsed="false">
      <c r="A602" s="0" t="s">
        <v>500</v>
      </c>
      <c r="B602" s="0" t="s">
        <v>145</v>
      </c>
      <c r="D602" s="21" t="n">
        <f aca="false">D592/D597</f>
        <v>0.886847150466279</v>
      </c>
      <c r="E602" s="21" t="n">
        <f aca="false">E592/E597</f>
        <v>0.601202398273301</v>
      </c>
      <c r="F602" s="21" t="n">
        <f aca="false">F592/F597</f>
        <v>0.406120466272637</v>
      </c>
      <c r="G602" s="21" t="n">
        <f aca="false">G592/G597</f>
        <v>0.319833009020096</v>
      </c>
    </row>
    <row r="603" customFormat="false" ht="15" hidden="false" customHeight="false" outlineLevel="0" collapsed="false">
      <c r="A603" s="5" t="s">
        <v>501</v>
      </c>
      <c r="B603" s="0" t="s">
        <v>108</v>
      </c>
      <c r="E603" s="17" t="n">
        <f aca="false">E595/(E599+dil)*1000</f>
        <v>4625.95150398475</v>
      </c>
      <c r="F603" s="17" t="n">
        <f aca="false">F595/(F599+dil)*1000</f>
        <v>5005.22574992075</v>
      </c>
      <c r="G603" s="17" t="n">
        <f aca="false">G595/(G599+dil)*1000</f>
        <v>5795.68996386992</v>
      </c>
    </row>
    <row r="604" customFormat="false" ht="17.15" hidden="false" customHeight="false" outlineLevel="0" collapsed="false">
      <c r="A604" s="5" t="s">
        <v>502</v>
      </c>
      <c r="B604" s="0" t="s">
        <v>27</v>
      </c>
      <c r="D604" s="18" t="n">
        <f aca="false">ABS(C564-q1_rev)+ABS(D575-g2_op)+ABS(C581-2337.6)</f>
        <v>0</v>
      </c>
    </row>
    <row r="610" customFormat="false" ht="17.15" hidden="false" customHeight="false" outlineLevel="0" collapsed="false">
      <c r="A610" s="3" t="s">
        <v>828</v>
      </c>
    </row>
    <row r="611" customFormat="false" ht="17.15" hidden="false" customHeight="false" outlineLevel="0" collapsed="false">
      <c r="A611" s="12" t="s">
        <v>442</v>
      </c>
      <c r="B611" s="6" t="s">
        <v>17</v>
      </c>
      <c r="C611" s="12" t="s">
        <v>443</v>
      </c>
      <c r="D611" s="12" t="s">
        <v>444</v>
      </c>
      <c r="E611" s="12" t="s">
        <v>445</v>
      </c>
      <c r="F611" s="12" t="s">
        <v>446</v>
      </c>
      <c r="G611" s="12" t="s">
        <v>447</v>
      </c>
      <c r="H611" s="12" t="s">
        <v>448</v>
      </c>
      <c r="I611" s="12" t="s">
        <v>449</v>
      </c>
      <c r="J611" s="12" t="s">
        <v>450</v>
      </c>
      <c r="K611" s="12" t="s">
        <v>451</v>
      </c>
      <c r="L611" s="12" t="s">
        <v>452</v>
      </c>
      <c r="M611" s="12" t="s">
        <v>453</v>
      </c>
      <c r="N611" s="12" t="s">
        <v>454</v>
      </c>
      <c r="O611" s="12" t="s">
        <v>455</v>
      </c>
      <c r="P611" s="12" t="s">
        <v>456</v>
      </c>
      <c r="Q611" s="12" t="s">
        <v>457</v>
      </c>
      <c r="R611" s="12" t="s">
        <v>458</v>
      </c>
      <c r="S611" s="12"/>
      <c r="T611" s="6" t="s">
        <v>330</v>
      </c>
    </row>
    <row r="612" customFormat="false" ht="17.15" hidden="false" customHeight="false" outlineLevel="0" collapsed="false">
      <c r="A612" s="5" t="s">
        <v>459</v>
      </c>
      <c r="B612" s="0" t="s">
        <v>391</v>
      </c>
      <c r="C612" s="19" t="n">
        <f aca="false">Units!H4*1</f>
        <v>10.72</v>
      </c>
      <c r="D612" s="19" t="n">
        <f aca="false">Units!I4*1</f>
        <v>14.9513168749304</v>
      </c>
      <c r="E612" s="19" t="n">
        <f aca="false">Units!J4*1*1</f>
        <v>16.2035648188888</v>
      </c>
      <c r="F612" s="19" t="n">
        <f aca="false">Units!K4*1*1</f>
        <v>17.8543449815733</v>
      </c>
      <c r="G612" s="19" t="n">
        <f aca="false">Units!L4*1*1</f>
        <v>18.8786713110699</v>
      </c>
      <c r="H612" s="19" t="n">
        <f aca="false">Units!M4*1*1</f>
        <v>18.9636763094518</v>
      </c>
      <c r="I612" s="19" t="n">
        <f aca="false">Units!N4*1*1</f>
        <v>18.6480311322868</v>
      </c>
      <c r="J612" s="19" t="n">
        <f aca="false">Units!O4*1*1</f>
        <v>18.7319976270738</v>
      </c>
      <c r="K612" s="19" t="n">
        <f aca="false">Units!P4*1*1</f>
        <v>18.8163421978194</v>
      </c>
      <c r="L612" s="19" t="n">
        <f aca="false">Units!Q4*1*1</f>
        <v>18.9010665468864</v>
      </c>
      <c r="M612" s="19" t="n">
        <f aca="false">Units!R4*1*1</f>
        <v>18.9861723843027</v>
      </c>
      <c r="N612" s="19" t="n">
        <f aca="false">Units!S4*1*1</f>
        <v>19.1874193215442</v>
      </c>
      <c r="O612" s="19" t="n">
        <f aca="false">Units!T4*1*1</f>
        <v>19.5604237366471</v>
      </c>
      <c r="P612" s="19" t="n">
        <f aca="false">Units!U4*1*1</f>
        <v>19.9406793766988</v>
      </c>
      <c r="Q612" s="19" t="n">
        <f aca="false">Units!V4*1*1</f>
        <v>20.3283272058839</v>
      </c>
      <c r="R612" s="19" t="n">
        <f aca="false">Units!W4*1*1</f>
        <v>20.0593273219312</v>
      </c>
      <c r="T612" s="8" t="s">
        <v>460</v>
      </c>
    </row>
    <row r="613" customFormat="false" ht="15" hidden="false" customHeight="false" outlineLevel="0" collapsed="false">
      <c r="A613" s="5" t="s">
        <v>461</v>
      </c>
      <c r="B613" s="0" t="s">
        <v>398</v>
      </c>
      <c r="C613" s="19" t="n">
        <f aca="false">Units!H7*1</f>
        <v>40.1757580440862</v>
      </c>
      <c r="D613" s="19" t="n">
        <f aca="false">Units!I7*1</f>
        <v>44.8269021796765</v>
      </c>
      <c r="E613" s="19" t="n">
        <f aca="false">Units!J7*1</f>
        <v>44.9411476117569</v>
      </c>
      <c r="F613" s="19" t="n">
        <f aca="false">Units!K7*1</f>
        <v>48.0773237904583</v>
      </c>
      <c r="G613" s="19" t="n">
        <f aca="false">Units!L7*1</f>
        <v>50.835580599158</v>
      </c>
      <c r="H613" s="19" t="n">
        <f aca="false">Units!M7*1</f>
        <v>53.7520820858664</v>
      </c>
      <c r="I613" s="19" t="n">
        <f aca="false">Units!N7*1</f>
        <v>56.8359069476934</v>
      </c>
      <c r="J613" s="19" t="n">
        <f aca="false">Units!O7*1</f>
        <v>60.0966547380729</v>
      </c>
      <c r="K613" s="19" t="n">
        <f aca="false">Units!P7*1</f>
        <v>63.5444757489475</v>
      </c>
      <c r="L613" s="19" t="n">
        <f aca="false">Units!Q7*1</f>
        <v>67.190102607333</v>
      </c>
      <c r="M613" s="19" t="n">
        <f aca="false">Units!R7*1</f>
        <v>71.0448836846168</v>
      </c>
      <c r="N613" s="19" t="n">
        <f aca="false">Units!S7*1</f>
        <v>74.0184898623123</v>
      </c>
      <c r="O613" s="19" t="n">
        <f aca="false">Units!T7*1</f>
        <v>77.7911475249602</v>
      </c>
      <c r="P613" s="19" t="n">
        <f aca="false">Units!U7*1</f>
        <v>81.7560942476254</v>
      </c>
      <c r="Q613" s="19" t="n">
        <f aca="false">Units!V7*1</f>
        <v>85.9231308354458</v>
      </c>
      <c r="R613" s="19" t="n">
        <f aca="false">Units!W7*1</f>
        <v>87.5395173614874</v>
      </c>
    </row>
    <row r="614" customFormat="false" ht="17.15" hidden="false" customHeight="false" outlineLevel="0" collapsed="false">
      <c r="A614" s="5" t="s">
        <v>354</v>
      </c>
      <c r="B614" s="0" t="s">
        <v>27</v>
      </c>
      <c r="C614" s="13" t="n">
        <f aca="false">q1_rev</f>
        <v>1767.1</v>
      </c>
      <c r="D614" s="13" t="n">
        <f aca="false">g2_rev</f>
        <v>2480</v>
      </c>
      <c r="E614" s="13" t="n">
        <f aca="false">E612*kx_k*fx</f>
        <v>2671.01859994948</v>
      </c>
      <c r="F614" s="13" t="n">
        <f aca="false">F612*kx_k*fx</f>
        <v>2943.13554262483</v>
      </c>
      <c r="G614" s="13" t="n">
        <f aca="false">G612*kx_k*fx</f>
        <v>3111.98694718205</v>
      </c>
      <c r="H614" s="13" t="n">
        <f aca="false">H612*kx_k*fx</f>
        <v>3125.9992916448</v>
      </c>
      <c r="I614" s="13" t="n">
        <f aca="false">I612*kx_k*fx</f>
        <v>3073.96789308433</v>
      </c>
      <c r="J614" s="13" t="n">
        <f aca="false">J612*kx_k*fx</f>
        <v>3087.80904914199</v>
      </c>
      <c r="K614" s="13" t="n">
        <f aca="false">K612*kx_k*fx</f>
        <v>3101.71252777674</v>
      </c>
      <c r="L614" s="13" t="n">
        <f aca="false">L612*kx_k*fx</f>
        <v>3115.67860960848</v>
      </c>
      <c r="M614" s="13" t="n">
        <f aca="false">M612*kx_k*fx</f>
        <v>3129.70757652064</v>
      </c>
      <c r="N614" s="13" t="n">
        <f aca="false">N612*kx_k*fx</f>
        <v>3162.88140700567</v>
      </c>
      <c r="O614" s="13" t="n">
        <f aca="false">O612*kx_k*fx</f>
        <v>3224.36798367809</v>
      </c>
      <c r="P614" s="13" t="n">
        <f aca="false">P612*kx_k*fx</f>
        <v>3287.04986255265</v>
      </c>
      <c r="Q614" s="13" t="n">
        <f aca="false">Q612*kx_k*fx</f>
        <v>3350.95028036543</v>
      </c>
      <c r="R614" s="13" t="n">
        <f aca="false">R612*kx_k*fx</f>
        <v>3306.60795807692</v>
      </c>
      <c r="T614" s="5" t="s">
        <v>462</v>
      </c>
    </row>
    <row r="615" customFormat="false" ht="17.15" hidden="false" customHeight="false" outlineLevel="0" collapsed="false">
      <c r="A615" s="0" t="s">
        <v>463</v>
      </c>
      <c r="B615" s="0" t="s">
        <v>27</v>
      </c>
      <c r="C615" s="13" t="n">
        <f aca="false">q1_ss</f>
        <v>1174.7</v>
      </c>
      <c r="D615" s="13" t="n">
        <f aca="false">D614*sssh_26</f>
        <v>1636.8</v>
      </c>
      <c r="E615" s="13" t="n">
        <f aca="false">E614*sssh_26</f>
        <v>1762.87227596666</v>
      </c>
      <c r="F615" s="13" t="n">
        <f aca="false">F614*sssh_26</f>
        <v>1942.46945813239</v>
      </c>
      <c r="G615" s="13" t="n">
        <f aca="false">G614*sssh_27</f>
        <v>2116.1511240838</v>
      </c>
      <c r="H615" s="13" t="n">
        <f aca="false">H614*sssh_27</f>
        <v>2125.67951831847</v>
      </c>
      <c r="I615" s="13" t="n">
        <f aca="false">I614*sssh_27</f>
        <v>2090.29816729734</v>
      </c>
      <c r="J615" s="13" t="n">
        <f aca="false">J614*sssh_27</f>
        <v>2099.71015341655</v>
      </c>
      <c r="K615" s="13" t="n">
        <f aca="false">K614*sssh_28</f>
        <v>2171.19876944372</v>
      </c>
      <c r="L615" s="13" t="n">
        <f aca="false">L614*sssh_28</f>
        <v>2180.97502672594</v>
      </c>
      <c r="M615" s="13" t="n">
        <f aca="false">M614*sssh_28</f>
        <v>2190.79530356445</v>
      </c>
      <c r="N615" s="13" t="n">
        <f aca="false">N614*sssh_28</f>
        <v>2214.01698490397</v>
      </c>
      <c r="O615" s="13" t="n">
        <f aca="false">O614*sssh_29</f>
        <v>2257.05758857466</v>
      </c>
      <c r="P615" s="13" t="n">
        <f aca="false">P614*sssh_29</f>
        <v>2300.93490378686</v>
      </c>
      <c r="Q615" s="13" t="n">
        <f aca="false">Q614*sssh_29</f>
        <v>2345.6651962558</v>
      </c>
      <c r="R615" s="13" t="n">
        <f aca="false">R614*sssh_29</f>
        <v>2314.62557065385</v>
      </c>
      <c r="T615" s="5" t="s">
        <v>464</v>
      </c>
    </row>
    <row r="616" customFormat="false" ht="17.15" hidden="false" customHeight="false" outlineLevel="0" collapsed="false">
      <c r="A616" s="0" t="s">
        <v>465</v>
      </c>
      <c r="B616" s="0" t="s">
        <v>27</v>
      </c>
      <c r="C616" s="13" t="n">
        <f aca="false">C615*(0.75*Units!D16+0.25*Units!E16)</f>
        <v>687.403351447223</v>
      </c>
      <c r="D616" s="13" t="n">
        <f aca="false">D615*(0.75*Units!D16+0.25*Units!E16)</f>
        <v>957.812041924589</v>
      </c>
      <c r="E616" s="13" t="n">
        <f aca="false">E615*(0.75*Units!D16+0.25*Units!E16)</f>
        <v>1031.58620130491</v>
      </c>
      <c r="F616" s="13" t="n">
        <f aca="false">F615*(0.75*Units!D16+0.25*Units!E16)</f>
        <v>1136.68171925094</v>
      </c>
      <c r="G616" s="13" t="n">
        <f aca="false">G615*(0.75*Units!E16+0.25*Units!F16)</f>
        <v>1457.97622792167</v>
      </c>
      <c r="H616" s="13" t="n">
        <f aca="false">H615*(0.75*Units!E16+0.25*Units!F16)</f>
        <v>1464.54105787464</v>
      </c>
      <c r="I616" s="13" t="n">
        <f aca="false">I615*(0.75*Units!E16+0.25*Units!F16)</f>
        <v>1440.16417471471</v>
      </c>
      <c r="J616" s="13" t="n">
        <f aca="false">J615*(0.75*Units!E16+0.25*Units!F16)</f>
        <v>1446.64880233093</v>
      </c>
      <c r="K616" s="13" t="n">
        <f aca="false">K615*(0.75*Units!F16+0.25*Units!G16)</f>
        <v>1584.5436918192</v>
      </c>
      <c r="L616" s="13" t="n">
        <f aca="false">L615*(0.75*Units!F16+0.25*Units!G16)</f>
        <v>1591.67841712586</v>
      </c>
      <c r="M616" s="13" t="n">
        <f aca="false">M615*(0.75*Units!F16+0.25*Units!G16)</f>
        <v>1598.84526796208</v>
      </c>
      <c r="N616" s="13" t="n">
        <f aca="false">N615*(0.75*Units!F16+0.25*Units!G16)</f>
        <v>1615.79248127014</v>
      </c>
      <c r="O616" s="13" t="n">
        <f aca="false">O615*(0.75*Units!G16+0.25*Units!H16)</f>
        <v>1720.23366162982</v>
      </c>
      <c r="P616" s="13" t="n">
        <f aca="false">P615*(0.75*Units!G16+0.25*Units!H16)</f>
        <v>1753.67509218615</v>
      </c>
      <c r="Q616" s="13" t="n">
        <f aca="false">Q615*(0.75*Units!G16+0.25*Units!H16)</f>
        <v>1787.76662586661</v>
      </c>
      <c r="R616" s="13" t="n">
        <f aca="false">R615*(0.75*Units!G16+0.25*Units!H16)</f>
        <v>1764.10953839345</v>
      </c>
      <c r="T616" s="5" t="s">
        <v>466</v>
      </c>
    </row>
    <row r="617" customFormat="false" ht="17.15" hidden="false" customHeight="false" outlineLevel="0" collapsed="false">
      <c r="A617" s="0" t="s">
        <v>467</v>
      </c>
      <c r="B617" s="0" t="s">
        <v>27</v>
      </c>
      <c r="C617" s="13" t="n">
        <f aca="false">C615-C616</f>
        <v>487.296648552777</v>
      </c>
      <c r="D617" s="13" t="n">
        <f aca="false">D615-D616</f>
        <v>678.987958075412</v>
      </c>
      <c r="E617" s="13" t="n">
        <f aca="false">E615-E616</f>
        <v>731.28607466175</v>
      </c>
      <c r="F617" s="13" t="n">
        <f aca="false">F615-F616</f>
        <v>805.787738881452</v>
      </c>
      <c r="G617" s="13" t="n">
        <f aca="false">G615-G616</f>
        <v>658.174896162131</v>
      </c>
      <c r="H617" s="13" t="n">
        <f aca="false">H615-H616</f>
        <v>661.138460443822</v>
      </c>
      <c r="I617" s="13" t="n">
        <f aca="false">I615-I616</f>
        <v>650.133992582631</v>
      </c>
      <c r="J617" s="13" t="n">
        <f aca="false">J615-J616</f>
        <v>653.061351085617</v>
      </c>
      <c r="K617" s="13" t="n">
        <f aca="false">K615-K616</f>
        <v>586.65507762452</v>
      </c>
      <c r="L617" s="13" t="n">
        <f aca="false">L615-L616</f>
        <v>589.296609600079</v>
      </c>
      <c r="M617" s="13" t="n">
        <f aca="false">M615-M616</f>
        <v>591.950035602373</v>
      </c>
      <c r="N617" s="13" t="n">
        <f aca="false">N615-N616</f>
        <v>598.224503633827</v>
      </c>
      <c r="O617" s="13" t="n">
        <f aca="false">O615-O616</f>
        <v>536.82392694484</v>
      </c>
      <c r="P617" s="13" t="n">
        <f aca="false">P615-P616</f>
        <v>547.259811600705</v>
      </c>
      <c r="Q617" s="13" t="n">
        <f aca="false">Q615-Q616</f>
        <v>557.898570389192</v>
      </c>
      <c r="R617" s="13" t="n">
        <f aca="false">R615-R616</f>
        <v>550.516032260396</v>
      </c>
    </row>
    <row r="618" customFormat="false" ht="17.15" hidden="false" customHeight="false" outlineLevel="0" collapsed="false">
      <c r="A618" s="5" t="s">
        <v>468</v>
      </c>
      <c r="B618" s="0" t="s">
        <v>27</v>
      </c>
      <c r="C618" s="13" t="n">
        <f aca="false">q1_rev-q1_ss-q1_sd</f>
        <v>66.6999999999998</v>
      </c>
      <c r="D618" s="13" t="n">
        <f aca="false">D614*otsh_26</f>
        <v>99.2</v>
      </c>
      <c r="E618" s="13" t="n">
        <f aca="false">E614*otsh_26</f>
        <v>106.840743997979</v>
      </c>
      <c r="F618" s="13" t="n">
        <f aca="false">F614*otsh_26</f>
        <v>117.725421704993</v>
      </c>
      <c r="G618" s="13" t="n">
        <f aca="false">G614*otsh_27</f>
        <v>124.479477887282</v>
      </c>
      <c r="H618" s="13" t="n">
        <f aca="false">H614*otsh_27</f>
        <v>125.039971665792</v>
      </c>
      <c r="I618" s="13" t="n">
        <f aca="false">I614*otsh_27</f>
        <v>122.958715723373</v>
      </c>
      <c r="J618" s="13" t="n">
        <f aca="false">J614*otsh_27</f>
        <v>123.51236196568</v>
      </c>
      <c r="K618" s="13" t="n">
        <f aca="false">K614*otsh_28</f>
        <v>124.06850111107</v>
      </c>
      <c r="L618" s="13" t="n">
        <f aca="false">L614*otsh_28</f>
        <v>124.627144384339</v>
      </c>
      <c r="M618" s="13" t="n">
        <f aca="false">M614*otsh_28</f>
        <v>125.188303060826</v>
      </c>
      <c r="N618" s="13" t="n">
        <f aca="false">N614*otsh_28</f>
        <v>126.515256280227</v>
      </c>
      <c r="O618" s="13" t="n">
        <f aca="false">O614*otsh_29</f>
        <v>128.974719347123</v>
      </c>
      <c r="P618" s="13" t="n">
        <f aca="false">P614*otsh_29</f>
        <v>131.481994502106</v>
      </c>
      <c r="Q618" s="13" t="n">
        <f aca="false">Q614*otsh_29</f>
        <v>134.038011214617</v>
      </c>
      <c r="R618" s="13" t="n">
        <f aca="false">R614*otsh_29</f>
        <v>132.264318323077</v>
      </c>
      <c r="T618" s="5" t="s">
        <v>469</v>
      </c>
    </row>
    <row r="619" customFormat="false" ht="17.15" hidden="false" customHeight="false" outlineLevel="0" collapsed="false">
      <c r="A619" s="5" t="s">
        <v>470</v>
      </c>
      <c r="B619" s="0" t="s">
        <v>27</v>
      </c>
      <c r="C619" s="13" t="n">
        <f aca="false">q1_sd</f>
        <v>525.7</v>
      </c>
      <c r="D619" s="13" t="n">
        <f aca="false">D614-D615-D618</f>
        <v>744</v>
      </c>
      <c r="E619" s="13" t="n">
        <f aca="false">E614-E615-E618</f>
        <v>801.305579984843</v>
      </c>
      <c r="F619" s="13" t="n">
        <f aca="false">F614-F615-F618</f>
        <v>882.940662787449</v>
      </c>
      <c r="G619" s="13" t="n">
        <f aca="false">G614-G615-G618</f>
        <v>871.356345210975</v>
      </c>
      <c r="H619" s="13" t="n">
        <f aca="false">H614-H615-H618</f>
        <v>875.279801660544</v>
      </c>
      <c r="I619" s="13" t="n">
        <f aca="false">I614-I615-I618</f>
        <v>860.711010063612</v>
      </c>
      <c r="J619" s="13" t="n">
        <f aca="false">J614-J615-J618</f>
        <v>864.586533759756</v>
      </c>
      <c r="K619" s="13" t="n">
        <f aca="false">K614-K615-K618</f>
        <v>806.445257221952</v>
      </c>
      <c r="L619" s="13" t="n">
        <f aca="false">L614-L615-L618</f>
        <v>810.076438498206</v>
      </c>
      <c r="M619" s="13" t="n">
        <f aca="false">M614-M615-M618</f>
        <v>813.723969895367</v>
      </c>
      <c r="N619" s="13" t="n">
        <f aca="false">N614-N615-N618</f>
        <v>822.349165821474</v>
      </c>
      <c r="O619" s="13" t="n">
        <f aca="false">O614-O615-O618</f>
        <v>838.335675756302</v>
      </c>
      <c r="P619" s="13" t="n">
        <f aca="false">P614-P615-P618</f>
        <v>854.63296426369</v>
      </c>
      <c r="Q619" s="13" t="n">
        <f aca="false">Q614-Q615-Q618</f>
        <v>871.247072895013</v>
      </c>
      <c r="R619" s="13" t="n">
        <f aca="false">R614-R615-R618</f>
        <v>859.7180691</v>
      </c>
      <c r="T619" s="5" t="s">
        <v>471</v>
      </c>
    </row>
    <row r="620" customFormat="false" ht="15" hidden="false" customHeight="false" outlineLevel="0" collapsed="false">
      <c r="A620" s="5" t="s">
        <v>472</v>
      </c>
      <c r="B620" s="0" t="s">
        <v>27</v>
      </c>
      <c r="C620" s="18" t="n">
        <f aca="false">C615+C619+C618-C614</f>
        <v>0</v>
      </c>
      <c r="D620" s="18" t="n">
        <f aca="false">D615+D619+D618-D614</f>
        <v>0</v>
      </c>
      <c r="E620" s="18" t="n">
        <f aca="false">E615+E619+E618-E614</f>
        <v>0</v>
      </c>
      <c r="F620" s="18" t="n">
        <f aca="false">F615+F619+F618-F614</f>
        <v>0</v>
      </c>
      <c r="G620" s="18" t="n">
        <f aca="false">G615+G619+G618-G614</f>
        <v>0</v>
      </c>
      <c r="H620" s="18" t="n">
        <f aca="false">H615+H619+H618-H614</f>
        <v>0</v>
      </c>
      <c r="I620" s="18" t="n">
        <f aca="false">I615+I619+I618-I614</f>
        <v>0</v>
      </c>
      <c r="J620" s="18" t="n">
        <f aca="false">J615+J619+J618-J614</f>
        <v>0</v>
      </c>
      <c r="K620" s="18" t="n">
        <f aca="false">K615+K619+K618-K614</f>
        <v>0</v>
      </c>
      <c r="L620" s="18" t="n">
        <f aca="false">L615+L619+L618-L614</f>
        <v>0</v>
      </c>
      <c r="M620" s="18" t="n">
        <f aca="false">M615+M619+M618-M614</f>
        <v>0</v>
      </c>
      <c r="N620" s="18" t="n">
        <f aca="false">N615+N619+N618-N614</f>
        <v>0</v>
      </c>
      <c r="O620" s="18" t="n">
        <f aca="false">O615+O619+O618-O614</f>
        <v>0</v>
      </c>
      <c r="P620" s="18" t="n">
        <f aca="false">P615+P619+P618-P614</f>
        <v>0</v>
      </c>
      <c r="Q620" s="18" t="n">
        <f aca="false">Q615+Q619+Q618-Q614</f>
        <v>0</v>
      </c>
      <c r="R620" s="18" t="n">
        <f aca="false">R615+R619+R618-R614</f>
        <v>0</v>
      </c>
    </row>
    <row r="621" customFormat="false" ht="17.15" hidden="false" customHeight="false" outlineLevel="0" collapsed="false">
      <c r="A621" s="5" t="s">
        <v>473</v>
      </c>
      <c r="B621" s="0" t="s">
        <v>474</v>
      </c>
      <c r="C621" s="20" t="n">
        <f aca="false">C622/C613</f>
        <v>9.63267449926724</v>
      </c>
      <c r="D621" s="20" t="n">
        <f aca="false">D622/D613</f>
        <v>9.50991434320605</v>
      </c>
      <c r="E621" s="20" t="n">
        <f aca="false">$D621*(1-cd_A)^(1/4)</f>
        <v>9.15801220601616</v>
      </c>
      <c r="F621" s="20" t="n">
        <f aca="false">$D621*(1-cd_A)^(2/4)</f>
        <v>8.81913175437355</v>
      </c>
      <c r="G621" s="20" t="n">
        <f aca="false">$D621*(1-cd_A)^(3/4)</f>
        <v>8.49279113756868</v>
      </c>
      <c r="H621" s="20" t="n">
        <f aca="false">$D621*(1-cd_A)^(4/4)</f>
        <v>8.1785263351572</v>
      </c>
      <c r="I621" s="20" t="n">
        <f aca="false">$D621*(1-cd_A)^(5/4)</f>
        <v>7.87589049717389</v>
      </c>
      <c r="J621" s="20" t="n">
        <f aca="false">$D621*(1-cd_A)^(6/4)</f>
        <v>7.58445330876125</v>
      </c>
      <c r="K621" s="20" t="n">
        <f aca="false">$D621*(1-cd_A)^(7/4)</f>
        <v>7.30380037830907</v>
      </c>
      <c r="L621" s="20" t="n">
        <f aca="false">$D621*(1-cd_A)^(8/4)</f>
        <v>7.03353264823519</v>
      </c>
      <c r="M621" s="20" t="n">
        <f aca="false">$D621*(1-cd_A)^(9/4)</f>
        <v>6.77326582756955</v>
      </c>
      <c r="N621" s="20" t="n">
        <f aca="false">$D621*(1-cd_A)^(10/4)</f>
        <v>6.52262984553468</v>
      </c>
      <c r="O621" s="20" t="n">
        <f aca="false">$D621*(1-cd_A)^(11/4)</f>
        <v>6.2812683253458</v>
      </c>
      <c r="P621" s="20" t="n">
        <f aca="false">$D621*(1-cd_A)^(12/4)</f>
        <v>6.04883807748227</v>
      </c>
      <c r="Q621" s="20" t="n">
        <f aca="false">$D621*(1-cd_A)^(13/4)</f>
        <v>5.82500861170981</v>
      </c>
      <c r="R621" s="20" t="n">
        <f aca="false">$D621*(1-cd_A)^(14/4)</f>
        <v>5.60946166715982</v>
      </c>
    </row>
    <row r="622" customFormat="false" ht="15" hidden="false" customHeight="false" outlineLevel="0" collapsed="false">
      <c r="A622" s="5" t="s">
        <v>475</v>
      </c>
      <c r="B622" s="0" t="s">
        <v>27</v>
      </c>
      <c r="C622" s="13" t="n">
        <f aca="false">q1_rev-q1_gp</f>
        <v>387</v>
      </c>
      <c r="D622" s="13" t="n">
        <f aca="false">g2_rev-g2_op-g2_ox</f>
        <v>426.3</v>
      </c>
      <c r="E622" s="13" t="n">
        <f aca="false">E613*E621</f>
        <v>411.571578380844</v>
      </c>
      <c r="F622" s="13" t="n">
        <f aca="false">F613*F621</f>
        <v>424.00025290573</v>
      </c>
      <c r="G622" s="13" t="n">
        <f aca="false">G613*G621</f>
        <v>431.735968385688</v>
      </c>
      <c r="H622" s="13" t="n">
        <f aca="false">H613*H621</f>
        <v>439.61281890879</v>
      </c>
      <c r="I622" s="13" t="n">
        <f aca="false">I613*I621</f>
        <v>447.633379427598</v>
      </c>
      <c r="J622" s="13" t="n">
        <f aca="false">J613*J621</f>
        <v>455.80027187366</v>
      </c>
      <c r="K622" s="13" t="n">
        <f aca="false">K613*K621</f>
        <v>464.116166014614</v>
      </c>
      <c r="L622" s="13" t="n">
        <f aca="false">L613*L621</f>
        <v>472.583780326949</v>
      </c>
      <c r="M622" s="13" t="n">
        <f aca="false">M613*M621</f>
        <v>481.205882884668</v>
      </c>
      <c r="N622" s="13" t="n">
        <f aca="false">N613*N621</f>
        <v>482.795211097324</v>
      </c>
      <c r="O622" s="13" t="n">
        <f aca="false">O613*O621</f>
        <v>488.627070940835</v>
      </c>
      <c r="P622" s="13" t="n">
        <f aca="false">P613*P621</f>
        <v>494.529375951265</v>
      </c>
      <c r="Q622" s="13" t="n">
        <f aca="false">Q613*Q621</f>
        <v>500.502977061541</v>
      </c>
      <c r="R622" s="13" t="n">
        <f aca="false">R613*R621</f>
        <v>491.049567000935</v>
      </c>
      <c r="T622" s="5" t="s">
        <v>476</v>
      </c>
    </row>
    <row r="623" customFormat="false" ht="15" hidden="false" customHeight="false" outlineLevel="0" collapsed="false">
      <c r="A623" s="5" t="s">
        <v>360</v>
      </c>
      <c r="B623" s="0" t="s">
        <v>145</v>
      </c>
      <c r="C623" s="14" t="n">
        <f aca="false">1-C622/C614</f>
        <v>0.780997113915455</v>
      </c>
      <c r="D623" s="14" t="n">
        <f aca="false">1-D622/D614</f>
        <v>0.828104838709677</v>
      </c>
      <c r="E623" s="14" t="n">
        <f aca="false">1-E622/E614</f>
        <v>0.845912125662986</v>
      </c>
      <c r="F623" s="14" t="n">
        <f aca="false">1-F622/F614</f>
        <v>0.855935872893035</v>
      </c>
      <c r="G623" s="14" t="n">
        <f aca="false">1-G622/G614</f>
        <v>0.861266780448218</v>
      </c>
      <c r="H623" s="14" t="n">
        <f aca="false">1-H622/H614</f>
        <v>0.859368868034042</v>
      </c>
      <c r="I623" s="14" t="n">
        <f aca="false">1-I622/I614</f>
        <v>0.854379292498577</v>
      </c>
      <c r="J623" s="14" t="n">
        <f aca="false">1-J622/J614</f>
        <v>0.852387157165592</v>
      </c>
      <c r="K623" s="14" t="n">
        <f aca="false">1-K622/K614</f>
        <v>0.850367768818574</v>
      </c>
      <c r="L623" s="14" t="n">
        <f aca="false">1-L622/L614</f>
        <v>0.848320754628048</v>
      </c>
      <c r="M623" s="14" t="n">
        <f aca="false">1-M622/M614</f>
        <v>0.846245736664115</v>
      </c>
      <c r="N623" s="14" t="n">
        <f aca="false">1-N622/N614</f>
        <v>0.847355891995207</v>
      </c>
      <c r="O623" s="14" t="n">
        <f aca="false">1-O622/O614</f>
        <v>0.848458031647042</v>
      </c>
      <c r="P623" s="14" t="n">
        <f aca="false">1-P622/P614</f>
        <v>0.849552213495409</v>
      </c>
      <c r="Q623" s="14" t="n">
        <f aca="false">1-Q622/Q614</f>
        <v>0.850638494998213</v>
      </c>
      <c r="R623" s="14" t="n">
        <f aca="false">1-R622/R614</f>
        <v>0.851494470095414</v>
      </c>
    </row>
    <row r="624" customFormat="false" ht="17.15" hidden="false" customHeight="false" outlineLevel="0" collapsed="false">
      <c r="A624" s="5" t="s">
        <v>477</v>
      </c>
      <c r="B624" s="0" t="s">
        <v>27</v>
      </c>
      <c r="C624" s="13" t="n">
        <f aca="false">q1_gp-q1_op</f>
        <v>110.1</v>
      </c>
      <c r="D624" s="13" t="n">
        <f aca="false">g2_ox</f>
        <v>59</v>
      </c>
      <c r="E624" s="13" t="n">
        <f aca="false">(g2_ox-ox_var*g2_rev)*(1+ox_g)^(1/4)+ox_var*E614</f>
        <v>61.7348741661828</v>
      </c>
      <c r="F624" s="13" t="n">
        <f aca="false">(g2_ox-ox_var*g2_rev)*(1+ox_g)^(2/4)+ox_var*F614</f>
        <v>65.3006180336675</v>
      </c>
      <c r="G624" s="13" t="n">
        <f aca="false">(g2_ox-ox_var*g2_rev)*(1+ox_g)^(3/4)+ox_var*G614</f>
        <v>67.8540723254433</v>
      </c>
      <c r="H624" s="13" t="n">
        <f aca="false">(g2_ox-ox_var*g2_rev)*(1+ox_g)^(4/4)+ox_var*H614</f>
        <v>68.879992916448</v>
      </c>
      <c r="I624" s="13" t="n">
        <f aca="false">(g2_ox-ox_var*g2_rev)*(1+ox_g)^(5/4)+ox_var*I614</f>
        <v>69.2668359142001</v>
      </c>
      <c r="J624" s="13" t="n">
        <f aca="false">(g2_ox-ox_var*g2_rev)*(1+ox_g)^(6/4)+ox_var*J614</f>
        <v>70.334279359581</v>
      </c>
      <c r="K624" s="13" t="n">
        <f aca="false">(g2_ox-ox_var*g2_rev)*(1+ox_g)^(7/4)+ox_var*K614</f>
        <v>71.4247484167525</v>
      </c>
      <c r="L624" s="13" t="n">
        <f aca="false">(g2_ox-ox_var*g2_rev)*(1+ox_g)^(8/4)+ox_var*L614</f>
        <v>72.5387860960849</v>
      </c>
      <c r="M624" s="13" t="n">
        <f aca="false">(g2_ox-ox_var*g2_rev)*(1+ox_g)^(9/4)+ox_var*M614</f>
        <v>73.676948446899</v>
      </c>
      <c r="N624" s="13" t="n">
        <f aca="false">(g2_ox-ox_var*g2_rev)*(1+ox_g)^(10/4)+ox_var*N614</f>
        <v>75.0306218250339</v>
      </c>
      <c r="O624" s="13" t="n">
        <f aca="false">(g2_ox-ox_var*g2_rev)*(1+ox_g)^(11/4)+ox_var*O614</f>
        <v>76.6920652896645</v>
      </c>
      <c r="P624" s="13" t="n">
        <f aca="false">(g2_ox-ox_var*g2_rev)*(1+ox_g)^(12/4)+ox_var*P614</f>
        <v>78.3906986255266</v>
      </c>
      <c r="Q624" s="13" t="n">
        <f aca="false">(g2_ox-ox_var*g2_rev)*(1+ox_g)^(13/4)+ox_var*Q614</f>
        <v>80.1273627535161</v>
      </c>
      <c r="R624" s="13" t="n">
        <f aca="false">(g2_ox-ox_var*g2_rev)*(1+ox_g)^(14/4)+ox_var*R614</f>
        <v>80.8080681112442</v>
      </c>
      <c r="T624" s="5" t="s">
        <v>478</v>
      </c>
    </row>
    <row r="625" customFormat="false" ht="15" hidden="false" customHeight="false" outlineLevel="0" collapsed="false">
      <c r="A625" s="5" t="s">
        <v>358</v>
      </c>
      <c r="B625" s="0" t="s">
        <v>27</v>
      </c>
      <c r="C625" s="13" t="n">
        <f aca="false">C614-C622-C624</f>
        <v>1270</v>
      </c>
      <c r="D625" s="13" t="n">
        <f aca="false">D614-D622-D624</f>
        <v>1994.7</v>
      </c>
      <c r="E625" s="13" t="n">
        <f aca="false">E614-E622-E624</f>
        <v>2197.71214740245</v>
      </c>
      <c r="F625" s="13" t="n">
        <f aca="false">F614-F622-F624</f>
        <v>2453.83467168543</v>
      </c>
      <c r="G625" s="13" t="n">
        <f aca="false">G614-G622-G624</f>
        <v>2612.39690647092</v>
      </c>
      <c r="H625" s="13" t="n">
        <f aca="false">H614-H622-H624</f>
        <v>2617.50647981956</v>
      </c>
      <c r="I625" s="13" t="n">
        <f aca="false">I614-I622-I624</f>
        <v>2557.06767774253</v>
      </c>
      <c r="J625" s="13" t="n">
        <f aca="false">J614-J622-J624</f>
        <v>2561.67449790875</v>
      </c>
      <c r="K625" s="13" t="n">
        <f aca="false">K614-K622-K624</f>
        <v>2566.17161334537</v>
      </c>
      <c r="L625" s="13" t="n">
        <f aca="false">L614-L622-L624</f>
        <v>2570.55604318545</v>
      </c>
      <c r="M625" s="13" t="n">
        <f aca="false">M614-M622-M624</f>
        <v>2574.82474518908</v>
      </c>
      <c r="N625" s="13" t="n">
        <f aca="false">N614-N622-N624</f>
        <v>2605.05557408331</v>
      </c>
      <c r="O625" s="13" t="n">
        <f aca="false">O614-O622-O624</f>
        <v>2659.04884744759</v>
      </c>
      <c r="P625" s="13" t="n">
        <f aca="false">P614-P622-P624</f>
        <v>2714.12978797586</v>
      </c>
      <c r="Q625" s="13" t="n">
        <f aca="false">Q614-Q622-Q624</f>
        <v>2770.31994055038</v>
      </c>
      <c r="R625" s="13" t="n">
        <f aca="false">R614-R622-R624</f>
        <v>2734.75032296474</v>
      </c>
    </row>
    <row r="627" customFormat="false" ht="17.15" hidden="false" customHeight="false" outlineLevel="0" collapsed="false">
      <c r="A627" s="5" t="s">
        <v>359</v>
      </c>
      <c r="B627" s="0" t="s">
        <v>27</v>
      </c>
      <c r="C627" s="13" t="n">
        <f aca="false">q1_ni</f>
        <v>842.2</v>
      </c>
      <c r="D627" s="13" t="n">
        <f aca="false">g2_ni</f>
        <v>1360</v>
      </c>
      <c r="E627" s="13" t="n">
        <f aca="false">(E625+nonop_q+rf*nc_j/4)*(1-tax_hi)</f>
        <v>1419.01704581159</v>
      </c>
      <c r="F627" s="13" t="n">
        <f aca="false">(F625+nonop_q+rf*nc_j/4)*(1-tax_hi)</f>
        <v>1585.49668659553</v>
      </c>
      <c r="G627" s="13" t="n">
        <f aca="false">(G625+nonop_q+rf*$D648/4)*(1-tax_hi)</f>
        <v>1694.10925705823</v>
      </c>
      <c r="H627" s="13" t="n">
        <f aca="false">(H625+nonop_q+rf*$D648/4)*(1-tax_hi)</f>
        <v>1697.43047973485</v>
      </c>
      <c r="I627" s="13" t="n">
        <f aca="false">(I625+nonop_q+rf*$D648/4)*(1-tax_hi)</f>
        <v>1658.14525838477</v>
      </c>
      <c r="J627" s="13" t="n">
        <f aca="false">(J625+nonop_q+rf*$D648/4)*(1-tax_hi)</f>
        <v>1661.13969149282</v>
      </c>
      <c r="K627" s="13" t="n">
        <f aca="false">(K625+nonop_q+rf*$E648/4)*(1-tax_hi)</f>
        <v>1672.59188861929</v>
      </c>
      <c r="L627" s="13" t="n">
        <f aca="false">(L625+nonop_q+rf*$E648/4)*(1-tax_hi)</f>
        <v>1675.44176801534</v>
      </c>
      <c r="M627" s="13" t="n">
        <f aca="false">(M625+nonop_q+rf*$E648/4)*(1-tax_hi)</f>
        <v>1678.2164243177</v>
      </c>
      <c r="N627" s="13" t="n">
        <f aca="false">(N625+nonop_q+rf*$E648/4)*(1-tax_hi)</f>
        <v>1697.86646309895</v>
      </c>
      <c r="O627" s="13" t="n">
        <f aca="false">(O625+nonop_q+rf*$F648/4)*(1-tax_hi)</f>
        <v>1741.508442293</v>
      </c>
      <c r="P627" s="13" t="n">
        <f aca="false">(P625+nonop_q+rf*$F648/4)*(1-tax_hi)</f>
        <v>1777.31105363638</v>
      </c>
      <c r="Q627" s="13" t="n">
        <f aca="false">(Q625+nonop_q+rf*$F648/4)*(1-tax_hi)</f>
        <v>1813.83465280981</v>
      </c>
      <c r="R627" s="13" t="n">
        <f aca="false">(R625+nonop_q+rf*$F648/4)*(1-tax_hi)</f>
        <v>1790.71440137915</v>
      </c>
      <c r="T627" s="5" t="s">
        <v>479</v>
      </c>
    </row>
    <row r="628" customFormat="false" ht="17.15" hidden="false" customHeight="false" outlineLevel="0" collapsed="false">
      <c r="A628" s="5" t="s">
        <v>480</v>
      </c>
      <c r="B628" s="0" t="s">
        <v>108</v>
      </c>
      <c r="C628" s="17" t="n">
        <f aca="false">C627/(sh0+dil)*1000</f>
        <v>507.343332753891</v>
      </c>
      <c r="D628" s="17" t="n">
        <f aca="false">D627/(sh0+dil)*1000</f>
        <v>819.267314824616</v>
      </c>
      <c r="E628" s="17" t="n">
        <f aca="false">E627/(sh0+dil)*1000</f>
        <v>854.819327067958</v>
      </c>
      <c r="F628" s="17" t="n">
        <f aca="false">F627/(sh0+dil)*1000</f>
        <v>955.107068448858</v>
      </c>
      <c r="G628" s="17" t="n">
        <f aca="false">G627/(sh0+dil)*1000</f>
        <v>1020.53554562472</v>
      </c>
      <c r="H628" s="17" t="n">
        <f aca="false">H627/(sh0+dil)*1000</f>
        <v>1022.53625826017</v>
      </c>
      <c r="I628" s="17" t="n">
        <f aca="false">I627/(sh0+dil)*1000</f>
        <v>998.870745166222</v>
      </c>
      <c r="J628" s="17" t="n">
        <f aca="false">J627/(sh0+dil)*1000</f>
        <v>1000.67459896905</v>
      </c>
      <c r="K628" s="17" t="n">
        <f aca="false">K627/(sh0+dil)*1000</f>
        <v>1007.5734304313</v>
      </c>
      <c r="L628" s="17" t="n">
        <f aca="false">L627/(sh0+dil)*1000</f>
        <v>1009.29020472569</v>
      </c>
      <c r="M628" s="17" t="n">
        <f aca="false">M627/(sh0+dil)*1000</f>
        <v>1010.9616644451</v>
      </c>
      <c r="N628" s="17" t="n">
        <f aca="false">N627/(sh0+dil)*1000</f>
        <v>1022.79889570136</v>
      </c>
      <c r="O628" s="17" t="n">
        <f aca="false">O627/(sh0+dil)*1000</f>
        <v>1049.08893033955</v>
      </c>
      <c r="P628" s="17" t="n">
        <f aca="false">P627/(sh0+dil)*1000</f>
        <v>1070.65651067705</v>
      </c>
      <c r="Q628" s="17" t="n">
        <f aca="false">Q627/(sh0+dil)*1000</f>
        <v>1092.65841584069</v>
      </c>
      <c r="R628" s="17" t="n">
        <f aca="false">R627/(sh0+dil)*1000</f>
        <v>1078.73072002623</v>
      </c>
    </row>
    <row r="630" customFormat="false" ht="17.15" hidden="false" customHeight="false" outlineLevel="0" collapsed="false">
      <c r="A630" s="12" t="s">
        <v>481</v>
      </c>
      <c r="B630" s="6" t="s">
        <v>17</v>
      </c>
      <c r="C630" s="12" t="s">
        <v>425</v>
      </c>
      <c r="D630" s="12" t="s">
        <v>426</v>
      </c>
      <c r="E630" s="12" t="s">
        <v>427</v>
      </c>
      <c r="F630" s="12" t="s">
        <v>428</v>
      </c>
      <c r="G630" s="12" t="s">
        <v>429</v>
      </c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6" t="s">
        <v>330</v>
      </c>
    </row>
    <row r="631" customFormat="false" ht="17.15" hidden="false" customHeight="false" outlineLevel="0" collapsed="false">
      <c r="A631" s="5" t="s">
        <v>354</v>
      </c>
      <c r="B631" s="0" t="s">
        <v>27</v>
      </c>
      <c r="C631" s="13" t="n">
        <f aca="false">a25_rev</f>
        <v>2337.6</v>
      </c>
      <c r="D631" s="13" t="n">
        <f aca="false">SUM(C614:F614)</f>
        <v>9861.25414257431</v>
      </c>
      <c r="E631" s="13" t="n">
        <f aca="false">SUM(G614:J614)</f>
        <v>12399.7631810532</v>
      </c>
      <c r="F631" s="13" t="n">
        <f aca="false">SUM(K614:N614)</f>
        <v>12509.9801209115</v>
      </c>
      <c r="G631" s="13" t="n">
        <f aca="false">SUM(O614:R614)</f>
        <v>13168.9760846731</v>
      </c>
      <c r="T631" s="8" t="s">
        <v>482</v>
      </c>
    </row>
    <row r="632" customFormat="false" ht="17.15" hidden="false" customHeight="false" outlineLevel="0" collapsed="false">
      <c r="A632" s="5" t="s">
        <v>483</v>
      </c>
      <c r="B632" s="0" t="s">
        <v>27</v>
      </c>
      <c r="C632" s="13" t="n">
        <f aca="false">p1_ss+p2_ss+p3_ss+p4_ss</f>
        <v>1364.7</v>
      </c>
      <c r="D632" s="13" t="n">
        <f aca="false">SUM(C615:F615)</f>
        <v>6516.84173409904</v>
      </c>
      <c r="E632" s="13" t="n">
        <f aca="false">SUM(G615:J615)</f>
        <v>8431.83896311616</v>
      </c>
      <c r="F632" s="13" t="n">
        <f aca="false">SUM(K615:N615)</f>
        <v>8756.98608463807</v>
      </c>
      <c r="G632" s="13" t="n">
        <f aca="false">SUM(O615:R615)</f>
        <v>9218.28325927117</v>
      </c>
    </row>
    <row r="633" customFormat="false" ht="17.15" hidden="false" customHeight="false" outlineLevel="0" collapsed="false">
      <c r="A633" s="0" t="s">
        <v>484</v>
      </c>
      <c r="B633" s="0" t="s">
        <v>27</v>
      </c>
      <c r="C633" s="13" t="n">
        <f aca="false">C632*(0.75*Units!C16+0.25*Units!D16)</f>
        <v>507.679569396364</v>
      </c>
      <c r="D633" s="13" t="n">
        <f aca="false">SUM(C616:F616)</f>
        <v>3813.48331392765</v>
      </c>
      <c r="E633" s="13" t="n">
        <f aca="false">SUM(G616:J616)</f>
        <v>5809.33026284196</v>
      </c>
      <c r="F633" s="13" t="n">
        <f aca="false">SUM(K616:N616)</f>
        <v>6390.85985817728</v>
      </c>
      <c r="G633" s="13" t="n">
        <f aca="false">SUM(O616:R616)</f>
        <v>7025.78491807603</v>
      </c>
    </row>
    <row r="634" customFormat="false" ht="15" hidden="false" customHeight="false" outlineLevel="0" collapsed="false">
      <c r="A634" s="5" t="s">
        <v>485</v>
      </c>
      <c r="B634" s="0" t="s">
        <v>27</v>
      </c>
      <c r="C634" s="13" t="n">
        <f aca="false">p1_sd+p2_sd+p3_sd+p4_sd</f>
        <v>759.5</v>
      </c>
      <c r="D634" s="13" t="n">
        <f aca="false">SUM(C619:F619)</f>
        <v>2953.94624277229</v>
      </c>
      <c r="E634" s="13" t="n">
        <f aca="false">SUM(G619:J619)</f>
        <v>3471.93369069489</v>
      </c>
      <c r="F634" s="13" t="n">
        <f aca="false">SUM(K619:N619)</f>
        <v>3252.594831437</v>
      </c>
      <c r="G634" s="13" t="n">
        <f aca="false">SUM(O619:R619)</f>
        <v>3423.93378201501</v>
      </c>
    </row>
    <row r="635" customFormat="false" ht="17.15" hidden="false" customHeight="false" outlineLevel="0" collapsed="false">
      <c r="A635" s="5" t="s">
        <v>486</v>
      </c>
      <c r="B635" s="0" t="s">
        <v>27</v>
      </c>
      <c r="C635" s="13" t="n">
        <f aca="false">a25_rev-C632-C634</f>
        <v>213.4</v>
      </c>
      <c r="D635" s="13" t="n">
        <f aca="false">SUM(C618:F618)</f>
        <v>390.466165702972</v>
      </c>
      <c r="E635" s="13" t="n">
        <f aca="false">SUM(G618:J618)</f>
        <v>495.990527242127</v>
      </c>
      <c r="F635" s="13" t="n">
        <f aca="false">SUM(K618:N618)</f>
        <v>500.399204836461</v>
      </c>
      <c r="G635" s="13" t="n">
        <f aca="false">SUM(O618:R618)</f>
        <v>526.759043386924</v>
      </c>
      <c r="T635" s="8" t="s">
        <v>487</v>
      </c>
    </row>
    <row r="636" customFormat="false" ht="15" hidden="false" customHeight="false" outlineLevel="0" collapsed="false">
      <c r="A636" s="5" t="s">
        <v>488</v>
      </c>
      <c r="B636" s="0" t="s">
        <v>27</v>
      </c>
      <c r="C636" s="18" t="n">
        <f aca="false">C632+C634+C635-C631</f>
        <v>0</v>
      </c>
      <c r="D636" s="18" t="n">
        <f aca="false">D632+D634+D635-D631</f>
        <v>0</v>
      </c>
      <c r="E636" s="18" t="n">
        <f aca="false">E632+E634+E635-E631</f>
        <v>0</v>
      </c>
      <c r="F636" s="18" t="n">
        <f aca="false">F632+F634+F635-F631</f>
        <v>0</v>
      </c>
      <c r="G636" s="18" t="n">
        <f aca="false">G632+G634+G635-G631</f>
        <v>0</v>
      </c>
    </row>
    <row r="637" customFormat="false" ht="15" hidden="false" customHeight="false" outlineLevel="0" collapsed="false">
      <c r="A637" s="5" t="s">
        <v>475</v>
      </c>
      <c r="B637" s="0" t="s">
        <v>27</v>
      </c>
      <c r="C637" s="13" t="n">
        <f aca="false">a25_rev-(p1_gp+p2_gp+p3_gp+p4_gp)</f>
        <v>1324.8</v>
      </c>
      <c r="D637" s="13" t="n">
        <f aca="false">SUM(C622:F622)</f>
        <v>1648.87183128657</v>
      </c>
      <c r="E637" s="13" t="n">
        <f aca="false">SUM(G622:J622)</f>
        <v>1774.78243859574</v>
      </c>
      <c r="F637" s="13" t="n">
        <f aca="false">SUM(K622:N622)</f>
        <v>1900.70104032356</v>
      </c>
      <c r="G637" s="13" t="n">
        <f aca="false">SUM(O622:R622)</f>
        <v>1974.70899095458</v>
      </c>
    </row>
    <row r="638" customFormat="false" ht="15" hidden="false" customHeight="false" outlineLevel="0" collapsed="false">
      <c r="A638" s="5" t="s">
        <v>360</v>
      </c>
      <c r="B638" s="0" t="s">
        <v>145</v>
      </c>
      <c r="C638" s="14" t="n">
        <f aca="false">1-C637/C631</f>
        <v>0.433264887063655</v>
      </c>
      <c r="D638" s="14" t="n">
        <f aca="false">1-D637/D631</f>
        <v>0.832792887451521</v>
      </c>
      <c r="E638" s="14" t="n">
        <f aca="false">1-E637/E631</f>
        <v>0.85686965043755</v>
      </c>
      <c r="F638" s="14" t="n">
        <f aca="false">1-F637/F631</f>
        <v>0.84806522296975</v>
      </c>
      <c r="G638" s="14" t="n">
        <f aca="false">1-G637/G631</f>
        <v>0.850048403288326</v>
      </c>
    </row>
    <row r="639" customFormat="false" ht="15" hidden="false" customHeight="false" outlineLevel="0" collapsed="false">
      <c r="A639" s="5" t="s">
        <v>477</v>
      </c>
      <c r="B639" s="0" t="s">
        <v>27</v>
      </c>
      <c r="D639" s="13" t="n">
        <f aca="false">SUM(C624:F624)</f>
        <v>296.13549219985</v>
      </c>
      <c r="E639" s="13" t="n">
        <f aca="false">SUM(G624:J624)</f>
        <v>276.335180515672</v>
      </c>
      <c r="F639" s="13" t="n">
        <f aca="false">SUM(K624:N624)</f>
        <v>292.67110478477</v>
      </c>
      <c r="G639" s="13" t="n">
        <f aca="false">SUM(O624:R624)</f>
        <v>316.018194779951</v>
      </c>
    </row>
    <row r="640" customFormat="false" ht="15" hidden="false" customHeight="false" outlineLevel="0" collapsed="false">
      <c r="A640" s="5" t="s">
        <v>358</v>
      </c>
      <c r="B640" s="0" t="s">
        <v>27</v>
      </c>
      <c r="C640" s="13" t="n">
        <f aca="false">p1_op+p2_op+p3_op+p4_op</f>
        <v>869</v>
      </c>
      <c r="D640" s="13" t="n">
        <f aca="false">SUM(C625:F625)</f>
        <v>7916.24681908788</v>
      </c>
      <c r="E640" s="13" t="n">
        <f aca="false">SUM(G625:J625)</f>
        <v>10348.6455619418</v>
      </c>
      <c r="F640" s="13" t="n">
        <f aca="false">SUM(K625:N625)</f>
        <v>10316.6079758032</v>
      </c>
      <c r="G640" s="13" t="n">
        <f aca="false">SUM(O625:R625)</f>
        <v>10878.2488989386</v>
      </c>
    </row>
    <row r="641" customFormat="false" ht="15" hidden="false" customHeight="false" outlineLevel="0" collapsed="false">
      <c r="A641" s="5" t="s">
        <v>361</v>
      </c>
      <c r="B641" s="0" t="s">
        <v>145</v>
      </c>
      <c r="C641" s="14" t="n">
        <f aca="false">C640/C631</f>
        <v>0.371748802190281</v>
      </c>
      <c r="D641" s="14" t="n">
        <f aca="false">D640/D631</f>
        <v>0.802762681565098</v>
      </c>
      <c r="E641" s="14" t="n">
        <f aca="false">E640/E631</f>
        <v>0.834584129619063</v>
      </c>
      <c r="F641" s="14" t="n">
        <f aca="false">F640/F631</f>
        <v>0.824670213388916</v>
      </c>
      <c r="G641" s="14" t="n">
        <f aca="false">G640/G631</f>
        <v>0.826051230482481</v>
      </c>
    </row>
    <row r="642" customFormat="false" ht="15" hidden="false" customHeight="false" outlineLevel="0" collapsed="false">
      <c r="A642" s="5" t="s">
        <v>359</v>
      </c>
      <c r="B642" s="0" t="s">
        <v>27</v>
      </c>
      <c r="C642" s="13" t="n">
        <f aca="false">a25_ni</f>
        <v>554.5</v>
      </c>
      <c r="D642" s="13" t="n">
        <f aca="false">SUM(C627:F627)</f>
        <v>5206.71373240713</v>
      </c>
      <c r="E642" s="13" t="n">
        <f aca="false">SUM(G627:J627)</f>
        <v>6710.82468667066</v>
      </c>
      <c r="F642" s="13" t="n">
        <f aca="false">SUM(K627:N627)</f>
        <v>6724.11654405129</v>
      </c>
      <c r="G642" s="13" t="n">
        <f aca="false">SUM(O627:R627)</f>
        <v>7123.36855011834</v>
      </c>
    </row>
    <row r="643" customFormat="false" ht="15" hidden="false" customHeight="false" outlineLevel="0" collapsed="false">
      <c r="A643" s="5" t="s">
        <v>489</v>
      </c>
      <c r="B643" s="0" t="s">
        <v>27</v>
      </c>
      <c r="D643" s="13" t="n">
        <f aca="false">da_y</f>
        <v>320</v>
      </c>
      <c r="E643" s="13" t="n">
        <f aca="false">da_y</f>
        <v>320</v>
      </c>
      <c r="F643" s="13" t="n">
        <f aca="false">da_y</f>
        <v>320</v>
      </c>
      <c r="G643" s="13" t="n">
        <f aca="false">da_y</f>
        <v>320</v>
      </c>
    </row>
    <row r="644" customFormat="false" ht="15" hidden="false" customHeight="false" outlineLevel="0" collapsed="false">
      <c r="A644" s="5" t="s">
        <v>490</v>
      </c>
      <c r="B644" s="0" t="s">
        <v>27</v>
      </c>
      <c r="D644" s="13" t="n">
        <f aca="false">cap_2026</f>
        <v>450</v>
      </c>
      <c r="E644" s="13" t="n">
        <f aca="false">cap_2027</f>
        <v>470</v>
      </c>
      <c r="F644" s="13" t="n">
        <f aca="false">cap_2028</f>
        <v>470</v>
      </c>
      <c r="G644" s="13" t="n">
        <f aca="false">cap_2029</f>
        <v>470</v>
      </c>
    </row>
    <row r="645" customFormat="false" ht="15" hidden="false" customHeight="false" outlineLevel="0" collapsed="false">
      <c r="A645" s="5" t="s">
        <v>491</v>
      </c>
      <c r="B645" s="0" t="s">
        <v>27</v>
      </c>
      <c r="D645" s="13" t="n">
        <f aca="false">D642+D643-D644</f>
        <v>5076.71373240713</v>
      </c>
      <c r="E645" s="13" t="n">
        <f aca="false">E642+E643-E644</f>
        <v>6560.82468667066</v>
      </c>
      <c r="F645" s="13" t="n">
        <f aca="false">F642+F643-F644</f>
        <v>6574.11654405129</v>
      </c>
      <c r="G645" s="13" t="n">
        <f aca="false">G642+G643-G644</f>
        <v>6973.36855011834</v>
      </c>
    </row>
    <row r="646" customFormat="false" ht="17.15" hidden="false" customHeight="false" outlineLevel="0" collapsed="false">
      <c r="A646" s="5" t="s">
        <v>492</v>
      </c>
      <c r="B646" s="0" t="s">
        <v>27</v>
      </c>
      <c r="D646" s="13" t="n">
        <f aca="false">MAX(0,payout*(SUM(D627:F627)+0.75*(D643-D644)))</f>
        <v>853.402746481425</v>
      </c>
      <c r="E646" s="13" t="n">
        <f aca="false">MAX(0,payout*E645)</f>
        <v>1312.16493733413</v>
      </c>
      <c r="F646" s="13" t="n">
        <f aca="false">MAX(0,payout*F645)</f>
        <v>1314.82330881026</v>
      </c>
      <c r="G646" s="13" t="n">
        <f aca="false">MAX(0,payout*G645)</f>
        <v>1394.67371002367</v>
      </c>
      <c r="T646" s="8" t="s">
        <v>493</v>
      </c>
    </row>
    <row r="647" customFormat="false" ht="17.15" hidden="false" customHeight="false" outlineLevel="0" collapsed="false">
      <c r="A647" s="5" t="s">
        <v>494</v>
      </c>
      <c r="B647" s="0" t="s">
        <v>27</v>
      </c>
      <c r="C647" s="13" t="n">
        <f aca="false">eq25</f>
        <v>1399.1</v>
      </c>
      <c r="D647" s="13" t="n">
        <f aca="false">eq_j+SUM(D627:F627)-D646</f>
        <v>5915.4109859257</v>
      </c>
      <c r="E647" s="13" t="n">
        <f aca="false">D647+E642-E646</f>
        <v>11314.0707352622</v>
      </c>
      <c r="F647" s="13" t="n">
        <f aca="false">E647+F642-F646</f>
        <v>16723.3639705033</v>
      </c>
      <c r="G647" s="13" t="n">
        <f aca="false">F647+G642-G646</f>
        <v>22452.0588105979</v>
      </c>
      <c r="T647" s="8" t="s">
        <v>495</v>
      </c>
    </row>
    <row r="648" customFormat="false" ht="15" hidden="false" customHeight="false" outlineLevel="0" collapsed="false">
      <c r="A648" s="5" t="s">
        <v>496</v>
      </c>
      <c r="B648" s="0" t="s">
        <v>27</v>
      </c>
      <c r="D648" s="13" t="n">
        <f aca="false">nc_j+(SUM(D627:F627)+0.75*(D643-D644))-D646</f>
        <v>3570.0109859257</v>
      </c>
      <c r="E648" s="13" t="n">
        <f aca="false">D648+E645-E646</f>
        <v>8818.67073526223</v>
      </c>
      <c r="F648" s="13" t="n">
        <f aca="false">E648+F645-F646</f>
        <v>14077.9639705033</v>
      </c>
      <c r="G648" s="13" t="n">
        <f aca="false">F648+G645-G646</f>
        <v>19656.6588105979</v>
      </c>
    </row>
    <row r="649" customFormat="false" ht="15" hidden="false" customHeight="false" outlineLevel="0" collapsed="false">
      <c r="A649" s="5" t="s">
        <v>497</v>
      </c>
      <c r="B649" s="5" t="s">
        <v>209</v>
      </c>
      <c r="D649" s="13" t="n">
        <f aca="false">sh0-D646/bb_px*1000</f>
        <v>1577.13660341737</v>
      </c>
      <c r="E649" s="13" t="n">
        <f aca="false">D649-E646/bb_px*1000</f>
        <v>1474.26204933394</v>
      </c>
      <c r="F649" s="13" t="n">
        <f aca="false">E649-F646/bb_px*1000</f>
        <v>1371.17907725944</v>
      </c>
      <c r="G649" s="13" t="n">
        <f aca="false">F649-G646/bb_px*1000</f>
        <v>1261.83578364724</v>
      </c>
    </row>
    <row r="650" customFormat="false" ht="17.15" hidden="false" customHeight="false" outlineLevel="0" collapsed="false">
      <c r="A650" s="0" t="s">
        <v>498</v>
      </c>
      <c r="B650" s="0" t="s">
        <v>108</v>
      </c>
      <c r="C650" s="17" t="n">
        <f aca="false">a25_eps</f>
        <v>341.4</v>
      </c>
      <c r="D650" s="17" t="n">
        <f aca="false">D642/(D649+dil)*1000</f>
        <v>3268.26487381558</v>
      </c>
      <c r="E650" s="17" t="n">
        <f aca="false">E642/(E649+dil)*1000</f>
        <v>4503.18994721337</v>
      </c>
      <c r="F650" s="17" t="n">
        <f aca="false">F642/(F649+dil)*1000</f>
        <v>4847.41540040303</v>
      </c>
      <c r="G650" s="17" t="n">
        <f aca="false">G642/(G649+dil)*1000</f>
        <v>5574.6621157535</v>
      </c>
    </row>
    <row r="651" customFormat="false" ht="17.15" hidden="false" customHeight="false" outlineLevel="0" collapsed="false">
      <c r="A651" s="5" t="s">
        <v>499</v>
      </c>
      <c r="B651" s="0" t="s">
        <v>108</v>
      </c>
      <c r="D651" s="17" t="n">
        <f aca="false">D647/D649*1000</f>
        <v>3750.72835993285</v>
      </c>
      <c r="E651" s="17" t="n">
        <f aca="false">E647/E649*1000</f>
        <v>7674.39597347962</v>
      </c>
      <c r="F651" s="17" t="n">
        <f aca="false">F647/F649*1000</f>
        <v>12196.3383542345</v>
      </c>
      <c r="G651" s="17" t="n">
        <f aca="false">G647/G649*1000</f>
        <v>17793.1701585622</v>
      </c>
    </row>
    <row r="652" customFormat="false" ht="17.15" hidden="false" customHeight="false" outlineLevel="0" collapsed="false">
      <c r="A652" s="0" t="s">
        <v>500</v>
      </c>
      <c r="B652" s="0" t="s">
        <v>145</v>
      </c>
      <c r="D652" s="21" t="n">
        <f aca="false">D642/D647</f>
        <v>0.880194756508931</v>
      </c>
      <c r="E652" s="21" t="n">
        <f aca="false">E642/E647</f>
        <v>0.593139714581705</v>
      </c>
      <c r="F652" s="21" t="n">
        <f aca="false">F642/F647</f>
        <v>0.402079184302352</v>
      </c>
      <c r="G652" s="21" t="n">
        <f aca="false">G642/G647</f>
        <v>0.317270171533487</v>
      </c>
    </row>
    <row r="653" customFormat="false" ht="15" hidden="false" customHeight="false" outlineLevel="0" collapsed="false">
      <c r="A653" s="5" t="s">
        <v>501</v>
      </c>
      <c r="B653" s="0" t="s">
        <v>108</v>
      </c>
      <c r="E653" s="17" t="n">
        <f aca="false">E645/(E649+dil)*1000</f>
        <v>4402.53488265421</v>
      </c>
      <c r="F653" s="17" t="n">
        <f aca="false">F645/(F649+dil)*1000</f>
        <v>4739.28040522605</v>
      </c>
      <c r="G653" s="17" t="n">
        <f aca="false">G645/(G649+dil)*1000</f>
        <v>5457.27392904384</v>
      </c>
    </row>
    <row r="654" customFormat="false" ht="17.15" hidden="false" customHeight="false" outlineLevel="0" collapsed="false">
      <c r="A654" s="5" t="s">
        <v>502</v>
      </c>
      <c r="B654" s="0" t="s">
        <v>27</v>
      </c>
      <c r="D654" s="18" t="n">
        <f aca="false">ABS(C614-q1_rev)+ABS(D625-g2_op)+ABS(C631-2337.6)</f>
        <v>0</v>
      </c>
    </row>
    <row r="660" customFormat="false" ht="17.15" hidden="false" customHeight="false" outlineLevel="0" collapsed="false">
      <c r="A660" s="3" t="s">
        <v>829</v>
      </c>
    </row>
    <row r="661" customFormat="false" ht="17.15" hidden="false" customHeight="false" outlineLevel="0" collapsed="false">
      <c r="A661" s="12" t="s">
        <v>442</v>
      </c>
      <c r="B661" s="6" t="s">
        <v>17</v>
      </c>
      <c r="C661" s="12" t="s">
        <v>443</v>
      </c>
      <c r="D661" s="12" t="s">
        <v>444</v>
      </c>
      <c r="E661" s="12" t="s">
        <v>445</v>
      </c>
      <c r="F661" s="12" t="s">
        <v>446</v>
      </c>
      <c r="G661" s="12" t="s">
        <v>447</v>
      </c>
      <c r="H661" s="12" t="s">
        <v>448</v>
      </c>
      <c r="I661" s="12" t="s">
        <v>449</v>
      </c>
      <c r="J661" s="12" t="s">
        <v>450</v>
      </c>
      <c r="K661" s="12" t="s">
        <v>451</v>
      </c>
      <c r="L661" s="12" t="s">
        <v>452</v>
      </c>
      <c r="M661" s="12" t="s">
        <v>453</v>
      </c>
      <c r="N661" s="12" t="s">
        <v>454</v>
      </c>
      <c r="O661" s="12" t="s">
        <v>455</v>
      </c>
      <c r="P661" s="12" t="s">
        <v>456</v>
      </c>
      <c r="Q661" s="12" t="s">
        <v>457</v>
      </c>
      <c r="R661" s="12" t="s">
        <v>458</v>
      </c>
      <c r="S661" s="12"/>
      <c r="T661" s="6" t="s">
        <v>330</v>
      </c>
    </row>
    <row r="662" customFormat="false" ht="17.15" hidden="false" customHeight="false" outlineLevel="0" collapsed="false">
      <c r="A662" s="5" t="s">
        <v>459</v>
      </c>
      <c r="B662" s="0" t="s">
        <v>391</v>
      </c>
      <c r="C662" s="19" t="n">
        <f aca="false">Units!H4*1</f>
        <v>10.72</v>
      </c>
      <c r="D662" s="19" t="n">
        <f aca="false">Units!I4*1</f>
        <v>14.9513168749304</v>
      </c>
      <c r="E662" s="19" t="n">
        <f aca="false">Units!J4*1*1</f>
        <v>16.2035648188888</v>
      </c>
      <c r="F662" s="19" t="n">
        <f aca="false">Units!K4*1*1</f>
        <v>17.8543449815733</v>
      </c>
      <c r="G662" s="19" t="n">
        <f aca="false">Units!L4*1*1</f>
        <v>18.8786713110699</v>
      </c>
      <c r="H662" s="19" t="n">
        <f aca="false">Units!M4*1*1</f>
        <v>18.9636763094518</v>
      </c>
      <c r="I662" s="19" t="n">
        <f aca="false">Units!N4*1*1</f>
        <v>18.6480311322868</v>
      </c>
      <c r="J662" s="19" t="n">
        <f aca="false">Units!O4*1*1</f>
        <v>18.7319976270738</v>
      </c>
      <c r="K662" s="19" t="n">
        <f aca="false">Units!P4*1*1</f>
        <v>18.8163421978194</v>
      </c>
      <c r="L662" s="19" t="n">
        <f aca="false">Units!Q4*1*1</f>
        <v>18.9010665468864</v>
      </c>
      <c r="M662" s="19" t="n">
        <f aca="false">Units!R4*1*1</f>
        <v>18.9861723843027</v>
      </c>
      <c r="N662" s="19" t="n">
        <f aca="false">Units!S4*1*1</f>
        <v>19.1874193215442</v>
      </c>
      <c r="O662" s="19" t="n">
        <f aca="false">Units!T4*1*1</f>
        <v>19.5604237366471</v>
      </c>
      <c r="P662" s="19" t="n">
        <f aca="false">Units!U4*1*1</f>
        <v>19.9406793766988</v>
      </c>
      <c r="Q662" s="19" t="n">
        <f aca="false">Units!V4*1*1</f>
        <v>20.3283272058839</v>
      </c>
      <c r="R662" s="19" t="n">
        <f aca="false">Units!W4*1*1</f>
        <v>20.0593273219312</v>
      </c>
      <c r="T662" s="8" t="s">
        <v>460</v>
      </c>
    </row>
    <row r="663" customFormat="false" ht="15" hidden="false" customHeight="false" outlineLevel="0" collapsed="false">
      <c r="A663" s="5" t="s">
        <v>461</v>
      </c>
      <c r="B663" s="0" t="s">
        <v>398</v>
      </c>
      <c r="C663" s="19" t="n">
        <f aca="false">Units!H7*1</f>
        <v>40.1757580440862</v>
      </c>
      <c r="D663" s="19" t="n">
        <f aca="false">Units!I7*1</f>
        <v>44.8269021796765</v>
      </c>
      <c r="E663" s="19" t="n">
        <f aca="false">Units!J7*1</f>
        <v>44.9411476117569</v>
      </c>
      <c r="F663" s="19" t="n">
        <f aca="false">Units!K7*1</f>
        <v>48.0773237904583</v>
      </c>
      <c r="G663" s="19" t="n">
        <f aca="false">Units!L7*1</f>
        <v>50.835580599158</v>
      </c>
      <c r="H663" s="19" t="n">
        <f aca="false">Units!M7*1</f>
        <v>53.7520820858664</v>
      </c>
      <c r="I663" s="19" t="n">
        <f aca="false">Units!N7*1</f>
        <v>56.8359069476934</v>
      </c>
      <c r="J663" s="19" t="n">
        <f aca="false">Units!O7*1</f>
        <v>60.0966547380729</v>
      </c>
      <c r="K663" s="19" t="n">
        <f aca="false">Units!P7*1</f>
        <v>63.5444757489475</v>
      </c>
      <c r="L663" s="19" t="n">
        <f aca="false">Units!Q7*1</f>
        <v>67.190102607333</v>
      </c>
      <c r="M663" s="19" t="n">
        <f aca="false">Units!R7*1</f>
        <v>71.0448836846168</v>
      </c>
      <c r="N663" s="19" t="n">
        <f aca="false">Units!S7*1</f>
        <v>74.0184898623123</v>
      </c>
      <c r="O663" s="19" t="n">
        <f aca="false">Units!T7*1</f>
        <v>77.7911475249602</v>
      </c>
      <c r="P663" s="19" t="n">
        <f aca="false">Units!U7*1</f>
        <v>81.7560942476254</v>
      </c>
      <c r="Q663" s="19" t="n">
        <f aca="false">Units!V7*1</f>
        <v>85.9231308354458</v>
      </c>
      <c r="R663" s="19" t="n">
        <f aca="false">Units!W7*1</f>
        <v>87.5395173614874</v>
      </c>
    </row>
    <row r="664" customFormat="false" ht="17.15" hidden="false" customHeight="false" outlineLevel="0" collapsed="false">
      <c r="A664" s="5" t="s">
        <v>354</v>
      </c>
      <c r="B664" s="0" t="s">
        <v>27</v>
      </c>
      <c r="C664" s="13" t="n">
        <f aca="false">q1_rev</f>
        <v>1767.1</v>
      </c>
      <c r="D664" s="13" t="n">
        <f aca="false">g2_rev</f>
        <v>2480</v>
      </c>
      <c r="E664" s="13" t="n">
        <f aca="false">E662*kx_k*fx</f>
        <v>2671.01859994948</v>
      </c>
      <c r="F664" s="13" t="n">
        <f aca="false">F662*kx_k*fx</f>
        <v>2943.13554262483</v>
      </c>
      <c r="G664" s="13" t="n">
        <f aca="false">G662*kx_k*fx</f>
        <v>3111.98694718205</v>
      </c>
      <c r="H664" s="13" t="n">
        <f aca="false">H662*kx_k*fx</f>
        <v>3125.9992916448</v>
      </c>
      <c r="I664" s="13" t="n">
        <f aca="false">I662*kx_k*fx</f>
        <v>3073.96789308433</v>
      </c>
      <c r="J664" s="13" t="n">
        <f aca="false">J662*kx_k*fx</f>
        <v>3087.80904914199</v>
      </c>
      <c r="K664" s="13" t="n">
        <f aca="false">K662*kx_k*fx</f>
        <v>3101.71252777674</v>
      </c>
      <c r="L664" s="13" t="n">
        <f aca="false">L662*kx_k*fx</f>
        <v>3115.67860960848</v>
      </c>
      <c r="M664" s="13" t="n">
        <f aca="false">M662*kx_k*fx</f>
        <v>3129.70757652064</v>
      </c>
      <c r="N664" s="13" t="n">
        <f aca="false">N662*kx_k*fx</f>
        <v>3162.88140700567</v>
      </c>
      <c r="O664" s="13" t="n">
        <f aca="false">O662*kx_k*fx</f>
        <v>3224.36798367809</v>
      </c>
      <c r="P664" s="13" t="n">
        <f aca="false">P662*kx_k*fx</f>
        <v>3287.04986255265</v>
      </c>
      <c r="Q664" s="13" t="n">
        <f aca="false">Q662*kx_k*fx</f>
        <v>3350.95028036543</v>
      </c>
      <c r="R664" s="13" t="n">
        <f aca="false">R662*kx_k*fx</f>
        <v>3306.60795807692</v>
      </c>
      <c r="T664" s="5" t="s">
        <v>462</v>
      </c>
    </row>
    <row r="665" customFormat="false" ht="17.15" hidden="false" customHeight="false" outlineLevel="0" collapsed="false">
      <c r="A665" s="0" t="s">
        <v>463</v>
      </c>
      <c r="B665" s="0" t="s">
        <v>27</v>
      </c>
      <c r="C665" s="13" t="n">
        <f aca="false">q1_ss</f>
        <v>1174.7</v>
      </c>
      <c r="D665" s="13" t="n">
        <f aca="false">D664*sssh_26</f>
        <v>1636.8</v>
      </c>
      <c r="E665" s="13" t="n">
        <f aca="false">E664*sssh_26</f>
        <v>1762.87227596666</v>
      </c>
      <c r="F665" s="13" t="n">
        <f aca="false">F664*sssh_26</f>
        <v>1942.46945813239</v>
      </c>
      <c r="G665" s="13" t="n">
        <f aca="false">G664*sssh_27</f>
        <v>2116.1511240838</v>
      </c>
      <c r="H665" s="13" t="n">
        <f aca="false">H664*sssh_27</f>
        <v>2125.67951831847</v>
      </c>
      <c r="I665" s="13" t="n">
        <f aca="false">I664*sssh_27</f>
        <v>2090.29816729734</v>
      </c>
      <c r="J665" s="13" t="n">
        <f aca="false">J664*sssh_27</f>
        <v>2099.71015341655</v>
      </c>
      <c r="K665" s="13" t="n">
        <f aca="false">K664*sssh_28</f>
        <v>2171.19876944372</v>
      </c>
      <c r="L665" s="13" t="n">
        <f aca="false">L664*sssh_28</f>
        <v>2180.97502672594</v>
      </c>
      <c r="M665" s="13" t="n">
        <f aca="false">M664*sssh_28</f>
        <v>2190.79530356445</v>
      </c>
      <c r="N665" s="13" t="n">
        <f aca="false">N664*sssh_28</f>
        <v>2214.01698490397</v>
      </c>
      <c r="O665" s="13" t="n">
        <f aca="false">O664*sssh_29</f>
        <v>2257.05758857466</v>
      </c>
      <c r="P665" s="13" t="n">
        <f aca="false">P664*sssh_29</f>
        <v>2300.93490378686</v>
      </c>
      <c r="Q665" s="13" t="n">
        <f aca="false">Q664*sssh_29</f>
        <v>2345.6651962558</v>
      </c>
      <c r="R665" s="13" t="n">
        <f aca="false">R664*sssh_29</f>
        <v>2314.62557065385</v>
      </c>
      <c r="T665" s="5" t="s">
        <v>464</v>
      </c>
    </row>
    <row r="666" customFormat="false" ht="17.15" hidden="false" customHeight="false" outlineLevel="0" collapsed="false">
      <c r="A666" s="0" t="s">
        <v>465</v>
      </c>
      <c r="B666" s="0" t="s">
        <v>27</v>
      </c>
      <c r="C666" s="13" t="n">
        <f aca="false">C665*(0.75*Units!D16+0.25*Units!E16)</f>
        <v>687.403351447223</v>
      </c>
      <c r="D666" s="13" t="n">
        <f aca="false">D665*(0.75*Units!D16+0.25*Units!E16)</f>
        <v>957.812041924589</v>
      </c>
      <c r="E666" s="13" t="n">
        <f aca="false">E665*(0.75*Units!D16+0.25*Units!E16)</f>
        <v>1031.58620130491</v>
      </c>
      <c r="F666" s="13" t="n">
        <f aca="false">F665*(0.75*Units!D16+0.25*Units!E16)</f>
        <v>1136.68171925094</v>
      </c>
      <c r="G666" s="13" t="n">
        <f aca="false">G665*(0.75*Units!E16+0.25*Units!F16)</f>
        <v>1457.97622792167</v>
      </c>
      <c r="H666" s="13" t="n">
        <f aca="false">H665*(0.75*Units!E16+0.25*Units!F16)</f>
        <v>1464.54105787464</v>
      </c>
      <c r="I666" s="13" t="n">
        <f aca="false">I665*(0.75*Units!E16+0.25*Units!F16)</f>
        <v>1440.16417471471</v>
      </c>
      <c r="J666" s="13" t="n">
        <f aca="false">J665*(0.75*Units!E16+0.25*Units!F16)</f>
        <v>1446.64880233093</v>
      </c>
      <c r="K666" s="13" t="n">
        <f aca="false">K665*(0.75*Units!F16+0.25*Units!G16)</f>
        <v>1584.5436918192</v>
      </c>
      <c r="L666" s="13" t="n">
        <f aca="false">L665*(0.75*Units!F16+0.25*Units!G16)</f>
        <v>1591.67841712586</v>
      </c>
      <c r="M666" s="13" t="n">
        <f aca="false">M665*(0.75*Units!F16+0.25*Units!G16)</f>
        <v>1598.84526796208</v>
      </c>
      <c r="N666" s="13" t="n">
        <f aca="false">N665*(0.75*Units!F16+0.25*Units!G16)</f>
        <v>1615.79248127014</v>
      </c>
      <c r="O666" s="13" t="n">
        <f aca="false">O665*(0.75*Units!G16+0.25*Units!H16)</f>
        <v>1720.23366162982</v>
      </c>
      <c r="P666" s="13" t="n">
        <f aca="false">P665*(0.75*Units!G16+0.25*Units!H16)</f>
        <v>1753.67509218615</v>
      </c>
      <c r="Q666" s="13" t="n">
        <f aca="false">Q665*(0.75*Units!G16+0.25*Units!H16)</f>
        <v>1787.76662586661</v>
      </c>
      <c r="R666" s="13" t="n">
        <f aca="false">R665*(0.75*Units!G16+0.25*Units!H16)</f>
        <v>1764.10953839345</v>
      </c>
      <c r="T666" s="5" t="s">
        <v>466</v>
      </c>
    </row>
    <row r="667" customFormat="false" ht="17.15" hidden="false" customHeight="false" outlineLevel="0" collapsed="false">
      <c r="A667" s="0" t="s">
        <v>467</v>
      </c>
      <c r="B667" s="0" t="s">
        <v>27</v>
      </c>
      <c r="C667" s="13" t="n">
        <f aca="false">C665-C666</f>
        <v>487.296648552777</v>
      </c>
      <c r="D667" s="13" t="n">
        <f aca="false">D665-D666</f>
        <v>678.987958075412</v>
      </c>
      <c r="E667" s="13" t="n">
        <f aca="false">E665-E666</f>
        <v>731.28607466175</v>
      </c>
      <c r="F667" s="13" t="n">
        <f aca="false">F665-F666</f>
        <v>805.787738881452</v>
      </c>
      <c r="G667" s="13" t="n">
        <f aca="false">G665-G666</f>
        <v>658.174896162131</v>
      </c>
      <c r="H667" s="13" t="n">
        <f aca="false">H665-H666</f>
        <v>661.138460443822</v>
      </c>
      <c r="I667" s="13" t="n">
        <f aca="false">I665-I666</f>
        <v>650.133992582631</v>
      </c>
      <c r="J667" s="13" t="n">
        <f aca="false">J665-J666</f>
        <v>653.061351085617</v>
      </c>
      <c r="K667" s="13" t="n">
        <f aca="false">K665-K666</f>
        <v>586.65507762452</v>
      </c>
      <c r="L667" s="13" t="n">
        <f aca="false">L665-L666</f>
        <v>589.296609600079</v>
      </c>
      <c r="M667" s="13" t="n">
        <f aca="false">M665-M666</f>
        <v>591.950035602373</v>
      </c>
      <c r="N667" s="13" t="n">
        <f aca="false">N665-N666</f>
        <v>598.224503633827</v>
      </c>
      <c r="O667" s="13" t="n">
        <f aca="false">O665-O666</f>
        <v>536.82392694484</v>
      </c>
      <c r="P667" s="13" t="n">
        <f aca="false">P665-P666</f>
        <v>547.259811600705</v>
      </c>
      <c r="Q667" s="13" t="n">
        <f aca="false">Q665-Q666</f>
        <v>557.898570389192</v>
      </c>
      <c r="R667" s="13" t="n">
        <f aca="false">R665-R666</f>
        <v>550.516032260396</v>
      </c>
    </row>
    <row r="668" customFormat="false" ht="17.15" hidden="false" customHeight="false" outlineLevel="0" collapsed="false">
      <c r="A668" s="5" t="s">
        <v>468</v>
      </c>
      <c r="B668" s="0" t="s">
        <v>27</v>
      </c>
      <c r="C668" s="13" t="n">
        <f aca="false">q1_rev-q1_ss-q1_sd</f>
        <v>66.6999999999998</v>
      </c>
      <c r="D668" s="13" t="n">
        <f aca="false">D664*otsh_26</f>
        <v>99.2</v>
      </c>
      <c r="E668" s="13" t="n">
        <f aca="false">E664*otsh_26</f>
        <v>106.840743997979</v>
      </c>
      <c r="F668" s="13" t="n">
        <f aca="false">F664*otsh_26</f>
        <v>117.725421704993</v>
      </c>
      <c r="G668" s="13" t="n">
        <f aca="false">G664*otsh_27</f>
        <v>124.479477887282</v>
      </c>
      <c r="H668" s="13" t="n">
        <f aca="false">H664*otsh_27</f>
        <v>125.039971665792</v>
      </c>
      <c r="I668" s="13" t="n">
        <f aca="false">I664*otsh_27</f>
        <v>122.958715723373</v>
      </c>
      <c r="J668" s="13" t="n">
        <f aca="false">J664*otsh_27</f>
        <v>123.51236196568</v>
      </c>
      <c r="K668" s="13" t="n">
        <f aca="false">K664*otsh_28</f>
        <v>124.06850111107</v>
      </c>
      <c r="L668" s="13" t="n">
        <f aca="false">L664*otsh_28</f>
        <v>124.627144384339</v>
      </c>
      <c r="M668" s="13" t="n">
        <f aca="false">M664*otsh_28</f>
        <v>125.188303060826</v>
      </c>
      <c r="N668" s="13" t="n">
        <f aca="false">N664*otsh_28</f>
        <v>126.515256280227</v>
      </c>
      <c r="O668" s="13" t="n">
        <f aca="false">O664*otsh_29</f>
        <v>128.974719347123</v>
      </c>
      <c r="P668" s="13" t="n">
        <f aca="false">P664*otsh_29</f>
        <v>131.481994502106</v>
      </c>
      <c r="Q668" s="13" t="n">
        <f aca="false">Q664*otsh_29</f>
        <v>134.038011214617</v>
      </c>
      <c r="R668" s="13" t="n">
        <f aca="false">R664*otsh_29</f>
        <v>132.264318323077</v>
      </c>
      <c r="T668" s="5" t="s">
        <v>469</v>
      </c>
    </row>
    <row r="669" customFormat="false" ht="17.15" hidden="false" customHeight="false" outlineLevel="0" collapsed="false">
      <c r="A669" s="5" t="s">
        <v>470</v>
      </c>
      <c r="B669" s="0" t="s">
        <v>27</v>
      </c>
      <c r="C669" s="13" t="n">
        <f aca="false">q1_sd</f>
        <v>525.7</v>
      </c>
      <c r="D669" s="13" t="n">
        <f aca="false">D664-D665-D668</f>
        <v>744</v>
      </c>
      <c r="E669" s="13" t="n">
        <f aca="false">E664-E665-E668</f>
        <v>801.305579984843</v>
      </c>
      <c r="F669" s="13" t="n">
        <f aca="false">F664-F665-F668</f>
        <v>882.940662787449</v>
      </c>
      <c r="G669" s="13" t="n">
        <f aca="false">G664-G665-G668</f>
        <v>871.356345210975</v>
      </c>
      <c r="H669" s="13" t="n">
        <f aca="false">H664-H665-H668</f>
        <v>875.279801660544</v>
      </c>
      <c r="I669" s="13" t="n">
        <f aca="false">I664-I665-I668</f>
        <v>860.711010063612</v>
      </c>
      <c r="J669" s="13" t="n">
        <f aca="false">J664-J665-J668</f>
        <v>864.586533759756</v>
      </c>
      <c r="K669" s="13" t="n">
        <f aca="false">K664-K665-K668</f>
        <v>806.445257221952</v>
      </c>
      <c r="L669" s="13" t="n">
        <f aca="false">L664-L665-L668</f>
        <v>810.076438498206</v>
      </c>
      <c r="M669" s="13" t="n">
        <f aca="false">M664-M665-M668</f>
        <v>813.723969895367</v>
      </c>
      <c r="N669" s="13" t="n">
        <f aca="false">N664-N665-N668</f>
        <v>822.349165821474</v>
      </c>
      <c r="O669" s="13" t="n">
        <f aca="false">O664-O665-O668</f>
        <v>838.335675756302</v>
      </c>
      <c r="P669" s="13" t="n">
        <f aca="false">P664-P665-P668</f>
        <v>854.63296426369</v>
      </c>
      <c r="Q669" s="13" t="n">
        <f aca="false">Q664-Q665-Q668</f>
        <v>871.247072895013</v>
      </c>
      <c r="R669" s="13" t="n">
        <f aca="false">R664-R665-R668</f>
        <v>859.7180691</v>
      </c>
      <c r="T669" s="5" t="s">
        <v>471</v>
      </c>
    </row>
    <row r="670" customFormat="false" ht="15" hidden="false" customHeight="false" outlineLevel="0" collapsed="false">
      <c r="A670" s="5" t="s">
        <v>472</v>
      </c>
      <c r="B670" s="0" t="s">
        <v>27</v>
      </c>
      <c r="C670" s="18" t="n">
        <f aca="false">C665+C669+C668-C664</f>
        <v>0</v>
      </c>
      <c r="D670" s="18" t="n">
        <f aca="false">D665+D669+D668-D664</f>
        <v>0</v>
      </c>
      <c r="E670" s="18" t="n">
        <f aca="false">E665+E669+E668-E664</f>
        <v>0</v>
      </c>
      <c r="F670" s="18" t="n">
        <f aca="false">F665+F669+F668-F664</f>
        <v>0</v>
      </c>
      <c r="G670" s="18" t="n">
        <f aca="false">G665+G669+G668-G664</f>
        <v>0</v>
      </c>
      <c r="H670" s="18" t="n">
        <f aca="false">H665+H669+H668-H664</f>
        <v>0</v>
      </c>
      <c r="I670" s="18" t="n">
        <f aca="false">I665+I669+I668-I664</f>
        <v>0</v>
      </c>
      <c r="J670" s="18" t="n">
        <f aca="false">J665+J669+J668-J664</f>
        <v>0</v>
      </c>
      <c r="K670" s="18" t="n">
        <f aca="false">K665+K669+K668-K664</f>
        <v>0</v>
      </c>
      <c r="L670" s="18" t="n">
        <f aca="false">L665+L669+L668-L664</f>
        <v>0</v>
      </c>
      <c r="M670" s="18" t="n">
        <f aca="false">M665+M669+M668-M664</f>
        <v>0</v>
      </c>
      <c r="N670" s="18" t="n">
        <f aca="false">N665+N669+N668-N664</f>
        <v>0</v>
      </c>
      <c r="O670" s="18" t="n">
        <f aca="false">O665+O669+O668-O664</f>
        <v>0</v>
      </c>
      <c r="P670" s="18" t="n">
        <f aca="false">P665+P669+P668-P664</f>
        <v>0</v>
      </c>
      <c r="Q670" s="18" t="n">
        <f aca="false">Q665+Q669+Q668-Q664</f>
        <v>0</v>
      </c>
      <c r="R670" s="18" t="n">
        <f aca="false">R665+R669+R668-R664</f>
        <v>0</v>
      </c>
    </row>
    <row r="671" customFormat="false" ht="17.15" hidden="false" customHeight="false" outlineLevel="0" collapsed="false">
      <c r="A671" s="5" t="s">
        <v>473</v>
      </c>
      <c r="B671" s="0" t="s">
        <v>474</v>
      </c>
      <c r="C671" s="20" t="n">
        <f aca="false">C672/C663</f>
        <v>9.63267449926724</v>
      </c>
      <c r="D671" s="20" t="n">
        <f aca="false">D672/D663</f>
        <v>9.50991434320605</v>
      </c>
      <c r="E671" s="20" t="n">
        <f aca="false">$D671*(1-cd_A)^(1/4)</f>
        <v>9.15801220601616</v>
      </c>
      <c r="F671" s="20" t="n">
        <f aca="false">$D671*(1-cd_A)^(2/4)</f>
        <v>8.81913175437355</v>
      </c>
      <c r="G671" s="20" t="n">
        <f aca="false">$D671*(1-cd_A)^(3/4)</f>
        <v>8.49279113756868</v>
      </c>
      <c r="H671" s="20" t="n">
        <f aca="false">$D671*(1-cd_A)^(4/4)</f>
        <v>8.1785263351572</v>
      </c>
      <c r="I671" s="20" t="n">
        <f aca="false">$D671*(1-cd_A)^(5/4)</f>
        <v>7.87589049717389</v>
      </c>
      <c r="J671" s="20" t="n">
        <f aca="false">$D671*(1-cd_A)^(6/4)</f>
        <v>7.58445330876125</v>
      </c>
      <c r="K671" s="20" t="n">
        <f aca="false">$D671*(1-cd_A)^(7/4)</f>
        <v>7.30380037830907</v>
      </c>
      <c r="L671" s="20" t="n">
        <f aca="false">$D671*(1-cd_A)^(8/4)</f>
        <v>7.03353264823519</v>
      </c>
      <c r="M671" s="20" t="n">
        <f aca="false">$D671*(1-cd_A)^(9/4)</f>
        <v>6.77326582756955</v>
      </c>
      <c r="N671" s="20" t="n">
        <f aca="false">$D671*(1-cd_A)^(10/4)</f>
        <v>6.52262984553468</v>
      </c>
      <c r="O671" s="20" t="n">
        <f aca="false">$D671*(1-cd_A)^(11/4)</f>
        <v>6.2812683253458</v>
      </c>
      <c r="P671" s="20" t="n">
        <f aca="false">$D671*(1-cd_A)^(12/4)</f>
        <v>6.04883807748227</v>
      </c>
      <c r="Q671" s="20" t="n">
        <f aca="false">$D671*(1-cd_A)^(13/4)</f>
        <v>5.82500861170981</v>
      </c>
      <c r="R671" s="20" t="n">
        <f aca="false">$D671*(1-cd_A)^(14/4)</f>
        <v>5.60946166715982</v>
      </c>
    </row>
    <row r="672" customFormat="false" ht="15" hidden="false" customHeight="false" outlineLevel="0" collapsed="false">
      <c r="A672" s="5" t="s">
        <v>475</v>
      </c>
      <c r="B672" s="0" t="s">
        <v>27</v>
      </c>
      <c r="C672" s="13" t="n">
        <f aca="false">q1_rev-q1_gp</f>
        <v>387</v>
      </c>
      <c r="D672" s="13" t="n">
        <f aca="false">g2_rev-g2_op-g2_ox</f>
        <v>426.3</v>
      </c>
      <c r="E672" s="13" t="n">
        <f aca="false">E663*E671</f>
        <v>411.571578380844</v>
      </c>
      <c r="F672" s="13" t="n">
        <f aca="false">F663*F671</f>
        <v>424.00025290573</v>
      </c>
      <c r="G672" s="13" t="n">
        <f aca="false">G663*G671</f>
        <v>431.735968385688</v>
      </c>
      <c r="H672" s="13" t="n">
        <f aca="false">H663*H671</f>
        <v>439.61281890879</v>
      </c>
      <c r="I672" s="13" t="n">
        <f aca="false">I663*I671</f>
        <v>447.633379427598</v>
      </c>
      <c r="J672" s="13" t="n">
        <f aca="false">J663*J671</f>
        <v>455.80027187366</v>
      </c>
      <c r="K672" s="13" t="n">
        <f aca="false">K663*K671</f>
        <v>464.116166014614</v>
      </c>
      <c r="L672" s="13" t="n">
        <f aca="false">L663*L671</f>
        <v>472.583780326949</v>
      </c>
      <c r="M672" s="13" t="n">
        <f aca="false">M663*M671</f>
        <v>481.205882884668</v>
      </c>
      <c r="N672" s="13" t="n">
        <f aca="false">N663*N671</f>
        <v>482.795211097324</v>
      </c>
      <c r="O672" s="13" t="n">
        <f aca="false">O663*O671</f>
        <v>488.627070940835</v>
      </c>
      <c r="P672" s="13" t="n">
        <f aca="false">P663*P671</f>
        <v>494.529375951265</v>
      </c>
      <c r="Q672" s="13" t="n">
        <f aca="false">Q663*Q671</f>
        <v>500.502977061541</v>
      </c>
      <c r="R672" s="13" t="n">
        <f aca="false">R663*R671</f>
        <v>491.049567000935</v>
      </c>
      <c r="T672" s="5" t="s">
        <v>476</v>
      </c>
    </row>
    <row r="673" customFormat="false" ht="15" hidden="false" customHeight="false" outlineLevel="0" collapsed="false">
      <c r="A673" s="5" t="s">
        <v>360</v>
      </c>
      <c r="B673" s="0" t="s">
        <v>145</v>
      </c>
      <c r="C673" s="14" t="n">
        <f aca="false">1-C672/C664</f>
        <v>0.780997113915455</v>
      </c>
      <c r="D673" s="14" t="n">
        <f aca="false">1-D672/D664</f>
        <v>0.828104838709677</v>
      </c>
      <c r="E673" s="14" t="n">
        <f aca="false">1-E672/E664</f>
        <v>0.845912125662986</v>
      </c>
      <c r="F673" s="14" t="n">
        <f aca="false">1-F672/F664</f>
        <v>0.855935872893035</v>
      </c>
      <c r="G673" s="14" t="n">
        <f aca="false">1-G672/G664</f>
        <v>0.861266780448218</v>
      </c>
      <c r="H673" s="14" t="n">
        <f aca="false">1-H672/H664</f>
        <v>0.859368868034042</v>
      </c>
      <c r="I673" s="14" t="n">
        <f aca="false">1-I672/I664</f>
        <v>0.854379292498577</v>
      </c>
      <c r="J673" s="14" t="n">
        <f aca="false">1-J672/J664</f>
        <v>0.852387157165592</v>
      </c>
      <c r="K673" s="14" t="n">
        <f aca="false">1-K672/K664</f>
        <v>0.850367768818574</v>
      </c>
      <c r="L673" s="14" t="n">
        <f aca="false">1-L672/L664</f>
        <v>0.848320754628048</v>
      </c>
      <c r="M673" s="14" t="n">
        <f aca="false">1-M672/M664</f>
        <v>0.846245736664115</v>
      </c>
      <c r="N673" s="14" t="n">
        <f aca="false">1-N672/N664</f>
        <v>0.847355891995207</v>
      </c>
      <c r="O673" s="14" t="n">
        <f aca="false">1-O672/O664</f>
        <v>0.848458031647042</v>
      </c>
      <c r="P673" s="14" t="n">
        <f aca="false">1-P672/P664</f>
        <v>0.849552213495409</v>
      </c>
      <c r="Q673" s="14" t="n">
        <f aca="false">1-Q672/Q664</f>
        <v>0.850638494998213</v>
      </c>
      <c r="R673" s="14" t="n">
        <f aca="false">1-R672/R664</f>
        <v>0.851494470095414</v>
      </c>
    </row>
    <row r="674" customFormat="false" ht="17.15" hidden="false" customHeight="false" outlineLevel="0" collapsed="false">
      <c r="A674" s="5" t="s">
        <v>477</v>
      </c>
      <c r="B674" s="0" t="s">
        <v>27</v>
      </c>
      <c r="C674" s="13" t="n">
        <f aca="false">q1_gp-q1_op</f>
        <v>110.1</v>
      </c>
      <c r="D674" s="13" t="n">
        <f aca="false">g2_ox</f>
        <v>59</v>
      </c>
      <c r="E674" s="13" t="n">
        <f aca="false">(g2_ox-ox_var*g2_rev)*(1+ox_g)^(1/4)+ox_var*E664</f>
        <v>61.7348741661828</v>
      </c>
      <c r="F674" s="13" t="n">
        <f aca="false">(g2_ox-ox_var*g2_rev)*(1+ox_g)^(2/4)+ox_var*F664</f>
        <v>65.3006180336675</v>
      </c>
      <c r="G674" s="13" t="n">
        <f aca="false">(g2_ox-ox_var*g2_rev)*(1+ox_g)^(3/4)+ox_var*G664</f>
        <v>67.8540723254433</v>
      </c>
      <c r="H674" s="13" t="n">
        <f aca="false">(g2_ox-ox_var*g2_rev)*(1+ox_g)^(4/4)+ox_var*H664</f>
        <v>68.879992916448</v>
      </c>
      <c r="I674" s="13" t="n">
        <f aca="false">(g2_ox-ox_var*g2_rev)*(1+ox_g)^(5/4)+ox_var*I664</f>
        <v>69.2668359142001</v>
      </c>
      <c r="J674" s="13" t="n">
        <f aca="false">(g2_ox-ox_var*g2_rev)*(1+ox_g)^(6/4)+ox_var*J664</f>
        <v>70.334279359581</v>
      </c>
      <c r="K674" s="13" t="n">
        <f aca="false">(g2_ox-ox_var*g2_rev)*(1+ox_g)^(7/4)+ox_var*K664</f>
        <v>71.4247484167525</v>
      </c>
      <c r="L674" s="13" t="n">
        <f aca="false">(g2_ox-ox_var*g2_rev)*(1+ox_g)^(8/4)+ox_var*L664</f>
        <v>72.5387860960849</v>
      </c>
      <c r="M674" s="13" t="n">
        <f aca="false">(g2_ox-ox_var*g2_rev)*(1+ox_g)^(9/4)+ox_var*M664</f>
        <v>73.676948446899</v>
      </c>
      <c r="N674" s="13" t="n">
        <f aca="false">(g2_ox-ox_var*g2_rev)*(1+ox_g)^(10/4)+ox_var*N664</f>
        <v>75.0306218250339</v>
      </c>
      <c r="O674" s="13" t="n">
        <f aca="false">(g2_ox-ox_var*g2_rev)*(1+ox_g)^(11/4)+ox_var*O664</f>
        <v>76.6920652896645</v>
      </c>
      <c r="P674" s="13" t="n">
        <f aca="false">(g2_ox-ox_var*g2_rev)*(1+ox_g)^(12/4)+ox_var*P664</f>
        <v>78.3906986255266</v>
      </c>
      <c r="Q674" s="13" t="n">
        <f aca="false">(g2_ox-ox_var*g2_rev)*(1+ox_g)^(13/4)+ox_var*Q664</f>
        <v>80.1273627535161</v>
      </c>
      <c r="R674" s="13" t="n">
        <f aca="false">(g2_ox-ox_var*g2_rev)*(1+ox_g)^(14/4)+ox_var*R664</f>
        <v>80.8080681112442</v>
      </c>
      <c r="T674" s="5" t="s">
        <v>478</v>
      </c>
    </row>
    <row r="675" customFormat="false" ht="15" hidden="false" customHeight="false" outlineLevel="0" collapsed="false">
      <c r="A675" s="5" t="s">
        <v>358</v>
      </c>
      <c r="B675" s="0" t="s">
        <v>27</v>
      </c>
      <c r="C675" s="13" t="n">
        <f aca="false">C664-C672-C674</f>
        <v>1270</v>
      </c>
      <c r="D675" s="13" t="n">
        <f aca="false">D664-D672-D674</f>
        <v>1994.7</v>
      </c>
      <c r="E675" s="13" t="n">
        <f aca="false">E664-E672-E674</f>
        <v>2197.71214740245</v>
      </c>
      <c r="F675" s="13" t="n">
        <f aca="false">F664-F672-F674</f>
        <v>2453.83467168543</v>
      </c>
      <c r="G675" s="13" t="n">
        <f aca="false">G664-G672-G674</f>
        <v>2612.39690647092</v>
      </c>
      <c r="H675" s="13" t="n">
        <f aca="false">H664-H672-H674</f>
        <v>2617.50647981956</v>
      </c>
      <c r="I675" s="13" t="n">
        <f aca="false">I664-I672-I674</f>
        <v>2557.06767774253</v>
      </c>
      <c r="J675" s="13" t="n">
        <f aca="false">J664-J672-J674</f>
        <v>2561.67449790875</v>
      </c>
      <c r="K675" s="13" t="n">
        <f aca="false">K664-K672-K674</f>
        <v>2566.17161334537</v>
      </c>
      <c r="L675" s="13" t="n">
        <f aca="false">L664-L672-L674</f>
        <v>2570.55604318545</v>
      </c>
      <c r="M675" s="13" t="n">
        <f aca="false">M664-M672-M674</f>
        <v>2574.82474518908</v>
      </c>
      <c r="N675" s="13" t="n">
        <f aca="false">N664-N672-N674</f>
        <v>2605.05557408331</v>
      </c>
      <c r="O675" s="13" t="n">
        <f aca="false">O664-O672-O674</f>
        <v>2659.04884744759</v>
      </c>
      <c r="P675" s="13" t="n">
        <f aca="false">P664-P672-P674</f>
        <v>2714.12978797586</v>
      </c>
      <c r="Q675" s="13" t="n">
        <f aca="false">Q664-Q672-Q674</f>
        <v>2770.31994055038</v>
      </c>
      <c r="R675" s="13" t="n">
        <f aca="false">R664-R672-R674</f>
        <v>2734.75032296474</v>
      </c>
    </row>
    <row r="677" customFormat="false" ht="17.15" hidden="false" customHeight="false" outlineLevel="0" collapsed="false">
      <c r="A677" s="5" t="s">
        <v>359</v>
      </c>
      <c r="B677" s="0" t="s">
        <v>27</v>
      </c>
      <c r="C677" s="13" t="n">
        <f aca="false">q1_ni</f>
        <v>842.2</v>
      </c>
      <c r="D677" s="13" t="n">
        <f aca="false">g2_ni</f>
        <v>1360</v>
      </c>
      <c r="E677" s="13" t="n">
        <f aca="false">(E675+nonop_q+rf*nc_j/4)*(1-tax_lo)</f>
        <v>1571.83426612976</v>
      </c>
      <c r="F677" s="13" t="n">
        <f aca="false">(F675+nonop_q+rf*nc_j/4)*(1-tax_lo)</f>
        <v>1756.24248361351</v>
      </c>
      <c r="G677" s="13" t="n">
        <f aca="false">(G675+nonop_q+rf*$D698/4)*(1-tax_lo)</f>
        <v>1877.01772317869</v>
      </c>
      <c r="H677" s="13" t="n">
        <f aca="false">(H675+nonop_q+rf*$D698/4)*(1-tax_lo)</f>
        <v>1880.69661598972</v>
      </c>
      <c r="I677" s="13" t="n">
        <f aca="false">(I675+nonop_q+rf*$D698/4)*(1-tax_lo)</f>
        <v>1837.18067849425</v>
      </c>
      <c r="J677" s="13" t="n">
        <f aca="false">(J675+nonop_q+rf*$D698/4)*(1-tax_lo)</f>
        <v>1840.49758901393</v>
      </c>
      <c r="K677" s="13" t="n">
        <f aca="false">(K675+nonop_q+rf*$E698/4)*(1-tax_lo)</f>
        <v>1854.22647748191</v>
      </c>
      <c r="L677" s="13" t="n">
        <f aca="false">(L675+nonop_q+rf*$E698/4)*(1-tax_lo)</f>
        <v>1857.38326696677</v>
      </c>
      <c r="M677" s="13" t="n">
        <f aca="false">(M675+nonop_q+rf*$E698/4)*(1-tax_lo)</f>
        <v>1860.45673240938</v>
      </c>
      <c r="N677" s="13" t="n">
        <f aca="false">(N675+nonop_q+rf*$E698/4)*(1-tax_lo)</f>
        <v>1882.22292921323</v>
      </c>
      <c r="O677" s="13" t="n">
        <f aca="false">(O675+nonop_q+rf*$F698/4)*(1-tax_lo)</f>
        <v>1931.61626278025</v>
      </c>
      <c r="P677" s="13" t="n">
        <f aca="false">(P675+nonop_q+rf*$F698/4)*(1-tax_lo)</f>
        <v>1971.27453996061</v>
      </c>
      <c r="Q677" s="13" t="n">
        <f aca="false">(Q675+nonop_q+rf*$F698/4)*(1-tax_lo)</f>
        <v>2011.73144981426</v>
      </c>
      <c r="R677" s="13" t="n">
        <f aca="false">(R675+nonop_q+rf*$F698/4)*(1-tax_lo)</f>
        <v>1986.1213251526</v>
      </c>
      <c r="T677" s="5" t="s">
        <v>479</v>
      </c>
    </row>
    <row r="678" customFormat="false" ht="17.15" hidden="false" customHeight="false" outlineLevel="0" collapsed="false">
      <c r="A678" s="5" t="s">
        <v>480</v>
      </c>
      <c r="B678" s="0" t="s">
        <v>108</v>
      </c>
      <c r="C678" s="17" t="n">
        <f aca="false">C677/(sh0+dil)*1000</f>
        <v>507.343332753891</v>
      </c>
      <c r="D678" s="17" t="n">
        <f aca="false">D677/(sh0+dil)*1000</f>
        <v>819.267314824616</v>
      </c>
      <c r="E678" s="17" t="n">
        <f aca="false">E677/(sh0+dil)*1000</f>
        <v>946.876793059892</v>
      </c>
      <c r="F678" s="17" t="n">
        <f aca="false">F677/(sh0+dil)*1000</f>
        <v>1057.96475274335</v>
      </c>
      <c r="G678" s="17" t="n">
        <f aca="false">G677/(sh0+dil)*1000</f>
        <v>1130.72005143149</v>
      </c>
      <c r="H678" s="17" t="n">
        <f aca="false">H677/(sh0+dil)*1000</f>
        <v>1132.93622542767</v>
      </c>
      <c r="I678" s="17" t="n">
        <f aca="false">I677/(sh0+dil)*1000</f>
        <v>1106.72211861592</v>
      </c>
      <c r="J678" s="17" t="n">
        <f aca="false">J677/(sh0+dil)*1000</f>
        <v>1108.72023359751</v>
      </c>
      <c r="K678" s="17" t="n">
        <f aca="false">K677/(sh0+dil)*1000</f>
        <v>1116.99054947302</v>
      </c>
      <c r="L678" s="17" t="n">
        <f aca="false">L677/(sh0+dil)*1000</f>
        <v>1118.89220715297</v>
      </c>
      <c r="M678" s="17" t="n">
        <f aca="false">M677/(sh0+dil)*1000</f>
        <v>1120.74367022677</v>
      </c>
      <c r="N678" s="17" t="n">
        <f aca="false">N677/(sh0+dil)*1000</f>
        <v>1133.85568023371</v>
      </c>
      <c r="O678" s="17" t="n">
        <f aca="false">O677/(sh0+dil)*1000</f>
        <v>1163.61034476436</v>
      </c>
      <c r="P678" s="17" t="n">
        <f aca="false">P677/(sh0+dil)*1000</f>
        <v>1187.50058759975</v>
      </c>
      <c r="Q678" s="17" t="n">
        <f aca="false">Q677/(sh0+dil)*1000</f>
        <v>1211.87192870409</v>
      </c>
      <c r="R678" s="17" t="n">
        <f aca="false">R677/(sh0+dil)*1000</f>
        <v>1196.44432718653</v>
      </c>
    </row>
    <row r="680" customFormat="false" ht="17.15" hidden="false" customHeight="false" outlineLevel="0" collapsed="false">
      <c r="A680" s="12" t="s">
        <v>481</v>
      </c>
      <c r="B680" s="6" t="s">
        <v>17</v>
      </c>
      <c r="C680" s="12" t="s">
        <v>425</v>
      </c>
      <c r="D680" s="12" t="s">
        <v>426</v>
      </c>
      <c r="E680" s="12" t="s">
        <v>427</v>
      </c>
      <c r="F680" s="12" t="s">
        <v>428</v>
      </c>
      <c r="G680" s="12" t="s">
        <v>429</v>
      </c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6" t="s">
        <v>330</v>
      </c>
    </row>
    <row r="681" customFormat="false" ht="17.15" hidden="false" customHeight="false" outlineLevel="0" collapsed="false">
      <c r="A681" s="5" t="s">
        <v>354</v>
      </c>
      <c r="B681" s="0" t="s">
        <v>27</v>
      </c>
      <c r="C681" s="13" t="n">
        <f aca="false">a25_rev</f>
        <v>2337.6</v>
      </c>
      <c r="D681" s="13" t="n">
        <f aca="false">SUM(C664:F664)</f>
        <v>9861.25414257431</v>
      </c>
      <c r="E681" s="13" t="n">
        <f aca="false">SUM(G664:J664)</f>
        <v>12399.7631810532</v>
      </c>
      <c r="F681" s="13" t="n">
        <f aca="false">SUM(K664:N664)</f>
        <v>12509.9801209115</v>
      </c>
      <c r="G681" s="13" t="n">
        <f aca="false">SUM(O664:R664)</f>
        <v>13168.9760846731</v>
      </c>
      <c r="T681" s="8" t="s">
        <v>482</v>
      </c>
    </row>
    <row r="682" customFormat="false" ht="17.15" hidden="false" customHeight="false" outlineLevel="0" collapsed="false">
      <c r="A682" s="5" t="s">
        <v>483</v>
      </c>
      <c r="B682" s="0" t="s">
        <v>27</v>
      </c>
      <c r="C682" s="13" t="n">
        <f aca="false">p1_ss+p2_ss+p3_ss+p4_ss</f>
        <v>1364.7</v>
      </c>
      <c r="D682" s="13" t="n">
        <f aca="false">SUM(C665:F665)</f>
        <v>6516.84173409904</v>
      </c>
      <c r="E682" s="13" t="n">
        <f aca="false">SUM(G665:J665)</f>
        <v>8431.83896311616</v>
      </c>
      <c r="F682" s="13" t="n">
        <f aca="false">SUM(K665:N665)</f>
        <v>8756.98608463807</v>
      </c>
      <c r="G682" s="13" t="n">
        <f aca="false">SUM(O665:R665)</f>
        <v>9218.28325927117</v>
      </c>
    </row>
    <row r="683" customFormat="false" ht="17.15" hidden="false" customHeight="false" outlineLevel="0" collapsed="false">
      <c r="A683" s="0" t="s">
        <v>484</v>
      </c>
      <c r="B683" s="0" t="s">
        <v>27</v>
      </c>
      <c r="C683" s="13" t="n">
        <f aca="false">C682*(0.75*Units!C16+0.25*Units!D16)</f>
        <v>507.679569396364</v>
      </c>
      <c r="D683" s="13" t="n">
        <f aca="false">SUM(C666:F666)</f>
        <v>3813.48331392765</v>
      </c>
      <c r="E683" s="13" t="n">
        <f aca="false">SUM(G666:J666)</f>
        <v>5809.33026284196</v>
      </c>
      <c r="F683" s="13" t="n">
        <f aca="false">SUM(K666:N666)</f>
        <v>6390.85985817728</v>
      </c>
      <c r="G683" s="13" t="n">
        <f aca="false">SUM(O666:R666)</f>
        <v>7025.78491807603</v>
      </c>
    </row>
    <row r="684" customFormat="false" ht="15" hidden="false" customHeight="false" outlineLevel="0" collapsed="false">
      <c r="A684" s="5" t="s">
        <v>485</v>
      </c>
      <c r="B684" s="0" t="s">
        <v>27</v>
      </c>
      <c r="C684" s="13" t="n">
        <f aca="false">p1_sd+p2_sd+p3_sd+p4_sd</f>
        <v>759.5</v>
      </c>
      <c r="D684" s="13" t="n">
        <f aca="false">SUM(C669:F669)</f>
        <v>2953.94624277229</v>
      </c>
      <c r="E684" s="13" t="n">
        <f aca="false">SUM(G669:J669)</f>
        <v>3471.93369069489</v>
      </c>
      <c r="F684" s="13" t="n">
        <f aca="false">SUM(K669:N669)</f>
        <v>3252.594831437</v>
      </c>
      <c r="G684" s="13" t="n">
        <f aca="false">SUM(O669:R669)</f>
        <v>3423.93378201501</v>
      </c>
    </row>
    <row r="685" customFormat="false" ht="17.15" hidden="false" customHeight="false" outlineLevel="0" collapsed="false">
      <c r="A685" s="5" t="s">
        <v>486</v>
      </c>
      <c r="B685" s="0" t="s">
        <v>27</v>
      </c>
      <c r="C685" s="13" t="n">
        <f aca="false">a25_rev-C682-C684</f>
        <v>213.4</v>
      </c>
      <c r="D685" s="13" t="n">
        <f aca="false">SUM(C668:F668)</f>
        <v>390.466165702972</v>
      </c>
      <c r="E685" s="13" t="n">
        <f aca="false">SUM(G668:J668)</f>
        <v>495.990527242127</v>
      </c>
      <c r="F685" s="13" t="n">
        <f aca="false">SUM(K668:N668)</f>
        <v>500.399204836461</v>
      </c>
      <c r="G685" s="13" t="n">
        <f aca="false">SUM(O668:R668)</f>
        <v>526.759043386924</v>
      </c>
      <c r="T685" s="8" t="s">
        <v>487</v>
      </c>
    </row>
    <row r="686" customFormat="false" ht="15" hidden="false" customHeight="false" outlineLevel="0" collapsed="false">
      <c r="A686" s="5" t="s">
        <v>488</v>
      </c>
      <c r="B686" s="0" t="s">
        <v>27</v>
      </c>
      <c r="C686" s="18" t="n">
        <f aca="false">C682+C684+C685-C681</f>
        <v>0</v>
      </c>
      <c r="D686" s="18" t="n">
        <f aca="false">D682+D684+D685-D681</f>
        <v>0</v>
      </c>
      <c r="E686" s="18" t="n">
        <f aca="false">E682+E684+E685-E681</f>
        <v>0</v>
      </c>
      <c r="F686" s="18" t="n">
        <f aca="false">F682+F684+F685-F681</f>
        <v>0</v>
      </c>
      <c r="G686" s="18" t="n">
        <f aca="false">G682+G684+G685-G681</f>
        <v>0</v>
      </c>
    </row>
    <row r="687" customFormat="false" ht="15" hidden="false" customHeight="false" outlineLevel="0" collapsed="false">
      <c r="A687" s="5" t="s">
        <v>475</v>
      </c>
      <c r="B687" s="0" t="s">
        <v>27</v>
      </c>
      <c r="C687" s="13" t="n">
        <f aca="false">a25_rev-(p1_gp+p2_gp+p3_gp+p4_gp)</f>
        <v>1324.8</v>
      </c>
      <c r="D687" s="13" t="n">
        <f aca="false">SUM(C672:F672)</f>
        <v>1648.87183128657</v>
      </c>
      <c r="E687" s="13" t="n">
        <f aca="false">SUM(G672:J672)</f>
        <v>1774.78243859574</v>
      </c>
      <c r="F687" s="13" t="n">
        <f aca="false">SUM(K672:N672)</f>
        <v>1900.70104032356</v>
      </c>
      <c r="G687" s="13" t="n">
        <f aca="false">SUM(O672:R672)</f>
        <v>1974.70899095458</v>
      </c>
    </row>
    <row r="688" customFormat="false" ht="15" hidden="false" customHeight="false" outlineLevel="0" collapsed="false">
      <c r="A688" s="5" t="s">
        <v>360</v>
      </c>
      <c r="B688" s="0" t="s">
        <v>145</v>
      </c>
      <c r="C688" s="14" t="n">
        <f aca="false">1-C687/C681</f>
        <v>0.433264887063655</v>
      </c>
      <c r="D688" s="14" t="n">
        <f aca="false">1-D687/D681</f>
        <v>0.832792887451521</v>
      </c>
      <c r="E688" s="14" t="n">
        <f aca="false">1-E687/E681</f>
        <v>0.85686965043755</v>
      </c>
      <c r="F688" s="14" t="n">
        <f aca="false">1-F687/F681</f>
        <v>0.84806522296975</v>
      </c>
      <c r="G688" s="14" t="n">
        <f aca="false">1-G687/G681</f>
        <v>0.850048403288326</v>
      </c>
    </row>
    <row r="689" customFormat="false" ht="15" hidden="false" customHeight="false" outlineLevel="0" collapsed="false">
      <c r="A689" s="5" t="s">
        <v>477</v>
      </c>
      <c r="B689" s="0" t="s">
        <v>27</v>
      </c>
      <c r="D689" s="13" t="n">
        <f aca="false">SUM(C674:F674)</f>
        <v>296.13549219985</v>
      </c>
      <c r="E689" s="13" t="n">
        <f aca="false">SUM(G674:J674)</f>
        <v>276.335180515672</v>
      </c>
      <c r="F689" s="13" t="n">
        <f aca="false">SUM(K674:N674)</f>
        <v>292.67110478477</v>
      </c>
      <c r="G689" s="13" t="n">
        <f aca="false">SUM(O674:R674)</f>
        <v>316.018194779951</v>
      </c>
    </row>
    <row r="690" customFormat="false" ht="15" hidden="false" customHeight="false" outlineLevel="0" collapsed="false">
      <c r="A690" s="5" t="s">
        <v>358</v>
      </c>
      <c r="B690" s="0" t="s">
        <v>27</v>
      </c>
      <c r="C690" s="13" t="n">
        <f aca="false">p1_op+p2_op+p3_op+p4_op</f>
        <v>869</v>
      </c>
      <c r="D690" s="13" t="n">
        <f aca="false">SUM(C675:F675)</f>
        <v>7916.24681908788</v>
      </c>
      <c r="E690" s="13" t="n">
        <f aca="false">SUM(G675:J675)</f>
        <v>10348.6455619418</v>
      </c>
      <c r="F690" s="13" t="n">
        <f aca="false">SUM(K675:N675)</f>
        <v>10316.6079758032</v>
      </c>
      <c r="G690" s="13" t="n">
        <f aca="false">SUM(O675:R675)</f>
        <v>10878.2488989386</v>
      </c>
    </row>
    <row r="691" customFormat="false" ht="15" hidden="false" customHeight="false" outlineLevel="0" collapsed="false">
      <c r="A691" s="5" t="s">
        <v>361</v>
      </c>
      <c r="B691" s="0" t="s">
        <v>145</v>
      </c>
      <c r="C691" s="14" t="n">
        <f aca="false">C690/C681</f>
        <v>0.371748802190281</v>
      </c>
      <c r="D691" s="14" t="n">
        <f aca="false">D690/D681</f>
        <v>0.802762681565098</v>
      </c>
      <c r="E691" s="14" t="n">
        <f aca="false">E690/E681</f>
        <v>0.834584129619063</v>
      </c>
      <c r="F691" s="14" t="n">
        <f aca="false">F690/F681</f>
        <v>0.824670213388916</v>
      </c>
      <c r="G691" s="14" t="n">
        <f aca="false">G690/G681</f>
        <v>0.826051230482481</v>
      </c>
    </row>
    <row r="692" customFormat="false" ht="15" hidden="false" customHeight="false" outlineLevel="0" collapsed="false">
      <c r="A692" s="5" t="s">
        <v>359</v>
      </c>
      <c r="B692" s="0" t="s">
        <v>27</v>
      </c>
      <c r="C692" s="13" t="n">
        <f aca="false">a25_ni</f>
        <v>554.5</v>
      </c>
      <c r="D692" s="13" t="n">
        <f aca="false">SUM(C677:F677)</f>
        <v>5530.27674974328</v>
      </c>
      <c r="E692" s="13" t="n">
        <f aca="false">SUM(G677:J677)</f>
        <v>7435.39260667659</v>
      </c>
      <c r="F692" s="13" t="n">
        <f aca="false">SUM(K677:N677)</f>
        <v>7454.28940607129</v>
      </c>
      <c r="G692" s="13" t="n">
        <f aca="false">SUM(O677:R677)</f>
        <v>7900.74357770772</v>
      </c>
    </row>
    <row r="693" customFormat="false" ht="15" hidden="false" customHeight="false" outlineLevel="0" collapsed="false">
      <c r="A693" s="5" t="s">
        <v>489</v>
      </c>
      <c r="B693" s="0" t="s">
        <v>27</v>
      </c>
      <c r="D693" s="13" t="n">
        <f aca="false">da_y</f>
        <v>320</v>
      </c>
      <c r="E693" s="13" t="n">
        <f aca="false">da_y</f>
        <v>320</v>
      </c>
      <c r="F693" s="13" t="n">
        <f aca="false">da_y</f>
        <v>320</v>
      </c>
      <c r="G693" s="13" t="n">
        <f aca="false">da_y</f>
        <v>320</v>
      </c>
    </row>
    <row r="694" customFormat="false" ht="15" hidden="false" customHeight="false" outlineLevel="0" collapsed="false">
      <c r="A694" s="5" t="s">
        <v>490</v>
      </c>
      <c r="B694" s="0" t="s">
        <v>27</v>
      </c>
      <c r="D694" s="13" t="n">
        <f aca="false">cap_2026</f>
        <v>450</v>
      </c>
      <c r="E694" s="13" t="n">
        <f aca="false">cap_2027</f>
        <v>470</v>
      </c>
      <c r="F694" s="13" t="n">
        <f aca="false">cap_2028</f>
        <v>470</v>
      </c>
      <c r="G694" s="13" t="n">
        <f aca="false">cap_2029</f>
        <v>470</v>
      </c>
    </row>
    <row r="695" customFormat="false" ht="15" hidden="false" customHeight="false" outlineLevel="0" collapsed="false">
      <c r="A695" s="5" t="s">
        <v>491</v>
      </c>
      <c r="B695" s="0" t="s">
        <v>27</v>
      </c>
      <c r="D695" s="13" t="n">
        <f aca="false">D692+D693-D694</f>
        <v>5400.27674974328</v>
      </c>
      <c r="E695" s="13" t="n">
        <f aca="false">E692+E693-E694</f>
        <v>7285.39260667659</v>
      </c>
      <c r="F695" s="13" t="n">
        <f aca="false">F692+F693-F694</f>
        <v>7304.28940607129</v>
      </c>
      <c r="G695" s="13" t="n">
        <f aca="false">G692+G693-G694</f>
        <v>7750.74357770772</v>
      </c>
    </row>
    <row r="696" customFormat="false" ht="17.15" hidden="false" customHeight="false" outlineLevel="0" collapsed="false">
      <c r="A696" s="5" t="s">
        <v>492</v>
      </c>
      <c r="B696" s="0" t="s">
        <v>27</v>
      </c>
      <c r="D696" s="13" t="n">
        <f aca="false">MAX(0,payout*(SUM(D677:F677)+0.75*(D693-D694)))</f>
        <v>918.115349948655</v>
      </c>
      <c r="E696" s="13" t="n">
        <f aca="false">MAX(0,payout*E695)</f>
        <v>1457.07852133532</v>
      </c>
      <c r="F696" s="13" t="n">
        <f aca="false">MAX(0,payout*F695)</f>
        <v>1460.85788121426</v>
      </c>
      <c r="G696" s="13" t="n">
        <f aca="false">MAX(0,payout*G695)</f>
        <v>1550.14871554154</v>
      </c>
      <c r="T696" s="8" t="s">
        <v>493</v>
      </c>
    </row>
    <row r="697" customFormat="false" ht="17.15" hidden="false" customHeight="false" outlineLevel="0" collapsed="false">
      <c r="A697" s="5" t="s">
        <v>494</v>
      </c>
      <c r="B697" s="0" t="s">
        <v>27</v>
      </c>
      <c r="C697" s="13" t="n">
        <f aca="false">eq25</f>
        <v>1399.1</v>
      </c>
      <c r="D697" s="13" t="n">
        <f aca="false">eq_j+SUM(D677:F677)-D696</f>
        <v>6174.26139979462</v>
      </c>
      <c r="E697" s="13" t="n">
        <f aca="false">D697+E692-E696</f>
        <v>12152.5754851359</v>
      </c>
      <c r="F697" s="13" t="n">
        <f aca="false">E697+F692-F696</f>
        <v>18146.0070099929</v>
      </c>
      <c r="G697" s="13" t="n">
        <f aca="false">F697+G692-G696</f>
        <v>24496.6018721591</v>
      </c>
      <c r="T697" s="8" t="s">
        <v>495</v>
      </c>
    </row>
    <row r="698" customFormat="false" ht="15" hidden="false" customHeight="false" outlineLevel="0" collapsed="false">
      <c r="A698" s="5" t="s">
        <v>496</v>
      </c>
      <c r="B698" s="0" t="s">
        <v>27</v>
      </c>
      <c r="D698" s="13" t="n">
        <f aca="false">nc_j+(SUM(D677:F677)+0.75*(D693-D694))-D696</f>
        <v>3828.86139979462</v>
      </c>
      <c r="E698" s="13" t="n">
        <f aca="false">D698+E695-E696</f>
        <v>9657.17548513589</v>
      </c>
      <c r="F698" s="13" t="n">
        <f aca="false">E698+F695-F696</f>
        <v>15500.6070099929</v>
      </c>
      <c r="G698" s="13" t="n">
        <f aca="false">F698+G695-G696</f>
        <v>21701.2018721591</v>
      </c>
    </row>
    <row r="699" customFormat="false" ht="15" hidden="false" customHeight="false" outlineLevel="0" collapsed="false">
      <c r="A699" s="5" t="s">
        <v>497</v>
      </c>
      <c r="B699" s="5" t="s">
        <v>209</v>
      </c>
      <c r="D699" s="13" t="n">
        <f aca="false">sh0-D696/bb_px*1000</f>
        <v>1572.06309471747</v>
      </c>
      <c r="E699" s="13" t="n">
        <f aca="false">D699-E696/bb_px*1000</f>
        <v>1457.82722475782</v>
      </c>
      <c r="F699" s="13" t="n">
        <f aca="false">E699-F696/bb_px*1000</f>
        <v>1343.29505061323</v>
      </c>
      <c r="G699" s="13" t="n">
        <f aca="false">F699-G696/bb_px*1000</f>
        <v>1221.76241905372</v>
      </c>
    </row>
    <row r="700" customFormat="false" ht="17.15" hidden="false" customHeight="false" outlineLevel="0" collapsed="false">
      <c r="A700" s="0" t="s">
        <v>498</v>
      </c>
      <c r="B700" s="0" t="s">
        <v>108</v>
      </c>
      <c r="C700" s="17" t="n">
        <f aca="false">a25_eps</f>
        <v>341.4</v>
      </c>
      <c r="D700" s="17" t="n">
        <f aca="false">D692/(D699+dil)*1000</f>
        <v>3482.45645371496</v>
      </c>
      <c r="E700" s="17" t="n">
        <f aca="false">E692/(E699+dil)*1000</f>
        <v>5045.03778784402</v>
      </c>
      <c r="F700" s="17" t="n">
        <f aca="false">F692/(F699+dil)*1000</f>
        <v>5484.0348343998</v>
      </c>
      <c r="G700" s="17" t="n">
        <f aca="false">G692/(G699+dil)*1000</f>
        <v>6383.20981563873</v>
      </c>
    </row>
    <row r="701" customFormat="false" ht="17.15" hidden="false" customHeight="false" outlineLevel="0" collapsed="false">
      <c r="A701" s="5" t="s">
        <v>499</v>
      </c>
      <c r="B701" s="0" t="s">
        <v>108</v>
      </c>
      <c r="D701" s="17" t="n">
        <f aca="false">D697/D699*1000</f>
        <v>3927.48956485379</v>
      </c>
      <c r="E701" s="17" t="n">
        <f aca="false">E697/E699*1000</f>
        <v>8336.08762324679</v>
      </c>
      <c r="F701" s="17" t="n">
        <f aca="false">F697/F699*1000</f>
        <v>13508.5787755334</v>
      </c>
      <c r="G701" s="17" t="n">
        <f aca="false">G697/G699*1000</f>
        <v>20050.2172027293</v>
      </c>
    </row>
    <row r="702" customFormat="false" ht="17.15" hidden="false" customHeight="false" outlineLevel="0" collapsed="false">
      <c r="A702" s="0" t="s">
        <v>500</v>
      </c>
      <c r="B702" s="0" t="s">
        <v>145</v>
      </c>
      <c r="D702" s="21" t="n">
        <f aca="false">D692/D697</f>
        <v>0.895698512202161</v>
      </c>
      <c r="E702" s="21" t="n">
        <f aca="false">E692/E697</f>
        <v>0.611836776144365</v>
      </c>
      <c r="F702" s="21" t="n">
        <f aca="false">F692/F697</f>
        <v>0.410795025151608</v>
      </c>
      <c r="G702" s="21" t="n">
        <f aca="false">G692/G697</f>
        <v>0.322524063498255</v>
      </c>
    </row>
    <row r="703" customFormat="false" ht="15" hidden="false" customHeight="false" outlineLevel="0" collapsed="false">
      <c r="A703" s="5" t="s">
        <v>501</v>
      </c>
      <c r="B703" s="0" t="s">
        <v>108</v>
      </c>
      <c r="E703" s="17" t="n">
        <f aca="false">E695/(E699+dil)*1000</f>
        <v>4943.26028822725</v>
      </c>
      <c r="F703" s="17" t="n">
        <f aca="false">F695/(F699+dil)*1000</f>
        <v>5373.68156256546</v>
      </c>
      <c r="G703" s="17" t="n">
        <f aca="false">G695/(G699+dil)*1000</f>
        <v>6262.02103600951</v>
      </c>
    </row>
    <row r="704" customFormat="false" ht="17.15" hidden="false" customHeight="false" outlineLevel="0" collapsed="false">
      <c r="A704" s="5" t="s">
        <v>502</v>
      </c>
      <c r="B704" s="0" t="s">
        <v>27</v>
      </c>
      <c r="D704" s="18" t="n">
        <f aca="false">ABS(C664-q1_rev)+ABS(D675-g2_op)+ABS(C681-2337.6)</f>
        <v>0</v>
      </c>
    </row>
    <row r="710" customFormat="false" ht="17.15" hidden="false" customHeight="false" outlineLevel="0" collapsed="false">
      <c r="A710" s="3" t="s">
        <v>830</v>
      </c>
    </row>
    <row r="711" customFormat="false" ht="17.15" hidden="false" customHeight="false" outlineLevel="0" collapsed="false">
      <c r="A711" s="12" t="s">
        <v>442</v>
      </c>
      <c r="B711" s="6" t="s">
        <v>17</v>
      </c>
      <c r="C711" s="12" t="s">
        <v>443</v>
      </c>
      <c r="D711" s="12" t="s">
        <v>444</v>
      </c>
      <c r="E711" s="12" t="s">
        <v>445</v>
      </c>
      <c r="F711" s="12" t="s">
        <v>446</v>
      </c>
      <c r="G711" s="12" t="s">
        <v>447</v>
      </c>
      <c r="H711" s="12" t="s">
        <v>448</v>
      </c>
      <c r="I711" s="12" t="s">
        <v>449</v>
      </c>
      <c r="J711" s="12" t="s">
        <v>450</v>
      </c>
      <c r="K711" s="12" t="s">
        <v>451</v>
      </c>
      <c r="L711" s="12" t="s">
        <v>452</v>
      </c>
      <c r="M711" s="12" t="s">
        <v>453</v>
      </c>
      <c r="N711" s="12" t="s">
        <v>454</v>
      </c>
      <c r="O711" s="12" t="s">
        <v>455</v>
      </c>
      <c r="P711" s="12" t="s">
        <v>456</v>
      </c>
      <c r="Q711" s="12" t="s">
        <v>457</v>
      </c>
      <c r="R711" s="12" t="s">
        <v>458</v>
      </c>
      <c r="S711" s="12"/>
      <c r="T711" s="6" t="s">
        <v>330</v>
      </c>
    </row>
    <row r="712" customFormat="false" ht="17.15" hidden="false" customHeight="false" outlineLevel="0" collapsed="false">
      <c r="A712" s="5" t="s">
        <v>459</v>
      </c>
      <c r="B712" s="0" t="s">
        <v>391</v>
      </c>
      <c r="C712" s="19" t="n">
        <f aca="false">Units!H4*1</f>
        <v>10.72</v>
      </c>
      <c r="D712" s="19" t="n">
        <f aca="false">Units!I4*1</f>
        <v>14.9513168749304</v>
      </c>
      <c r="E712" s="19" t="n">
        <f aca="false">Units!J4*1*1</f>
        <v>16.2035648188888</v>
      </c>
      <c r="F712" s="19" t="n">
        <f aca="false">Units!K4*1*1</f>
        <v>17.8543449815733</v>
      </c>
      <c r="G712" s="19" t="n">
        <f aca="false">Units!L4*1*1</f>
        <v>18.8786713110699</v>
      </c>
      <c r="H712" s="19" t="n">
        <f aca="false">Units!M4*1*1</f>
        <v>18.9636763094518</v>
      </c>
      <c r="I712" s="19" t="n">
        <f aca="false">Units!N4*1*1</f>
        <v>18.6480311322868</v>
      </c>
      <c r="J712" s="19" t="n">
        <f aca="false">Units!O4*1*1</f>
        <v>18.7319976270738</v>
      </c>
      <c r="K712" s="19" t="n">
        <f aca="false">Units!P4*1*1</f>
        <v>18.8163421978194</v>
      </c>
      <c r="L712" s="19" t="n">
        <f aca="false">Units!Q4*1*1</f>
        <v>18.9010665468864</v>
      </c>
      <c r="M712" s="19" t="n">
        <f aca="false">Units!R4*1*1</f>
        <v>18.9861723843027</v>
      </c>
      <c r="N712" s="19" t="n">
        <f aca="false">Units!S4*1*1</f>
        <v>19.1874193215442</v>
      </c>
      <c r="O712" s="19" t="n">
        <f aca="false">Units!T4*1*1</f>
        <v>19.5604237366471</v>
      </c>
      <c r="P712" s="19" t="n">
        <f aca="false">Units!U4*1*1</f>
        <v>19.9406793766988</v>
      </c>
      <c r="Q712" s="19" t="n">
        <f aca="false">Units!V4*1*1</f>
        <v>20.3283272058839</v>
      </c>
      <c r="R712" s="19" t="n">
        <f aca="false">Units!W4*1*1</f>
        <v>20.0593273219312</v>
      </c>
      <c r="T712" s="8" t="s">
        <v>460</v>
      </c>
    </row>
    <row r="713" customFormat="false" ht="15" hidden="false" customHeight="false" outlineLevel="0" collapsed="false">
      <c r="A713" s="5" t="s">
        <v>461</v>
      </c>
      <c r="B713" s="0" t="s">
        <v>398</v>
      </c>
      <c r="C713" s="19" t="n">
        <f aca="false">Units!H7*1</f>
        <v>40.1757580440862</v>
      </c>
      <c r="D713" s="19" t="n">
        <f aca="false">Units!I7*1</f>
        <v>44.8269021796765</v>
      </c>
      <c r="E713" s="19" t="n">
        <f aca="false">Units!J7*1</f>
        <v>44.9411476117569</v>
      </c>
      <c r="F713" s="19" t="n">
        <f aca="false">Units!K7*1</f>
        <v>48.0773237904583</v>
      </c>
      <c r="G713" s="19" t="n">
        <f aca="false">Units!L7*1</f>
        <v>50.835580599158</v>
      </c>
      <c r="H713" s="19" t="n">
        <f aca="false">Units!M7*1</f>
        <v>53.7520820858664</v>
      </c>
      <c r="I713" s="19" t="n">
        <f aca="false">Units!N7*1</f>
        <v>56.8359069476934</v>
      </c>
      <c r="J713" s="19" t="n">
        <f aca="false">Units!O7*1</f>
        <v>60.0966547380729</v>
      </c>
      <c r="K713" s="19" t="n">
        <f aca="false">Units!P7*1</f>
        <v>63.5444757489475</v>
      </c>
      <c r="L713" s="19" t="n">
        <f aca="false">Units!Q7*1</f>
        <v>67.190102607333</v>
      </c>
      <c r="M713" s="19" t="n">
        <f aca="false">Units!R7*1</f>
        <v>71.0448836846168</v>
      </c>
      <c r="N713" s="19" t="n">
        <f aca="false">Units!S7*1</f>
        <v>74.0184898623123</v>
      </c>
      <c r="O713" s="19" t="n">
        <f aca="false">Units!T7*1</f>
        <v>77.7911475249602</v>
      </c>
      <c r="P713" s="19" t="n">
        <f aca="false">Units!U7*1</f>
        <v>81.7560942476254</v>
      </c>
      <c r="Q713" s="19" t="n">
        <f aca="false">Units!V7*1</f>
        <v>85.9231308354458</v>
      </c>
      <c r="R713" s="19" t="n">
        <f aca="false">Units!W7*1</f>
        <v>87.5395173614874</v>
      </c>
    </row>
    <row r="714" customFormat="false" ht="17.15" hidden="false" customHeight="false" outlineLevel="0" collapsed="false">
      <c r="A714" s="5" t="s">
        <v>354</v>
      </c>
      <c r="B714" s="0" t="s">
        <v>27</v>
      </c>
      <c r="C714" s="13" t="n">
        <f aca="false">q1_rev</f>
        <v>1767.1</v>
      </c>
      <c r="D714" s="13" t="n">
        <f aca="false">g2_rev</f>
        <v>2480</v>
      </c>
      <c r="E714" s="13" t="n">
        <f aca="false">E712*kx_k*fx</f>
        <v>2671.01859994948</v>
      </c>
      <c r="F714" s="13" t="n">
        <f aca="false">F712*kx_k*fx</f>
        <v>2943.13554262483</v>
      </c>
      <c r="G714" s="13" t="n">
        <f aca="false">G712*kx_k*fx</f>
        <v>3111.98694718205</v>
      </c>
      <c r="H714" s="13" t="n">
        <f aca="false">H712*kx_k*fx</f>
        <v>3125.9992916448</v>
      </c>
      <c r="I714" s="13" t="n">
        <f aca="false">I712*kx_k*fx</f>
        <v>3073.96789308433</v>
      </c>
      <c r="J714" s="13" t="n">
        <f aca="false">J712*kx_k*fx</f>
        <v>3087.80904914199</v>
      </c>
      <c r="K714" s="13" t="n">
        <f aca="false">K712*kx_k*fx</f>
        <v>3101.71252777674</v>
      </c>
      <c r="L714" s="13" t="n">
        <f aca="false">L712*kx_k*fx</f>
        <v>3115.67860960848</v>
      </c>
      <c r="M714" s="13" t="n">
        <f aca="false">M712*kx_k*fx</f>
        <v>3129.70757652064</v>
      </c>
      <c r="N714" s="13" t="n">
        <f aca="false">N712*kx_k*fx</f>
        <v>3162.88140700567</v>
      </c>
      <c r="O714" s="13" t="n">
        <f aca="false">O712*kx_k*fx</f>
        <v>3224.36798367809</v>
      </c>
      <c r="P714" s="13" t="n">
        <f aca="false">P712*kx_k*fx</f>
        <v>3287.04986255265</v>
      </c>
      <c r="Q714" s="13" t="n">
        <f aca="false">Q712*kx_k*fx</f>
        <v>3350.95028036543</v>
      </c>
      <c r="R714" s="13" t="n">
        <f aca="false">R712*kx_k*fx</f>
        <v>3306.60795807692</v>
      </c>
      <c r="T714" s="5" t="s">
        <v>462</v>
      </c>
    </row>
    <row r="715" customFormat="false" ht="17.15" hidden="false" customHeight="false" outlineLevel="0" collapsed="false">
      <c r="A715" s="0" t="s">
        <v>463</v>
      </c>
      <c r="B715" s="0" t="s">
        <v>27</v>
      </c>
      <c r="C715" s="13" t="n">
        <f aca="false">q1_ss</f>
        <v>1174.7</v>
      </c>
      <c r="D715" s="13" t="n">
        <f aca="false">D714*sssh_26</f>
        <v>1636.8</v>
      </c>
      <c r="E715" s="13" t="n">
        <f aca="false">E714*sssh_26</f>
        <v>1762.87227596666</v>
      </c>
      <c r="F715" s="13" t="n">
        <f aca="false">F714*sssh_26</f>
        <v>1942.46945813239</v>
      </c>
      <c r="G715" s="13" t="n">
        <f aca="false">G714*sssh_27</f>
        <v>2116.1511240838</v>
      </c>
      <c r="H715" s="13" t="n">
        <f aca="false">H714*sssh_27</f>
        <v>2125.67951831847</v>
      </c>
      <c r="I715" s="13" t="n">
        <f aca="false">I714*sssh_27</f>
        <v>2090.29816729734</v>
      </c>
      <c r="J715" s="13" t="n">
        <f aca="false">J714*sssh_27</f>
        <v>2099.71015341655</v>
      </c>
      <c r="K715" s="13" t="n">
        <f aca="false">K714*sssh_28</f>
        <v>2171.19876944372</v>
      </c>
      <c r="L715" s="13" t="n">
        <f aca="false">L714*sssh_28</f>
        <v>2180.97502672594</v>
      </c>
      <c r="M715" s="13" t="n">
        <f aca="false">M714*sssh_28</f>
        <v>2190.79530356445</v>
      </c>
      <c r="N715" s="13" t="n">
        <f aca="false">N714*sssh_28</f>
        <v>2214.01698490397</v>
      </c>
      <c r="O715" s="13" t="n">
        <f aca="false">O714*sssh_29</f>
        <v>2257.05758857466</v>
      </c>
      <c r="P715" s="13" t="n">
        <f aca="false">P714*sssh_29</f>
        <v>2300.93490378686</v>
      </c>
      <c r="Q715" s="13" t="n">
        <f aca="false">Q714*sssh_29</f>
        <v>2345.6651962558</v>
      </c>
      <c r="R715" s="13" t="n">
        <f aca="false">R714*sssh_29</f>
        <v>2314.62557065385</v>
      </c>
      <c r="T715" s="5" t="s">
        <v>464</v>
      </c>
    </row>
    <row r="716" customFormat="false" ht="17.15" hidden="false" customHeight="false" outlineLevel="0" collapsed="false">
      <c r="A716" s="0" t="s">
        <v>465</v>
      </c>
      <c r="B716" s="0" t="s">
        <v>27</v>
      </c>
      <c r="C716" s="13" t="n">
        <f aca="false">C715*(0.75*Units!D16+0.25*Units!E16)</f>
        <v>687.403351447223</v>
      </c>
      <c r="D716" s="13" t="n">
        <f aca="false">D715*(0.75*Units!D16+0.25*Units!E16)</f>
        <v>957.812041924589</v>
      </c>
      <c r="E716" s="13" t="n">
        <f aca="false">E715*(0.75*Units!D16+0.25*Units!E16)</f>
        <v>1031.58620130491</v>
      </c>
      <c r="F716" s="13" t="n">
        <f aca="false">F715*(0.75*Units!D16+0.25*Units!E16)</f>
        <v>1136.68171925094</v>
      </c>
      <c r="G716" s="13" t="n">
        <f aca="false">G715*(0.75*Units!E16+0.25*Units!F16)</f>
        <v>1457.97622792167</v>
      </c>
      <c r="H716" s="13" t="n">
        <f aca="false">H715*(0.75*Units!E16+0.25*Units!F16)</f>
        <v>1464.54105787464</v>
      </c>
      <c r="I716" s="13" t="n">
        <f aca="false">I715*(0.75*Units!E16+0.25*Units!F16)</f>
        <v>1440.16417471471</v>
      </c>
      <c r="J716" s="13" t="n">
        <f aca="false">J715*(0.75*Units!E16+0.25*Units!F16)</f>
        <v>1446.64880233093</v>
      </c>
      <c r="K716" s="13" t="n">
        <f aca="false">K715*(0.75*Units!F16+0.25*Units!G16)</f>
        <v>1584.5436918192</v>
      </c>
      <c r="L716" s="13" t="n">
        <f aca="false">L715*(0.75*Units!F16+0.25*Units!G16)</f>
        <v>1591.67841712586</v>
      </c>
      <c r="M716" s="13" t="n">
        <f aca="false">M715*(0.75*Units!F16+0.25*Units!G16)</f>
        <v>1598.84526796208</v>
      </c>
      <c r="N716" s="13" t="n">
        <f aca="false">N715*(0.75*Units!F16+0.25*Units!G16)</f>
        <v>1615.79248127014</v>
      </c>
      <c r="O716" s="13" t="n">
        <f aca="false">O715*(0.75*Units!G16+0.25*Units!H16)</f>
        <v>1720.23366162982</v>
      </c>
      <c r="P716" s="13" t="n">
        <f aca="false">P715*(0.75*Units!G16+0.25*Units!H16)</f>
        <v>1753.67509218615</v>
      </c>
      <c r="Q716" s="13" t="n">
        <f aca="false">Q715*(0.75*Units!G16+0.25*Units!H16)</f>
        <v>1787.76662586661</v>
      </c>
      <c r="R716" s="13" t="n">
        <f aca="false">R715*(0.75*Units!G16+0.25*Units!H16)</f>
        <v>1764.10953839345</v>
      </c>
      <c r="T716" s="5" t="s">
        <v>466</v>
      </c>
    </row>
    <row r="717" customFormat="false" ht="17.15" hidden="false" customHeight="false" outlineLevel="0" collapsed="false">
      <c r="A717" s="0" t="s">
        <v>467</v>
      </c>
      <c r="B717" s="0" t="s">
        <v>27</v>
      </c>
      <c r="C717" s="13" t="n">
        <f aca="false">C715-C716</f>
        <v>487.296648552777</v>
      </c>
      <c r="D717" s="13" t="n">
        <f aca="false">D715-D716</f>
        <v>678.987958075412</v>
      </c>
      <c r="E717" s="13" t="n">
        <f aca="false">E715-E716</f>
        <v>731.28607466175</v>
      </c>
      <c r="F717" s="13" t="n">
        <f aca="false">F715-F716</f>
        <v>805.787738881452</v>
      </c>
      <c r="G717" s="13" t="n">
        <f aca="false">G715-G716</f>
        <v>658.174896162131</v>
      </c>
      <c r="H717" s="13" t="n">
        <f aca="false">H715-H716</f>
        <v>661.138460443822</v>
      </c>
      <c r="I717" s="13" t="n">
        <f aca="false">I715-I716</f>
        <v>650.133992582631</v>
      </c>
      <c r="J717" s="13" t="n">
        <f aca="false">J715-J716</f>
        <v>653.061351085617</v>
      </c>
      <c r="K717" s="13" t="n">
        <f aca="false">K715-K716</f>
        <v>586.65507762452</v>
      </c>
      <c r="L717" s="13" t="n">
        <f aca="false">L715-L716</f>
        <v>589.296609600079</v>
      </c>
      <c r="M717" s="13" t="n">
        <f aca="false">M715-M716</f>
        <v>591.950035602373</v>
      </c>
      <c r="N717" s="13" t="n">
        <f aca="false">N715-N716</f>
        <v>598.224503633827</v>
      </c>
      <c r="O717" s="13" t="n">
        <f aca="false">O715-O716</f>
        <v>536.82392694484</v>
      </c>
      <c r="P717" s="13" t="n">
        <f aca="false">P715-P716</f>
        <v>547.259811600705</v>
      </c>
      <c r="Q717" s="13" t="n">
        <f aca="false">Q715-Q716</f>
        <v>557.898570389192</v>
      </c>
      <c r="R717" s="13" t="n">
        <f aca="false">R715-R716</f>
        <v>550.516032260396</v>
      </c>
    </row>
    <row r="718" customFormat="false" ht="17.15" hidden="false" customHeight="false" outlineLevel="0" collapsed="false">
      <c r="A718" s="5" t="s">
        <v>468</v>
      </c>
      <c r="B718" s="0" t="s">
        <v>27</v>
      </c>
      <c r="C718" s="13" t="n">
        <f aca="false">q1_rev-q1_ss-q1_sd</f>
        <v>66.6999999999998</v>
      </c>
      <c r="D718" s="13" t="n">
        <f aca="false">D714*otsh_26</f>
        <v>99.2</v>
      </c>
      <c r="E718" s="13" t="n">
        <f aca="false">E714*otsh_26</f>
        <v>106.840743997979</v>
      </c>
      <c r="F718" s="13" t="n">
        <f aca="false">F714*otsh_26</f>
        <v>117.725421704993</v>
      </c>
      <c r="G718" s="13" t="n">
        <f aca="false">G714*otsh_27</f>
        <v>124.479477887282</v>
      </c>
      <c r="H718" s="13" t="n">
        <f aca="false">H714*otsh_27</f>
        <v>125.039971665792</v>
      </c>
      <c r="I718" s="13" t="n">
        <f aca="false">I714*otsh_27</f>
        <v>122.958715723373</v>
      </c>
      <c r="J718" s="13" t="n">
        <f aca="false">J714*otsh_27</f>
        <v>123.51236196568</v>
      </c>
      <c r="K718" s="13" t="n">
        <f aca="false">K714*otsh_28</f>
        <v>124.06850111107</v>
      </c>
      <c r="L718" s="13" t="n">
        <f aca="false">L714*otsh_28</f>
        <v>124.627144384339</v>
      </c>
      <c r="M718" s="13" t="n">
        <f aca="false">M714*otsh_28</f>
        <v>125.188303060826</v>
      </c>
      <c r="N718" s="13" t="n">
        <f aca="false">N714*otsh_28</f>
        <v>126.515256280227</v>
      </c>
      <c r="O718" s="13" t="n">
        <f aca="false">O714*otsh_29</f>
        <v>128.974719347123</v>
      </c>
      <c r="P718" s="13" t="n">
        <f aca="false">P714*otsh_29</f>
        <v>131.481994502106</v>
      </c>
      <c r="Q718" s="13" t="n">
        <f aca="false">Q714*otsh_29</f>
        <v>134.038011214617</v>
      </c>
      <c r="R718" s="13" t="n">
        <f aca="false">R714*otsh_29</f>
        <v>132.264318323077</v>
      </c>
      <c r="T718" s="5" t="s">
        <v>469</v>
      </c>
    </row>
    <row r="719" customFormat="false" ht="17.15" hidden="false" customHeight="false" outlineLevel="0" collapsed="false">
      <c r="A719" s="5" t="s">
        <v>470</v>
      </c>
      <c r="B719" s="0" t="s">
        <v>27</v>
      </c>
      <c r="C719" s="13" t="n">
        <f aca="false">q1_sd</f>
        <v>525.7</v>
      </c>
      <c r="D719" s="13" t="n">
        <f aca="false">D714-D715-D718</f>
        <v>744</v>
      </c>
      <c r="E719" s="13" t="n">
        <f aca="false">E714-E715-E718</f>
        <v>801.305579984843</v>
      </c>
      <c r="F719" s="13" t="n">
        <f aca="false">F714-F715-F718</f>
        <v>882.940662787449</v>
      </c>
      <c r="G719" s="13" t="n">
        <f aca="false">G714-G715-G718</f>
        <v>871.356345210975</v>
      </c>
      <c r="H719" s="13" t="n">
        <f aca="false">H714-H715-H718</f>
        <v>875.279801660544</v>
      </c>
      <c r="I719" s="13" t="n">
        <f aca="false">I714-I715-I718</f>
        <v>860.711010063612</v>
      </c>
      <c r="J719" s="13" t="n">
        <f aca="false">J714-J715-J718</f>
        <v>864.586533759756</v>
      </c>
      <c r="K719" s="13" t="n">
        <f aca="false">K714-K715-K718</f>
        <v>806.445257221952</v>
      </c>
      <c r="L719" s="13" t="n">
        <f aca="false">L714-L715-L718</f>
        <v>810.076438498206</v>
      </c>
      <c r="M719" s="13" t="n">
        <f aca="false">M714-M715-M718</f>
        <v>813.723969895367</v>
      </c>
      <c r="N719" s="13" t="n">
        <f aca="false">N714-N715-N718</f>
        <v>822.349165821474</v>
      </c>
      <c r="O719" s="13" t="n">
        <f aca="false">O714-O715-O718</f>
        <v>838.335675756302</v>
      </c>
      <c r="P719" s="13" t="n">
        <f aca="false">P714-P715-P718</f>
        <v>854.63296426369</v>
      </c>
      <c r="Q719" s="13" t="n">
        <f aca="false">Q714-Q715-Q718</f>
        <v>871.247072895013</v>
      </c>
      <c r="R719" s="13" t="n">
        <f aca="false">R714-R715-R718</f>
        <v>859.7180691</v>
      </c>
      <c r="T719" s="5" t="s">
        <v>471</v>
      </c>
    </row>
    <row r="720" customFormat="false" ht="15" hidden="false" customHeight="false" outlineLevel="0" collapsed="false">
      <c r="A720" s="5" t="s">
        <v>472</v>
      </c>
      <c r="B720" s="0" t="s">
        <v>27</v>
      </c>
      <c r="C720" s="18" t="n">
        <f aca="false">C715+C719+C718-C714</f>
        <v>0</v>
      </c>
      <c r="D720" s="18" t="n">
        <f aca="false">D715+D719+D718-D714</f>
        <v>0</v>
      </c>
      <c r="E720" s="18" t="n">
        <f aca="false">E715+E719+E718-E714</f>
        <v>0</v>
      </c>
      <c r="F720" s="18" t="n">
        <f aca="false">F715+F719+F718-F714</f>
        <v>0</v>
      </c>
      <c r="G720" s="18" t="n">
        <f aca="false">G715+G719+G718-G714</f>
        <v>0</v>
      </c>
      <c r="H720" s="18" t="n">
        <f aca="false">H715+H719+H718-H714</f>
        <v>0</v>
      </c>
      <c r="I720" s="18" t="n">
        <f aca="false">I715+I719+I718-I714</f>
        <v>0</v>
      </c>
      <c r="J720" s="18" t="n">
        <f aca="false">J715+J719+J718-J714</f>
        <v>0</v>
      </c>
      <c r="K720" s="18" t="n">
        <f aca="false">K715+K719+K718-K714</f>
        <v>0</v>
      </c>
      <c r="L720" s="18" t="n">
        <f aca="false">L715+L719+L718-L714</f>
        <v>0</v>
      </c>
      <c r="M720" s="18" t="n">
        <f aca="false">M715+M719+M718-M714</f>
        <v>0</v>
      </c>
      <c r="N720" s="18" t="n">
        <f aca="false">N715+N719+N718-N714</f>
        <v>0</v>
      </c>
      <c r="O720" s="18" t="n">
        <f aca="false">O715+O719+O718-O714</f>
        <v>0</v>
      </c>
      <c r="P720" s="18" t="n">
        <f aca="false">P715+P719+P718-P714</f>
        <v>0</v>
      </c>
      <c r="Q720" s="18" t="n">
        <f aca="false">Q715+Q719+Q718-Q714</f>
        <v>0</v>
      </c>
      <c r="R720" s="18" t="n">
        <f aca="false">R715+R719+R718-R714</f>
        <v>0</v>
      </c>
    </row>
    <row r="721" customFormat="false" ht="17.15" hidden="false" customHeight="false" outlineLevel="0" collapsed="false">
      <c r="A721" s="5" t="s">
        <v>473</v>
      </c>
      <c r="B721" s="0" t="s">
        <v>474</v>
      </c>
      <c r="C721" s="20" t="n">
        <f aca="false">C722/C713</f>
        <v>9.63267449926724</v>
      </c>
      <c r="D721" s="20" t="n">
        <f aca="false">D722/D713</f>
        <v>9.50991434320605</v>
      </c>
      <c r="E721" s="20" t="n">
        <f aca="false">$D721*(1-cd_A)^(1/4)</f>
        <v>9.15801220601616</v>
      </c>
      <c r="F721" s="20" t="n">
        <f aca="false">$D721*(1-cd_A)^(2/4)</f>
        <v>8.81913175437355</v>
      </c>
      <c r="G721" s="20" t="n">
        <f aca="false">$D721*(1-cd_A)^(3/4)</f>
        <v>8.49279113756868</v>
      </c>
      <c r="H721" s="20" t="n">
        <f aca="false">$D721*(1-cd_A)^(4/4)</f>
        <v>8.1785263351572</v>
      </c>
      <c r="I721" s="20" t="n">
        <f aca="false">$D721*(1-cd_A)^(5/4)</f>
        <v>7.87589049717389</v>
      </c>
      <c r="J721" s="20" t="n">
        <f aca="false">$D721*(1-cd_A)^(6/4)</f>
        <v>7.58445330876125</v>
      </c>
      <c r="K721" s="20" t="n">
        <f aca="false">$D721*(1-cd_A)^(7/4)</f>
        <v>7.30380037830907</v>
      </c>
      <c r="L721" s="20" t="n">
        <f aca="false">$D721*(1-cd_A)^(8/4)</f>
        <v>7.03353264823519</v>
      </c>
      <c r="M721" s="20" t="n">
        <f aca="false">$D721*(1-cd_A)^(9/4)</f>
        <v>6.77326582756955</v>
      </c>
      <c r="N721" s="20" t="n">
        <f aca="false">$D721*(1-cd_A)^(10/4)</f>
        <v>6.52262984553468</v>
      </c>
      <c r="O721" s="20" t="n">
        <f aca="false">$D721*(1-cd_A)^(11/4)</f>
        <v>6.2812683253458</v>
      </c>
      <c r="P721" s="20" t="n">
        <f aca="false">$D721*(1-cd_A)^(12/4)</f>
        <v>6.04883807748227</v>
      </c>
      <c r="Q721" s="20" t="n">
        <f aca="false">$D721*(1-cd_A)^(13/4)</f>
        <v>5.82500861170981</v>
      </c>
      <c r="R721" s="20" t="n">
        <f aca="false">$D721*(1-cd_A)^(14/4)</f>
        <v>5.60946166715982</v>
      </c>
    </row>
    <row r="722" customFormat="false" ht="15" hidden="false" customHeight="false" outlineLevel="0" collapsed="false">
      <c r="A722" s="5" t="s">
        <v>475</v>
      </c>
      <c r="B722" s="0" t="s">
        <v>27</v>
      </c>
      <c r="C722" s="13" t="n">
        <f aca="false">q1_rev-q1_gp</f>
        <v>387</v>
      </c>
      <c r="D722" s="13" t="n">
        <f aca="false">g2_rev-g2_op-g2_ox</f>
        <v>426.3</v>
      </c>
      <c r="E722" s="13" t="n">
        <f aca="false">E713*E721</f>
        <v>411.571578380844</v>
      </c>
      <c r="F722" s="13" t="n">
        <f aca="false">F713*F721</f>
        <v>424.00025290573</v>
      </c>
      <c r="G722" s="13" t="n">
        <f aca="false">G713*G721</f>
        <v>431.735968385688</v>
      </c>
      <c r="H722" s="13" t="n">
        <f aca="false">H713*H721</f>
        <v>439.61281890879</v>
      </c>
      <c r="I722" s="13" t="n">
        <f aca="false">I713*I721</f>
        <v>447.633379427598</v>
      </c>
      <c r="J722" s="13" t="n">
        <f aca="false">J713*J721</f>
        <v>455.80027187366</v>
      </c>
      <c r="K722" s="13" t="n">
        <f aca="false">K713*K721</f>
        <v>464.116166014614</v>
      </c>
      <c r="L722" s="13" t="n">
        <f aca="false">L713*L721</f>
        <v>472.583780326949</v>
      </c>
      <c r="M722" s="13" t="n">
        <f aca="false">M713*M721</f>
        <v>481.205882884668</v>
      </c>
      <c r="N722" s="13" t="n">
        <f aca="false">N713*N721</f>
        <v>482.795211097324</v>
      </c>
      <c r="O722" s="13" t="n">
        <f aca="false">O713*O721</f>
        <v>488.627070940835</v>
      </c>
      <c r="P722" s="13" t="n">
        <f aca="false">P713*P721</f>
        <v>494.529375951265</v>
      </c>
      <c r="Q722" s="13" t="n">
        <f aca="false">Q713*Q721</f>
        <v>500.502977061541</v>
      </c>
      <c r="R722" s="13" t="n">
        <f aca="false">R713*R721</f>
        <v>491.049567000935</v>
      </c>
      <c r="T722" s="5" t="s">
        <v>476</v>
      </c>
    </row>
    <row r="723" customFormat="false" ht="15" hidden="false" customHeight="false" outlineLevel="0" collapsed="false">
      <c r="A723" s="5" t="s">
        <v>360</v>
      </c>
      <c r="B723" s="0" t="s">
        <v>145</v>
      </c>
      <c r="C723" s="14" t="n">
        <f aca="false">1-C722/C714</f>
        <v>0.780997113915455</v>
      </c>
      <c r="D723" s="14" t="n">
        <f aca="false">1-D722/D714</f>
        <v>0.828104838709677</v>
      </c>
      <c r="E723" s="14" t="n">
        <f aca="false">1-E722/E714</f>
        <v>0.845912125662986</v>
      </c>
      <c r="F723" s="14" t="n">
        <f aca="false">1-F722/F714</f>
        <v>0.855935872893035</v>
      </c>
      <c r="G723" s="14" t="n">
        <f aca="false">1-G722/G714</f>
        <v>0.861266780448218</v>
      </c>
      <c r="H723" s="14" t="n">
        <f aca="false">1-H722/H714</f>
        <v>0.859368868034042</v>
      </c>
      <c r="I723" s="14" t="n">
        <f aca="false">1-I722/I714</f>
        <v>0.854379292498577</v>
      </c>
      <c r="J723" s="14" t="n">
        <f aca="false">1-J722/J714</f>
        <v>0.852387157165592</v>
      </c>
      <c r="K723" s="14" t="n">
        <f aca="false">1-K722/K714</f>
        <v>0.850367768818574</v>
      </c>
      <c r="L723" s="14" t="n">
        <f aca="false">1-L722/L714</f>
        <v>0.848320754628048</v>
      </c>
      <c r="M723" s="14" t="n">
        <f aca="false">1-M722/M714</f>
        <v>0.846245736664115</v>
      </c>
      <c r="N723" s="14" t="n">
        <f aca="false">1-N722/N714</f>
        <v>0.847355891995207</v>
      </c>
      <c r="O723" s="14" t="n">
        <f aca="false">1-O722/O714</f>
        <v>0.848458031647042</v>
      </c>
      <c r="P723" s="14" t="n">
        <f aca="false">1-P722/P714</f>
        <v>0.849552213495409</v>
      </c>
      <c r="Q723" s="14" t="n">
        <f aca="false">1-Q722/Q714</f>
        <v>0.850638494998213</v>
      </c>
      <c r="R723" s="14" t="n">
        <f aca="false">1-R722/R714</f>
        <v>0.851494470095414</v>
      </c>
    </row>
    <row r="724" customFormat="false" ht="17.15" hidden="false" customHeight="false" outlineLevel="0" collapsed="false">
      <c r="A724" s="5" t="s">
        <v>477</v>
      </c>
      <c r="B724" s="0" t="s">
        <v>27</v>
      </c>
      <c r="C724" s="13" t="n">
        <f aca="false">q1_gp-q1_op</f>
        <v>110.1</v>
      </c>
      <c r="D724" s="13" t="n">
        <f aca="false">g2_ox</f>
        <v>59</v>
      </c>
      <c r="E724" s="13" t="n">
        <f aca="false">(g2_ox-ox_var*g2_rev)*(1+ox_g)^(1/4)+ox_var*E714</f>
        <v>61.7348741661828</v>
      </c>
      <c r="F724" s="13" t="n">
        <f aca="false">(g2_ox-ox_var*g2_rev)*(1+ox_g)^(2/4)+ox_var*F714</f>
        <v>65.3006180336675</v>
      </c>
      <c r="G724" s="13" t="n">
        <f aca="false">(g2_ox-ox_var*g2_rev)*(1+ox_g)^(3/4)+ox_var*G714</f>
        <v>67.8540723254433</v>
      </c>
      <c r="H724" s="13" t="n">
        <f aca="false">(g2_ox-ox_var*g2_rev)*(1+ox_g)^(4/4)+ox_var*H714</f>
        <v>68.879992916448</v>
      </c>
      <c r="I724" s="13" t="n">
        <f aca="false">(g2_ox-ox_var*g2_rev)*(1+ox_g)^(5/4)+ox_var*I714</f>
        <v>69.2668359142001</v>
      </c>
      <c r="J724" s="13" t="n">
        <f aca="false">(g2_ox-ox_var*g2_rev)*(1+ox_g)^(6/4)+ox_var*J714</f>
        <v>70.334279359581</v>
      </c>
      <c r="K724" s="13" t="n">
        <f aca="false">(g2_ox-ox_var*g2_rev)*(1+ox_g)^(7/4)+ox_var*K714</f>
        <v>71.4247484167525</v>
      </c>
      <c r="L724" s="13" t="n">
        <f aca="false">(g2_ox-ox_var*g2_rev)*(1+ox_g)^(8/4)+ox_var*L714</f>
        <v>72.5387860960849</v>
      </c>
      <c r="M724" s="13" t="n">
        <f aca="false">(g2_ox-ox_var*g2_rev)*(1+ox_g)^(9/4)+ox_var*M714</f>
        <v>73.676948446899</v>
      </c>
      <c r="N724" s="13" t="n">
        <f aca="false">(g2_ox-ox_var*g2_rev)*(1+ox_g)^(10/4)+ox_var*N714</f>
        <v>75.0306218250339</v>
      </c>
      <c r="O724" s="13" t="n">
        <f aca="false">(g2_ox-ox_var*g2_rev)*(1+ox_g)^(11/4)+ox_var*O714</f>
        <v>76.6920652896645</v>
      </c>
      <c r="P724" s="13" t="n">
        <f aca="false">(g2_ox-ox_var*g2_rev)*(1+ox_g)^(12/4)+ox_var*P714</f>
        <v>78.3906986255266</v>
      </c>
      <c r="Q724" s="13" t="n">
        <f aca="false">(g2_ox-ox_var*g2_rev)*(1+ox_g)^(13/4)+ox_var*Q714</f>
        <v>80.1273627535161</v>
      </c>
      <c r="R724" s="13" t="n">
        <f aca="false">(g2_ox-ox_var*g2_rev)*(1+ox_g)^(14/4)+ox_var*R714</f>
        <v>80.8080681112442</v>
      </c>
      <c r="T724" s="5" t="s">
        <v>478</v>
      </c>
    </row>
    <row r="725" customFormat="false" ht="15" hidden="false" customHeight="false" outlineLevel="0" collapsed="false">
      <c r="A725" s="5" t="s">
        <v>358</v>
      </c>
      <c r="B725" s="0" t="s">
        <v>27</v>
      </c>
      <c r="C725" s="13" t="n">
        <f aca="false">C714-C722-C724</f>
        <v>1270</v>
      </c>
      <c r="D725" s="13" t="n">
        <f aca="false">D714-D722-D724</f>
        <v>1994.7</v>
      </c>
      <c r="E725" s="13" t="n">
        <f aca="false">E714-E722-E724</f>
        <v>2197.71214740245</v>
      </c>
      <c r="F725" s="13" t="n">
        <f aca="false">F714-F722-F724</f>
        <v>2453.83467168543</v>
      </c>
      <c r="G725" s="13" t="n">
        <f aca="false">G714-G722-G724</f>
        <v>2612.39690647092</v>
      </c>
      <c r="H725" s="13" t="n">
        <f aca="false">H714-H722-H724</f>
        <v>2617.50647981956</v>
      </c>
      <c r="I725" s="13" t="n">
        <f aca="false">I714-I722-I724</f>
        <v>2557.06767774253</v>
      </c>
      <c r="J725" s="13" t="n">
        <f aca="false">J714-J722-J724</f>
        <v>2561.67449790875</v>
      </c>
      <c r="K725" s="13" t="n">
        <f aca="false">K714-K722-K724</f>
        <v>2566.17161334537</v>
      </c>
      <c r="L725" s="13" t="n">
        <f aca="false">L714-L722-L724</f>
        <v>2570.55604318545</v>
      </c>
      <c r="M725" s="13" t="n">
        <f aca="false">M714-M722-M724</f>
        <v>2574.82474518908</v>
      </c>
      <c r="N725" s="13" t="n">
        <f aca="false">N714-N722-N724</f>
        <v>2605.05557408331</v>
      </c>
      <c r="O725" s="13" t="n">
        <f aca="false">O714-O722-O724</f>
        <v>2659.04884744759</v>
      </c>
      <c r="P725" s="13" t="n">
        <f aca="false">P714-P722-P724</f>
        <v>2714.12978797586</v>
      </c>
      <c r="Q725" s="13" t="n">
        <f aca="false">Q714-Q722-Q724</f>
        <v>2770.31994055038</v>
      </c>
      <c r="R725" s="13" t="n">
        <f aca="false">R714-R722-R724</f>
        <v>2734.75032296474</v>
      </c>
    </row>
    <row r="727" customFormat="false" ht="17.15" hidden="false" customHeight="false" outlineLevel="0" collapsed="false">
      <c r="A727" s="5" t="s">
        <v>359</v>
      </c>
      <c r="B727" s="0" t="s">
        <v>27</v>
      </c>
      <c r="C727" s="13" t="n">
        <f aca="false">q1_ni</f>
        <v>842.2</v>
      </c>
      <c r="D727" s="13" t="n">
        <f aca="false">g2_ni</f>
        <v>1360</v>
      </c>
      <c r="E727" s="13" t="n">
        <f aca="false">(E725+nonop_q+rf*nc_j/4)*(1-tax)</f>
        <v>1484.51014023367</v>
      </c>
      <c r="F727" s="13" t="n">
        <f aca="false">(F725+nonop_q+rf*nc_j/4)*(1-tax)</f>
        <v>1658.67345674609</v>
      </c>
      <c r="G727" s="13" t="n">
        <f aca="false">(G725+nonop_q+rf*$D748/4)*(1-tax)</f>
        <v>1770.24060745766</v>
      </c>
      <c r="H727" s="13" t="n">
        <f aca="false">(H725+nonop_q+rf*$D748/4)*(1-tax)</f>
        <v>1773.71511733474</v>
      </c>
      <c r="I727" s="13" t="n">
        <f aca="false">(I725+nonop_q+rf*$D748/4)*(1-tax)</f>
        <v>1732.61673192235</v>
      </c>
      <c r="J727" s="13" t="n">
        <f aca="false">(J725+nonop_q+rf*$D748/4)*(1-tax)</f>
        <v>1735.74936963538</v>
      </c>
      <c r="K727" s="13" t="n">
        <f aca="false">(K725+nonop_q+rf*$E748/4)*(1-tax)</f>
        <v>1744.64038168468</v>
      </c>
      <c r="L727" s="13" t="n">
        <f aca="false">(L725+nonop_q+rf*$E748/4)*(1-tax)</f>
        <v>1747.62179397594</v>
      </c>
      <c r="M727" s="13" t="n">
        <f aca="false">(M725+nonop_q+rf*$E748/4)*(1-tax)</f>
        <v>1750.5245113384</v>
      </c>
      <c r="N727" s="13" t="n">
        <f aca="false">(N725+nonop_q+rf*$E748/4)*(1-tax)</f>
        <v>1771.08147498648</v>
      </c>
      <c r="O727" s="13" t="n">
        <f aca="false">(O725+nonop_q+rf*$F748/4)*(1-tax)</f>
        <v>1813.63118881188</v>
      </c>
      <c r="P727" s="13" t="n">
        <f aca="false">(P725+nonop_q+rf*$F748/4)*(1-tax)</f>
        <v>1851.0862283711</v>
      </c>
      <c r="Q727" s="13" t="n">
        <f aca="false">(Q725+nonop_q+rf*$F748/4)*(1-tax)</f>
        <v>1889.29553212177</v>
      </c>
      <c r="R727" s="13" t="n">
        <f aca="false">(R725+nonop_q+rf*$F748/4)*(1-tax)</f>
        <v>1865.10819216354</v>
      </c>
      <c r="T727" s="5" t="s">
        <v>479</v>
      </c>
    </row>
    <row r="728" customFormat="false" ht="17.15" hidden="false" customHeight="false" outlineLevel="0" collapsed="false">
      <c r="A728" s="5" t="s">
        <v>480</v>
      </c>
      <c r="B728" s="0" t="s">
        <v>108</v>
      </c>
      <c r="C728" s="17" t="n">
        <f aca="false">C727/(sh0+dil)*1000</f>
        <v>507.343332753891</v>
      </c>
      <c r="D728" s="17" t="n">
        <f aca="false">D727/(sh0+dil)*1000</f>
        <v>819.267314824616</v>
      </c>
      <c r="E728" s="17" t="n">
        <f aca="false">E727/(sh0+dil)*1000</f>
        <v>894.272526778787</v>
      </c>
      <c r="F728" s="17" t="n">
        <f aca="false">F727/(sh0+dil)*1000</f>
        <v>999.188933146497</v>
      </c>
      <c r="G728" s="17" t="n">
        <f aca="false">G727/(sh0+dil)*1000</f>
        <v>1066.39725666569</v>
      </c>
      <c r="H728" s="17" t="n">
        <f aca="false">H727/(sh0+dil)*1000</f>
        <v>1068.49030988431</v>
      </c>
      <c r="I728" s="17" t="n">
        <f aca="false">I727/(sh0+dil)*1000</f>
        <v>1043.73254233987</v>
      </c>
      <c r="J728" s="17" t="n">
        <f aca="false">J727/(sh0+dil)*1000</f>
        <v>1045.6196509336</v>
      </c>
      <c r="K728" s="17" t="n">
        <f aca="false">K727/(sh0+dil)*1000</f>
        <v>1050.9756182628</v>
      </c>
      <c r="L728" s="17" t="n">
        <f aca="false">L727/(sh0+dil)*1000</f>
        <v>1052.77162829386</v>
      </c>
      <c r="M728" s="17" t="n">
        <f aca="false">M727/(sh0+dil)*1000</f>
        <v>1054.520232308</v>
      </c>
      <c r="N728" s="17" t="n">
        <f aca="false">N727/(sh0+dil)*1000</f>
        <v>1066.90379731455</v>
      </c>
      <c r="O728" s="17" t="n">
        <f aca="false">O727/(sh0+dil)*1000</f>
        <v>1092.53584863241</v>
      </c>
      <c r="P728" s="17" t="n">
        <f aca="false">P727/(sh0+dil)*1000</f>
        <v>1115.09885575472</v>
      </c>
      <c r="Q728" s="17" t="n">
        <f aca="false">Q727/(sh0+dil)*1000</f>
        <v>1138.11623346437</v>
      </c>
      <c r="R728" s="17" t="n">
        <f aca="false">R727/(sh0+dil)*1000</f>
        <v>1123.54572092002</v>
      </c>
    </row>
    <row r="730" customFormat="false" ht="17.15" hidden="false" customHeight="false" outlineLevel="0" collapsed="false">
      <c r="A730" s="12" t="s">
        <v>481</v>
      </c>
      <c r="B730" s="6" t="s">
        <v>17</v>
      </c>
      <c r="C730" s="12" t="s">
        <v>425</v>
      </c>
      <c r="D730" s="12" t="s">
        <v>426</v>
      </c>
      <c r="E730" s="12" t="s">
        <v>427</v>
      </c>
      <c r="F730" s="12" t="s">
        <v>428</v>
      </c>
      <c r="G730" s="12" t="s">
        <v>429</v>
      </c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6" t="s">
        <v>330</v>
      </c>
    </row>
    <row r="731" customFormat="false" ht="17.15" hidden="false" customHeight="false" outlineLevel="0" collapsed="false">
      <c r="A731" s="5" t="s">
        <v>354</v>
      </c>
      <c r="B731" s="0" t="s">
        <v>27</v>
      </c>
      <c r="C731" s="13" t="n">
        <f aca="false">a25_rev</f>
        <v>2337.6</v>
      </c>
      <c r="D731" s="13" t="n">
        <f aca="false">SUM(C714:F714)</f>
        <v>9861.25414257431</v>
      </c>
      <c r="E731" s="13" t="n">
        <f aca="false">SUM(G714:J714)</f>
        <v>12399.7631810532</v>
      </c>
      <c r="F731" s="13" t="n">
        <f aca="false">SUM(K714:N714)</f>
        <v>12509.9801209115</v>
      </c>
      <c r="G731" s="13" t="n">
        <f aca="false">SUM(O714:R714)</f>
        <v>13168.9760846731</v>
      </c>
      <c r="T731" s="8" t="s">
        <v>482</v>
      </c>
    </row>
    <row r="732" customFormat="false" ht="17.15" hidden="false" customHeight="false" outlineLevel="0" collapsed="false">
      <c r="A732" s="5" t="s">
        <v>483</v>
      </c>
      <c r="B732" s="0" t="s">
        <v>27</v>
      </c>
      <c r="C732" s="13" t="n">
        <f aca="false">p1_ss+p2_ss+p3_ss+p4_ss</f>
        <v>1364.7</v>
      </c>
      <c r="D732" s="13" t="n">
        <f aca="false">SUM(C715:F715)</f>
        <v>6516.84173409904</v>
      </c>
      <c r="E732" s="13" t="n">
        <f aca="false">SUM(G715:J715)</f>
        <v>8431.83896311616</v>
      </c>
      <c r="F732" s="13" t="n">
        <f aca="false">SUM(K715:N715)</f>
        <v>8756.98608463807</v>
      </c>
      <c r="G732" s="13" t="n">
        <f aca="false">SUM(O715:R715)</f>
        <v>9218.28325927117</v>
      </c>
    </row>
    <row r="733" customFormat="false" ht="17.15" hidden="false" customHeight="false" outlineLevel="0" collapsed="false">
      <c r="A733" s="0" t="s">
        <v>484</v>
      </c>
      <c r="B733" s="0" t="s">
        <v>27</v>
      </c>
      <c r="C733" s="13" t="n">
        <f aca="false">C732*(0.75*Units!C16+0.25*Units!D16)</f>
        <v>507.679569396364</v>
      </c>
      <c r="D733" s="13" t="n">
        <f aca="false">SUM(C716:F716)</f>
        <v>3813.48331392765</v>
      </c>
      <c r="E733" s="13" t="n">
        <f aca="false">SUM(G716:J716)</f>
        <v>5809.33026284196</v>
      </c>
      <c r="F733" s="13" t="n">
        <f aca="false">SUM(K716:N716)</f>
        <v>6390.85985817728</v>
      </c>
      <c r="G733" s="13" t="n">
        <f aca="false">SUM(O716:R716)</f>
        <v>7025.78491807603</v>
      </c>
    </row>
    <row r="734" customFormat="false" ht="15" hidden="false" customHeight="false" outlineLevel="0" collapsed="false">
      <c r="A734" s="5" t="s">
        <v>485</v>
      </c>
      <c r="B734" s="0" t="s">
        <v>27</v>
      </c>
      <c r="C734" s="13" t="n">
        <f aca="false">p1_sd+p2_sd+p3_sd+p4_sd</f>
        <v>759.5</v>
      </c>
      <c r="D734" s="13" t="n">
        <f aca="false">SUM(C719:F719)</f>
        <v>2953.94624277229</v>
      </c>
      <c r="E734" s="13" t="n">
        <f aca="false">SUM(G719:J719)</f>
        <v>3471.93369069489</v>
      </c>
      <c r="F734" s="13" t="n">
        <f aca="false">SUM(K719:N719)</f>
        <v>3252.594831437</v>
      </c>
      <c r="G734" s="13" t="n">
        <f aca="false">SUM(O719:R719)</f>
        <v>3423.93378201501</v>
      </c>
    </row>
    <row r="735" customFormat="false" ht="17.15" hidden="false" customHeight="false" outlineLevel="0" collapsed="false">
      <c r="A735" s="5" t="s">
        <v>486</v>
      </c>
      <c r="B735" s="0" t="s">
        <v>27</v>
      </c>
      <c r="C735" s="13" t="n">
        <f aca="false">a25_rev-C732-C734</f>
        <v>213.4</v>
      </c>
      <c r="D735" s="13" t="n">
        <f aca="false">SUM(C718:F718)</f>
        <v>390.466165702972</v>
      </c>
      <c r="E735" s="13" t="n">
        <f aca="false">SUM(G718:J718)</f>
        <v>495.990527242127</v>
      </c>
      <c r="F735" s="13" t="n">
        <f aca="false">SUM(K718:N718)</f>
        <v>500.399204836461</v>
      </c>
      <c r="G735" s="13" t="n">
        <f aca="false">SUM(O718:R718)</f>
        <v>526.759043386924</v>
      </c>
      <c r="T735" s="8" t="s">
        <v>487</v>
      </c>
    </row>
    <row r="736" customFormat="false" ht="15" hidden="false" customHeight="false" outlineLevel="0" collapsed="false">
      <c r="A736" s="5" t="s">
        <v>488</v>
      </c>
      <c r="B736" s="0" t="s">
        <v>27</v>
      </c>
      <c r="C736" s="18" t="n">
        <f aca="false">C732+C734+C735-C731</f>
        <v>0</v>
      </c>
      <c r="D736" s="18" t="n">
        <f aca="false">D732+D734+D735-D731</f>
        <v>0</v>
      </c>
      <c r="E736" s="18" t="n">
        <f aca="false">E732+E734+E735-E731</f>
        <v>0</v>
      </c>
      <c r="F736" s="18" t="n">
        <f aca="false">F732+F734+F735-F731</f>
        <v>0</v>
      </c>
      <c r="G736" s="18" t="n">
        <f aca="false">G732+G734+G735-G731</f>
        <v>0</v>
      </c>
    </row>
    <row r="737" customFormat="false" ht="15" hidden="false" customHeight="false" outlineLevel="0" collapsed="false">
      <c r="A737" s="5" t="s">
        <v>475</v>
      </c>
      <c r="B737" s="0" t="s">
        <v>27</v>
      </c>
      <c r="C737" s="13" t="n">
        <f aca="false">a25_rev-(p1_gp+p2_gp+p3_gp+p4_gp)</f>
        <v>1324.8</v>
      </c>
      <c r="D737" s="13" t="n">
        <f aca="false">SUM(C722:F722)</f>
        <v>1648.87183128657</v>
      </c>
      <c r="E737" s="13" t="n">
        <f aca="false">SUM(G722:J722)</f>
        <v>1774.78243859574</v>
      </c>
      <c r="F737" s="13" t="n">
        <f aca="false">SUM(K722:N722)</f>
        <v>1900.70104032356</v>
      </c>
      <c r="G737" s="13" t="n">
        <f aca="false">SUM(O722:R722)</f>
        <v>1974.70899095458</v>
      </c>
    </row>
    <row r="738" customFormat="false" ht="15" hidden="false" customHeight="false" outlineLevel="0" collapsed="false">
      <c r="A738" s="5" t="s">
        <v>360</v>
      </c>
      <c r="B738" s="0" t="s">
        <v>145</v>
      </c>
      <c r="C738" s="14" t="n">
        <f aca="false">1-C737/C731</f>
        <v>0.433264887063655</v>
      </c>
      <c r="D738" s="14" t="n">
        <f aca="false">1-D737/D731</f>
        <v>0.832792887451521</v>
      </c>
      <c r="E738" s="14" t="n">
        <f aca="false">1-E737/E731</f>
        <v>0.85686965043755</v>
      </c>
      <c r="F738" s="14" t="n">
        <f aca="false">1-F737/F731</f>
        <v>0.84806522296975</v>
      </c>
      <c r="G738" s="14" t="n">
        <f aca="false">1-G737/G731</f>
        <v>0.850048403288326</v>
      </c>
    </row>
    <row r="739" customFormat="false" ht="15" hidden="false" customHeight="false" outlineLevel="0" collapsed="false">
      <c r="A739" s="5" t="s">
        <v>477</v>
      </c>
      <c r="B739" s="0" t="s">
        <v>27</v>
      </c>
      <c r="D739" s="13" t="n">
        <f aca="false">SUM(C724:F724)</f>
        <v>296.13549219985</v>
      </c>
      <c r="E739" s="13" t="n">
        <f aca="false">SUM(G724:J724)</f>
        <v>276.335180515672</v>
      </c>
      <c r="F739" s="13" t="n">
        <f aca="false">SUM(K724:N724)</f>
        <v>292.67110478477</v>
      </c>
      <c r="G739" s="13" t="n">
        <f aca="false">SUM(O724:R724)</f>
        <v>316.018194779951</v>
      </c>
    </row>
    <row r="740" customFormat="false" ht="15" hidden="false" customHeight="false" outlineLevel="0" collapsed="false">
      <c r="A740" s="5" t="s">
        <v>358</v>
      </c>
      <c r="B740" s="0" t="s">
        <v>27</v>
      </c>
      <c r="C740" s="13" t="n">
        <f aca="false">p1_op+p2_op+p3_op+p4_op</f>
        <v>869</v>
      </c>
      <c r="D740" s="13" t="n">
        <f aca="false">SUM(C725:F725)</f>
        <v>7916.24681908788</v>
      </c>
      <c r="E740" s="13" t="n">
        <f aca="false">SUM(G725:J725)</f>
        <v>10348.6455619418</v>
      </c>
      <c r="F740" s="13" t="n">
        <f aca="false">SUM(K725:N725)</f>
        <v>10316.6079758032</v>
      </c>
      <c r="G740" s="13" t="n">
        <f aca="false">SUM(O725:R725)</f>
        <v>10878.2488989386</v>
      </c>
    </row>
    <row r="741" customFormat="false" ht="15" hidden="false" customHeight="false" outlineLevel="0" collapsed="false">
      <c r="A741" s="5" t="s">
        <v>361</v>
      </c>
      <c r="B741" s="0" t="s">
        <v>145</v>
      </c>
      <c r="C741" s="14" t="n">
        <f aca="false">C740/C731</f>
        <v>0.371748802190281</v>
      </c>
      <c r="D741" s="14" t="n">
        <f aca="false">D740/D731</f>
        <v>0.802762681565098</v>
      </c>
      <c r="E741" s="14" t="n">
        <f aca="false">E740/E731</f>
        <v>0.834584129619063</v>
      </c>
      <c r="F741" s="14" t="n">
        <f aca="false">F740/F731</f>
        <v>0.824670213388916</v>
      </c>
      <c r="G741" s="14" t="n">
        <f aca="false">G740/G731</f>
        <v>0.826051230482481</v>
      </c>
    </row>
    <row r="742" customFormat="false" ht="15" hidden="false" customHeight="false" outlineLevel="0" collapsed="false">
      <c r="A742" s="5" t="s">
        <v>359</v>
      </c>
      <c r="B742" s="0" t="s">
        <v>27</v>
      </c>
      <c r="C742" s="13" t="n">
        <f aca="false">a25_ni</f>
        <v>554.5</v>
      </c>
      <c r="D742" s="13" t="n">
        <f aca="false">SUM(C727:F727)</f>
        <v>5345.38359697976</v>
      </c>
      <c r="E742" s="13" t="n">
        <f aca="false">SUM(G727:J727)</f>
        <v>7012.32182635013</v>
      </c>
      <c r="F742" s="13" t="n">
        <f aca="false">SUM(K727:N727)</f>
        <v>7013.8681619855</v>
      </c>
      <c r="G742" s="13" t="n">
        <f aca="false">SUM(O727:R727)</f>
        <v>7419.1211414683</v>
      </c>
    </row>
    <row r="743" customFormat="false" ht="15" hidden="false" customHeight="false" outlineLevel="0" collapsed="false">
      <c r="A743" s="5" t="s">
        <v>489</v>
      </c>
      <c r="B743" s="0" t="s">
        <v>27</v>
      </c>
      <c r="D743" s="13" t="n">
        <f aca="false">da_y</f>
        <v>320</v>
      </c>
      <c r="E743" s="13" t="n">
        <f aca="false">da_y</f>
        <v>320</v>
      </c>
      <c r="F743" s="13" t="n">
        <f aca="false">da_y</f>
        <v>320</v>
      </c>
      <c r="G743" s="13" t="n">
        <f aca="false">da_y</f>
        <v>320</v>
      </c>
    </row>
    <row r="744" customFormat="false" ht="15" hidden="false" customHeight="false" outlineLevel="0" collapsed="false">
      <c r="A744" s="5" t="s">
        <v>490</v>
      </c>
      <c r="B744" s="0" t="s">
        <v>27</v>
      </c>
      <c r="D744" s="13" t="n">
        <f aca="false">cap_2026</f>
        <v>450</v>
      </c>
      <c r="E744" s="13" t="n">
        <f aca="false">cap_2027</f>
        <v>470</v>
      </c>
      <c r="F744" s="13" t="n">
        <f aca="false">cap_2028</f>
        <v>470</v>
      </c>
      <c r="G744" s="13" t="n">
        <f aca="false">cap_2029</f>
        <v>470</v>
      </c>
    </row>
    <row r="745" customFormat="false" ht="15" hidden="false" customHeight="false" outlineLevel="0" collapsed="false">
      <c r="A745" s="5" t="s">
        <v>491</v>
      </c>
      <c r="B745" s="0" t="s">
        <v>27</v>
      </c>
      <c r="D745" s="13" t="n">
        <f aca="false">D742+D743-D744</f>
        <v>5215.38359697976</v>
      </c>
      <c r="E745" s="13" t="n">
        <f aca="false">E742+E743-E744</f>
        <v>6862.32182635013</v>
      </c>
      <c r="F745" s="13" t="n">
        <f aca="false">F742+F743-F744</f>
        <v>6863.8681619855</v>
      </c>
      <c r="G745" s="13" t="n">
        <f aca="false">G742+G743-G744</f>
        <v>7269.1211414683</v>
      </c>
    </row>
    <row r="746" customFormat="false" ht="17.15" hidden="false" customHeight="false" outlineLevel="0" collapsed="false">
      <c r="A746" s="5" t="s">
        <v>492</v>
      </c>
      <c r="B746" s="0" t="s">
        <v>27</v>
      </c>
      <c r="D746" s="13" t="n">
        <f aca="false">MAX(0,payout_hi*(SUM(D727:F727)+0.75*(D743-D744)))</f>
        <v>2202.84179848988</v>
      </c>
      <c r="E746" s="13" t="n">
        <f aca="false">MAX(0,payout_hi*E745)</f>
        <v>3431.16091317506</v>
      </c>
      <c r="F746" s="13" t="n">
        <f aca="false">MAX(0,payout_hi*F745)</f>
        <v>3431.93408099275</v>
      </c>
      <c r="G746" s="13" t="n">
        <f aca="false">MAX(0,payout_hi*G745)</f>
        <v>3634.56057073415</v>
      </c>
      <c r="T746" s="8" t="s">
        <v>493</v>
      </c>
    </row>
    <row r="747" customFormat="false" ht="17.15" hidden="false" customHeight="false" outlineLevel="0" collapsed="false">
      <c r="A747" s="5" t="s">
        <v>494</v>
      </c>
      <c r="B747" s="0" t="s">
        <v>27</v>
      </c>
      <c r="C747" s="13" t="n">
        <f aca="false">eq25</f>
        <v>1399.1</v>
      </c>
      <c r="D747" s="13" t="n">
        <f aca="false">eq_j+SUM(D727:F727)-D746</f>
        <v>4704.64179848988</v>
      </c>
      <c r="E747" s="13" t="n">
        <f aca="false">D747+E742-E746</f>
        <v>8285.80271166495</v>
      </c>
      <c r="F747" s="13" t="n">
        <f aca="false">E747+F742-F746</f>
        <v>11867.7367926577</v>
      </c>
      <c r="G747" s="13" t="n">
        <f aca="false">F747+G742-G746</f>
        <v>15652.2973633918</v>
      </c>
      <c r="T747" s="8" t="s">
        <v>495</v>
      </c>
    </row>
    <row r="748" customFormat="false" ht="15" hidden="false" customHeight="false" outlineLevel="0" collapsed="false">
      <c r="A748" s="5" t="s">
        <v>496</v>
      </c>
      <c r="B748" s="0" t="s">
        <v>27</v>
      </c>
      <c r="D748" s="13" t="n">
        <f aca="false">nc_j+(SUM(D727:F727)+0.75*(D743-D744))-D746</f>
        <v>2359.24179848988</v>
      </c>
      <c r="E748" s="13" t="n">
        <f aca="false">D748+E745-E746</f>
        <v>5790.40271166494</v>
      </c>
      <c r="F748" s="13" t="n">
        <f aca="false">E748+F745-F746</f>
        <v>9222.3367926577</v>
      </c>
      <c r="G748" s="13" t="n">
        <f aca="false">F748+G745-G746</f>
        <v>12856.8973633918</v>
      </c>
    </row>
    <row r="749" customFormat="false" ht="15" hidden="false" customHeight="false" outlineLevel="0" collapsed="false">
      <c r="A749" s="5" t="s">
        <v>497</v>
      </c>
      <c r="B749" s="5" t="s">
        <v>209</v>
      </c>
      <c r="D749" s="13" t="n">
        <f aca="false">sh0-D746/bb_px*1000</f>
        <v>1471.33973536496</v>
      </c>
      <c r="E749" s="13" t="n">
        <f aca="false">D749-E746/bb_px*1000</f>
        <v>1202.3345677307</v>
      </c>
      <c r="F749" s="13" t="n">
        <f aca="false">E749-F746/bb_px*1000</f>
        <v>933.26878325459</v>
      </c>
      <c r="G749" s="13" t="n">
        <f aca="false">F749-G746/bb_px*1000</f>
        <v>648.316954894406</v>
      </c>
    </row>
    <row r="750" customFormat="false" ht="17.15" hidden="false" customHeight="false" outlineLevel="0" collapsed="false">
      <c r="A750" s="0" t="s">
        <v>498</v>
      </c>
      <c r="B750" s="0" t="s">
        <v>108</v>
      </c>
      <c r="C750" s="17" t="n">
        <f aca="false">a25_eps</f>
        <v>341.4</v>
      </c>
      <c r="D750" s="17" t="n">
        <f aca="false">D742/(D749+dil)*1000</f>
        <v>3593.98056654216</v>
      </c>
      <c r="E750" s="17" t="n">
        <f aca="false">E742/(E749+dil)*1000</f>
        <v>5755.7755928901</v>
      </c>
      <c r="F750" s="17" t="n">
        <f aca="false">F742/(F749+dil)*1000</f>
        <v>7388.89357548869</v>
      </c>
      <c r="G750" s="17" t="n">
        <f aca="false">G742/(G749+dil)*1000</f>
        <v>11168.4489059145</v>
      </c>
    </row>
    <row r="751" customFormat="false" ht="17.15" hidden="false" customHeight="false" outlineLevel="0" collapsed="false">
      <c r="A751" s="5" t="s">
        <v>499</v>
      </c>
      <c r="B751" s="0" t="s">
        <v>108</v>
      </c>
      <c r="D751" s="17" t="n">
        <f aca="false">D747/D749*1000</f>
        <v>3197.5224249095</v>
      </c>
      <c r="E751" s="17" t="n">
        <f aca="false">E747/E749*1000</f>
        <v>6891.42850421716</v>
      </c>
      <c r="F751" s="17" t="n">
        <f aca="false">F747/F749*1000</f>
        <v>12716.311748124</v>
      </c>
      <c r="G751" s="17" t="n">
        <f aca="false">G747/G749*1000</f>
        <v>24142.9708805644</v>
      </c>
    </row>
    <row r="752" customFormat="false" ht="17.15" hidden="false" customHeight="false" outlineLevel="0" collapsed="false">
      <c r="A752" s="0" t="s">
        <v>500</v>
      </c>
      <c r="B752" s="0" t="s">
        <v>145</v>
      </c>
      <c r="D752" s="21" t="n">
        <f aca="false">D742/D747</f>
        <v>1.13619353522208</v>
      </c>
      <c r="E752" s="21" t="n">
        <f aca="false">E742/E747</f>
        <v>0.846305671323554</v>
      </c>
      <c r="F752" s="21" t="n">
        <f aca="false">F742/F747</f>
        <v>0.59100300963237</v>
      </c>
      <c r="G752" s="21" t="n">
        <f aca="false">G742/G747</f>
        <v>0.473995667806593</v>
      </c>
    </row>
    <row r="753" customFormat="false" ht="15" hidden="false" customHeight="false" outlineLevel="0" collapsed="false">
      <c r="A753" s="5" t="s">
        <v>501</v>
      </c>
      <c r="B753" s="0" t="s">
        <v>108</v>
      </c>
      <c r="E753" s="17" t="n">
        <f aca="false">E745/(E749+dil)*1000</f>
        <v>5632.65427012234</v>
      </c>
      <c r="F753" s="17" t="n">
        <f aca="false">F745/(F749+dil)*1000</f>
        <v>7230.87320631061</v>
      </c>
      <c r="G753" s="17" t="n">
        <f aca="false">G745/(G749+dil)*1000</f>
        <v>10942.6448916731</v>
      </c>
    </row>
    <row r="754" customFormat="false" ht="17.15" hidden="false" customHeight="false" outlineLevel="0" collapsed="false">
      <c r="A754" s="5" t="s">
        <v>502</v>
      </c>
      <c r="B754" s="0" t="s">
        <v>27</v>
      </c>
      <c r="D754" s="18" t="n">
        <f aca="false">ABS(C714-q1_rev)+ABS(D725-g2_op)+ABS(C731-2337.6)</f>
        <v>0</v>
      </c>
    </row>
    <row r="760" customFormat="false" ht="17.15" hidden="false" customHeight="false" outlineLevel="0" collapsed="false">
      <c r="A760" s="3" t="s">
        <v>831</v>
      </c>
    </row>
    <row r="761" customFormat="false" ht="17.15" hidden="false" customHeight="false" outlineLevel="0" collapsed="false">
      <c r="A761" s="12" t="s">
        <v>442</v>
      </c>
      <c r="B761" s="6" t="s">
        <v>17</v>
      </c>
      <c r="C761" s="12" t="s">
        <v>443</v>
      </c>
      <c r="D761" s="12" t="s">
        <v>444</v>
      </c>
      <c r="E761" s="12" t="s">
        <v>445</v>
      </c>
      <c r="F761" s="12" t="s">
        <v>446</v>
      </c>
      <c r="G761" s="12" t="s">
        <v>447</v>
      </c>
      <c r="H761" s="12" t="s">
        <v>448</v>
      </c>
      <c r="I761" s="12" t="s">
        <v>449</v>
      </c>
      <c r="J761" s="12" t="s">
        <v>450</v>
      </c>
      <c r="K761" s="12" t="s">
        <v>451</v>
      </c>
      <c r="L761" s="12" t="s">
        <v>452</v>
      </c>
      <c r="M761" s="12" t="s">
        <v>453</v>
      </c>
      <c r="N761" s="12" t="s">
        <v>454</v>
      </c>
      <c r="O761" s="12" t="s">
        <v>455</v>
      </c>
      <c r="P761" s="12" t="s">
        <v>456</v>
      </c>
      <c r="Q761" s="12" t="s">
        <v>457</v>
      </c>
      <c r="R761" s="12" t="s">
        <v>458</v>
      </c>
      <c r="S761" s="12"/>
      <c r="T761" s="6" t="s">
        <v>330</v>
      </c>
    </row>
    <row r="762" customFormat="false" ht="17.15" hidden="false" customHeight="false" outlineLevel="0" collapsed="false">
      <c r="A762" s="5" t="s">
        <v>459</v>
      </c>
      <c r="B762" s="0" t="s">
        <v>391</v>
      </c>
      <c r="C762" s="19" t="n">
        <f aca="false">Units!H4*1</f>
        <v>10.72</v>
      </c>
      <c r="D762" s="19" t="n">
        <f aca="false">Units!I4*1</f>
        <v>14.9513168749304</v>
      </c>
      <c r="E762" s="19" t="n">
        <f aca="false">Units!J4*1*1</f>
        <v>16.2035648188888</v>
      </c>
      <c r="F762" s="19" t="n">
        <f aca="false">Units!K4*1*1</f>
        <v>17.8543449815733</v>
      </c>
      <c r="G762" s="19" t="n">
        <f aca="false">Units!L4*1*1</f>
        <v>18.8786713110699</v>
      </c>
      <c r="H762" s="19" t="n">
        <f aca="false">Units!M4*1*1</f>
        <v>18.9636763094518</v>
      </c>
      <c r="I762" s="19" t="n">
        <f aca="false">Units!N4*1*1</f>
        <v>18.6480311322868</v>
      </c>
      <c r="J762" s="19" t="n">
        <f aca="false">Units!O4*1*1</f>
        <v>18.7319976270738</v>
      </c>
      <c r="K762" s="19" t="n">
        <f aca="false">Units!P4*1*1</f>
        <v>18.8163421978194</v>
      </c>
      <c r="L762" s="19" t="n">
        <f aca="false">Units!Q4*1*1</f>
        <v>18.9010665468864</v>
      </c>
      <c r="M762" s="19" t="n">
        <f aca="false">Units!R4*1*1</f>
        <v>18.9861723843027</v>
      </c>
      <c r="N762" s="19" t="n">
        <f aca="false">Units!S4*1*1</f>
        <v>19.1874193215442</v>
      </c>
      <c r="O762" s="19" t="n">
        <f aca="false">Units!T4*1*1</f>
        <v>19.5604237366471</v>
      </c>
      <c r="P762" s="19" t="n">
        <f aca="false">Units!U4*1*1</f>
        <v>19.9406793766988</v>
      </c>
      <c r="Q762" s="19" t="n">
        <f aca="false">Units!V4*1*1</f>
        <v>20.3283272058839</v>
      </c>
      <c r="R762" s="19" t="n">
        <f aca="false">Units!W4*1*1</f>
        <v>20.0593273219312</v>
      </c>
      <c r="T762" s="8" t="s">
        <v>460</v>
      </c>
    </row>
    <row r="763" customFormat="false" ht="15" hidden="false" customHeight="false" outlineLevel="0" collapsed="false">
      <c r="A763" s="5" t="s">
        <v>461</v>
      </c>
      <c r="B763" s="0" t="s">
        <v>398</v>
      </c>
      <c r="C763" s="19" t="n">
        <f aca="false">Units!H7*1</f>
        <v>40.1757580440862</v>
      </c>
      <c r="D763" s="19" t="n">
        <f aca="false">Units!I7*1</f>
        <v>44.8269021796765</v>
      </c>
      <c r="E763" s="19" t="n">
        <f aca="false">Units!J7*1</f>
        <v>44.9411476117569</v>
      </c>
      <c r="F763" s="19" t="n">
        <f aca="false">Units!K7*1</f>
        <v>48.0773237904583</v>
      </c>
      <c r="G763" s="19" t="n">
        <f aca="false">Units!L7*1</f>
        <v>50.835580599158</v>
      </c>
      <c r="H763" s="19" t="n">
        <f aca="false">Units!M7*1</f>
        <v>53.7520820858664</v>
      </c>
      <c r="I763" s="19" t="n">
        <f aca="false">Units!N7*1</f>
        <v>56.8359069476934</v>
      </c>
      <c r="J763" s="19" t="n">
        <f aca="false">Units!O7*1</f>
        <v>60.0966547380729</v>
      </c>
      <c r="K763" s="19" t="n">
        <f aca="false">Units!P7*1</f>
        <v>63.5444757489475</v>
      </c>
      <c r="L763" s="19" t="n">
        <f aca="false">Units!Q7*1</f>
        <v>67.190102607333</v>
      </c>
      <c r="M763" s="19" t="n">
        <f aca="false">Units!R7*1</f>
        <v>71.0448836846168</v>
      </c>
      <c r="N763" s="19" t="n">
        <f aca="false">Units!S7*1</f>
        <v>74.0184898623123</v>
      </c>
      <c r="O763" s="19" t="n">
        <f aca="false">Units!T7*1</f>
        <v>77.7911475249602</v>
      </c>
      <c r="P763" s="19" t="n">
        <f aca="false">Units!U7*1</f>
        <v>81.7560942476254</v>
      </c>
      <c r="Q763" s="19" t="n">
        <f aca="false">Units!V7*1</f>
        <v>85.9231308354458</v>
      </c>
      <c r="R763" s="19" t="n">
        <f aca="false">Units!W7*1</f>
        <v>87.5395173614874</v>
      </c>
    </row>
    <row r="764" customFormat="false" ht="17.15" hidden="false" customHeight="false" outlineLevel="0" collapsed="false">
      <c r="A764" s="5" t="s">
        <v>354</v>
      </c>
      <c r="B764" s="0" t="s">
        <v>27</v>
      </c>
      <c r="C764" s="13" t="n">
        <f aca="false">q1_rev</f>
        <v>1767.1</v>
      </c>
      <c r="D764" s="13" t="n">
        <f aca="false">g2_rev</f>
        <v>2480</v>
      </c>
      <c r="E764" s="13" t="n">
        <f aca="false">E762*kx_k*fx</f>
        <v>2671.01859994948</v>
      </c>
      <c r="F764" s="13" t="n">
        <f aca="false">F762*kx_k*fx</f>
        <v>2943.13554262483</v>
      </c>
      <c r="G764" s="13" t="n">
        <f aca="false">G762*kx_k*fx</f>
        <v>3111.98694718205</v>
      </c>
      <c r="H764" s="13" t="n">
        <f aca="false">H762*kx_k*fx</f>
        <v>3125.9992916448</v>
      </c>
      <c r="I764" s="13" t="n">
        <f aca="false">I762*kx_k*fx</f>
        <v>3073.96789308433</v>
      </c>
      <c r="J764" s="13" t="n">
        <f aca="false">J762*kx_k*fx</f>
        <v>3087.80904914199</v>
      </c>
      <c r="K764" s="13" t="n">
        <f aca="false">K762*kx_k*fx</f>
        <v>3101.71252777674</v>
      </c>
      <c r="L764" s="13" t="n">
        <f aca="false">L762*kx_k*fx</f>
        <v>3115.67860960848</v>
      </c>
      <c r="M764" s="13" t="n">
        <f aca="false">M762*kx_k*fx</f>
        <v>3129.70757652064</v>
      </c>
      <c r="N764" s="13" t="n">
        <f aca="false">N762*kx_k*fx</f>
        <v>3162.88140700567</v>
      </c>
      <c r="O764" s="13" t="n">
        <f aca="false">O762*kx_k*fx</f>
        <v>3224.36798367809</v>
      </c>
      <c r="P764" s="13" t="n">
        <f aca="false">P762*kx_k*fx</f>
        <v>3287.04986255265</v>
      </c>
      <c r="Q764" s="13" t="n">
        <f aca="false">Q762*kx_k*fx</f>
        <v>3350.95028036543</v>
      </c>
      <c r="R764" s="13" t="n">
        <f aca="false">R762*kx_k*fx</f>
        <v>3306.60795807692</v>
      </c>
      <c r="T764" s="5" t="s">
        <v>462</v>
      </c>
    </row>
    <row r="765" customFormat="false" ht="17.15" hidden="false" customHeight="false" outlineLevel="0" collapsed="false">
      <c r="A765" s="0" t="s">
        <v>463</v>
      </c>
      <c r="B765" s="0" t="s">
        <v>27</v>
      </c>
      <c r="C765" s="13" t="n">
        <f aca="false">q1_ss</f>
        <v>1174.7</v>
      </c>
      <c r="D765" s="13" t="n">
        <f aca="false">D764*sssh_26</f>
        <v>1636.8</v>
      </c>
      <c r="E765" s="13" t="n">
        <f aca="false">E764*sssh_26</f>
        <v>1762.87227596666</v>
      </c>
      <c r="F765" s="13" t="n">
        <f aca="false">F764*sssh_26</f>
        <v>1942.46945813239</v>
      </c>
      <c r="G765" s="13" t="n">
        <f aca="false">G764*sssh_27</f>
        <v>2116.1511240838</v>
      </c>
      <c r="H765" s="13" t="n">
        <f aca="false">H764*sssh_27</f>
        <v>2125.67951831847</v>
      </c>
      <c r="I765" s="13" t="n">
        <f aca="false">I764*sssh_27</f>
        <v>2090.29816729734</v>
      </c>
      <c r="J765" s="13" t="n">
        <f aca="false">J764*sssh_27</f>
        <v>2099.71015341655</v>
      </c>
      <c r="K765" s="13" t="n">
        <f aca="false">K764*sssh_28</f>
        <v>2171.19876944372</v>
      </c>
      <c r="L765" s="13" t="n">
        <f aca="false">L764*sssh_28</f>
        <v>2180.97502672594</v>
      </c>
      <c r="M765" s="13" t="n">
        <f aca="false">M764*sssh_28</f>
        <v>2190.79530356445</v>
      </c>
      <c r="N765" s="13" t="n">
        <f aca="false">N764*sssh_28</f>
        <v>2214.01698490397</v>
      </c>
      <c r="O765" s="13" t="n">
        <f aca="false">O764*sssh_29</f>
        <v>2257.05758857466</v>
      </c>
      <c r="P765" s="13" t="n">
        <f aca="false">P764*sssh_29</f>
        <v>2300.93490378686</v>
      </c>
      <c r="Q765" s="13" t="n">
        <f aca="false">Q764*sssh_29</f>
        <v>2345.6651962558</v>
      </c>
      <c r="R765" s="13" t="n">
        <f aca="false">R764*sssh_29</f>
        <v>2314.62557065385</v>
      </c>
      <c r="T765" s="5" t="s">
        <v>464</v>
      </c>
    </row>
    <row r="766" customFormat="false" ht="17.15" hidden="false" customHeight="false" outlineLevel="0" collapsed="false">
      <c r="A766" s="0" t="s">
        <v>465</v>
      </c>
      <c r="B766" s="0" t="s">
        <v>27</v>
      </c>
      <c r="C766" s="13" t="n">
        <f aca="false">C765*(0.75*Units!D16+0.25*Units!E16)</f>
        <v>687.403351447223</v>
      </c>
      <c r="D766" s="13" t="n">
        <f aca="false">D765*(0.75*Units!D16+0.25*Units!E16)</f>
        <v>957.812041924589</v>
      </c>
      <c r="E766" s="13" t="n">
        <f aca="false">E765*(0.75*Units!D16+0.25*Units!E16)</f>
        <v>1031.58620130491</v>
      </c>
      <c r="F766" s="13" t="n">
        <f aca="false">F765*(0.75*Units!D16+0.25*Units!E16)</f>
        <v>1136.68171925094</v>
      </c>
      <c r="G766" s="13" t="n">
        <f aca="false">G765*(0.75*Units!E16+0.25*Units!F16)</f>
        <v>1457.97622792167</v>
      </c>
      <c r="H766" s="13" t="n">
        <f aca="false">H765*(0.75*Units!E16+0.25*Units!F16)</f>
        <v>1464.54105787464</v>
      </c>
      <c r="I766" s="13" t="n">
        <f aca="false">I765*(0.75*Units!E16+0.25*Units!F16)</f>
        <v>1440.16417471471</v>
      </c>
      <c r="J766" s="13" t="n">
        <f aca="false">J765*(0.75*Units!E16+0.25*Units!F16)</f>
        <v>1446.64880233093</v>
      </c>
      <c r="K766" s="13" t="n">
        <f aca="false">K765*(0.75*Units!F16+0.25*Units!G16)</f>
        <v>1584.5436918192</v>
      </c>
      <c r="L766" s="13" t="n">
        <f aca="false">L765*(0.75*Units!F16+0.25*Units!G16)</f>
        <v>1591.67841712586</v>
      </c>
      <c r="M766" s="13" t="n">
        <f aca="false">M765*(0.75*Units!F16+0.25*Units!G16)</f>
        <v>1598.84526796208</v>
      </c>
      <c r="N766" s="13" t="n">
        <f aca="false">N765*(0.75*Units!F16+0.25*Units!G16)</f>
        <v>1615.79248127014</v>
      </c>
      <c r="O766" s="13" t="n">
        <f aca="false">O765*(0.75*Units!G16+0.25*Units!H16)</f>
        <v>1720.23366162982</v>
      </c>
      <c r="P766" s="13" t="n">
        <f aca="false">P765*(0.75*Units!G16+0.25*Units!H16)</f>
        <v>1753.67509218615</v>
      </c>
      <c r="Q766" s="13" t="n">
        <f aca="false">Q765*(0.75*Units!G16+0.25*Units!H16)</f>
        <v>1787.76662586661</v>
      </c>
      <c r="R766" s="13" t="n">
        <f aca="false">R765*(0.75*Units!G16+0.25*Units!H16)</f>
        <v>1764.10953839345</v>
      </c>
      <c r="T766" s="5" t="s">
        <v>466</v>
      </c>
    </row>
    <row r="767" customFormat="false" ht="17.15" hidden="false" customHeight="false" outlineLevel="0" collapsed="false">
      <c r="A767" s="0" t="s">
        <v>467</v>
      </c>
      <c r="B767" s="0" t="s">
        <v>27</v>
      </c>
      <c r="C767" s="13" t="n">
        <f aca="false">C765-C766</f>
        <v>487.296648552777</v>
      </c>
      <c r="D767" s="13" t="n">
        <f aca="false">D765-D766</f>
        <v>678.987958075412</v>
      </c>
      <c r="E767" s="13" t="n">
        <f aca="false">E765-E766</f>
        <v>731.28607466175</v>
      </c>
      <c r="F767" s="13" t="n">
        <f aca="false">F765-F766</f>
        <v>805.787738881452</v>
      </c>
      <c r="G767" s="13" t="n">
        <f aca="false">G765-G766</f>
        <v>658.174896162131</v>
      </c>
      <c r="H767" s="13" t="n">
        <f aca="false">H765-H766</f>
        <v>661.138460443822</v>
      </c>
      <c r="I767" s="13" t="n">
        <f aca="false">I765-I766</f>
        <v>650.133992582631</v>
      </c>
      <c r="J767" s="13" t="n">
        <f aca="false">J765-J766</f>
        <v>653.061351085617</v>
      </c>
      <c r="K767" s="13" t="n">
        <f aca="false">K765-K766</f>
        <v>586.65507762452</v>
      </c>
      <c r="L767" s="13" t="n">
        <f aca="false">L765-L766</f>
        <v>589.296609600079</v>
      </c>
      <c r="M767" s="13" t="n">
        <f aca="false">M765-M766</f>
        <v>591.950035602373</v>
      </c>
      <c r="N767" s="13" t="n">
        <f aca="false">N765-N766</f>
        <v>598.224503633827</v>
      </c>
      <c r="O767" s="13" t="n">
        <f aca="false">O765-O766</f>
        <v>536.82392694484</v>
      </c>
      <c r="P767" s="13" t="n">
        <f aca="false">P765-P766</f>
        <v>547.259811600705</v>
      </c>
      <c r="Q767" s="13" t="n">
        <f aca="false">Q765-Q766</f>
        <v>557.898570389192</v>
      </c>
      <c r="R767" s="13" t="n">
        <f aca="false">R765-R766</f>
        <v>550.516032260396</v>
      </c>
    </row>
    <row r="768" customFormat="false" ht="17.15" hidden="false" customHeight="false" outlineLevel="0" collapsed="false">
      <c r="A768" s="5" t="s">
        <v>468</v>
      </c>
      <c r="B768" s="0" t="s">
        <v>27</v>
      </c>
      <c r="C768" s="13" t="n">
        <f aca="false">q1_rev-q1_ss-q1_sd</f>
        <v>66.6999999999998</v>
      </c>
      <c r="D768" s="13" t="n">
        <f aca="false">D764*otsh_26</f>
        <v>99.2</v>
      </c>
      <c r="E768" s="13" t="n">
        <f aca="false">E764*otsh_26</f>
        <v>106.840743997979</v>
      </c>
      <c r="F768" s="13" t="n">
        <f aca="false">F764*otsh_26</f>
        <v>117.725421704993</v>
      </c>
      <c r="G768" s="13" t="n">
        <f aca="false">G764*otsh_27</f>
        <v>124.479477887282</v>
      </c>
      <c r="H768" s="13" t="n">
        <f aca="false">H764*otsh_27</f>
        <v>125.039971665792</v>
      </c>
      <c r="I768" s="13" t="n">
        <f aca="false">I764*otsh_27</f>
        <v>122.958715723373</v>
      </c>
      <c r="J768" s="13" t="n">
        <f aca="false">J764*otsh_27</f>
        <v>123.51236196568</v>
      </c>
      <c r="K768" s="13" t="n">
        <f aca="false">K764*otsh_28</f>
        <v>124.06850111107</v>
      </c>
      <c r="L768" s="13" t="n">
        <f aca="false">L764*otsh_28</f>
        <v>124.627144384339</v>
      </c>
      <c r="M768" s="13" t="n">
        <f aca="false">M764*otsh_28</f>
        <v>125.188303060826</v>
      </c>
      <c r="N768" s="13" t="n">
        <f aca="false">N764*otsh_28</f>
        <v>126.515256280227</v>
      </c>
      <c r="O768" s="13" t="n">
        <f aca="false">O764*otsh_29</f>
        <v>128.974719347123</v>
      </c>
      <c r="P768" s="13" t="n">
        <f aca="false">P764*otsh_29</f>
        <v>131.481994502106</v>
      </c>
      <c r="Q768" s="13" t="n">
        <f aca="false">Q764*otsh_29</f>
        <v>134.038011214617</v>
      </c>
      <c r="R768" s="13" t="n">
        <f aca="false">R764*otsh_29</f>
        <v>132.264318323077</v>
      </c>
      <c r="T768" s="5" t="s">
        <v>469</v>
      </c>
    </row>
    <row r="769" customFormat="false" ht="17.15" hidden="false" customHeight="false" outlineLevel="0" collapsed="false">
      <c r="A769" s="5" t="s">
        <v>470</v>
      </c>
      <c r="B769" s="0" t="s">
        <v>27</v>
      </c>
      <c r="C769" s="13" t="n">
        <f aca="false">q1_sd</f>
        <v>525.7</v>
      </c>
      <c r="D769" s="13" t="n">
        <f aca="false">D764-D765-D768</f>
        <v>744</v>
      </c>
      <c r="E769" s="13" t="n">
        <f aca="false">E764-E765-E768</f>
        <v>801.305579984843</v>
      </c>
      <c r="F769" s="13" t="n">
        <f aca="false">F764-F765-F768</f>
        <v>882.940662787449</v>
      </c>
      <c r="G769" s="13" t="n">
        <f aca="false">G764-G765-G768</f>
        <v>871.356345210975</v>
      </c>
      <c r="H769" s="13" t="n">
        <f aca="false">H764-H765-H768</f>
        <v>875.279801660544</v>
      </c>
      <c r="I769" s="13" t="n">
        <f aca="false">I764-I765-I768</f>
        <v>860.711010063612</v>
      </c>
      <c r="J769" s="13" t="n">
        <f aca="false">J764-J765-J768</f>
        <v>864.586533759756</v>
      </c>
      <c r="K769" s="13" t="n">
        <f aca="false">K764-K765-K768</f>
        <v>806.445257221952</v>
      </c>
      <c r="L769" s="13" t="n">
        <f aca="false">L764-L765-L768</f>
        <v>810.076438498206</v>
      </c>
      <c r="M769" s="13" t="n">
        <f aca="false">M764-M765-M768</f>
        <v>813.723969895367</v>
      </c>
      <c r="N769" s="13" t="n">
        <f aca="false">N764-N765-N768</f>
        <v>822.349165821474</v>
      </c>
      <c r="O769" s="13" t="n">
        <f aca="false">O764-O765-O768</f>
        <v>838.335675756302</v>
      </c>
      <c r="P769" s="13" t="n">
        <f aca="false">P764-P765-P768</f>
        <v>854.63296426369</v>
      </c>
      <c r="Q769" s="13" t="n">
        <f aca="false">Q764-Q765-Q768</f>
        <v>871.247072895013</v>
      </c>
      <c r="R769" s="13" t="n">
        <f aca="false">R764-R765-R768</f>
        <v>859.7180691</v>
      </c>
      <c r="T769" s="5" t="s">
        <v>471</v>
      </c>
    </row>
    <row r="770" customFormat="false" ht="15" hidden="false" customHeight="false" outlineLevel="0" collapsed="false">
      <c r="A770" s="5" t="s">
        <v>472</v>
      </c>
      <c r="B770" s="0" t="s">
        <v>27</v>
      </c>
      <c r="C770" s="18" t="n">
        <f aca="false">C765+C769+C768-C764</f>
        <v>0</v>
      </c>
      <c r="D770" s="18" t="n">
        <f aca="false">D765+D769+D768-D764</f>
        <v>0</v>
      </c>
      <c r="E770" s="18" t="n">
        <f aca="false">E765+E769+E768-E764</f>
        <v>0</v>
      </c>
      <c r="F770" s="18" t="n">
        <f aca="false">F765+F769+F768-F764</f>
        <v>0</v>
      </c>
      <c r="G770" s="18" t="n">
        <f aca="false">G765+G769+G768-G764</f>
        <v>0</v>
      </c>
      <c r="H770" s="18" t="n">
        <f aca="false">H765+H769+H768-H764</f>
        <v>0</v>
      </c>
      <c r="I770" s="18" t="n">
        <f aca="false">I765+I769+I768-I764</f>
        <v>0</v>
      </c>
      <c r="J770" s="18" t="n">
        <f aca="false">J765+J769+J768-J764</f>
        <v>0</v>
      </c>
      <c r="K770" s="18" t="n">
        <f aca="false">K765+K769+K768-K764</f>
        <v>0</v>
      </c>
      <c r="L770" s="18" t="n">
        <f aca="false">L765+L769+L768-L764</f>
        <v>0</v>
      </c>
      <c r="M770" s="18" t="n">
        <f aca="false">M765+M769+M768-M764</f>
        <v>0</v>
      </c>
      <c r="N770" s="18" t="n">
        <f aca="false">N765+N769+N768-N764</f>
        <v>0</v>
      </c>
      <c r="O770" s="18" t="n">
        <f aca="false">O765+O769+O768-O764</f>
        <v>0</v>
      </c>
      <c r="P770" s="18" t="n">
        <f aca="false">P765+P769+P768-P764</f>
        <v>0</v>
      </c>
      <c r="Q770" s="18" t="n">
        <f aca="false">Q765+Q769+Q768-Q764</f>
        <v>0</v>
      </c>
      <c r="R770" s="18" t="n">
        <f aca="false">R765+R769+R768-R764</f>
        <v>0</v>
      </c>
    </row>
    <row r="771" customFormat="false" ht="17.15" hidden="false" customHeight="false" outlineLevel="0" collapsed="false">
      <c r="A771" s="5" t="s">
        <v>473</v>
      </c>
      <c r="B771" s="0" t="s">
        <v>474</v>
      </c>
      <c r="C771" s="20" t="n">
        <f aca="false">C772/C763</f>
        <v>9.63267449926724</v>
      </c>
      <c r="D771" s="20" t="n">
        <f aca="false">D772/D763</f>
        <v>9.50991434320605</v>
      </c>
      <c r="E771" s="20" t="n">
        <f aca="false">$D771*(1-cd_A)^(1/4)</f>
        <v>9.15801220601616</v>
      </c>
      <c r="F771" s="20" t="n">
        <f aca="false">$D771*(1-cd_A)^(2/4)</f>
        <v>8.81913175437355</v>
      </c>
      <c r="G771" s="20" t="n">
        <f aca="false">$D771*(1-cd_A)^(3/4)</f>
        <v>8.49279113756868</v>
      </c>
      <c r="H771" s="20" t="n">
        <f aca="false">$D771*(1-cd_A)^(4/4)</f>
        <v>8.1785263351572</v>
      </c>
      <c r="I771" s="20" t="n">
        <f aca="false">$D771*(1-cd_A)^(5/4)</f>
        <v>7.87589049717389</v>
      </c>
      <c r="J771" s="20" t="n">
        <f aca="false">$D771*(1-cd_A)^(6/4)</f>
        <v>7.58445330876125</v>
      </c>
      <c r="K771" s="20" t="n">
        <f aca="false">$D771*(1-cd_A)^(7/4)</f>
        <v>7.30380037830907</v>
      </c>
      <c r="L771" s="20" t="n">
        <f aca="false">$D771*(1-cd_A)^(8/4)</f>
        <v>7.03353264823519</v>
      </c>
      <c r="M771" s="20" t="n">
        <f aca="false">$D771*(1-cd_A)^(9/4)</f>
        <v>6.77326582756955</v>
      </c>
      <c r="N771" s="20" t="n">
        <f aca="false">$D771*(1-cd_A)^(10/4)</f>
        <v>6.52262984553468</v>
      </c>
      <c r="O771" s="20" t="n">
        <f aca="false">$D771*(1-cd_A)^(11/4)</f>
        <v>6.2812683253458</v>
      </c>
      <c r="P771" s="20" t="n">
        <f aca="false">$D771*(1-cd_A)^(12/4)</f>
        <v>6.04883807748227</v>
      </c>
      <c r="Q771" s="20" t="n">
        <f aca="false">$D771*(1-cd_A)^(13/4)</f>
        <v>5.82500861170981</v>
      </c>
      <c r="R771" s="20" t="n">
        <f aca="false">$D771*(1-cd_A)^(14/4)</f>
        <v>5.60946166715982</v>
      </c>
    </row>
    <row r="772" customFormat="false" ht="15" hidden="false" customHeight="false" outlineLevel="0" collapsed="false">
      <c r="A772" s="5" t="s">
        <v>475</v>
      </c>
      <c r="B772" s="0" t="s">
        <v>27</v>
      </c>
      <c r="C772" s="13" t="n">
        <f aca="false">q1_rev-q1_gp</f>
        <v>387</v>
      </c>
      <c r="D772" s="13" t="n">
        <f aca="false">g2_rev-g2_op-g2_ox</f>
        <v>426.3</v>
      </c>
      <c r="E772" s="13" t="n">
        <f aca="false">E763*E771</f>
        <v>411.571578380844</v>
      </c>
      <c r="F772" s="13" t="n">
        <f aca="false">F763*F771</f>
        <v>424.00025290573</v>
      </c>
      <c r="G772" s="13" t="n">
        <f aca="false">G763*G771</f>
        <v>431.735968385688</v>
      </c>
      <c r="H772" s="13" t="n">
        <f aca="false">H763*H771</f>
        <v>439.61281890879</v>
      </c>
      <c r="I772" s="13" t="n">
        <f aca="false">I763*I771</f>
        <v>447.633379427598</v>
      </c>
      <c r="J772" s="13" t="n">
        <f aca="false">J763*J771</f>
        <v>455.80027187366</v>
      </c>
      <c r="K772" s="13" t="n">
        <f aca="false">K763*K771</f>
        <v>464.116166014614</v>
      </c>
      <c r="L772" s="13" t="n">
        <f aca="false">L763*L771</f>
        <v>472.583780326949</v>
      </c>
      <c r="M772" s="13" t="n">
        <f aca="false">M763*M771</f>
        <v>481.205882884668</v>
      </c>
      <c r="N772" s="13" t="n">
        <f aca="false">N763*N771</f>
        <v>482.795211097324</v>
      </c>
      <c r="O772" s="13" t="n">
        <f aca="false">O763*O771</f>
        <v>488.627070940835</v>
      </c>
      <c r="P772" s="13" t="n">
        <f aca="false">P763*P771</f>
        <v>494.529375951265</v>
      </c>
      <c r="Q772" s="13" t="n">
        <f aca="false">Q763*Q771</f>
        <v>500.502977061541</v>
      </c>
      <c r="R772" s="13" t="n">
        <f aca="false">R763*R771</f>
        <v>491.049567000935</v>
      </c>
      <c r="T772" s="5" t="s">
        <v>476</v>
      </c>
    </row>
    <row r="773" customFormat="false" ht="15" hidden="false" customHeight="false" outlineLevel="0" collapsed="false">
      <c r="A773" s="5" t="s">
        <v>360</v>
      </c>
      <c r="B773" s="0" t="s">
        <v>145</v>
      </c>
      <c r="C773" s="14" t="n">
        <f aca="false">1-C772/C764</f>
        <v>0.780997113915455</v>
      </c>
      <c r="D773" s="14" t="n">
        <f aca="false">1-D772/D764</f>
        <v>0.828104838709677</v>
      </c>
      <c r="E773" s="14" t="n">
        <f aca="false">1-E772/E764</f>
        <v>0.845912125662986</v>
      </c>
      <c r="F773" s="14" t="n">
        <f aca="false">1-F772/F764</f>
        <v>0.855935872893035</v>
      </c>
      <c r="G773" s="14" t="n">
        <f aca="false">1-G772/G764</f>
        <v>0.861266780448218</v>
      </c>
      <c r="H773" s="14" t="n">
        <f aca="false">1-H772/H764</f>
        <v>0.859368868034042</v>
      </c>
      <c r="I773" s="14" t="n">
        <f aca="false">1-I772/I764</f>
        <v>0.854379292498577</v>
      </c>
      <c r="J773" s="14" t="n">
        <f aca="false">1-J772/J764</f>
        <v>0.852387157165592</v>
      </c>
      <c r="K773" s="14" t="n">
        <f aca="false">1-K772/K764</f>
        <v>0.850367768818574</v>
      </c>
      <c r="L773" s="14" t="n">
        <f aca="false">1-L772/L764</f>
        <v>0.848320754628048</v>
      </c>
      <c r="M773" s="14" t="n">
        <f aca="false">1-M772/M764</f>
        <v>0.846245736664115</v>
      </c>
      <c r="N773" s="14" t="n">
        <f aca="false">1-N772/N764</f>
        <v>0.847355891995207</v>
      </c>
      <c r="O773" s="14" t="n">
        <f aca="false">1-O772/O764</f>
        <v>0.848458031647042</v>
      </c>
      <c r="P773" s="14" t="n">
        <f aca="false">1-P772/P764</f>
        <v>0.849552213495409</v>
      </c>
      <c r="Q773" s="14" t="n">
        <f aca="false">1-Q772/Q764</f>
        <v>0.850638494998213</v>
      </c>
      <c r="R773" s="14" t="n">
        <f aca="false">1-R772/R764</f>
        <v>0.851494470095414</v>
      </c>
    </row>
    <row r="774" customFormat="false" ht="17.15" hidden="false" customHeight="false" outlineLevel="0" collapsed="false">
      <c r="A774" s="5" t="s">
        <v>477</v>
      </c>
      <c r="B774" s="0" t="s">
        <v>27</v>
      </c>
      <c r="C774" s="13" t="n">
        <f aca="false">q1_gp-q1_op</f>
        <v>110.1</v>
      </c>
      <c r="D774" s="13" t="n">
        <f aca="false">g2_ox</f>
        <v>59</v>
      </c>
      <c r="E774" s="13" t="n">
        <f aca="false">(g2_ox-ox_var*g2_rev)*(1+ox_g)^(1/4)+ox_var*E764</f>
        <v>61.7348741661828</v>
      </c>
      <c r="F774" s="13" t="n">
        <f aca="false">(g2_ox-ox_var*g2_rev)*(1+ox_g)^(2/4)+ox_var*F764</f>
        <v>65.3006180336675</v>
      </c>
      <c r="G774" s="13" t="n">
        <f aca="false">(g2_ox-ox_var*g2_rev)*(1+ox_g)^(3/4)+ox_var*G764</f>
        <v>67.8540723254433</v>
      </c>
      <c r="H774" s="13" t="n">
        <f aca="false">(g2_ox-ox_var*g2_rev)*(1+ox_g)^(4/4)+ox_var*H764</f>
        <v>68.879992916448</v>
      </c>
      <c r="I774" s="13" t="n">
        <f aca="false">(g2_ox-ox_var*g2_rev)*(1+ox_g)^(5/4)+ox_var*I764</f>
        <v>69.2668359142001</v>
      </c>
      <c r="J774" s="13" t="n">
        <f aca="false">(g2_ox-ox_var*g2_rev)*(1+ox_g)^(6/4)+ox_var*J764</f>
        <v>70.334279359581</v>
      </c>
      <c r="K774" s="13" t="n">
        <f aca="false">(g2_ox-ox_var*g2_rev)*(1+ox_g)^(7/4)+ox_var*K764</f>
        <v>71.4247484167525</v>
      </c>
      <c r="L774" s="13" t="n">
        <f aca="false">(g2_ox-ox_var*g2_rev)*(1+ox_g)^(8/4)+ox_var*L764</f>
        <v>72.5387860960849</v>
      </c>
      <c r="M774" s="13" t="n">
        <f aca="false">(g2_ox-ox_var*g2_rev)*(1+ox_g)^(9/4)+ox_var*M764</f>
        <v>73.676948446899</v>
      </c>
      <c r="N774" s="13" t="n">
        <f aca="false">(g2_ox-ox_var*g2_rev)*(1+ox_g)^(10/4)+ox_var*N764</f>
        <v>75.0306218250339</v>
      </c>
      <c r="O774" s="13" t="n">
        <f aca="false">(g2_ox-ox_var*g2_rev)*(1+ox_g)^(11/4)+ox_var*O764</f>
        <v>76.6920652896645</v>
      </c>
      <c r="P774" s="13" t="n">
        <f aca="false">(g2_ox-ox_var*g2_rev)*(1+ox_g)^(12/4)+ox_var*P764</f>
        <v>78.3906986255266</v>
      </c>
      <c r="Q774" s="13" t="n">
        <f aca="false">(g2_ox-ox_var*g2_rev)*(1+ox_g)^(13/4)+ox_var*Q764</f>
        <v>80.1273627535161</v>
      </c>
      <c r="R774" s="13" t="n">
        <f aca="false">(g2_ox-ox_var*g2_rev)*(1+ox_g)^(14/4)+ox_var*R764</f>
        <v>80.8080681112442</v>
      </c>
      <c r="T774" s="5" t="s">
        <v>478</v>
      </c>
    </row>
    <row r="775" customFormat="false" ht="15" hidden="false" customHeight="false" outlineLevel="0" collapsed="false">
      <c r="A775" s="5" t="s">
        <v>358</v>
      </c>
      <c r="B775" s="0" t="s">
        <v>27</v>
      </c>
      <c r="C775" s="13" t="n">
        <f aca="false">C764-C772-C774</f>
        <v>1270</v>
      </c>
      <c r="D775" s="13" t="n">
        <f aca="false">D764-D772-D774</f>
        <v>1994.7</v>
      </c>
      <c r="E775" s="13" t="n">
        <f aca="false">E764-E772-E774</f>
        <v>2197.71214740245</v>
      </c>
      <c r="F775" s="13" t="n">
        <f aca="false">F764-F772-F774</f>
        <v>2453.83467168543</v>
      </c>
      <c r="G775" s="13" t="n">
        <f aca="false">G764-G772-G774</f>
        <v>2612.39690647092</v>
      </c>
      <c r="H775" s="13" t="n">
        <f aca="false">H764-H772-H774</f>
        <v>2617.50647981956</v>
      </c>
      <c r="I775" s="13" t="n">
        <f aca="false">I764-I772-I774</f>
        <v>2557.06767774253</v>
      </c>
      <c r="J775" s="13" t="n">
        <f aca="false">J764-J772-J774</f>
        <v>2561.67449790875</v>
      </c>
      <c r="K775" s="13" t="n">
        <f aca="false">K764-K772-K774</f>
        <v>2566.17161334537</v>
      </c>
      <c r="L775" s="13" t="n">
        <f aca="false">L764-L772-L774</f>
        <v>2570.55604318545</v>
      </c>
      <c r="M775" s="13" t="n">
        <f aca="false">M764-M772-M774</f>
        <v>2574.82474518908</v>
      </c>
      <c r="N775" s="13" t="n">
        <f aca="false">N764-N772-N774</f>
        <v>2605.05557408331</v>
      </c>
      <c r="O775" s="13" t="n">
        <f aca="false">O764-O772-O774</f>
        <v>2659.04884744759</v>
      </c>
      <c r="P775" s="13" t="n">
        <f aca="false">P764-P772-P774</f>
        <v>2714.12978797586</v>
      </c>
      <c r="Q775" s="13" t="n">
        <f aca="false">Q764-Q772-Q774</f>
        <v>2770.31994055038</v>
      </c>
      <c r="R775" s="13" t="n">
        <f aca="false">R764-R772-R774</f>
        <v>2734.75032296474</v>
      </c>
    </row>
    <row r="777" customFormat="false" ht="17.15" hidden="false" customHeight="false" outlineLevel="0" collapsed="false">
      <c r="A777" s="5" t="s">
        <v>359</v>
      </c>
      <c r="B777" s="0" t="s">
        <v>27</v>
      </c>
      <c r="C777" s="13" t="n">
        <f aca="false">q1_ni</f>
        <v>842.2</v>
      </c>
      <c r="D777" s="13" t="n">
        <f aca="false">g2_ni</f>
        <v>1360</v>
      </c>
      <c r="E777" s="13" t="n">
        <f aca="false">(E775+nonop_q+rf*nc_j/4)*(1-tax)</f>
        <v>1484.51014023367</v>
      </c>
      <c r="F777" s="13" t="n">
        <f aca="false">(F775+nonop_q+rf*nc_j/4)*(1-tax)</f>
        <v>1658.67345674609</v>
      </c>
      <c r="G777" s="13" t="n">
        <f aca="false">(G775+nonop_q+rf*$D798/4)*(1-tax)</f>
        <v>1773.98543851509</v>
      </c>
      <c r="H777" s="13" t="n">
        <f aca="false">(H775+nonop_q+rf*$D798/4)*(1-tax)</f>
        <v>1777.45994839217</v>
      </c>
      <c r="I777" s="13" t="n">
        <f aca="false">(I775+nonop_q+rf*$D798/4)*(1-tax)</f>
        <v>1736.36156297979</v>
      </c>
      <c r="J777" s="13" t="n">
        <f aca="false">(J775+nonop_q+rf*$D798/4)*(1-tax)</f>
        <v>1739.49420069281</v>
      </c>
      <c r="K777" s="13" t="n">
        <f aca="false">(K775+nonop_q+rf*$E798/4)*(1-tax)</f>
        <v>1754.24365114571</v>
      </c>
      <c r="L777" s="13" t="n">
        <f aca="false">(L775+nonop_q+rf*$E798/4)*(1-tax)</f>
        <v>1757.22506343696</v>
      </c>
      <c r="M777" s="13" t="n">
        <f aca="false">(M775+nonop_q+rf*$E798/4)*(1-tax)</f>
        <v>1760.12778079942</v>
      </c>
      <c r="N777" s="13" t="n">
        <f aca="false">(N775+nonop_q+rf*$E798/4)*(1-tax)</f>
        <v>1780.6847444475</v>
      </c>
      <c r="O777" s="13" t="n">
        <f aca="false">(O775+nonop_q+rf*$F798/4)*(1-tax)</f>
        <v>1829.13404844292</v>
      </c>
      <c r="P777" s="13" t="n">
        <f aca="false">(P775+nonop_q+rf*$F798/4)*(1-tax)</f>
        <v>1866.58908800215</v>
      </c>
      <c r="Q777" s="13" t="n">
        <f aca="false">(Q775+nonop_q+rf*$F798/4)*(1-tax)</f>
        <v>1904.79839175282</v>
      </c>
      <c r="R777" s="13" t="n">
        <f aca="false">(R775+nonop_q+rf*$F798/4)*(1-tax)</f>
        <v>1880.61105179459</v>
      </c>
      <c r="T777" s="5" t="s">
        <v>479</v>
      </c>
    </row>
    <row r="778" customFormat="false" ht="17.15" hidden="false" customHeight="false" outlineLevel="0" collapsed="false">
      <c r="A778" s="5" t="s">
        <v>480</v>
      </c>
      <c r="B778" s="0" t="s">
        <v>108</v>
      </c>
      <c r="C778" s="17" t="n">
        <f aca="false">C777/(sh0+dil)*1000</f>
        <v>507.343332753891</v>
      </c>
      <c r="D778" s="17" t="n">
        <f aca="false">D777/(sh0+dil)*1000</f>
        <v>819.267314824616</v>
      </c>
      <c r="E778" s="17" t="n">
        <f aca="false">E777/(sh0+dil)*1000</f>
        <v>894.272526778787</v>
      </c>
      <c r="F778" s="17" t="n">
        <f aca="false">F777/(sh0+dil)*1000</f>
        <v>999.188933146497</v>
      </c>
      <c r="G778" s="17" t="n">
        <f aca="false">G777/(sh0+dil)*1000</f>
        <v>1068.65315202223</v>
      </c>
      <c r="H778" s="17" t="n">
        <f aca="false">H777/(sh0+dil)*1000</f>
        <v>1070.74620524085</v>
      </c>
      <c r="I778" s="17" t="n">
        <f aca="false">I777/(sh0+dil)*1000</f>
        <v>1045.98843769641</v>
      </c>
      <c r="J778" s="17" t="n">
        <f aca="false">J777/(sh0+dil)*1000</f>
        <v>1047.87554629014</v>
      </c>
      <c r="K778" s="17" t="n">
        <f aca="false">K777/(sh0+dil)*1000</f>
        <v>1056.76065119285</v>
      </c>
      <c r="L778" s="17" t="n">
        <f aca="false">L777/(sh0+dil)*1000</f>
        <v>1058.55666122391</v>
      </c>
      <c r="M778" s="17" t="n">
        <f aca="false">M777/(sh0+dil)*1000</f>
        <v>1060.30526523805</v>
      </c>
      <c r="N778" s="17" t="n">
        <f aca="false">N777/(sh0+dil)*1000</f>
        <v>1072.6888302446</v>
      </c>
      <c r="O778" s="17" t="n">
        <f aca="false">O777/(sh0+dil)*1000</f>
        <v>1101.87480906038</v>
      </c>
      <c r="P778" s="17" t="n">
        <f aca="false">P777/(sh0+dil)*1000</f>
        <v>1124.43781618268</v>
      </c>
      <c r="Q778" s="17" t="n">
        <f aca="false">Q777/(sh0+dil)*1000</f>
        <v>1147.45519389234</v>
      </c>
      <c r="R778" s="17" t="n">
        <f aca="false">R777/(sh0+dil)*1000</f>
        <v>1132.88468134798</v>
      </c>
    </row>
    <row r="780" customFormat="false" ht="17.15" hidden="false" customHeight="false" outlineLevel="0" collapsed="false">
      <c r="A780" s="12" t="s">
        <v>481</v>
      </c>
      <c r="B780" s="6" t="s">
        <v>17</v>
      </c>
      <c r="C780" s="12" t="s">
        <v>425</v>
      </c>
      <c r="D780" s="12" t="s">
        <v>426</v>
      </c>
      <c r="E780" s="12" t="s">
        <v>427</v>
      </c>
      <c r="F780" s="12" t="s">
        <v>428</v>
      </c>
      <c r="G780" s="12" t="s">
        <v>429</v>
      </c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6" t="s">
        <v>330</v>
      </c>
    </row>
    <row r="781" customFormat="false" ht="17.15" hidden="false" customHeight="false" outlineLevel="0" collapsed="false">
      <c r="A781" s="5" t="s">
        <v>354</v>
      </c>
      <c r="B781" s="0" t="s">
        <v>27</v>
      </c>
      <c r="C781" s="13" t="n">
        <f aca="false">a25_rev</f>
        <v>2337.6</v>
      </c>
      <c r="D781" s="13" t="n">
        <f aca="false">SUM(C764:F764)</f>
        <v>9861.25414257431</v>
      </c>
      <c r="E781" s="13" t="n">
        <f aca="false">SUM(G764:J764)</f>
        <v>12399.7631810532</v>
      </c>
      <c r="F781" s="13" t="n">
        <f aca="false">SUM(K764:N764)</f>
        <v>12509.9801209115</v>
      </c>
      <c r="G781" s="13" t="n">
        <f aca="false">SUM(O764:R764)</f>
        <v>13168.9760846731</v>
      </c>
      <c r="T781" s="8" t="s">
        <v>482</v>
      </c>
    </row>
    <row r="782" customFormat="false" ht="17.15" hidden="false" customHeight="false" outlineLevel="0" collapsed="false">
      <c r="A782" s="5" t="s">
        <v>483</v>
      </c>
      <c r="B782" s="0" t="s">
        <v>27</v>
      </c>
      <c r="C782" s="13" t="n">
        <f aca="false">p1_ss+p2_ss+p3_ss+p4_ss</f>
        <v>1364.7</v>
      </c>
      <c r="D782" s="13" t="n">
        <f aca="false">SUM(C765:F765)</f>
        <v>6516.84173409904</v>
      </c>
      <c r="E782" s="13" t="n">
        <f aca="false">SUM(G765:J765)</f>
        <v>8431.83896311616</v>
      </c>
      <c r="F782" s="13" t="n">
        <f aca="false">SUM(K765:N765)</f>
        <v>8756.98608463807</v>
      </c>
      <c r="G782" s="13" t="n">
        <f aca="false">SUM(O765:R765)</f>
        <v>9218.28325927117</v>
      </c>
    </row>
    <row r="783" customFormat="false" ht="17.15" hidden="false" customHeight="false" outlineLevel="0" collapsed="false">
      <c r="A783" s="0" t="s">
        <v>484</v>
      </c>
      <c r="B783" s="0" t="s">
        <v>27</v>
      </c>
      <c r="C783" s="13" t="n">
        <f aca="false">C782*(0.75*Units!C16+0.25*Units!D16)</f>
        <v>507.679569396364</v>
      </c>
      <c r="D783" s="13" t="n">
        <f aca="false">SUM(C766:F766)</f>
        <v>3813.48331392765</v>
      </c>
      <c r="E783" s="13" t="n">
        <f aca="false">SUM(G766:J766)</f>
        <v>5809.33026284196</v>
      </c>
      <c r="F783" s="13" t="n">
        <f aca="false">SUM(K766:N766)</f>
        <v>6390.85985817728</v>
      </c>
      <c r="G783" s="13" t="n">
        <f aca="false">SUM(O766:R766)</f>
        <v>7025.78491807603</v>
      </c>
    </row>
    <row r="784" customFormat="false" ht="15" hidden="false" customHeight="false" outlineLevel="0" collapsed="false">
      <c r="A784" s="5" t="s">
        <v>485</v>
      </c>
      <c r="B784" s="0" t="s">
        <v>27</v>
      </c>
      <c r="C784" s="13" t="n">
        <f aca="false">p1_sd+p2_sd+p3_sd+p4_sd</f>
        <v>759.5</v>
      </c>
      <c r="D784" s="13" t="n">
        <f aca="false">SUM(C769:F769)</f>
        <v>2953.94624277229</v>
      </c>
      <c r="E784" s="13" t="n">
        <f aca="false">SUM(G769:J769)</f>
        <v>3471.93369069489</v>
      </c>
      <c r="F784" s="13" t="n">
        <f aca="false">SUM(K769:N769)</f>
        <v>3252.594831437</v>
      </c>
      <c r="G784" s="13" t="n">
        <f aca="false">SUM(O769:R769)</f>
        <v>3423.93378201501</v>
      </c>
    </row>
    <row r="785" customFormat="false" ht="17.15" hidden="false" customHeight="false" outlineLevel="0" collapsed="false">
      <c r="A785" s="5" t="s">
        <v>486</v>
      </c>
      <c r="B785" s="0" t="s">
        <v>27</v>
      </c>
      <c r="C785" s="13" t="n">
        <f aca="false">a25_rev-C782-C784</f>
        <v>213.4</v>
      </c>
      <c r="D785" s="13" t="n">
        <f aca="false">SUM(C768:F768)</f>
        <v>390.466165702972</v>
      </c>
      <c r="E785" s="13" t="n">
        <f aca="false">SUM(G768:J768)</f>
        <v>495.990527242127</v>
      </c>
      <c r="F785" s="13" t="n">
        <f aca="false">SUM(K768:N768)</f>
        <v>500.399204836461</v>
      </c>
      <c r="G785" s="13" t="n">
        <f aca="false">SUM(O768:R768)</f>
        <v>526.759043386924</v>
      </c>
      <c r="T785" s="8" t="s">
        <v>487</v>
      </c>
    </row>
    <row r="786" customFormat="false" ht="15" hidden="false" customHeight="false" outlineLevel="0" collapsed="false">
      <c r="A786" s="5" t="s">
        <v>488</v>
      </c>
      <c r="B786" s="0" t="s">
        <v>27</v>
      </c>
      <c r="C786" s="18" t="n">
        <f aca="false">C782+C784+C785-C781</f>
        <v>0</v>
      </c>
      <c r="D786" s="18" t="n">
        <f aca="false">D782+D784+D785-D781</f>
        <v>0</v>
      </c>
      <c r="E786" s="18" t="n">
        <f aca="false">E782+E784+E785-E781</f>
        <v>0</v>
      </c>
      <c r="F786" s="18" t="n">
        <f aca="false">F782+F784+F785-F781</f>
        <v>0</v>
      </c>
      <c r="G786" s="18" t="n">
        <f aca="false">G782+G784+G785-G781</f>
        <v>0</v>
      </c>
    </row>
    <row r="787" customFormat="false" ht="15" hidden="false" customHeight="false" outlineLevel="0" collapsed="false">
      <c r="A787" s="5" t="s">
        <v>475</v>
      </c>
      <c r="B787" s="0" t="s">
        <v>27</v>
      </c>
      <c r="C787" s="13" t="n">
        <f aca="false">a25_rev-(p1_gp+p2_gp+p3_gp+p4_gp)</f>
        <v>1324.8</v>
      </c>
      <c r="D787" s="13" t="n">
        <f aca="false">SUM(C772:F772)</f>
        <v>1648.87183128657</v>
      </c>
      <c r="E787" s="13" t="n">
        <f aca="false">SUM(G772:J772)</f>
        <v>1774.78243859574</v>
      </c>
      <c r="F787" s="13" t="n">
        <f aca="false">SUM(K772:N772)</f>
        <v>1900.70104032356</v>
      </c>
      <c r="G787" s="13" t="n">
        <f aca="false">SUM(O772:R772)</f>
        <v>1974.70899095458</v>
      </c>
    </row>
    <row r="788" customFormat="false" ht="15" hidden="false" customHeight="false" outlineLevel="0" collapsed="false">
      <c r="A788" s="5" t="s">
        <v>360</v>
      </c>
      <c r="B788" s="0" t="s">
        <v>145</v>
      </c>
      <c r="C788" s="14" t="n">
        <f aca="false">1-C787/C781</f>
        <v>0.433264887063655</v>
      </c>
      <c r="D788" s="14" t="n">
        <f aca="false">1-D787/D781</f>
        <v>0.832792887451521</v>
      </c>
      <c r="E788" s="14" t="n">
        <f aca="false">1-E787/E781</f>
        <v>0.85686965043755</v>
      </c>
      <c r="F788" s="14" t="n">
        <f aca="false">1-F787/F781</f>
        <v>0.84806522296975</v>
      </c>
      <c r="G788" s="14" t="n">
        <f aca="false">1-G787/G781</f>
        <v>0.850048403288326</v>
      </c>
    </row>
    <row r="789" customFormat="false" ht="15" hidden="false" customHeight="false" outlineLevel="0" collapsed="false">
      <c r="A789" s="5" t="s">
        <v>477</v>
      </c>
      <c r="B789" s="0" t="s">
        <v>27</v>
      </c>
      <c r="D789" s="13" t="n">
        <f aca="false">SUM(C774:F774)</f>
        <v>296.13549219985</v>
      </c>
      <c r="E789" s="13" t="n">
        <f aca="false">SUM(G774:J774)</f>
        <v>276.335180515672</v>
      </c>
      <c r="F789" s="13" t="n">
        <f aca="false">SUM(K774:N774)</f>
        <v>292.67110478477</v>
      </c>
      <c r="G789" s="13" t="n">
        <f aca="false">SUM(O774:R774)</f>
        <v>316.018194779951</v>
      </c>
    </row>
    <row r="790" customFormat="false" ht="15" hidden="false" customHeight="false" outlineLevel="0" collapsed="false">
      <c r="A790" s="5" t="s">
        <v>358</v>
      </c>
      <c r="B790" s="0" t="s">
        <v>27</v>
      </c>
      <c r="C790" s="13" t="n">
        <f aca="false">p1_op+p2_op+p3_op+p4_op</f>
        <v>869</v>
      </c>
      <c r="D790" s="13" t="n">
        <f aca="false">SUM(C775:F775)</f>
        <v>7916.24681908788</v>
      </c>
      <c r="E790" s="13" t="n">
        <f aca="false">SUM(G775:J775)</f>
        <v>10348.6455619418</v>
      </c>
      <c r="F790" s="13" t="n">
        <f aca="false">SUM(K775:N775)</f>
        <v>10316.6079758032</v>
      </c>
      <c r="G790" s="13" t="n">
        <f aca="false">SUM(O775:R775)</f>
        <v>10878.2488989386</v>
      </c>
    </row>
    <row r="791" customFormat="false" ht="15" hidden="false" customHeight="false" outlineLevel="0" collapsed="false">
      <c r="A791" s="5" t="s">
        <v>361</v>
      </c>
      <c r="B791" s="0" t="s">
        <v>145</v>
      </c>
      <c r="C791" s="14" t="n">
        <f aca="false">C790/C781</f>
        <v>0.371748802190281</v>
      </c>
      <c r="D791" s="14" t="n">
        <f aca="false">D790/D781</f>
        <v>0.802762681565098</v>
      </c>
      <c r="E791" s="14" t="n">
        <f aca="false">E790/E781</f>
        <v>0.834584129619063</v>
      </c>
      <c r="F791" s="14" t="n">
        <f aca="false">F790/F781</f>
        <v>0.824670213388916</v>
      </c>
      <c r="G791" s="14" t="n">
        <f aca="false">G790/G781</f>
        <v>0.826051230482481</v>
      </c>
    </row>
    <row r="792" customFormat="false" ht="15" hidden="false" customHeight="false" outlineLevel="0" collapsed="false">
      <c r="A792" s="5" t="s">
        <v>359</v>
      </c>
      <c r="B792" s="0" t="s">
        <v>27</v>
      </c>
      <c r="C792" s="13" t="n">
        <f aca="false">a25_ni</f>
        <v>554.5</v>
      </c>
      <c r="D792" s="13" t="n">
        <f aca="false">SUM(C777:F777)</f>
        <v>5345.38359697976</v>
      </c>
      <c r="E792" s="13" t="n">
        <f aca="false">SUM(G777:J777)</f>
        <v>7027.30115057986</v>
      </c>
      <c r="F792" s="13" t="n">
        <f aca="false">SUM(K777:N777)</f>
        <v>7052.28123982959</v>
      </c>
      <c r="G792" s="13" t="n">
        <f aca="false">SUM(O777:R777)</f>
        <v>7481.13257999247</v>
      </c>
    </row>
    <row r="793" customFormat="false" ht="15" hidden="false" customHeight="false" outlineLevel="0" collapsed="false">
      <c r="A793" s="5" t="s">
        <v>489</v>
      </c>
      <c r="B793" s="0" t="s">
        <v>27</v>
      </c>
      <c r="D793" s="13" t="n">
        <f aca="false">da_y</f>
        <v>320</v>
      </c>
      <c r="E793" s="13" t="n">
        <f aca="false">da_y</f>
        <v>320</v>
      </c>
      <c r="F793" s="13" t="n">
        <f aca="false">da_y</f>
        <v>320</v>
      </c>
      <c r="G793" s="13" t="n">
        <f aca="false">da_y</f>
        <v>320</v>
      </c>
    </row>
    <row r="794" customFormat="false" ht="15" hidden="false" customHeight="false" outlineLevel="0" collapsed="false">
      <c r="A794" s="5" t="s">
        <v>490</v>
      </c>
      <c r="B794" s="0" t="s">
        <v>27</v>
      </c>
      <c r="D794" s="13" t="n">
        <f aca="false">cap_2026</f>
        <v>450</v>
      </c>
      <c r="E794" s="13" t="n">
        <f aca="false">cap_2027</f>
        <v>470</v>
      </c>
      <c r="F794" s="13" t="n">
        <f aca="false">cap_2028</f>
        <v>470</v>
      </c>
      <c r="G794" s="13" t="n">
        <f aca="false">cap_2029</f>
        <v>470</v>
      </c>
    </row>
    <row r="795" customFormat="false" ht="15" hidden="false" customHeight="false" outlineLevel="0" collapsed="false">
      <c r="A795" s="5" t="s">
        <v>491</v>
      </c>
      <c r="B795" s="0" t="s">
        <v>27</v>
      </c>
      <c r="D795" s="13" t="n">
        <f aca="false">D792+D793-D794</f>
        <v>5215.38359697976</v>
      </c>
      <c r="E795" s="13" t="n">
        <f aca="false">E792+E793-E794</f>
        <v>6877.30115057986</v>
      </c>
      <c r="F795" s="13" t="n">
        <f aca="false">F792+F793-F794</f>
        <v>6902.28123982959</v>
      </c>
      <c r="G795" s="13" t="n">
        <f aca="false">G792+G793-G794</f>
        <v>7331.13257999247</v>
      </c>
    </row>
    <row r="796" customFormat="false" ht="17.15" hidden="false" customHeight="false" outlineLevel="0" collapsed="false">
      <c r="A796" s="5" t="s">
        <v>492</v>
      </c>
      <c r="B796" s="0" t="s">
        <v>27</v>
      </c>
      <c r="D796" s="13" t="n">
        <f aca="false">MAX(0,payout_lo*(SUM(D777:F777)+0.75*(D793-D794)))</f>
        <v>0</v>
      </c>
      <c r="E796" s="13" t="n">
        <f aca="false">MAX(0,payout_lo*E795)</f>
        <v>0</v>
      </c>
      <c r="F796" s="13" t="n">
        <f aca="false">MAX(0,payout_lo*F795)</f>
        <v>0</v>
      </c>
      <c r="G796" s="13" t="n">
        <f aca="false">MAX(0,payout_lo*G795)</f>
        <v>0</v>
      </c>
      <c r="T796" s="8" t="s">
        <v>493</v>
      </c>
    </row>
    <row r="797" customFormat="false" ht="17.15" hidden="false" customHeight="false" outlineLevel="0" collapsed="false">
      <c r="A797" s="5" t="s">
        <v>494</v>
      </c>
      <c r="B797" s="0" t="s">
        <v>27</v>
      </c>
      <c r="C797" s="13" t="n">
        <f aca="false">eq25</f>
        <v>1399.1</v>
      </c>
      <c r="D797" s="13" t="n">
        <f aca="false">eq_j+SUM(D777:F777)-D796</f>
        <v>6907.48359697976</v>
      </c>
      <c r="E797" s="13" t="n">
        <f aca="false">D797+E792-E796</f>
        <v>13934.7847475596</v>
      </c>
      <c r="F797" s="13" t="n">
        <f aca="false">E797+F792-F796</f>
        <v>20987.0659873892</v>
      </c>
      <c r="G797" s="13" t="n">
        <f aca="false">F797+G792-G796</f>
        <v>28468.1985673817</v>
      </c>
      <c r="T797" s="8" t="s">
        <v>495</v>
      </c>
    </row>
    <row r="798" customFormat="false" ht="15" hidden="false" customHeight="false" outlineLevel="0" collapsed="false">
      <c r="A798" s="5" t="s">
        <v>496</v>
      </c>
      <c r="B798" s="0" t="s">
        <v>27</v>
      </c>
      <c r="D798" s="13" t="n">
        <f aca="false">nc_j+(SUM(D777:F777)+0.75*(D793-D794))-D796</f>
        <v>4562.08359697976</v>
      </c>
      <c r="E798" s="13" t="n">
        <f aca="false">D798+E795-E796</f>
        <v>11439.3847475596</v>
      </c>
      <c r="F798" s="13" t="n">
        <f aca="false">E798+F795-F796</f>
        <v>18341.6659873892</v>
      </c>
      <c r="G798" s="13" t="n">
        <f aca="false">F798+G795-G796</f>
        <v>25672.7985673817</v>
      </c>
    </row>
    <row r="799" customFormat="false" ht="15" hidden="false" customHeight="false" outlineLevel="0" collapsed="false">
      <c r="A799" s="5" t="s">
        <v>497</v>
      </c>
      <c r="B799" s="5" t="s">
        <v>209</v>
      </c>
      <c r="D799" s="13" t="n">
        <f aca="false">sh0-D796/bb_px*1000</f>
        <v>1644.043914</v>
      </c>
      <c r="E799" s="13" t="n">
        <f aca="false">D799-E796/bb_px*1000</f>
        <v>1644.043914</v>
      </c>
      <c r="F799" s="13" t="n">
        <f aca="false">E799-F796/bb_px*1000</f>
        <v>1644.043914</v>
      </c>
      <c r="G799" s="13" t="n">
        <f aca="false">F799-G796/bb_px*1000</f>
        <v>1644.043914</v>
      </c>
    </row>
    <row r="800" customFormat="false" ht="17.15" hidden="false" customHeight="false" outlineLevel="0" collapsed="false">
      <c r="A800" s="0" t="s">
        <v>498</v>
      </c>
      <c r="B800" s="0" t="s">
        <v>108</v>
      </c>
      <c r="C800" s="17" t="n">
        <f aca="false">a25_eps</f>
        <v>341.4</v>
      </c>
      <c r="D800" s="17" t="n">
        <f aca="false">D792/(D799+dil)*1000</f>
        <v>3220.07210750379</v>
      </c>
      <c r="E800" s="17" t="n">
        <f aca="false">E792/(E799+dil)*1000</f>
        <v>4233.26334124963</v>
      </c>
      <c r="F800" s="17" t="n">
        <f aca="false">F792/(F799+dil)*1000</f>
        <v>4248.31140789941</v>
      </c>
      <c r="G800" s="17" t="n">
        <f aca="false">G792/(G799+dil)*1000</f>
        <v>4506.65250048337</v>
      </c>
    </row>
    <row r="801" customFormat="false" ht="17.15" hidden="false" customHeight="false" outlineLevel="0" collapsed="false">
      <c r="A801" s="5" t="s">
        <v>499</v>
      </c>
      <c r="B801" s="0" t="s">
        <v>108</v>
      </c>
      <c r="D801" s="17" t="n">
        <f aca="false">D797/D799*1000</f>
        <v>4201.52012860391</v>
      </c>
      <c r="E801" s="17" t="n">
        <f aca="false">E797/E799*1000</f>
        <v>8475.92003406767</v>
      </c>
      <c r="F801" s="17" t="n">
        <f aca="false">F797/F799*1000</f>
        <v>12765.5142351564</v>
      </c>
      <c r="G801" s="17" t="n">
        <f aca="false">G797/G799*1000</f>
        <v>17315.9599478811</v>
      </c>
    </row>
    <row r="802" customFormat="false" ht="17.15" hidden="false" customHeight="false" outlineLevel="0" collapsed="false">
      <c r="A802" s="0" t="s">
        <v>500</v>
      </c>
      <c r="B802" s="0" t="s">
        <v>145</v>
      </c>
      <c r="D802" s="21" t="n">
        <f aca="false">D792/D797</f>
        <v>0.773853968949993</v>
      </c>
      <c r="E802" s="21" t="n">
        <f aca="false">E792/E797</f>
        <v>0.504299225132311</v>
      </c>
      <c r="F802" s="21" t="n">
        <f aca="false">F792/F797</f>
        <v>0.336029878786639</v>
      </c>
      <c r="G802" s="21" t="n">
        <f aca="false">G792/G797</f>
        <v>0.262789110532769</v>
      </c>
    </row>
    <row r="803" customFormat="false" ht="15" hidden="false" customHeight="false" outlineLevel="0" collapsed="false">
      <c r="A803" s="5" t="s">
        <v>501</v>
      </c>
      <c r="B803" s="0" t="s">
        <v>108</v>
      </c>
      <c r="E803" s="17" t="n">
        <f aca="false">E795/(E799+dil)*1000</f>
        <v>4142.90297564397</v>
      </c>
      <c r="F803" s="17" t="n">
        <f aca="false">F795/(F799+dil)*1000</f>
        <v>4157.95104229375</v>
      </c>
      <c r="G803" s="17" t="n">
        <f aca="false">G795/(G799+dil)*1000</f>
        <v>4416.29213487771</v>
      </c>
    </row>
    <row r="804" customFormat="false" ht="17.15" hidden="false" customHeight="false" outlineLevel="0" collapsed="false">
      <c r="A804" s="5" t="s">
        <v>502</v>
      </c>
      <c r="B804" s="0" t="s">
        <v>27</v>
      </c>
      <c r="D804" s="18" t="n">
        <f aca="false">ABS(C764-q1_rev)+ABS(D775-g2_op)+ABS(C781-2337.6)</f>
        <v>0</v>
      </c>
    </row>
    <row r="807" customFormat="false" ht="17.15" hidden="false" customHeight="false" outlineLevel="0" collapsed="false">
      <c r="A807" s="3" t="s">
        <v>832</v>
      </c>
    </row>
    <row r="808" customFormat="false" ht="17.15" hidden="false" customHeight="false" outlineLevel="0" collapsed="false">
      <c r="A808" s="6" t="s">
        <v>773</v>
      </c>
      <c r="B808" s="6" t="s">
        <v>774</v>
      </c>
      <c r="C808" s="12" t="s">
        <v>833</v>
      </c>
      <c r="D808" s="12" t="s">
        <v>736</v>
      </c>
      <c r="E808" s="6" t="s">
        <v>834</v>
      </c>
      <c r="F808" s="6" t="s">
        <v>777</v>
      </c>
    </row>
    <row r="809" customFormat="false" ht="17.15" hidden="false" customHeight="false" outlineLevel="0" collapsed="false">
      <c r="A809" s="5" t="s">
        <v>19</v>
      </c>
      <c r="B809" s="0" t="s">
        <v>835</v>
      </c>
      <c r="C809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22052.2181753809</v>
      </c>
      <c r="D809" s="17" t="n">
        <f aca="false">tp_comp_adj</f>
        <v>18947.6982567504</v>
      </c>
      <c r="E809" s="17" t="n">
        <f aca="false">tp_w_dcf*C809+(1-tp_w_dcf)*D809</f>
        <v>20499.9582160657</v>
      </c>
      <c r="F809" s="14" t="n">
        <f aca="false">E809/E$809-1</f>
        <v>0</v>
      </c>
    </row>
    <row r="810" customFormat="false" ht="17.15" hidden="false" customHeight="false" outlineLevel="0" collapsed="false">
      <c r="A810" s="5" t="s">
        <v>836</v>
      </c>
      <c r="B810" s="0" t="s">
        <v>837</v>
      </c>
      <c r="C810" s="17" t="n">
        <f aca="false">(tp_wA*MAX(0,Val!B16/(1+(tp_r+0.01))^1+Val!B17/(1+(tp_r+0.01))^2+Val!B18/(1+(tp_r+0.01))^3+Val!B11*(1-MIN(tp_g/tp_roe,0.8))/(1+(tp_r+0.01))^4+Val!B12*(1-MIN(tp_g/tp_roe,0.8))/(1+(tp_r+0.01))^5+Val!B13*(1-MIN(tp_g/tp_roe,0.8))/(1+(tp_r+0.01))^6+Val!B13*(1-MIN(tp_g/tp_roe,0.8))*(1+tp_g)/((tp_r+0.01)-tp_g)/(1+(tp_r+0.01))^6)+tp_wB*MAX(0,Val!C16/(1+(tp_r+0.01))^1+Val!C17/(1+(tp_r+0.01))^2+Val!C18/(1+(tp_r+0.01))^3+Val!C11*(1-MIN(tp_g/tp_roe,0.8))/(1+(tp_r+0.01))^4+Val!C12*(1-MIN(tp_g/tp_roe,0.8))/(1+(tp_r+0.01))^5+Val!C13*(1-MIN(tp_g/tp_roe,0.8))/(1+(tp_r+0.01))^6+Val!C13*(1-MIN(tp_g/tp_roe,0.8))*(1+tp_g)/((tp_r+0.01)-tp_g)/(1+(tp_r+0.01))^6)+tp_wC*MAX(0,Val!D16/(1+(tp_r+0.01))^1+Val!D17/(1+(tp_r+0.01))^2+Val!D18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19972.7660598015</v>
      </c>
      <c r="D810" s="17" t="n">
        <f aca="false">tp_comp_adj</f>
        <v>18947.6982567504</v>
      </c>
      <c r="E810" s="17" t="n">
        <f aca="false">tp_w_dcf*C810+(1-tp_w_dcf)*D810</f>
        <v>19460.2321582759</v>
      </c>
      <c r="F810" s="14" t="n">
        <f aca="false">E810/E$809-1</f>
        <v>-0.0507184476588303</v>
      </c>
    </row>
    <row r="811" customFormat="false" ht="17.15" hidden="false" customHeight="false" outlineLevel="0" collapsed="false">
      <c r="A811" s="5" t="s">
        <v>838</v>
      </c>
      <c r="B811" s="0" t="s">
        <v>839</v>
      </c>
      <c r="C811" s="17" t="n">
        <f aca="false">(tp_wA*MAX(0,Val!B16/(1+(tp_r-0.01))^1+Val!B17/(1+(tp_r-0.01))^2+Val!B18/(1+(tp_r-0.01))^3+Val!B11*(1-MIN(tp_g/tp_roe,0.8))/(1+(tp_r-0.01))^4+Val!B12*(1-MIN(tp_g/tp_roe,0.8))/(1+(tp_r-0.01))^5+Val!B13*(1-MIN(tp_g/tp_roe,0.8))/(1+(tp_r-0.01))^6+Val!B13*(1-MIN(tp_g/tp_roe,0.8))*(1+tp_g)/((tp_r-0.01)-tp_g)/(1+(tp_r-0.01))^6)+tp_wB*MAX(0,Val!C16/(1+(tp_r-0.01))^1+Val!C17/(1+(tp_r-0.01))^2+Val!C18/(1+(tp_r-0.01))^3+Val!C11*(1-MIN(tp_g/tp_roe,0.8))/(1+(tp_r-0.01))^4+Val!C12*(1-MIN(tp_g/tp_roe,0.8))/(1+(tp_r-0.01))^5+Val!C13*(1-MIN(tp_g/tp_roe,0.8))/(1+(tp_r-0.01))^6+Val!C13*(1-MIN(tp_g/tp_roe,0.8))*(1+tp_g)/((tp_r-0.01)-tp_g)/(1+(tp_r-0.01))^6)+tp_wC*MAX(0,Val!D16/(1+(tp_r-0.01))^1+Val!D17/(1+(tp_r-0.01))^2+Val!D18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24935.1145389348</v>
      </c>
      <c r="D811" s="17" t="n">
        <f aca="false">tp_comp_adj</f>
        <v>18947.6982567504</v>
      </c>
      <c r="E811" s="17" t="n">
        <f aca="false">tp_w_dcf*C811+(1-tp_w_dcf)*D811</f>
        <v>21941.4063978426</v>
      </c>
      <c r="F811" s="14" t="n">
        <f aca="false">E811/E$809-1</f>
        <v>0.0703146887707931</v>
      </c>
    </row>
    <row r="812" customFormat="false" ht="17.15" hidden="false" customHeight="false" outlineLevel="0" collapsed="false">
      <c r="A812" s="5" t="s">
        <v>840</v>
      </c>
      <c r="B812" s="0" t="s">
        <v>841</v>
      </c>
      <c r="C812" s="17" t="n">
        <f aca="false">(tp_wA*MAX(0,Val!B16/(1+tp_r)^1+Val!B17/(1+tp_r)^2+Val!B18/(1+tp_r)^3+Val!B11*(1-MIN((tp_g+0.01)/tp_roe,0.8))/(1+tp_r)^4+Val!B12*(1-MIN((tp_g+0.01)/tp_roe,0.8))/(1+tp_r)^5+Val!B13*(1-MIN((tp_g+0.01)/tp_roe,0.8))/(1+tp_r)^6+Val!B13*(1-MIN((tp_g+0.01)/tp_roe,0.8))*(1+(tp_g+0.01))/(tp_r-(tp_g+0.01))/(1+tp_r)^6)+tp_wB*MAX(0,Val!C16/(1+tp_r)^1+Val!C17/(1+tp_r)^2+Val!C18/(1+tp_r)^3+Val!C11*(1-MIN((tp_g+0.01)/tp_roe,0.8))/(1+tp_r)^4+Val!C12*(1-MIN((tp_g+0.01)/tp_roe,0.8))/(1+tp_r)^5+Val!C13*(1-MIN((tp_g+0.01)/tp_roe,0.8))/(1+tp_r)^6+Val!C13*(1-MIN((tp_g+0.01)/tp_roe,0.8))*(1+(tp_g+0.01))/(tp_r-(tp_g+0.01))/(1+tp_r)^6)+tp_wC*MAX(0,Val!D16/(1+tp_r)^1+Val!D17/(1+tp_r)^2+Val!D18/(1+tp_r)^3+Val!D11*(1-MIN((tp_g+0.01)/tp_roe,0.8))/(1+tp_r)^4+Val!D12*(1-MIN((tp_g+0.01)/tp_roe,0.8))/(1+tp_r)^5+Val!D13*(1-MIN((tp_g+0.01)/tp_roe,0.8))/(1+tp_r)^6+Val!D13*(1-MIN((tp_g+0.01)/tp_roe,0.8))*(1+(tp_g+0.01))/(tp_r-(tp_g+0.01))/(1+tp_r)^6))*(1+tp_r)</f>
        <v>23822.4839794482</v>
      </c>
      <c r="D812" s="17" t="n">
        <f aca="false">tp_comp_adj</f>
        <v>18947.6982567504</v>
      </c>
      <c r="E812" s="17" t="n">
        <f aca="false">tp_w_dcf*C812+(1-tp_w_dcf)*D812</f>
        <v>21385.0911180993</v>
      </c>
      <c r="F812" s="14" t="n">
        <f aca="false">E812/E$809-1</f>
        <v>0.0431773027390834</v>
      </c>
    </row>
    <row r="813" customFormat="false" ht="17.15" hidden="false" customHeight="false" outlineLevel="0" collapsed="false">
      <c r="A813" s="5" t="s">
        <v>842</v>
      </c>
      <c r="B813" s="0" t="s">
        <v>843</v>
      </c>
      <c r="C813" s="17" t="n">
        <f aca="false">(tp_wA*MAX(0,Val!B16/(1+tp_r)^1+Val!B17/(1+tp_r)^2+Val!B18/(1+tp_r)^3+Val!B11*(1-MIN((tp_g-0.01)/tp_roe,0.8))/(1+tp_r)^4+Val!B12*(1-MIN((tp_g-0.01)/tp_roe,0.8))/(1+tp_r)^5+Val!B13*(1-MIN((tp_g-0.01)/tp_roe,0.8))/(1+tp_r)^6+Val!B13*(1-MIN((tp_g-0.01)/tp_roe,0.8))*(1+(tp_g-0.01))/(tp_r-(tp_g-0.01))/(1+tp_r)^6)+tp_wB*MAX(0,Val!C16/(1+tp_r)^1+Val!C17/(1+tp_r)^2+Val!C18/(1+tp_r)^3+Val!C11*(1-MIN((tp_g-0.01)/tp_roe,0.8))/(1+tp_r)^4+Val!C12*(1-MIN((tp_g-0.01)/tp_roe,0.8))/(1+tp_r)^5+Val!C13*(1-MIN((tp_g-0.01)/tp_roe,0.8))/(1+tp_r)^6+Val!C13*(1-MIN((tp_g-0.01)/tp_roe,0.8))*(1+(tp_g-0.01))/(tp_r-(tp_g-0.01))/(1+tp_r)^6)+tp_wC*MAX(0,Val!D16/(1+tp_r)^1+Val!D17/(1+tp_r)^2+Val!D18/(1+tp_r)^3+Val!D11*(1-MIN((tp_g-0.01)/tp_roe,0.8))/(1+tp_r)^4+Val!D12*(1-MIN((tp_g-0.01)/tp_roe,0.8))/(1+tp_r)^5+Val!D13*(1-MIN((tp_g-0.01)/tp_roe,0.8))/(1+tp_r)^6+Val!D13*(1-MIN((tp_g-0.01)/tp_roe,0.8))*(1+(tp_g-0.01))/(tp_r-(tp_g-0.01))/(1+tp_r)^6))*(1+tp_r)</f>
        <v>20809.9061077793</v>
      </c>
      <c r="D813" s="17" t="n">
        <f aca="false">tp_comp_adj</f>
        <v>18947.6982567504</v>
      </c>
      <c r="E813" s="17" t="n">
        <f aca="false">tp_w_dcf*C813+(1-tp_w_dcf)*D813</f>
        <v>19878.8021822648</v>
      </c>
      <c r="F813" s="14" t="n">
        <f aca="false">E813/E$809-1</f>
        <v>-0.0303003560911663</v>
      </c>
    </row>
    <row r="814" customFormat="false" ht="17.15" hidden="false" customHeight="false" outlineLevel="0" collapsed="false">
      <c r="A814" s="0" t="s">
        <v>844</v>
      </c>
      <c r="B814" s="0" t="s">
        <v>845</v>
      </c>
      <c r="C814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22052.2181753809</v>
      </c>
      <c r="D814" s="17" t="n">
        <f aca="false">tp_comp_adj</f>
        <v>18947.6982567504</v>
      </c>
      <c r="E814" s="17" t="n">
        <f aca="false">0.3*C814+(1-0.3)*D814</f>
        <v>19879.0542323395</v>
      </c>
      <c r="F814" s="14" t="n">
        <f aca="false">E814/E$809-1</f>
        <v>-0.0302880609405103</v>
      </c>
    </row>
    <row r="815" customFormat="false" ht="17.15" hidden="false" customHeight="false" outlineLevel="0" collapsed="false">
      <c r="A815" s="0" t="s">
        <v>846</v>
      </c>
      <c r="B815" s="0" t="s">
        <v>847</v>
      </c>
      <c r="C815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22052.2181753809</v>
      </c>
      <c r="D815" s="17" t="n">
        <f aca="false">tp_comp_adj</f>
        <v>18947.6982567504</v>
      </c>
      <c r="E815" s="17" t="n">
        <f aca="false">0.7*C815+(1-0.7)*D815</f>
        <v>21120.8621997918</v>
      </c>
      <c r="F815" s="14" t="n">
        <f aca="false">E815/E$809-1</f>
        <v>0.0302880609405101</v>
      </c>
    </row>
    <row r="816" customFormat="false" ht="17.15" hidden="false" customHeight="false" outlineLevel="0" collapsed="false">
      <c r="A816" s="5" t="s">
        <v>848</v>
      </c>
      <c r="C816" s="0" t="n">
        <f aca="false">C809-Val!B24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353</v>
      </c>
    </row>
    <row r="2" customFormat="false" ht="17.15" hidden="false" customHeight="false" outlineLevel="0" collapsed="false">
      <c r="A2" s="0" t="s">
        <v>849</v>
      </c>
      <c r="B2" s="0" t="s">
        <v>850</v>
      </c>
    </row>
    <row r="3" customFormat="false" ht="17.15" hidden="false" customHeight="false" outlineLevel="0" collapsed="false">
      <c r="A3" s="0" t="s">
        <v>851</v>
      </c>
      <c r="B3" s="0" t="s">
        <v>852</v>
      </c>
    </row>
    <row r="4" customFormat="false" ht="17.15" hidden="false" customHeight="false" outlineLevel="0" collapsed="false">
      <c r="A4" s="0" t="s">
        <v>853</v>
      </c>
      <c r="B4" s="0" t="s">
        <v>854</v>
      </c>
    </row>
    <row r="5" customFormat="false" ht="17.15" hidden="false" customHeight="false" outlineLevel="0" collapsed="false">
      <c r="A5" s="0" t="s">
        <v>855</v>
      </c>
      <c r="B5" s="0" t="s">
        <v>856</v>
      </c>
    </row>
    <row r="6" customFormat="false" ht="17.15" hidden="false" customHeight="false" outlineLevel="0" collapsed="false">
      <c r="A6" s="0" t="s">
        <v>857</v>
      </c>
      <c r="B6" s="0" t="s">
        <v>858</v>
      </c>
    </row>
    <row r="7" customFormat="false" ht="17.15" hidden="false" customHeight="false" outlineLevel="0" collapsed="false">
      <c r="A7" s="0" t="s">
        <v>859</v>
      </c>
      <c r="B7" s="0" t="s">
        <v>860</v>
      </c>
    </row>
    <row r="8" customFormat="false" ht="17.15" hidden="false" customHeight="false" outlineLevel="0" collapsed="false">
      <c r="A8" s="0" t="s">
        <v>861</v>
      </c>
      <c r="B8" s="0" t="s">
        <v>862</v>
      </c>
    </row>
    <row r="9" customFormat="false" ht="17.15" hidden="false" customHeight="false" outlineLevel="0" collapsed="false">
      <c r="A9" s="0" t="s">
        <v>863</v>
      </c>
      <c r="B9" s="0" t="s">
        <v>864</v>
      </c>
    </row>
    <row r="10" customFormat="false" ht="17.15" hidden="false" customHeight="false" outlineLevel="0" collapsed="false">
      <c r="A10" s="0" t="s">
        <v>865</v>
      </c>
      <c r="B10" s="0" t="s">
        <v>866</v>
      </c>
    </row>
    <row r="11" customFormat="false" ht="17.15" hidden="false" customHeight="false" outlineLevel="0" collapsed="false">
      <c r="A11" s="5" t="s">
        <v>867</v>
      </c>
      <c r="B11" s="5" t="s">
        <v>868</v>
      </c>
    </row>
    <row r="12" customFormat="false" ht="17.15" hidden="false" customHeight="false" outlineLevel="0" collapsed="false">
      <c r="A12" s="5" t="s">
        <v>869</v>
      </c>
      <c r="B12" s="5" t="s">
        <v>868</v>
      </c>
    </row>
    <row r="13" customFormat="false" ht="15" hidden="false" customHeight="false" outlineLevel="0" collapsed="false">
      <c r="A13" s="0" t="s">
        <v>870</v>
      </c>
      <c r="B13" s="5" t="s">
        <v>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2026-10-31T02:55:02Z</dcterms:created>
  <dc:creator>openpyxl</dc:creator>
  <dc:description/>
  <dc:language>en-US</dc:language>
  <cp:lastModifiedBy/>
  <dcterms:modified xsi:type="dcterms:W3CDTF">2026-10-31T02:55:02Z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