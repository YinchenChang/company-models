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每MW收入_錨定" sheetId="8" state="visible" r:id="rId10"/>
    <sheet name="資產負債_既有債務" sheetId="9" state="visible" r:id="rId11"/>
    <sheet name="資產負債_新債與新股" sheetId="10" state="visible" r:id="rId12"/>
    <sheet name="資產負債_租賃承諾" sheetId="11" state="visible" r:id="rId13"/>
    <sheet name="損益" sheetId="12" state="visible" r:id="rId14"/>
    <sheet name="評價_DCF與目標價" sheetId="13" state="visible" r:id="rId15"/>
    <sheet name="評價_反向DCF" sheetId="14" state="visible" r:id="rId16"/>
    <sheet name="評價_可比公司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Tokenomics_取數!$G$76</definedName>
    <definedName function="false" hidden="false" name="TK_AvgDraw_GB300" vbProcedure="false">Tokenomics_取數!$G$77</definedName>
    <definedName function="false" hidden="false" name="TK_AvgDraw_H100" vbProcedure="false">Tokenomics_取數!$G$75</definedName>
    <definedName function="false" hidden="false" name="TK_AvgDraw_RU" vbProcedure="false">Tokenomics_取數!$G$79</definedName>
    <definedName function="false" hidden="false" name="TK_AvgDraw_VR200" vbProcedure="false">Tokenomics_取數!$G$78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200_Hi" vbProcedure="false">Tokenomics_取數!$H$21</definedName>
    <definedName function="false" hidden="false" name="TK_CapexIT_GB200_Lo" vbProcedure="false">Tokenomics_取數!$F$21</definedName>
    <definedName function="false" hidden="false" name="TK_CapexIT_GB300" vbProcedure="false">Tokenomics_取數!$G$22</definedName>
    <definedName function="false" hidden="false" name="TK_CapexIT_GB300_Hi" vbProcedure="false">Tokenomics_取數!$H$22</definedName>
    <definedName function="false" hidden="false" name="TK_CapexIT_GB300_Lo" vbProcedure="false">Tokenomics_取數!$F$22</definedName>
    <definedName function="false" hidden="false" name="TK_CapexIT_H100" vbProcedure="false">Tokenomics_取數!$G$20</definedName>
    <definedName function="false" hidden="false" name="TK_CapexIT_H100_Hi" vbProcedure="false">Tokenomics_取數!$H$20</definedName>
    <definedName function="false" hidden="false" name="TK_CapexIT_H100_Lo" vbProcedure="false">Tokenomics_取數!$F$20</definedName>
    <definedName function="false" hidden="false" name="TK_CapexIT_RU" vbProcedure="false">Tokenomics_取數!$G$24</definedName>
    <definedName function="false" hidden="false" name="TK_CapexIT_RU_Hi" vbProcedure="false">Tokenomics_取數!$H$24</definedName>
    <definedName function="false" hidden="false" name="TK_CapexIT_RU_Lo" vbProcedure="false">Tokenomics_取數!$F$24</definedName>
    <definedName function="false" hidden="false" name="TK_CapexIT_VR200" vbProcedure="false">Tokenomics_取數!$G$23</definedName>
    <definedName function="false" hidden="false" name="TK_CapexIT_VR200_Hi" vbProcedure="false">Tokenomics_取數!$H$23</definedName>
    <definedName function="false" hidden="false" name="TK_CapexIT_VR200_Lo" vbProcedure="false">Tokenomics_取數!$F$23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Tokenomics_取數!$G$71</definedName>
    <definedName function="false" hidden="false" name="TK_DeprFac_GB300" vbProcedure="false">Tokenomics_取數!$G$72</definedName>
    <definedName function="false" hidden="false" name="TK_DeprFac_H100" vbProcedure="false">Tokenomics_取數!$G$70</definedName>
    <definedName function="false" hidden="false" name="TK_DeprFac_RU" vbProcedure="false">Tokenomics_取數!$G$74</definedName>
    <definedName function="false" hidden="false" name="TK_DeprFac_VR200" vbProcedure="false">Tokenomics_取數!$G$73</definedName>
    <definedName function="false" hidden="false" name="TK_DeprIT_GB200" vbProcedure="false">Tokenomics_取數!$G$66</definedName>
    <definedName function="false" hidden="false" name="TK_DeprIT_GB300" vbProcedure="false">Tokenomics_取數!$G$67</definedName>
    <definedName function="false" hidden="false" name="TK_DeprIT_H100" vbProcedure="false">Tokenomics_取數!$G$65</definedName>
    <definedName function="false" hidden="false" name="TK_DeprIT_RU" vbProcedure="false">Tokenomics_取數!$G$69</definedName>
    <definedName function="false" hidden="false" name="TK_DeprIT_VR200" vbProcedure="false">Tokenomics_取數!$G$68</definedName>
    <definedName function="false" hidden="false" name="TK_DeprLifeIT_GB200" vbProcedure="false">Tokenomics_取數!$G$61</definedName>
    <definedName function="false" hidden="false" name="TK_DeprLifeIT_GB300" vbProcedure="false">Tokenomics_取數!$G$62</definedName>
    <definedName function="false" hidden="false" name="TK_DeprLifeIT_H100" vbProcedure="false">Tokenomics_取數!$G$60</definedName>
    <definedName function="false" hidden="false" name="TK_DeprLifeIT_RU" vbProcedure="false">Tokenomics_取數!$G$64</definedName>
    <definedName function="false" hidden="false" name="TK_DeprLifeIT_VR200" vbProcedure="false">Tokenomics_取數!$G$63</definedName>
    <definedName function="false" hidden="false" name="TK_FacCapexMW" vbProcedure="false">Tokenomics_取數!$G$56</definedName>
    <definedName function="false" hidden="false" name="TK_FacilityGW_GB200" vbProcedure="false">Tokenomics_取數!$G$16</definedName>
    <definedName function="false" hidden="false" name="TK_FacilityGW_GB300" vbProcedure="false">Tokenomics_取數!$G$17</definedName>
    <definedName function="false" hidden="false" name="TK_FacilityGW_H100" vbProcedure="false">Tokenomics_取數!$G$15</definedName>
    <definedName function="false" hidden="false" name="TK_FacilityGW_RU" vbProcedure="false">Tokenomics_取數!$G$19</definedName>
    <definedName function="false" hidden="false" name="TK_FacilityGW_VR200" vbProcedure="false">Tokenomics_取數!$G$18</definedName>
    <definedName function="false" hidden="false" name="TK_GPUhrEcon_GB200" vbProcedure="false">Tokenomics_取數!$G$46</definedName>
    <definedName function="false" hidden="false" name="TK_GPUhrEcon_GB300" vbProcedure="false">Tokenomics_取數!$G$47</definedName>
    <definedName function="false" hidden="false" name="TK_GPUhrEcon_H100" vbProcedure="false">Tokenomics_取數!$G$45</definedName>
    <definedName function="false" hidden="false" name="TK_GPUhrEcon_RU" vbProcedure="false">Tokenomics_取數!$G$49</definedName>
    <definedName function="false" hidden="false" name="TK_GPUhrEcon_VR200" vbProcedure="false">Tokenomics_取數!$G$48</definedName>
    <definedName function="false" hidden="false" name="TK_GPUhr_GB200_vsCW" vbProcedure="false">Tokenomics_取數!$G$57</definedName>
    <definedName function="false" hidden="false" name="TK_GPUhr_GB300" vbProcedure="false">Tokenomics_取數!$G$147</definedName>
    <definedName function="false" hidden="false" name="TK_GPUhr_GB300_vsBE" vbProcedure="false">Tokenomics_取數!$G$58</definedName>
    <definedName function="false" hidden="false" name="TK_GPUhr_VR200" vbProcedure="false">Tokenomics_取數!$G$148</definedName>
    <definedName function="false" hidden="false" name="TK_GPUsPerGW_GB200" vbProcedure="false">Tokenomics_取數!$G$11</definedName>
    <definedName function="false" hidden="false" name="TK_GPUsPerGW_GB300" vbProcedure="false">Tokenomics_取數!$G$12</definedName>
    <definedName function="false" hidden="false" name="TK_GPUsPerGW_H100" vbProcedure="false">Tokenomics_取數!$G$10</definedName>
    <definedName function="false" hidden="false" name="TK_GPUsPerGW_RU" vbProcedure="false">Tokenomics_取數!$G$14</definedName>
    <definedName function="false" hidden="false" name="TK_GPUsPerGW_VR200" vbProcedure="false">Tokenomics_取數!$G$13</definedName>
    <definedName function="false" hidden="false" name="TK_HoldAcct_GB200" vbProcedure="false">Tokenomics_取數!$G$36</definedName>
    <definedName function="false" hidden="false" name="TK_HoldAcct_GB300" vbProcedure="false">Tokenomics_取數!$G$37</definedName>
    <definedName function="false" hidden="false" name="TK_HoldAcct_H100" vbProcedure="false">Tokenomics_取數!$G$35</definedName>
    <definedName function="false" hidden="false" name="TK_HoldAcct_RU" vbProcedure="false">Tokenomics_取數!$G$39</definedName>
    <definedName function="false" hidden="false" name="TK_HoldAcct_VR200" vbProcedure="false">Tokenomics_取數!$G$38</definedName>
    <definedName function="false" hidden="false" name="TK_HoldEconMW_GB200" vbProcedure="false">Tokenomics_取數!$G$136</definedName>
    <definedName function="false" hidden="false" name="TK_HoldEconMW_GB300" vbProcedure="false">Tokenomics_取數!$G$137</definedName>
    <definedName function="false" hidden="false" name="TK_HoldEconMW_Hopper" vbProcedure="false">Tokenomics_取數!$G$135</definedName>
    <definedName function="false" hidden="false" name="TK_HoldEconMW_VR200" vbProcedure="false">Tokenomics_取數!$G$138</definedName>
    <definedName function="false" hidden="false" name="TK_HoldEcon_GB200" vbProcedure="false">Tokenomics_取數!$G$41</definedName>
    <definedName function="false" hidden="false" name="TK_HoldEcon_GB300" vbProcedure="false">Tokenomics_取數!$G$42</definedName>
    <definedName function="false" hidden="false" name="TK_HoldEcon_H100" vbProcedure="false">Tokenomics_取數!$G$40</definedName>
    <definedName function="false" hidden="false" name="TK_HoldEcon_RU" vbProcedure="false">Tokenomics_取數!$G$44</definedName>
    <definedName function="false" hidden="false" name="TK_HoldEcon_VR200" vbProcedure="false">Tokenomics_取數!$G$43</definedName>
    <definedName function="false" hidden="false" name="TK_MaintFac_GB200" vbProcedure="false">Tokenomics_取數!$G$91</definedName>
    <definedName function="false" hidden="false" name="TK_MaintFac_GB300" vbProcedure="false">Tokenomics_取數!$G$92</definedName>
    <definedName function="false" hidden="false" name="TK_MaintFac_H100" vbProcedure="false">Tokenomics_取數!$G$90</definedName>
    <definedName function="false" hidden="false" name="TK_MaintFac_RU" vbProcedure="false">Tokenomics_取數!$G$94</definedName>
    <definedName function="false" hidden="false" name="TK_MaintFac_VR200" vbProcedure="false">Tokenomics_取數!$G$93</definedName>
    <definedName function="false" hidden="false" name="TK_MaintIT_GB200" vbProcedure="false">Tokenomics_取數!$G$86</definedName>
    <definedName function="false" hidden="false" name="TK_MaintIT_GB300" vbProcedure="false">Tokenomics_取數!$G$87</definedName>
    <definedName function="false" hidden="false" name="TK_MaintIT_H100" vbProcedure="false">Tokenomics_取數!$G$85</definedName>
    <definedName function="false" hidden="false" name="TK_MaintIT_RU" vbProcedure="false">Tokenomics_取數!$G$89</definedName>
    <definedName function="false" hidden="false" name="TK_MaintIT_VR200" vbProcedure="false">Tokenomics_取數!$G$88</definedName>
    <definedName function="false" hidden="false" name="TK_OpexGW_GB200" vbProcedure="false">Tokenomics_取數!$G$106</definedName>
    <definedName function="false" hidden="false" name="TK_OpexGW_GB300" vbProcedure="false">Tokenomics_取數!$G$107</definedName>
    <definedName function="false" hidden="false" name="TK_OpexGW_H100" vbProcedure="false">Tokenomics_取數!$G$105</definedName>
    <definedName function="false" hidden="false" name="TK_OpexGW_RU" vbProcedure="false">Tokenomics_取數!$G$109</definedName>
    <definedName function="false" hidden="false" name="TK_OpexGW_VR200" vbProcedure="false">Tokenomics_取數!$G$108</definedName>
    <definedName function="false" hidden="false" name="TK_PowerCost_GB200" vbProcedure="false">Tokenomics_取數!$G$51</definedName>
    <definedName function="false" hidden="false" name="TK_PowerCost_GB300" vbProcedure="false">Tokenomics_取數!$G$52</definedName>
    <definedName function="false" hidden="false" name="TK_PowerCost_H100" vbProcedure="false">Tokenomics_取數!$G$50</definedName>
    <definedName function="false" hidden="false" name="TK_PowerCost_RU" vbProcedure="false">Tokenomics_取數!$G$54</definedName>
    <definedName function="false" hidden="false" name="TK_PowerCost_VR200" vbProcedure="false">Tokenomics_取數!$G$53</definedName>
    <definedName function="false" hidden="false" name="TK_PowerPrice_GB200" vbProcedure="false">Tokenomics_取數!$G$81</definedName>
    <definedName function="false" hidden="false" name="TK_PowerPrice_GB300" vbProcedure="false">Tokenomics_取數!$G$82</definedName>
    <definedName function="false" hidden="false" name="TK_PowerPrice_H100" vbProcedure="false">Tokenomics_取數!$G$80</definedName>
    <definedName function="false" hidden="false" name="TK_PowerPrice_RU" vbProcedure="false">Tokenomics_取數!$G$84</definedName>
    <definedName function="false" hidden="false" name="TK_PowerPrice_VR200" vbProcedure="false">Tokenomics_取數!$G$83</definedName>
    <definedName function="false" hidden="false" name="TK_RacksPerGW_GB200" vbProcedure="false">Tokenomics_取數!$G$6</definedName>
    <definedName function="false" hidden="false" name="TK_RacksPerGW_GB300" vbProcedure="false">Tokenomics_取數!$G$7</definedName>
    <definedName function="false" hidden="false" name="TK_RacksPerGW_H100" vbProcedure="false">Tokenomics_取數!$G$5</definedName>
    <definedName function="false" hidden="false" name="TK_RacksPerGW_RU" vbProcedure="false">Tokenomics_取數!$G$9</definedName>
    <definedName function="false" hidden="false" name="TK_RacksPerGW_VR200" vbProcedure="false">Tokenomics_取數!$G$8</definedName>
    <definedName function="false" hidden="false" name="TK_RevGWFleet_100_GB200" vbProcedure="false">Tokenomics_取數!$G$116</definedName>
    <definedName function="false" hidden="false" name="TK_RevGWFleet_100_GB300" vbProcedure="false">Tokenomics_取數!$G$117</definedName>
    <definedName function="false" hidden="false" name="TK_RevGWFleet_100_H100" vbProcedure="false">Tokenomics_取數!$G$115</definedName>
    <definedName function="false" hidden="false" name="TK_RevGWFleet_100_RU" vbProcedure="false">Tokenomics_取數!$G$119</definedName>
    <definedName function="false" hidden="false" name="TK_RevGWFleet_100_VR200" vbProcedure="false">Tokenomics_取數!$G$118</definedName>
    <definedName function="false" hidden="false" name="TK_RevGWFleet_GB200" vbProcedure="false">Tokenomics_取數!$G$111</definedName>
    <definedName function="false" hidden="false" name="TK_RevGWFleet_GB300" vbProcedure="false">Tokenomics_取數!$G$112</definedName>
    <definedName function="false" hidden="false" name="TK_RevGWFleet_H100" vbProcedure="false">Tokenomics_取數!$G$110</definedName>
    <definedName function="false" hidden="false" name="TK_RevGWFleet_Life_GB200" vbProcedure="false">Tokenomics_取數!$G$131</definedName>
    <definedName function="false" hidden="false" name="TK_RevGWFleet_Life_GB300" vbProcedure="false">Tokenomics_取數!$G$132</definedName>
    <definedName function="false" hidden="false" name="TK_RevGWFleet_Life_H100" vbProcedure="false">Tokenomics_取數!$G$130</definedName>
    <definedName function="false" hidden="false" name="TK_RevGWFleet_Life_RU" vbProcedure="false">Tokenomics_取數!$G$134</definedName>
    <definedName function="false" hidden="false" name="TK_RevGWFleet_Life_VR200" vbProcedure="false">Tokenomics_取數!$G$133</definedName>
    <definedName function="false" hidden="false" name="TK_RevGWFleet_Prod_GB200" vbProcedure="false">Tokenomics_取數!$G$126</definedName>
    <definedName function="false" hidden="false" name="TK_RevGWFleet_Prod_GB300" vbProcedure="false">Tokenomics_取數!$G$127</definedName>
    <definedName function="false" hidden="false" name="TK_RevGWFleet_Prod_H100" vbProcedure="false">Tokenomics_取數!$G$125</definedName>
    <definedName function="false" hidden="false" name="TK_RevGWFleet_Prod_RU" vbProcedure="false">Tokenomics_取數!$G$129</definedName>
    <definedName function="false" hidden="false" name="TK_RevGWFleet_Prod_VR200" vbProcedure="false">Tokenomics_取數!$G$128</definedName>
    <definedName function="false" hidden="false" name="TK_RevGWFleet_RU" vbProcedure="false">Tokenomics_取數!$G$114</definedName>
    <definedName function="false" hidden="false" name="TK_RevGWFleet_Util_GB200" vbProcedure="false">Tokenomics_取數!$G$121</definedName>
    <definedName function="false" hidden="false" name="TK_RevGWFleet_Util_GB300" vbProcedure="false">Tokenomics_取數!$G$122</definedName>
    <definedName function="false" hidden="false" name="TK_RevGWFleet_Util_H100" vbProcedure="false">Tokenomics_取數!$G$120</definedName>
    <definedName function="false" hidden="false" name="TK_RevGWFleet_Util_RU" vbProcedure="false">Tokenomics_取數!$G$124</definedName>
    <definedName function="false" hidden="false" name="TK_RevGWFleet_Util_VR200" vbProcedure="false">Tokenomics_取數!$G$123</definedName>
    <definedName function="false" hidden="false" name="TK_RevGWFleet_VR200" vbProcedure="false">Tokenomics_取數!$G$113</definedName>
    <definedName function="false" hidden="false" name="TK_RevGW_Fleet_VR200" vbProcedure="false">Tokenomics_取數!$G$59</definedName>
    <definedName function="false" hidden="false" name="TK_RevGW_PQ_VR200" vbProcedure="false">Tokenomics_取數!$G$142</definedName>
    <definedName function="false" hidden="false" name="TK_RevGW_PQ_VR200_Hi" vbProcedure="false">Tokenomics_取數!$G$144</definedName>
    <definedName function="false" hidden="false" name="TK_RevGW_PQ_VR200_Lo" vbProcedure="false">Tokenomics_取數!$G$143</definedName>
    <definedName function="false" hidden="false" name="TK_StaffSW_GB200" vbProcedure="false">Tokenomics_取數!$G$96</definedName>
    <definedName function="false" hidden="false" name="TK_StaffSW_GB300" vbProcedure="false">Tokenomics_取數!$G$97</definedName>
    <definedName function="false" hidden="false" name="TK_StaffSW_H100" vbProcedure="false">Tokenomics_取數!$G$95</definedName>
    <definedName function="false" hidden="false" name="TK_StaffSW_RU" vbProcedure="false">Tokenomics_取數!$G$99</definedName>
    <definedName function="false" hidden="false" name="TK_StaffSW_VR200" vbProcedure="false">Tokenomics_取數!$G$98</definedName>
    <definedName function="false" hidden="false" name="TK_TaxIns_GB200" vbProcedure="false">Tokenomics_取數!$G$101</definedName>
    <definedName function="false" hidden="false" name="TK_TaxIns_GB300" vbProcedure="false">Tokenomics_取數!$G$102</definedName>
    <definedName function="false" hidden="false" name="TK_TaxIns_H100" vbProcedure="false">Tokenomics_取數!$G$100</definedName>
    <definedName function="false" hidden="false" name="TK_TaxIns_RU" vbProcedure="false">Tokenomics_取數!$G$104</definedName>
    <definedName function="false" hidden="false" name="TK_TaxIns_VR200" vbProcedure="false">Tokenomics_取數!$G$103</definedName>
    <definedName function="false" hidden="false" name="TK_TokMW_Gen_ratio_GB200" vbProcedure="false">Tokenomics_取數!$G$145</definedName>
    <definedName function="false" hidden="false" name="TK_TokMW_Gen_ratio_GB300" vbProcedure="false">Tokenomics_取數!$G$146</definedName>
    <definedName function="false" hidden="false" name="TK_TokMW_Gen_ratio_VR200" vbProcedure="false">Tokenomics_取數!$G$139</definedName>
    <definedName function="false" hidden="false" name="TK_TokMW_Gen_ratio_VR200_Hi" vbProcedure="false">Tokenomics_取數!$G$141</definedName>
    <definedName function="false" hidden="false" name="TK_TokMW_Gen_ratio_VR200_Lo" vbProcedure="false">Tokenomics_取數!$G$140</definedName>
    <definedName function="false" hidden="false" name="TK_Util" vbProcedure="false">Tokenomics_取數!$G$55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<sst xmlns="http://schemas.openxmlformats.org/spreadsheetml/2006/main" count="4825" uniqueCount="2688">
  <si>
    <r>
      <rPr>
        <b val="true"/>
        <sz val="14"/>
        <rFont val="Arial"/>
        <family val="0"/>
        <charset val="1"/>
      </rPr>
      <t xml:space="preserve">WhiteFiber </t>
    </r>
    <r>
      <rPr>
        <b val="true"/>
        <sz val="14"/>
        <rFont val="WenQuanYi Zen Hei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WenQuanYi Zen Hei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</t>
    </r>
    <r>
      <rPr>
        <b val="true"/>
        <sz val="14"/>
        <rFont val="WenQuanYi Zen Hei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2026-10-22</t>
    </r>
    <r>
      <rPr>
        <b val="true"/>
        <sz val="14"/>
        <rFont val="WenQuanYi Zen Hei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 </t>
    </r>
    <r>
      <rPr>
        <b val="true"/>
        <sz val="14"/>
        <rFont val="WenQuanYi Zen Hei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WenQuanYi Zen Hei"/>
        <family val="2"/>
      </rPr>
      <t xml:space="preserve">收盤）</t>
    </r>
  </si>
  <si>
    <t xml:space="preserve">這個活頁簿在回答什麼</t>
  </si>
  <si>
    <r>
      <rPr>
        <sz val="10"/>
        <rFont val="WenQuanYi Zen Hei"/>
        <family val="2"/>
      </rPr>
      <t xml:space="preserve">一句話：長約託管能否成為可融資的現金流底座，撐住雲端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擴張而不反覆稀釋——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</si>
  <si>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</si>
  <si>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</si>
  <si>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</si>
  <si>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WenQuanYi Zen Hei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WenQuanYi Zen Hei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WenQuanYi Zen Hei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WenQuanYi Zen Hei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WenQuanYi Zen Hei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WenQuanYi Zen Hei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WenQuanYi Zen Hei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</si>
  <si>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</si>
  <si>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WenQuanYi Zen Hei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WenQuanYi Zen Hei"/>
        <family val="2"/>
      </rPr>
      <t xml:space="preserve">區）。</t>
    </r>
  </si>
  <si>
    <r>
      <rPr>
        <sz val="10"/>
        <rFont val="WenQuanYi Zen Hei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排程只作對照與產能瓶頸旗標。</t>
    </r>
  </si>
  <si>
    <r>
      <rPr>
        <sz val="10"/>
        <rFont val="WenQuanYi Zen Hei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</si>
  <si>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WenQuanYi Zen Hei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實際＋下半年模型）。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</si>
  <si>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WenQuanYi Zen Hei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WenQuanYi Zen Hei"/>
        <family val="2"/>
      </rPr>
      <t xml:space="preserve">比較。</t>
    </r>
  </si>
  <si>
    <r>
      <rPr>
        <sz val="10"/>
        <rFont val="WenQuanYi Zen Hei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WenQuanYi Zen Hei"/>
        <family val="2"/>
      </rPr>
      <t xml:space="preserve">現價隱含的收入與成本。</t>
    </r>
  </si>
  <si>
    <r>
      <rPr>
        <sz val="10"/>
        <rFont val="WenQuanYi Zen Hei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</si>
  <si>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</si>
  <si>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</si>
  <si>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WenQuanYi Zen Hei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說明與來源</t>
    </r>
  </si>
  <si>
    <r>
      <rPr>
        <b val="true"/>
        <sz val="10"/>
        <rFont val="WenQuanYi Zen Hei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利用率</t>
    </r>
  </si>
  <si>
    <r>
      <rPr>
        <sz val="10"/>
        <rFont val="WenQuanYi Zen Hei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（情境路徑，</t>
    </r>
    <r>
      <rPr>
        <sz val="10"/>
        <rFont val="Arial"/>
        <family val="0"/>
        <charset val="1"/>
      </rPr>
      <t xml:space="preserve">MW-IT </t>
    </r>
    <r>
      <rPr>
        <sz val="10"/>
        <rFont val="WenQuanYi Zen Hei"/>
        <family val="2"/>
      </rPr>
      <t xml:space="preserve">口徑，推導見 </t>
    </r>
    <r>
      <rPr>
        <sz val="10"/>
        <rFont val="Arial"/>
        <family val="0"/>
        <charset val="1"/>
      </rPr>
      <t xml:space="preserve">company.json → scenarios.mwPath.note</t>
    </r>
    <r>
      <rPr>
        <sz val="10"/>
        <rFont val="WenQuanYi Zen Hei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期間長度＝營收。</t>
    </r>
  </si>
  <si>
    <r>
      <rPr>
        <sz val="10"/>
        <rFont val="WenQuanYi Zen Hei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年收入＝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錨（</t>
    </r>
    <r>
      <rPr>
        <sz val="10"/>
        <rFont val="Arial"/>
        <family val="0"/>
        <charset val="1"/>
      </rPr>
      <t xml:space="preserve">IF_HoldEcon</t>
    </r>
    <r>
      <rPr>
        <sz val="10"/>
        <rFont val="WenQuanYi Zen Hei"/>
        <family val="2"/>
      </rPr>
      <t xml:space="preserve">，在役世代加權的打平租金）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（市場價格證據；『每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收入</t>
    </r>
    <r>
      <rPr>
        <sz val="10"/>
        <rFont val="Arial"/>
        <family val="0"/>
        <charset val="1"/>
      </rPr>
      <t xml:space="preserve">_</t>
    </r>
    <r>
      <rPr>
        <sz val="10"/>
        <rFont val="WenQuanYi Zen Hei"/>
        <family val="2"/>
      </rPr>
      <t xml:space="preserve">錨定』），不用公司 </t>
    </r>
    <r>
      <rPr>
        <sz val="10"/>
        <rFont val="Arial"/>
        <family val="0"/>
        <charset val="1"/>
      </rPr>
      <t xml:space="preserve">ACV</t>
    </r>
    <r>
      <rPr>
        <sz val="10"/>
        <rFont val="WenQuanYi Zen Hei"/>
        <family val="2"/>
      </rPr>
      <t xml:space="preserve">（只作對照）；按 </t>
    </r>
    <r>
      <rPr>
        <sz val="10"/>
        <rFont val="Arial"/>
        <family val="0"/>
        <charset val="1"/>
      </rPr>
      <t xml:space="preserve">MW-year </t>
    </r>
    <r>
      <rPr>
        <sz val="10"/>
        <rFont val="WenQuanYi Zen Hei"/>
        <family val="2"/>
      </rPr>
      <t xml:space="preserve">計價、不乘 </t>
    </r>
    <r>
      <rPr>
        <sz val="10"/>
        <rFont val="Arial"/>
        <family val="0"/>
        <charset val="1"/>
      </rPr>
      <t xml:space="preserve">IF_Util</t>
    </r>
    <r>
      <rPr>
        <sz val="10"/>
        <rFont val="WenQuanYi Zen Hei"/>
        <family val="2"/>
      </rPr>
      <t xml:space="preserve">，利用率預設 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。容量情境與價格情境分離。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</si>
  <si>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WenQuanYi Zen Hei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WenQuanYi Zen Hei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</si>
  <si>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</si>
  <si>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WenQuanYi Zen Hei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WenQuanYi Zen Hei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</si>
  <si>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WenQuanYi Zen Hei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WenQuanYi Zen Hei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WenQuanYi Zen Hei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推導的加成。</t>
    </r>
  </si>
  <si>
    <r>
      <rPr>
        <b val="true"/>
        <sz val="10"/>
        <rFont val="WenQuanYi Zen Hei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</si>
  <si>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欄可直接對照公司全年指引。</t>
    </r>
  </si>
  <si>
    <r>
      <rPr>
        <sz val="10"/>
        <rFont val="WenQuanYi Zen Hei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WenQuanYi Zen Hei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</si>
  <si>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</si>
  <si>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</si>
  <si>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</si>
  <si>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</si>
  <si>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WenQuanYi Zen Hei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</si>
  <si>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WenQuanYi Zen Hei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</si>
  <si>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</si>
  <si>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｜結論</t>
    </r>
  </si>
  <si>
    <r>
      <rPr>
        <sz val="10"/>
        <rFont val="WenQuanYi Zen Hei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</si>
  <si>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</si>
  <si>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</si>
  <si>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</si>
  <si>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</si>
  <si>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</si>
  <si>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</si>
  <si>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</si>
  <si>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</si>
  <si>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</si>
  <si>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</si>
  <si>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</si>
  <si>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</si>
  <si>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結論｜融資上限句</t>
  </si>
  <si>
    <t xml:space="preserve">結論｜調整後槓桿句</t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</si>
  <si>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</si>
  <si>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FY26–FY28</t>
    </r>
    <r>
      <rPr>
        <b val="true"/>
        <sz val="10"/>
        <rFont val="WenQuanYi Zen Hei"/>
        <family val="2"/>
      </rPr>
      <t xml:space="preserve">）</t>
    </r>
  </si>
  <si>
    <t xml:space="preserve">項目</t>
  </si>
  <si>
    <t xml:space="preserve">單位</t>
  </si>
  <si>
    <t xml:space="preserve">FY26</t>
  </si>
  <si>
    <t xml:space="preserve">FY27</t>
  </si>
  <si>
    <t xml:space="preserve">FY28</t>
  </si>
  <si>
    <t xml:space="preserve">差異｜營收｜模型</t>
  </si>
  <si>
    <t xml:space="preserve">US$m</t>
  </si>
  <si>
    <t xml:space="preserve">差異｜營收｜共識</t>
  </si>
  <si>
    <t xml:space="preserve">差異｜營收｜差距</t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</si>
  <si>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</si>
  <si>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｜共識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</si>
  <si>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</si>
  <si>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</si>
  <si>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｜差距（金額）</t>
    </r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</si>
  <si>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一頁摘要、市場共識分頁同一呈現；判斷門檻仍用上一列比例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</si>
  <si>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</si>
  <si>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</si>
  <si>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</si>
  <si>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</si>
  <si>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率以百分點列差距，不納入判斷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</si>
  <si>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</si>
  <si>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（毛額）｜共識</t>
    </r>
  </si>
  <si>
    <r>
      <rPr>
        <sz val="10"/>
        <rFont val="WenQuanYi Zen Hei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（毛額）｜差距</t>
    </r>
  </si>
  <si>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</si>
  <si>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</si>
  <si>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</si>
  <si>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</si>
  <si>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</si>
  <si>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</si>
  <si>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</si>
  <si>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判斷句同一規則）</t>
    </r>
  </si>
  <si>
    <r>
      <rPr>
        <sz val="10"/>
        <rFont val="WenQuanYi Zen Hei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FY26…3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＝無）</t>
    </r>
  </si>
  <si>
    <t xml:space="preserve">差異｜判斷句</t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</si>
  <si>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</si>
  <si>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以利潤率差、其餘以比例門檻判斷）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</si>
  <si>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｜營收</t>
    </r>
  </si>
  <si>
    <r>
      <rPr>
        <sz val="10"/>
        <rFont val="WenQuanYi Zen Hei"/>
        <family val="2"/>
      </rPr>
      <t xml:space="preserve">差異原因｜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｜營收</t>
    </r>
  </si>
  <si>
    <t xml:space="preserve">差異｜需附原因項數</t>
  </si>
  <si>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FY26–FY28</t>
    </r>
  </si>
  <si>
    <t xml:space="preserve">差異｜差異原因摘要</t>
  </si>
  <si>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</si>
  <si>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｜現價隱含什麼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</si>
  <si>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EV/EBITDA</t>
    </r>
  </si>
  <si>
    <t xml:space="preserve">x</t>
  </si>
  <si>
    <r>
      <rPr>
        <sz val="9"/>
        <color rgb="FF595959"/>
        <rFont val="WenQuanYi Zen Hei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</si>
  <si>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EV/EBITDA</t>
    </r>
  </si>
  <si>
    <r>
      <rPr>
        <sz val="9"/>
        <color rgb="FF595959"/>
        <rFont val="WenQuanYi Zen Hei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</si>
  <si>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</si>
  <si>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腿（雲端 倍數）錨定 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，錨定年度與此不同</t>
    </r>
  </si>
  <si>
    <r>
      <rPr>
        <sz val="10"/>
        <rFont val="WenQuanYi Zen Hei"/>
        <family val="2"/>
      </rPr>
      <t xml:space="preserve">隱含｜模型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託管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</si>
  <si>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扣除</t>
    </r>
  </si>
  <si>
    <r>
      <rPr>
        <sz val="10"/>
        <rFont val="WenQuanYi Zen Hei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</si>
  <si>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WenQuanYi Zen Hei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WenQuanYi Zen Hei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託管倍數）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</si>
  <si>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隱含｜現價隱含 </t>
    </r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</si>
  <si>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</si>
  <si>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</si>
  <si>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</si>
  <si>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sz val="9"/>
        <color rgb="FF595959"/>
        <rFont val="WenQuanYi Zen Hei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』；改輸入後請以目標搜尋重算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</si>
  <si>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建置成本（目前／隱含／變動）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</si>
  <si>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</si>
  <si>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WenQuanYi Zen Hei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</si>
  <si>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WenQuanYi Zen Hei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WenQuanYi Zen Hei"/>
        <family val="2"/>
      </rPr>
      <t xml:space="preserve">）</t>
    </r>
  </si>
  <si>
    <t xml:space="preserve">驗證｜焦點季</t>
  </si>
  <si>
    <r>
      <rPr>
        <sz val="9"/>
        <color rgb="FF595959"/>
        <rFont val="WenQuanYi Zen Hei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</si>
  <si>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</si>
  <si>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WenQuanYi Zen Hei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</si>
  <si>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</si>
  <si>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r>
      <rPr>
        <sz val="10"/>
        <rFont val="WenQuanYi Zen Hei"/>
        <family val="2"/>
      </rPr>
      <t xml:space="preserve">驗證｜調整後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（模型／共識／指引低／指引高／實際）</t>
    </r>
  </si>
  <si>
    <r>
      <rPr>
        <b val="true"/>
        <sz val="10"/>
        <rFont val="WenQuanYi Zen Hei"/>
        <family val="2"/>
      </rPr>
      <t xml:space="preserve">驗證｜調整後 </t>
    </r>
    <r>
      <rPr>
        <b val="true"/>
        <sz val="10"/>
        <rFont val="Arial"/>
        <family val="0"/>
        <charset val="1"/>
      </rPr>
      <t xml:space="preserve">EBITDA</t>
    </r>
    <r>
      <rPr>
        <b val="true"/>
        <sz val="10"/>
        <rFont val="WenQuanYi Zen Hei"/>
        <family val="2"/>
      </rPr>
      <t xml:space="preserve">｜句</t>
    </r>
  </si>
  <si>
    <r>
      <rPr>
        <sz val="10"/>
        <rFont val="WenQuanYi Zen Hei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（毛額）（模型／共識／指引低／指引高／實際）</t>
    </r>
  </si>
  <si>
    <r>
      <rPr>
        <b val="true"/>
        <sz val="10"/>
        <rFont val="WenQuanYi Zen Hei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</si>
  <si>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</si>
  <si>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</si>
  <si>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</si>
  <si>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</si>
  <si>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（自行彙整），擷取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</si>
  <si>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WenQuanYi Zen Hei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Simply Wall St </t>
    </r>
    <r>
      <rPr>
        <sz val="9"/>
        <color rgb="FF595959"/>
        <rFont val="WenQuanYi Zen Hei"/>
        <family val="2"/>
      </rPr>
      <t xml:space="preserve">的預估來自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Investing.com </t>
    </r>
    <r>
      <rPr>
        <sz val="9"/>
        <color rgb="FF595959"/>
        <rFont val="WenQuanYi Zen Hei"/>
        <family val="2"/>
      </rPr>
      <t xml:space="preserve">自行彙整；</t>
    </r>
    <r>
      <rPr>
        <sz val="9"/>
        <color rgb="FF595959"/>
        <rFont val="Arial"/>
        <family val="0"/>
        <charset val="1"/>
      </rPr>
      <t xml:space="preserve">Yahoo 1 </t>
    </r>
    <r>
      <rPr>
        <sz val="9"/>
        <color rgb="FF595959"/>
        <rFont val="WenQuanYi Zen Hei"/>
        <family val="2"/>
      </rPr>
      <t xml:space="preserve">年目標價屬 </t>
    </r>
    <r>
      <rPr>
        <sz val="9"/>
        <color rgb="FF595959"/>
        <rFont val="Arial"/>
        <family val="0"/>
        <charset val="1"/>
      </rPr>
      <t xml:space="preserve">LSEG </t>
    </r>
    <r>
      <rPr>
        <sz val="9"/>
        <color rgb="FF595959"/>
        <rFont val="WenQuanYi Zen Hei"/>
        <family val="2"/>
      </rPr>
      <t xml:space="preserve">系；</t>
    </r>
    <r>
      <rPr>
        <sz val="9"/>
        <color rgb="FF595959"/>
        <rFont val="Arial"/>
        <family val="0"/>
        <charset val="1"/>
      </rPr>
      <t xml:space="preserve">Tickflow </t>
    </r>
    <r>
      <rPr>
        <sz val="9"/>
        <color rgb="FF595959"/>
        <rFont val="WenQuanYi Zen Hei"/>
        <family val="2"/>
      </rPr>
      <t xml:space="preserve">未具名來源。目標價四個呈現（</t>
    </r>
    <r>
      <rPr>
        <sz val="9"/>
        <color rgb="FF595959"/>
        <rFont val="Arial"/>
        <family val="0"/>
        <charset val="1"/>
      </rPr>
      <t xml:space="preserve">MarketBeat 38.00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Investing 40.50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Yahoo 40.45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S&amp;P 40.89</t>
    </r>
    <r>
      <rPr>
        <sz val="9"/>
        <color rgb="FF595959"/>
        <rFont val="WenQuanYi Zen Hei"/>
        <family val="2"/>
      </rPr>
      <t xml:space="preserve">）可視為至少三個獨立來源；營收預估只有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Simply Wall St</t>
    </r>
    <r>
      <rPr>
        <sz val="9"/>
        <color rgb="FF595959"/>
        <rFont val="WenQuanYi Zen Hei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Tickflow </t>
    </r>
    <r>
      <rPr>
        <sz val="9"/>
        <color rgb="FF595959"/>
        <rFont val="WenQuanYi Zen Hei"/>
        <family val="2"/>
      </rPr>
      <t xml:space="preserve">兩個呈現，</t>
    </r>
    <r>
      <rPr>
        <sz val="9"/>
        <color rgb="FF595959"/>
        <rFont val="Arial"/>
        <family val="0"/>
        <charset val="1"/>
      </rPr>
      <t xml:space="preserve">FY2026 </t>
    </r>
    <r>
      <rPr>
        <sz val="9"/>
        <color rgb="FF595959"/>
        <rFont val="WenQuanYi Zen Hei"/>
        <family val="2"/>
      </rPr>
      <t xml:space="preserve">一致（</t>
    </r>
    <r>
      <rPr>
        <sz val="9"/>
        <color rgb="FF595959"/>
        <rFont val="Arial"/>
        <family val="0"/>
        <charset val="1"/>
      </rPr>
      <t xml:space="preserve">137 vs 138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FY2027–28 </t>
    </r>
    <r>
      <rPr>
        <sz val="9"/>
        <color rgb="FF595959"/>
        <rFont val="WenQuanYi Zen Hei"/>
        <family val="2"/>
      </rPr>
      <t xml:space="preserve">差距大（</t>
    </r>
    <r>
      <rPr>
        <sz val="9"/>
        <color rgb="FF595959"/>
        <rFont val="Arial"/>
        <family val="0"/>
        <charset val="1"/>
      </rPr>
      <t xml:space="preserve">296 vs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261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530 vs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381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Tickflow </t>
    </r>
    <r>
      <rPr>
        <sz val="9"/>
        <color rgb="FF595959"/>
        <rFont val="WenQuanYi Zen Hei"/>
        <family val="2"/>
      </rPr>
      <t xml:space="preserve">為季度預估加總、家數 </t>
    </r>
    <r>
      <rPr>
        <sz val="9"/>
        <color rgb="FF595959"/>
        <rFont val="Arial"/>
        <family val="0"/>
        <charset val="1"/>
      </rPr>
      <t xml:space="preserve">2–3</t>
    </r>
    <r>
      <rPr>
        <sz val="9"/>
        <color rgb="FF595959"/>
        <rFont val="WenQuanYi Zen Hei"/>
        <family val="2"/>
      </rPr>
      <t xml:space="preserve">），不算一致。</t>
    </r>
  </si>
  <si>
    <r>
      <rPr>
        <sz val="9"/>
        <color rgb="FF595959"/>
        <rFont val="WenQuanYi Zen Hei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Simply Wall St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（自行彙整）；擷取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</si>
  <si>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</si>
  <si>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</si>
  <si>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｜情境與規模（管理層擴張力道）</t>
    </r>
  </si>
  <si>
    <r>
      <rPr>
        <b val="true"/>
        <sz val="10"/>
        <rFont val="WenQuanYi Zen Hei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＝保守 只有已簽約、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＝基準 加 </t>
    </r>
    <r>
      <rPr>
        <b val="true"/>
        <sz val="10"/>
        <rFont val="Arial"/>
        <family val="0"/>
        <charset val="1"/>
      </rPr>
      <t xml:space="preserve">NC-1 </t>
    </r>
    <r>
      <rPr>
        <b val="true"/>
        <sz val="10"/>
        <rFont val="WenQuanYi Zen Hei"/>
        <family val="2"/>
      </rPr>
      <t xml:space="preserve">下一批、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＝積極 </t>
    </r>
    <r>
      <rPr>
        <b val="true"/>
        <sz val="10"/>
        <rFont val="Arial"/>
        <family val="0"/>
        <charset val="1"/>
      </rPr>
      <t xml:space="preserve">NC-2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Krambu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</si>
  <si>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價格情境（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低／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WenQuanYi Zen Hei"/>
        <family val="2"/>
      </rPr>
      <t xml:space="preserve">基準／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高）</t>
    </r>
  </si>
  <si>
    <r>
      <rPr>
        <sz val="9"/>
        <color rgb="FF595959"/>
        <rFont val="WenQuanYi Zen Hei"/>
        <family val="2"/>
      </rPr>
      <t xml:space="preserve">三情境只改擴張力道（已連網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路徑）；每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年收入由同列 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WenQuanYi Zen Hei"/>
        <family val="2"/>
      </rPr>
      <t xml:space="preserve">欄價格情境（定價倍數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）決定，兩條軸分離（</t>
    </r>
    <r>
      <rPr>
        <sz val="9"/>
        <color rgb="FF595959"/>
        <rFont val="Arial"/>
        <family val="0"/>
        <charset val="1"/>
      </rPr>
      <t xml:space="preserve">v0.3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E–G </t>
    </r>
    <r>
      <rPr>
        <sz val="9"/>
        <color rgb="FF595959"/>
        <rFont val="WenQuanYi Zen Hei"/>
        <family val="2"/>
      </rPr>
      <t xml:space="preserve">欄＝價格情境選擇（定價倍數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低／基準／高；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與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同時取低／基準／高，見『每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區），三個容量情境預設都用基準</t>
    </r>
  </si>
  <si>
    <r>
      <rPr>
        <b val="true"/>
        <sz val="10"/>
        <color rgb="FF1F3864"/>
        <rFont val="WenQuanYi Zen Hei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WenQuanYi Zen Hei"/>
        <family val="2"/>
      </rPr>
      <t xml:space="preserve">、在役比例、表外租金基準）</t>
    </r>
  </si>
  <si>
    <r>
      <rPr>
        <b val="true"/>
        <sz val="11"/>
        <color rgb="FFFFFFFF"/>
        <rFont val="WenQuanYi Zen Hei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路徑</t>
    </r>
  </si>
  <si>
    <t xml:space="preserve">FY29</t>
  </si>
  <si>
    <t xml:space="preserve">FY30</t>
  </si>
  <si>
    <r>
      <rPr>
        <b val="true"/>
        <sz val="11"/>
        <color rgb="FFFFFFFF"/>
        <rFont val="Arial"/>
        <family val="0"/>
        <charset val="1"/>
      </rPr>
      <t xml:space="preserve">FY31 </t>
    </r>
    <r>
      <rPr>
        <b val="true"/>
        <sz val="11"/>
        <color rgb="FFFFFFFF"/>
        <rFont val="WenQuanYi Zen Hei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</si>
  <si>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首期期末已連網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（三情境共用）</t>
    </r>
  </si>
  <si>
    <t xml:space="preserve">MW</t>
  </si>
  <si>
    <r>
      <rPr>
        <sz val="9"/>
        <color rgb="FF595959"/>
        <rFont val="WenQuanYi Zen Hei"/>
        <family val="2"/>
      </rPr>
      <t xml:space="preserve">首期期末＝評價日已連網＋首期剩餘季度依最新季交付速度；推導與來源見 </t>
    </r>
    <r>
      <rPr>
        <sz val="9"/>
        <color rgb="FF595959"/>
        <rFont val="Arial"/>
        <family val="0"/>
        <charset val="1"/>
      </rPr>
      <t xml:space="preserve">company.json → scenarios.mwPath.note [Derived]</t>
    </r>
  </si>
  <si>
    <r>
      <rPr>
        <sz val="10"/>
        <rFont val="WenQuanYi Zen Hei"/>
        <family val="2"/>
      </rPr>
      <t xml:space="preserve">保守 只有已簽約｜合約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</si>
  <si>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t xml:space="preserve">company.json → scenarios.mwPath.contracted</t>
  </si>
  <si>
    <t xml:space="preserve">保守 只有已簽約｜併網速度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</si>
  <si>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／年</t>
    </r>
  </si>
  <si>
    <t xml:space="preserve">company.json → scenarios.mwPath.pace</t>
  </si>
  <si>
    <t xml:space="preserve">保守 只有已簽約</t>
  </si>
  <si>
    <r>
      <rPr>
        <sz val="9"/>
        <color rgb="FF595959"/>
        <rFont val="WenQuanYi Zen Hei"/>
        <family val="2"/>
      </rPr>
      <t xml:space="preserve">雲端只計已簽約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合約（不含尚無客戶的雪梨 </t>
    </r>
    <r>
      <rPr>
        <sz val="9"/>
        <color rgb="FF595959"/>
        <rFont val="Arial"/>
        <family val="0"/>
        <charset val="1"/>
      </rPr>
      <t xml:space="preserve">2.5 MW</t>
    </r>
    <r>
      <rPr>
        <sz val="9"/>
        <color rgb="FF595959"/>
        <rFont val="WenQuanYi Zen Hei"/>
        <family val="2"/>
      </rPr>
      <t xml:space="preserve">）、合約到期以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續作；託管只有 </t>
    </r>
    <r>
      <rPr>
        <sz val="9"/>
        <color rgb="FF595959"/>
        <rFont val="Arial"/>
        <family val="0"/>
        <charset val="1"/>
      </rPr>
      <t xml:space="preserve">NC-1 40 MW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MTL </t>
    </r>
    <r>
      <rPr>
        <sz val="9"/>
        <color rgb="FF595959"/>
        <rFont val="WenQuanYi Zen Hei"/>
        <family val="2"/>
      </rPr>
      <t xml:space="preserve">現有站點；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專案融資未完成；延誤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個月；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</si>
  <si>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</si>
  <si>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下一批｜併網速度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</si>
  <si>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</si>
  <si>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9"/>
        <color rgb="FF595959"/>
        <rFont val="WenQuanYi Zen Hei"/>
        <family val="2"/>
      </rPr>
      <t xml:space="preserve">雲端加雪梨 </t>
    </r>
    <r>
      <rPr>
        <sz val="9"/>
        <color rgb="FF595959"/>
        <rFont val="Arial"/>
        <family val="0"/>
        <charset val="1"/>
      </rPr>
      <t xml:space="preserve">2.5 MW </t>
    </r>
    <r>
      <rPr>
        <sz val="9"/>
        <color rgb="FF595959"/>
        <rFont val="WenQuanYi Zen Hei"/>
        <family val="2"/>
      </rPr>
      <t xml:space="preserve">與每年新增 </t>
    </r>
    <r>
      <rPr>
        <sz val="9"/>
        <color rgb="FF595959"/>
        <rFont val="Arial"/>
        <family val="0"/>
        <charset val="1"/>
      </rPr>
      <t xml:space="preserve">3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年新簽約約 </t>
    </r>
    <r>
      <rPr>
        <sz val="9"/>
        <color rgb="FF595959"/>
        <rFont val="Arial"/>
        <family val="0"/>
        <charset val="1"/>
      </rPr>
      <t xml:space="preserve">8.6 MW-IT </t>
    </r>
    <r>
      <rPr>
        <sz val="9"/>
        <color rgb="FF595959"/>
        <rFont val="WenQuanYi Zen Hei"/>
        <family val="2"/>
      </rPr>
      <t xml:space="preserve">的四分之一強）；託管加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下一批 </t>
    </r>
    <r>
      <rPr>
        <sz val="9"/>
        <color rgb="FF595959"/>
        <rFont val="Arial"/>
        <family val="0"/>
        <charset val="1"/>
      </rPr>
      <t xml:space="preserve">45 </t>
    </r>
    <r>
      <rPr>
        <sz val="9"/>
        <color rgb="FF595959"/>
        <rFont val="WenQuanYi Zen Hei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÷1.35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33 MW-IT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專案融資完成；延誤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個月；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</si>
  <si>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｜合約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上限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</si>
  <si>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｜併網速度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</si>
  <si>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</si>
  <si>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sz val="9"/>
        <color rgb="FF595959"/>
        <rFont val="WenQuanYi Zen Hei"/>
        <family val="2"/>
      </rPr>
      <t xml:space="preserve">雲端每年新增 </t>
    </r>
    <r>
      <rPr>
        <sz val="9"/>
        <color rgb="FF595959"/>
        <rFont val="Arial"/>
        <family val="0"/>
        <charset val="1"/>
      </rPr>
      <t xml:space="preserve">6 MW-IT</t>
    </r>
    <r>
      <rPr>
        <sz val="9"/>
        <color rgb="FF595959"/>
        <rFont val="WenQuanYi Zen Hei"/>
        <family val="2"/>
      </rPr>
      <t xml:space="preserve">；託管再加 </t>
    </r>
    <r>
      <rPr>
        <sz val="9"/>
        <color rgb="FF595959"/>
        <rFont val="Arial"/>
        <family val="0"/>
        <charset val="1"/>
      </rPr>
      <t xml:space="preserve">NC-2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WenQuanYi Zen Hei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起，</t>
    </r>
    <r>
      <rPr>
        <sz val="9"/>
        <color rgb="FF595959"/>
        <rFont val="Arial"/>
        <family val="0"/>
        <charset val="1"/>
      </rPr>
      <t xml:space="preserve">2027 Q3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擴至長期毛容量、</t>
    </r>
    <r>
      <rPr>
        <sz val="9"/>
        <color rgb="FF595959"/>
        <rFont val="Arial"/>
        <family val="0"/>
        <charset val="1"/>
      </rPr>
      <t xml:space="preserve">Krambu 100 MW</t>
    </r>
    <r>
      <rPr>
        <sz val="9"/>
        <color rgb="FF595959"/>
        <rFont val="WenQuanYi Zen Hei"/>
        <family val="2"/>
      </rPr>
      <t xml:space="preserve">（二手、口徑不明）；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專案融資完成；延誤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FY31 </t>
    </r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</si>
  <si>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年收入｜保守 只有已簽約</t>
    </r>
  </si>
  <si>
    <t xml:space="preserve">US$m/MW</t>
  </si>
  <si>
    <r>
      <rPr>
        <sz val="9"/>
        <color rgb="FF595959"/>
        <rFont val="WenQuanYi Zen Hei"/>
        <family val="2"/>
      </rPr>
      <t xml:space="preserve">＝『每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，在役世代加權）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（目前價格情境）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舊值見該頁對照列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</si>
  <si>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</si>
  <si>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</si>
  <si>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sz val="10"/>
        <rFont val="WenQuanYi Zen Hei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收斂比例（期初校準值 → 已連網）</t>
    </r>
  </si>
  <si>
    <r>
      <rPr>
        <sz val="9"/>
        <color rgb="FF595959"/>
        <rFont val="WenQuanYi Zen Hei"/>
        <family val="2"/>
      </rPr>
      <t xml:space="preserve">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WenQuanYi Zen Hei"/>
        <family val="2"/>
      </rPr>
      <t xml:space="preserve">經常性雲端營收 </t>
    </r>
    <r>
      <rPr>
        <sz val="9"/>
        <color rgb="FF595959"/>
        <rFont val="Arial"/>
        <family val="0"/>
        <charset val="1"/>
      </rPr>
      <t xml:space="preserve">11.506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23.806 </t>
    </r>
    <r>
      <rPr>
        <sz val="9"/>
        <color rgb="FF595959"/>
        <rFont val="WenQuanYi Zen Hei"/>
        <family val="2"/>
      </rPr>
      <t xml:space="preserve">扣終止費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46.02 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；基準情境約 </t>
    </r>
    <r>
      <rPr>
        <sz val="9"/>
        <color rgb="FF595959"/>
        <rFont val="Arial"/>
        <family val="0"/>
        <charset val="1"/>
      </rPr>
      <t xml:space="preserve">4.9 MW-IT</t>
    </r>
    <r>
      <rPr>
        <sz val="9"/>
        <color rgb="FF595959"/>
        <rFont val="WenQuanYi Zen Hei"/>
        <family val="2"/>
      </rPr>
      <t xml:space="preserve">）。這是對齊已實現實際數的校準，不是以公司預測反推參數；之後向已連網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收斂：各期末可計費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收斂比例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WenQuanYi Zen Hei"/>
        <family val="2"/>
      </rPr>
      <t xml:space="preserve">（新合約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2027 Q2 </t>
    </r>
    <r>
      <rPr>
        <sz val="9"/>
        <color rgb="FF595959"/>
        <rFont val="WenQuanYi Zen Hei"/>
        <family val="2"/>
      </rPr>
      <t xml:space="preserve">陸續起算，首期 </t>
    </r>
    <r>
      <rPr>
        <sz val="9"/>
        <color rgb="FF595959"/>
        <rFont val="Arial"/>
        <family val="0"/>
        <charset val="1"/>
      </rPr>
      <t xml:space="preserve">70% [Assumed]</t>
    </r>
    <r>
      <rPr>
        <sz val="9"/>
        <color rgb="FF595959"/>
        <rFont val="WenQuanYi Zen Hei"/>
        <family val="2"/>
      </rPr>
      <t xml:space="preserve">）；小數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位（</t>
    </r>
    <r>
      <rPr>
        <sz val="9"/>
        <color rgb="FF595959"/>
        <rFont val="Arial"/>
        <family val="0"/>
        <charset val="1"/>
      </rPr>
      <t xml:space="preserve">roundDp</t>
    </r>
    <r>
      <rPr>
        <sz val="9"/>
        <color rgb="FF595959"/>
        <rFont val="WenQuanYi Zen Hei"/>
        <family val="2"/>
      </rPr>
      <t xml:space="preserve">）。評價日已連網 </t>
    </r>
    <r>
      <rPr>
        <sz val="9"/>
        <color rgb="FF595959"/>
        <rFont val="Arial"/>
        <family val="0"/>
        <charset val="1"/>
      </rPr>
      <t xml:space="preserve">5.5 MW </t>
    </r>
    <r>
      <rPr>
        <sz val="9"/>
        <color rgb="FF595959"/>
        <rFont val="WenQuanYi Zen Hei"/>
        <family val="2"/>
      </rPr>
      <t xml:space="preserve">中實際計費當量較低的原因與驗證見『每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驗證）。</t>
    </r>
  </si>
  <si>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校準：</t>
    </r>
    <r>
      <rPr>
        <sz val="10"/>
        <rFont val="Arial"/>
        <family val="0"/>
        <charset val="1"/>
      </rPr>
      <t xml:space="preserve">Q2 2026 </t>
    </r>
    <r>
      <rPr>
        <sz val="10"/>
        <rFont val="WenQuanYi Zen Hei"/>
        <family val="2"/>
      </rPr>
      <t xml:space="preserve">實際營收年化</t>
    </r>
  </si>
  <si>
    <r>
      <rPr>
        <sz val="9"/>
        <color rgb="FF595959"/>
        <rFont val="WenQuanYi Zen Hei"/>
        <family val="2"/>
      </rPr>
      <t xml:space="preserve">最新季實際營收 </t>
    </r>
    <r>
      <rPr>
        <sz val="9"/>
        <color rgb="FF595959"/>
        <rFont val="Arial"/>
        <family val="0"/>
        <charset val="1"/>
      </rPr>
      <t xml:space="preserve">× 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scenarios.billableRatio.openAnnualRevenue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</si>
  <si>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｜保守 只有已簽約</t>
    </r>
  </si>
  <si>
    <r>
      <rPr>
        <sz val="9"/>
        <color rgb="FF595959"/>
        <rFont val="WenQuanYi Zen Hei"/>
        <family val="2"/>
      </rPr>
      <t xml:space="preserve">＝實際營收年化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該情境每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年收入（對齊已實現實際數的校準）</t>
    </r>
  </si>
  <si>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</si>
  <si>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</si>
  <si>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未起租租賃總額（未折現）</t>
  </si>
  <si>
    <r>
      <rPr>
        <sz val="9"/>
        <color rgb="FF595959"/>
        <rFont val="WenQuanYi Zen Hei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</si>
  <si>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</si>
  <si>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</si>
  <si>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</si>
  <si>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</si>
  <si>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WenQuanYi Zen Hei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FY27Q2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FY2029 </t>
    </r>
    <r>
      <rPr>
        <sz val="9"/>
        <color rgb="FF595959"/>
        <rFont val="WenQuanYi Zen Hei"/>
        <family val="2"/>
      </rPr>
      <t xml:space="preserve">起租 →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WenQuanYi Zen Hei"/>
        <family val="2"/>
      </rPr>
      <t xml:space="preserve">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</si>
  <si>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</si>
  <si>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</si>
  <si>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WenQuanYi Zen Hei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</si>
  <si>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WenQuanYi Zen Hei"/>
        <family val="2"/>
      </rPr>
      <t xml:space="preserve">只作對照）</t>
    </r>
  </si>
  <si>
    <t xml:space="preserve">6/30 RPO</t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</si>
  <si>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75.146</t>
    </r>
    <r>
      <rPr>
        <sz val="9"/>
        <color rgb="FF595959"/>
        <rFont val="WenQuanYi Zen Hei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</si>
  <si>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</si>
  <si>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WenQuanYi Zen Hei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</si>
  <si>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WenQuanYi Zen Hei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WenQuanYi Zen Hei"/>
        <family val="2"/>
      </rPr>
      <t xml:space="preserve">末）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</si>
  <si>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100%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</si>
  <si>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</si>
  <si>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</si>
  <si>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</si>
  <si>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年底雲端已連網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：冰島第三方機房 </t>
    </r>
    <r>
      <rPr>
        <sz val="9"/>
        <color rgb="FF595959"/>
        <rFont val="Arial"/>
        <family val="0"/>
        <charset val="1"/>
      </rPr>
      <t xml:space="preserve">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；亞特蘭大 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WenQuanYi Zen Hei"/>
        <family val="2"/>
      </rPr>
      <t xml:space="preserve">起承租、加拿大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</si>
  <si>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6/30 Billable MW</t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</si>
  <si>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區情境選擇器（以實際營收校準）</t>
    </r>
  </si>
  <si>
    <r>
      <rPr>
        <sz val="10"/>
        <rFont val="WenQuanYi Zen Hei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</si>
  <si>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</si>
  <si>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</si>
  <si>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</si>
  <si>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</si>
  <si>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年收入倍數（整體）</t>
    </r>
  </si>
  <si>
    <r>
      <rPr>
        <sz val="9"/>
        <color rgb="FF595959"/>
        <rFont val="WenQuanYi Zen Hei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</si>
  <si>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</si>
  <si>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</si>
  <si>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WenQuanYi Zen Hei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WenQuanYi Zen Hei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</si>
  <si>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桶權重</t>
    </r>
  </si>
  <si>
    <r>
      <rPr>
        <sz val="9"/>
        <color rgb="FF595959"/>
        <rFont val="WenQuanYi Zen Hei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桶（雲端 </t>
    </r>
    <r>
      <rPr>
        <sz val="9"/>
        <color rgb="FF595959"/>
        <rFont val="Arial"/>
        <family val="0"/>
        <charset val="1"/>
      </rPr>
      <t xml:space="preserve">RPO 75.1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 </t>
    </r>
    <r>
      <rPr>
        <sz val="9"/>
        <color rgb="FF595959"/>
        <rFont val="Arial"/>
        <family val="0"/>
        <charset val="1"/>
      </rPr>
      <t xml:space="preserve">21.6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2027 43.3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2028 10.3</t>
    </r>
    <r>
      <rPr>
        <sz val="9"/>
        <color rgb="FF595959"/>
        <rFont val="WenQuanYi Zen Hei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7–8 </t>
    </r>
    <r>
      <rPr>
        <sz val="9"/>
        <color rgb="FF595959"/>
        <rFont val="WenQuanYi Zen Hei"/>
        <family val="2"/>
      </rPr>
      <t xml:space="preserve">月簽約的 </t>
    </r>
    <r>
      <rPr>
        <sz val="9"/>
        <color rgb="FF595959"/>
        <rFont val="Arial"/>
        <family val="0"/>
        <charset val="1"/>
      </rPr>
      <t xml:space="preserve">Baseten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Prime VR200</t>
    </r>
    <r>
      <rPr>
        <sz val="9"/>
        <color rgb="FF595959"/>
        <rFont val="WenQuanYi Zen Hei"/>
        <family val="2"/>
      </rPr>
      <t xml:space="preserve">、冰島 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與巴黎）；託管 </t>
    </r>
    <r>
      <rPr>
        <sz val="9"/>
        <color rgb="FF595959"/>
        <rFont val="Arial"/>
        <family val="0"/>
        <charset val="1"/>
      </rPr>
      <t xml:space="preserve">RPO 932.9 </t>
    </r>
    <r>
      <rPr>
        <sz val="9"/>
        <color rgb="FF595959"/>
        <rFont val="WenQuanYi Zen Hei"/>
        <family val="2"/>
      </rPr>
      <t xml:space="preserve">另列於託管分部；只作對照）桶內線性分攤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</si>
  <si>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（期末主動電力）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</si>
  <si>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）</t>
    </r>
  </si>
  <si>
    <t xml:space="preserve">Billable MW</t>
  </si>
  <si>
    <r>
      <rPr>
        <sz val="9"/>
        <color rgb="FF595959"/>
        <rFont val="WenQuanYi Zen Hei"/>
        <family val="2"/>
      </rPr>
      <t xml:space="preserve">＝期初校準值＋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已連網 − 期初校準值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收斂比例（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</si>
  <si>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</si>
  <si>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計價，收入取決於簽約與爬坡（可計費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），不再乘 </t>
    </r>
    <r>
      <rPr>
        <sz val="9"/>
        <color rgb="FF595959"/>
        <rFont val="Arial"/>
        <family val="0"/>
        <charset val="1"/>
      </rPr>
      <t xml:space="preserve">Tokenomics IF_Util</t>
    </r>
    <r>
      <rPr>
        <sz val="9"/>
        <color rgb="FF595959"/>
        <rFont val="WenQuanYi Zen Hei"/>
        <family val="2"/>
      </rPr>
      <t xml:space="preserve">（下游資料契約第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條；重複扣減禁止）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</si>
  <si>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</si>
  <si>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定價倍數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</si>
  <si>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</si>
  <si>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只作對照）</t>
    </r>
  </si>
  <si>
    <t xml:space="preserve">客戶違約率</t>
  </si>
  <si>
    <r>
      <rPr>
        <sz val="9"/>
        <color rgb="FF595959"/>
        <rFont val="WenQuanYi Zen Hei"/>
        <family val="2"/>
      </rPr>
      <t xml:space="preserve">客戶集中度的定價（</t>
    </r>
    <r>
      <rPr>
        <sz val="9"/>
        <color rgb="FF595959"/>
        <rFont val="Arial"/>
        <family val="0"/>
        <charset val="1"/>
      </rPr>
      <t xml:space="preserve">company.json → texts.concentration</t>
    </r>
    <r>
      <rPr>
        <sz val="9"/>
        <color rgb="FF595959"/>
        <rFont val="WenQuanYi Zen Hei"/>
        <family val="2"/>
      </rPr>
      <t xml:space="preserve">），非預測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</si>
  <si>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</si>
  <si>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</si>
  <si>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</si>
  <si>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WenQuanYi Zen Hei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WenQuanYi Zen Hei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</si>
  <si>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</si>
  <si>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WenQuanYi Zen Hei"/>
        <family val="2"/>
      </rPr>
      <t xml:space="preserve">不適用（其他營收＝設備銷售型租賃利息，每季約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，未建模；託管另列於託管分部）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</si>
  <si>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WenQuanYi Zen Hei"/>
        <family val="2"/>
      </rPr>
      <t xml:space="preserve">｜託管（各線全年營收＝上一財年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WenQuanYi Zen Hei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WenQuanYi Zen Hei"/>
        <family val="2"/>
      </rPr>
      <t xml:space="preserve">，年增率自起點線性收斂到長期值；</t>
    </r>
    <r>
      <rPr>
        <b val="true"/>
        <sz val="10"/>
        <color rgb="FF1F3864"/>
        <rFont val="Arial"/>
        <family val="0"/>
        <charset val="1"/>
      </rPr>
      <t xml:space="preserve">FY26 </t>
    </r>
    <r>
      <rPr>
        <b val="true"/>
        <sz val="10"/>
        <color rgb="FF1F3864"/>
        <rFont val="WenQuanYi Zen Hei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WenQuanYi Zen Hei"/>
        <family val="2"/>
      </rPr>
      <t xml:space="preserve">實際）</t>
    </r>
  </si>
  <si>
    <r>
      <rPr>
        <b val="true"/>
        <sz val="10"/>
        <color rgb="FF1F3864"/>
        <rFont val="WenQuanYi Zen Hei"/>
        <family val="2"/>
      </rPr>
      <t xml:space="preserve">▸ 託管站點（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WenQuanYi Zen Hei"/>
        <family val="2"/>
      </rPr>
      <t xml:space="preserve">驅動：</t>
    </r>
    <r>
      <rPr>
        <b val="true"/>
        <sz val="10"/>
        <color rgb="FF1F3864"/>
        <rFont val="Arial"/>
        <family val="0"/>
        <charset val="1"/>
      </rPr>
      <t xml:space="preserve">IT MW × </t>
    </r>
    <r>
      <rPr>
        <b val="true"/>
        <sz val="10"/>
        <color rgb="FF1F3864"/>
        <rFont val="WenQuanYi Zen Hei"/>
        <family val="2"/>
      </rPr>
      <t xml:space="preserve">第一年租金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WenQuanYi Zen Hei"/>
        <family val="2"/>
      </rPr>
      <t xml:space="preserve">＋年調</t>
    </r>
    <r>
      <rPr>
        <b val="true"/>
        <sz val="10"/>
        <color rgb="FF1F3864"/>
        <rFont val="Arial"/>
        <family val="0"/>
        <charset val="1"/>
      </rPr>
      <t xml:space="preserve">)^(</t>
    </r>
    <r>
      <rPr>
        <b val="true"/>
        <sz val="10"/>
        <color rgb="FF1F3864"/>
        <rFont val="WenQuanYi Zen Hei"/>
        <family val="2"/>
      </rPr>
      <t xml:space="preserve">期中點 − 起租</t>
    </r>
    <r>
      <rPr>
        <b val="true"/>
        <sz val="10"/>
        <color rgb="FF1F3864"/>
        <rFont val="Arial"/>
        <family val="0"/>
        <charset val="1"/>
      </rPr>
      <t xml:space="preserve">) × </t>
    </r>
    <r>
      <rPr>
        <b val="true"/>
        <sz val="10"/>
        <color rgb="FF1F3864"/>
        <rFont val="WenQuanYi Zen Hei"/>
        <family val="2"/>
      </rPr>
      <t xml:space="preserve">在租年數；建置 </t>
    </r>
    <r>
      <rPr>
        <b val="true"/>
        <sz val="10"/>
        <color rgb="FF1F3864"/>
        <rFont val="Arial"/>
        <family val="0"/>
        <charset val="1"/>
      </rPr>
      <t xml:space="preserve">CapEx </t>
    </r>
    <r>
      <rPr>
        <b val="true"/>
        <sz val="10"/>
        <color rgb="FF1F3864"/>
        <rFont val="WenQuanYi Zen Hei"/>
        <family val="2"/>
      </rPr>
      <t xml:space="preserve">依建置起訖分攤；建物 </t>
    </r>
    <r>
      <rPr>
        <b val="true"/>
        <sz val="10"/>
        <color rgb="FF1F3864"/>
        <rFont val="Arial"/>
        <family val="0"/>
        <charset val="1"/>
      </rPr>
      <t xml:space="preserve">D&amp;A </t>
    </r>
    <r>
      <rPr>
        <b val="true"/>
        <sz val="10"/>
        <color rgb="FF1F3864"/>
        <rFont val="WenQuanYi Zen Hei"/>
        <family val="2"/>
      </rPr>
      <t xml:space="preserve">另列）</t>
    </r>
  </si>
  <si>
    <r>
      <rPr>
        <sz val="9"/>
        <color rgb="FF595959"/>
        <rFont val="WenQuanYi Zen Hei"/>
        <family val="2"/>
      </rPr>
      <t xml:space="preserve">託管分部（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；另建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驅動區塊，營收與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經由第二分部〔模板「託管」〕列進入損益、營運來源與分部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WenQuanYi Zen Hei"/>
        <family val="2"/>
      </rPr>
      <t xml:space="preserve">）：各站點營收＝</t>
    </r>
    <r>
      <rPr>
        <sz val="9"/>
        <color rgb="FF595959"/>
        <rFont val="Arial"/>
        <family val="0"/>
        <charset val="1"/>
      </rPr>
      <t xml:space="preserve">IT MW × </t>
    </r>
    <r>
      <rPr>
        <sz val="9"/>
        <color rgb="FF595959"/>
        <rFont val="WenQuanYi Zen Hei"/>
        <family val="2"/>
      </rPr>
      <t xml:space="preserve">第一年租金（</t>
    </r>
    <r>
      <rPr>
        <sz val="9"/>
        <color rgb="FF595959"/>
        <rFont val="Arial"/>
        <family val="0"/>
        <charset val="1"/>
      </rPr>
      <t xml:space="preserve">US$m/MW-IT·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＋年調</t>
    </r>
    <r>
      <rPr>
        <sz val="9"/>
        <color rgb="FF595959"/>
        <rFont val="Arial"/>
        <family val="0"/>
        <charset val="1"/>
      </rPr>
      <t xml:space="preserve">)^(</t>
    </r>
    <r>
      <rPr>
        <sz val="9"/>
        <color rgb="FF595959"/>
        <rFont val="WenQuanYi Zen Hei"/>
        <family val="2"/>
      </rPr>
      <t xml:space="preserve">期中點 − 起租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期間內在租年數；未簽約站點的起租時點隨建設延誤月數後移（</t>
    </r>
    <r>
      <rPr>
        <sz val="9"/>
        <color rgb="FF595959"/>
        <rFont val="Arial"/>
        <family val="0"/>
        <charset val="1"/>
      </rPr>
      <t xml:space="preserve">delay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）；建置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在建置起訖期間平均分攤（不隨延誤後移），進類現金流量與託管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；建物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期初託管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＋本期建置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WenQuanYi Zen Hei"/>
        <family val="2"/>
      </rPr>
      <t xml:space="preserve">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期間長度，與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折舊分列。轉嫁電費以淨額處理（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WenQuanYi Zen Hei"/>
        <family val="2"/>
      </rPr>
      <t xml:space="preserve">不含電費，不計入營收與成本；對照表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條）。期初託管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託管設備帳面淨額（含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在建）</t>
    </r>
    <r>
      <rPr>
        <sz val="9"/>
        <color rgb="FF595959"/>
        <rFont val="Arial"/>
        <family val="0"/>
        <charset val="1"/>
      </rPr>
      <t xml:space="preserve">556.3</t>
    </r>
    <r>
      <rPr>
        <sz val="9"/>
        <color rgb="FF595959"/>
        <rFont val="WenQuanYi Zen Hei"/>
        <family val="2"/>
      </rPr>
      <t xml:space="preserve">；建物折舊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15–30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10-K 30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vs 10-Q 20–25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。客戶預付覆蓋比同樣適用於託管建置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coverPrepay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預付 </t>
    </r>
    <r>
      <rPr>
        <sz val="9"/>
        <color rgb="FF595959"/>
        <rFont val="Arial"/>
        <family val="0"/>
        <charset val="1"/>
      </rPr>
      <t xml:space="preserve">72.6 ÷ </t>
    </r>
    <r>
      <rPr>
        <sz val="9"/>
        <color rgb="FF595959"/>
        <rFont val="WenQuanYi Zen Hei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344.7 </t>
    </r>
    <r>
      <rPr>
        <sz val="9"/>
        <color rgb="FF595959"/>
        <rFont val="WenQuanYi Zen Hei"/>
        <family val="2"/>
      </rPr>
      <t xml:space="preserve">的口徑含託管）。</t>
    </r>
  </si>
  <si>
    <t xml:space="preserve">託管｜期初時點（評價日起，年）</t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</si>
  <si>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WenQuanYi Zen Hei"/>
        <family val="2"/>
      </rPr>
      <t xml:space="preserve">推算（勿改）</t>
    </r>
  </si>
  <si>
    <t xml:space="preserve">託管｜期末時點（評價日起，年）</t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</si>
  <si>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</si>
  <si>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Nscale 10 </t>
    </r>
    <r>
      <rPr>
        <sz val="9"/>
        <color rgb="FF595959"/>
        <rFont val="WenQuanYi Zen Hei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865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 MW-IT</t>
    </r>
    <r>
      <rPr>
        <sz val="9"/>
        <color rgb="FF595959"/>
        <rFont val="WenQuanYi Zen Hei"/>
        <family val="2"/>
      </rPr>
      <t xml:space="preserve">／年調 </t>
    </r>
    <r>
      <rPr>
        <sz val="9"/>
        <color rgb="FF595959"/>
        <rFont val="Arial"/>
        <family val="0"/>
        <charset val="1"/>
      </rPr>
      <t xml:space="preserve">3%</t>
    </r>
    <r>
      <rPr>
        <sz val="9"/>
        <color rgb="FF595959"/>
        <rFont val="WenQuanYi Zen Hei"/>
        <family val="2"/>
      </rPr>
      <t xml:space="preserve">：第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年等值 </t>
    </r>
    <r>
      <rPr>
        <sz val="9"/>
        <color rgb="FF595959"/>
        <rFont val="Arial"/>
        <family val="0"/>
        <charset val="1"/>
      </rPr>
      <t xml:space="preserve">1.886 US$m/MW-IT·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865 ÷ (40 × Σ1.03^t) 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NRC </t>
    </r>
    <r>
      <rPr>
        <sz val="9"/>
        <color rgb="FF595959"/>
        <rFont val="WenQuanYi Zen Hei"/>
        <family val="2"/>
      </rPr>
      <t xml:space="preserve">未揭露，若 </t>
    </r>
    <r>
      <rPr>
        <sz val="9"/>
        <color rgb="FF595959"/>
        <rFont val="Arial"/>
        <family val="0"/>
        <charset val="1"/>
      </rPr>
      <t xml:space="preserve">NRC&gt;0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年更低）；</t>
    </r>
    <r>
      <rPr>
        <sz val="9"/>
        <color rgb="FF595959"/>
        <rFont val="Arial"/>
        <family val="0"/>
        <charset val="1"/>
      </rPr>
      <t xml:space="preserve">2026 Q3 </t>
    </r>
    <r>
      <rPr>
        <sz val="9"/>
        <color rgb="FF595959"/>
        <rFont val="WenQuanYi Zen Hei"/>
        <family val="2"/>
      </rPr>
      <t xml:space="preserve">開始計費，前 </t>
    </r>
    <r>
      <rPr>
        <sz val="9"/>
        <color rgb="FF595959"/>
        <rFont val="Arial"/>
        <family val="0"/>
        <charset val="1"/>
      </rPr>
      <t xml:space="preserve">20 MW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2026-08-01 </t>
    </r>
    <r>
      <rPr>
        <sz val="9"/>
        <color rgb="FF595959"/>
        <rFont val="WenQuanYi Zen Hei"/>
        <family val="2"/>
      </rPr>
      <t xml:space="preserve">起算（評價日後 </t>
    </r>
    <r>
      <rPr>
        <sz val="9"/>
        <color rgb="FF595959"/>
        <rFont val="Arial"/>
        <family val="0"/>
        <charset val="1"/>
      </rPr>
      <t xml:space="preserve">0.083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WenQuanYi Zen Hei"/>
        <family val="2"/>
      </rPr>
      <t xml:space="preserve">；建置已完成（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在建工程 </t>
    </r>
    <r>
      <rPr>
        <sz val="9"/>
        <color rgb="FF595959"/>
        <rFont val="Arial"/>
        <family val="0"/>
        <charset val="1"/>
      </rPr>
      <t xml:space="preserve">484.6 </t>
    </r>
    <r>
      <rPr>
        <sz val="9"/>
        <color rgb="FF595959"/>
        <rFont val="WenQuanYi Zen Hei"/>
        <family val="2"/>
      </rPr>
      <t xml:space="preserve">含於託管期初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</si>
  <si>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）｜建置起（年）／建置訖（年）／隨延誤後移／已簽約</t>
    </r>
  </si>
  <si>
    <r>
      <rPr>
        <sz val="9"/>
        <color rgb="FF595959"/>
        <rFont val="WenQuanYi Zen Hei"/>
        <family val="2"/>
      </rPr>
      <t xml:space="preserve">時點為評價日起的年數；隨延誤後移＝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時起租加上建設延誤月數 </t>
    </r>
    <r>
      <rPr>
        <sz val="9"/>
        <color rgb="FF595959"/>
        <rFont val="Arial"/>
        <family val="0"/>
        <charset val="1"/>
      </rPr>
      <t xml:space="preserve">÷ 12</t>
    </r>
    <r>
      <rPr>
        <sz val="9"/>
        <color rgb="FF595959"/>
        <rFont val="WenQuanYi Zen Hei"/>
        <family val="2"/>
      </rPr>
      <t xml:space="preserve">（建置不後移）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</si>
  <si>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</si>
  <si>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9"/>
        <color rgb="FF595959"/>
        <rFont val="WenQuanYi Zen Hei"/>
        <family val="2"/>
      </rPr>
      <t xml:space="preserve">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</si>
  <si>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）｜營收（模型期）</t>
    </r>
  </si>
  <si>
    <r>
      <rPr>
        <sz val="9"/>
        <color rgb="FF595959"/>
        <rFont val="WenQuanYi Zen Hei"/>
        <family val="2"/>
      </rPr>
      <t xml:space="preserve">＝情境旗標 </t>
    </r>
    <r>
      <rPr>
        <sz val="9"/>
        <color rgb="FF595959"/>
        <rFont val="Arial"/>
        <family val="0"/>
        <charset val="1"/>
      </rPr>
      <t xml:space="preserve">× MW × </t>
    </r>
    <r>
      <rPr>
        <sz val="9"/>
        <color rgb="FF595959"/>
        <rFont val="WenQuanYi Zen Hei"/>
        <family val="2"/>
      </rPr>
      <t xml:space="preserve">第一年租金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＋年調</t>
    </r>
    <r>
      <rPr>
        <sz val="9"/>
        <color rgb="FF595959"/>
        <rFont val="Arial"/>
        <family val="0"/>
        <charset val="1"/>
      </rPr>
      <t xml:space="preserve">)^(</t>
    </r>
    <r>
      <rPr>
        <sz val="9"/>
        <color rgb="FF595959"/>
        <rFont val="WenQuanYi Zen Hei"/>
        <family val="2"/>
      </rPr>
      <t xml:space="preserve">期中點 − 起租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期間內在租年數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</si>
  <si>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</si>
  <si>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WenQuanYi Zen Hei"/>
        <family val="2"/>
      </rPr>
      <t xml:space="preserve">＝建置總額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建置期間落在本期的比例（不隨延誤後移）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</si>
  <si>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</si>
  <si>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同上；後 </t>
    </r>
    <r>
      <rPr>
        <sz val="9"/>
        <color rgb="FF595959"/>
        <rFont val="Arial"/>
        <family val="0"/>
        <charset val="1"/>
      </rPr>
      <t xml:space="preserve">20 MW </t>
    </r>
    <r>
      <rPr>
        <sz val="9"/>
        <color rgb="FF595959"/>
        <rFont val="WenQuanYi Zen Hei"/>
        <family val="2"/>
      </rPr>
      <t xml:space="preserve">於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月底全額計費（</t>
    </r>
    <r>
      <rPr>
        <sz val="9"/>
        <color rgb="FF595959"/>
        <rFont val="Arial"/>
        <family val="0"/>
        <charset val="1"/>
      </rPr>
      <t xml:space="preserve">2026-09-01 </t>
    </r>
    <r>
      <rPr>
        <sz val="9"/>
        <color rgb="FF595959"/>
        <rFont val="WenQuanYi Zen Hei"/>
        <family val="2"/>
      </rPr>
      <t xml:space="preserve">起算，評價日後 </t>
    </r>
    <r>
      <rPr>
        <sz val="9"/>
        <color rgb="FF595959"/>
        <rFont val="Arial"/>
        <family val="0"/>
        <charset val="1"/>
      </rPr>
      <t xml:space="preserve">0.167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</si>
  <si>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）｜建置起（年）／建置訖（年）／隨延誤後移／已簽約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</si>
  <si>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</si>
  <si>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）｜營收（模型期）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</si>
  <si>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第一期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Nscale 20 MW</t>
    </r>
    <r>
      <rPr>
        <sz val="10"/>
        <rFont val="WenQuanYi Zen Hei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</si>
  <si>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</si>
  <si>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Cerebras 5 </t>
    </r>
    <r>
      <rPr>
        <sz val="9"/>
        <color rgb="FF595959"/>
        <rFont val="WenQuanYi Zen Hei"/>
        <family val="2"/>
      </rPr>
      <t xml:space="preserve">年約、每月 </t>
    </r>
    <r>
      <rPr>
        <sz val="9"/>
        <color rgb="FF595959"/>
        <rFont val="Arial"/>
        <family val="0"/>
        <charset val="1"/>
      </rPr>
      <t xml:space="preserve">CAD 1.4</t>
    </r>
    <r>
      <rPr>
        <sz val="9"/>
        <color rgb="FF595959"/>
        <rFont val="WenQuanYi Zen Hei"/>
        <family val="2"/>
      </rPr>
      <t xml:space="preserve">（約 </t>
    </r>
    <r>
      <rPr>
        <sz val="9"/>
        <color rgb="FF595959"/>
        <rFont val="Arial"/>
        <family val="0"/>
        <charset val="1"/>
      </rPr>
      <t xml:space="preserve">USD 0.979</t>
    </r>
    <r>
      <rPr>
        <sz val="9"/>
        <color rgb="FF595959"/>
        <rFont val="WenQuanYi Zen Hei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11.75</t>
    </r>
    <r>
      <rPr>
        <sz val="9"/>
        <color rgb="FF595959"/>
        <rFont val="WenQuanYi Zen Hei"/>
        <family val="2"/>
      </rPr>
      <t xml:space="preserve">／年 </t>
    </r>
    <r>
      <rPr>
        <sz val="9"/>
        <color rgb="FF595959"/>
        <rFont val="Arial"/>
        <family val="0"/>
        <charset val="1"/>
      </rPr>
      <t xml:space="preserve">÷ 5 MW-IT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2.35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WenQuanYi Zen Hei"/>
        <family val="2"/>
      </rPr>
      <t xml:space="preserve">起計費；年調未揭露，取 </t>
    </r>
    <r>
      <rPr>
        <sz val="9"/>
        <color rgb="FF595959"/>
        <rFont val="Arial"/>
        <family val="0"/>
        <charset val="1"/>
      </rPr>
      <t xml:space="preserve">0 [Interested-party]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</si>
  <si>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WenQuanYi Zen Hei"/>
        <family val="2"/>
      </rPr>
      <t xml:space="preserve">）｜建置起（年）／建置訖（年）／隨延誤後移／已簽約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</si>
  <si>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WenQuanYi Zen Hei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</si>
  <si>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WenQuanYi Zen Hei"/>
        <family val="2"/>
      </rPr>
      <t xml:space="preserve">）｜營收（模型期）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</si>
  <si>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Cerebras 5 MW</t>
    </r>
    <r>
      <rPr>
        <sz val="10"/>
        <rFont val="WenQuanYi Zen Hei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</si>
  <si>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WenQuanYi Zen Hei"/>
        <family val="2"/>
      </rPr>
      <t xml:space="preserve">家客戶）｜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</si>
  <si>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已簽約、平均合約約 </t>
    </r>
    <r>
      <rPr>
        <sz val="9"/>
        <color rgb="FF595959"/>
        <rFont val="Arial"/>
        <family val="0"/>
        <charset val="1"/>
      </rPr>
      <t xml:space="preserve">2.5 </t>
    </r>
    <r>
      <rPr>
        <sz val="9"/>
        <color rgb="FF595959"/>
        <rFont val="WenQuanYi Zen Hei"/>
        <family val="2"/>
      </rPr>
      <t xml:space="preserve">年；每 </t>
    </r>
    <r>
      <rPr>
        <sz val="9"/>
        <color rgb="FF595959"/>
        <rFont val="Arial"/>
        <family val="0"/>
        <charset val="1"/>
      </rPr>
      <t xml:space="preserve">MW 2.38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(Q2 </t>
    </r>
    <r>
      <rPr>
        <sz val="9"/>
        <color rgb="FF595959"/>
        <rFont val="WenQuanYi Zen Hei"/>
        <family val="2"/>
      </rPr>
      <t xml:space="preserve">託管營收 </t>
    </r>
    <r>
      <rPr>
        <sz val="9"/>
        <color rgb="FF595959"/>
        <rFont val="Arial"/>
        <family val="0"/>
        <charset val="1"/>
      </rPr>
      <t xml:space="preserve">4.726 − MTL-3 2.94) × 4 ÷ 3 [Derived]</t>
    </r>
    <r>
      <rPr>
        <sz val="9"/>
        <color rgb="FF595959"/>
        <rFont val="WenQuanYi Zen Hei"/>
        <family val="2"/>
      </rPr>
      <t xml:space="preserve">；到期以同價續約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</si>
  <si>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WenQuanYi Zen Hei"/>
        <family val="2"/>
      </rPr>
      <t xml:space="preserve">家客戶）｜建置起（年）／建置訖（年）／隨延誤後移／已簽約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</si>
  <si>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WenQuanYi Zen Hei"/>
        <family val="2"/>
      </rPr>
      <t xml:space="preserve">家客戶）｜情境（保守／基準／積極；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</si>
  <si>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WenQuanYi Zen Hei"/>
        <family val="2"/>
      </rPr>
      <t xml:space="preserve">家客戶）｜營收（模型期）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</si>
  <si>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14 </t>
    </r>
    <r>
      <rPr>
        <sz val="10"/>
        <rFont val="WenQuanYi Zen Hei"/>
        <family val="2"/>
      </rPr>
      <t xml:space="preserve">家客戶）｜建置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</si>
  <si>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</si>
  <si>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毛／</t>
    </r>
    <r>
      <rPr>
        <sz val="9"/>
        <color rgb="FF595959"/>
        <rFont val="Arial"/>
        <family val="0"/>
        <charset val="1"/>
      </rPr>
      <t xml:space="preserve">3 IT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Q3 </t>
    </r>
    <r>
      <rPr>
        <sz val="9"/>
        <color rgb="FF595959"/>
        <rFont val="WenQuanYi Zen Hei"/>
        <family val="2"/>
      </rPr>
      <t xml:space="preserve">啟動初期施工、目標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年底完工；建置估 </t>
    </r>
    <r>
      <rPr>
        <sz val="9"/>
        <color rgb="FF595959"/>
        <rFont val="Arial"/>
        <family val="0"/>
        <charset val="1"/>
      </rPr>
      <t xml:space="preserve">23.6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）；客戶未定 → 租金取可比區間中點 </t>
    </r>
    <r>
      <rPr>
        <sz val="9"/>
        <color rgb="FF595959"/>
        <rFont val="Arial"/>
        <family val="0"/>
        <charset val="1"/>
      </rPr>
      <t xml:space="preserve">1.85 [Analogy]</t>
    </r>
    <r>
      <rPr>
        <sz val="9"/>
        <color rgb="FF595959"/>
        <rFont val="WenQuanYi Zen Hei"/>
        <family val="2"/>
      </rPr>
      <t xml:space="preserve">；保守情境不納入（未簽約）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</si>
  <si>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年底）｜建置起（年）／建置訖（年）／隨延誤後移／已簽約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</si>
  <si>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</si>
  <si>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年底）｜營收（模型期）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</si>
  <si>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MTL-2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MW-IT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年底）｜建置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</si>
  <si>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</si>
  <si>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Duke </t>
    </r>
    <r>
      <rPr>
        <sz val="9"/>
        <color rgb="FF595959"/>
        <rFont val="WenQuanYi Zen Hei"/>
        <family val="2"/>
      </rPr>
      <t xml:space="preserve">容量協議下一批 </t>
    </r>
    <r>
      <rPr>
        <sz val="9"/>
        <color rgb="FF595959"/>
        <rFont val="Arial"/>
        <family val="0"/>
        <charset val="1"/>
      </rPr>
      <t xml:space="preserve">45 </t>
    </r>
    <r>
      <rPr>
        <sz val="9"/>
        <color rgb="FF595959"/>
        <rFont val="WenQuanYi Zen Hei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÷1.35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33.33 MW-IT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Nscale </t>
    </r>
    <r>
      <rPr>
        <sz val="9"/>
        <color rgb="FF595959"/>
        <rFont val="WenQuanYi Zen Hei"/>
        <family val="2"/>
      </rPr>
      <t xml:space="preserve">有優先權）；</t>
    </r>
    <r>
      <rPr>
        <sz val="9"/>
        <color rgb="FF595959"/>
        <rFont val="Arial"/>
        <family val="0"/>
        <charset val="1"/>
      </rPr>
      <t xml:space="preserve">2028-01 </t>
    </r>
    <r>
      <rPr>
        <sz val="9"/>
        <color rgb="FF595959"/>
        <rFont val="WenQuanYi Zen Hei"/>
        <family val="2"/>
      </rPr>
      <t xml:space="preserve">起租（評價日後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WenQuanYi Zen Hei"/>
        <family val="2"/>
      </rPr>
      <t xml:space="preserve">年，對照表「</t>
    </r>
    <r>
      <rPr>
        <sz val="9"/>
        <color rgb="FF595959"/>
        <rFont val="Arial"/>
        <family val="0"/>
        <charset val="1"/>
      </rPr>
      <t xml:space="preserve">2027–28 </t>
    </r>
    <r>
      <rPr>
        <sz val="9"/>
        <color rgb="FF595959"/>
        <rFont val="WenQuanYi Zen Hei"/>
        <family val="2"/>
      </rPr>
      <t xml:space="preserve">起租」）；租金 </t>
    </r>
    <r>
      <rPr>
        <sz val="9"/>
        <color rgb="FF595959"/>
        <rFont val="Arial"/>
        <family val="0"/>
        <charset val="1"/>
      </rPr>
      <t xml:space="preserve">1.85</t>
    </r>
    <r>
      <rPr>
        <sz val="9"/>
        <color rgb="FF595959"/>
        <rFont val="WenQuanYi Zen Hei"/>
        <family val="2"/>
      </rPr>
      <t xml:space="preserve">（可比區間中點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）；建置 </t>
    </r>
    <r>
      <rPr>
        <sz val="9"/>
        <color rgb="FF595959"/>
        <rFont val="Arial"/>
        <family val="0"/>
        <charset val="1"/>
      </rPr>
      <t xml:space="preserve">11.5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9.0–13.5 [Analogy]</t>
    </r>
    <r>
      <rPr>
        <sz val="9"/>
        <color rgb="FF595959"/>
        <rFont val="WenQuanYi Zen Hei"/>
        <family val="2"/>
      </rPr>
      <t xml:space="preserve">）於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年支出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</si>
  <si>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WenQuanYi Zen Hei"/>
        <family val="2"/>
      </rPr>
      <t xml:space="preserve">）｜建置起（年）／建置訖（年）／隨延誤後移／已簽約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</si>
  <si>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WenQuanYi Zen Hei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</si>
  <si>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WenQuanYi Zen Hei"/>
        <family val="2"/>
      </rPr>
      <t xml:space="preserve">）｜營收（模型期）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</si>
  <si>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下一批（</t>
    </r>
    <r>
      <rPr>
        <sz val="10"/>
        <rFont val="Arial"/>
        <family val="0"/>
        <charset val="1"/>
      </rPr>
      <t xml:space="preserve">45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÷ 1.35</t>
    </r>
    <r>
      <rPr>
        <sz val="10"/>
        <rFont val="WenQuanYi Zen Hei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</si>
  <si>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</si>
  <si>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北卡 </t>
    </r>
    <r>
      <rPr>
        <sz val="9"/>
        <color rgb="FF595959"/>
        <rFont val="Arial"/>
        <family val="0"/>
        <charset val="1"/>
      </rPr>
      <t xml:space="preserve">Yadkin County </t>
    </r>
    <r>
      <rPr>
        <sz val="9"/>
        <color rgb="FF595959"/>
        <rFont val="WenQuanYi Zen Hei"/>
        <family val="2"/>
      </rPr>
      <t xml:space="preserve">兩處（買賣協議 </t>
    </r>
    <r>
      <rPr>
        <sz val="9"/>
        <color rgb="FF595959"/>
        <rFont val="Arial"/>
        <family val="0"/>
        <charset val="1"/>
      </rPr>
      <t xml:space="preserve">60.0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 Q4 </t>
    </r>
    <r>
      <rPr>
        <sz val="9"/>
        <color rgb="FF595959"/>
        <rFont val="WenQuanYi Zen Hei"/>
        <family val="2"/>
      </rPr>
      <t xml:space="preserve">交割、</t>
    </r>
    <r>
      <rPr>
        <sz val="9"/>
        <color rgb="FF595959"/>
        <rFont val="Arial"/>
        <family val="0"/>
        <charset val="1"/>
      </rPr>
      <t xml:space="preserve">2027 Q3 RFS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WenQuanYi Zen Hei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起、最多 </t>
    </r>
    <r>
      <rPr>
        <sz val="9"/>
        <color rgb="FF595959"/>
        <rFont val="Arial"/>
        <family val="0"/>
        <charset val="1"/>
      </rPr>
      <t xml:space="preserve">198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44.44 MW-IT</t>
    </r>
    <r>
      <rPr>
        <sz val="9"/>
        <color rgb="FF595959"/>
        <rFont val="WenQuanYi Zen Hei"/>
        <family val="2"/>
      </rPr>
      <t xml:space="preserve">；租金 </t>
    </r>
    <r>
      <rPr>
        <sz val="9"/>
        <color rgb="FF595959"/>
        <rFont val="Arial"/>
        <family val="0"/>
        <charset val="1"/>
      </rPr>
      <t xml:space="preserve">1.85 [Analogy]</t>
    </r>
    <r>
      <rPr>
        <sz val="9"/>
        <color rgb="FF595959"/>
        <rFont val="WenQuanYi Zen Hei"/>
        <family val="2"/>
      </rPr>
      <t xml:space="preserve">；資本支出＝土地 </t>
    </r>
    <r>
      <rPr>
        <sz val="9"/>
        <color rgb="FF595959"/>
        <rFont val="Arial"/>
        <family val="0"/>
        <charset val="1"/>
      </rPr>
      <t xml:space="preserve">60.0</t>
    </r>
    <r>
      <rPr>
        <sz val="9"/>
        <color rgb="FF595959"/>
        <rFont val="WenQuanYi Zen Hei"/>
        <family val="2"/>
      </rPr>
      <t xml:space="preserve">＋建置 </t>
    </r>
    <r>
      <rPr>
        <sz val="9"/>
        <color rgb="FF595959"/>
        <rFont val="Arial"/>
        <family val="0"/>
        <charset val="1"/>
      </rPr>
      <t xml:space="preserve">11.5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；只放積極（審查留言第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條）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</si>
  <si>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WenQuanYi Zen Hei"/>
        <family val="2"/>
      </rPr>
      <t xml:space="preserve">）｜建置起（年）／建置訖（年）／隨延誤後移／已簽約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</si>
  <si>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WenQuanYi Zen Hei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</si>
  <si>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WenQuanYi Zen Hei"/>
        <family val="2"/>
      </rPr>
      <t xml:space="preserve">）｜營收（模型期）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</si>
  <si>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 </t>
    </r>
    <r>
      <rPr>
        <sz val="10"/>
        <rFont val="Arial"/>
        <family val="0"/>
        <charset val="1"/>
      </rPr>
      <t xml:space="preserve">÷ 1.35</t>
    </r>
    <r>
      <rPr>
        <sz val="10"/>
        <rFont val="WenQuanYi Zen Hei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</si>
  <si>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</si>
  <si>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長期毛容量約 </t>
    </r>
    <r>
      <rPr>
        <sz val="9"/>
        <color rgb="FF595959"/>
        <rFont val="Arial"/>
        <family val="0"/>
        <charset val="1"/>
      </rPr>
      <t xml:space="preserve">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）／約 </t>
    </r>
    <r>
      <rPr>
        <sz val="9"/>
        <color rgb="FF595959"/>
        <rFont val="Arial"/>
        <family val="0"/>
        <charset val="1"/>
      </rPr>
      <t xml:space="preserve">300</t>
    </r>
    <r>
      <rPr>
        <sz val="9"/>
        <color rgb="FF595959"/>
        <rFont val="WenQuanYi Zen Hei"/>
        <family val="2"/>
      </rPr>
      <t xml:space="preserve">（法說）：積極情境擴至約 </t>
    </r>
    <r>
      <rPr>
        <sz val="9"/>
        <color rgb="FF595959"/>
        <rFont val="Arial"/>
        <family val="0"/>
        <charset val="1"/>
      </rPr>
      <t xml:space="preserve">300 </t>
    </r>
    <r>
      <rPr>
        <sz val="9"/>
        <color rgb="FF595959"/>
        <rFont val="WenQuanYi Zen Hei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的第一段（＋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WenQuanYi Zen Hei"/>
        <family val="2"/>
      </rPr>
      <t xml:space="preserve">毛，</t>
    </r>
    <r>
      <rPr>
        <sz val="9"/>
        <color rgb="FF595959"/>
        <rFont val="Arial"/>
        <family val="0"/>
        <charset val="1"/>
      </rPr>
      <t xml:space="preserve">2029-01 </t>
    </r>
    <r>
      <rPr>
        <sz val="9"/>
        <color rgb="FF595959"/>
        <rFont val="WenQuanYi Zen Hei"/>
        <family val="2"/>
      </rPr>
      <t xml:space="preserve">起租）</t>
    </r>
    <r>
      <rPr>
        <sz val="9"/>
        <color rgb="FF595959"/>
        <rFont val="Arial"/>
        <family val="0"/>
        <charset val="1"/>
      </rPr>
      <t xml:space="preserve">[Interested-party </t>
    </r>
    <r>
      <rPr>
        <sz val="9"/>
        <color rgb="FF595959"/>
        <rFont val="WenQuanYi Zen Hei"/>
        <family val="2"/>
      </rPr>
      <t xml:space="preserve">目標／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時程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WenQuanYi Zen Hei"/>
        <family val="2"/>
      </rPr>
      <t xml:space="preserve">；只放積極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</si>
  <si>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）｜建置起（年）／建置訖（年）／隨延誤後移／已簽約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</si>
  <si>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</si>
  <si>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）｜營收（模型期）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</si>
  <si>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100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</si>
  <si>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WenQuanYi Zen Hei"/>
        <family val="2"/>
      </rPr>
      <t xml:space="preserve">毛）｜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</si>
  <si>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同上第二段（＋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WenQuanYi Zen Hei"/>
        <family val="2"/>
      </rPr>
      <t xml:space="preserve">毛，</t>
    </r>
    <r>
      <rPr>
        <sz val="9"/>
        <color rgb="FF595959"/>
        <rFont val="Arial"/>
        <family val="0"/>
        <charset val="1"/>
      </rPr>
      <t xml:space="preserve">2030-01 </t>
    </r>
    <r>
      <rPr>
        <sz val="9"/>
        <color rgb="FF595959"/>
        <rFont val="WenQuanYi Zen Hei"/>
        <family val="2"/>
      </rPr>
      <t xml:space="preserve">起租）；只放積極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</si>
  <si>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WenQuanYi Zen Hei"/>
        <family val="2"/>
      </rPr>
      <t xml:space="preserve">毛）｜建置起（年）／建置訖（年）／隨延誤後移／已簽約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</si>
  <si>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WenQuanYi Zen Hei"/>
        <family val="2"/>
      </rPr>
      <t xml:space="preserve">毛）｜情境（保守／基準／積極；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</si>
  <si>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WenQuanYi Zen Hei"/>
        <family val="2"/>
      </rPr>
      <t xml:space="preserve">毛）｜營收（模型期）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</si>
  <si>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擴建 </t>
    </r>
    <r>
      <rPr>
        <sz val="10"/>
        <rFont val="Arial"/>
        <family val="0"/>
        <charset val="1"/>
      </rPr>
      <t xml:space="preserve">B</t>
    </r>
    <r>
      <rPr>
        <sz val="10"/>
        <rFont val="WenQuanYi Zen Hei"/>
        <family val="2"/>
      </rPr>
      <t xml:space="preserve">（＋</t>
    </r>
    <r>
      <rPr>
        <sz val="10"/>
        <rFont val="Arial"/>
        <family val="0"/>
        <charset val="1"/>
      </rPr>
      <t xml:space="preserve">101 </t>
    </r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，至約 </t>
    </r>
    <r>
      <rPr>
        <sz val="10"/>
        <rFont val="Arial"/>
        <family val="0"/>
        <charset val="1"/>
      </rPr>
      <t xml:space="preserve">300 </t>
    </r>
    <r>
      <rPr>
        <sz val="10"/>
        <rFont val="WenQuanYi Zen Hei"/>
        <family val="2"/>
      </rPr>
      <t xml:space="preserve">毛）｜建置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</si>
  <si>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WenQuanYi Zen Hei"/>
        <family val="2"/>
      </rPr>
      <t xml:space="preserve">，口徑不明）｜</t>
    </r>
    <r>
      <rPr>
        <sz val="10"/>
        <rFont val="Arial"/>
        <family val="0"/>
        <charset val="1"/>
      </rPr>
      <t xml:space="preserve">IT MW</t>
    </r>
    <r>
      <rPr>
        <sz val="10"/>
        <rFont val="WenQuanYi Zen Hei"/>
        <family val="2"/>
      </rPr>
      <t xml:space="preserve">／起租（年）／第一年租金（</t>
    </r>
    <r>
      <rPr>
        <sz val="10"/>
        <rFont val="Arial"/>
        <family val="0"/>
        <charset val="1"/>
      </rPr>
      <t xml:space="preserve">US$m/MW</t>
    </r>
    <r>
      <rPr>
        <sz val="10"/>
        <rFont val="WenQuanYi Zen Hei"/>
        <family val="2"/>
      </rPr>
      <t xml:space="preserve">）／年調／建置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</si>
  <si>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法說二手摘要：</t>
    </r>
    <r>
      <rPr>
        <sz val="9"/>
        <color rgb="FF595959"/>
        <rFont val="Arial"/>
        <family val="0"/>
        <charset val="1"/>
      </rPr>
      <t xml:space="preserve">Krambu 100 MW </t>
    </r>
    <r>
      <rPr>
        <sz val="9"/>
        <color rgb="FF595959"/>
        <rFont val="WenQuanYi Zen Hei"/>
        <family val="2"/>
      </rPr>
      <t xml:space="preserve">液冷託管獨家使用權（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WenQuanYi Zen Hei"/>
        <family val="2"/>
      </rPr>
      <t xml:space="preserve">起）；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與簡報未提、條件與價格未揭露、口徑不明 → 以 </t>
    </r>
    <r>
      <rPr>
        <sz val="9"/>
        <color rgb="FF595959"/>
        <rFont val="Arial"/>
        <family val="0"/>
        <charset val="1"/>
      </rPr>
      <t xml:space="preserve">100 </t>
    </r>
    <r>
      <rPr>
        <sz val="9"/>
        <color rgb="FF595959"/>
        <rFont val="WenQuanYi Zen Hei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 ÷1.35</t>
    </r>
    <r>
      <rPr>
        <sz val="9"/>
        <color rgb="FF595959"/>
        <rFont val="WenQuanYi Zen Hei"/>
        <family val="2"/>
      </rPr>
      <t xml:space="preserve">、自建同口徑（租金 </t>
    </r>
    <r>
      <rPr>
        <sz val="9"/>
        <color rgb="FF595959"/>
        <rFont val="Arial"/>
        <family val="0"/>
        <charset val="1"/>
      </rPr>
      <t xml:space="preserve">1.85</t>
    </r>
    <r>
      <rPr>
        <sz val="9"/>
        <color rgb="FF595959"/>
        <rFont val="WenQuanYi Zen Hei"/>
        <family val="2"/>
      </rPr>
      <t xml:space="preserve">、建置 </t>
    </r>
    <r>
      <rPr>
        <sz val="9"/>
        <color rgb="FF595959"/>
        <rFont val="Arial"/>
        <family val="0"/>
        <charset val="1"/>
      </rPr>
      <t xml:space="preserve">11.5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）建模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；只放積極並標註（審查留言第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條）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</si>
  <si>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WenQuanYi Zen Hei"/>
        <family val="2"/>
      </rPr>
      <t xml:space="preserve">，口徑不明）｜建置起（年）／建置訖（年）／隨延誤後移／已簽約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</si>
  <si>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WenQuanYi Zen Hei"/>
        <family val="2"/>
      </rPr>
      <t xml:space="preserve">，口徑不明）｜情境（保守／基準／積極；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＝納入）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</si>
  <si>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WenQuanYi Zen Hei"/>
        <family val="2"/>
      </rPr>
      <t xml:space="preserve">，口徑不明）｜營收（模型期）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</si>
  <si>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100 MW</t>
    </r>
    <r>
      <rPr>
        <sz val="10"/>
        <rFont val="WenQuanYi Zen Hei"/>
        <family val="2"/>
      </rPr>
      <t xml:space="preserve">，口徑不明）｜建置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</si>
  <si>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t xml:space="preserve">託管營收（站點合計）</t>
  </si>
  <si>
    <t xml:space="preserve">各站點營收合計（併入第二分部營收）</t>
  </si>
  <si>
    <r>
      <rPr>
        <sz val="10"/>
        <rFont val="WenQuanYi Zen Hei"/>
        <family val="2"/>
      </rPr>
      <t xml:space="preserve">託管建置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（站點合計）</t>
    </r>
  </si>
  <si>
    <r>
      <rPr>
        <sz val="9"/>
        <color rgb="FF595959"/>
        <rFont val="WenQuanYi Zen Hei"/>
        <family val="2"/>
      </rPr>
      <t xml:space="preserve">併入毛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區）與託管 </t>
    </r>
    <r>
      <rPr>
        <sz val="9"/>
        <color rgb="FF595959"/>
        <rFont val="Arial"/>
        <family val="0"/>
        <charset val="1"/>
      </rPr>
      <t xml:space="preserve">PP&amp;E</t>
    </r>
  </si>
  <si>
    <r>
      <rPr>
        <sz val="10"/>
        <rFont val="WenQuanYi Zen Hei"/>
        <family val="2"/>
      </rPr>
      <t xml:space="preserve">託管期初 </t>
    </r>
    <r>
      <rPr>
        <sz val="10"/>
        <rFont val="Arial"/>
        <family val="0"/>
        <charset val="1"/>
      </rPr>
      <t xml:space="preserve">PP&amp;E</t>
    </r>
    <r>
      <rPr>
        <sz val="10"/>
        <rFont val="WenQuanYi Zen Hei"/>
        <family val="2"/>
      </rPr>
      <t xml:space="preserve">（建物折舊基礎）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</si>
  <si>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託管設備帳面淨額（含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在建工程）</t>
    </r>
    <r>
      <rPr>
        <sz val="9"/>
        <color rgb="FF595959"/>
        <rFont val="Arial"/>
        <family val="0"/>
        <charset val="1"/>
      </rPr>
      <t xml:space="preserve">556.3 [Interested-party]</t>
    </r>
  </si>
  <si>
    <t xml:space="preserve">託管建物折舊年限</t>
  </si>
  <si>
    <r>
      <rPr>
        <sz val="9"/>
        <color rgb="FF595959"/>
        <rFont val="WenQuanYi Zen Hei"/>
        <family val="2"/>
      </rPr>
      <t xml:space="preserve">對照表預設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WenQuanYi Zen Hei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15–30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10-K 30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vs 10-Q 20–25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</si>
  <si>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託管期初 </t>
    </r>
    <r>
      <rPr>
        <sz val="10"/>
        <rFont val="Arial"/>
        <family val="0"/>
        <charset val="1"/>
      </rPr>
      <t xml:space="preserve">PP&amp;E</t>
    </r>
    <r>
      <rPr>
        <sz val="10"/>
        <rFont val="WenQuanYi Zen Hei"/>
        <family val="2"/>
      </rPr>
      <t xml:space="preserve">（各期）</t>
    </r>
  </si>
  <si>
    <t xml:space="preserve">＝前期期初＋前期託管建置</t>
  </si>
  <si>
    <r>
      <rPr>
        <sz val="10"/>
        <rFont val="WenQuanYi Zen Hei"/>
        <family val="2"/>
      </rPr>
      <t xml:space="preserve">託管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（建物）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</si>
  <si>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期初託管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＋本期建置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WenQuanYi Zen Hei"/>
        <family val="2"/>
      </rPr>
      <t xml:space="preserve">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期間長度；併入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（與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車隊折舊分列）</t>
    </r>
  </si>
  <si>
    <t xml:space="preserve">託管｜對照：已簽約站點營收（模型）</t>
  </si>
  <si>
    <r>
      <rPr>
        <sz val="9"/>
        <color rgb="FF595959"/>
        <rFont val="WenQuanYi Zen Hei"/>
        <family val="2"/>
      </rPr>
      <t xml:space="preserve">已簽約站點（</t>
    </r>
    <r>
      <rPr>
        <sz val="9"/>
        <color rgb="FF595959"/>
        <rFont val="Arial"/>
        <family val="0"/>
        <charset val="1"/>
      </rPr>
      <t xml:space="preserve">NC-1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MTL-3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MTL-1</t>
    </r>
    <r>
      <rPr>
        <sz val="9"/>
        <color rgb="FF595959"/>
        <rFont val="WenQuanYi Zen Hei"/>
        <family val="2"/>
      </rPr>
      <t xml:space="preserve">）模型營收；只作對照</t>
    </r>
  </si>
  <si>
    <r>
      <rPr>
        <sz val="10"/>
        <rFont val="WenQuanYi Zen Hei"/>
        <family val="2"/>
      </rPr>
      <t xml:space="preserve">託管｜對照：季報託管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（年度分布）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</si>
  <si>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RPO 932.9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 </t>
    </r>
    <r>
      <rPr>
        <sz val="9"/>
        <color rgb="FF595959"/>
        <rFont val="Arial"/>
        <family val="0"/>
        <charset val="1"/>
      </rPr>
      <t xml:space="preserve">36.1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2027 93.5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2028 94.8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2029 95.3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2030 94.0</t>
    </r>
    <r>
      <rPr>
        <sz val="9"/>
        <color rgb="FF595959"/>
        <rFont val="WenQuanYi Zen Hei"/>
        <family val="2"/>
      </rPr>
      <t xml:space="preserve">、其後 </t>
    </r>
    <r>
      <rPr>
        <sz val="9"/>
        <color rgb="FF595959"/>
        <rFont val="Arial"/>
        <family val="0"/>
        <charset val="1"/>
      </rPr>
      <t xml:space="preserve">519.2</t>
    </r>
    <r>
      <rPr>
        <sz val="9"/>
        <color rgb="FF595959"/>
        <rFont val="WenQuanYi Zen Hei"/>
        <family val="2"/>
      </rPr>
      <t xml:space="preserve">（不含轉嫁電費等變動對價）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</si>
  <si>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託管｜對照：模型 − </t>
    </r>
    <r>
      <rPr>
        <sz val="10"/>
        <rFont val="Arial"/>
        <family val="0"/>
        <charset val="1"/>
      </rPr>
      <t xml:space="preserve">RPO</t>
    </r>
  </si>
  <si>
    <r>
      <rPr>
        <sz val="9"/>
        <color rgb="FF595959"/>
        <rFont val="WenQuanYi Zen Hei"/>
        <family val="2"/>
      </rPr>
      <t xml:space="preserve">差額來自 </t>
    </r>
    <r>
      <rPr>
        <sz val="9"/>
        <color rgb="FF595959"/>
        <rFont val="Arial"/>
        <family val="0"/>
        <charset val="1"/>
      </rPr>
      <t xml:space="preserve">NRC</t>
    </r>
    <r>
      <rPr>
        <sz val="9"/>
        <color rgb="FF595959"/>
        <rFont val="WenQuanYi Zen Hei"/>
        <family val="2"/>
      </rPr>
      <t xml:space="preserve">、計費起點、年調計法與 </t>
    </r>
    <r>
      <rPr>
        <sz val="9"/>
        <color rgb="FF595959"/>
        <rFont val="Arial"/>
        <family val="0"/>
        <charset val="1"/>
      </rPr>
      <t xml:space="preserve">MTL-1 </t>
    </r>
    <r>
      <rPr>
        <sz val="9"/>
        <color rgb="FF595959"/>
        <rFont val="WenQuanYi Zen Hei"/>
        <family val="2"/>
      </rPr>
      <t xml:space="preserve">短約；不回推租金</t>
    </r>
  </si>
  <si>
    <t xml:space="preserve">託管營收（模型期）</t>
  </si>
  <si>
    <t xml:space="preserve">各線合計（含託管站點；下游引用此列）</t>
  </si>
  <si>
    <r>
      <rPr>
        <sz val="10"/>
        <rFont val="WenQuanYi Zen Hei"/>
        <family val="2"/>
      </rPr>
      <t xml:space="preserve">託管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</si>
  <si>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託管分部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率（審查留言第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條）：起點＝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託管分部毛利 </t>
    </r>
    <r>
      <rPr>
        <sz val="9"/>
        <color rgb="FF595959"/>
        <rFont val="Arial"/>
        <family val="0"/>
        <charset val="1"/>
      </rPr>
      <t xml:space="preserve">3.005 ÷ </t>
    </r>
    <r>
      <rPr>
        <sz val="9"/>
        <color rgb="FF595959"/>
        <rFont val="WenQuanYi Zen Hei"/>
        <family val="2"/>
      </rPr>
      <t xml:space="preserve">分部營收 </t>
    </r>
    <r>
      <rPr>
        <sz val="9"/>
        <color rgb="FF595959"/>
        <rFont val="Arial"/>
        <family val="0"/>
        <charset val="1"/>
      </rPr>
      <t xml:space="preserve">4.752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63.2%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WenQuanYi Zen Hei"/>
        <family val="2"/>
      </rPr>
      <t xml:space="preserve">；站點層級）扣分攤 </t>
    </r>
    <r>
      <rPr>
        <sz val="9"/>
        <color rgb="FF595959"/>
        <rFont val="Arial"/>
        <family val="0"/>
        <charset val="1"/>
      </rPr>
      <t xml:space="preserve">G&amp;A</t>
    </r>
    <r>
      <rPr>
        <sz val="9"/>
        <color rgb="FF595959"/>
        <rFont val="WenQuanYi Zen Hei"/>
        <family val="2"/>
      </rPr>
      <t xml:space="preserve">：經常性現金 </t>
    </r>
    <r>
      <rPr>
        <sz val="9"/>
        <color rgb="FF595959"/>
        <rFont val="Arial"/>
        <family val="0"/>
        <charset val="1"/>
      </rPr>
      <t xml:space="preserve">G&amp;A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14.811 − SBC 3.671 − </t>
    </r>
    <r>
      <rPr>
        <sz val="9"/>
        <color rgb="FF595959"/>
        <rFont val="WenQuanYi Zen Hei"/>
        <family val="2"/>
      </rPr>
      <t xml:space="preserve">呆帳 </t>
    </r>
    <r>
      <rPr>
        <sz val="9"/>
        <color rgb="FF595959"/>
        <rFont val="Arial"/>
        <family val="0"/>
        <charset val="1"/>
      </rPr>
      <t xml:space="preserve">2.2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8.94</t>
    </r>
    <r>
      <rPr>
        <sz val="9"/>
        <color rgb="FF595959"/>
        <rFont val="WenQuanYi Zen Hei"/>
        <family val="2"/>
      </rPr>
      <t xml:space="preserve">／季）依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經常性營收占比 </t>
    </r>
    <r>
      <rPr>
        <sz val="9"/>
        <color rgb="FF595959"/>
        <rFont val="Arial"/>
        <family val="0"/>
        <charset val="1"/>
      </rPr>
      <t xml:space="preserve">28.6% </t>
    </r>
    <r>
      <rPr>
        <sz val="9"/>
        <color rgb="FF595959"/>
        <rFont val="WenQuanYi Zen Hei"/>
        <family val="2"/>
      </rPr>
      <t xml:space="preserve">分攤＝</t>
    </r>
    <r>
      <rPr>
        <sz val="9"/>
        <color rgb="FF595959"/>
        <rFont val="Arial"/>
        <family val="0"/>
        <charset val="1"/>
      </rPr>
      <t xml:space="preserve">2.555</t>
    </r>
    <r>
      <rPr>
        <sz val="9"/>
        <color rgb="FF595959"/>
        <rFont val="WenQuanYi Zen Hei"/>
        <family val="2"/>
      </rPr>
      <t xml:space="preserve">／季，以 </t>
    </r>
    <r>
      <rPr>
        <sz val="9"/>
        <color rgb="FF595959"/>
        <rFont val="Arial"/>
        <family val="0"/>
        <charset val="1"/>
      </rPr>
      <t xml:space="preserve">2H26 </t>
    </r>
    <r>
      <rPr>
        <sz val="9"/>
        <color rgb="FF595959"/>
        <rFont val="WenQuanYi Zen Hei"/>
        <family val="2"/>
      </rPr>
      <t xml:space="preserve">託管營收規模（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全額計費約 </t>
    </r>
    <r>
      <rPr>
        <sz val="9"/>
        <color rgb="FF595959"/>
        <rFont val="Arial"/>
        <family val="0"/>
        <charset val="1"/>
      </rPr>
      <t xml:space="preserve">23.6</t>
    </r>
    <r>
      <rPr>
        <sz val="9"/>
        <color rgb="FF595959"/>
        <rFont val="WenQuanYi Zen Hei"/>
        <family val="2"/>
      </rPr>
      <t xml:space="preserve">／季）換算為 </t>
    </r>
    <r>
      <rPr>
        <sz val="9"/>
        <color rgb="FF595959"/>
        <rFont val="Arial"/>
        <family val="0"/>
        <charset val="1"/>
      </rPr>
      <t xml:space="preserve">10.8pt → </t>
    </r>
    <r>
      <rPr>
        <sz val="9"/>
        <color rgb="FF595959"/>
        <rFont val="WenQuanYi Zen Hei"/>
        <family val="2"/>
      </rPr>
      <t xml:space="preserve">起點 </t>
    </r>
    <r>
      <rPr>
        <sz val="9"/>
        <color rgb="FF595959"/>
        <rFont val="Arial"/>
        <family val="0"/>
        <charset val="1"/>
      </rPr>
      <t xml:space="preserve">52.2% [Derived]</t>
    </r>
    <r>
      <rPr>
        <sz val="9"/>
        <color rgb="FF595959"/>
        <rFont val="WenQuanYi Zen Hei"/>
        <family val="2"/>
      </rPr>
      <t xml:space="preserve">；穩態取 </t>
    </r>
    <r>
      <rPr>
        <sz val="9"/>
        <color rgb="FF595959"/>
        <rFont val="Arial"/>
        <family val="0"/>
        <charset val="1"/>
      </rPr>
      <t xml:space="preserve">[Analogy] </t>
    </r>
    <r>
      <rPr>
        <sz val="9"/>
        <color rgb="FF595959"/>
        <rFont val="WenQuanYi Zen Hei"/>
        <family val="2"/>
      </rPr>
      <t xml:space="preserve">區間中點 </t>
    </r>
    <r>
      <rPr>
        <sz val="9"/>
        <color rgb="FF595959"/>
        <rFont val="Arial"/>
        <family val="0"/>
        <charset val="1"/>
      </rPr>
      <t xml:space="preserve">65%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55%–80%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APLD Polaris Forge 1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NOI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500 ÷ </t>
    </r>
    <r>
      <rPr>
        <sz val="9"/>
        <color rgb="FF595959"/>
        <rFont val="WenQuanYi Zen Hei"/>
        <family val="2"/>
      </rPr>
      <t xml:space="preserve">年營收約 </t>
    </r>
    <r>
      <rPr>
        <sz val="9"/>
        <color rgb="FF595959"/>
        <rFont val="Arial"/>
        <family val="0"/>
        <charset val="1"/>
      </rPr>
      <t xml:space="preserve">733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68%</t>
    </r>
    <r>
      <rPr>
        <sz val="9"/>
        <color rgb="FF595959"/>
        <rFont val="WenQuanYi Zen Hei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[Interested-party] APLD FY26Q1 </t>
    </r>
    <r>
      <rPr>
        <sz val="9"/>
        <color rgb="FF595959"/>
        <rFont val="WenQuanYi Zen Hei"/>
        <family val="2"/>
      </rPr>
      <t xml:space="preserve">新聞稿〕、</t>
    </r>
    <r>
      <rPr>
        <sz val="9"/>
        <color rgb="FF595959"/>
        <rFont val="Arial"/>
        <family val="0"/>
        <charset val="1"/>
      </rPr>
      <t xml:space="preserve">Galaxy Helios </t>
    </r>
    <r>
      <rPr>
        <sz val="9"/>
        <color rgb="FF595959"/>
        <rFont val="WenQuanYi Zen Hei"/>
        <family val="2"/>
      </rPr>
      <t xml:space="preserve">租約層級調整後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90%+</t>
    </r>
    <r>
      <rPr>
        <sz val="9"/>
        <color rgb="FF595959"/>
        <rFont val="WenQuanYi Zen Hei"/>
        <family val="2"/>
      </rPr>
      <t xml:space="preserve">（不含總部費用，</t>
    </r>
    <r>
      <rPr>
        <sz val="9"/>
        <color rgb="FF595959"/>
        <rFont val="Arial"/>
        <family val="0"/>
        <charset val="1"/>
      </rPr>
      <t xml:space="preserve">[Interested-party] Galaxy 2026 Q2 </t>
    </r>
    <r>
      <rPr>
        <sz val="9"/>
        <color rgb="FF595959"/>
        <rFont val="WenQuanYi Zen Hei"/>
        <family val="2"/>
      </rPr>
      <t xml:space="preserve">簡報）、</t>
    </r>
    <r>
      <rPr>
        <sz val="9"/>
        <color rgb="FF595959"/>
        <rFont val="Arial"/>
        <family val="0"/>
        <charset val="1"/>
      </rPr>
      <t xml:space="preserve">WhiteFiber Q2 </t>
    </r>
    <r>
      <rPr>
        <sz val="9"/>
        <color rgb="FF595959"/>
        <rFont val="WenQuanYi Zen Hei"/>
        <family val="2"/>
      </rPr>
      <t xml:space="preserve">站點層級 </t>
    </r>
    <r>
      <rPr>
        <sz val="9"/>
        <color rgb="FF595959"/>
        <rFont val="Arial"/>
        <family val="0"/>
        <charset val="1"/>
      </rPr>
      <t xml:space="preserve">63%</t>
    </r>
    <r>
      <rPr>
        <sz val="9"/>
        <color rgb="FF595959"/>
        <rFont val="WenQuanYi Zen Hei"/>
        <family val="2"/>
      </rPr>
      <t xml:space="preserve">；扣總部費用後取 </t>
    </r>
    <r>
      <rPr>
        <sz val="9"/>
        <color rgb="FF595959"/>
        <rFont val="Arial"/>
        <family val="0"/>
        <charset val="1"/>
      </rPr>
      <t xml:space="preserve">55%–80%</t>
    </r>
    <r>
      <rPr>
        <sz val="9"/>
        <color rgb="FF595959"/>
        <rFont val="WenQuanYi Zen Hei"/>
        <family val="2"/>
      </rPr>
      <t xml:space="preserve">），線性走向 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</si>
  <si>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託管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</si>
  <si>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WenQuanYi Zen Hei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WenQuanYi Zen Hei"/>
        <family val="2"/>
      </rPr>
      <t xml:space="preserve">率；同時進入損益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與營運來源（現金稅另列）</t>
    </r>
  </si>
  <si>
    <r>
      <rPr>
        <sz val="10"/>
        <rFont val="WenQuanYi Zen Hei"/>
        <family val="2"/>
      </rPr>
      <t xml:space="preserve">託管｜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＋模型期 − 全年）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</si>
  <si>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</si>
  <si>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WenQuanYi Zen Hei"/>
        <family val="2"/>
      </rPr>
      <t xml:space="preserve">率單一來源；損益與資金共用）</t>
    </r>
  </si>
  <si>
    <r>
      <rPr>
        <sz val="10"/>
        <rFont val="WenQuanYi Zen Hei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</si>
  <si>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WenQuanYi Zen Hei"/>
        <family val="2"/>
      </rPr>
      <t xml:space="preserve">經常性雲端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率（扣終止費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租賃終止成本約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、呆帳 </t>
    </r>
    <r>
      <rPr>
        <sz val="9"/>
        <color rgb="FF595959"/>
        <rFont val="Arial"/>
        <family val="0"/>
        <charset val="1"/>
      </rPr>
      <t xml:space="preserve">2.2</t>
    </r>
    <r>
      <rPr>
        <sz val="9"/>
        <color rgb="FF595959"/>
        <rFont val="WenQuanYi Zen Hei"/>
        <family val="2"/>
      </rPr>
      <t xml:space="preserve">；扣託管分部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與其他營收後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經常性雲端營收 </t>
    </r>
    <r>
      <rPr>
        <sz val="9"/>
        <color rgb="FF595959"/>
        <rFont val="Arial"/>
        <family val="0"/>
        <charset val="1"/>
      </rPr>
      <t xml:space="preserve">11.506</t>
    </r>
    <r>
      <rPr>
        <sz val="9"/>
        <color rgb="FF595959"/>
        <rFont val="WenQuanYi Zen Hei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</si>
  <si>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</si>
  <si>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WenQuanYi Zen Hei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WenQuanYi Zen Hei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</si>
  <si>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WenQuanYi Zen Hei"/>
        <family val="2"/>
      </rPr>
      <t xml:space="preserve">基準情境租金占 雲端 營收（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</si>
  <si>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率校準：基準情境首期租金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雲端 營收，使基準情境起始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率維持上列值；</t>
    </r>
    <r>
      <rPr>
        <sz val="9"/>
        <color rgb="FF595959"/>
        <rFont val="Arial"/>
        <family val="0"/>
        <charset val="1"/>
      </rPr>
      <t xml:space="preserve">scripts/calib_ebitdar.js </t>
    </r>
    <r>
      <rPr>
        <sz val="9"/>
        <color rgb="FF595959"/>
        <rFont val="WenQuanYi Zen Hei"/>
        <family val="2"/>
      </rPr>
      <t xml:space="preserve">自基準情境計算（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WenQuanYi Zen Hei"/>
        <family val="2"/>
      </rPr>
      <t xml:space="preserve">檢查）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</si>
  <si>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基準情境租金占 雲端 營收（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</si>
  <si>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同上，基準情境末期；保守與積極用同一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率，因而承擔固定租金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</si>
  <si>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率（路徑）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</si>
  <si>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起始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率＋基準起點租金比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[(</t>
    </r>
    <r>
      <rPr>
        <sz val="9"/>
        <color rgb="FF595959"/>
        <rFont val="WenQuanYi Zen Hei"/>
        <family val="2"/>
      </rPr>
      <t xml:space="preserve">穩態＋基準穩態租金比</t>
    </r>
    <r>
      <rPr>
        <sz val="9"/>
        <color rgb="FF595959"/>
        <rFont val="Arial"/>
        <family val="0"/>
        <charset val="1"/>
      </rPr>
      <t xml:space="preserve">)−(</t>
    </r>
    <r>
      <rPr>
        <sz val="9"/>
        <color rgb="FF595959"/>
        <rFont val="WenQuanYi Zen Hei"/>
        <family val="2"/>
      </rPr>
      <t xml:space="preserve">起始＋基準起點租金比</t>
    </r>
    <r>
      <rPr>
        <sz val="9"/>
        <color rgb="FF595959"/>
        <rFont val="Arial"/>
        <family val="0"/>
        <charset val="1"/>
      </rPr>
      <t xml:space="preserve">)]×</t>
    </r>
    <r>
      <rPr>
        <sz val="9"/>
        <color rgb="FF595959"/>
        <rFont val="WenQuanYi Zen Hei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  <r>
      <rPr>
        <sz val="9"/>
        <color rgb="FF595959"/>
        <rFont val="WenQuanYi Zen Hei"/>
        <family val="2"/>
      </rPr>
      <t xml:space="preserve">（公式）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</si>
  <si>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</si>
  <si>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 − 租金合計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雲端 營收（公式；租金為固定成本，低營收情境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率較低）</t>
    </r>
  </si>
  <si>
    <t xml:space="preserve">非算力服務現金</t>
  </si>
  <si>
    <r>
      <rPr>
        <sz val="9"/>
        <color rgb="FF595959"/>
        <rFont val="WenQuanYi Zen Hei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WenQuanYi Zen Hei"/>
        <family val="2"/>
      </rPr>
      <t xml:space="preserve">率（公式）</t>
    </r>
  </si>
  <si>
    <r>
      <rPr>
        <b val="true"/>
        <sz val="10"/>
        <color rgb="FF1F3864"/>
        <rFont val="WenQuanYi Zen Hei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WenQuanYi Zen Hei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WenQuanYi Zen Hei"/>
        <family val="2"/>
      </rPr>
      <t xml:space="preserve">已含電費）</t>
    </r>
  </si>
  <si>
    <r>
      <rPr>
        <sz val="10"/>
        <rFont val="WenQuanYi Zen Hei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</si>
  <si>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</si>
  <si>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</si>
  <si>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</si>
  <si>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</si>
  <si>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</si>
  <si>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</si>
  <si>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WenQuanYi Zen Hei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</si>
  <si>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</si>
  <si>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WenQuanYi Zen Hei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</si>
  <si>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FY31 </t>
    </r>
    <r>
      <rPr>
        <sz val="10"/>
        <rFont val="WenQuanYi Zen Hei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預建用）</t>
    </r>
  </si>
  <si>
    <r>
      <rPr>
        <sz val="9"/>
        <color rgb="FF595959"/>
        <rFont val="WenQuanYi Zen Hei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WenQuanYi Zen Hei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</si>
  <si>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下限（已承諾）</t>
    </r>
  </si>
  <si>
    <t xml:space="preserve">全年指引下緣（公司未給資本支出指引（不適用））：當年支出多已下單</t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</si>
  <si>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經濟壽命（年）</t>
    </r>
  </si>
  <si>
    <r>
      <rPr>
        <sz val="9"/>
        <color rgb="FF595959"/>
        <rFont val="WenQuanYi Zen Hei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Tokenomics IF_DeprLifeIT</t>
    </r>
    <r>
      <rPr>
        <sz val="9"/>
        <color rgb="FF595959"/>
        <rFont val="WenQuanYi Zen Hei"/>
        <family val="2"/>
      </rPr>
      <t xml:space="preserve">（基準；</t>
    </r>
    <r>
      <rPr>
        <sz val="9"/>
        <color rgb="FF595959"/>
        <rFont val="Arial"/>
        <family val="0"/>
        <charset val="1"/>
      </rPr>
      <t xml:space="preserve">TK_DeprLifeIT_GB300</t>
    </r>
    <r>
      <rPr>
        <sz val="9"/>
        <color rgb="FF595959"/>
        <rFont val="WenQuanYi Zen Hei"/>
        <family val="2"/>
      </rPr>
      <t xml:space="preserve">）；公司伺服器與網通設備耐用年限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）與之相同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</si>
  <si>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基礎</t>
    </r>
  </si>
  <si>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：以 </t>
    </r>
    <r>
      <rPr>
        <sz val="9"/>
        <color rgb="FF595959"/>
        <rFont val="Arial"/>
        <family val="0"/>
        <charset val="1"/>
      </rPr>
      <t xml:space="preserve">Q2 D&amp;A 6.567 </t>
    </r>
    <r>
      <rPr>
        <sz val="9"/>
        <color rgb="FF595959"/>
        <rFont val="WenQuanYi Zen Hei"/>
        <family val="2"/>
      </rPr>
      <t xml:space="preserve">扣託管在役資產折舊約 </t>
    </r>
    <r>
      <rPr>
        <sz val="9"/>
        <color rgb="FF595959"/>
        <rFont val="Arial"/>
        <family val="0"/>
        <charset val="1"/>
      </rPr>
      <t xml:space="preserve">0.99</t>
    </r>
    <r>
      <rPr>
        <sz val="9"/>
        <color rgb="FF595959"/>
        <rFont val="WenQuanYi Zen Hei"/>
        <family val="2"/>
      </rPr>
      <t xml:space="preserve">（託管設備＋建物＋租賃改良毛額 </t>
    </r>
    <r>
      <rPr>
        <sz val="9"/>
        <color rgb="FF595959"/>
        <rFont val="Arial"/>
        <family val="0"/>
        <charset val="1"/>
      </rPr>
      <t xml:space="preserve">78.9 ÷ 20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WenQuanYi Zen Hei"/>
        <family val="2"/>
      </rPr>
      <t xml:space="preserve">）後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WenQuanYi Zen Hei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年校準＝</t>
    </r>
    <r>
      <rPr>
        <sz val="9"/>
        <color rgb="FF595959"/>
        <rFont val="Arial"/>
        <family val="0"/>
        <charset val="1"/>
      </rPr>
      <t xml:space="preserve">111.6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雲端設備毛額 </t>
    </r>
    <r>
      <rPr>
        <sz val="9"/>
        <color rgb="FF595959"/>
        <rFont val="Arial"/>
        <family val="0"/>
        <charset val="1"/>
      </rPr>
      <t xml:space="preserve">121.0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</si>
  <si>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建置成本倍數（整體）</t>
    </r>
  </si>
  <si>
    <r>
      <rPr>
        <sz val="9"/>
        <color rgb="FF595959"/>
        <rFont val="WenQuanYi Zen Hei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</si>
  <si>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租賃比例（新增 </t>
    </r>
    <r>
      <rPr>
        <sz val="10"/>
        <rFont val="Arial"/>
        <family val="0"/>
        <charset val="1"/>
      </rPr>
      <t xml:space="preserve">GPU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</si>
  <si>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（成長型與汰換）以租賃取得的比例；租賃部分不計資本支出、改計固定租金（</t>
    </r>
    <r>
      <rPr>
        <sz val="9"/>
        <color rgb="FF595959"/>
        <rFont val="Arial"/>
        <family val="0"/>
        <charset val="1"/>
      </rPr>
      <t xml:space="preserve">company.json → defaults.gpuLease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</si>
  <si>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年租金係數（年租金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設備成本）</t>
    </r>
  </si>
  <si>
    <r>
      <rPr>
        <sz val="9"/>
        <color rgb="FF595959"/>
        <rFont val="WenQuanYi Zen Hei"/>
        <family val="2"/>
      </rPr>
      <t xml:space="preserve">年金因子 </t>
    </r>
    <r>
      <rPr>
        <sz val="9"/>
        <color rgb="FF595959"/>
        <rFont val="Arial"/>
        <family val="0"/>
        <charset val="1"/>
      </rPr>
      <t xml:space="preserve">r ÷ (1 − (1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r)^−n)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 9.5%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</si>
  <si>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</t>
    </r>
  </si>
  <si>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Tokenomics IF_CapexIT</t>
    </r>
    <r>
      <rPr>
        <sz val="9"/>
        <color rgb="FF595959"/>
        <rFont val="WenQuanYi Zen Hei"/>
        <family val="2"/>
      </rPr>
      <t xml:space="preserve">｜世代（只含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；雲端機房以第三方承租取得，不用 </t>
    </r>
    <r>
      <rPr>
        <sz val="9"/>
        <color rgb="FF595959"/>
        <rFont val="Arial"/>
        <family val="0"/>
        <charset val="1"/>
      </rPr>
      <t xml:space="preserve">IF_CapexTotal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GB300 32.24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 US$m/MW-IT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寫死值 </t>
    </r>
    <r>
      <rPr>
        <sz val="9"/>
        <color rgb="FF595959"/>
        <rFont val="Arial"/>
        <family val="0"/>
        <charset val="1"/>
      </rPr>
      <t xml:space="preserve">37.45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37.59 </t>
    </r>
    <r>
      <rPr>
        <sz val="9"/>
        <color rgb="FF595959"/>
        <rFont val="WenQuanYi Zen Hei"/>
        <family val="2"/>
      </rPr>
      <t xml:space="preserve">見『每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收入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錨定』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區對照列</t>
    </r>
  </si>
  <si>
    <t xml:space="preserve">有預付的合約比例</t>
  </si>
  <si>
    <r>
      <rPr>
        <sz val="9"/>
        <color rgb="FF595959"/>
        <rFont val="WenQuanYi Zen Hei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WenQuanYi Zen Hei"/>
        <family val="2"/>
      </rPr>
      <t xml:space="preserve">）</t>
    </r>
  </si>
  <si>
    <t xml:space="preserve">預付占相關資本支出比</t>
  </si>
  <si>
    <r>
      <rPr>
        <sz val="9"/>
        <color rgb="FF595959"/>
        <rFont val="Arial"/>
        <family val="0"/>
        <charset val="1"/>
      </rPr>
      <t xml:space="preserve">WhiteFiber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客戶預付 </t>
    </r>
    <r>
      <rPr>
        <sz val="9"/>
        <color rgb="FF595959"/>
        <rFont val="Arial"/>
        <family val="0"/>
        <charset val="1"/>
      </rPr>
      <t xml:space="preserve">72.6 ÷ </t>
    </r>
    <r>
      <rPr>
        <sz val="9"/>
        <color rgb="FF595959"/>
        <rFont val="WenQuanYi Zen Hei"/>
        <family val="2"/>
      </rPr>
      <t xml:space="preserve">資本支出 </t>
    </r>
    <r>
      <rPr>
        <sz val="9"/>
        <color rgb="FF595959"/>
        <rFont val="Arial"/>
        <family val="0"/>
        <charset val="1"/>
      </rPr>
      <t xml:space="preserve">344.7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21.1%</t>
    </r>
    <r>
      <rPr>
        <sz val="9"/>
        <color rgb="FF595959"/>
        <rFont val="WenQuanYi Zen Hei"/>
        <family val="2"/>
      </rPr>
      <t xml:space="preserve">（含託管；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未分拆）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；敏感度 </t>
    </r>
    <r>
      <rPr>
        <sz val="9"/>
        <color rgb="FF595959"/>
        <rFont val="Arial"/>
        <family val="0"/>
        <charset val="1"/>
      </rPr>
      <t xml:space="preserve">±5pt</t>
    </r>
  </si>
  <si>
    <t xml:space="preserve">預付認列年數</t>
  </si>
  <si>
    <r>
      <rPr>
        <sz val="9"/>
        <color rgb="FF595959"/>
        <rFont val="WenQuanYi Zen Hei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</si>
  <si>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合約負債（客戶預付餘額）</t>
    </r>
  </si>
  <si>
    <r>
      <rPr>
        <sz val="9"/>
        <color rgb="FF595959"/>
        <rFont val="WenQuanYi Zen Hei"/>
        <family val="2"/>
      </rPr>
      <t xml:space="preserve">遞延營收（合約負債）</t>
    </r>
    <r>
      <rPr>
        <sz val="9"/>
        <color rgb="FF595959"/>
        <rFont val="Arial"/>
        <family val="0"/>
        <charset val="1"/>
      </rPr>
      <t xml:space="preserve">143.110</t>
    </r>
    <r>
      <rPr>
        <sz val="9"/>
        <color rgb="FF595959"/>
        <rFont val="WenQuanYi Zen Hei"/>
        <family val="2"/>
      </rPr>
      <t xml:space="preserve">：流動 </t>
    </r>
    <r>
      <rPr>
        <sz val="9"/>
        <color rgb="FF595959"/>
        <rFont val="Arial"/>
        <family val="0"/>
        <charset val="1"/>
      </rPr>
      <t xml:space="preserve">17.909</t>
    </r>
    <r>
      <rPr>
        <sz val="9"/>
        <color rgb="FF595959"/>
        <rFont val="WenQuanYi Zen Hei"/>
        <family val="2"/>
      </rPr>
      <t xml:space="preserve">、非流動 </t>
    </r>
    <r>
      <rPr>
        <sz val="9"/>
        <color rgb="FF595959"/>
        <rFont val="Arial"/>
        <family val="0"/>
        <charset val="1"/>
      </rPr>
      <t xml:space="preserve">125.201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）；未分託管與雲端；認列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年＝</t>
    </r>
    <r>
      <rPr>
        <sz val="9"/>
        <color rgb="FF595959"/>
        <rFont val="Arial"/>
        <family val="0"/>
        <charset val="1"/>
      </rPr>
      <t xml:space="preserve">143.110 ÷ 17.909 [Derived]</t>
    </r>
  </si>
  <si>
    <t xml:space="preserve">預付隱含利率（重大財務組成）</t>
  </si>
  <si>
    <r>
      <rPr>
        <sz val="9"/>
        <color rgb="FF595959"/>
        <rFont val="WenQuanYi Zen Hei"/>
        <family val="2"/>
      </rPr>
      <t xml:space="preserve">合約負債以此利率累積非現金利息，認列時轉營收（自營運現金扣除）、利息進損益不進現金；敏感度 </t>
    </r>
    <r>
      <rPr>
        <sz val="9"/>
        <color rgb="FF595959"/>
        <rFont val="Arial"/>
        <family val="0"/>
        <charset val="1"/>
      </rPr>
      <t xml:space="preserve">9.5%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defaults.prepay.note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</si>
  <si>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</si>
  <si>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</si>
  <si>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</si>
  <si>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WenQuanYi Zen Hei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5.76 [Verified]</t>
    </r>
  </si>
  <si>
    <t xml:space="preserve">未起租：期末累計季數（評價日起）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</si>
  <si>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WenQuanYi Zen Hei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</si>
  <si>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</si>
  <si>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WenQuanYi Zen Hei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</si>
  <si>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已承諾餘額出資</t>
    </r>
  </si>
  <si>
    <r>
      <rPr>
        <sz val="9"/>
        <color rgb="FF595959"/>
        <rFont val="WenQuanYi Zen Hei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WenQuanYi Zen Hei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</si>
  <si>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後續增資＋策略投資</t>
    </r>
  </si>
  <si>
    <r>
      <rPr>
        <sz val="9"/>
        <color rgb="FF595959"/>
        <rFont val="WenQuanYi Zen Hei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</si>
  <si>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</si>
  <si>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</si>
  <si>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WenQuanYi Zen Hei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</si>
  <si>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</si>
  <si>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WenQuanYi Zen Hei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5.5 MW</t>
    </r>
  </si>
  <si>
    <r>
      <rPr>
        <sz val="10"/>
        <rFont val="WenQuanYi Zen Hei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</si>
  <si>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</si>
  <si>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（公式）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</si>
  <si>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WenQuanYi Zen Hei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×λ)×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</si>
  <si>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成長型投資（自購＋租賃）</t>
    </r>
  </si>
  <si>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WenQuanYi Zen Hei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的總投資；自購部分＝下一列，租賃部分改計租金（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租賃列）</t>
    </r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</si>
  <si>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</si>
  <si>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全年公式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WenQuanYi Zen Hei"/>
        <family val="2"/>
      </rPr>
      <t xml:space="preserve">已認列（第一分部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WhiteFiber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資本支出幾乎全為託管，見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</si>
  <si>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WenQuanYi Zen Hei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</si>
  <si>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</si>
  <si>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</si>
  <si>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WenQuanYi Zen Hei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WenQuanYi Zen Hei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</si>
  <si>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不再增加或終值年）</t>
    </r>
  </si>
  <si>
    <r>
      <rPr>
        <sz val="9"/>
        <color rgb="FF595959"/>
        <rFont val="WenQuanYi Zen Hei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WenQuanYi Zen Hei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FY30</t>
    </r>
    <r>
      <rPr>
        <sz val="9"/>
        <color rgb="FF595959"/>
        <rFont val="WenQuanYi Zen Hei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</si>
  <si>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</si>
  <si>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WenQuanYi Zen Hei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時取穩態汰換，否則取批次汰換；只計自購部分（</t>
    </r>
    <r>
      <rPr>
        <sz val="9"/>
        <color rgb="FF595959"/>
        <rFont val="Arial"/>
        <family val="0"/>
        <charset val="1"/>
      </rPr>
      <t xml:space="preserve">×(1 − GPU </t>
    </r>
    <r>
      <rPr>
        <sz val="9"/>
        <color rgb="FF595959"/>
        <rFont val="WenQuanYi Zen Hei"/>
        <family val="2"/>
      </rPr>
      <t xml:space="preserve">租賃比例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；租賃部分由續租承擔）；汰換不增加折舊基礎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</si>
  <si>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租賃｜本期新增租賃設備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</si>
  <si>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成長型投資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租賃比例（</t>
    </r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</si>
  <si>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租賃｜期初累計租賃設備</t>
    </r>
  </si>
  <si>
    <t xml:space="preserve">＝前期期初＋前期新增（租約到期以同租金續租）</t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</si>
  <si>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租金（租賃設備）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</si>
  <si>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期初累計＋本期新增 </t>
    </r>
    <r>
      <rPr>
        <sz val="9"/>
        <color rgb="FF595959"/>
        <rFont val="Arial"/>
        <family val="0"/>
        <charset val="1"/>
      </rPr>
      <t xml:space="preserve">× ½) × </t>
    </r>
    <r>
      <rPr>
        <sz val="9"/>
        <color rgb="FF595959"/>
        <rFont val="WenQuanYi Zen Hei"/>
        <family val="2"/>
      </rPr>
      <t xml:space="preserve">年租金係數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期間長度；固定租金，進租金合計（扣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</si>
  <si>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</si>
  <si>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WenQuanYi Zen Hei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</si>
  <si>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WenQuanYi Zen Hei"/>
        <family val="2"/>
      </rPr>
      <t xml:space="preserve">與折舊（結果；下游引用）</t>
    </r>
  </si>
  <si>
    <r>
      <rPr>
        <sz val="10"/>
        <rFont val="WenQuanYi Zen Hei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（模型期，下游引用此列）</t>
    </r>
  </si>
  <si>
    <r>
      <rPr>
        <sz val="9"/>
        <color rgb="FF595959"/>
        <rFont val="WenQuanYi Zen Hei"/>
        <family val="2"/>
      </rPr>
      <t xml:space="preserve">＝成長型＋汰換＋託管建置（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</si>
  <si>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（車隊折舊）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</si>
  <si>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期初毛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＋本期成長型</t>
    </r>
    <r>
      <rPr>
        <sz val="9"/>
        <color rgb="FF595959"/>
        <rFont val="Arial"/>
        <family val="0"/>
        <charset val="1"/>
      </rPr>
      <t xml:space="preserve">×½)÷</t>
    </r>
    <r>
      <rPr>
        <sz val="9"/>
        <color rgb="FF595959"/>
        <rFont val="WenQuanYi Zen Hei"/>
        <family val="2"/>
      </rPr>
      <t xml:space="preserve">壽命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期間長度＋託管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（建物，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</si>
  <si>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｜融資（期初現金、既有債務、瀑布參數）</t>
    </r>
  </si>
  <si>
    <r>
      <rPr>
        <b val="true"/>
        <sz val="10"/>
        <color rgb="FF1F3864"/>
        <rFont val="WenQuanYi Zen Hei"/>
        <family val="2"/>
      </rPr>
      <t xml:space="preserve">▸ 期後事件（期後調整：評價日現金、淨負債、股數、</t>
    </r>
    <r>
      <rPr>
        <b val="true"/>
        <sz val="10"/>
        <color rgb="FF1F3864"/>
        <rFont val="Arial"/>
        <family val="0"/>
        <charset val="1"/>
      </rPr>
      <t xml:space="preserve">CAPM </t>
    </r>
    <r>
      <rPr>
        <b val="true"/>
        <sz val="10"/>
        <color rgb="FF1F3864"/>
        <rFont val="WenQuanYi Zen Hei"/>
        <family val="2"/>
      </rPr>
      <t xml:space="preserve">權重；逐筆）</t>
    </r>
  </si>
  <si>
    <t xml:space="preserve">期後事件</t>
  </si>
  <si>
    <t xml:space="preserve">日期</t>
  </si>
  <si>
    <t xml:space="preserve">現金</t>
  </si>
  <si>
    <t xml:space="preserve">其他借款</t>
  </si>
  <si>
    <t xml:space="preserve">可轉債</t>
  </si>
  <si>
    <r>
      <rPr>
        <b val="true"/>
        <sz val="11"/>
        <color rgb="FFFFFFFF"/>
        <rFont val="WenQuanYi Zen Hei"/>
        <family val="2"/>
      </rPr>
      <t xml:space="preserve">股數（</t>
    </r>
    <r>
      <rPr>
        <b val="true"/>
        <sz val="11"/>
        <color rgb="FFFFFFFF"/>
        <rFont val="Arial"/>
        <family val="0"/>
        <charset val="1"/>
      </rPr>
      <t xml:space="preserve">m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</si>
  <si>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說明</t>
  </si>
  <si>
    <r>
      <rPr>
        <sz val="10"/>
        <rFont val="WenQuanYi Zen Hei"/>
        <family val="2"/>
      </rPr>
      <t xml:space="preserve">期後事件｜</t>
    </r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</rPr>
      <t xml:space="preserve">可轉債發行（淨收入）</t>
    </r>
  </si>
  <si>
    <t xml:space="preserve">2026-08-21</t>
  </si>
  <si>
    <r>
      <rPr>
        <sz val="9"/>
        <color rgb="FF595959"/>
        <rFont val="WenQuanYi Zen Hei"/>
        <family val="2"/>
      </rPr>
      <t xml:space="preserve">面額 </t>
    </r>
    <r>
      <rPr>
        <sz val="9"/>
        <color rgb="FF595959"/>
        <rFont val="Arial"/>
        <family val="0"/>
        <charset val="1"/>
      </rPr>
      <t xml:space="preserve">310</t>
    </r>
    <r>
      <rPr>
        <sz val="9"/>
        <color rgb="FF595959"/>
        <rFont val="WenQuanYi Zen Hei"/>
        <family val="2"/>
      </rPr>
      <t xml:space="preserve">（含超額配售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WenQuanYi Zen Hei"/>
        <family val="2"/>
      </rPr>
      <t xml:space="preserve">）、淨收入 </t>
    </r>
    <r>
      <rPr>
        <sz val="9"/>
        <color rgb="FF595959"/>
        <rFont val="Arial"/>
        <family val="0"/>
        <charset val="1"/>
      </rPr>
      <t xml:space="preserve">298.5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8-K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</si>
  <si>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期後事件｜</t>
    </r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可轉債交換</t>
    </r>
  </si>
  <si>
    <r>
      <rPr>
        <sz val="9"/>
        <color rgb="FF595959"/>
        <rFont val="WenQuanYi Zen Hei"/>
        <family val="2"/>
      </rPr>
      <t xml:space="preserve">現金約 </t>
    </r>
    <r>
      <rPr>
        <sz val="9"/>
        <color rgb="FF595959"/>
        <rFont val="Arial"/>
        <family val="0"/>
        <charset val="1"/>
      </rPr>
      <t xml:space="preserve">118.5</t>
    </r>
    <r>
      <rPr>
        <sz val="9"/>
        <color rgb="FF595959"/>
        <rFont val="WenQuanYi Zen Hei"/>
        <family val="2"/>
      </rPr>
      <t xml:space="preserve">（含應計利息）＋股數：</t>
    </r>
    <r>
      <rPr>
        <sz val="9"/>
        <color rgb="FF595959"/>
        <rFont val="Arial"/>
        <family val="0"/>
        <charset val="1"/>
      </rPr>
      <t xml:space="preserve">13D/A </t>
    </r>
    <r>
      <rPr>
        <sz val="9"/>
        <color rgb="FF595959"/>
        <rFont val="WenQuanYi Zen Hei"/>
        <family val="2"/>
      </rPr>
      <t xml:space="preserve">交換後 </t>
    </r>
    <r>
      <rPr>
        <sz val="9"/>
        <color rgb="FF595959"/>
        <rFont val="Arial"/>
        <family val="0"/>
        <charset val="1"/>
      </rPr>
      <t xml:space="preserve">45.119652m − 6/30 38.841201m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6.278451m [Derived]</t>
    </r>
    <r>
      <rPr>
        <sz val="9"/>
        <color rgb="FF595959"/>
        <rFont val="WenQuanYi Zen Hei"/>
        <family val="2"/>
      </rPr>
      <t xml:space="preserve">；面額 </t>
    </r>
    <r>
      <rPr>
        <sz val="9"/>
        <color rgb="FF595959"/>
        <rFont val="Arial"/>
        <family val="0"/>
        <charset val="1"/>
      </rPr>
      <t xml:space="preserve">198.15 </t>
    </r>
    <r>
      <rPr>
        <sz val="9"/>
        <color rgb="FF595959"/>
        <rFont val="WenQuanYi Zen Hei"/>
        <family val="2"/>
      </rPr>
      <t xml:space="preserve">換回，剩 </t>
    </r>
    <r>
      <rPr>
        <sz val="9"/>
        <color rgb="FF595959"/>
        <rFont val="Arial"/>
        <family val="0"/>
        <charset val="1"/>
      </rPr>
      <t xml:space="preserve">31.85</t>
    </r>
  </si>
  <si>
    <r>
      <rPr>
        <sz val="10"/>
        <rFont val="WenQuanYi Zen Hei"/>
        <family val="2"/>
      </rPr>
      <t xml:space="preserve">期後事件｜</t>
    </r>
    <r>
      <rPr>
        <sz val="10"/>
        <rFont val="Arial"/>
        <family val="0"/>
        <charset val="1"/>
      </rPr>
      <t xml:space="preserve">DDTL </t>
    </r>
    <r>
      <rPr>
        <sz val="10"/>
        <rFont val="WenQuanYi Zen Hei"/>
        <family val="2"/>
      </rPr>
      <t xml:space="preserve">追加動用</t>
    </r>
  </si>
  <si>
    <r>
      <rPr>
        <sz val="9"/>
        <color rgb="FF595959"/>
        <rFont val="Arial"/>
        <family val="0"/>
        <charset val="1"/>
      </rPr>
      <t xml:space="preserve">2026-07-27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07-31</t>
    </r>
  </si>
  <si>
    <r>
      <rPr>
        <sz val="9"/>
        <color rgb="FF595959"/>
        <rFont val="WenQuanYi Zen Hei"/>
        <family val="2"/>
      </rPr>
      <t xml:space="preserve">動用 </t>
    </r>
    <r>
      <rPr>
        <sz val="9"/>
        <color rgb="FF595959"/>
        <rFont val="Arial"/>
        <family val="0"/>
        <charset val="1"/>
      </rPr>
      <t xml:space="preserve">30.0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WenQuanYi Zen Hei"/>
        <family val="2"/>
      </rPr>
      <t xml:space="preserve">），扣 </t>
    </r>
    <r>
      <rPr>
        <sz val="9"/>
        <color rgb="FF595959"/>
        <rFont val="Arial"/>
        <family val="0"/>
        <charset val="1"/>
      </rPr>
      <t xml:space="preserve">3% OID </t>
    </r>
    <r>
      <rPr>
        <sz val="9"/>
        <color rgb="FF595959"/>
        <rFont val="WenQuanYi Zen Hei"/>
        <family val="2"/>
      </rPr>
      <t xml:space="preserve">後現金約 </t>
    </r>
    <r>
      <rPr>
        <sz val="9"/>
        <color rgb="FF595959"/>
        <rFont val="Arial"/>
        <family val="0"/>
        <charset val="1"/>
      </rPr>
      <t xml:space="preserve">29.1 [Derived]</t>
    </r>
  </si>
  <si>
    <r>
      <rPr>
        <sz val="10"/>
        <rFont val="WenQuanYi Zen Hei"/>
        <family val="2"/>
      </rPr>
      <t xml:space="preserve">期後事件｜</t>
    </r>
    <r>
      <rPr>
        <sz val="10"/>
        <rFont val="Arial"/>
        <family val="0"/>
        <charset val="1"/>
      </rPr>
      <t xml:space="preserve">RBC </t>
    </r>
    <r>
      <rPr>
        <sz val="10"/>
        <rFont val="WenQuanYi Zen Hei"/>
        <family val="2"/>
      </rPr>
      <t xml:space="preserve">聯貸動用並再融資 </t>
    </r>
    <r>
      <rPr>
        <sz val="10"/>
        <rFont val="Arial"/>
        <family val="0"/>
        <charset val="1"/>
      </rPr>
      <t xml:space="preserve">RBC</t>
    </r>
  </si>
  <si>
    <t xml:space="preserve">2026-07-15</t>
  </si>
  <si>
    <r>
      <rPr>
        <sz val="9"/>
        <color rgb="FF595959"/>
        <rFont val="WenQuanYi Zen Hei"/>
        <family val="2"/>
      </rPr>
      <t xml:space="preserve">動用 </t>
    </r>
    <r>
      <rPr>
        <sz val="9"/>
        <color rgb="FF595959"/>
        <rFont val="Arial"/>
        <family val="0"/>
        <charset val="1"/>
      </rPr>
      <t xml:space="preserve">CAD 36.8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USD 26.2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WenQuanYi Zen Hei"/>
        <family val="2"/>
      </rPr>
      <t xml:space="preserve">換算；</t>
    </r>
    <r>
      <rPr>
        <sz val="9"/>
        <color rgb="FF595959"/>
        <rFont val="Arial"/>
        <family val="0"/>
        <charset val="1"/>
      </rPr>
      <t xml:space="preserve">2026-07-15</t>
    </r>
    <r>
      <rPr>
        <sz val="9"/>
        <color rgb="FF595959"/>
        <rFont val="WenQuanYi Zen Hei"/>
        <family val="2"/>
      </rPr>
      <t xml:space="preserve">）− 償還 </t>
    </r>
    <r>
      <rPr>
        <sz val="9"/>
        <color rgb="FF595959"/>
        <rFont val="Arial"/>
        <family val="0"/>
        <charset val="1"/>
      </rPr>
      <t xml:space="preserve">RBC 17.339 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</si>
  <si>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</si>
  <si>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56.056</t>
    </r>
    <r>
      <rPr>
        <sz val="9"/>
        <color rgb="FF595959"/>
        <rFont val="WenQuanYi Zen Hei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4.313 </t>
    </r>
    <r>
      <rPr>
        <sz val="9"/>
        <color rgb="FF595959"/>
        <rFont val="WenQuanYi Zen Hei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0.0 </t>
    </r>
    <r>
      <rPr>
        <sz val="9"/>
        <color rgb="FF595959"/>
        <rFont val="WenQuanYi Zen Hei"/>
        <family val="2"/>
      </rPr>
      <t xml:space="preserve">不計；期後事件現金列於『各期收支』Ⓔ（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</si>
  <si>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</si>
  <si>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WenQuanYi Zen Hei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</si>
  <si>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</si>
  <si>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0.0m </t>
    </r>
    <r>
      <rPr>
        <sz val="9"/>
        <color rgb="FF595959"/>
        <rFont val="WenQuanYi Zen Hei"/>
        <family val="2"/>
      </rPr>
      <t xml:space="preserve">來源</t>
    </r>
  </si>
  <si>
    <t xml:space="preserve">未動用信用額度</t>
  </si>
  <si>
    <r>
      <rPr>
        <sz val="9"/>
        <color rgb="FF595959"/>
        <rFont val="Arial"/>
        <family val="0"/>
        <charset val="1"/>
      </rPr>
      <t xml:space="preserve">Bit Digital DDTL </t>
    </r>
    <r>
      <rPr>
        <sz val="9"/>
        <color rgb="FF595959"/>
        <rFont val="WenQuanYi Zen Hei"/>
        <family val="2"/>
      </rPr>
      <t xml:space="preserve">未動用額度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WenQuanYi Zen Hei"/>
        <family val="2"/>
      </rPr>
      <t xml:space="preserve">（額度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WenQuanYi Zen Hei"/>
        <family val="2"/>
      </rPr>
      <t xml:space="preserve">、已動用 </t>
    </r>
    <r>
      <rPr>
        <sz val="9"/>
        <color rgb="FF595959"/>
        <rFont val="Arial"/>
        <family val="0"/>
        <charset val="1"/>
      </rPr>
      <t xml:space="preserve">80</t>
    </r>
    <r>
      <rPr>
        <sz val="9"/>
        <color rgb="FF595959"/>
        <rFont val="WenQuanYi Zen Hei"/>
        <family val="2"/>
      </rPr>
      <t xml:space="preserve">；可增至 </t>
    </r>
    <r>
      <rPr>
        <sz val="9"/>
        <color rgb="FF595959"/>
        <rFont val="Arial"/>
        <family val="0"/>
        <charset val="1"/>
      </rPr>
      <t xml:space="preserve">150 </t>
    </r>
    <r>
      <rPr>
        <sz val="9"/>
        <color rgb="FF595959"/>
        <rFont val="WenQuanYi Zen Hei"/>
        <family val="2"/>
      </rPr>
      <t xml:space="preserve">未承諾，不計）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</si>
  <si>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是）</t>
    </r>
  </si>
  <si>
    <r>
      <rPr>
        <sz val="9"/>
        <color rgb="FF595959"/>
        <rFont val="WenQuanYi Zen Hei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上限限制</t>
    </r>
  </si>
  <si>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專案貸款金額｜保守 只有已簽約</t>
    </r>
  </si>
  <si>
    <r>
      <rPr>
        <sz val="9"/>
        <color rgb="FF595959"/>
        <rFont val="Arial"/>
        <family val="0"/>
        <charset val="1"/>
      </rPr>
      <t xml:space="preserve">company.json → scenarios.projectFinance</t>
    </r>
    <r>
      <rPr>
        <sz val="9"/>
        <color rgb="FF595959"/>
        <rFont val="WenQuanYi Zen Hei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累計建置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貸款比率；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＝未完成；依據見 </t>
    </r>
    <r>
      <rPr>
        <sz val="9"/>
        <color rgb="FF595959"/>
        <rFont val="Arial"/>
        <family val="0"/>
        <charset val="1"/>
      </rPr>
      <t xml:space="preserve">note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</si>
  <si>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專案貸款金額｜基準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</si>
  <si>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專案貸款金額｜積極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</si>
  <si>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專案貸款金額（目前情境）</t>
    </r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</si>
  <si>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區情境選擇器；動用期期初一次動用（不再是瀑布的已承諾額度）</t>
    </r>
  </si>
  <si>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專案貸款動用期別（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</si>
  <si>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該期期初一次動用（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第一期建置已完成；融資完成時點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</si>
  <si>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專案貸款利率</t>
    </r>
  </si>
  <si>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WenQuanYi Zen Hei"/>
        <family val="2"/>
      </rPr>
      <t xml:space="preserve">＋利差類比 </t>
    </r>
    <r>
      <rPr>
        <sz val="9"/>
        <color rgb="FF595959"/>
        <rFont val="Arial"/>
        <family val="0"/>
        <charset val="1"/>
      </rPr>
      <t xml:space="preserve">8–9% </t>
    </r>
    <r>
      <rPr>
        <sz val="9"/>
        <color rgb="FF595959"/>
        <rFont val="WenQuanYi Zen Hei"/>
        <family val="2"/>
      </rPr>
      <t xml:space="preserve">取中點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（冰島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貸款 </t>
    </r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4.25%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7.92%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</si>
  <si>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專案貸款攤還年數</t>
    </r>
  </si>
  <si>
    <r>
      <rPr>
        <sz val="9"/>
        <color rgb="FF595959"/>
        <rFont val="WenQuanYi Zen Hei"/>
        <family val="2"/>
      </rPr>
      <t xml:space="preserve">動用次期起直線攤還；對應 </t>
    </r>
    <r>
      <rPr>
        <sz val="9"/>
        <color rgb="FF595959"/>
        <rFont val="Arial"/>
        <family val="0"/>
        <charset val="1"/>
      </rPr>
      <t xml:space="preserve">Nscale 10 </t>
    </r>
    <r>
      <rPr>
        <sz val="9"/>
        <color rgb="FF595959"/>
        <rFont val="WenQuanYi Zen Hei"/>
        <family val="2"/>
      </rPr>
      <t xml:space="preserve">年約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</si>
  <si>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</si>
  <si>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t xml:space="preserve">季報到期表；關閉＝假設全額再融資</t>
  </si>
  <si>
    <r>
      <rPr>
        <sz val="10"/>
        <rFont val="WenQuanYi Zen Hei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</si>
  <si>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資產擔保融資容量（</t>
    </r>
    <r>
      <rPr>
        <sz val="9"/>
        <color rgb="FF595959"/>
        <rFont val="Arial"/>
        <family val="0"/>
        <charset val="1"/>
      </rPr>
      <t xml:space="preserve">debtCapBasis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時使用）：總債務 ≤ 此倍數 </t>
    </r>
    <r>
      <rPr>
        <sz val="9"/>
        <color rgb="FF595959"/>
        <rFont val="Arial"/>
        <family val="0"/>
        <charset val="1"/>
      </rPr>
      <t xml:space="preserve">× backlog [Assumed]</t>
    </r>
  </si>
  <si>
    <r>
      <rPr>
        <sz val="10"/>
        <rFont val="WenQuanYi Zen Hei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WenQuanYi Zen Hei"/>
        <family val="2"/>
      </rPr>
      <t xml:space="preserve">）</t>
    </r>
  </si>
  <si>
    <t xml:space="preserve">ebitda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</si>
  <si>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WenQuanYi Zen Hei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</si>
  <si>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WenQuanYi Zen Hei"/>
        <family val="2"/>
      </rPr>
      <t xml:space="preserve">債務上限（總債務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</si>
  <si>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債務上限倍數（</t>
    </r>
    <r>
      <rPr>
        <sz val="9"/>
        <color rgb="FF595959"/>
        <rFont val="Arial"/>
        <family val="0"/>
        <charset val="1"/>
      </rPr>
      <t xml:space="preserve">company.json → defaults.debtEbitdaMax</t>
    </r>
    <r>
      <rPr>
        <sz val="9"/>
        <color rgb="FF595959"/>
        <rFont val="WenQuanYi Zen Hei"/>
        <family val="2"/>
      </rPr>
      <t xml:space="preserve">；基準為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WenQuanYi Zen Hei"/>
        <family val="2"/>
      </rPr>
      <t xml:space="preserve">時＝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WenQuanYi Zen Hei"/>
        <family val="2"/>
      </rPr>
      <t xml:space="preserve">的上限）；敏感度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WenQuanYi Zen Hei"/>
        <family val="2"/>
      </rPr>
      <t xml:space="preserve">；超過部分走可轉債、股權再走高息債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欄名稱沿用模板（畫面用語見 </t>
    </r>
    <r>
      <rPr>
        <sz val="9"/>
        <color rgb="FF595959"/>
        <rFont val="Arial"/>
        <family val="0"/>
        <charset val="1"/>
      </rPr>
      <t xml:space="preserve">texts.labelMap</t>
    </r>
    <r>
      <rPr>
        <sz val="9"/>
        <color rgb="FF595959"/>
        <rFont val="WenQuanYi Zen Hei"/>
        <family val="2"/>
      </rPr>
      <t xml:space="preserve">）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</si>
  <si>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</si>
  <si>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</si>
  <si>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</si>
  <si>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WenQuanYi Zen Hei"/>
        <family val="2"/>
      </rPr>
      <t xml:space="preserve">不發股利（對照表預設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WenQuanYi Zen Hei"/>
        <family val="2"/>
      </rPr>
      <t xml:space="preserve">）；特別股不適用（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WenQuanYi Zen Hei"/>
        <family val="2"/>
      </rPr>
      <t xml:space="preserve">）</t>
    </r>
  </si>
  <si>
    <t xml:space="preserve">股利基礎股數</t>
  </si>
  <si>
    <t xml:space="preserve">m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</si>
  <si>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</si>
  <si>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</si>
  <si>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WenQuanYi Zen Hei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</si>
  <si>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股權發行價</t>
  </si>
  <si>
    <r>
      <rPr>
        <sz val="9"/>
        <color rgb="FF595959"/>
        <rFont val="WenQuanYi Zen Hei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WenQuanYi Zen Hei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</si>
  <si>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</si>
  <si>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WenQuanYi Zen Hei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</si>
  <si>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</si>
  <si>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WenQuanYi Zen Hei"/>
        <family val="2"/>
      </rPr>
      <t xml:space="preserve">占現市值的比例（</t>
    </r>
    <r>
      <rPr>
        <sz val="9"/>
        <color rgb="FF595959"/>
        <rFont val="Arial"/>
        <family val="0"/>
        <charset val="1"/>
      </rPr>
      <t xml:space="preserve">company.json → defaults.eqCapPct</t>
    </r>
    <r>
      <rPr>
        <sz val="9"/>
        <color rgb="FF595959"/>
        <rFont val="WenQuanYi Zen Hei"/>
        <family val="2"/>
      </rPr>
      <t xml:space="preserve">）；輸入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WenQuanYi Zen Hei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</si>
  <si>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</si>
  <si>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WenQuanYi Zen Hei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WenQuanYi Zen Hei"/>
        <family val="2"/>
      </rPr>
      <t xml:space="preserve">）</t>
    </r>
  </si>
  <si>
    <t xml:space="preserve">可轉債年發行上限｜保守 只有已簽約</t>
  </si>
  <si>
    <r>
      <rPr>
        <sz val="9"/>
        <color rgb="FF595959"/>
        <rFont val="Arial"/>
        <family val="0"/>
        <charset val="1"/>
      </rPr>
      <t xml:space="preserve">US$m</t>
    </r>
    <r>
      <rPr>
        <sz val="9"/>
        <color rgb="FF595959"/>
        <rFont val="WenQuanYi Zen Hei"/>
        <family val="2"/>
      </rPr>
      <t xml:space="preserve">／年</t>
    </r>
  </si>
  <si>
    <r>
      <rPr>
        <sz val="9"/>
        <color rgb="FF595959"/>
        <rFont val="WenQuanYi Zen Hei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＝不新發）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</si>
  <si>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可轉債年發行上限｜基準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</si>
  <si>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可轉債年發行上限｜積極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</si>
  <si>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可轉債年發行上限（目前情境）</t>
  </si>
  <si>
    <r>
      <rPr>
        <sz val="9"/>
        <color rgb="FF595959"/>
        <rFont val="WenQuanYi Zen Hei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</si>
  <si>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</si>
  <si>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WenQuanYi Zen Hei"/>
        <family val="2"/>
      </rPr>
      <t xml:space="preserve">瀑布可轉債：票息 </t>
    </r>
    <r>
      <rPr>
        <sz val="9"/>
        <color rgb="FF595959"/>
        <rFont val="Arial"/>
        <family val="0"/>
        <charset val="1"/>
      </rPr>
      <t xml:space="preserve">5.00%</t>
    </r>
    <r>
      <rPr>
        <sz val="9"/>
        <color rgb="FF595959"/>
        <rFont val="WenQuanYi Zen Hei"/>
        <family val="2"/>
      </rPr>
      <t xml:space="preserve">、轉換溢價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2032 </t>
    </r>
    <r>
      <rPr>
        <sz val="9"/>
        <color rgb="FF595959"/>
        <rFont val="WenQuanYi Zen Hei"/>
        <family val="2"/>
      </rPr>
      <t xml:space="preserve">可轉債條款，</t>
    </r>
    <r>
      <rPr>
        <sz val="9"/>
        <color rgb="FF595959"/>
        <rFont val="Arial"/>
        <family val="0"/>
        <charset val="1"/>
      </rPr>
      <t xml:space="preserve">8-K 2026-08-21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；每年上限＝現市值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scenarios.convCap</t>
    </r>
    <r>
      <rPr>
        <sz val="9"/>
        <color rgb="FF595959"/>
        <rFont val="WenQuanYi Zen Hei"/>
        <family val="2"/>
      </rPr>
      <t xml:space="preserve">）</t>
    </r>
  </si>
  <si>
    <t xml:space="preserve">瀑布新發可轉債轉換溢價</t>
  </si>
  <si>
    <r>
      <rPr>
        <sz val="9"/>
        <color rgb="FF595959"/>
        <rFont val="WenQuanYi Zen Hei"/>
        <family val="2"/>
      </rPr>
      <t xml:space="preserve">只用於潛在股數揭露（</t>
    </r>
    <r>
      <rPr>
        <sz val="9"/>
        <color rgb="FF595959"/>
        <rFont val="Arial"/>
        <family val="0"/>
        <charset val="1"/>
      </rPr>
      <t xml:space="preserve">company.json → defaults.convIssue</t>
    </r>
    <r>
      <rPr>
        <sz val="9"/>
        <color rgb="FF595959"/>
        <rFont val="WenQuanYi Zen Hei"/>
        <family val="2"/>
      </rPr>
      <t xml:space="preserve">）</t>
    </r>
  </si>
  <si>
    <t xml:space="preserve">高息債利率（股權上限溢出）</t>
  </si>
  <si>
    <r>
      <rPr>
        <sz val="9"/>
        <color rgb="FF595959"/>
        <rFont val="WenQuanYi Zen Hei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</si>
  <si>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</si>
  <si>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WenQuanYi Zen Hei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</si>
  <si>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中價</t>
    </r>
  </si>
  <si>
    <t xml:space="preserve">bps</t>
  </si>
  <si>
    <r>
      <rPr>
        <sz val="9"/>
        <color rgb="FF595959"/>
        <rFont val="WenQuanYi Zen Hei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WenQuanYi Zen Hei"/>
        <family val="2"/>
      </rPr>
      <t xml:space="preserve">無可引用的 </t>
    </r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</si>
  <si>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WenQuanYi Zen Hei"/>
        <family val="2"/>
      </rPr>
      <t xml:space="preserve">開）</t>
    </r>
  </si>
  <si>
    <r>
      <rPr>
        <sz val="9"/>
        <color rgb="FF595959"/>
        <rFont val="WenQuanYi Zen Hei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WenQuanYi Zen Hei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</si>
  <si>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</si>
  <si>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</si>
  <si>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WenQuanYi Zen Hei"/>
        <family val="2"/>
      </rPr>
      <t xml:space="preserve">傳入比例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</si>
  <si>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WenQuanYi Zen Hei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</si>
  <si>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</si>
  <si>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WenQuanYi Zen Hei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</si>
  <si>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</si>
  <si>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WenQuanYi Zen Hei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0.0 [Interested-party]</t>
    </r>
  </si>
  <si>
    <t xml:space="preserve">新債利率</t>
  </si>
  <si>
    <r>
      <rPr>
        <sz val="9"/>
        <color rgb="FF595959"/>
        <rFont val="WenQuanYi Zen Hei"/>
        <family val="2"/>
      </rPr>
      <t xml:space="preserve">瀑布新債（資產層／專案債）利率 </t>
    </r>
    <r>
      <rPr>
        <sz val="9"/>
        <color rgb="FF595959"/>
        <rFont val="Arial"/>
        <family val="0"/>
        <charset val="1"/>
      </rPr>
      <t xml:space="preserve">9.5%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DDTL </t>
    </r>
    <r>
      <rPr>
        <sz val="9"/>
        <color rgb="FF595959"/>
        <rFont val="WenQuanYi Zen Hei"/>
        <family val="2"/>
      </rPr>
      <t xml:space="preserve">純債票面，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預設；冰島 </t>
    </r>
    <r>
      <rPr>
        <sz val="9"/>
        <color rgb="FF595959"/>
        <rFont val="Arial"/>
        <family val="0"/>
        <charset val="1"/>
      </rPr>
      <t xml:space="preserve">7.92%–10.64% </t>
    </r>
    <r>
      <rPr>
        <sz val="9"/>
        <color rgb="FF595959"/>
        <rFont val="WenQuanYi Zen Hei"/>
        <family val="2"/>
      </rPr>
      <t xml:space="preserve">區間）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</si>
  <si>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存量債務利息（下游引用此列）</t>
  </si>
  <si>
    <r>
      <rPr>
        <sz val="9"/>
        <color rgb="FF595959"/>
        <rFont val="WenQuanYi Zen Hei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期間長度＋可轉債利息＋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</si>
  <si>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｜評價（價格、股數、折現、倍數、權重）</t>
    </r>
  </si>
  <si>
    <r>
      <rPr>
        <sz val="10"/>
        <rFont val="WenQuanYi Zen Hei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</si>
  <si>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WenQuanYi Zen Hei"/>
        <family val="2"/>
      </rPr>
      <t xml:space="preserve">報價頁（</t>
    </r>
    <r>
      <rPr>
        <sz val="9"/>
        <color rgb="FF595959"/>
        <rFont val="Arial"/>
        <family val="0"/>
        <charset val="1"/>
      </rPr>
      <t xml:space="preserve">https://finance.yahoo.com/quote/wyfi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</si>
  <si>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</si>
  <si>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38.841201</t>
    </r>
    <r>
      <rPr>
        <sz val="9"/>
        <color rgb="FF595959"/>
        <rFont val="WenQuanYi Zen Hei"/>
        <family val="2"/>
      </rPr>
      <t xml:space="preserve">＋未歸屬 </t>
    </r>
    <r>
      <rPr>
        <sz val="9"/>
        <color rgb="FF595959"/>
        <rFont val="Arial"/>
        <family val="0"/>
        <charset val="1"/>
      </rPr>
      <t xml:space="preserve">RSU 0.124m </t>
    </r>
    <r>
      <rPr>
        <sz val="9"/>
        <color rgb="FF595959"/>
        <rFont val="WenQuanYi Zen Hei"/>
        <family val="2"/>
      </rPr>
      <t xml:space="preserve">股；零履約價買權 </t>
    </r>
    <r>
      <rPr>
        <sz val="9"/>
        <color rgb="FF595959"/>
        <rFont val="Arial"/>
        <family val="0"/>
        <charset val="1"/>
      </rPr>
      <t xml:space="preserve">5.905511m </t>
    </r>
    <r>
      <rPr>
        <sz val="9"/>
        <color rgb="FF595959"/>
        <rFont val="WenQuanYi Zen Hei"/>
        <family val="2"/>
      </rPr>
      <t xml:space="preserve">股自稀釋股數排除（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年收回，經濟上已買回；審查留言第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條預設，替代：計入）；期後交換股 </t>
    </r>
    <r>
      <rPr>
        <sz val="9"/>
        <color rgb="FF595959"/>
        <rFont val="Arial"/>
        <family val="0"/>
        <charset val="1"/>
      </rPr>
      <t xml:space="preserve">6.278m </t>
    </r>
    <r>
      <rPr>
        <sz val="9"/>
        <color rgb="FF595959"/>
        <rFont val="WenQuanYi Zen Hei"/>
        <family val="2"/>
      </rPr>
      <t xml:space="preserve">見期後事件＋期後事件股數（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</si>
  <si>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</si>
  <si>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WenQuanYi Zen Hei"/>
        <family val="2"/>
      </rPr>
      <t xml:space="preserve">評價日其他借款 − 現金 </t>
    </r>
    <r>
      <rPr>
        <sz val="9"/>
        <color rgb="FF595959"/>
        <rFont val="Arial"/>
        <family val="0"/>
        <charset val="1"/>
      </rPr>
      <t xml:space="preserve">29.283</t>
    </r>
    <r>
      <rPr>
        <sz val="9"/>
        <color rgb="FF595959"/>
        <rFont val="WenQuanYi Zen Hei"/>
        <family val="2"/>
      </rPr>
      <t xml:space="preserve">＋期後事件（其他借款 − 現金，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區）；可轉債依稀釋判斷另計（見『評價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</si>
  <si>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</si>
  <si>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WenQuanYi Zen Hei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；敏感度見報告（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</si>
  <si>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WenQuanYi Zen Hei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</si>
  <si>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</si>
  <si>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</si>
  <si>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WenQuanYi Zen Hei"/>
        <family val="2"/>
      </rPr>
      <t xml:space="preserve">美國聯邦法定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WenQuanYi Zen Hei"/>
        <family val="2"/>
      </rPr>
      <t xml:space="preserve">（開曼控股；美國子公司 </t>
    </r>
    <r>
      <rPr>
        <sz val="9"/>
        <color rgb="FF595959"/>
        <rFont val="Arial"/>
        <family val="0"/>
        <charset val="1"/>
      </rPr>
      <t xml:space="preserve">21%</t>
    </r>
    <r>
      <rPr>
        <sz val="9"/>
        <color rgb="FF595959"/>
        <rFont val="WenQuanYi Zen Hei"/>
        <family val="2"/>
      </rPr>
      <t xml:space="preserve">＋州稅、加拿大約 </t>
    </r>
    <r>
      <rPr>
        <sz val="9"/>
        <color rgb="FF595959"/>
        <rFont val="Arial"/>
        <family val="0"/>
        <charset val="1"/>
      </rPr>
      <t xml:space="preserve">26.5%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有效稅率 −</t>
    </r>
    <r>
      <rPr>
        <sz val="9"/>
        <color rgb="FF595959"/>
        <rFont val="Arial"/>
        <family val="0"/>
        <charset val="1"/>
      </rPr>
      <t xml:space="preserve">1.3%</t>
    </r>
    <r>
      <rPr>
        <sz val="9"/>
        <color rgb="FF595959"/>
        <rFont val="WenQuanYi Zen Hei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</si>
  <si>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</si>
  <si>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WenQuanYi Zen Hei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</si>
  <si>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</si>
  <si>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company.json → valuation.capm.beta</t>
    </r>
    <r>
      <rPr>
        <sz val="9"/>
        <color rgb="FF595959"/>
        <rFont val="WenQuanYi Zen Hei"/>
        <family val="2"/>
      </rPr>
      <t xml:space="preserve">；敏感度 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見報告（來源見 </t>
    </r>
    <r>
      <rPr>
        <sz val="9"/>
        <color rgb="FF595959"/>
        <rFont val="Arial"/>
        <family val="0"/>
        <charset val="1"/>
      </rPr>
      <t xml:space="preserve">capm.note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</si>
  <si>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</si>
  <si>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</si>
  <si>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</si>
  <si>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</si>
  <si>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WenQuanYi Zen Hei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</si>
  <si>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company.json → valuation.capm.kdPretax</t>
    </r>
    <r>
      <rPr>
        <sz val="9"/>
        <color rgb="FF595959"/>
        <rFont val="WenQuanYi Zen Hei"/>
        <family val="2"/>
      </rPr>
      <t xml:space="preserve">（來源見 </t>
    </r>
    <r>
      <rPr>
        <sz val="9"/>
        <color rgb="FF595959"/>
        <rFont val="Arial"/>
        <family val="0"/>
        <charset val="1"/>
      </rPr>
      <t xml:space="preserve">capm.note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</si>
  <si>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季末流通股數）</t>
    </r>
  </si>
  <si>
    <r>
      <rPr>
        <sz val="9"/>
        <color rgb="FF595959"/>
        <rFont val="WenQuanYi Zen Hei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38.841201m </t>
    </r>
    <r>
      <rPr>
        <sz val="9"/>
        <color rgb="FF595959"/>
        <rFont val="WenQuanYi Zen Hei"/>
        <family val="2"/>
      </rPr>
      <t xml:space="preserve">股＋期後事件股數（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</si>
  <si>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WenQuanYi Zen Hei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（評價日債務本金）</t>
    </r>
  </si>
  <si>
    <r>
      <rPr>
        <sz val="9"/>
        <color rgb="FF595959"/>
        <rFont val="WenQuanYi Zen Hei"/>
        <family val="2"/>
      </rPr>
      <t xml:space="preserve">季末債務本金＋期後事件（其他借款＋可轉債，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區）；強制轉換特別股視為股權，不計入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Derived]</t>
    </r>
  </si>
  <si>
    <r>
      <rPr>
        <sz val="10"/>
        <rFont val="Arial"/>
        <family val="0"/>
        <charset val="1"/>
      </rPr>
      <t xml:space="preserve">WACC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WenQuanYi Zen Hei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</si>
  <si>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</si>
  <si>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WenQuanYi Zen Hei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</si>
  <si>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</si>
  <si>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t xml:space="preserve">WACC</t>
  </si>
  <si>
    <r>
      <rPr>
        <sz val="9"/>
        <color rgb="FF595959"/>
        <rFont val="WenQuanYi Zen Hei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</si>
  <si>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WenQuanYi Zen Hei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</si>
  <si>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WenQuanYi Zen Hei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</si>
  <si>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），此比例不使用</t>
    </r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</si>
  <si>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WenQuanYi Zen Hei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</si>
  <si>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</si>
  <si>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每年可抵用比例</t>
    </r>
  </si>
  <si>
    <r>
      <rPr>
        <sz val="9"/>
        <color rgb="FF595959"/>
        <rFont val="WenQuanYi Zen Hei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</si>
  <si>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</si>
  <si>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WenQuanYi Zen Hei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</si>
  <si>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</si>
  <si>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WenQuanYi Zen Hei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；託管另用託管同業倍數（分部加總）</t>
    </r>
  </si>
  <si>
    <r>
      <rPr>
        <sz val="10"/>
        <rFont val="WenQuanYi Zen Hei"/>
        <family val="2"/>
      </rPr>
      <t xml:space="preserve">託管同業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DLR</t>
    </r>
  </si>
  <si>
    <r>
      <rPr>
        <sz val="9"/>
        <color rgb="FF595959"/>
        <rFont val="Arial"/>
        <family val="0"/>
        <charset val="1"/>
      </rPr>
      <t xml:space="preserve">Digital Realty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data/whitefiber_facts_20261008.json val.peer.dlr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</si>
  <si>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託管同業 </t>
    </r>
    <r>
      <rPr>
        <sz val="10"/>
        <rFont val="Arial"/>
        <family val="0"/>
        <charset val="1"/>
      </rPr>
      <t xml:space="preserve">NTM EV/EBITDA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</si>
  <si>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data/whitefiber_facts_20261008.json val.peer.eqix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</si>
  <si>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託管同業 </t>
    </r>
    <r>
      <rPr>
        <sz val="10"/>
        <rFont val="Arial"/>
        <family val="0"/>
        <charset val="1"/>
      </rPr>
      <t xml:space="preserve">NTM EV/EBITDA </t>
    </r>
    <r>
      <rPr>
        <sz val="10"/>
        <rFont val="WenQuanYi Zen Hei"/>
        <family val="2"/>
      </rPr>
      <t xml:space="preserve">中位數</t>
    </r>
  </si>
  <si>
    <r>
      <rPr>
        <sz val="9"/>
        <color rgb="FF595959"/>
        <rFont val="WenQuanYi Zen Hei"/>
        <family val="2"/>
      </rPr>
      <t xml:space="preserve">託管（資料中心）同業 </t>
    </r>
    <r>
      <rPr>
        <sz val="9"/>
        <color rgb="FF595959"/>
        <rFont val="Arial"/>
        <family val="0"/>
        <charset val="1"/>
      </rPr>
      <t xml:space="preserve">NTM EV/EBITDA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EV ÷ </t>
    </r>
    <r>
      <rPr>
        <sz val="9"/>
        <color rgb="FF595959"/>
        <rFont val="WenQuanYi Zen Hei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依日曆時間加權（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0.25 × 2026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0.75 × 2027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）；只取得 </t>
    </r>
    <r>
      <rPr>
        <sz val="9"/>
        <color rgb="FF595959"/>
        <rFont val="Arial"/>
        <family val="0"/>
        <charset val="1"/>
      </rPr>
      <t xml:space="preserve">DLR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EQIX </t>
    </r>
    <r>
      <rPr>
        <sz val="9"/>
        <color rgb="FF595959"/>
        <rFont val="WenQuanYi Zen Hei"/>
        <family val="2"/>
      </rPr>
      <t xml:space="preserve">兩家（</t>
    </r>
    <r>
      <rPr>
        <sz val="9"/>
        <color rgb="FF595959"/>
        <rFont val="Arial"/>
        <family val="0"/>
        <charset val="1"/>
      </rPr>
      <t xml:space="preserve">APLD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CORZ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CIFR </t>
    </r>
    <r>
      <rPr>
        <sz val="9"/>
        <color rgb="FF595959"/>
        <rFont val="WenQuanYi Zen Hei"/>
        <family val="2"/>
      </rPr>
      <t xml:space="preserve">無可用 </t>
    </r>
    <r>
      <rPr>
        <sz val="9"/>
        <color rgb="FF595959"/>
        <rFont val="Arial"/>
        <family val="0"/>
        <charset val="1"/>
      </rPr>
      <t xml:space="preserve">NTM EBITDA </t>
    </r>
    <r>
      <rPr>
        <sz val="9"/>
        <color rgb="FF595959"/>
        <rFont val="WenQuanYi Zen Hei"/>
        <family val="2"/>
      </rPr>
      <t xml:space="preserve">或為負，資料缺口），樣本不足；中位數用於託管分部倍數，</t>
    </r>
    <r>
      <rPr>
        <sz val="9"/>
        <color rgb="FF595959"/>
        <rFont val="Arial"/>
        <family val="0"/>
        <charset val="1"/>
      </rPr>
      <t xml:space="preserve">15× </t>
    </r>
    <r>
      <rPr>
        <sz val="9"/>
        <color rgb="FF595959"/>
        <rFont val="WenQuanYi Zen Hei"/>
        <family val="2"/>
      </rPr>
      <t xml:space="preserve">列敏感度。</t>
    </r>
  </si>
  <si>
    <r>
      <rPr>
        <sz val="10"/>
        <rFont val="WenQuanYi Zen Hei"/>
        <family val="2"/>
      </rPr>
      <t xml:space="preserve">託管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</si>
  <si>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WenQuanYi Zen Hei"/>
        <family val="2"/>
      </rPr>
      <t xml:space="preserve">＝空白）</t>
    </r>
  </si>
  <si>
    <r>
      <rPr>
        <sz val="10"/>
        <rFont val="WenQuanYi Zen Hei"/>
        <family val="2"/>
      </rPr>
      <t xml:space="preserve">託管 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倍數</t>
    </r>
  </si>
  <si>
    <r>
      <rPr>
        <sz val="9"/>
        <color rgb="FF595959"/>
        <rFont val="WenQuanYi Zen Hei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＝託管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此倍數＋雲端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WenQuanYi Zen Hei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</si>
  <si>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FY28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FY29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</si>
  <si>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WenQuanYi Zen Hei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FY29</t>
    </r>
    <r>
      <rPr>
        <sz val="9"/>
        <color rgb="FF595959"/>
        <rFont val="WenQuanYi Zen Hei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</si>
  <si>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</si>
  <si>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WenQuanYi Zen Hei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</si>
  <si>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</si>
  <si>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WenQuanYi Zen Hei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WenQuanYi Zen Hei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</si>
  <si>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</si>
  <si>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WenQuanYi Zen Hei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</si>
  <si>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WenQuanYi Zen Hei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WenQuanYi Zen Hei"/>
        <family val="2"/>
      </rPr>
      <t xml:space="preserve">／年（偏保守）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</si>
  <si>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</si>
  <si>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11.017 </t>
    </r>
    <r>
      <rPr>
        <sz val="9"/>
        <color rgb="FF595959"/>
        <rFont val="WenQuanYi Zen Hei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</si>
  <si>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WenQuanYi Zen Hei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WenQuanYi Zen Hei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</si>
  <si>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</si>
  <si>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WenQuanYi Zen Hei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WenQuanYi Zen Hei"/>
        <family val="2"/>
      </rPr>
      <t xml:space="preserve">，股權＝以企業價值為標的、淨負債為履約價的買權</t>
    </r>
  </si>
  <si>
    <r>
      <rPr>
        <sz val="10"/>
        <rFont val="WenQuanYi Zen Hei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</si>
  <si>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WenQuanYi Zen Hei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</si>
  <si>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</si>
  <si>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FY30 </t>
    </r>
    <r>
      <rPr>
        <sz val="9"/>
        <color rgb="FF595959"/>
        <rFont val="WenQuanYi Zen Hei"/>
        <family val="2"/>
      </rPr>
      <t xml:space="preserve">末</t>
    </r>
  </si>
  <si>
    <r>
      <rPr>
        <b val="true"/>
        <sz val="10"/>
        <color rgb="FF1F3864"/>
        <rFont val="WenQuanYi Zen Hei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WenQuanYi Zen Hei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</si>
  <si>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</si>
  <si>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</si>
  <si>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</si>
  <si>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</si>
  <si>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FY26Q2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</si>
  <si>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WenQuanYi Zen Hei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</si>
  <si>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</si>
  <si>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</si>
  <si>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</si>
  <si>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</si>
  <si>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</si>
  <si>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WenQuanYi Zen Hei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</t>
    </r>
  </si>
  <si>
    <t xml:space="preserve">目標價時點距評價日</t>
  </si>
  <si>
    <t xml:space="preserve">模型期間</t>
  </si>
  <si>
    <t xml:space="preserve">FY26–FY30</t>
  </si>
  <si>
    <r>
      <rPr>
        <sz val="9"/>
        <color rgb="FF595959"/>
        <rFont val="WenQuanYi Zen Hei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WenQuanYi Zen Hei"/>
        <family val="2"/>
      </rPr>
      <t xml:space="preserve">）</t>
    </r>
  </si>
  <si>
    <t xml:space="preserve">資料更新日</t>
  </si>
  <si>
    <t xml:space="preserve">2026-10-22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</si>
  <si>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</si>
  <si>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</si>
  <si>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</si>
  <si>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</si>
  <si>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</si>
  <si>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</si>
  <si>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</si>
  <si>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</si>
  <si>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</si>
  <si>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</si>
  <si>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</si>
  <si>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</si>
  <si>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</si>
  <si>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WenQuanYi Zen Hei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</si>
  <si>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</si>
  <si>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</si>
  <si>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WenQuanYi Zen Hei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WenQuanYi Zen Hei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WenQuanYi Zen Hei"/>
        <family val="2"/>
      </rPr>
      <t xml:space="preserve">）</t>
    </r>
  </si>
  <si>
    <t xml:space="preserve">買進：空間下限</t>
  </si>
  <si>
    <r>
      <rPr>
        <sz val="9"/>
        <color rgb="FF595959"/>
        <rFont val="WenQuanYi Zen Hei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</si>
  <si>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上限</t>
    </r>
  </si>
  <si>
    <r>
      <rPr>
        <sz val="9"/>
        <color rgb="FF595959"/>
        <rFont val="WenQuanYi Zen Hei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</si>
  <si>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</si>
  <si>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WenQuanYi Zen Hei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</si>
  <si>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現市值）</t>
    </r>
  </si>
  <si>
    <r>
      <rPr>
        <sz val="9"/>
        <color rgb="FF595959"/>
        <rFont val="WenQuanYi Zen Hei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</si>
  <si>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</si>
  <si>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WenQuanYi Zen Hei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</si>
  <si>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</si>
  <si>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WenQuanYi Zen Hei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</si>
  <si>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警示</t>
    </r>
  </si>
  <si>
    <r>
      <rPr>
        <sz val="9"/>
        <color rgb="FF595959"/>
        <rFont val="WenQuanYi Zen Hei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</si>
  <si>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WenQuanYi Zen Hei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WenQuanYi Zen Hei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</si>
  <si>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WenQuanYi Zen Hei"/>
        <family val="2"/>
      </rPr>
      <t xml:space="preserve">現金</t>
    </r>
  </si>
  <si>
    <r>
      <rPr>
        <sz val="9"/>
        <color rgb="FF595959"/>
        <rFont val="WenQuanYi Zen Hei"/>
        <family val="2"/>
      </rPr>
      <t xml:space="preserve">上一財年底（</t>
    </r>
    <r>
      <rPr>
        <sz val="9"/>
        <color rgb="FF595959"/>
        <rFont val="Arial"/>
        <family val="0"/>
        <charset val="1"/>
      </rPr>
      <t xml:space="preserve">2025-12-31</t>
    </r>
    <r>
      <rPr>
        <sz val="9"/>
        <color rgb="FF595959"/>
        <rFont val="WenQuanYi Zen Hei"/>
        <family val="2"/>
      </rPr>
      <t xml:space="preserve">）現金及約當現金 </t>
    </r>
    <r>
      <rPr>
        <sz val="9"/>
        <color rgb="FF595959"/>
        <rFont val="Arial"/>
        <family val="0"/>
        <charset val="1"/>
      </rPr>
      <t xml:space="preserve">114,441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經查核；含受限 </t>
    </r>
    <r>
      <rPr>
        <sz val="9"/>
        <color rgb="FF595959"/>
        <rFont val="Arial"/>
        <family val="0"/>
        <charset val="1"/>
      </rPr>
      <t xml:space="preserve">118,298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</si>
  <si>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WenQuanYi Zen Hei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</si>
  <si>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營運現金流 </t>
    </r>
    <r>
      <rPr>
        <sz val="9"/>
        <color rgb="FF595959"/>
        <rFont val="Arial"/>
        <family val="0"/>
        <charset val="1"/>
      </rPr>
      <t xml:space="preserve">89,105</t>
    </r>
    <r>
      <rPr>
        <sz val="9"/>
        <color rgb="FF595959"/>
        <rFont val="WenQuanYi Zen Hei"/>
        <family val="2"/>
      </rPr>
      <t xml:space="preserve">；含遞延營收增加 </t>
    </r>
    <r>
      <rPr>
        <sz val="9"/>
        <color rgb="FF595959"/>
        <rFont val="Arial"/>
        <family val="0"/>
        <charset val="1"/>
      </rPr>
      <t xml:space="preserve">63,608</t>
    </r>
    <r>
      <rPr>
        <sz val="9"/>
        <color rgb="FF595959"/>
        <rFont val="WenQuanYi Zen Hei"/>
        <family val="2"/>
      </rPr>
      <t xml:space="preserve">（客戶預付流入 </t>
    </r>
    <r>
      <rPr>
        <sz val="9"/>
        <color rgb="FF595959"/>
        <rFont val="Arial"/>
        <family val="0"/>
        <charset val="1"/>
      </rPr>
      <t xml:space="preserve">72.6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</si>
  <si>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WenQuanYi Zen Hei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</si>
  <si>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購置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與設備訂金 </t>
    </r>
    <r>
      <rPr>
        <sz val="9"/>
        <color rgb="FF595959"/>
        <rFont val="Arial"/>
        <family val="0"/>
        <charset val="1"/>
      </rPr>
      <t xml:space="preserve">344,712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增加主要為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開發 </t>
    </r>
    <r>
      <rPr>
        <sz val="9"/>
        <color rgb="FF595959"/>
        <rFont val="Arial"/>
        <family val="0"/>
        <charset val="1"/>
      </rPr>
      <t xml:space="preserve">322.5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</si>
  <si>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WenQuanYi Zen Hei"/>
        <family val="2"/>
      </rPr>
      <t xml:space="preserve">融資）</t>
    </r>
  </si>
  <si>
    <r>
      <rPr>
        <sz val="9"/>
        <color rgb="FF595959"/>
        <rFont val="WenQuanYi Zen Hei"/>
        <family val="2"/>
      </rPr>
      <t xml:space="preserve">應計口徑未揭露，以現金口徑代替；</t>
    </r>
    <r>
      <rPr>
        <sz val="9"/>
        <color rgb="FF595959"/>
        <rFont val="Arial"/>
        <family val="0"/>
        <charset val="1"/>
      </rPr>
      <t xml:space="preserve">1H26 PP&amp;E </t>
    </r>
    <r>
      <rPr>
        <sz val="9"/>
        <color rgb="FF595959"/>
        <rFont val="WenQuanYi Zen Hei"/>
        <family val="2"/>
      </rPr>
      <t xml:space="preserve">增加幾乎全為託管（</t>
    </r>
    <r>
      <rPr>
        <sz val="9"/>
        <color rgb="FF595959"/>
        <rFont val="Arial"/>
        <family val="0"/>
        <charset val="1"/>
      </rPr>
      <t xml:space="preserve">NC-1 322.5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MTL-3 </t>
    </r>
    <r>
      <rPr>
        <sz val="9"/>
        <color rgb="FF595959"/>
        <rFont val="WenQuanYi Zen Hei"/>
        <family val="2"/>
      </rPr>
      <t xml:space="preserve">購置 </t>
    </r>
    <r>
      <rPr>
        <sz val="9"/>
        <color rgb="FF595959"/>
        <rFont val="Arial"/>
        <family val="0"/>
        <charset val="1"/>
      </rPr>
      <t xml:space="preserve">18.2 </t>
    </r>
    <r>
      <rPr>
        <sz val="9"/>
        <color rgb="FF595959"/>
        <rFont val="WenQuanYi Zen Hei"/>
        <family val="2"/>
      </rPr>
      <t xml:space="preserve">與改良 </t>
    </r>
    <r>
      <rPr>
        <sz val="9"/>
        <color rgb="FF595959"/>
        <rFont val="Arial"/>
        <family val="0"/>
        <charset val="1"/>
      </rPr>
      <t xml:space="preserve">4.7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MTL-1 1.9</t>
    </r>
    <r>
      <rPr>
        <sz val="9"/>
        <color rgb="FF595959"/>
        <rFont val="WenQuanYi Zen Hei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347.3 ≥ </t>
    </r>
    <r>
      <rPr>
        <sz val="9"/>
        <color rgb="FF595959"/>
        <rFont val="WenQuanYi Zen Hei"/>
        <family val="2"/>
      </rPr>
      <t xml:space="preserve">現金資本支出），雲端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資本支出記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capexCore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</si>
  <si>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JV</t>
    </r>
    <r>
      <rPr>
        <sz val="10"/>
        <rFont val="WenQuanYi Zen Hei"/>
        <family val="2"/>
      </rPr>
      <t xml:space="preserve">＋策略投資出資</t>
    </r>
  </si>
  <si>
    <r>
      <rPr>
        <sz val="9"/>
        <color rgb="FF595959"/>
        <rFont val="WenQuanYi Zen Hei"/>
        <family val="2"/>
      </rPr>
      <t xml:space="preserve">不適用（無 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）；出售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WenQuanYi Zen Hei"/>
        <family val="2"/>
      </rPr>
      <t xml:space="preserve">台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伺服器收入 </t>
    </r>
    <r>
      <rPr>
        <sz val="9"/>
        <color rgb="FF595959"/>
        <rFont val="Arial"/>
        <family val="0"/>
        <charset val="1"/>
      </rPr>
      <t xml:space="preserve">26,082 </t>
    </r>
    <r>
      <rPr>
        <sz val="9"/>
        <color rgb="FF595959"/>
        <rFont val="WenQuanYi Zen Hei"/>
        <family val="2"/>
      </rPr>
      <t xml:space="preserve">進調節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</si>
  <si>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借款</t>
  </si>
  <si>
    <r>
      <rPr>
        <sz val="9"/>
        <color rgb="FF595959"/>
        <rFont val="WenQuanYi Zen Hei"/>
        <family val="2"/>
      </rPr>
      <t xml:space="preserve">第三方定期借款 </t>
    </r>
    <r>
      <rPr>
        <sz val="9"/>
        <color rgb="FF595959"/>
        <rFont val="Arial"/>
        <family val="0"/>
        <charset val="1"/>
      </rPr>
      <t xml:space="preserve">53,308</t>
    </r>
    <r>
      <rPr>
        <sz val="9"/>
        <color rgb="FF595959"/>
        <rFont val="WenQuanYi Zen Hei"/>
        <family val="2"/>
      </rPr>
      <t xml:space="preserve">＋關係人（</t>
    </r>
    <r>
      <rPr>
        <sz val="9"/>
        <color rgb="FF595959"/>
        <rFont val="Arial"/>
        <family val="0"/>
        <charset val="1"/>
      </rPr>
      <t xml:space="preserve">Bit Digital DDTL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29,100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可轉債淨額 </t>
    </r>
    <r>
      <rPr>
        <sz val="9"/>
        <color rgb="FF595959"/>
        <rFont val="Arial"/>
        <family val="0"/>
        <charset val="1"/>
      </rPr>
      <t xml:space="preserve">222,118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304,526 [Interested-party]</t>
    </r>
  </si>
  <si>
    <t xml:space="preserve">還款</t>
  </si>
  <si>
    <r>
      <rPr>
        <sz val="9"/>
        <color rgb="FF595959"/>
        <rFont val="WenQuanYi Zen Hei"/>
        <family val="2"/>
      </rPr>
      <t xml:space="preserve">融資租賃償還 </t>
    </r>
    <r>
      <rPr>
        <sz val="9"/>
        <color rgb="FF595959"/>
        <rFont val="Arial"/>
        <family val="0"/>
        <charset val="1"/>
      </rPr>
      <t xml:space="preserve">12,599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MTL-3 </t>
    </r>
    <r>
      <rPr>
        <sz val="9"/>
        <color rgb="FF595959"/>
        <rFont val="WenQuanYi Zen Hei"/>
        <family val="2"/>
      </rPr>
      <t xml:space="preserve">購入前）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</si>
  <si>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WenQuanYi Zen Hei"/>
        <family val="2"/>
      </rPr>
      <t xml:space="preserve">支出</t>
    </r>
  </si>
  <si>
    <r>
      <rPr>
        <sz val="9"/>
        <color rgb="FF595959"/>
        <rFont val="WenQuanYi Zen Hei"/>
        <family val="2"/>
      </rPr>
      <t xml:space="preserve">零履約價買權 </t>
    </r>
    <r>
      <rPr>
        <sz val="9"/>
        <color rgb="FF595959"/>
        <rFont val="Arial"/>
        <family val="0"/>
        <charset val="1"/>
      </rPr>
      <t xml:space="preserve">120,000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年收回 </t>
    </r>
    <r>
      <rPr>
        <sz val="9"/>
        <color rgb="FF595959"/>
        <rFont val="Arial"/>
        <family val="0"/>
        <charset val="1"/>
      </rPr>
      <t xml:space="preserve">5,905,511 </t>
    </r>
    <r>
      <rPr>
        <sz val="9"/>
        <color rgb="FF595959"/>
        <rFont val="WenQuanYi Zen Hei"/>
        <family val="2"/>
      </rPr>
      <t xml:space="preserve">股；權益分類）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</si>
  <si>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私募股權</t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</si>
  <si>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未發行普通股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</si>
  <si>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</si>
  <si>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利息費用：第三方 </t>
    </r>
    <r>
      <rPr>
        <sz val="9"/>
        <color rgb="FF595959"/>
        <rFont val="Arial"/>
        <family val="0"/>
        <charset val="1"/>
      </rPr>
      <t xml:space="preserve">6,573</t>
    </r>
    <r>
      <rPr>
        <sz val="9"/>
        <color rgb="FF595959"/>
        <rFont val="WenQuanYi Zen Hei"/>
        <family val="2"/>
      </rPr>
      <t xml:space="preserve">＋關係人 </t>
    </r>
    <r>
      <rPr>
        <sz val="9"/>
        <color rgb="FF595959"/>
        <rFont val="Arial"/>
        <family val="0"/>
        <charset val="1"/>
      </rPr>
      <t xml:space="preserve">1,438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8,011 [Interested-party]</t>
    </r>
  </si>
  <si>
    <t xml:space="preserve">租賃現金支付</t>
  </si>
  <si>
    <r>
      <rPr>
        <sz val="9"/>
        <color rgb="FF595959"/>
        <rFont val="WenQuanYi Zen Hei"/>
        <family val="2"/>
      </rPr>
      <t xml:space="preserve">營業租賃成本 </t>
    </r>
    <r>
      <rPr>
        <sz val="9"/>
        <color rgb="FF595959"/>
        <rFont val="Arial"/>
        <family val="0"/>
        <charset val="1"/>
      </rPr>
      <t xml:space="preserve">13,044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內，僅供對照）</t>
    </r>
  </si>
  <si>
    <t xml:space="preserve">營收</t>
  </si>
  <si>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40,573</t>
    </r>
    <r>
      <rPr>
        <sz val="9"/>
        <color rgb="FF595959"/>
        <rFont val="WenQuanYi Zen Hei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WenQuanYi Zen Hei"/>
        <family val="2"/>
      </rPr>
      <t xml:space="preserve">）＋託管 </t>
    </r>
    <r>
      <rPr>
        <sz val="9"/>
        <color rgb="FF595959"/>
        <rFont val="Arial"/>
        <family val="0"/>
        <charset val="1"/>
      </rPr>
      <t xml:space="preserve">9,500</t>
    </r>
    <r>
      <rPr>
        <sz val="9"/>
        <color rgb="FF595959"/>
        <rFont val="WenQuanYi Zen Hei"/>
        <family val="2"/>
      </rPr>
      <t xml:space="preserve">＋其他 </t>
    </r>
    <r>
      <rPr>
        <sz val="9"/>
        <color rgb="FF595959"/>
        <rFont val="Arial"/>
        <family val="0"/>
        <charset val="1"/>
      </rPr>
      <t xml:space="preserve">689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50,762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</si>
  <si>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營業損益</t>
    </r>
  </si>
  <si>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50,762 − </t>
    </r>
    <r>
      <rPr>
        <sz val="9"/>
        <color rgb="FF595959"/>
        <rFont val="WenQuanYi Zen Hei"/>
        <family val="2"/>
      </rPr>
      <t xml:space="preserve">營業成本 </t>
    </r>
    <r>
      <rPr>
        <sz val="9"/>
        <color rgb="FF595959"/>
        <rFont val="Arial"/>
        <family val="0"/>
        <charset val="1"/>
      </rPr>
      <t xml:space="preserve">20,441 − D&amp;A 13,008 − </t>
    </r>
    <r>
      <rPr>
        <sz val="9"/>
        <color rgb="FF595959"/>
        <rFont val="WenQuanYi Zen Hei"/>
        <family val="2"/>
      </rPr>
      <t xml:space="preserve">減損 </t>
    </r>
    <r>
      <rPr>
        <sz val="9"/>
        <color rgb="FF595959"/>
        <rFont val="Arial"/>
        <family val="0"/>
        <charset val="1"/>
      </rPr>
      <t xml:space="preserve">5,006 − G&amp;A 32,582</t>
    </r>
    <r>
      <rPr>
        <sz val="9"/>
        <color rgb="FF595959"/>
        <rFont val="WenQuanYi Zen Hei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20,275 [Derived]</t>
    </r>
  </si>
  <si>
    <t xml:space="preserve">淨損</t>
  </si>
  <si>
    <r>
      <rPr>
        <sz val="9"/>
        <color rgb="FF595959"/>
        <rFont val="WenQuanYi Zen Hei"/>
        <family val="2"/>
      </rPr>
      <t xml:space="preserve">淨損 </t>
    </r>
    <r>
      <rPr>
        <sz val="9"/>
        <color rgb="FF595959"/>
        <rFont val="Arial"/>
        <family val="0"/>
        <charset val="1"/>
      </rPr>
      <t xml:space="preserve">27,018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</si>
  <si>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</si>
  <si>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r>
      <rPr>
        <sz val="9"/>
        <color rgb="FF595959"/>
        <rFont val="WenQuanYi Zen Hei"/>
        <family val="2"/>
      </rPr>
      <t xml:space="preserve">客戶預付流入（雲端＋資料中心）</t>
    </r>
    <r>
      <rPr>
        <sz val="9"/>
        <color rgb="FF595959"/>
        <rFont val="Arial"/>
        <family val="0"/>
        <charset val="1"/>
      </rPr>
      <t xml:space="preserve">72.6</t>
    </r>
    <r>
      <rPr>
        <sz val="9"/>
        <color rgb="FF595959"/>
        <rFont val="WenQuanYi Zen Hei"/>
        <family val="2"/>
      </rPr>
      <t xml:space="preserve">；已含在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內，僅供對照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</si>
  <si>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D&amp;A</t>
  </si>
  <si>
    <r>
      <rPr>
        <sz val="9"/>
        <color rgb="FF595959"/>
        <rFont val="WenQuanYi Zen Hei"/>
        <family val="2"/>
      </rPr>
      <t xml:space="preserve">折舊與攤銷 </t>
    </r>
    <r>
      <rPr>
        <sz val="9"/>
        <color rgb="FF595959"/>
        <rFont val="Arial"/>
        <family val="0"/>
        <charset val="1"/>
      </rPr>
      <t xml:space="preserve">13,008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6,441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6,567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</si>
  <si>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SBC</t>
  </si>
  <si>
    <r>
      <rPr>
        <sz val="9"/>
        <color rgb="FF595959"/>
        <rFont val="WenQuanYi Zen Hei"/>
        <family val="2"/>
      </rPr>
      <t xml:space="preserve">股份基礎給付 </t>
    </r>
    <r>
      <rPr>
        <sz val="9"/>
        <color rgb="FF595959"/>
        <rFont val="Arial"/>
        <family val="0"/>
        <charset val="1"/>
      </rPr>
      <t xml:space="preserve">11,017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Q1 7,346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3,671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</si>
  <si>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</si>
  <si>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27.018 ÷ </t>
    </r>
    <r>
      <rPr>
        <sz val="9"/>
        <color rgb="FF595959"/>
        <rFont val="WenQuanYi Zen Hei"/>
        <family val="2"/>
      </rPr>
      <t xml:space="preserve">加權股數約 </t>
    </r>
    <r>
      <rPr>
        <sz val="9"/>
        <color rgb="FF595959"/>
        <rFont val="Arial"/>
        <family val="0"/>
        <charset val="1"/>
      </rPr>
      <t xml:space="preserve">38.7m</t>
    </r>
    <r>
      <rPr>
        <sz val="9"/>
        <color rgb="FF595959"/>
        <rFont val="WenQuanYi Zen Hei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0.70 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Q2 GAAP −0.39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</si>
  <si>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</si>
  <si>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淨損 −</t>
    </r>
    <r>
      <rPr>
        <sz val="9"/>
        <color rgb="FF595959"/>
        <rFont val="Arial"/>
        <family val="0"/>
        <charset val="1"/>
      </rPr>
      <t xml:space="preserve">27.018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SBC 11.017)÷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38.7m</t>
    </r>
    <r>
      <rPr>
        <sz val="9"/>
        <color rgb="FF595959"/>
        <rFont val="WenQuanYi Zen Hei"/>
        <family val="2"/>
      </rPr>
      <t xml:space="preserve">＝−</t>
    </r>
    <r>
      <rPr>
        <sz val="9"/>
        <color rgb="FF595959"/>
        <rFont val="Arial"/>
        <family val="0"/>
        <charset val="1"/>
      </rPr>
      <t xml:space="preserve">0.41 [Derived]</t>
    </r>
  </si>
  <si>
    <t xml:space="preserve">股利支付（普通股＋特別股）</t>
  </si>
  <si>
    <r>
      <rPr>
        <sz val="9"/>
        <color rgb="FF595959"/>
        <rFont val="WenQuanYi Zen Hei"/>
        <family val="2"/>
      </rPr>
      <t xml:space="preserve">不發股利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</si>
  <si>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</si>
  <si>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3.001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5.535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 Q1 10-Q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MD&amp;A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調節表）；</t>
    </r>
    <r>
      <rPr>
        <sz val="9"/>
        <color rgb="FF595959"/>
        <rFont val="Arial"/>
        <family val="0"/>
        <charset val="1"/>
      </rPr>
      <t xml:space="preserve">Q2 2026 Q2 10-Q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MD&amp;A </t>
    </r>
    <r>
      <rPr>
        <sz val="9"/>
        <color rgb="FF595959"/>
        <rFont val="WenQuanYi Zen Hei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調節表，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WenQuanYi Zen Hei"/>
        <family val="2"/>
      </rPr>
      <t xml:space="preserve">）；調整後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（公司定義）＝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＋減損＋處分損益＋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含終止費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租賃終止成本約 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WenQuanYi Zen Hei"/>
        <family val="2"/>
      </rPr>
      <t xml:space="preserve">（二手）、呆帳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WenQuanYi Zen Hei"/>
        <family val="2"/>
      </rPr>
      <t xml:space="preserve">等一次性項目，扣除後經常性約 −</t>
    </r>
    <r>
      <rPr>
        <sz val="9"/>
        <color rgb="FF595959"/>
        <rFont val="Arial"/>
        <family val="0"/>
        <charset val="1"/>
      </rPr>
      <t xml:space="preserve">0.565 [Derived]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Q1 3.001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5.535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8.536</t>
    </r>
    <r>
      <rPr>
        <sz val="9"/>
        <color rgb="FF595959"/>
        <rFont val="WenQuanYi Zen Hei"/>
        <family val="2"/>
      </rPr>
      <t xml:space="preserve">（含一次性；首期實際照 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，對照表與審查留言第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條）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</si>
  <si>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認列：第一分部（</t>
    </r>
    <r>
      <rPr>
        <sz val="10"/>
        <rFont val="Arial"/>
        <family val="0"/>
        <charset val="1"/>
      </rPr>
      <t xml:space="preserve">GPU</t>
    </r>
    <r>
      <rPr>
        <sz val="10"/>
        <rFont val="WenQuanYi Zen Hei"/>
        <family val="2"/>
      </rPr>
      <t xml:space="preserve">）部分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</si>
  <si>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WenQuanYi Zen Hei"/>
        <family val="2"/>
      </rPr>
      <t xml:space="preserve">自動計算，勿手動輸入）</t>
    </r>
  </si>
  <si>
    <r>
      <rPr>
        <sz val="9"/>
        <color rgb="FF595959"/>
        <rFont val="WenQuanYi Zen Hei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WenQuanYi Zen Hei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</si>
  <si>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</si>
  <si>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只有已簽約</t>
  </si>
  <si>
    <r>
      <rPr>
        <sz val="10"/>
        <rFont val="WenQuanYi Zen Hei"/>
        <family val="2"/>
      </rPr>
      <t xml:space="preserve">情境區間運算表｜基準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</si>
  <si>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情境區間運算表｜積極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</si>
  <si>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WenQuanYi Zen Hei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data/consensus_wyfi_20261008.json</t>
    </r>
    <r>
      <rPr>
        <b val="true"/>
        <sz val="10"/>
        <rFont val="WenQuanYi Zen Hei"/>
        <family val="2"/>
      </rPr>
      <t xml:space="preserve">；只讀，不增補數字；下游只引用本區）</t>
    </r>
  </si>
  <si>
    <r>
      <rPr>
        <sz val="9"/>
        <color rgb="FF595959"/>
        <rFont val="WenQuanYi Zen Hei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WenQuanYi Zen Hei"/>
        <family val="2"/>
      </rPr>
      <t xml:space="preserve">＝可公開查證的事實（收盤價等）；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WenQuanYi Zen Hei"/>
        <family val="2"/>
      </rPr>
      <t xml:space="preserve">＝賣方分析師預估：有利益關係（承銷：</t>
    </r>
    <r>
      <rPr>
        <sz val="9"/>
        <color rgb="FF595959"/>
        <rFont val="Arial"/>
        <family val="0"/>
        <charset val="1"/>
      </rPr>
      <t xml:space="preserve">B. Riley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Needham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IPO </t>
    </r>
    <r>
      <rPr>
        <sz val="9"/>
        <color rgb="FF595959"/>
        <rFont val="WenQuanYi Zen Hei"/>
        <family val="2"/>
      </rPr>
      <t xml:space="preserve">主辦；</t>
    </r>
    <r>
      <rPr>
        <sz val="9"/>
        <color rgb="FF595959"/>
        <rFont val="Arial"/>
        <family val="0"/>
        <charset val="1"/>
      </rPr>
      <t xml:space="preserve">Barclays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2032 </t>
    </r>
    <r>
      <rPr>
        <sz val="9"/>
        <color rgb="FF595959"/>
        <rFont val="WenQuanYi Zen Hei"/>
        <family val="2"/>
      </rPr>
      <t xml:space="preserve">可轉債主辦），數字是意見而非事實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</si>
  <si>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</si>
  <si>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</si>
  <si>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</si>
  <si>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</si>
  <si>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</si>
  <si>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</si>
  <si>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</si>
  <si>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</si>
  <si>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Yahoo Finance </t>
    </r>
    <r>
      <rPr>
        <sz val="9"/>
        <color rgb="FF595959"/>
        <rFont val="WenQuanYi Zen Hei"/>
        <family val="2"/>
      </rPr>
      <t xml:space="preserve">報價頁｜</t>
    </r>
    <r>
      <rPr>
        <sz val="9"/>
        <color rgb="FF595959"/>
        <rFont val="Arial"/>
        <family val="0"/>
        <charset val="1"/>
      </rPr>
      <t xml:space="preserve">https://finance.yahoo.com/quote/wyfi</t>
    </r>
  </si>
  <si>
    <r>
      <rPr>
        <sz val="9"/>
        <color rgb="FF595959"/>
        <rFont val="WenQuanYi Zen Hei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</si>
  <si>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</si>
  <si>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2026-10-08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</si>
  <si>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</si>
  <si>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（自行彙整）｜</t>
    </r>
    <r>
      <rPr>
        <sz val="9"/>
        <color rgb="FF595959"/>
        <rFont val="Arial"/>
        <family val="0"/>
        <charset val="1"/>
      </rPr>
      <t xml:space="preserve">https://www.marketbeat.com/stocks/NASDAQ/WYFI/forecast</t>
    </r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</si>
  <si>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</si>
  <si>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</si>
  <si>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</si>
  <si>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</si>
  <si>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Moderate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</si>
  <si>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Investing.com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</si>
  <si>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Investing.com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https://www.investing.com/equities/whitefiber-consensus-estimates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</si>
  <si>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Investing.com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</si>
  <si>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Investing.com </t>
    </r>
    <r>
      <rPr>
        <sz val="10"/>
        <rFont val="WenQuanYi Zen Hei"/>
        <family val="2"/>
      </rPr>
      <t xml:space="preserve">對照評等</t>
    </r>
  </si>
  <si>
    <t xml:space="preserve">Strong Buy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</si>
  <si>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</si>
  <si>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https://finance.yahoo.com/quote/wyfi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</si>
  <si>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Simply Wall St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</si>
  <si>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Simply Wall St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WenQuanYi Zen Hei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https://simplywall.st/stocks/us/software/nasdaq-wyfi/whitefiber/future</t>
    </r>
  </si>
  <si>
    <r>
      <rPr>
        <sz val="9"/>
        <color rgb="FF595959"/>
        <rFont val="Arial"/>
        <family val="0"/>
        <charset val="1"/>
      </rPr>
      <t xml:space="preserve">2026-08-20 </t>
    </r>
    <r>
      <rPr>
        <sz val="9"/>
        <color rgb="FF595959"/>
        <rFont val="WenQuanYi Zen Hei"/>
        <family val="2"/>
      </rPr>
      <t xml:space="preserve">更新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</si>
  <si>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Simply Wall St </t>
    </r>
    <r>
      <rPr>
        <sz val="10"/>
        <rFont val="WenQuanYi Zen Hei"/>
        <family val="2"/>
      </rPr>
      <t xml:space="preserve">對照家數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</si>
  <si>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Benzinga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</si>
  <si>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Benzinga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https://www.benzinga.com/stock/WYFI</t>
    </r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</si>
  <si>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Tickflow </t>
    </r>
    <r>
      <rPr>
        <sz val="10"/>
        <rFont val="WenQuanYi Zen Hei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</si>
  <si>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Tickflow</t>
    </r>
    <r>
      <rPr>
        <sz val="9"/>
        <color rgb="FF595959"/>
        <rFont val="WenQuanYi Zen Hei"/>
        <family val="2"/>
      </rPr>
      <t xml:space="preserve">（來源未具名）｜</t>
    </r>
    <r>
      <rPr>
        <sz val="9"/>
        <color rgb="FF595959"/>
        <rFont val="Arial"/>
        <family val="0"/>
        <charset val="1"/>
      </rPr>
      <t xml:space="preserve">https://tickflow.io/stock/WYFI/forecast</t>
    </r>
  </si>
  <si>
    <t xml:space="preserve">頁面目標價區間自相矛盾，只列參考</t>
  </si>
  <si>
    <r>
      <rPr>
        <sz val="10"/>
        <rFont val="WenQuanYi Zen Hei"/>
        <family val="2"/>
      </rPr>
      <t xml:space="preserve">共識｜目標價｜</t>
    </r>
    <r>
      <rPr>
        <sz val="10"/>
        <rFont val="Arial"/>
        <family val="0"/>
        <charset val="1"/>
      </rPr>
      <t xml:space="preserve">Tickflow </t>
    </r>
    <r>
      <rPr>
        <sz val="10"/>
        <rFont val="WenQuanYi Zen Hei"/>
        <family val="2"/>
      </rPr>
      <t xml:space="preserve">對照家數</t>
    </r>
  </si>
  <si>
    <r>
      <rPr>
        <b val="true"/>
        <sz val="11"/>
        <color rgb="FFFFFFFF"/>
        <rFont val="WenQuanYi Zen Hei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</si>
  <si>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共識｜評等分布｜強力買進</t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</si>
  <si>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https://www.marketbeat.com/stocks/NASDAQ/WYFI/forecast</t>
    </r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</si>
  <si>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</si>
  <si>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</si>
  <si>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</si>
  <si>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</si>
  <si>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</si>
  <si>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WenQuanYi Zen Hei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FY27</t>
    </r>
    <r>
      <rPr>
        <b val="true"/>
        <sz val="11"/>
        <color rgb="FFFFFFFF"/>
        <rFont val="WenQuanYi Zen Hei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FY28</t>
    </r>
    <r>
      <rPr>
        <b val="true"/>
        <sz val="11"/>
        <color rgb="FFFFFFFF"/>
        <rFont val="WenQuanYi Zen Hei"/>
        <family val="2"/>
      </rPr>
      <t xml:space="preserve">）</t>
    </r>
  </si>
  <si>
    <t xml:space="preserve">共識｜年度｜營收</t>
  </si>
  <si>
    <t xml:space="preserve">共識｜年度｜淨利</t>
  </si>
  <si>
    <t xml:space="preserve">共識｜年度｜自由現金流</t>
  </si>
  <si>
    <t xml:space="preserve">共識｜年度｜口徑說明</t>
  </si>
  <si>
    <r>
      <rPr>
        <sz val="10"/>
        <rFont val="WenQuanYi Zen Hei"/>
        <family val="2"/>
      </rPr>
      <t xml:space="preserve">營收＝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總營收；淨利＝</t>
    </r>
    <r>
      <rPr>
        <sz val="10"/>
        <rFont val="Arial"/>
        <family val="0"/>
        <charset val="1"/>
      </rPr>
      <t xml:space="preserve">GAAP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共識未取得（找不到，非不存在）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</si>
  <si>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WenQuanYi Zen Hei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</si>
  <si>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對照｜營收（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</si>
  <si>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營收區間（低／高）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</si>
  <si>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</si>
  <si>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FY26 EPS </t>
    </r>
    <r>
      <rPr>
        <sz val="10"/>
        <rFont val="WenQuanYi Zen Hei"/>
        <family val="2"/>
      </rPr>
      <t xml:space="preserve">區間（低／高）</t>
    </r>
  </si>
  <si>
    <r>
      <rPr>
        <sz val="9"/>
        <color rgb="FF595959"/>
        <rFont val="Arial"/>
        <family val="0"/>
        <charset val="1"/>
      </rPr>
      <t xml:space="preserve">FY2027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28 </t>
    </r>
    <r>
      <rPr>
        <sz val="9"/>
        <color rgb="FF595959"/>
        <rFont val="WenQuanYi Zen Hei"/>
        <family val="2"/>
      </rPr>
      <t xml:space="preserve">為頁面季度預估加總（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），各季家數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WenQuanYi Zen Hei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差距大，只列參考</t>
    </r>
  </si>
  <si>
    <t xml:space="preserve">最新分析師動作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</si>
  <si>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2026-09-03 HC Wainwright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Mike Colonnese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</si>
  <si>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Buy</t>
    </r>
    <r>
      <rPr>
        <sz val="9"/>
        <color rgb="FF595959"/>
        <rFont val="WenQuanYi Zen Hei"/>
        <family val="2"/>
      </rPr>
      <t xml:space="preserve">（維持）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</si>
  <si>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2026-08-14 Barclays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Raimo Lenschow</t>
    </r>
    <r>
      <rPr>
        <sz val="10"/>
        <rFont val="WenQuanYi Zen Hei"/>
        <family val="2"/>
      </rPr>
      <t xml:space="preserve">）</t>
    </r>
  </si>
  <si>
    <t xml:space="preserve">Equal Weight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</si>
  <si>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2026-08-13 Needham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John Todaro</t>
    </r>
    <r>
      <rPr>
        <sz val="10"/>
        <rFont val="WenQuanYi Zen Hei"/>
        <family val="2"/>
      </rPr>
      <t xml:space="preserve">）</t>
    </r>
  </si>
  <si>
    <t xml:space="preserve">Buy</t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</si>
  <si>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2026-08-13 Cantor Fitzgerald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Brett Knoblauch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</si>
  <si>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Overweight</t>
    </r>
    <r>
      <rPr>
        <sz val="9"/>
        <color rgb="FF595959"/>
        <rFont val="WenQuanYi Zen Hei"/>
        <family val="2"/>
      </rPr>
      <t xml:space="preserve">（由 </t>
    </r>
    <r>
      <rPr>
        <sz val="9"/>
        <color rgb="FF595959"/>
        <rFont val="Arial"/>
        <family val="0"/>
        <charset val="1"/>
      </rPr>
      <t xml:space="preserve">Neutral </t>
    </r>
    <r>
      <rPr>
        <sz val="9"/>
        <color rgb="FF595959"/>
        <rFont val="WenQuanYi Zen Hei"/>
        <family val="2"/>
      </rPr>
      <t xml:space="preserve">升）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</si>
  <si>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2026-08-12 BTIG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Gregory Lewis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</si>
  <si>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2026-08-12 Weiss Ratings</t>
    </r>
  </si>
  <si>
    <t xml:space="preserve">目標價未列</t>
  </si>
  <si>
    <r>
      <rPr>
        <sz val="9"/>
        <color rgb="FF595959"/>
        <rFont val="Arial"/>
        <family val="0"/>
        <charset val="1"/>
      </rPr>
      <t xml:space="preserve">Sell (D-)</t>
    </r>
    <r>
      <rPr>
        <sz val="9"/>
        <color rgb="FF595959"/>
        <rFont val="WenQuanYi Zen Hei"/>
        <family val="2"/>
      </rPr>
      <t xml:space="preserve">（降）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</si>
  <si>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</si>
  <si>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</si>
  <si>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Simply Wall St </t>
    </r>
    <r>
      <rPr>
        <sz val="10"/>
        <rFont val="WenQuanYi Zen Hei"/>
        <family val="2"/>
      </rPr>
      <t xml:space="preserve">的預估來自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MarketBeat </t>
    </r>
    <r>
      <rPr>
        <sz val="10"/>
        <rFont val="WenQuanYi Zen Hei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Investing.com </t>
    </r>
    <r>
      <rPr>
        <sz val="10"/>
        <rFont val="WenQuanYi Zen Hei"/>
        <family val="2"/>
      </rPr>
      <t xml:space="preserve">自行彙整；</t>
    </r>
    <r>
      <rPr>
        <sz val="10"/>
        <rFont val="Arial"/>
        <family val="0"/>
        <charset val="1"/>
      </rPr>
      <t xml:space="preserve">Yahoo 1 </t>
    </r>
    <r>
      <rPr>
        <sz val="10"/>
        <rFont val="WenQuanYi Zen Hei"/>
        <family val="2"/>
      </rPr>
      <t xml:space="preserve">年目標價屬 </t>
    </r>
    <r>
      <rPr>
        <sz val="10"/>
        <rFont val="Arial"/>
        <family val="0"/>
        <charset val="1"/>
      </rPr>
      <t xml:space="preserve">LSEG </t>
    </r>
    <r>
      <rPr>
        <sz val="10"/>
        <rFont val="WenQuanYi Zen Hei"/>
        <family val="2"/>
      </rPr>
      <t xml:space="preserve">系；</t>
    </r>
    <r>
      <rPr>
        <sz val="10"/>
        <rFont val="Arial"/>
        <family val="0"/>
        <charset val="1"/>
      </rPr>
      <t xml:space="preserve">Tickflow </t>
    </r>
    <r>
      <rPr>
        <sz val="10"/>
        <rFont val="WenQuanYi Zen Hei"/>
        <family val="2"/>
      </rPr>
      <t xml:space="preserve">未具名來源。目標價四個呈現（</t>
    </r>
    <r>
      <rPr>
        <sz val="10"/>
        <rFont val="Arial"/>
        <family val="0"/>
        <charset val="1"/>
      </rPr>
      <t xml:space="preserve">MarketBeat 38.00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Investing 40.50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Yahoo 40.45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S&amp;P 40.89</t>
    </r>
    <r>
      <rPr>
        <sz val="10"/>
        <rFont val="WenQuanYi Zen Hei"/>
        <family val="2"/>
      </rPr>
      <t xml:space="preserve">）可視為至少三個獨立來源；營收預估只有 </t>
    </r>
    <r>
      <rPr>
        <sz val="10"/>
        <rFont val="Arial"/>
        <family val="0"/>
        <charset val="1"/>
      </rPr>
      <t xml:space="preserve">S&amp;P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Simply Wall St</t>
    </r>
    <r>
      <rPr>
        <sz val="10"/>
        <rFont val="WenQuanYi Zen Hei"/>
        <family val="2"/>
      </rPr>
      <t xml:space="preserve">）與 </t>
    </r>
    <r>
      <rPr>
        <sz val="10"/>
        <rFont val="Arial"/>
        <family val="0"/>
        <charset val="1"/>
      </rPr>
      <t xml:space="preserve">Tickflow </t>
    </r>
    <r>
      <rPr>
        <sz val="10"/>
        <rFont val="WenQuanYi Zen Hei"/>
        <family val="2"/>
      </rPr>
      <t xml:space="preserve">兩個呈現，</t>
    </r>
    <r>
      <rPr>
        <sz val="10"/>
        <rFont val="Arial"/>
        <family val="0"/>
        <charset val="1"/>
      </rPr>
      <t xml:space="preserve">FY2026 </t>
    </r>
    <r>
      <rPr>
        <sz val="10"/>
        <rFont val="WenQuanYi Zen Hei"/>
        <family val="2"/>
      </rPr>
      <t xml:space="preserve">一致（</t>
    </r>
    <r>
      <rPr>
        <sz val="10"/>
        <rFont val="Arial"/>
        <family val="0"/>
        <charset val="1"/>
      </rPr>
      <t xml:space="preserve">137 vs 138</t>
    </r>
    <r>
      <rPr>
        <sz val="10"/>
        <rFont val="WenQuanYi Zen Hei"/>
        <family val="2"/>
      </rPr>
      <t xml:space="preserve">），</t>
    </r>
    <r>
      <rPr>
        <sz val="10"/>
        <rFont val="Arial"/>
        <family val="0"/>
        <charset val="1"/>
      </rPr>
      <t xml:space="preserve">FY2027–28 </t>
    </r>
    <r>
      <rPr>
        <sz val="10"/>
        <rFont val="WenQuanYi Zen Hei"/>
        <family val="2"/>
      </rPr>
      <t xml:space="preserve">差距大（</t>
    </r>
    <r>
      <rPr>
        <sz val="10"/>
        <rFont val="Arial"/>
        <family val="0"/>
        <charset val="1"/>
      </rPr>
      <t xml:space="preserve">296 vs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261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530 vs </t>
    </r>
    <r>
      <rPr>
        <sz val="10"/>
        <rFont val="WenQuanYi Zen Hei"/>
        <family val="2"/>
      </rPr>
      <t xml:space="preserve">約 </t>
    </r>
    <r>
      <rPr>
        <sz val="10"/>
        <rFont val="Arial"/>
        <family val="0"/>
        <charset val="1"/>
      </rPr>
      <t xml:space="preserve">381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Tickflow </t>
    </r>
    <r>
      <rPr>
        <sz val="10"/>
        <rFont val="WenQuanYi Zen Hei"/>
        <family val="2"/>
      </rPr>
      <t xml:space="preserve">為季度預估加總、家數 </t>
    </r>
    <r>
      <rPr>
        <sz val="10"/>
        <rFont val="Arial"/>
        <family val="0"/>
        <charset val="1"/>
      </rPr>
      <t xml:space="preserve">2–3</t>
    </r>
    <r>
      <rPr>
        <sz val="10"/>
        <rFont val="WenQuanYi Zen Hei"/>
        <family val="2"/>
      </rPr>
      <t xml:space="preserve">），不算一致。</t>
    </r>
  </si>
  <si>
    <t xml:space="preserve">資料檔說明</t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</si>
  <si>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</si>
  <si>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共識（各年）——試過 </t>
    </r>
    <r>
      <rPr>
        <sz val="10"/>
        <rFont val="Arial"/>
        <family val="0"/>
        <charset val="1"/>
      </rPr>
      <t xml:space="preserve">Simply Wall St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Tickflow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vcpscanner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Investing.com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MarketBeat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Benzinga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StockAnalysis </t>
    </r>
    <r>
      <rPr>
        <sz val="10"/>
        <rFont val="WenQuanYi Zen Hei"/>
        <family val="2"/>
      </rPr>
      <t xml:space="preserve">被環境代理阻擋——找不到，非不存在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</si>
  <si>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</si>
  <si>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S&amp;P </t>
    </r>
    <r>
      <rPr>
        <sz val="10"/>
        <rFont val="WenQuanYi Zen Hei"/>
        <family val="2"/>
      </rPr>
      <t xml:space="preserve">經 </t>
    </r>
    <r>
      <rPr>
        <sz val="10"/>
        <rFont val="Arial"/>
        <family val="0"/>
        <charset val="1"/>
      </rPr>
      <t xml:space="preserve">StockAnalysis </t>
    </r>
    <r>
      <rPr>
        <sz val="10"/>
        <rFont val="WenQuanYi Zen Hei"/>
        <family val="2"/>
      </rPr>
      <t xml:space="preserve">的目標價分布（環境阻擋）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</si>
  <si>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</si>
  <si>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FY2029 </t>
    </r>
    <r>
      <rPr>
        <sz val="10"/>
        <rFont val="WenQuanYi Zen Hei"/>
        <family val="2"/>
      </rPr>
      <t xml:space="preserve">以後共識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</si>
  <si>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</si>
  <si>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WenQuanYi Zen Hei"/>
        <family val="2"/>
      </rPr>
      <t xml:space="preserve">季度共識（</t>
    </r>
    <r>
      <rPr>
        <sz val="10"/>
        <rFont val="Arial"/>
        <family val="0"/>
        <charset val="1"/>
      </rPr>
      <t xml:space="preserve">2026 Q3</t>
    </r>
    <r>
      <rPr>
        <sz val="10"/>
        <rFont val="WenQuanYi Zen Hei"/>
        <family val="2"/>
      </rPr>
      <t xml:space="preserve">）的獨立第二來源</t>
    </r>
  </si>
  <si>
    <r>
      <rPr>
        <sz val="10"/>
        <rFont val="WenQuanYi Zen Hei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</si>
  <si>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r>
      <rPr>
        <sz val="10"/>
        <rFont val="WenQuanYi Zen Hei"/>
        <family val="2"/>
      </rPr>
      <t xml:space="preserve">目標價的時間分布（多數設於 </t>
    </r>
    <r>
      <rPr>
        <sz val="10"/>
        <rFont val="Arial"/>
        <family val="0"/>
        <charset val="1"/>
      </rPr>
      <t xml:space="preserve">2026-08 </t>
    </r>
    <r>
      <rPr>
        <sz val="10"/>
        <rFont val="WenQuanYi Zen Hei"/>
        <family val="2"/>
      </rPr>
      <t xml:space="preserve">可轉債前）</t>
    </r>
  </si>
  <si>
    <r>
      <rPr>
        <sz val="10"/>
        <rFont val="WenQuanYi Zen Hei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</si>
  <si>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</si>
  <si>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</si>
  <si>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WenQuanYi Zen Hei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</si>
  <si>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WenQuanYi Zen Hei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WenQuanYi Zen Hei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</si>
  <si>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</si>
  <si>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</si>
  <si>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</si>
  <si>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</si>
  <si>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</si>
  <si>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</si>
  <si>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</si>
  <si>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r>
      <rPr>
        <sz val="10"/>
        <rFont val="WenQuanYi Zen Hei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</si>
  <si>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WenQuanYi Zen Hei"/>
        <family val="2"/>
      </rPr>
      <t xml:space="preserve">設定；拆分公式依此建置（改動需重建）</t>
    </r>
  </si>
  <si>
    <r>
      <rPr>
        <sz val="10"/>
        <rFont val="WenQuanYi Zen Hei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WenQuanYi Zen Hei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</si>
  <si>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</si>
  <si>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WenQuanYi Zen Hei"/>
        <family val="2"/>
      </rPr>
      <t xml:space="preserve">季度｜營收起點（</t>
    </r>
    <r>
      <rPr>
        <sz val="10"/>
        <rFont val="Arial"/>
        <family val="0"/>
        <charset val="1"/>
      </rPr>
      <t xml:space="preserve">Q2 2026 </t>
    </r>
    <r>
      <rPr>
        <sz val="10"/>
        <rFont val="WenQuanYi Zen Hei"/>
        <family val="2"/>
      </rPr>
      <t xml:space="preserve">經常性營收（扣除終止費 </t>
    </r>
    <r>
      <rPr>
        <sz val="10"/>
        <rFont val="Arial"/>
        <family val="0"/>
        <charset val="1"/>
      </rPr>
      <t xml:space="preserve">12.3</t>
    </r>
    <r>
      <rPr>
        <sz val="10"/>
        <rFont val="WenQuanYi Zen Hei"/>
        <family val="2"/>
      </rPr>
      <t xml:space="preserve">））</t>
    </r>
  </si>
  <si>
    <r>
      <rPr>
        <sz val="9"/>
        <color rgb="FF595959"/>
        <rFont val="WenQuanYi Zen Hei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WenQuanYi Zen Hei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</si>
  <si>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</si>
  <si>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WenQuanYi Zen Hei"/>
        <family val="2"/>
      </rPr>
      <t xml:space="preserve">）雲端已連網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：冰島 </t>
    </r>
    <r>
      <rPr>
        <sz val="9"/>
        <color rgb="FF595959"/>
        <rFont val="Arial"/>
        <family val="0"/>
        <charset val="1"/>
      </rPr>
      <t xml:space="preserve">5.5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；亞特蘭大與加拿大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未揭露，下限）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</si>
  <si>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季度實際｜營收</t>
  </si>
  <si>
    <t xml:space="preserve">實際數（公司公布）；空白＝待公布</t>
  </si>
  <si>
    <r>
      <rPr>
        <sz val="10"/>
        <rFont val="WenQuanYi Zen Hei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</si>
  <si>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</si>
  <si>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WenQuanYi Zen Hei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</si>
  <si>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季度實際｜季末雲端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（口徑不明）</t>
    </r>
  </si>
  <si>
    <t xml:space="preserve">季度實際｜來源</t>
  </si>
  <si>
    <t xml:space="preserve">季度實際｜日期</t>
  </si>
  <si>
    <t xml:space="preserve">季度實際｜標記</t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</si>
  <si>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</si>
  <si>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</si>
  <si>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</si>
  <si>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</si>
  <si>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WenQuanYi Zen Hei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</si>
  <si>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344.712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模型；對照公司全年指引 不適用（公司未給指引）。備忘列：用途合計採現金口徑，不用這一列</t>
    </r>
  </si>
  <si>
    <t xml:space="preserve">　客戶預付率</t>
  </si>
  <si>
    <r>
      <rPr>
        <sz val="10"/>
        <rFont val="WenQuanYi Zen Hei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</si>
  <si>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WenQuanYi Zen Hei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不計）；含託管建置（</t>
    </r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defaults.colo.coverPrepay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</si>
  <si>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</si>
  <si>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</si>
  <si>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</si>
  <si>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WenQuanYi Zen Hei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WenQuanYi Zen Hei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</si>
  <si>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</si>
  <si>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</si>
  <si>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</si>
  <si>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</si>
  <si>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WenQuanYi Zen Hei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</si>
  <si>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344.712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起採毛額，客戶預付在來源端抵回（避免重複計入）</t>
    </r>
  </si>
  <si>
    <r>
      <rPr>
        <sz val="10"/>
        <rFont val="WenQuanYi Zen Hei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</si>
  <si>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5.76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13.044 </t>
    </r>
    <r>
      <rPr>
        <sz val="9"/>
        <color rgb="FF595959"/>
        <rFont val="WenQuanYi Zen Hei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</si>
  <si>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</si>
  <si>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WenQuanYi Zen Hei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20.296 </t>
    </r>
    <r>
      <rPr>
        <sz val="9"/>
        <color rgb="FF595959"/>
        <rFont val="WenQuanYi Zen Hei"/>
        <family val="2"/>
      </rPr>
      <t xml:space="preserve">的現金路徑</t>
    </r>
  </si>
  <si>
    <r>
      <rPr>
        <sz val="10"/>
        <rFont val="Arial"/>
        <family val="0"/>
        <charset val="1"/>
      </rPr>
      <t xml:space="preserve">② GPU </t>
    </r>
    <r>
      <rPr>
        <sz val="10"/>
        <rFont val="WenQuanYi Zen Hei"/>
        <family val="2"/>
      </rPr>
      <t xml:space="preserve">租金（租賃設備）</t>
    </r>
  </si>
  <si>
    <r>
      <rPr>
        <sz val="9"/>
        <color rgb="FF595959"/>
        <rFont val="WenQuanYi Zen Hei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租賃部分的固定租金（『輸入與假設』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區；</t>
    </r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WenQuanYi Zen Hei"/>
        <family val="2"/>
      </rPr>
      <t xml:space="preserve">）</t>
    </r>
  </si>
  <si>
    <t xml:space="preserve">　租金合計</t>
  </si>
  <si>
    <r>
      <rPr>
        <sz val="9"/>
        <color rgb="FF595959"/>
        <rFont val="WenQuanYi Zen Hei"/>
        <family val="2"/>
      </rPr>
      <t xml:space="preserve">租金已含在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率內（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營業租賃費用屬營業費用）：營運來源以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率＋租金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營收計（租前），此列再扣，淨效果中性</t>
    </r>
  </si>
  <si>
    <r>
      <rPr>
        <sz val="10"/>
        <rFont val="WenQuanYi Zen Hei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</si>
  <si>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</si>
  <si>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WenQuanYi Zen Hei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</si>
  <si>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</si>
  <si>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WenQuanYi Zen Hei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</si>
  <si>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</si>
  <si>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WenQuanYi Zen Hei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</si>
  <si>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</si>
  <si>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WenQuanYi Zen Hei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</si>
  <si>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WenQuanYi Zen Hei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0.000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WenQuanYi Zen Hei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</si>
  <si>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</si>
  <si>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WenQuanYi Zen Hei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WenQuanYi Zen Hei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</si>
  <si>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</si>
  <si>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WenQuanYi Zen Hei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WenQuanYi Zen Hei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率已含電費，預設關閉</t>
    </r>
  </si>
  <si>
    <r>
      <rPr>
        <sz val="10"/>
        <rFont val="WenQuanYi Zen Hei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WenQuanYi Zen Hei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</si>
  <si>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</si>
  <si>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12.599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5.373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</si>
  <si>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WenQuanYi Zen Hei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</si>
  <si>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9"/>
        <color rgb="FF595959"/>
        <rFont val="WenQuanYi Zen Hei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WenQuanYi Zen Hei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</si>
  <si>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</si>
  <si>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WenQuanYi Zen Hei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</si>
  <si>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</si>
  <si>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WenQuanYi Zen Hei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</si>
  <si>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</si>
  <si>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WenQuanYi Zen Hei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</si>
  <si>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</si>
  <si>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WenQuanYi Zen Hei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</si>
  <si>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</si>
  <si>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</si>
  <si>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WenQuanYi Zen Hei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</si>
  <si>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WenQuanYi Zen Hei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</si>
  <si>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WenQuanYi Zen Hei"/>
        <family val="2"/>
      </rPr>
      <t xml:space="preserve">託管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</si>
  <si>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WenQuanYi Zen Hei"/>
        <family val="2"/>
      </rPr>
      <t xml:space="preserve">、軟體、硬體、服務四線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，視為現金（現金稅另列於用途；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</si>
  <si>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WenQuanYi Zen Hei"/>
        <family val="2"/>
      </rPr>
      <t xml:space="preserve">減：延誤罰則（營業費用）</t>
    </r>
  </si>
  <si>
    <r>
      <rPr>
        <sz val="9"/>
        <color rgb="FF595959"/>
        <rFont val="WenQuanYi Zen Hei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</si>
  <si>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</si>
  <si>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WenQuanYi Zen Hei"/>
        <family val="2"/>
      </rPr>
      <t xml:space="preserve">減：預付認列（非現金營收）</t>
    </r>
  </si>
  <si>
    <r>
      <rPr>
        <sz val="9"/>
        <color rgb="FF595959"/>
        <rFont val="WenQuanYi Zen Hei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</si>
  <si>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營運來源合計</t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</si>
  <si>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</si>
  <si>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未發行普通股（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WenQuanYi Zen Hei"/>
        <family val="2"/>
      </rPr>
      <t xml:space="preserve">可轉債交換發行約 </t>
    </r>
    <r>
      <rPr>
        <sz val="9"/>
        <color rgb="FF595959"/>
        <rFont val="Arial"/>
        <family val="0"/>
        <charset val="1"/>
      </rPr>
      <t xml:space="preserve">6.3M </t>
    </r>
    <r>
      <rPr>
        <sz val="9"/>
        <color rgb="FF595959"/>
        <rFont val="WenQuanYi Zen Hei"/>
        <family val="2"/>
      </rPr>
      <t xml:space="preserve">股為以股換債，列於期後事件）；另含期後事件現金淨額（『輸入與假設』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區，</t>
    </r>
    <r>
      <rPr>
        <sz val="9"/>
        <color rgb="FF595959"/>
        <rFont val="Arial"/>
        <family val="0"/>
        <charset val="1"/>
      </rPr>
      <t xml:space="preserve">WhiteFiber 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</si>
  <si>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WenQuanYi Zen Hei"/>
        <family val="2"/>
      </rPr>
      <t xml:space="preserve">實際借款（融資）</t>
    </r>
  </si>
  <si>
    <r>
      <rPr>
        <sz val="9"/>
        <color rgb="FF595959"/>
        <rFont val="WenQuanYi Zen Hei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WenQuanYi Zen Hei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304.526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WenQuanYi Zen Hei"/>
        <family val="2"/>
      </rPr>
      <t xml:space="preserve">可轉債）</t>
    </r>
  </si>
  <si>
    <r>
      <rPr>
        <sz val="10"/>
        <rFont val="Arial"/>
        <family val="0"/>
        <charset val="1"/>
      </rPr>
      <t xml:space="preserve">Ⓕ2 NC-1 </t>
    </r>
    <r>
      <rPr>
        <sz val="10"/>
        <rFont val="WenQuanYi Zen Hei"/>
        <family val="2"/>
      </rPr>
      <t xml:space="preserve">專案貸款動用（融資）</t>
    </r>
  </si>
  <si>
    <r>
      <rPr>
        <sz val="9"/>
        <color rgb="FF595959"/>
        <rFont val="WenQuanYi Zen Hei"/>
        <family val="2"/>
      </rPr>
      <t xml:space="preserve">排程貸款：動用期期初一次到位，先於瀑布（見『資產負債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既有債務』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專案貸款；</t>
    </r>
    <r>
      <rPr>
        <sz val="9"/>
        <color rgb="FF595959"/>
        <rFont val="Arial"/>
        <family val="0"/>
        <charset val="1"/>
      </rPr>
      <t xml:space="preserve">WhiteFiber v0.1c</t>
    </r>
    <r>
      <rPr>
        <sz val="9"/>
        <color rgb="FF595959"/>
        <rFont val="WenQuanYi Zen Hei"/>
        <family val="2"/>
      </rPr>
      <t xml:space="preserve">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</si>
  <si>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</si>
  <si>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</si>
  <si>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WenQuanYi Zen Hei"/>
        <family val="2"/>
      </rPr>
      <t xml:space="preserve">瀑布：可轉債</t>
    </r>
  </si>
  <si>
    <r>
      <rPr>
        <sz val="9"/>
        <color rgb="FF595959"/>
        <rFont val="WenQuanYi Zen Hei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</si>
  <si>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</si>
  <si>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</si>
  <si>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</si>
  <si>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WenQuanYi Zen Hei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</si>
  <si>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</si>
  <si>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</si>
  <si>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</si>
  <si>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9"/>
        <color rgb="FF595959"/>
        <rFont val="WenQuanYi Zen Hei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</si>
  <si>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</si>
  <si>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WenQuanYi Zen Hei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WenQuanYi Zen Hei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</si>
  <si>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</si>
  <si>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</si>
  <si>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</si>
  <si>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WenQuanYi Zen Hei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</si>
  <si>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</si>
  <si>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WenQuanYi Zen Hei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</si>
  <si>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</si>
  <si>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WenQuanYi Zen Hei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WenQuanYi Zen Hei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</si>
  <si>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</si>
  <si>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WenQuanYi Zen Hei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5.76</t>
    </r>
    <r>
      <rPr>
        <sz val="9"/>
        <color rgb="FF595959"/>
        <rFont val="WenQuanYi Zen Hei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</si>
  <si>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</si>
  <si>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WenQuanYi Zen Hei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WenQuanYi Zen Hei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</si>
  <si>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</si>
  <si>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</si>
  <si>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</si>
  <si>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</si>
  <si>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</si>
  <si>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WenQuanYi Zen Hei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</si>
  <si>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</si>
  <si>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</si>
  <si>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WenQuanYi Zen Hei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</si>
  <si>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r>
      <rPr>
        <sz val="10"/>
        <rFont val="WenQuanYi Zen Hei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</si>
  <si>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</si>
  <si>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</si>
  <si>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</si>
  <si>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75.146</t>
    </r>
    <r>
      <rPr>
        <sz val="9"/>
        <color rgb="FF595959"/>
        <rFont val="WenQuanYi Zen Hei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</si>
  <si>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年期）</t>
    </r>
  </si>
  <si>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</si>
  <si>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</si>
  <si>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</si>
  <si>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315.339)</t>
    </r>
    <r>
      <rPr>
        <sz val="9"/>
        <color rgb="FF595959"/>
        <rFont val="WenQuanYi Zen Hei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專案貸款期末餘額（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</si>
  <si>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債務上限（倍數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</si>
  <si>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WenQuanYi Zen Hei"/>
        <family val="2"/>
      </rPr>
      <t xml:space="preserve">（模板）</t>
    </r>
  </si>
  <si>
    <t xml:space="preserve">未動用額度（期初）</t>
  </si>
  <si>
    <r>
      <rPr>
        <sz val="9"/>
        <color rgb="FF595959"/>
        <rFont val="WenQuanYi Zen Hei"/>
        <family val="2"/>
      </rPr>
      <t xml:space="preserve">＝前期期末未動用（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專案貸款改為排程貸款，不在額度內；</t>
    </r>
    <r>
      <rPr>
        <sz val="9"/>
        <color rgb="FF595959"/>
        <rFont val="Arial"/>
        <family val="0"/>
        <charset val="1"/>
      </rPr>
      <t xml:space="preserve">WhiteFiber v0.1c</t>
    </r>
    <r>
      <rPr>
        <sz val="9"/>
        <color rgb="FF595959"/>
        <rFont val="WenQuanYi Zen Hei"/>
        <family val="2"/>
      </rPr>
      <t xml:space="preserve">）</t>
    </r>
  </si>
  <si>
    <t xml:space="preserve">新債可借上限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</si>
  <si>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WenQuanYi Zen Hei"/>
        <family val="2"/>
      </rPr>
      <t xml:space="preserve">上限 −（既有債務 −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專案貸款）−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；專案貸款以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合約現金流與資產獨立核貸，不占公司層級上限（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）</t>
    </r>
  </si>
  <si>
    <t xml:space="preserve">新債舉借</t>
  </si>
  <si>
    <r>
      <rPr>
        <sz val="9"/>
        <color rgb="FF595959"/>
        <rFont val="WenQuanYi Zen Hei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WenQuanYi Zen Hei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</si>
  <si>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</si>
  <si>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</si>
  <si>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WenQuanYi Zen Hei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</si>
  <si>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</si>
  <si>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</si>
  <si>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</si>
  <si>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</si>
  <si>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WenQuanYi Zen Hei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45.1197m </t>
    </r>
    <r>
      <rPr>
        <sz val="9"/>
        <color rgb="FF595959"/>
        <rFont val="WenQuanYi Zen Hei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WenQuanYi Zen Hei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</si>
  <si>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</si>
  <si>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</si>
  <si>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</si>
  <si>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WenQuanYi Zen Hei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</si>
  <si>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WenQuanYi Zen Hei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WenQuanYi Zen Hei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</si>
  <si>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</si>
  <si>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</si>
  <si>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</si>
  <si>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</si>
  <si>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</si>
  <si>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</si>
  <si>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</si>
  <si>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</si>
  <si>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</si>
  <si>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</si>
  <si>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WenQuanYi Zen Hei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WenQuanYi Zen Hei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</si>
  <si>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</si>
  <si>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</si>
  <si>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</si>
  <si>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</si>
  <si>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其他／受限現金調節</t>
    </r>
  </si>
  <si>
    <r>
      <rPr>
        <sz val="10"/>
        <rFont val="WenQuanYi Zen Hei"/>
        <family val="2"/>
      </rPr>
      <t xml:space="preserve">＋ 瀑布新債＋可轉債＋股權＋高息債＋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專案貸款合計</t>
    </r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</si>
  <si>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</si>
  <si>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</si>
  <si>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</si>
  <si>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WenQuanYi Zen Hei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</si>
  <si>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</si>
  <si>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FY26 </t>
    </r>
    <r>
      <rPr>
        <b val="true"/>
        <sz val="10"/>
        <rFont val="WenQuanYi Zen Hei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</si>
  <si>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</si>
  <si>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t xml:space="preserve">公司指引 不適用（公司未給指引）</t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</si>
  <si>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</si>
  <si>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公司指引 不適用（公司未給指引）（公司未給資本支出指引（不適用））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</si>
  <si>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</si>
  <si>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</si>
  <si>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WenQuanYi Zen Hei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</si>
  <si>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13.044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</si>
  <si>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</si>
  <si>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12.599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5.373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</si>
  <si>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</si>
  <si>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WenQuanYi Zen Hei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</si>
  <si>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WenQuanYi Zen Hei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</si>
  <si>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</si>
  <si>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</si>
  <si>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</si>
  <si>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</si>
  <si>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</si>
  <si>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</si>
  <si>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</si>
  <si>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</si>
  <si>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模型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</si>
  <si>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</si>
  <si>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指引中點</t>
    </r>
  </si>
  <si>
    <r>
      <rPr>
        <b val="true"/>
        <sz val="11"/>
        <color rgb="FFFFFFFF"/>
        <rFont val="WenQuanYi Zen Hei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WenQuanYi Zen Hei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共識</t>
    </r>
  </si>
  <si>
    <r>
      <rPr>
        <b val="true"/>
        <sz val="11"/>
        <color rgb="FFFFFFFF"/>
        <rFont val="WenQuanYi Zen Hei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</si>
  <si>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r>
      <rPr>
        <b val="true"/>
        <sz val="11"/>
        <color rgb="FFFFFFFF"/>
        <rFont val="WenQuanYi Zen Hei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WenQuanYi Zen Hei"/>
        <family val="2"/>
      </rPr>
      <t xml:space="preserve">指引</t>
    </r>
  </si>
  <si>
    <t xml:space="preserve">焦點｜營收</t>
  </si>
  <si>
    <t xml:space="preserve">不適用</t>
  </si>
  <si>
    <r>
      <rPr>
        <sz val="10"/>
        <rFont val="WenQuanYi Zen Hei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</si>
  <si>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</si>
  <si>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焦點｜調整後營業利益</t>
  </si>
  <si>
    <r>
      <rPr>
        <sz val="10"/>
        <rFont val="WenQuanYi Zen Hei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</si>
  <si>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焦點｜季末雲端已連網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</si>
  <si>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</si>
  <si>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</si>
  <si>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WenQuanYi Zen Hei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WenQuanYi Zen Hei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</si>
  <si>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</si>
  <si>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FY27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</si>
  <si>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</si>
  <si>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WenQuanYi Zen Hei"/>
        <family val="2"/>
      </rPr>
      <t xml:space="preserve">軸</t>
    </r>
  </si>
  <si>
    <r>
      <rPr>
        <sz val="10"/>
        <rFont val="WenQuanYi Zen Hei"/>
        <family val="2"/>
      </rPr>
      <t xml:space="preserve">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（模型）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</si>
  <si>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WenQuanYi Zen Hei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</t>
    </r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</si>
  <si>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WenQuanYi Zen Hei"/>
        <family val="2"/>
      </rPr>
      <t xml:space="preserve">，拆分依據）</t>
    </r>
  </si>
  <si>
    <r>
      <rPr>
        <sz val="9"/>
        <color rgb="FF595959"/>
        <rFont val="WenQuanYi Zen Hei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WenQuanYi Zen Hei"/>
        <family val="2"/>
      </rPr>
      <t xml:space="preserve">之間線性內插的季平均</t>
    </r>
  </si>
  <si>
    <r>
      <rPr>
        <sz val="10"/>
        <rFont val="WenQuanYi Zen Hei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</si>
  <si>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拆分依據</t>
    </r>
  </si>
  <si>
    <t xml:space="preserve">營收（模型）</t>
  </si>
  <si>
    <r>
      <rPr>
        <sz val="9"/>
        <color rgb="FF595959"/>
        <rFont val="WenQuanYi Zen Hei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WenQuanYi Zen Hei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</si>
  <si>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</si>
  <si>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WenQuanYi Zen Hei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FY27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</si>
  <si>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</si>
  <si>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</si>
  <si>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WenQuanYi Zen Hei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</si>
  <si>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WenQuanYi Zen Hei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WenQuanYi Zen Hei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WenQuanYi Zen Hei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</si>
  <si>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率（模型）</t>
    </r>
  </si>
  <si>
    <r>
      <rPr>
        <sz val="9"/>
        <color rgb="FF595959"/>
        <rFont val="WenQuanYi Zen Hei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加總＝年度</t>
    </r>
  </si>
  <si>
    <r>
      <rPr>
        <sz val="10"/>
        <rFont val="WenQuanYi Zen Hei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</si>
  <si>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</si>
  <si>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WenQuanYi Zen Hei"/>
        <family val="2"/>
      </rPr>
      <t xml:space="preserve">依期內平均 </t>
    </r>
    <r>
      <rPr>
        <sz val="9"/>
        <color rgb="FF595959"/>
        <rFont val="Arial"/>
        <family val="0"/>
        <charset val="1"/>
      </rPr>
      <t xml:space="preserve">PP&amp;E</t>
    </r>
    <r>
      <rPr>
        <sz val="9"/>
        <color rgb="FF595959"/>
        <rFont val="WenQuanYi Zen Hei"/>
        <family val="2"/>
      </rPr>
      <t xml:space="preserve">（與年度車隊折舊公式相同；含託管建物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</si>
  <si>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</si>
  <si>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WenQuanYi Zen Hei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車隊折舊（未扣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</si>
  <si>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（毛額）（模型）</t>
    </r>
  </si>
  <si>
    <r>
      <rPr>
        <sz val="9"/>
        <color rgb="FF595959"/>
        <rFont val="WenQuanYi Zen Hei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</si>
  <si>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</si>
  <si>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</si>
  <si>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</si>
  <si>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</si>
  <si>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WenQuanYi Zen Hei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共識營收</t>
    </r>
  </si>
  <si>
    <t xml:space="preserve">實際｜營收</t>
  </si>
  <si>
    <r>
      <rPr>
        <sz val="10"/>
        <rFont val="WenQuanYi Zen Hei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</si>
  <si>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</si>
  <si>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WenQuanYi Zen Hei"/>
        <family val="2"/>
      </rPr>
      <t xml:space="preserve">實際營收</t>
    </r>
  </si>
  <si>
    <t xml:space="preserve">實際｜調整後營業利益</t>
  </si>
  <si>
    <r>
      <rPr>
        <sz val="10"/>
        <rFont val="WenQuanYi Zen Hei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</si>
  <si>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實際｜季末雲端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（口徑不明）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</si>
  <si>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</si>
  <si>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</si>
  <si>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</si>
  <si>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</si>
  <si>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</si>
  <si>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</si>
  <si>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</si>
  <si>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</si>
  <si>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</si>
  <si>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</si>
  <si>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</si>
  <si>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</si>
  <si>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</si>
  <si>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</si>
  <si>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</si>
  <si>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</si>
  <si>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</si>
  <si>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</si>
  <si>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</si>
  <si>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</si>
  <si>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</si>
  <si>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</si>
  <si>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</si>
  <si>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</si>
  <si>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</si>
  <si>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</si>
  <si>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</si>
  <si>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</si>
  <si>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</si>
  <si>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</si>
  <si>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</si>
  <si>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</si>
  <si>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</si>
  <si>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</si>
  <si>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</si>
  <si>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</si>
  <si>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</si>
  <si>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</si>
  <si>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</si>
  <si>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差距｜季末雲端已連網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</si>
  <si>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</si>
  <si>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t xml:space="preserve">所屬期間的季度共識合計</t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</si>
  <si>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</si>
  <si>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比較的季占比</t>
    </r>
  </si>
  <si>
    <r>
      <rPr>
        <sz val="10"/>
        <rFont val="WenQuanYi Zen Hei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</si>
  <si>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WenQuanYi Zen Hei"/>
        <family val="2"/>
      </rPr>
      <t xml:space="preserve">模型期間；水準＋分配＝季度差距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</si>
  <si>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</si>
  <si>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</si>
  <si>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</si>
  <si>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</si>
  <si>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</si>
  <si>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</si>
  <si>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</si>
  <si>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共識｜水準</t>
    </r>
  </si>
  <si>
    <r>
      <rPr>
        <sz val="10"/>
        <rFont val="WenQuanYi Zen Hei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共識｜分配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</si>
  <si>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</si>
  <si>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</si>
  <si>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</si>
  <si>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</si>
  <si>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</si>
  <si>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</si>
  <si>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</si>
  <si>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</si>
  <si>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</si>
  <si>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</si>
  <si>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</si>
  <si>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</si>
  <si>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</si>
  <si>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</si>
  <si>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</si>
  <si>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</si>
  <si>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</si>
  <si>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</si>
  <si>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</si>
  <si>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原因類型｜季末雲端已連網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共識</t>
    </r>
  </si>
  <si>
    <r>
      <rPr>
        <sz val="10"/>
        <rFont val="WenQuanYi Zen Hei"/>
        <family val="2"/>
      </rPr>
      <t xml:space="preserve">原因｜季末雲端已連網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</si>
  <si>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原因類型｜季末雲端已連網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指引中點</t>
    </r>
  </si>
  <si>
    <r>
      <rPr>
        <sz val="10"/>
        <rFont val="WenQuanYi Zen Hei"/>
        <family val="2"/>
      </rPr>
      <t xml:space="preserve">原因｜季末雲端已連網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</si>
  <si>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r>
      <rPr>
        <sz val="10"/>
        <rFont val="WenQuanYi Zen Hei"/>
        <family val="2"/>
      </rPr>
      <t xml:space="preserve">原因類型｜季末雲端已連網 </t>
    </r>
    <r>
      <rPr>
        <sz val="10"/>
        <rFont val="Arial"/>
        <family val="0"/>
        <charset val="1"/>
      </rPr>
      <t xml:space="preserve">MW-IT</t>
    </r>
    <r>
      <rPr>
        <sz val="10"/>
        <rFont val="WenQuanYi Zen Hei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</si>
  <si>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</si>
  <si>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</si>
  <si>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WenQuanYi Zen Hei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</si>
  <si>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</si>
  <si>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WenQuanYi Zen Hei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</si>
  <si>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原因標籤｜季末雲端已連網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</si>
  <si>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</si>
  <si>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WenQuanYi Zen Hei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</si>
  <si>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</t>
    </r>
  </si>
  <si>
    <t xml:space="preserve">句｜調整後營業利益</t>
  </si>
  <si>
    <r>
      <rPr>
        <sz val="10"/>
        <rFont val="WenQuanYi Zen Hei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</si>
  <si>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r>
      <rPr>
        <sz val="10"/>
        <rFont val="WenQuanYi Zen Hei"/>
        <family val="2"/>
      </rPr>
      <t xml:space="preserve">句｜季末雲端已連網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</si>
  <si>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WenQuanYi Zen Hei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WenQuanYi Zen Hei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FY27</t>
    </r>
    <r>
      <rPr>
        <b val="true"/>
        <sz val="10"/>
        <rFont val="WenQuanYi Zen Hei"/>
        <family val="2"/>
      </rPr>
      <t xml:space="preserve">）</t>
    </r>
  </si>
  <si>
    <t xml:space="preserve">核對｜營收</t>
  </si>
  <si>
    <r>
      <rPr>
        <sz val="10"/>
        <rFont val="WenQuanYi Zen Hei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</si>
  <si>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</si>
  <si>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WenQuanYi Zen Hei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（毛額）</t>
    </r>
  </si>
  <si>
    <t xml:space="preserve">核對｜車隊折舊</t>
  </si>
  <si>
    <r>
      <rPr>
        <b val="true"/>
        <sz val="14"/>
        <rFont val="WenQuanYi Zen Hei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機房產能</t>
    </r>
  </si>
  <si>
    <r>
      <rPr>
        <sz val="9"/>
        <color rgb="FF595959"/>
        <rFont val="WenQuanYi Zen Hei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WenQuanYi Zen Hei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</si>
  <si>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</si>
  <si>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</si>
  <si>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</si>
  <si>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</si>
  <si>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WenQuanYi Zen Hei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</si>
  <si>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</si>
  <si>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WenQuanYi Zen Hei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</si>
  <si>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</si>
  <si>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WenQuanYi Zen Hei"/>
        <family val="2"/>
      </rPr>
      <t xml:space="preserve">（延誤後，計費用）</t>
    </r>
  </si>
  <si>
    <r>
      <rPr>
        <sz val="9"/>
        <color rgb="FF595959"/>
        <rFont val="WenQuanYi Zen Hei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WenQuanYi Zen Hei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</si>
  <si>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</si>
  <si>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</si>
  <si>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欄為下半年平均）</t>
    </r>
  </si>
  <si>
    <r>
      <rPr>
        <sz val="9"/>
        <color rgb="FF595959"/>
        <rFont val="WenQuanYi Zen Hei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WenQuanYi Zen Hei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</si>
  <si>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</si>
  <si>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WenQuanYi Zen Hei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期間係數。只看機房，不看合約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</si>
  <si>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</si>
  <si>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WenQuanYi Zen Hei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WenQuanYi Zen Hei"/>
        <family val="2"/>
      </rPr>
      <t xml:space="preserve">（模型期，依季報桶分攤）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</si>
  <si>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WenQuanYi Zen Hei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WenQuanYi Zen Hei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五期認列比例。只看合約，不看機房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</si>
  <si>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</si>
  <si>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</si>
  <si>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</si>
  <si>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WenQuanYi Zen Hei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轉換收入（模型期）</t>
    </r>
  </si>
  <si>
    <r>
      <rPr>
        <sz val="9"/>
        <color rgb="FF595959"/>
        <rFont val="WenQuanYi Zen Hei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WenQuanYi Zen Hei"/>
        <family val="2"/>
      </rPr>
      <t xml:space="preserve">時，此值恆等於容量上限</t>
    </r>
  </si>
  <si>
    <r>
      <rPr>
        <sz val="10"/>
        <rFont val="WenQuanYi Zen Hei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</si>
  <si>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</si>
  <si>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</si>
  <si>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</si>
  <si>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）</t>
    </r>
  </si>
  <si>
    <t xml:space="preserve">未售產能（浪費）</t>
  </si>
  <si>
    <r>
      <rPr>
        <sz val="9"/>
        <color rgb="FF595959"/>
        <rFont val="WenQuanYi Zen Hei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</si>
  <si>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</si>
  <si>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</si>
  <si>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WenQuanYi Zen Hei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</si>
  <si>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</si>
  <si>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</si>
  <si>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WenQuanYi Zen Hei"/>
        <family val="2"/>
      </rPr>
      <t xml:space="preserve">個月內轉換的對照用（只作對照，不驅動營收）</t>
    </r>
  </si>
  <si>
    <r>
      <rPr>
        <sz val="10"/>
        <rFont val="WenQuanYi Zen Hei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</si>
  <si>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r>
      <rPr>
        <sz val="9"/>
        <color rgb="FF595959"/>
        <rFont val="WenQuanYi Zen Hei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75.146 × 36 </t>
    </r>
    <r>
      <rPr>
        <sz val="9"/>
        <color rgb="FF595959"/>
        <rFont val="WenQuanYi Zen Hei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（含託管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</si>
  <si>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</si>
  <si>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WenQuanYi Zen Hei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</si>
  <si>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實際＋模型期算力＋服務＋託管）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</si>
  <si>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欄對照公司全年指引 不適用（公司未給指引）；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以後即為該年度總營收</t>
    </r>
  </si>
  <si>
    <r>
      <rPr>
        <b val="true"/>
        <sz val="10"/>
        <color rgb="FF1F3864"/>
        <rFont val="WenQuanYi Zen Hei"/>
        <family val="2"/>
      </rPr>
      <t xml:space="preserve">▸ 對照：合約隱含每 </t>
    </r>
    <r>
      <rPr>
        <b val="true"/>
        <sz val="10"/>
        <color rgb="FF1F3864"/>
        <rFont val="Arial"/>
        <family val="0"/>
        <charset val="1"/>
      </rPr>
      <t xml:space="preserve">MW-IT </t>
    </r>
    <r>
      <rPr>
        <b val="true"/>
        <sz val="10"/>
        <color rgb="FF1F3864"/>
        <rFont val="WenQuanYi Zen Hei"/>
        <family val="2"/>
      </rPr>
      <t xml:space="preserve">年收入 </t>
    </r>
    <r>
      <rPr>
        <b val="true"/>
        <sz val="10"/>
        <color rgb="FF1F3864"/>
        <rFont val="Arial"/>
        <family val="0"/>
        <charset val="1"/>
      </rPr>
      <t xml:space="preserve">vs Tokenomics</t>
    </r>
    <r>
      <rPr>
        <b val="true"/>
        <sz val="10"/>
        <color rgb="FF1F3864"/>
        <rFont val="WenQuanYi Zen Hei"/>
        <family val="2"/>
      </rPr>
      <t xml:space="preserve">（只作對照，不作輸入）</t>
    </r>
  </si>
  <si>
    <t xml:space="preserve">合約</t>
  </si>
  <si>
    <t xml:space="preserve">合約隱含</t>
  </si>
  <si>
    <r>
      <rPr>
        <b val="true"/>
        <sz val="11"/>
        <color rgb="FFFFFFFF"/>
        <rFont val="Arial"/>
        <family val="0"/>
        <charset val="1"/>
      </rPr>
      <t xml:space="preserve">Tokenomics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FY26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</si>
  <si>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合約 </t>
    </r>
    <r>
      <rPr>
        <b val="true"/>
        <sz val="11"/>
        <color rgb="FFFFFFFF"/>
        <rFont val="Arial"/>
        <family val="0"/>
        <charset val="1"/>
      </rPr>
      <t xml:space="preserve">÷ Tokenomics</t>
    </r>
  </si>
  <si>
    <r>
      <rPr>
        <sz val="9"/>
        <color rgb="FF595959"/>
        <rFont val="WenQuanYi Zen Hei"/>
        <family val="2"/>
      </rPr>
      <t xml:space="preserve">合約隱含每 </t>
    </r>
    <r>
      <rPr>
        <sz val="9"/>
        <color rgb="FF595959"/>
        <rFont val="Arial"/>
        <family val="0"/>
        <charset val="1"/>
      </rPr>
      <t xml:space="preserve">MW-IT </t>
    </r>
    <r>
      <rPr>
        <sz val="9"/>
        <color rgb="FF595959"/>
        <rFont val="WenQuanYi Zen Hei"/>
        <family val="2"/>
      </rPr>
      <t xml:space="preserve">年營收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TCV ÷ </t>
    </r>
    <r>
      <rPr>
        <sz val="9"/>
        <color rgb="FF595959"/>
        <rFont val="WenQuanYi Zen Hei"/>
        <family val="2"/>
      </rPr>
      <t xml:space="preserve">年數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每顆 </t>
    </r>
    <r>
      <rPr>
        <sz val="9"/>
        <color rgb="FF595959"/>
        <rFont val="Arial"/>
        <family val="0"/>
        <charset val="1"/>
      </rPr>
      <t xml:space="preserve">IT kW ÷ 1000</t>
    </r>
    <r>
      <rPr>
        <sz val="9"/>
        <color rgb="FF595959"/>
        <rFont val="WenQuanYi Zen Hei"/>
        <family val="2"/>
      </rPr>
      <t xml:space="preserve">），每顆 </t>
    </r>
    <r>
      <rPr>
        <sz val="9"/>
        <color rgb="FF595959"/>
        <rFont val="Arial"/>
        <family val="0"/>
        <charset val="1"/>
      </rPr>
      <t xml:space="preserve">IT kW </t>
    </r>
    <r>
      <rPr>
        <sz val="9"/>
        <color rgb="FF595959"/>
        <rFont val="WenQuanYi Zen Hei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Tokenomics v5.26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近似，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WenQuanYi Zen Hei"/>
        <family val="2"/>
      </rPr>
      <t xml:space="preserve">氣冷機實際約低 </t>
    </r>
    <r>
      <rPr>
        <sz val="9"/>
        <color rgb="FF595959"/>
        <rFont val="Arial"/>
        <family val="0"/>
        <charset val="1"/>
      </rPr>
      <t xml:space="preserve">0–12%</t>
    </r>
    <r>
      <rPr>
        <sz val="9"/>
        <color rgb="FF595959"/>
        <rFont val="WenQuanYi Zen Hei"/>
        <family val="2"/>
      </rPr>
      <t xml:space="preserve">，使隱含單價略為低估）；只作對照與敏感度，不作輸入（共同規則第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節）</t>
    </r>
  </si>
  <si>
    <r>
      <rPr>
        <sz val="10"/>
        <rFont val="WenQuanYi Zen Hei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Baseten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1,392 </t>
    </r>
    <r>
      <rPr>
        <sz val="10"/>
        <rFont val="WenQuanYi Zen Hei"/>
        <family val="2"/>
      </rPr>
      <t xml:space="preserve">顆 </t>
    </r>
    <r>
      <rPr>
        <sz val="10"/>
        <rFont val="Arial"/>
        <family val="0"/>
        <charset val="1"/>
      </rPr>
      <t xml:space="preserve">B300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</si>
  <si>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US$m/MW-IT·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</si>
  <si>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TCV 165.2 ÷ 3 ÷ 2.858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$4.52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GPU·</t>
    </r>
    <r>
      <rPr>
        <sz val="9"/>
        <color rgb="FF595959"/>
        <rFont val="WenQuanYi Zen Hei"/>
        <family val="2"/>
      </rPr>
      <t xml:space="preserve">時）</t>
    </r>
  </si>
  <si>
    <r>
      <rPr>
        <sz val="10"/>
        <rFont val="WenQuanYi Zen Hei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Prime Intellect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576 </t>
    </r>
    <r>
      <rPr>
        <sz val="10"/>
        <rFont val="WenQuanYi Zen Hei"/>
        <family val="2"/>
      </rPr>
      <t xml:space="preserve">顆 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</si>
  <si>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TCV 108.2 ÷ 3 ÷ 1.974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$7.15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</si>
  <si>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｜冰島 </t>
    </r>
    <r>
      <rPr>
        <sz val="10"/>
        <rFont val="Arial"/>
        <family val="0"/>
        <charset val="1"/>
      </rPr>
      <t xml:space="preserve">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576 </t>
    </r>
    <r>
      <rPr>
        <sz val="10"/>
        <rFont val="WenQuanYi Zen Hei"/>
        <family val="2"/>
      </rPr>
      <t xml:space="preserve">顆，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</si>
  <si>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TCV 87.5 ÷ 5 ÷ 1.183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$3.47</t>
    </r>
    <r>
      <rPr>
        <sz val="9"/>
        <color rgb="FF595959"/>
        <rFont val="WenQuanYi Zen Hei"/>
        <family val="2"/>
      </rPr>
      <t xml:space="preserve">；另有營收分成）</t>
    </r>
  </si>
  <si>
    <r>
      <rPr>
        <sz val="10"/>
        <rFont val="WenQuanYi Zen Hei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128 </t>
    </r>
    <r>
      <rPr>
        <sz val="10"/>
        <rFont val="WenQuanYi Zen Hei"/>
        <family val="2"/>
      </rPr>
      <t xml:space="preserve">顆 </t>
    </r>
    <r>
      <rPr>
        <sz val="10"/>
        <rFont val="Arial"/>
        <family val="0"/>
        <charset val="1"/>
      </rPr>
      <t xml:space="preserve">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</si>
  <si>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TCV 16.0 ÷ 3 ÷ 0.263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$4.76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</si>
  <si>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B200 384 </t>
    </r>
    <r>
      <rPr>
        <sz val="10"/>
        <rFont val="WenQuanYi Zen Hei"/>
        <family val="2"/>
      </rPr>
      <t xml:space="preserve">顆（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年）</t>
    </r>
  </si>
  <si>
    <t xml:space="preserve">TCV 18.1 ÷ 2 ÷ 0.765 MW-IT</t>
  </si>
  <si>
    <r>
      <rPr>
        <sz val="10"/>
        <rFont val="WenQuanYi Zen Hei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Prime GB200 216 </t>
    </r>
    <r>
      <rPr>
        <sz val="10"/>
        <rFont val="WenQuanYi Zen Hei"/>
        <family val="2"/>
      </rPr>
      <t xml:space="preserve">顆（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年）</t>
    </r>
  </si>
  <si>
    <t xml:space="preserve">TCV 6.8 ÷ 0.43 MW-IT</t>
  </si>
  <si>
    <r>
      <rPr>
        <sz val="10"/>
        <rFont val="WenQuanYi Zen Hei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H100 2,048 </t>
    </r>
    <r>
      <rPr>
        <sz val="10"/>
        <rFont val="WenQuanYi Zen Hei"/>
        <family val="2"/>
      </rPr>
      <t xml:space="preserve">顆（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年；</t>
    </r>
    <r>
      <rPr>
        <sz val="10"/>
        <rFont val="Arial"/>
        <family val="0"/>
        <charset val="1"/>
      </rPr>
      <t xml:space="preserve">8 </t>
    </r>
    <r>
      <rPr>
        <sz val="10"/>
        <rFont val="WenQuanYi Zen Hei"/>
        <family val="2"/>
      </rPr>
      <t xml:space="preserve">卡／台 </t>
    </r>
    <r>
      <rPr>
        <sz val="10"/>
        <rFont val="Arial"/>
        <family val="0"/>
        <charset val="1"/>
      </rPr>
      <t xml:space="preserve">[Assumed]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</si>
  <si>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TCV 50.2 ÷ 2 ÷ 2.852 MW-IT</t>
    </r>
    <r>
      <rPr>
        <sz val="9"/>
        <color rgb="FF595959"/>
        <rFont val="WenQuanYi Zen Hei"/>
        <family val="2"/>
      </rPr>
      <t xml:space="preserve">（舊世代）</t>
    </r>
  </si>
  <si>
    <r>
      <rPr>
        <sz val="10"/>
        <rFont val="WenQuanYi Zen Hei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｜新簽 </t>
    </r>
    <r>
      <rPr>
        <sz val="10"/>
        <rFont val="Arial"/>
        <family val="0"/>
        <charset val="1"/>
      </rPr>
      <t xml:space="preserve">B300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長約平均（前四筆）</t>
    </r>
  </si>
  <si>
    <r>
      <rPr>
        <sz val="9"/>
        <color rgb="FF595959"/>
        <rFont val="Arial"/>
        <family val="0"/>
        <charset val="1"/>
      </rPr>
      <t xml:space="preserve">Baseten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Prime VR200</t>
    </r>
    <r>
      <rPr>
        <sz val="9"/>
        <color rgb="FF595959"/>
        <rFont val="WenQuanYi Zen Hei"/>
        <family val="2"/>
      </rPr>
      <t xml:space="preserve">、冰島 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簡單平均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</si>
  <si>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WenQuanYi Zen Hei"/>
        <family val="2"/>
      </rPr>
      <t xml:space="preserve">對照｜合約隱含每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經常性雲端年化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冰島 </t>
    </r>
    <r>
      <rPr>
        <sz val="10"/>
        <rFont val="Arial"/>
        <family val="0"/>
        <charset val="1"/>
      </rPr>
      <t xml:space="preserve">5.5 MW</t>
    </r>
    <r>
      <rPr>
        <sz val="10"/>
        <rFont val="WenQuanYi Zen Hei"/>
        <family val="2"/>
      </rPr>
      <t xml:space="preserve">（上限）</t>
    </r>
  </si>
  <si>
    <r>
      <rPr>
        <sz val="9"/>
        <color rgb="FF595959"/>
        <rFont val="Arial"/>
        <family val="0"/>
        <charset val="1"/>
      </rPr>
      <t xml:space="preserve">46.02 ÷ 5.5</t>
    </r>
    <r>
      <rPr>
        <sz val="9"/>
        <color rgb="FF595959"/>
        <rFont val="WenQuanYi Zen Hei"/>
        <family val="2"/>
      </rPr>
      <t xml:space="preserve">；亞特蘭大與加拿大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未揭露，分母偏小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</si>
  <si>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）收入 → 現金：三道折扣</t>
    </r>
  </si>
  <si>
    <r>
      <rPr>
        <sz val="10"/>
        <rFont val="WenQuanYi Zen Hei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</si>
  <si>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9"/>
        <color rgb="FF595959"/>
        <rFont val="WenQuanYi Zen Hei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WenQuanYi Zen Hei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</si>
  <si>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</si>
  <si>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</si>
  <si>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</si>
  <si>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</si>
  <si>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營收）</t>
    </r>
  </si>
  <si>
    <r>
      <rPr>
        <sz val="9"/>
        <color rgb="FF595959"/>
        <rFont val="WenQuanYi Zen Hei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</si>
  <si>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</si>
  <si>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</si>
  <si>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</si>
  <si>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WenQuanYi Zen Hei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WenQuanYi Zen Hei"/>
        <family val="2"/>
      </rPr>
      <t xml:space="preserve">率</t>
    </r>
  </si>
  <si>
    <r>
      <rPr>
        <b val="true"/>
        <sz val="10"/>
        <rFont val="WenQuanYi Zen Hei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WenQuanYi Zen Hei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FY27 </t>
    </r>
    <r>
      <rPr>
        <b val="true"/>
        <sz val="10"/>
        <rFont val="WenQuanYi Zen Hei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WenQuanYi Zen Hei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FY28 </t>
    </r>
    <r>
      <rPr>
        <b val="true"/>
        <sz val="10"/>
        <rFont val="WenQuanYi Zen Hei"/>
        <family val="2"/>
      </rPr>
      <t xml:space="preserve">起反轉，收入愈來愈靠『新簽約收入』這一列。</t>
    </r>
  </si>
  <si>
    <r>
      <rPr>
        <sz val="9"/>
        <color rgb="FF595959"/>
        <rFont val="WenQuanYi Zen Hei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的資金缺口有多大——這是最重要的一個壓力測試。</t>
    </r>
  </si>
  <si>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WenQuanYi Zen Hei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資本支出與客戶出資照原時程；折舊自投入使用時點起算</t>
    </r>
  </si>
  <si>
    <t xml:space="preserve">建設延誤月數｜保守 只有已簽約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</si>
  <si>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WenQuanYi Zen Hei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</si>
  <si>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r>
      <rPr>
        <sz val="10"/>
        <rFont val="WenQuanYi Zen Hei"/>
        <family val="2"/>
      </rPr>
      <t xml:space="preserve">建設延誤月數｜基準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</si>
  <si>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建設延誤月數｜積極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</si>
  <si>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建設延誤月數（目前情境）</t>
  </si>
  <si>
    <r>
      <rPr>
        <sz val="9"/>
        <color rgb="FF595959"/>
        <rFont val="WenQuanYi Zen Hei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WenQuanYi Zen Hei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</si>
  <si>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</si>
  <si>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</si>
  <si>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WenQuanYi Zen Hei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</si>
  <si>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</si>
  <si>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</si>
  <si>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WenQuanYi Zen Hei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時＝上列</t>
    </r>
  </si>
  <si>
    <r>
      <rPr>
        <sz val="10"/>
        <rFont val="WenQuanYi Zen Hei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（折舊基礎）</t>
    </r>
  </si>
  <si>
    <r>
      <rPr>
        <sz val="9"/>
        <color rgb="FF595959"/>
        <rFont val="WenQuanYi Zen Hei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</si>
  <si>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</si>
  <si>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WenQuanYi Zen Hei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。一頁摘要以一句呈現峰值</t>
    </r>
  </si>
  <si>
    <r>
      <rPr>
        <sz val="10"/>
        <rFont val="WenQuanYi Zen Hei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</si>
  <si>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</si>
  <si>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</si>
  <si>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</si>
  <si>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</si>
  <si>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WenQuanYi Zen Hei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WenQuanYi Zen Hei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</si>
  <si>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</si>
  <si>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WenQuanYi Zen Hei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WenQuanYi Zen Hei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</si>
  <si>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</si>
  <si>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WenQuanYi Zen Hei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</si>
  <si>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</si>
  <si>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</si>
  <si>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</si>
  <si>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WenQuanYi Zen Hei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、營運來源、稅基與債務上限。客戶預付不因延誤退還（已知限制）</t>
    </r>
  </si>
  <si>
    <r>
      <rPr>
        <b val="true"/>
        <sz val="14"/>
        <rFont val="WenQuanYi Zen Hei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WenQuanYi Zen Hei"/>
        <family val="2"/>
      </rPr>
      <t xml:space="preserve">季報總額（檢驗租金路徑用）</t>
    </r>
  </si>
  <si>
    <r>
      <rPr>
        <sz val="9"/>
        <color rgb="FF595959"/>
        <rFont val="WenQuanYi Zen Hei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WenQuanYi Zen Hei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</si>
  <si>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</si>
  <si>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</si>
  <si>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WenQuanYi Zen Hei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</si>
  <si>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</si>
  <si>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WenQuanYi Zen Hei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</si>
  <si>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年期</t>
  </si>
  <si>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</si>
  <si>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r>
      <rPr>
        <b val="true"/>
        <sz val="11"/>
        <color rgb="FFFFFFFF"/>
        <rFont val="WenQuanYi Zen Hei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</si>
  <si>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</si>
  <si>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</si>
  <si>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WenQuanYi Zen Hei"/>
        <family val="2"/>
      </rPr>
      <t xml:space="preserve">冰島 </t>
    </r>
    <r>
      <rPr>
        <sz val="10"/>
        <rFont val="Arial"/>
        <family val="0"/>
        <charset val="1"/>
      </rPr>
      <t xml:space="preserve">Blönduós</t>
    </r>
    <r>
      <rPr>
        <sz val="10"/>
        <rFont val="WenQuanYi Zen Hei"/>
        <family val="2"/>
      </rPr>
      <t xml:space="preserve">（第三方機房）</t>
    </r>
  </si>
  <si>
    <t xml:space="preserve">承租容量（雲端）</t>
  </si>
  <si>
    <t xml:space="preserve">未揭露</t>
  </si>
  <si>
    <t xml:space="preserve">營運中</t>
  </si>
  <si>
    <t xml:space="preserve">—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</si>
  <si>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：已簽 </t>
    </r>
    <r>
      <rPr>
        <sz val="9"/>
        <color rgb="FF595959"/>
        <rFont val="Arial"/>
        <family val="0"/>
        <charset val="1"/>
      </rPr>
      <t xml:space="preserve">5.5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WenQuanYi Zen Hei"/>
        <family val="2"/>
      </rPr>
      <t xml:space="preserve">毛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）；目前雲端營收主要來自冰島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</si>
  <si>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安大略第三方機房（</t>
    </r>
    <r>
      <rPr>
        <sz val="10"/>
        <rFont val="Arial"/>
        <family val="0"/>
        <charset val="1"/>
      </rPr>
      <t xml:space="preserve">Baseten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</si>
  <si>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第三方機房、</t>
    </r>
    <r>
      <rPr>
        <sz val="9"/>
        <color rgb="FF595959"/>
        <rFont val="Arial"/>
        <family val="0"/>
        <charset val="1"/>
      </rPr>
      <t xml:space="preserve">WhiteFiber GPU</t>
    </r>
  </si>
  <si>
    <t xml:space="preserve">2026-11</t>
  </si>
  <si>
    <r>
      <rPr>
        <sz val="9"/>
        <color rgb="FF595959"/>
        <rFont val="Arial"/>
        <family val="0"/>
        <charset val="1"/>
      </rPr>
      <t xml:space="preserve">1,392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2.858 MW-IT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</si>
  <si>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巴黎第三方機房</t>
  </si>
  <si>
    <t xml:space="preserve">第三方機房、專案層級融資（未完成）</t>
  </si>
  <si>
    <t xml:space="preserve">2026-09-30</t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</si>
  <si>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數與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未揭露；年額 </t>
    </r>
    <r>
      <rPr>
        <sz val="9"/>
        <color rgb="FF595959"/>
        <rFont val="Arial"/>
        <family val="0"/>
        <charset val="1"/>
      </rPr>
      <t xml:space="preserve">&gt;32 ÷ 17.40 </t>
    </r>
    <r>
      <rPr>
        <sz val="9"/>
        <color rgb="FF595959"/>
        <rFont val="WenQuanYi Zen Hei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1.84 MW-IT [Derived]</t>
    </r>
  </si>
  <si>
    <t xml:space="preserve">雪梨第三方機房</t>
  </si>
  <si>
    <r>
      <rPr>
        <sz val="9"/>
        <color rgb="FF595959"/>
        <rFont val="WenQuanYi Zen Hei"/>
        <family val="2"/>
      </rPr>
      <t xml:space="preserve">承租（</t>
    </r>
    <r>
      <rPr>
        <sz val="9"/>
        <color rgb="FF595959"/>
        <rFont val="Arial"/>
        <family val="0"/>
        <charset val="1"/>
      </rPr>
      <t xml:space="preserve">WhiteFiber, Inc. </t>
    </r>
    <r>
      <rPr>
        <sz val="9"/>
        <color rgb="FF595959"/>
        <rFont val="WenQuanYi Zen Hei"/>
        <family val="2"/>
      </rPr>
      <t xml:space="preserve">保證）</t>
    </r>
  </si>
  <si>
    <t xml:space="preserve">2026 Q4</t>
  </si>
  <si>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2.5 MW-IT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WenQuanYi Zen Hei"/>
        <family val="2"/>
      </rPr>
      <t xml:space="preserve">個月租約；客戶未揭露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</si>
  <si>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加拿大（</t>
    </r>
    <r>
      <rPr>
        <sz val="10"/>
        <rFont val="Arial"/>
        <family val="0"/>
        <charset val="1"/>
      </rPr>
      <t xml:space="preserve">Prime Intellect VR200</t>
    </r>
    <r>
      <rPr>
        <sz val="10"/>
        <rFont val="WenQuanYi Zen Hei"/>
        <family val="2"/>
      </rPr>
      <t xml:space="preserve">）</t>
    </r>
  </si>
  <si>
    <t xml:space="preserve">第三方機房</t>
  </si>
  <si>
    <t xml:space="preserve">2027 Q2</t>
  </si>
  <si>
    <r>
      <rPr>
        <sz val="9"/>
        <color rgb="FF595959"/>
        <rFont val="Arial"/>
        <family val="0"/>
        <charset val="1"/>
      </rPr>
      <t xml:space="preserve">576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1.974 MW-IT [Derived]</t>
    </r>
  </si>
  <si>
    <t xml:space="preserve">具名站點合計</t>
  </si>
  <si>
    <r>
      <rPr>
        <sz val="9"/>
        <color rgb="FF595959"/>
        <rFont val="WenQuanYi Zen Hei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WenQuanYi Zen Hei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，不適用）</t>
    </r>
  </si>
  <si>
    <r>
      <rPr>
        <b val="true"/>
        <sz val="10"/>
        <rFont val="WenQuanYi Zen Hei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WenQuanYi Zen Hei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</si>
  <si>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</si>
  <si>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</si>
  <si>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</si>
  <si>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</si>
  <si>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</si>
  <si>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WenQuanYi Zen Hei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</si>
  <si>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</si>
  <si>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</si>
  <si>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</si>
  <si>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</si>
  <si>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</si>
  <si>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</si>
  <si>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WenQuanYi Zen Hei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WenQuanYi Zen Hei"/>
        <family val="2"/>
      </rPr>
      <t xml:space="preserve">市場基準</t>
    </r>
  </si>
  <si>
    <t xml:space="preserve">模型租金（在帳＋表外）</t>
  </si>
  <si>
    <r>
      <rPr>
        <sz val="10"/>
        <rFont val="WenQuanYi Zen Hei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（已連網）</t>
    </r>
  </si>
  <si>
    <r>
      <rPr>
        <b val="true"/>
        <sz val="10"/>
        <rFont val="WenQuanYi Zen Hei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</si>
  <si>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</si>
  <si>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</si>
  <si>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WenQuanYi Zen Hei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</si>
  <si>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WenQuanYi Zen Hei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占比）</t>
    </r>
  </si>
  <si>
    <r>
      <rPr>
        <sz val="9"/>
        <color rgb="FF595959"/>
        <rFont val="WenQuanYi Zen Hei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</si>
  <si>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</si>
  <si>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</si>
  <si>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</si>
  <si>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WenQuanYi Zen Hei"/>
        <family val="2"/>
      </rPr>
      <t xml:space="preserve">每 </t>
    </r>
    <r>
      <rPr>
        <b val="true"/>
        <sz val="14"/>
        <rFont val="Arial"/>
        <family val="0"/>
        <charset val="1"/>
      </rPr>
      <t xml:space="preserve">MW </t>
    </r>
    <r>
      <rPr>
        <b val="true"/>
        <sz val="14"/>
        <rFont val="WenQuanYi Zen Hei"/>
        <family val="2"/>
      </rPr>
      <t xml:space="preserve">收入 — </t>
    </r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錨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WenQuanYi Zen Hei"/>
        <family val="2"/>
      </rPr>
      <t xml:space="preserve">定價倍數 </t>
    </r>
    <r>
      <rPr>
        <b val="true"/>
        <sz val="14"/>
        <rFont val="Arial"/>
        <family val="0"/>
        <charset val="1"/>
      </rPr>
      <t xml:space="preserve">k</t>
    </r>
    <r>
      <rPr>
        <b val="true"/>
        <sz val="14"/>
        <rFont val="WenQuanYi Zen Hei"/>
        <family val="2"/>
      </rPr>
      <t xml:space="preserve">（</t>
    </r>
    <r>
      <rPr>
        <b val="true"/>
        <sz val="14"/>
        <rFont val="Arial"/>
        <family val="0"/>
        <charset val="1"/>
      </rPr>
      <t xml:space="preserve">WhiteFiber v0.2</t>
    </r>
    <r>
      <rPr>
        <b val="true"/>
        <sz val="14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</si>
  <si>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計費時數）＝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平均在役世代占比 </t>
    </r>
    <r>
      <rPr>
        <sz val="9"/>
        <color rgb="FF595959"/>
        <rFont val="Arial"/>
        <family val="0"/>
        <charset val="1"/>
      </rPr>
      <t xml:space="preserve">× IF_HoldEcon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打平租金）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＝隨需占比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現貨＋（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隨需占比）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WenQuanYi Zen Hei"/>
        <family val="2"/>
      </rPr>
      <t xml:space="preserve">長約（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雲端以多年期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合約為主，非長約預設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WenQuanYi Zen Hei"/>
        <family val="2"/>
      </rPr>
      <t xml:space="preserve">，由已揭露合約估計）。按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WenQuanYi Zen Hei"/>
        <family val="2"/>
      </rPr>
      <t xml:space="preserve">計價：利用率不另扣（</t>
    </r>
    <r>
      <rPr>
        <sz val="9"/>
        <color rgb="FF595959"/>
        <rFont val="Arial"/>
        <family val="0"/>
        <charset val="1"/>
      </rPr>
      <t xml:space="preserve">IF_Util </t>
    </r>
    <r>
      <rPr>
        <sz val="9"/>
        <color rgb="FF595959"/>
        <rFont val="WenQuanYi Zen Hei"/>
        <family val="2"/>
      </rPr>
      <t xml:space="preserve">不進收入），爬坡與簽約在『輸入與假設』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區。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只取市場價格證據，不以 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WenQuanYi Zen Hei"/>
        <family val="2"/>
      </rPr>
      <t xml:space="preserve">、合約金額反推。</t>
    </r>
  </si>
  <si>
    <r>
      <rPr>
        <sz val="9"/>
        <color rgb="FF595959"/>
        <rFont val="WenQuanYi Zen Hei"/>
        <family val="2"/>
      </rPr>
      <t xml:space="preserve">容量情境（輸入與假設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區情境選擇）只改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路徑；價格情境（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區價格情境選擇）只改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。已實現季度實績（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）只作驗證（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區），不校準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</si>
  <si>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｜價格軸：定價倍數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（低、基準、高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欄；藍字可改）</t>
    </r>
  </si>
  <si>
    <t xml:space="preserve">低</t>
  </si>
  <si>
    <t xml:space="preserve">基準</t>
  </si>
  <si>
    <t xml:space="preserve">高</t>
  </si>
  <si>
    <t xml:space="preserve">說明／來源</t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</si>
  <si>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長約（多年期專用容量合約）</t>
    </r>
  </si>
  <si>
    <t xml:space="preserve">倍</t>
  </si>
  <si>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依目前快照重算（價格是事實，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持有成本，錨改變時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跟著改；比照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WenQuanYi Zen Hei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IREN–Microsoft GB300 </t>
    </r>
    <r>
      <rPr>
        <sz val="9"/>
        <color rgb="FF595959"/>
        <rFont val="WenQuanYi Zen Hei"/>
        <family val="2"/>
      </rPr>
      <t xml:space="preserve">五年約 </t>
    </r>
    <r>
      <rPr>
        <sz val="9"/>
        <color rgb="FF595959"/>
        <rFont val="Arial"/>
        <family val="0"/>
        <charset val="1"/>
      </rPr>
      <t xml:space="preserve">9.70 ÷ 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12.72 → 0.762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v19.0 10.89 → 0.891</t>
    </r>
    <r>
      <rPr>
        <sz val="9"/>
        <color rgb="FF595959"/>
        <rFont val="WenQuanYi Zen Hei"/>
        <family val="2"/>
      </rPr>
      <t xml:space="preserve">）；區間端點為 </t>
    </r>
    <r>
      <rPr>
        <sz val="9"/>
        <color rgb="FF595959"/>
        <rFont val="Arial"/>
        <family val="0"/>
        <charset val="1"/>
      </rPr>
      <t xml:space="preserve">0.70–1.00 × v5.27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12.725 </t>
    </r>
    <r>
      <rPr>
        <sz val="9"/>
        <color rgb="FF595959"/>
        <rFont val="WenQuanYi Zen Hei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8.907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12.725 US$m/MW/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0.818–1.169</t>
    </r>
    <r>
      <rPr>
        <sz val="9"/>
        <color rgb="FF595959"/>
        <rFont val="WenQuanYi Zen Hei"/>
        <family val="2"/>
      </rPr>
      <t xml:space="preserve">）；中位數＝兩筆長約（</t>
    </r>
    <r>
      <rPr>
        <sz val="9"/>
        <color rgb="FF595959"/>
        <rFont val="Arial"/>
        <family val="0"/>
        <charset val="1"/>
      </rPr>
      <t xml:space="preserve">IREN–Microsoft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IREN–NVIDIA</t>
    </r>
    <r>
      <rPr>
        <sz val="9"/>
        <color rgb="FF595959"/>
        <rFont val="WenQuanYi Zen Hei"/>
        <family val="2"/>
      </rPr>
      <t xml:space="preserve">；同一供應商，非獨立）倍數的中位數＝平均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</si>
  <si>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現貨（非長約客戶：預留與隨需）</t>
    </r>
  </si>
  <si>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依目前快照重算（比照 </t>
    </r>
    <r>
      <rPr>
        <sz val="9"/>
        <color rgb="FF595959"/>
        <rFont val="Arial"/>
        <family val="0"/>
        <charset val="1"/>
      </rPr>
      <t xml:space="preserve">CoreWeave W6 r1</t>
    </r>
    <r>
      <rPr>
        <sz val="9"/>
        <color rgb="FF595959"/>
        <rFont val="WenQuanYi Zen Hei"/>
        <family val="2"/>
      </rPr>
      <t xml:space="preserve">）。基準＝</t>
    </r>
    <r>
      <rPr>
        <sz val="9"/>
        <color rgb="FF595959"/>
        <rFont val="Arial"/>
        <family val="0"/>
        <charset val="1"/>
      </rPr>
      <t xml:space="preserve">H100 Silicon Data </t>
    </r>
    <r>
      <rPr>
        <sz val="9"/>
        <color rgb="FF595959"/>
        <rFont val="WenQuanYi Zen Hei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v19.0 1.543 → 1.828</t>
    </r>
    <r>
      <rPr>
        <sz val="9"/>
        <color rgb="FF595959"/>
        <rFont val="WenQuanYi Zen Hei"/>
        <family val="2"/>
      </rPr>
      <t xml:space="preserve">）；上緣＝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 </t>
    </r>
    <r>
      <rPr>
        <sz val="9"/>
        <color rgb="FF595959"/>
        <rFont val="Arial"/>
        <family val="0"/>
        <charset val="1"/>
      </rPr>
      <t xml:space="preserve">6.82 ÷ IF_GPUhrEcon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2.29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v18.0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v19.0 2.67</t>
    </r>
    <r>
      <rPr>
        <sz val="9"/>
        <color rgb="FF595959"/>
        <rFont val="WenQuanYi Zen Hei"/>
        <family val="2"/>
      </rPr>
      <t xml:space="preserve">）；下緣＝</t>
    </r>
    <r>
      <rPr>
        <sz val="9"/>
        <color rgb="FF595959"/>
        <rFont val="Arial"/>
        <family val="0"/>
        <charset val="1"/>
      </rPr>
      <t xml:space="preserve">1.5 × v5.27 H100 </t>
    </r>
    <r>
      <rPr>
        <sz val="9"/>
        <color rgb="FF595959"/>
        <rFont val="WenQuanYi Zen Hei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1.605 </t>
    </r>
    <r>
      <rPr>
        <sz val="9"/>
        <color rgb="FF595959"/>
        <rFont val="WenQuanYi Zen Hei"/>
        <family val="2"/>
      </rPr>
      <t xml:space="preserve">換成固定價格 </t>
    </r>
    <r>
      <rPr>
        <sz val="9"/>
        <color rgb="FF595959"/>
        <rFont val="Arial"/>
        <family val="0"/>
        <charset val="1"/>
      </rPr>
      <t xml:space="preserve">2.408 US$/GPU-hr [Derived]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非長約客戶為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年期預留（</t>
    </r>
    <r>
      <rPr>
        <sz val="9"/>
        <color rgb="FF595959"/>
        <rFont val="Arial"/>
        <family val="0"/>
        <charset val="1"/>
      </rPr>
      <t xml:space="preserve">Hyperbolic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Prime GB200</t>
    </r>
    <r>
      <rPr>
        <sz val="9"/>
        <color rgb="FF595959"/>
        <rFont val="WenQuanYi Zen Hei"/>
        <family val="2"/>
      </rPr>
      <t xml:space="preserve">），介於長約與隨需之間，以現貨指數代表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</si>
  <si>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WenQuanYi Zen Hei"/>
        <family val="2"/>
      </rPr>
      <t xml:space="preserve">長約（目前價格情境）</t>
    </r>
  </si>
  <si>
    <r>
      <rPr>
        <sz val="9"/>
        <color rgb="FF595959"/>
        <rFont val="WenQuanYi Zen Hei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區價格情境選擇（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低／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基準／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高）</t>
    </r>
  </si>
  <si>
    <r>
      <rPr>
        <b val="true"/>
        <sz val="10"/>
        <rFont val="Arial"/>
        <family val="0"/>
        <charset val="1"/>
      </rPr>
      <t xml:space="preserve">k_</t>
    </r>
    <r>
      <rPr>
        <b val="true"/>
        <sz val="10"/>
        <rFont val="WenQuanYi Zen Hei"/>
        <family val="2"/>
      </rPr>
      <t xml:space="preserve">現貨（目前價格情境）</t>
    </r>
  </si>
  <si>
    <t xml:space="preserve">隨需占比（現貨；其餘按長約價）</t>
  </si>
  <si>
    <r>
      <rPr>
        <sz val="9"/>
        <color rgb="FF595959"/>
        <rFont val="WenQuanYi Zen Hei"/>
        <family val="2"/>
      </rPr>
      <t xml:space="preserve">非長約（現貨）占在役計費產能的比例；公司未揭露合約型態占營收比例（找不到），改由事實總帳已揭露的雲端合約估計：長約（≥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年）＝</t>
    </r>
    <r>
      <rPr>
        <sz val="9"/>
        <color rgb="FF595959"/>
        <rFont val="Arial"/>
        <family val="0"/>
        <charset val="1"/>
      </rPr>
      <t xml:space="preserve">Baseten 55.07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Prime VR200 36.07</t>
    </r>
    <r>
      <rPr>
        <sz val="9"/>
        <color rgb="FF595959"/>
        <rFont val="WenQuanYi Zen Hei"/>
        <family val="2"/>
      </rPr>
      <t xml:space="preserve">＋冰島 </t>
    </r>
    <r>
      <rPr>
        <sz val="9"/>
        <color rgb="FF595959"/>
        <rFont val="Arial"/>
        <family val="0"/>
        <charset val="1"/>
      </rPr>
      <t xml:space="preserve">B300 17.5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B300 5.33</t>
    </r>
    <r>
      <rPr>
        <sz val="9"/>
        <color rgb="FF595959"/>
        <rFont val="WenQuanYi Zen Hei"/>
        <family val="2"/>
      </rPr>
      <t xml:space="preserve">＋巴黎 </t>
    </r>
    <r>
      <rPr>
        <sz val="9"/>
        <color rgb="FF595959"/>
        <rFont val="Arial"/>
        <family val="0"/>
        <charset val="1"/>
      </rPr>
      <t xml:space="preserve">32</t>
    </r>
    <r>
      <rPr>
        <sz val="9"/>
        <color rgb="FF595959"/>
        <rFont val="WenQuanYi Zen Hei"/>
        <family val="2"/>
      </rPr>
      <t xml:space="preserve">（下限）＝</t>
    </r>
    <r>
      <rPr>
        <sz val="9"/>
        <color rgb="FF595959"/>
        <rFont val="Arial"/>
        <family val="0"/>
        <charset val="1"/>
      </rPr>
      <t xml:space="preserve">145.97 US$m/</t>
    </r>
    <r>
      <rPr>
        <sz val="9"/>
        <color rgb="FF595959"/>
        <rFont val="WenQuanYi Zen Hei"/>
        <family val="2"/>
      </rPr>
      <t xml:space="preserve">年；非長約（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WenQuanYi Zen Hei"/>
        <family val="2"/>
      </rPr>
      <t xml:space="preserve">年）＝</t>
    </r>
    <r>
      <rPr>
        <sz val="9"/>
        <color rgb="FF595959"/>
        <rFont val="Arial"/>
        <family val="0"/>
        <charset val="1"/>
      </rPr>
      <t xml:space="preserve">H100 25.1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Hyperbolic 8.5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B200 9.05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Prime GB200 6.8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49.45</t>
    </r>
    <r>
      <rPr>
        <sz val="9"/>
        <color rgb="FF595959"/>
        <rFont val="WenQuanYi Zen Hei"/>
        <family val="2"/>
      </rPr>
      <t xml:space="preserve">；長約占比＝</t>
    </r>
    <r>
      <rPr>
        <sz val="9"/>
        <color rgb="FF595959"/>
        <rFont val="Arial"/>
        <family val="0"/>
        <charset val="1"/>
      </rPr>
      <t xml:space="preserve">145.97 ÷ 195.42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74.7%</t>
    </r>
    <r>
      <rPr>
        <sz val="9"/>
        <color rgb="FF595959"/>
        <rFont val="WenQuanYi Zen Hei"/>
        <family val="2"/>
      </rPr>
      <t xml:space="preserve">，取整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（隨需 </t>
    </r>
    <r>
      <rPr>
        <sz val="9"/>
        <color rgb="FF595959"/>
        <rFont val="Arial"/>
        <family val="0"/>
        <charset val="1"/>
      </rPr>
      <t xml:space="preserve">25%</t>
    </r>
    <r>
      <rPr>
        <sz val="9"/>
        <color rgb="FF595959"/>
        <rFont val="WenQuanYi Zen Hei"/>
        <family val="2"/>
      </rPr>
      <t xml:space="preserve">）。區間長約 </t>
    </r>
    <r>
      <rPr>
        <sz val="9"/>
        <color rgb="FF595959"/>
        <rFont val="Arial"/>
        <family val="0"/>
        <charset val="1"/>
      </rPr>
      <t xml:space="preserve">50–90%</t>
    </r>
    <r>
      <rPr>
        <sz val="9"/>
        <color rgb="FF595959"/>
        <rFont val="WenQuanYi Zen Hei"/>
        <family val="2"/>
      </rPr>
      <t xml:space="preserve">（隨需 </t>
    </r>
    <r>
      <rPr>
        <sz val="9"/>
        <color rgb="FF595959"/>
        <rFont val="Arial"/>
        <family val="0"/>
        <charset val="1"/>
      </rPr>
      <t xml:space="preserve">10–50%</t>
    </r>
    <r>
      <rPr>
        <sz val="9"/>
        <color rgb="FF595959"/>
        <rFont val="WenQuanYi Zen Hei"/>
        <family val="2"/>
      </rPr>
      <t xml:space="preserve">）；敏感度長約 </t>
    </r>
    <r>
      <rPr>
        <sz val="9"/>
        <color rgb="FF595959"/>
        <rFont val="Arial"/>
        <family val="0"/>
        <charset val="1"/>
      </rPr>
      <t xml:space="preserve">90%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WenQuanYi Zen Hei"/>
        <family val="2"/>
      </rPr>
      <t xml:space="preserve">（工作單預設 </t>
    </r>
    <r>
      <rPr>
        <sz val="9"/>
        <color rgb="FF595959"/>
        <rFont val="Arial"/>
        <family val="0"/>
        <charset val="1"/>
      </rPr>
      <t xml:space="preserve">70% </t>
    </r>
    <r>
      <rPr>
        <sz val="9"/>
        <color rgb="FF595959"/>
        <rFont val="WenQuanYi Zen Hei"/>
        <family val="2"/>
      </rPr>
      <t xml:space="preserve">的備援值）／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。已揭露合約為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新簽，偏重長約；既有機隊的合約型態未知，故給寬區間；不得用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反推；敏感度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段）</t>
    </r>
  </si>
  <si>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（只列為敏感度）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</si>
  <si>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Baseten B300 3 </t>
    </r>
    <r>
      <rPr>
        <sz val="9"/>
        <color rgb="FF595959"/>
        <rFont val="WenQuanYi Zen Hei"/>
        <family val="2"/>
      </rPr>
      <t xml:space="preserve">年／冰島 </t>
    </r>
    <r>
      <rPr>
        <sz val="9"/>
        <color rgb="FF595959"/>
        <rFont val="Arial"/>
        <family val="0"/>
        <charset val="1"/>
      </rPr>
      <t xml:space="preserve">B300 5 </t>
    </r>
    <r>
      <rPr>
        <sz val="9"/>
        <color rgb="FF595959"/>
        <rFont val="WenQuanYi Zen Hei"/>
        <family val="2"/>
      </rPr>
      <t xml:space="preserve">年／</t>
    </r>
    <r>
      <rPr>
        <sz val="9"/>
        <color rgb="FF595959"/>
        <rFont val="Arial"/>
        <family val="0"/>
        <charset val="1"/>
      </rPr>
      <t xml:space="preserve">Prime Intellect VR200 3 </t>
    </r>
    <r>
      <rPr>
        <sz val="9"/>
        <color rgb="FF595959"/>
        <rFont val="WenQuanYi Zen Hei"/>
        <family val="2"/>
      </rPr>
      <t xml:space="preserve">年／</t>
    </r>
    <r>
      <rPr>
        <sz val="9"/>
        <color rgb="FF595959"/>
        <rFont val="Arial"/>
        <family val="0"/>
        <charset val="1"/>
      </rPr>
      <t xml:space="preserve">H100 256 </t>
    </r>
    <r>
      <rPr>
        <sz val="9"/>
        <color rgb="FF595959"/>
        <rFont val="WenQuanYi Zen Hei"/>
        <family val="2"/>
      </rPr>
      <t xml:space="preserve">台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WenQuanYi Zen Hei"/>
        <family val="2"/>
      </rPr>
      <t xml:space="preserve">個月（現有機隊代表）。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自身合約（事實總帳群組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核閱數）：</t>
    </r>
    <r>
      <rPr>
        <sz val="9"/>
        <color rgb="FF595959"/>
        <rFont val="Arial"/>
        <family val="0"/>
        <charset val="1"/>
      </rPr>
      <t xml:space="preserve">TCV ÷ </t>
    </r>
    <r>
      <rPr>
        <sz val="9"/>
        <color rgb="FF595959"/>
        <rFont val="WenQuanYi Zen Hei"/>
        <family val="2"/>
      </rPr>
      <t xml:space="preserve">年數 </t>
    </r>
    <r>
      <rPr>
        <sz val="9"/>
        <color rgb="FF595959"/>
        <rFont val="Arial"/>
        <family val="0"/>
        <charset val="1"/>
      </rPr>
      <t xml:space="preserve">÷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每顆 </t>
    </r>
    <r>
      <rPr>
        <sz val="9"/>
        <color rgb="FF595959"/>
        <rFont val="Arial"/>
        <family val="0"/>
        <charset val="1"/>
      </rPr>
      <t xml:space="preserve">IT kW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近似，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WenQuanYi Zen Hei"/>
        <family val="2"/>
      </rPr>
      <t xml:space="preserve">氣冷機實際約低 </t>
    </r>
    <r>
      <rPr>
        <sz val="9"/>
        <color rgb="FF595959"/>
        <rFont val="Arial"/>
        <family val="0"/>
        <charset val="1"/>
      </rPr>
      <t xml:space="preserve">0–12%</t>
    </r>
    <r>
      <rPr>
        <sz val="9"/>
        <color rgb="FF595959"/>
        <rFont val="WenQuanYi Zen Hei"/>
        <family val="2"/>
      </rPr>
      <t xml:space="preserve">，使隱含單價略為低估）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同世代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持有成本。列為「公司自身合約」敏感度，不作基準（共同規則第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節：不以公司合約反推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；比照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WenQuanYi Zen Hei"/>
        <family val="2"/>
      </rPr>
      <t xml:space="preserve">）；前三筆為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新簽 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長約（隱含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1.4–1.8</t>
    </r>
    <r>
      <rPr>
        <sz val="9"/>
        <color rgb="FF595959"/>
        <rFont val="WenQuanYi Zen Hei"/>
        <family val="2"/>
      </rPr>
      <t xml:space="preserve">），第四筆為現有機隊的 </t>
    </r>
    <r>
      <rPr>
        <sz val="9"/>
        <color rgb="FF595959"/>
        <rFont val="Arial"/>
        <family val="0"/>
        <charset val="1"/>
      </rPr>
      <t xml:space="preserve">H100 24 </t>
    </r>
    <r>
      <rPr>
        <sz val="9"/>
        <color rgb="FF595959"/>
        <rFont val="WenQuanYi Zen Hei"/>
        <family val="2"/>
      </rPr>
      <t xml:space="preserve">個月約（隱含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0.9</t>
    </r>
    <r>
      <rPr>
        <sz val="9"/>
        <color rgb="FF595959"/>
        <rFont val="WenQuanYi Zen Hei"/>
        <family val="2"/>
      </rPr>
      <t xml:space="preserve">），供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驗證的價格項使用。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</si>
  <si>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WenQuanYi Zen Hei"/>
        <family val="2"/>
      </rPr>
      <t xml:space="preserve">長約的指定解讀（下游資料契約第 </t>
    </r>
    <r>
      <rPr>
        <sz val="10"/>
        <rFont val="Arial"/>
        <family val="0"/>
        <charset val="1"/>
      </rPr>
      <t xml:space="preserve">4 </t>
    </r>
    <r>
      <rPr>
        <sz val="10"/>
        <rFont val="WenQuanYi Zen Hei"/>
        <family val="2"/>
      </rPr>
      <t xml:space="preserve">條）</t>
    </r>
  </si>
  <si>
    <r>
      <rPr>
        <sz val="9"/>
        <color rgb="FF595959"/>
        <rFont val="WenQuanYi Zen Hei"/>
        <family val="2"/>
      </rPr>
      <t xml:space="preserve">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條指定解讀（預設）：長約以低於打平租金（</t>
    </r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經濟持有成本）的價格換取預付（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）與多年確定性，客戶分攤部分資本成本——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的雲端合約同樣收客戶預付（客戶出資覆蓋比 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21.1%</t>
    </r>
    <r>
      <rPr>
        <sz val="9"/>
        <color rgb="FF595959"/>
        <rFont val="WenQuanYi Zen Hei"/>
        <family val="2"/>
      </rPr>
      <t xml:space="preserve">；巴黎合約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WenQuanYi Zen Hei"/>
        <family val="2"/>
      </rPr>
      <t xml:space="preserve">個月服務費預付）。替代解讀：</t>
    </r>
    <r>
      <rPr>
        <sz val="9"/>
        <color rgb="FF595959"/>
        <rFont val="Arial"/>
        <family val="0"/>
        <charset val="1"/>
      </rPr>
      <t xml:space="preserve">(a) </t>
    </r>
    <r>
      <rPr>
        <sz val="9"/>
        <color rgb="FF595959"/>
        <rFont val="WenQuanYi Zen Hei"/>
        <family val="2"/>
      </rPr>
      <t xml:space="preserve">成本結構不同（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自有電力與廠房，持有成本低於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基準；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雲端為第三方機房承租）→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應以自身成本計；</t>
    </r>
    <r>
      <rPr>
        <sz val="9"/>
        <color rgb="FF595959"/>
        <rFont val="Arial"/>
        <family val="0"/>
        <charset val="1"/>
      </rPr>
      <t xml:space="preserve">(b) </t>
    </r>
    <r>
      <rPr>
        <sz val="9"/>
        <color rgb="FF595959"/>
        <rFont val="WenQuanYi Zen Hei"/>
        <family val="2"/>
      </rPr>
      <t xml:space="preserve">合約含非收入條款（預付的資金成本價值未計入價格）→ 經濟價格高於帳面價格。三者對 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收入的影響方向：預設解讀最保守。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</si>
  <si>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錨與世代組合（</t>
    </r>
    <r>
      <rPr>
        <b val="true"/>
        <sz val="10"/>
        <rFont val="Arial"/>
        <family val="0"/>
        <charset val="1"/>
      </rPr>
      <t xml:space="preserve">Tokenomics_</t>
    </r>
    <r>
      <rPr>
        <b val="true"/>
        <sz val="10"/>
        <rFont val="WenQuanYi Zen Hei"/>
        <family val="2"/>
      </rPr>
      <t xml:space="preserve">取數 的 </t>
    </r>
    <r>
      <rPr>
        <b val="true"/>
        <sz val="10"/>
        <rFont val="Arial"/>
        <family val="0"/>
        <charset val="1"/>
      </rPr>
      <t xml:space="preserve">TK_ </t>
    </r>
    <r>
      <rPr>
        <b val="true"/>
        <sz val="10"/>
        <rFont val="WenQuanYi Zen Hei"/>
        <family val="2"/>
      </rPr>
      <t xml:space="preserve">名稱，基準成本情境）</t>
    </r>
  </si>
  <si>
    <t xml:space="preserve">世代</t>
  </si>
  <si>
    <t xml:space="preserve">IF_HoldEcon</t>
  </si>
  <si>
    <t xml:space="preserve">IF_RevGWFleet</t>
  </si>
  <si>
    <t xml:space="preserve">期初占比</t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</si>
  <si>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</si>
  <si>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欄代表；期初占比區間 </t>
    </r>
    <r>
      <rPr>
        <sz val="9"/>
        <color rgb="FF595959"/>
        <rFont val="Arial"/>
        <family val="0"/>
        <charset val="1"/>
      </rPr>
      <t xml:space="preserve">45%–75%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</si>
  <si>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GB200 NVL72</t>
    </r>
  </si>
  <si>
    <r>
      <rPr>
        <sz val="9"/>
        <color rgb="FF595959"/>
        <rFont val="WenQuanYi Zen Hei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20%–45%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</si>
  <si>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GB300 NVL72</t>
    </r>
  </si>
  <si>
    <r>
      <rPr>
        <sz val="9"/>
        <color rgb="FF595959"/>
        <rFont val="WenQuanYi Zen Hei"/>
        <family val="2"/>
      </rPr>
      <t xml:space="preserve">期初占比區間 </t>
    </r>
    <r>
      <rPr>
        <sz val="9"/>
        <color rgb="FF595959"/>
        <rFont val="Arial"/>
        <family val="0"/>
        <charset val="1"/>
      </rPr>
      <t xml:space="preserve">0%–10%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</si>
  <si>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r>
      <rPr>
        <sz val="10"/>
        <rFont val="WenQuanYi Zen Hei"/>
        <family val="2"/>
      </rPr>
      <t xml:space="preserve">世代｜</t>
    </r>
    <r>
      <rPr>
        <sz val="10"/>
        <rFont val="Arial"/>
        <family val="0"/>
        <charset val="1"/>
      </rPr>
      <t xml:space="preserve">VR200 NVL72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</si>
  <si>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年經濟持有成本（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＝客戶每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營收（理想上限）</t>
    </r>
  </si>
  <si>
    <t xml:space="preserve">期初占比合計</t>
  </si>
  <si>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未揭露評價日機隊的世代組合與逐站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（找不到：試過 </t>
    </r>
    <r>
      <rPr>
        <sz val="9"/>
        <color rgb="FF595959"/>
        <rFont val="Arial"/>
        <family val="0"/>
        <charset val="1"/>
      </rPr>
      <t xml:space="preserve">FY2025 10-K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10-Q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月簡報、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WenQuanYi Zen Hei"/>
        <family val="2"/>
      </rPr>
      <t xml:space="preserve">二手法說摘要、事實總帳）。可辨識的合約機隊（事實總帳群組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H100 256 </t>
    </r>
    <r>
      <rPr>
        <sz val="9"/>
        <color rgb="FF595959"/>
        <rFont val="WenQuanYi Zen Hei"/>
        <family val="2"/>
      </rPr>
      <t xml:space="preserve">台（</t>
    </r>
    <r>
      <rPr>
        <sz val="9"/>
        <color rgb="FF595959"/>
        <rFont val="Arial"/>
        <family val="0"/>
        <charset val="1"/>
      </rPr>
      <t xml:space="preserve">2,048 </t>
    </r>
    <r>
      <rPr>
        <sz val="9"/>
        <color rgb="FF595959"/>
        <rFont val="WenQuanYi Zen Hei"/>
        <family val="2"/>
      </rPr>
      <t xml:space="preserve">顆；</t>
    </r>
    <r>
      <rPr>
        <sz val="9"/>
        <color rgb="FF595959"/>
        <rFont val="Arial"/>
        <family val="0"/>
        <charset val="1"/>
      </rPr>
      <t xml:space="preserve">2.852 MW-IT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WenQuanYi Zen Hei"/>
        <family val="2"/>
      </rPr>
      <t xml:space="preserve">個月，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Hyperbolic </t>
    </r>
    <r>
      <rPr>
        <sz val="9"/>
        <color rgb="FF595959"/>
        <rFont val="WenQuanYi Zen Hei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機隊（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未揭露，以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欄代表）、</t>
    </r>
    <r>
      <rPr>
        <sz val="9"/>
        <color rgb="FF595959"/>
        <rFont val="Arial"/>
        <family val="0"/>
        <charset val="1"/>
      </rPr>
      <t xml:space="preserve">B200 384 </t>
    </r>
    <r>
      <rPr>
        <sz val="9"/>
        <color rgb="FF595959"/>
        <rFont val="WenQuanYi Zen Hei"/>
        <family val="2"/>
      </rPr>
      <t xml:space="preserve">顆（</t>
    </r>
    <r>
      <rPr>
        <sz val="9"/>
        <color rgb="FF595959"/>
        <rFont val="Arial"/>
        <family val="0"/>
        <charset val="1"/>
      </rPr>
      <t xml:space="preserve">0.765 MW-IT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2026-01 </t>
    </r>
    <r>
      <rPr>
        <sz val="9"/>
        <color rgb="FF595959"/>
        <rFont val="WenQuanYi Zen Hei"/>
        <family val="2"/>
      </rPr>
      <t xml:space="preserve">起，以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欄近似）；已終止的 </t>
    </r>
    <r>
      <rPr>
        <sz val="9"/>
        <color rgb="FF595959"/>
        <rFont val="Arial"/>
        <family val="0"/>
        <charset val="1"/>
      </rPr>
      <t xml:space="preserve">Initial Customer 464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0.925 MW-IT</t>
    </r>
    <r>
      <rPr>
        <sz val="9"/>
        <color rgb="FF595959"/>
        <rFont val="WenQuanYi Zen Hei"/>
        <family val="2"/>
      </rPr>
      <t xml:space="preserve">）設備可能閒置或轉售。以 </t>
    </r>
    <r>
      <rPr>
        <sz val="9"/>
        <color rgb="FF595959"/>
        <rFont val="Arial"/>
        <family val="0"/>
        <charset val="1"/>
      </rPr>
      <t xml:space="preserve">5.5 MW </t>
    </r>
    <r>
      <rPr>
        <sz val="9"/>
        <color rgb="FF595959"/>
        <rFont val="WenQuanYi Zen Hei"/>
        <family val="2"/>
      </rPr>
      <t xml:space="preserve">計：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2.85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WenQuanYi Zen Hei"/>
        <family val="2"/>
      </rPr>
      <t xml:space="preserve">＝約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類約 </t>
    </r>
    <r>
      <rPr>
        <sz val="9"/>
        <color rgb="FF595959"/>
        <rFont val="Arial"/>
        <family val="0"/>
        <charset val="1"/>
      </rPr>
      <t xml:space="preserve">0.77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0.93</t>
    </r>
    <r>
      <rPr>
        <sz val="9"/>
        <color rgb="FF595959"/>
        <rFont val="WenQuanYi Zen Hei"/>
        <family val="2"/>
      </rPr>
      <t xml:space="preserve">＝約 </t>
    </r>
    <r>
      <rPr>
        <sz val="9"/>
        <color rgb="FF595959"/>
        <rFont val="Arial"/>
        <family val="0"/>
        <charset val="1"/>
      </rPr>
      <t xml:space="preserve">31%</t>
    </r>
    <r>
      <rPr>
        <sz val="9"/>
        <color rgb="FF595959"/>
        <rFont val="WenQuanYi Zen Hei"/>
        <family val="2"/>
      </rPr>
      <t xml:space="preserve">，餘約 </t>
    </r>
    <r>
      <rPr>
        <sz val="9"/>
        <color rgb="FF595959"/>
        <rFont val="Arial"/>
        <family val="0"/>
        <charset val="1"/>
      </rPr>
      <t xml:space="preserve">10% </t>
    </r>
    <r>
      <rPr>
        <sz val="9"/>
        <color rgb="FF595959"/>
        <rFont val="WenQuanYi Zen Hei"/>
        <family val="2"/>
      </rPr>
      <t xml:space="preserve">未辨識。取整為 </t>
    </r>
    <r>
      <rPr>
        <sz val="9"/>
        <color rgb="FF595959"/>
        <rFont val="Arial"/>
        <family val="0"/>
        <charset val="1"/>
      </rPr>
      <t xml:space="preserve">Hopper 60%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35%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5%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欄代表。屬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，給區間。</t>
    </r>
  </si>
  <si>
    <r>
      <rPr>
        <sz val="10"/>
        <rFont val="WenQuanYi Zen Hei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（評價日已連網）</t>
    </r>
  </si>
  <si>
    <r>
      <rPr>
        <sz val="9"/>
        <color rgb="FF595959"/>
        <rFont val="WenQuanYi Zen Hei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WenQuanYi Zen Hei"/>
        <family val="2"/>
      </rPr>
      <t xml:space="preserve">）已連網雲端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：冰島 </t>
    </r>
    <r>
      <rPr>
        <sz val="9"/>
        <color rgb="FF595959"/>
        <rFont val="Arial"/>
        <family val="0"/>
        <charset val="1"/>
      </rPr>
      <t xml:space="preserve">Blönduós </t>
    </r>
    <r>
      <rPr>
        <sz val="9"/>
        <color rgb="FF595959"/>
        <rFont val="WenQuanYi Zen Hei"/>
        <family val="2"/>
      </rPr>
      <t xml:space="preserve">第三方機房已簽 </t>
    </r>
    <r>
      <rPr>
        <sz val="9"/>
        <color rgb="FF595959"/>
        <rFont val="Arial"/>
        <family val="0"/>
        <charset val="1"/>
      </rPr>
      <t xml:space="preserve">5.5 MW 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texts.mwYearEndNotes</t>
    </r>
    <r>
      <rPr>
        <sz val="9"/>
        <color rgb="FF595959"/>
        <rFont val="WenQuanYi Zen Hei"/>
        <family val="2"/>
      </rPr>
      <t xml:space="preserve">）。亞特蘭大（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WenQuanYi Zen Hei"/>
        <family val="2"/>
      </rPr>
      <t xml:space="preserve">起承租）與加拿大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未揭露，故為下限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經常性雲端營收年化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此值＝</t>
    </r>
    <r>
      <rPr>
        <sz val="9"/>
        <color rgb="FF595959"/>
        <rFont val="Arial"/>
        <family val="0"/>
        <charset val="1"/>
      </rPr>
      <t xml:space="preserve">8.37 </t>
    </r>
    <r>
      <rPr>
        <sz val="9"/>
        <color rgb="FF595959"/>
        <rFont val="WenQuanYi Zen Hei"/>
        <family val="2"/>
      </rPr>
      <t xml:space="preserve">為上限（事實總帳 </t>
    </r>
    <r>
      <rPr>
        <sz val="9"/>
        <color rgb="FF595959"/>
        <rFont val="Arial"/>
        <family val="0"/>
        <charset val="1"/>
      </rPr>
      <t xml:space="preserve">pm.a.perMW</t>
    </r>
    <r>
      <rPr>
        <sz val="9"/>
        <color rgb="FF595959"/>
        <rFont val="WenQuanYi Zen Hei"/>
        <family val="2"/>
      </rPr>
      <t xml:space="preserve">）。（</t>
    </r>
    <r>
      <rPr>
        <sz val="9"/>
        <color rgb="FF595959"/>
        <rFont val="Arial"/>
        <family val="0"/>
        <charset val="1"/>
      </rPr>
      <t xml:space="preserve">company.json → fleet.openMw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</si>
  <si>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新增在役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WenQuanYi Zen Hei"/>
        <family val="2"/>
      </rPr>
      <t xml:space="preserve">的世代占比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</si>
  <si>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</si>
  <si>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WenQuanYi Zen Hei"/>
        <family val="2"/>
      </rPr>
      <t xml:space="preserve">）新增 </t>
    </r>
    <r>
      <rPr>
        <sz val="9"/>
        <color rgb="FF595959"/>
        <rFont val="Arial"/>
        <family val="0"/>
        <charset val="1"/>
      </rPr>
      <t xml:space="preserve">9.074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Baseten 1,392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B300 2.858</t>
    </r>
    <r>
      <rPr>
        <sz val="9"/>
        <color rgb="FF595959"/>
        <rFont val="WenQuanYi Zen Hei"/>
        <family val="2"/>
      </rPr>
      <t xml:space="preserve">、巴黎 </t>
    </r>
    <r>
      <rPr>
        <sz val="9"/>
        <color rgb="FF595959"/>
        <rFont val="Arial"/>
        <family val="0"/>
        <charset val="1"/>
      </rPr>
      <t xml:space="preserve">1.84</t>
    </r>
    <r>
      <rPr>
        <sz val="9"/>
        <color rgb="FF595959"/>
        <rFont val="WenQuanYi Zen Hei"/>
        <family val="2"/>
      </rPr>
      <t xml:space="preserve">、雪梨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B300 0.263</t>
    </r>
    <r>
      <rPr>
        <sz val="9"/>
        <color rgb="FF595959"/>
        <rFont val="WenQuanYi Zen Hei"/>
        <family val="2"/>
      </rPr>
      <t xml:space="preserve">、冰島 </t>
    </r>
    <r>
      <rPr>
        <sz val="9"/>
        <color rgb="FF595959"/>
        <rFont val="Arial"/>
        <family val="0"/>
        <charset val="1"/>
      </rPr>
      <t xml:space="preserve">B300 1.183</t>
    </r>
    <r>
      <rPr>
        <sz val="9"/>
        <color rgb="FF595959"/>
        <rFont val="WenQuanYi Zen Hei"/>
        <family val="2"/>
      </rPr>
      <t xml:space="preserve">（皆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欄近似，合計 </t>
    </r>
    <r>
      <rPr>
        <sz val="9"/>
        <color rgb="FF595959"/>
        <rFont val="Arial"/>
        <family val="0"/>
        <charset val="1"/>
      </rPr>
      <t xml:space="preserve">8.644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95.3%</t>
    </r>
    <r>
      <rPr>
        <sz val="9"/>
        <color rgb="FF595959"/>
        <rFont val="WenQuanYi Zen Hei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Prime GB200 216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0.43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4.7%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WenQuanYi Zen Hei"/>
        <family val="2"/>
      </rPr>
      <t xml:space="preserve">，事實總帳群組 </t>
    </r>
    <r>
      <rPr>
        <sz val="9"/>
        <color rgb="FF595959"/>
        <rFont val="Arial"/>
        <family val="0"/>
        <charset val="1"/>
      </rPr>
      <t xml:space="preserve">3]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新增＝</t>
    </r>
    <r>
      <rPr>
        <sz val="9"/>
        <color rgb="FF595959"/>
        <rFont val="Arial"/>
        <family val="0"/>
        <charset val="1"/>
      </rPr>
      <t xml:space="preserve">Prime VR200 576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1.974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VR200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FY28 </t>
    </r>
    <r>
      <rPr>
        <sz val="9"/>
        <color rgb="FF595959"/>
        <rFont val="WenQuanYi Zen Hei"/>
        <family val="2"/>
      </rPr>
      <t xml:space="preserve">起新簽約（基準每年 </t>
    </r>
    <r>
      <rPr>
        <sz val="9"/>
        <color rgb="FF595959"/>
        <rFont val="Arial"/>
        <family val="0"/>
        <charset val="1"/>
      </rPr>
      <t xml:space="preserve">+3 MW</t>
    </r>
    <r>
      <rPr>
        <sz val="9"/>
        <color rgb="FF595959"/>
        <rFont val="WenQuanYi Zen Hei"/>
        <family val="2"/>
      </rPr>
      <t xml:space="preserve">）依 </t>
    </r>
    <r>
      <rPr>
        <sz val="9"/>
        <color rgb="FF595959"/>
        <rFont val="Arial"/>
        <family val="0"/>
        <charset val="1"/>
      </rPr>
      <t xml:space="preserve">Oracle v0.3 </t>
    </r>
    <r>
      <rPr>
        <sz val="9"/>
        <color rgb="FF595959"/>
        <rFont val="WenQuanYi Zen Hei"/>
        <family val="2"/>
      </rPr>
      <t xml:space="preserve">同一假設：</t>
    </r>
    <r>
      <rPr>
        <sz val="9"/>
        <color rgb="FF595959"/>
        <rFont val="Arial"/>
        <family val="0"/>
        <charset val="1"/>
      </rPr>
      <t xml:space="preserve">FY28 GB300 50%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50%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VR200 100% [Assumed]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Vera Rubin 2027 </t>
    </r>
    <r>
      <rPr>
        <sz val="9"/>
        <color rgb="FF595959"/>
        <rFont val="WenQuanYi Zen Hei"/>
        <family val="2"/>
      </rPr>
      <t xml:space="preserve">下半年起交付）。區間：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提前一年（</t>
    </r>
    <r>
      <rPr>
        <sz val="9"/>
        <color rgb="FF595959"/>
        <rFont val="Arial"/>
        <family val="0"/>
        <charset val="1"/>
      </rPr>
      <t xml:space="preserve">FY28 100%</t>
    </r>
    <r>
      <rPr>
        <sz val="9"/>
        <color rgb="FF595959"/>
        <rFont val="WenQuanYi Zen Hei"/>
        <family val="2"/>
      </rPr>
      <t xml:space="preserve">）或延後一年（</t>
    </r>
    <r>
      <rPr>
        <sz val="9"/>
        <color rgb="FF595959"/>
        <rFont val="Arial"/>
        <family val="0"/>
        <charset val="1"/>
      </rPr>
      <t xml:space="preserve">FY29 50%</t>
    </r>
    <r>
      <rPr>
        <sz val="9"/>
        <color rgb="FF595959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</si>
  <si>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</si>
  <si>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</si>
  <si>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新增占比｜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</si>
  <si>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Arial"/>
        <family val="0"/>
        <charset val="1"/>
      </rPr>
      <t xml:space="preserve">B2</t>
    </r>
    <r>
      <rPr>
        <b val="true"/>
        <sz val="10"/>
        <rFont val="WenQuanYi Zen Hei"/>
        <family val="2"/>
      </rPr>
      <t xml:space="preserve">｜上限檢查用四層瀑布（</t>
    </r>
    <r>
      <rPr>
        <b val="true"/>
        <sz val="10"/>
        <rFont val="Arial"/>
        <family val="0"/>
        <charset val="1"/>
      </rPr>
      <t xml:space="preserve">IFW_RevGWFleet_*</t>
    </r>
    <r>
      <rPr>
        <b val="true"/>
        <sz val="10"/>
        <rFont val="WenQuanYi Zen Hei"/>
        <family val="2"/>
      </rPr>
      <t xml:space="preserve">，各世代；基準成本情境）</t>
    </r>
  </si>
  <si>
    <t xml:space="preserve">_100</t>
  </si>
  <si>
    <t xml:space="preserve">_Util</t>
  </si>
  <si>
    <t xml:space="preserve">_Prod</t>
  </si>
  <si>
    <t xml:space="preserve">_Life</t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</si>
  <si>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Hopper H100</t>
    </r>
  </si>
  <si>
    <r>
      <rPr>
        <sz val="9"/>
        <color rgb="FF595959"/>
        <rFont val="WenQuanYi Zen Hei"/>
        <family val="2"/>
      </rPr>
      <t xml:space="preserve">四層＝</t>
    </r>
    <r>
      <rPr>
        <sz val="9"/>
        <color rgb="FF595959"/>
        <rFont val="Arial"/>
        <family val="0"/>
        <charset val="1"/>
      </rPr>
      <t xml:space="preserve">_100 </t>
    </r>
    <r>
      <rPr>
        <sz val="9"/>
        <color rgb="FF595959"/>
        <rFont val="WenQuanYi Zen Hei"/>
        <family val="2"/>
      </rPr>
      <t xml:space="preserve">理論上限（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利用）→ </t>
    </r>
    <r>
      <rPr>
        <sz val="9"/>
        <color rgb="FF595959"/>
        <rFont val="Arial"/>
        <family val="0"/>
        <charset val="1"/>
      </rPr>
      <t xml:space="preserve">_Util </t>
    </r>
    <r>
      <rPr>
        <sz val="9"/>
        <color rgb="FF595959"/>
        <rFont val="WenQuanYi Zen Hei"/>
        <family val="2"/>
      </rPr>
      <t xml:space="preserve">扣技術利用率（＝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再扣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下產能折減（門檻比較層）→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WenQuanYi Zen Hei"/>
        <family val="2"/>
      </rPr>
      <t xml:space="preserve">壽命期等值；用途限制（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</si>
  <si>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</si>
  <si>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</si>
  <si>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四層｜</t>
    </r>
    <r>
      <rPr>
        <sz val="10"/>
        <rFont val="Arial"/>
        <family val="0"/>
        <charset val="1"/>
      </rPr>
      <t xml:space="preserve">VR200 NVL72</t>
    </r>
  </si>
  <si>
    <t xml:space="preserve">▸ 容量情境｜保守 只有已簽約</t>
  </si>
  <si>
    <r>
      <rPr>
        <sz val="10"/>
        <rFont val="WenQuanYi Zen Hei"/>
        <family val="2"/>
      </rPr>
      <t xml:space="preserve">保守 只有已簽約｜期末在役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（＝已連網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</si>
  <si>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權重用已連網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（不用可計費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，避免與期初可計費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校準循環）</t>
    </r>
  </si>
  <si>
    <r>
      <rPr>
        <sz val="10"/>
        <rFont val="WenQuanYi Zen Hei"/>
        <family val="2"/>
      </rPr>
      <t xml:space="preserve">保守 只有已簽約｜期初在役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</si>
  <si>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只有已簽約｜新增在役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</si>
  <si>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保守 只有已簽約｜期末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</si>
  <si>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保守 只有已簽約｜期末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</si>
  <si>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保守 只有已簽約｜期末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</si>
  <si>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保守 只有已簽約｜期末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</si>
  <si>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保守 只有已簽約｜平均在役占比｜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</si>
  <si>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保守 只有已簽約｜平均在役占比｜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</si>
  <si>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保守 只有已簽約｜平均在役占比｜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</si>
  <si>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保守 只有已簽約｜平均在役占比｜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</si>
  <si>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保守 只有已簽約｜錨：每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</si>
  <si>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sz val="9"/>
        <color rgb="FF595959"/>
        <rFont val="Arial"/>
        <family val="0"/>
        <charset val="1"/>
      </rPr>
      <t xml:space="preserve">WACC 10% </t>
    </r>
    <r>
      <rPr>
        <sz val="9"/>
        <color rgb="FF595959"/>
        <rFont val="WenQuanYi Zen Hei"/>
        <family val="2"/>
      </rPr>
      <t xml:space="preserve">下的打平租金（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</si>
  <si>
    <r>
      <rPr>
        <b val="true"/>
        <sz val="10"/>
        <rFont val="WenQuanYi Zen Hei"/>
        <family val="2"/>
      </rPr>
      <t xml:space="preserve">保守 只有已簽約｜定價倍數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</si>
  <si>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保守 只有已簽約｜每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</si>
  <si>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年收入｜保守 只有已簽約」</t>
    </r>
  </si>
  <si>
    <r>
      <rPr>
        <sz val="10"/>
        <rFont val="WenQuanYi Zen Hei"/>
        <family val="2"/>
      </rPr>
      <t xml:space="preserve">保守 只有已簽約｜上限檢查｜客戶每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</si>
  <si>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只有已簽約｜上限檢查｜四層｜客戶每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</si>
  <si>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只有已簽約｜上限檢查｜四層｜客戶每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</si>
  <si>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只有已簽約｜上限檢查｜四層｜客戶每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</si>
  <si>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只有已簽約｜上限檢查｜四層｜客戶每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</si>
  <si>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保守 只有已簽約｜上限檢查｜四層｜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</si>
  <si>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該層</t>
    </r>
  </si>
  <si>
    <r>
      <rPr>
        <sz val="10"/>
        <rFont val="WenQuanYi Zen Hei"/>
        <family val="2"/>
      </rPr>
      <t xml:space="preserve">保守 只有已簽約｜上限檢查｜四層｜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</si>
  <si>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保守 只有已簽約｜上限檢查｜四層｜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</si>
  <si>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該層（比較層，門檻判定用）</t>
    </r>
  </si>
  <si>
    <r>
      <rPr>
        <sz val="10"/>
        <rFont val="WenQuanYi Zen Hei"/>
        <family val="2"/>
      </rPr>
      <t xml:space="preserve">保守 只有已簽約｜上限檢查｜四層｜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</si>
  <si>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保守 只有已簽約｜上限檢查｜每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</si>
  <si>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雲端業者拿走客戶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營收的比例，取比較層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methodology.checks.revCapLayer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WenQuanYi Zen Hei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WenQuanYi Zen Hei"/>
        <family val="2"/>
      </rPr>
      <t xml:space="preserve">下的產能折減，最接近可實際售出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時『檢查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連動』警示（門檻 </t>
    </r>
    <r>
      <rPr>
        <sz val="9"/>
        <color rgb="FF595959"/>
        <rFont val="Arial"/>
        <family val="0"/>
        <charset val="1"/>
      </rPr>
      <t xml:space="preserve">methodology.checks.revCapShareMax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</si>
  <si>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color rgb="FF1F3864"/>
        <rFont val="WenQuanYi Zen Hei"/>
        <family val="2"/>
      </rPr>
      <t xml:space="preserve">▸ 容量情境｜基準 加 </t>
    </r>
    <r>
      <rPr>
        <b val="true"/>
        <sz val="10"/>
        <color rgb="FF1F3864"/>
        <rFont val="Arial"/>
        <family val="0"/>
        <charset val="1"/>
      </rPr>
      <t xml:space="preserve">NC-1 </t>
    </r>
    <r>
      <rPr>
        <b val="true"/>
        <sz val="10"/>
        <color rgb="FF1F3864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</si>
  <si>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（＝已連網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</si>
  <si>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</si>
  <si>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</si>
  <si>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</si>
  <si>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</si>
  <si>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</si>
  <si>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</si>
  <si>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</si>
  <si>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</si>
  <si>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</si>
  <si>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</si>
  <si>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基準 加 </t>
    </r>
    <r>
      <rPr>
        <b val="true"/>
        <sz val="10"/>
        <rFont val="Arial"/>
        <family val="0"/>
        <charset val="1"/>
      </rPr>
      <t xml:space="preserve">NC-1 </t>
    </r>
    <r>
      <rPr>
        <b val="true"/>
        <sz val="10"/>
        <rFont val="WenQuanYi Zen Hei"/>
        <family val="2"/>
      </rPr>
      <t xml:space="preserve">下一批｜錨：每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</si>
  <si>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b val="true"/>
        <sz val="10"/>
        <rFont val="WenQuanYi Zen Hei"/>
        <family val="2"/>
      </rPr>
      <t xml:space="preserve">基準 加 </t>
    </r>
    <r>
      <rPr>
        <b val="true"/>
        <sz val="10"/>
        <rFont val="Arial"/>
        <family val="0"/>
        <charset val="1"/>
      </rPr>
      <t xml:space="preserve">NC-1 </t>
    </r>
    <r>
      <rPr>
        <b val="true"/>
        <sz val="10"/>
        <rFont val="WenQuanYi Zen Hei"/>
        <family val="2"/>
      </rPr>
      <t xml:space="preserve">下一批｜定價倍數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</si>
  <si>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基準 加 </t>
    </r>
    <r>
      <rPr>
        <b val="true"/>
        <sz val="10"/>
        <rFont val="Arial"/>
        <family val="0"/>
        <charset val="1"/>
      </rPr>
      <t xml:space="preserve">NC-1 </t>
    </r>
    <r>
      <rPr>
        <b val="true"/>
        <sz val="10"/>
        <rFont val="WenQuanYi Zen Hei"/>
        <family val="2"/>
      </rPr>
      <t xml:space="preserve">下一批｜每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</si>
  <si>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年收入｜基準 加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下一批」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</si>
  <si>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</si>
  <si>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</si>
  <si>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</si>
  <si>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</si>
  <si>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</si>
  <si>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</si>
  <si>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</si>
  <si>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</si>
  <si>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</si>
  <si>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</si>
  <si>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b val="true"/>
        <sz val="10"/>
        <color rgb="FF1F3864"/>
        <rFont val="WenQuanYi Zen Hei"/>
        <family val="2"/>
      </rPr>
      <t xml:space="preserve">▸ 容量情境｜積極 </t>
    </r>
    <r>
      <rPr>
        <b val="true"/>
        <sz val="10"/>
        <color rgb="FF1F3864"/>
        <rFont val="Arial"/>
        <family val="0"/>
        <charset val="1"/>
      </rPr>
      <t xml:space="preserve">NC-2</t>
    </r>
    <r>
      <rPr>
        <b val="true"/>
        <sz val="10"/>
        <color rgb="FF1F3864"/>
        <rFont val="WenQuanYi Zen Hei"/>
        <family val="2"/>
      </rPr>
      <t xml:space="preserve">／</t>
    </r>
    <r>
      <rPr>
        <b val="true"/>
        <sz val="10"/>
        <color rgb="FF1F3864"/>
        <rFont val="Arial"/>
        <family val="0"/>
        <charset val="1"/>
      </rPr>
      <t xml:space="preserve">3 </t>
    </r>
    <r>
      <rPr>
        <b val="true"/>
        <sz val="10"/>
        <color rgb="FF1F3864"/>
        <rFont val="WenQuanYi Zen Hei"/>
        <family val="2"/>
      </rPr>
      <t xml:space="preserve">與 </t>
    </r>
    <r>
      <rPr>
        <b val="true"/>
        <sz val="10"/>
        <color rgb="FF1F3864"/>
        <rFont val="Arial"/>
        <family val="0"/>
        <charset val="1"/>
      </rPr>
      <t xml:space="preserve">Krambu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</si>
  <si>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｜期末在役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（＝已連網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</si>
  <si>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｜期初在役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</si>
  <si>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｜新增在役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</si>
  <si>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</si>
  <si>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</si>
  <si>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</si>
  <si>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｜期末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VR200 NVL72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</si>
  <si>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Hopper H100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</si>
  <si>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GB200 NVL72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</si>
  <si>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GB300 NVL72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</si>
  <si>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｜平均在役占比｜</t>
    </r>
    <r>
      <rPr>
        <sz val="10"/>
        <rFont val="Arial"/>
        <family val="0"/>
        <charset val="1"/>
      </rPr>
      <t xml:space="preserve">VR200 NVL72</t>
    </r>
  </si>
  <si>
    <r>
      <rPr>
        <b val="true"/>
        <sz val="10"/>
        <rFont val="WenQuanYi Zen Hei"/>
        <family val="2"/>
      </rPr>
      <t xml:space="preserve">積極 </t>
    </r>
    <r>
      <rPr>
        <b val="true"/>
        <sz val="10"/>
        <rFont val="Arial"/>
        <family val="0"/>
        <charset val="1"/>
      </rPr>
      <t xml:space="preserve">NC-2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Krambu</t>
    </r>
    <r>
      <rPr>
        <b val="true"/>
        <sz val="10"/>
        <rFont val="WenQuanYi Zen Hei"/>
        <family val="2"/>
      </rPr>
      <t xml:space="preserve">｜錨：每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經濟持有成本（</t>
    </r>
    <r>
      <rPr>
        <b val="true"/>
        <sz val="10"/>
        <rFont val="Arial"/>
        <family val="0"/>
        <charset val="1"/>
      </rPr>
      <t xml:space="preserve">IF_HoldEcon</t>
    </r>
    <r>
      <rPr>
        <b val="true"/>
        <sz val="10"/>
        <rFont val="WenQuanYi Zen Hei"/>
        <family val="2"/>
      </rPr>
      <t xml:space="preserve">，在役世代加權）</t>
    </r>
  </si>
  <si>
    <r>
      <rPr>
        <b val="true"/>
        <sz val="10"/>
        <rFont val="WenQuanYi Zen Hei"/>
        <family val="2"/>
      </rPr>
      <t xml:space="preserve">積極 </t>
    </r>
    <r>
      <rPr>
        <b val="true"/>
        <sz val="10"/>
        <rFont val="Arial"/>
        <family val="0"/>
        <charset val="1"/>
      </rPr>
      <t xml:space="preserve">NC-2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Krambu</t>
    </r>
    <r>
      <rPr>
        <b val="true"/>
        <sz val="10"/>
        <rFont val="WenQuanYi Zen Hei"/>
        <family val="2"/>
      </rPr>
      <t xml:space="preserve">｜定價倍數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（隨需占比 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現貨＋（</t>
    </r>
    <r>
      <rPr>
        <b val="true"/>
        <sz val="10"/>
        <rFont val="Arial"/>
        <family val="0"/>
        <charset val="1"/>
      </rPr>
      <t xml:space="preserve">1 − </t>
    </r>
    <r>
      <rPr>
        <b val="true"/>
        <sz val="10"/>
        <rFont val="WenQuanYi Zen Hei"/>
        <family val="2"/>
      </rPr>
      <t xml:space="preserve">隨需占比）</t>
    </r>
    <r>
      <rPr>
        <b val="true"/>
        <sz val="10"/>
        <rFont val="Arial"/>
        <family val="0"/>
        <charset val="1"/>
      </rPr>
      <t xml:space="preserve">× k_</t>
    </r>
    <r>
      <rPr>
        <b val="true"/>
        <sz val="10"/>
        <rFont val="WenQuanYi Zen Hei"/>
        <family val="2"/>
      </rPr>
      <t xml:space="preserve">長約）</t>
    </r>
  </si>
  <si>
    <r>
      <rPr>
        <b val="true"/>
        <sz val="10"/>
        <rFont val="WenQuanYi Zen Hei"/>
        <family val="2"/>
      </rPr>
      <t xml:space="preserve">積極 </t>
    </r>
    <r>
      <rPr>
        <b val="true"/>
        <sz val="10"/>
        <rFont val="Arial"/>
        <family val="0"/>
        <charset val="1"/>
      </rPr>
      <t xml:space="preserve">NC-2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WenQuanYi Zen Hei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Krambu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WenQuanYi Zen Hei"/>
        <family val="2"/>
      </rPr>
      <t xml:space="preserve">計費時數）</t>
    </r>
  </si>
  <si>
    <r>
      <rPr>
        <sz val="9"/>
        <color rgb="FF595959"/>
        <rFont val="WenQuanYi Zen Hei"/>
        <family val="2"/>
      </rPr>
      <t xml:space="preserve">→『輸入與假設』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區「每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年收入｜積極 </t>
    </r>
    <r>
      <rPr>
        <sz val="9"/>
        <color rgb="FF595959"/>
        <rFont val="Arial"/>
        <family val="0"/>
        <charset val="1"/>
      </rPr>
      <t xml:space="preserve">NC-2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Krambu</t>
    </r>
    <r>
      <rPr>
        <sz val="9"/>
        <color rgb="FF595959"/>
        <rFont val="WenQuanYi Zen Hei"/>
        <family val="2"/>
      </rPr>
      <t xml:space="preserve">」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</si>
  <si>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</t>
    </r>
    <r>
      <rPr>
        <sz val="10"/>
        <rFont val="Arial"/>
        <family val="0"/>
        <charset val="1"/>
      </rPr>
      <t xml:space="preserve">IF_RevGWFleet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</si>
  <si>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_100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IFW_RevGWFleet_100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</si>
  <si>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_Util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IFW_RevGWFleet_Util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</si>
  <si>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_Prod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IFW_RevGWFleet_Prod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</si>
  <si>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｜上限檢查｜四層｜客戶每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營收｜</t>
    </r>
    <r>
      <rPr>
        <sz val="10"/>
        <rFont val="Arial"/>
        <family val="0"/>
        <charset val="1"/>
      </rPr>
      <t xml:space="preserve">_Life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IFW_RevGWFleet_Life</t>
    </r>
    <r>
      <rPr>
        <sz val="10"/>
        <rFont val="WenQuanYi Zen Hei"/>
        <family val="2"/>
      </rPr>
      <t xml:space="preserve">，在役世代加權）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</si>
  <si>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</si>
  <si>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</si>
  <si>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</si>
  <si>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</si>
  <si>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</si>
  <si>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r>
      <rPr>
        <b val="true"/>
        <sz val="10"/>
        <rFont val="WenQuanYi Zen Hei"/>
        <family val="2"/>
      </rPr>
      <t xml:space="preserve">目前容量情境（依『輸入與假設』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WenQuanYi Zen Hei"/>
        <family val="2"/>
      </rPr>
      <t xml:space="preserve">區情境選擇）</t>
    </r>
  </si>
  <si>
    <r>
      <rPr>
        <sz val="10"/>
        <rFont val="WenQuanYi Zen Hei"/>
        <family val="2"/>
      </rPr>
      <t xml:space="preserve">目前情境｜錨（</t>
    </r>
    <r>
      <rPr>
        <sz val="10"/>
        <rFont val="Arial"/>
        <family val="0"/>
        <charset val="1"/>
      </rPr>
      <t xml:space="preserve">IF_HoldEcon </t>
    </r>
    <r>
      <rPr>
        <sz val="10"/>
        <rFont val="WenQuanYi Zen Hei"/>
        <family val="2"/>
      </rPr>
      <t xml:space="preserve">加權）</t>
    </r>
  </si>
  <si>
    <r>
      <rPr>
        <sz val="10"/>
        <rFont val="WenQuanYi Zen Hei"/>
        <family val="2"/>
      </rPr>
      <t xml:space="preserve">目前情境｜定價倍數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</si>
  <si>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WenQuanYi Zen Hei"/>
        <family val="2"/>
      </rPr>
      <t xml:space="preserve">目前情境｜每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</si>
  <si>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_100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</si>
  <si>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_Util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</si>
  <si>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_Prod</t>
    </r>
  </si>
  <si>
    <r>
      <rPr>
        <sz val="10"/>
        <rFont val="WenQuanYi Zen Hei"/>
        <family val="2"/>
      </rPr>
      <t xml:space="preserve">目前情境｜上限檢查｜四層｜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計費收入 </t>
    </r>
    <r>
      <rPr>
        <sz val="10"/>
        <rFont val="Arial"/>
        <family val="0"/>
        <charset val="1"/>
      </rPr>
      <t xml:space="preserve">÷ _Life</t>
    </r>
  </si>
  <si>
    <r>
      <rPr>
        <sz val="10"/>
        <rFont val="WenQuanYi Zen Hei"/>
        <family val="2"/>
      </rPr>
      <t xml:space="preserve">目前情境｜上限檢查｜每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</t>
    </r>
  </si>
  <si>
    <t xml:space="preserve">目前情境｜上限檢查最高值（五期）</t>
  </si>
  <si>
    <r>
      <rPr>
        <sz val="10"/>
        <rFont val="WenQuanYi Zen Hei"/>
        <family val="2"/>
      </rPr>
      <t xml:space="preserve">上限檢查｜第五列｜模型商每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實收營收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第一年：基準／低／高 依序在 </t>
    </r>
    <r>
      <rPr>
        <sz val="10"/>
        <rFont val="Arial"/>
        <family val="0"/>
        <charset val="1"/>
      </rPr>
      <t xml:space="preserve">C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E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</si>
  <si>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L1_RevGW_PQ_VR200</t>
    </r>
    <r>
      <rPr>
        <sz val="9"/>
        <color rgb="FF595959"/>
        <rFont val="WenQuanYi Zen Hei"/>
        <family val="2"/>
      </rPr>
      <t xml:space="preserve">（模型商每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WenQuanYi Zen Hei"/>
        <family val="2"/>
      </rPr>
      <t xml:space="preserve">實收營收＝</t>
    </r>
    <r>
      <rPr>
        <sz val="9"/>
        <color rgb="FF595959"/>
        <rFont val="Arial"/>
        <family val="0"/>
        <charset val="1"/>
      </rPr>
      <t xml:space="preserve">Q × </t>
    </r>
    <r>
      <rPr>
        <sz val="9"/>
        <color rgb="FF595959"/>
        <rFont val="WenQuanYi Zen Hei"/>
        <family val="2"/>
      </rPr>
      <t xml:space="preserve">有效單價 </t>
    </r>
    <r>
      <rPr>
        <sz val="9"/>
        <color rgb="FF595959"/>
        <rFont val="Arial"/>
        <family val="0"/>
        <charset val="1"/>
      </rPr>
      <t xml:space="preserve">× m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的低／高，利用率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）；只有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一欄，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機隊混合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，僅作量級對照。不設門檻、不進估值</t>
    </r>
  </si>
  <si>
    <r>
      <rPr>
        <sz val="10"/>
        <rFont val="WenQuanYi Zen Hei"/>
        <family val="2"/>
      </rPr>
      <t xml:space="preserve">第五列｜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實收（基準 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</si>
  <si>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＝模型商（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WenQuanYi Zen Hei"/>
        <family val="2"/>
      </rPr>
      <t xml:space="preserve">類客戶）每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實收營收中，要付給 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的比例；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 ＝ 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計費時數）</t>
    </r>
  </si>
  <si>
    <r>
      <rPr>
        <sz val="10"/>
        <rFont val="WenQuanYi Zen Hei"/>
        <family val="2"/>
      </rPr>
      <t xml:space="preserve">第五列｜同上，模型商實收取高端（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＿</t>
    </r>
    <r>
      <rPr>
        <sz val="10"/>
        <rFont val="Arial"/>
        <family val="0"/>
        <charset val="1"/>
      </rPr>
      <t xml:space="preserve">Hi</t>
    </r>
    <r>
      <rPr>
        <sz val="10"/>
        <rFont val="WenQuanYi Zen Hei"/>
        <family val="2"/>
      </rPr>
      <t xml:space="preserve">，付給 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的比例下緣）</t>
    </r>
  </si>
  <si>
    <r>
      <rPr>
        <sz val="10"/>
        <rFont val="WenQuanYi Zen Hei"/>
        <family val="2"/>
      </rPr>
      <t xml:space="preserve">第五列｜同上，模型商實收取低端（</t>
    </r>
    <r>
      <rPr>
        <sz val="10"/>
        <rFont val="Arial"/>
        <family val="0"/>
        <charset val="1"/>
      </rPr>
      <t xml:space="preserve">P×Q</t>
    </r>
    <r>
      <rPr>
        <sz val="10"/>
        <rFont val="WenQuanYi Zen Hei"/>
        <family val="2"/>
      </rPr>
      <t xml:space="preserve">＿</t>
    </r>
    <r>
      <rPr>
        <sz val="10"/>
        <rFont val="Arial"/>
        <family val="0"/>
        <charset val="1"/>
      </rPr>
      <t xml:space="preserve">Lo</t>
    </r>
    <r>
      <rPr>
        <sz val="10"/>
        <rFont val="WenQuanYi Zen Hei"/>
        <family val="2"/>
      </rPr>
      <t xml:space="preserve">，付給 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的比例上緣）</t>
    </r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</si>
  <si>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k </t>
    </r>
    <r>
      <rPr>
        <b val="true"/>
        <sz val="10"/>
        <rFont val="WenQuanYi Zen Hei"/>
        <family val="2"/>
      </rPr>
      <t xml:space="preserve">證據表（倍數＝市場價格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WenQuanYi Zen Hei"/>
        <family val="2"/>
      </rPr>
      <t xml:space="preserve">基準持有成本；</t>
    </r>
    <r>
      <rPr>
        <b val="true"/>
        <sz val="10"/>
        <rFont val="Arial"/>
        <family val="0"/>
        <charset val="1"/>
      </rPr>
      <t xml:space="preserve">use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long</t>
    </r>
    <r>
      <rPr>
        <b val="true"/>
        <sz val="10"/>
        <rFont val="WenQuanYi Zen Hei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spot</t>
    </r>
    <r>
      <rPr>
        <b val="true"/>
        <sz val="10"/>
        <rFont val="WenQuanYi Zen Hei"/>
        <family val="2"/>
      </rPr>
      <t xml:space="preserve">＝驅動基準、</t>
    </r>
    <r>
      <rPr>
        <b val="true"/>
        <sz val="10"/>
        <rFont val="Arial"/>
        <family val="0"/>
        <charset val="1"/>
      </rPr>
      <t xml:space="preserve">range</t>
    </r>
    <r>
      <rPr>
        <b val="true"/>
        <sz val="10"/>
        <rFont val="WenQuanYi Zen Hei"/>
        <family val="2"/>
      </rPr>
      <t xml:space="preserve">＝只支持區間、</t>
    </r>
    <r>
      <rPr>
        <b val="true"/>
        <sz val="10"/>
        <rFont val="Arial"/>
        <family val="0"/>
        <charset val="1"/>
      </rPr>
      <t xml:space="preserve">list</t>
    </r>
    <r>
      <rPr>
        <b val="true"/>
        <sz val="10"/>
        <rFont val="WenQuanYi Zen Hei"/>
        <family val="2"/>
      </rPr>
      <t xml:space="preserve">＝只列）</t>
    </r>
  </si>
  <si>
    <t xml:space="preserve">證據</t>
  </si>
  <si>
    <t xml:space="preserve">價格</t>
  </si>
  <si>
    <t xml:space="preserve">Tokenomics</t>
  </si>
  <si>
    <r>
      <rPr>
        <b val="true"/>
        <sz val="11"/>
        <color rgb="FFFFFFFF"/>
        <rFont val="WenQuanYi Zen Hei"/>
        <family val="2"/>
      </rPr>
      <t xml:space="preserve">倍數 </t>
    </r>
    <r>
      <rPr>
        <b val="true"/>
        <sz val="11"/>
        <color rgb="FFFFFFFF"/>
        <rFont val="Arial"/>
        <family val="0"/>
        <charset val="1"/>
      </rPr>
      <t xml:space="preserve">k</t>
    </r>
  </si>
  <si>
    <t xml:space="preserve">用途</t>
  </si>
  <si>
    <t xml:space="preserve">合約型態／期間／來源／日期／標記</t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</si>
  <si>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WenQuanYi Zen Hei"/>
        <family val="2"/>
      </rPr>
      <t xml:space="preserve">五年約</t>
    </r>
  </si>
  <si>
    <r>
      <rPr>
        <sz val="9"/>
        <color rgb="FF595959"/>
        <rFont val="Arial"/>
        <family val="0"/>
        <charset val="1"/>
      </rPr>
      <t xml:space="preserve">US$m/MW/</t>
    </r>
    <r>
      <rPr>
        <sz val="9"/>
        <color rgb="FF595959"/>
        <rFont val="WenQuanYi Zen Hei"/>
        <family val="2"/>
      </rPr>
      <t xml:space="preserve">年</t>
    </r>
  </si>
  <si>
    <t xml:space="preserve">長約基準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</si>
  <si>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WenQuanYi Zen Hei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$9.7bn AI Cloud Contract with Microsoft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2025-11-03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$9.7bn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200 MW critical IT</t>
    </r>
    <r>
      <rPr>
        <sz val="9"/>
        <color rgb="FF595959"/>
        <rFont val="WenQuanYi Zen Hei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20% </t>
    </r>
    <r>
      <rPr>
        <sz val="9"/>
        <color rgb="FF595959"/>
        <rFont val="WenQuanYi Zen Hei"/>
        <family val="2"/>
      </rPr>
      <t xml:space="preserve">預付；非 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合約（同業成交）；契約第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條指定解讀見 </t>
    </r>
    <r>
      <rPr>
        <sz val="9"/>
        <color rgb="FF595959"/>
        <rFont val="Arial"/>
        <family val="0"/>
        <charset val="1"/>
      </rPr>
      <t xml:space="preserve">long.interpretation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</si>
  <si>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IREN–NVIDIA </t>
    </r>
    <r>
      <rPr>
        <sz val="10"/>
        <rFont val="WenQuanYi Zen Hei"/>
        <family val="2"/>
      </rPr>
      <t xml:space="preserve">氣冷 </t>
    </r>
    <r>
      <rPr>
        <sz val="10"/>
        <rFont val="Arial"/>
        <family val="0"/>
        <charset val="1"/>
      </rPr>
      <t xml:space="preserve">Blackwell </t>
    </r>
    <r>
      <rPr>
        <sz val="10"/>
        <rFont val="WenQuanYi Zen Hei"/>
        <family val="2"/>
      </rPr>
      <t xml:space="preserve">五年約（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類比）</t>
    </r>
  </si>
  <si>
    <t xml:space="preserve">區間</t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</si>
  <si>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；長約（晶片商客戶），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IREN Secures $3.4bn AI Cloud Contract with NVIDIA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新聞稿）（</t>
    </r>
    <r>
      <rPr>
        <sz val="9"/>
        <color rgb="FF595959"/>
        <rFont val="Arial"/>
        <family val="0"/>
        <charset val="1"/>
      </rPr>
      <t xml:space="preserve">2026-05-07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$3.4bn ÷ 5 </t>
    </r>
    <r>
      <rPr>
        <sz val="9"/>
        <color rgb="FF595959"/>
        <rFont val="WenQuanYi Zen Hei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 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口徑未註明，視為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WenQuanYi Zen Hei"/>
        <family val="2"/>
      </rPr>
      <t xml:space="preserve">）；氣冷 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類比；與第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WenQuanYi Zen Hei"/>
        <family val="2"/>
      </rPr>
      <t xml:space="preserve">筆同一供應商，只支持區間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</si>
  <si>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WenQuanYi Zen Hei"/>
        <family val="2"/>
      </rPr>
      <t xml:space="preserve">現貨指數</t>
    </r>
  </si>
  <si>
    <t xml:space="preserve">US$/GPU-hr</t>
  </si>
  <si>
    <t xml:space="preserve">現貨基準</t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</si>
  <si>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；價格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WenQuanYi Zen Hei"/>
        <family val="2"/>
      </rPr>
      <t xml:space="preserve">；倍數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基準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</si>
  <si>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B300 Silicon Data </t>
    </r>
    <r>
      <rPr>
        <sz val="10"/>
        <rFont val="WenQuanYi Zen Hei"/>
        <family val="2"/>
      </rPr>
      <t xml:space="preserve">現貨指數（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</si>
  <si>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B300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WenQuanYi Zen Hei"/>
        <family val="2"/>
      </rPr>
      <t xml:space="preserve">類比；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上緣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</si>
  <si>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B200 Ornn </t>
    </r>
    <r>
      <rPr>
        <sz val="10"/>
        <rFont val="WenQuanYi Zen Hei"/>
        <family val="2"/>
      </rPr>
      <t xml:space="preserve">成交指數（</t>
    </r>
    <r>
      <rPr>
        <sz val="10"/>
        <rFont val="Arial"/>
        <family val="0"/>
        <charset val="1"/>
      </rPr>
      <t xml:space="preserve">GB200 </t>
    </r>
    <r>
      <rPr>
        <sz val="10"/>
        <rFont val="WenQuanYi Zen Hei"/>
        <family val="2"/>
      </rPr>
      <t xml:space="preserve">類比）</t>
    </r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</si>
  <si>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WenQuanYi Zen Hei"/>
        <family val="2"/>
      </rPr>
      <t xml:space="preserve">；現貨（市場成交指數），隨需／短期；</t>
    </r>
    <r>
      <rPr>
        <sz val="9"/>
        <color rgb="FF595959"/>
        <rFont val="Arial"/>
        <family val="0"/>
        <charset val="1"/>
      </rPr>
      <t xml:space="preserve">Ornn</t>
    </r>
    <r>
      <rPr>
        <sz val="9"/>
        <color rgb="FF595959"/>
        <rFont val="WenQuanYi Zen Hei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WSJ </t>
    </r>
    <r>
      <rPr>
        <sz val="9"/>
        <color rgb="FF595959"/>
        <rFont val="WenQuanYi Zen Hei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CoreWeave W1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6c </t>
    </r>
    <r>
      <rPr>
        <sz val="9"/>
        <color rgb="FF595959"/>
        <rFont val="WenQuanYi Zen Hei"/>
        <family val="2"/>
      </rPr>
      <t xml:space="preserve">步）（</t>
    </r>
    <r>
      <rPr>
        <sz val="9"/>
        <color rgb="FF595959"/>
        <rFont val="Arial"/>
        <family val="0"/>
        <charset val="1"/>
      </rPr>
      <t xml:space="preserve">2026-04-13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WenQuanYi Zen Hei"/>
        <family val="2"/>
      </rPr>
      <t xml:space="preserve">類比；落在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區間內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</si>
  <si>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B200 Silicon Data </t>
    </r>
    <r>
      <rPr>
        <sz val="10"/>
        <rFont val="WenQuanYi Zen Hei"/>
        <family val="2"/>
      </rPr>
      <t xml:space="preserve">現貨指數（</t>
    </r>
    <r>
      <rPr>
        <sz val="10"/>
        <rFont val="Arial"/>
        <family val="0"/>
        <charset val="1"/>
      </rPr>
      <t xml:space="preserve">GB200 </t>
    </r>
    <r>
      <rPr>
        <sz val="10"/>
        <rFont val="WenQuanYi Zen Hei"/>
        <family val="2"/>
      </rPr>
      <t xml:space="preserve">類比）</t>
    </r>
  </si>
  <si>
    <t xml:space="preserve">只列</t>
  </si>
  <si>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WenQuanYi Zen Hei"/>
        <family val="2"/>
      </rPr>
      <t xml:space="preserve">；現貨（市場租金指數），隨需／短期；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WenQuanYi Zen Hei"/>
        <family val="2"/>
      </rPr>
      <t xml:space="preserve">頁面（含 </t>
    </r>
    <r>
      <rPr>
        <sz val="9"/>
        <color rgb="FF595959"/>
        <rFont val="Arial"/>
        <family val="0"/>
        <charset val="1"/>
      </rPr>
      <t xml:space="preserve">B200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指數）（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；高於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區間上緣；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WenQuanYi Zen Hei"/>
        <family val="2"/>
      </rPr>
      <t xml:space="preserve">類比偏高，只列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</si>
  <si>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H100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</si>
  <si>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3.85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；牌價非成交價；官網稱多月期預留最多便宜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2.93</t>
    </r>
    <r>
      <rPr>
        <sz val="9"/>
        <color rgb="FF595959"/>
        <rFont val="WenQuanYi Zen Hei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1.82</t>
    </r>
    <r>
      <rPr>
        <sz val="9"/>
        <color rgb="FF595959"/>
        <rFont val="WenQuanYi Zen Hei"/>
        <family val="2"/>
      </rPr>
      <t xml:space="preserve">）；只列不用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</si>
  <si>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H200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Hopper </t>
    </r>
    <r>
      <rPr>
        <sz val="10"/>
        <rFont val="WenQuanYi Zen Hei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</si>
  <si>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4.50</t>
    </r>
    <r>
      <rPr>
        <sz val="9"/>
        <color rgb="FF595959"/>
        <rFont val="WenQuanYi Zen Hei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WenQuanYi Zen Hei"/>
        <family val="2"/>
      </rPr>
      <t xml:space="preserve">欄，以 </t>
    </r>
    <r>
      <rPr>
        <sz val="9"/>
        <color rgb="FF595959"/>
        <rFont val="Arial"/>
        <family val="0"/>
        <charset val="1"/>
      </rPr>
      <t xml:space="preserve">Hopper H100 </t>
    </r>
    <r>
      <rPr>
        <sz val="9"/>
        <color rgb="FF595959"/>
        <rFont val="WenQuanYi Zen Hei"/>
        <family val="2"/>
      </rPr>
      <t xml:space="preserve">欄代表；牌價非成交價；只列不用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</si>
  <si>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 B300 </t>
    </r>
    <r>
      <rPr>
        <sz val="10"/>
        <rFont val="WenQuanYi Zen Hei"/>
        <family val="2"/>
      </rPr>
      <t xml:space="preserve">隨需牌價（</t>
    </r>
    <r>
      <rPr>
        <sz val="10"/>
        <rFont val="Arial"/>
        <family val="0"/>
        <charset val="1"/>
      </rPr>
      <t xml:space="preserve">GB300 </t>
    </r>
    <r>
      <rPr>
        <sz val="10"/>
        <rFont val="WenQuanYi Zen Hei"/>
        <family val="2"/>
      </rPr>
      <t xml:space="preserve">類比，</t>
    </r>
    <r>
      <rPr>
        <sz val="10"/>
        <rFont val="Arial"/>
        <family val="0"/>
        <charset val="1"/>
      </rPr>
      <t xml:space="preserve">10/1 </t>
    </r>
    <r>
      <rPr>
        <sz val="10"/>
        <rFont val="WenQuanYi Zen Hei"/>
        <family val="2"/>
      </rPr>
      <t xml:space="preserve">起）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</si>
  <si>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；隨需牌價，隨需；</t>
    </r>
    <r>
      <rPr>
        <sz val="9"/>
        <color rgb="FF595959"/>
        <rFont val="Arial"/>
        <family val="0"/>
        <charset val="1"/>
      </rPr>
      <t xml:space="preserve">Nebius NVIDIA GPU Pricing</t>
    </r>
    <r>
      <rPr>
        <sz val="9"/>
        <color rgb="FF595959"/>
        <rFont val="WenQuanYi Zen Hei"/>
        <family val="2"/>
      </rPr>
      <t xml:space="preserve">（官網價目；</t>
    </r>
    <r>
      <rPr>
        <sz val="9"/>
        <color rgb="FF595959"/>
        <rFont val="Arial"/>
        <family val="0"/>
        <charset val="1"/>
      </rPr>
      <t xml:space="preserve">2026-10-01 </t>
    </r>
    <r>
      <rPr>
        <sz val="9"/>
        <color rgb="FF595959"/>
        <rFont val="WenQuanYi Zen Hei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9.50</t>
    </r>
    <r>
      <rPr>
        <sz val="9"/>
        <color rgb="FF595959"/>
        <rFont val="WenQuanYi Zen Hei"/>
        <family val="2"/>
      </rPr>
      <t xml:space="preserve">，此前 </t>
    </r>
    <r>
      <rPr>
        <sz val="9"/>
        <color rgb="FF595959"/>
        <rFont val="Arial"/>
        <family val="0"/>
        <charset val="1"/>
      </rPr>
      <t xml:space="preserve">7.85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NVL72 </t>
    </r>
    <r>
      <rPr>
        <sz val="9"/>
        <color rgb="FF595959"/>
        <rFont val="WenQuanYi Zen Hei"/>
        <family val="2"/>
      </rPr>
      <t xml:space="preserve">為洽詢報價）（</t>
    </r>
    <r>
      <rPr>
        <sz val="9"/>
        <color rgb="FF595959"/>
        <rFont val="Arial"/>
        <family val="0"/>
        <charset val="1"/>
      </rPr>
      <t xml:space="preserve">2026-10-01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；牌價非成交價；預留最多便宜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（→ </t>
    </r>
    <r>
      <rPr>
        <sz val="9"/>
        <color rgb="FF595959"/>
        <rFont val="Arial"/>
        <family val="0"/>
        <charset val="1"/>
      </rPr>
      <t xml:space="preserve">6.18</t>
    </r>
    <r>
      <rPr>
        <sz val="9"/>
        <color rgb="FF595959"/>
        <rFont val="WenQuanYi Zen Hei"/>
        <family val="2"/>
      </rPr>
      <t xml:space="preserve">，倍數約 </t>
    </r>
    <r>
      <rPr>
        <sz val="9"/>
        <color rgb="FF595959"/>
        <rFont val="Arial"/>
        <family val="0"/>
        <charset val="1"/>
      </rPr>
      <t xml:space="preserve">2.07</t>
    </r>
    <r>
      <rPr>
        <sz val="9"/>
        <color rgb="FF595959"/>
        <rFont val="WenQuanYi Zen Hei"/>
        <family val="2"/>
      </rPr>
      <t xml:space="preserve">）；只列不用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</si>
  <si>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Nebius–Microsoft </t>
    </r>
    <r>
      <rPr>
        <sz val="10"/>
        <rFont val="WenQuanYi Zen Hei"/>
        <family val="2"/>
      </rPr>
      <t xml:space="preserve">五年約（約 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萬顆 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Nebius </t>
    </r>
    <r>
      <rPr>
        <sz val="10"/>
        <rFont val="WenQuanYi Zen Hei"/>
        <family val="2"/>
      </rPr>
      <t xml:space="preserve">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</si>
  <si>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；長約（</t>
    </r>
    <r>
      <rPr>
        <sz val="9"/>
        <color rgb="FF595959"/>
        <rFont val="Arial"/>
        <family val="0"/>
        <charset val="1"/>
      </rPr>
      <t xml:space="preserve">hyperscaler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自身），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Nebius 6-K 2025-09-08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TCV $17.4bn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年）＋</t>
    </r>
    <r>
      <rPr>
        <sz val="9"/>
        <color rgb="FF595959"/>
        <rFont val="Arial"/>
        <family val="0"/>
        <charset val="1"/>
      </rPr>
      <t xml:space="preserve">Bloomberg 2025-10-02 </t>
    </r>
    <r>
      <rPr>
        <sz val="9"/>
        <color rgb="FF595959"/>
        <rFont val="WenQuanYi Zen Hei"/>
        <family val="2"/>
      </rPr>
      <t xml:space="preserve">引述匿名消息（約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，經 </t>
    </r>
    <r>
      <rPr>
        <sz val="9"/>
        <color rgb="FF595959"/>
        <rFont val="Arial"/>
        <family val="0"/>
        <charset val="1"/>
      </rPr>
      <t xml:space="preserve">TechNews </t>
    </r>
    <r>
      <rPr>
        <sz val="9"/>
        <color rgb="FF595959"/>
        <rFont val="WenQuanYi Zen Hei"/>
        <family val="2"/>
      </rPr>
      <t xml:space="preserve">轉述）（</t>
    </r>
    <r>
      <rPr>
        <sz val="9"/>
        <color rgb="FF595959"/>
        <rFont val="Arial"/>
        <family val="0"/>
        <charset val="1"/>
      </rPr>
      <t xml:space="preserve">2025-10-02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17,400 ÷ 5 ÷ 100,000 ÷ 8,760 ×1e6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3.97 US$/GPU-hr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數未經公司證實、</t>
    </r>
    <r>
      <rPr>
        <sz val="9"/>
        <color rgb="FF595959"/>
        <rFont val="Arial"/>
        <family val="0"/>
        <charset val="1"/>
      </rPr>
      <t xml:space="preserve">TCV </t>
    </r>
    <r>
      <rPr>
        <sz val="9"/>
        <color rgb="FF595959"/>
        <rFont val="WenQuanYi Zen Hei"/>
        <family val="2"/>
      </rPr>
      <t xml:space="preserve">可能含非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服務；屬 </t>
    </r>
    <r>
      <rPr>
        <sz val="9"/>
        <color rgb="FF595959"/>
        <rFont val="Arial"/>
        <family val="0"/>
        <charset val="1"/>
      </rPr>
      <t xml:space="preserve">Nebius </t>
    </r>
    <r>
      <rPr>
        <sz val="9"/>
        <color rgb="FF595959"/>
        <rFont val="WenQuanYi Zen Hei"/>
        <family val="2"/>
      </rPr>
      <t xml:space="preserve">自身合約（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的一部分），依工作單不得作為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的證據，只列作對照（）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</si>
  <si>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WhiteFiber–Baseten B300 </t>
    </r>
    <r>
      <rPr>
        <sz val="10"/>
        <rFont val="WenQuanYi Zen Hei"/>
        <family val="2"/>
      </rPr>
      <t xml:space="preserve">三年約（自身合約）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</si>
  <si>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自身合約，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WhiteFiber 2026 Q2 10-Q</t>
    </r>
    <r>
      <rPr>
        <sz val="9"/>
        <color rgb="FF595959"/>
        <rFont val="WenQuanYi Zen Hei"/>
        <family val="2"/>
      </rPr>
      <t xml:space="preserve">（核閱數）；事實總帳 </t>
    </r>
    <r>
      <rPr>
        <sz val="9"/>
        <color rgb="FF595959"/>
        <rFont val="Arial"/>
        <family val="0"/>
        <charset val="1"/>
      </rPr>
      <t xml:space="preserve">ct.baseten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TCV 165.2 ÷ 3 ÷ 2.858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1,392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B300 × 2.053 kW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WenQuanYi Zen Hei"/>
        <family val="2"/>
      </rPr>
      <t xml:space="preserve">近似）；依共同規則第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節不得作為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的證據，只列對照與敏感度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</si>
  <si>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WhiteFiber–</t>
    </r>
    <r>
      <rPr>
        <sz val="10"/>
        <rFont val="WenQuanYi Zen Hei"/>
        <family val="2"/>
      </rPr>
      <t xml:space="preserve">冰島 </t>
    </r>
    <r>
      <rPr>
        <sz val="10"/>
        <rFont val="Arial"/>
        <family val="0"/>
        <charset val="1"/>
      </rPr>
      <t xml:space="preserve">B300 </t>
    </r>
    <r>
      <rPr>
        <sz val="10"/>
        <rFont val="WenQuanYi Zen Hei"/>
        <family val="2"/>
      </rPr>
      <t xml:space="preserve">五年約（自身合約）</t>
    </r>
  </si>
  <si>
    <r>
      <rPr>
        <sz val="9"/>
        <color rgb="FF595959"/>
        <rFont val="Arial"/>
        <family val="0"/>
        <charset val="1"/>
      </rPr>
      <t xml:space="preserve">GB300 NVL72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自身合約，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WhiteFiber 2026 Q2 10-Q</t>
    </r>
    <r>
      <rPr>
        <sz val="9"/>
        <color rgb="FF595959"/>
        <rFont val="WenQuanYi Zen Hei"/>
        <family val="2"/>
      </rPr>
      <t xml:space="preserve">（核閱數）；</t>
    </r>
    <r>
      <rPr>
        <sz val="9"/>
        <color rgb="FF595959"/>
        <rFont val="Arial"/>
        <family val="0"/>
        <charset val="1"/>
      </rPr>
      <t xml:space="preserve">ct.icelandB300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TCV 87.5 ÷ 5 ÷ 1.183 MW-IT</t>
    </r>
    <r>
      <rPr>
        <sz val="9"/>
        <color rgb="FF595959"/>
        <rFont val="WenQuanYi Zen Hei"/>
        <family val="2"/>
      </rPr>
      <t xml:space="preserve">；另有營收分成上檔；只列不用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</si>
  <si>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WhiteFiber–Prime Intellect VR200 </t>
    </r>
    <r>
      <rPr>
        <sz val="10"/>
        <rFont val="WenQuanYi Zen Hei"/>
        <family val="2"/>
      </rPr>
      <t xml:space="preserve">三年約（自身合約）</t>
    </r>
  </si>
  <si>
    <r>
      <rPr>
        <sz val="9"/>
        <color rgb="FF595959"/>
        <rFont val="Arial"/>
        <family val="0"/>
        <charset val="1"/>
      </rPr>
      <t xml:space="preserve">VR200 NVL72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自身合約，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WhiteFiber 2026 Q2 10-Q</t>
    </r>
    <r>
      <rPr>
        <sz val="9"/>
        <color rgb="FF595959"/>
        <rFont val="WenQuanYi Zen Hei"/>
        <family val="2"/>
      </rPr>
      <t xml:space="preserve">（核閱數）；</t>
    </r>
    <r>
      <rPr>
        <sz val="9"/>
        <color rgb="FF595959"/>
        <rFont val="Arial"/>
        <family val="0"/>
        <charset val="1"/>
      </rPr>
      <t xml:space="preserve">ct.primeVR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TCV 108.2 ÷ 3 ÷ 1.974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576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VR200 × 3.428 kW</t>
    </r>
    <r>
      <rPr>
        <sz val="9"/>
        <color rgb="FF595959"/>
        <rFont val="WenQuanYi Zen Hei"/>
        <family val="2"/>
      </rPr>
      <t xml:space="preserve">）；只列不用</t>
    </r>
  </si>
  <si>
    <r>
      <rPr>
        <sz val="10"/>
        <rFont val="WenQuanYi Zen Hei"/>
        <family val="2"/>
      </rPr>
      <t xml:space="preserve">證據｜</t>
    </r>
    <r>
      <rPr>
        <sz val="10"/>
        <rFont val="Arial"/>
        <family val="0"/>
        <charset val="1"/>
      </rPr>
      <t xml:space="preserve">WhiteFiber–H100 256 </t>
    </r>
    <r>
      <rPr>
        <sz val="10"/>
        <rFont val="WenQuanYi Zen Hei"/>
        <family val="2"/>
      </rPr>
      <t xml:space="preserve">台兩年約（自身合約，現有機隊）</t>
    </r>
  </si>
  <si>
    <r>
      <rPr>
        <sz val="9"/>
        <color rgb="FF595959"/>
        <rFont val="Arial"/>
        <family val="0"/>
        <charset val="1"/>
      </rPr>
      <t xml:space="preserve">Hopper H100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自身合約，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WhiteFiber 2026 Q2 10-Q</t>
    </r>
    <r>
      <rPr>
        <sz val="9"/>
        <color rgb="FF595959"/>
        <rFont val="WenQuanYi Zen Hei"/>
        <family val="2"/>
      </rPr>
      <t xml:space="preserve">（核閱數）；</t>
    </r>
    <r>
      <rPr>
        <sz val="9"/>
        <color rgb="FF595959"/>
        <rFont val="Arial"/>
        <family val="0"/>
        <charset val="1"/>
      </rPr>
      <t xml:space="preserve">ct.h100_2048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2026-08-12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TCV 50.2 ÷ 2 ÷ 2.852 MW-IT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2,048 </t>
    </r>
    <r>
      <rPr>
        <sz val="9"/>
        <color rgb="FF595959"/>
        <rFont val="WenQuanYi Zen Hei"/>
        <family val="2"/>
      </rPr>
      <t xml:space="preserve">顆 </t>
    </r>
    <r>
      <rPr>
        <sz val="9"/>
        <color rgb="FF595959"/>
        <rFont val="Arial"/>
        <family val="0"/>
        <charset val="1"/>
      </rPr>
      <t xml:space="preserve">H100 × 1.393 kW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WenQuanYi Zen Hei"/>
        <family val="2"/>
      </rPr>
      <t xml:space="preserve">卡／台為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）；現有機隊代表合約，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驗證的價格項用；只列不用</t>
    </r>
  </si>
  <si>
    <r>
      <rPr>
        <sz val="10"/>
        <rFont val="WenQuanYi Zen Hei"/>
        <family val="2"/>
      </rPr>
      <t xml:space="preserve">合約組合｜</t>
    </r>
    <r>
      <rPr>
        <sz val="10"/>
        <rFont val="Arial"/>
        <family val="0"/>
        <charset val="1"/>
      </rPr>
      <t xml:space="preserve">Baseten 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年）年化營收</t>
    </r>
  </si>
  <si>
    <r>
      <rPr>
        <sz val="9"/>
        <color rgb="FF595959"/>
        <rFont val="Arial"/>
        <family val="0"/>
        <charset val="1"/>
      </rPr>
      <t xml:space="preserve">US$m/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</si>
  <si>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核閱數（</t>
    </r>
    <r>
      <rPr>
        <sz val="9"/>
        <color rgb="FF595959"/>
        <rFont val="Arial"/>
        <family val="0"/>
        <charset val="1"/>
      </rPr>
      <t xml:space="preserve">165.2 ÷ 3</t>
    </r>
    <r>
      <rPr>
        <sz val="9"/>
        <color rgb="FF595959"/>
        <rFont val="WenQuanYi Zen Hei"/>
        <family val="2"/>
      </rPr>
      <t xml:space="preserve">）；事實總帳 </t>
    </r>
    <r>
      <rPr>
        <sz val="9"/>
        <color rgb="FF595959"/>
        <rFont val="Arial"/>
        <family val="0"/>
        <charset val="1"/>
      </rPr>
      <t xml:space="preserve">ct.baseten</t>
    </r>
    <r>
      <rPr>
        <sz val="9"/>
        <color rgb="FF595959"/>
        <rFont val="WenQuanYi Zen Hei"/>
        <family val="2"/>
      </rPr>
      <t xml:space="preserve">；長約（≥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</si>
  <si>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合約組合｜</t>
    </r>
    <r>
      <rPr>
        <sz val="10"/>
        <rFont val="Arial"/>
        <family val="0"/>
        <charset val="1"/>
      </rPr>
      <t xml:space="preserve">Prime Intellect VR200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年）年化營收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</si>
  <si>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核閱數（</t>
    </r>
    <r>
      <rPr>
        <sz val="9"/>
        <color rgb="FF595959"/>
        <rFont val="Arial"/>
        <family val="0"/>
        <charset val="1"/>
      </rPr>
      <t xml:space="preserve">108.2 ÷ 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ct.primeVR</t>
    </r>
    <r>
      <rPr>
        <sz val="9"/>
        <color rgb="FF595959"/>
        <rFont val="WenQuanYi Zen Hei"/>
        <family val="2"/>
      </rPr>
      <t xml:space="preserve">；長約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</si>
  <si>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合約組合｜冰島 </t>
    </r>
    <r>
      <rPr>
        <sz val="10"/>
        <rFont val="Arial"/>
        <family val="0"/>
        <charset val="1"/>
      </rPr>
      <t xml:space="preserve">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年）年化營收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</si>
  <si>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核閱數（</t>
    </r>
    <r>
      <rPr>
        <sz val="9"/>
        <color rgb="FF595959"/>
        <rFont val="Arial"/>
        <family val="0"/>
        <charset val="1"/>
      </rPr>
      <t xml:space="preserve">87.5 ÷ 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ct.icelandB300</t>
    </r>
    <r>
      <rPr>
        <sz val="9"/>
        <color rgb="FF595959"/>
        <rFont val="WenQuanYi Zen Hei"/>
        <family val="2"/>
      </rPr>
      <t xml:space="preserve">；長約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</si>
  <si>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合約組合｜</t>
    </r>
    <r>
      <rPr>
        <sz val="10"/>
        <rFont val="Arial"/>
        <family val="0"/>
        <charset val="1"/>
      </rPr>
      <t xml:space="preserve">128 </t>
    </r>
    <r>
      <rPr>
        <sz val="10"/>
        <rFont val="WenQuanYi Zen Hei"/>
        <family val="2"/>
      </rPr>
      <t xml:space="preserve">顆 </t>
    </r>
    <r>
      <rPr>
        <sz val="10"/>
        <rFont val="Arial"/>
        <family val="0"/>
        <charset val="1"/>
      </rPr>
      <t xml:space="preserve">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年）年化營收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</si>
  <si>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核閱數（</t>
    </r>
    <r>
      <rPr>
        <sz val="9"/>
        <color rgb="FF595959"/>
        <rFont val="Arial"/>
        <family val="0"/>
        <charset val="1"/>
      </rPr>
      <t xml:space="preserve">16.0 ÷ 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ct.b300_128</t>
    </r>
    <r>
      <rPr>
        <sz val="9"/>
        <color rgb="FF595959"/>
        <rFont val="WenQuanYi Zen Hei"/>
        <family val="2"/>
      </rPr>
      <t xml:space="preserve">；長約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</si>
  <si>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合約組合｜巴黎（</t>
    </r>
    <r>
      <rPr>
        <sz val="10"/>
        <rFont val="Arial"/>
        <family val="0"/>
        <charset val="1"/>
      </rPr>
      <t xml:space="preserve">5 </t>
    </r>
    <r>
      <rPr>
        <sz val="10"/>
        <rFont val="WenQuanYi Zen Hei"/>
        <family val="2"/>
      </rPr>
      <t xml:space="preserve">年）年化營收下限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</si>
  <si>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核閱數（</t>
    </r>
    <r>
      <rPr>
        <sz val="9"/>
        <color rgb="FF595959"/>
        <rFont val="Arial"/>
        <family val="0"/>
        <charset val="1"/>
      </rPr>
      <t xml:space="preserve">TCV &gt;160 ÷ 5</t>
    </r>
    <r>
      <rPr>
        <sz val="9"/>
        <color rgb="FF595959"/>
        <rFont val="WenQuanYi Zen Hei"/>
        <family val="2"/>
      </rPr>
      <t xml:space="preserve">，下限）；</t>
    </r>
    <r>
      <rPr>
        <sz val="9"/>
        <color rgb="FF595959"/>
        <rFont val="Arial"/>
        <family val="0"/>
        <charset val="1"/>
      </rPr>
      <t xml:space="preserve">ct.paris</t>
    </r>
    <r>
      <rPr>
        <sz val="9"/>
        <color rgb="FF595959"/>
        <rFont val="WenQuanYi Zen Hei"/>
        <family val="2"/>
      </rPr>
      <t xml:space="preserve">；長約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</si>
  <si>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合約組合｜</t>
    </r>
    <r>
      <rPr>
        <sz val="10"/>
        <rFont val="Arial"/>
        <family val="0"/>
        <charset val="1"/>
      </rPr>
      <t xml:space="preserve">H100 256 </t>
    </r>
    <r>
      <rPr>
        <sz val="10"/>
        <rFont val="WenQuanYi Zen Hei"/>
        <family val="2"/>
      </rPr>
      <t xml:space="preserve">台（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年）年化營收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</si>
  <si>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核閱數（</t>
    </r>
    <r>
      <rPr>
        <sz val="9"/>
        <color rgb="FF595959"/>
        <rFont val="Arial"/>
        <family val="0"/>
        <charset val="1"/>
      </rPr>
      <t xml:space="preserve">50.2 ÷ 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ct.h100_2048</t>
    </r>
    <r>
      <rPr>
        <sz val="9"/>
        <color rgb="FF595959"/>
        <rFont val="WenQuanYi Zen Hei"/>
        <family val="2"/>
      </rPr>
      <t xml:space="preserve">；非長約（</t>
    </r>
    <r>
      <rPr>
        <sz val="9"/>
        <color rgb="FF595959"/>
        <rFont val="Arial"/>
        <family val="0"/>
        <charset val="1"/>
      </rPr>
      <t xml:space="preserve">&lt;3 </t>
    </r>
    <r>
      <rPr>
        <sz val="9"/>
        <color rgb="FF595959"/>
        <rFont val="WenQuanYi Zen Hei"/>
        <family val="2"/>
      </rPr>
      <t xml:space="preserve">年）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</si>
  <si>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合約組合｜</t>
    </r>
    <r>
      <rPr>
        <sz val="10"/>
        <rFont val="Arial"/>
        <family val="0"/>
        <charset val="1"/>
      </rPr>
      <t xml:space="preserve">Hyperbolic H200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年）年化營收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</si>
  <si>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核閱數（</t>
    </r>
    <r>
      <rPr>
        <sz val="9"/>
        <color rgb="FF595959"/>
        <rFont val="Arial"/>
        <family val="0"/>
        <charset val="1"/>
      </rPr>
      <t xml:space="preserve">17.0 ÷ 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ct.hyperbolic</t>
    </r>
    <r>
      <rPr>
        <sz val="9"/>
        <color rgb="FF595959"/>
        <rFont val="WenQuanYi Zen Hei"/>
        <family val="2"/>
      </rPr>
      <t xml:space="preserve">；非長約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</si>
  <si>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合約組合｜</t>
    </r>
    <r>
      <rPr>
        <sz val="10"/>
        <rFont val="Arial"/>
        <family val="0"/>
        <charset val="1"/>
      </rPr>
      <t xml:space="preserve">B200 384 </t>
    </r>
    <r>
      <rPr>
        <sz val="10"/>
        <rFont val="WenQuanYi Zen Hei"/>
        <family val="2"/>
      </rPr>
      <t xml:space="preserve">顆（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年）年化營收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</si>
  <si>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核閱數（</t>
    </r>
    <r>
      <rPr>
        <sz val="9"/>
        <color rgb="FF595959"/>
        <rFont val="Arial"/>
        <family val="0"/>
        <charset val="1"/>
      </rPr>
      <t xml:space="preserve">18.1 ÷ 2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ct.b200_384</t>
    </r>
    <r>
      <rPr>
        <sz val="9"/>
        <color rgb="FF595959"/>
        <rFont val="WenQuanYi Zen Hei"/>
        <family val="2"/>
      </rPr>
      <t xml:space="preserve">；非長約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</si>
  <si>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合約組合｜</t>
    </r>
    <r>
      <rPr>
        <sz val="10"/>
        <rFont val="Arial"/>
        <family val="0"/>
        <charset val="1"/>
      </rPr>
      <t xml:space="preserve">Prime GB200 216 </t>
    </r>
    <r>
      <rPr>
        <sz val="10"/>
        <rFont val="WenQuanYi Zen Hei"/>
        <family val="2"/>
      </rPr>
      <t xml:space="preserve">顆（</t>
    </r>
    <r>
      <rPr>
        <sz val="10"/>
        <rFont val="Arial"/>
        <family val="0"/>
        <charset val="1"/>
      </rPr>
      <t xml:space="preserve">1 </t>
    </r>
    <r>
      <rPr>
        <sz val="10"/>
        <rFont val="WenQuanYi Zen Hei"/>
        <family val="2"/>
      </rPr>
      <t xml:space="preserve">年）年化營收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</si>
  <si>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核閱數；</t>
    </r>
    <r>
      <rPr>
        <sz val="9"/>
        <color rgb="FF595959"/>
        <rFont val="Arial"/>
        <family val="0"/>
        <charset val="1"/>
      </rPr>
      <t xml:space="preserve">ct.primeGB200</t>
    </r>
    <r>
      <rPr>
        <sz val="9"/>
        <color rgb="FF595959"/>
        <rFont val="WenQuanYi Zen Hei"/>
        <family val="2"/>
      </rPr>
      <t xml:space="preserve">；非長約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</si>
  <si>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WenQuanYi Zen Hei"/>
        <family val="2"/>
      </rPr>
      <t xml:space="preserve">合約組合｜長約（≥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年）合計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全部有年期合約</t>
    </r>
  </si>
  <si>
    <t xml:space="preserve">比例</t>
  </si>
  <si>
    <r>
      <rPr>
        <sz val="9"/>
        <color rgb="FF595959"/>
        <rFont val="Arial"/>
        <family val="0"/>
        <charset val="1"/>
      </rPr>
      <t xml:space="preserve">145.97 ÷ 195.42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74.7%</t>
    </r>
    <r>
      <rPr>
        <sz val="9"/>
        <color rgb="FF595959"/>
        <rFont val="WenQuanYi Zen Hei"/>
        <family val="2"/>
      </rPr>
      <t xml:space="preserve">（取整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onDemandShare </t>
    </r>
    <r>
      <rPr>
        <sz val="9"/>
        <color rgb="FF595959"/>
        <rFont val="WenQuanYi Zen Hei"/>
        <family val="2"/>
      </rPr>
      <t xml:space="preserve">的補數）；僅涵蓋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新簽合約，既有機隊合約型態未知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</si>
  <si>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找不到</t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</si>
  <si>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長約或現貨每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小時價格：找不到（尚未上市交付；試過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Verda </t>
    </r>
    <r>
      <rPr>
        <sz val="9"/>
        <color rgb="FF595959"/>
        <rFont val="WenQuanYi Zen Hei"/>
        <family val="2"/>
      </rPr>
      <t xml:space="preserve">價目、</t>
    </r>
    <r>
      <rPr>
        <sz val="9"/>
        <color rgb="FF595959"/>
        <rFont val="Arial"/>
        <family val="0"/>
        <charset val="1"/>
      </rPr>
      <t xml:space="preserve">Silicon Data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GetDeploying</t>
    </r>
    <r>
      <rPr>
        <sz val="9"/>
        <color rgb="FF595959"/>
        <rFont val="WenQuanYi Zen Hei"/>
        <family val="2"/>
      </rPr>
      <t xml:space="preserve">、新聞搜尋）</t>
    </r>
  </si>
  <si>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既有機隊（評價日 </t>
    </r>
    <r>
      <rPr>
        <sz val="9"/>
        <color rgb="FF595959"/>
        <rFont val="Arial"/>
        <family val="0"/>
        <charset val="1"/>
      </rPr>
      <t xml:space="preserve">5.5 MW</t>
    </r>
    <r>
      <rPr>
        <sz val="9"/>
        <color rgb="FF595959"/>
        <rFont val="WenQuanYi Zen Hei"/>
        <family val="2"/>
      </rPr>
      <t xml:space="preserve">）的合約型態、年期與世代：找不到（公司只揭露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WenQuanYi Zen Hei"/>
        <family val="2"/>
      </rPr>
      <t xml:space="preserve">新簽合約；試過 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、簡報、二手法說）——不代表不存在</t>
    </r>
  </si>
  <si>
    <r>
      <rPr>
        <sz val="9"/>
        <color rgb="FF595959"/>
        <rFont val="WenQuanYi Zen Hei"/>
        <family val="2"/>
      </rPr>
      <t xml:space="preserve">第二筆獨立於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長約（含年期與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數）：找不到可換算者——</t>
    </r>
    <r>
      <rPr>
        <sz val="9"/>
        <color rgb="FF595959"/>
        <rFont val="Arial"/>
        <family val="0"/>
        <charset val="1"/>
      </rPr>
      <t xml:space="preserve">Nscale–Microsoft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 </t>
    </r>
    <r>
      <rPr>
        <sz val="9"/>
        <color rgb="FF595959"/>
        <rFont val="WenQuanYi Zen Hei"/>
        <family val="2"/>
      </rPr>
      <t xml:space="preserve">報導約 </t>
    </r>
    <r>
      <rPr>
        <sz val="9"/>
        <color rgb="FF595959"/>
        <rFont val="Arial"/>
        <family val="0"/>
        <charset val="1"/>
      </rPr>
      <t xml:space="preserve">$14bn</t>
    </r>
    <r>
      <rPr>
        <sz val="9"/>
        <color rgb="FF595959"/>
        <rFont val="WenQuanYi Zen Hei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11.6 </t>
    </r>
    <r>
      <rPr>
        <sz val="9"/>
        <color rgb="FF595959"/>
        <rFont val="WenQuanYi Zen Hei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）未揭露年期，無法換算；</t>
    </r>
    <r>
      <rPr>
        <sz val="9"/>
        <color rgb="FF595959"/>
        <rFont val="Arial"/>
        <family val="0"/>
        <charset val="1"/>
      </rPr>
      <t xml:space="preserve">Lambda–Microsoft </t>
    </r>
    <r>
      <rPr>
        <sz val="9"/>
        <color rgb="FF595959"/>
        <rFont val="WenQuanYi Zen Hei"/>
        <family val="2"/>
      </rPr>
      <t xml:space="preserve">未揭露金額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</si>
  <si>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WenQuanYi Zen Hei"/>
        <family val="2"/>
      </rPr>
      <t xml:space="preserve">｜對照列（不驅動）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</si>
  <si>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v0.1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，隨容量情境同向）｜保守 只有已簽約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</si>
  <si>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成本加成與路徑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市場價 </t>
    </r>
    <r>
      <rPr>
        <sz val="9"/>
        <color rgb="FF595959"/>
        <rFont val="Arial"/>
        <family val="0"/>
        <charset val="1"/>
      </rPr>
      <t xml:space="preserve">50/50 </t>
    </r>
    <r>
      <rPr>
        <sz val="9"/>
        <color rgb="FF595959"/>
        <rFont val="WenQuanYi Zen Hei"/>
        <family val="2"/>
      </rPr>
      <t xml:space="preserve">平均（已停用：下游資料契約第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X14 (j)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</si>
  <si>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v0.1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</si>
  <si>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v0.1 </t>
    </r>
    <r>
      <rPr>
        <sz val="10"/>
        <rFont val="WenQuanYi Zen Hei"/>
        <family val="2"/>
      </rPr>
      <t xml:space="preserve">舊值（</t>
    </r>
    <r>
      <rPr>
        <sz val="10"/>
        <rFont val="Arial"/>
        <family val="0"/>
        <charset val="1"/>
      </rPr>
      <t xml:space="preserve">scenarios.revMW</t>
    </r>
    <r>
      <rPr>
        <sz val="10"/>
        <rFont val="WenQuanYi Zen Hei"/>
        <family val="2"/>
      </rPr>
      <t xml:space="preserve">，隨容量情境同向）｜積極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</si>
  <si>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sz val="10"/>
        <rFont val="WenQuanYi Zen Hei"/>
        <family val="2"/>
      </rPr>
      <t xml:space="preserve">對照｜錨 </t>
    </r>
    <r>
      <rPr>
        <sz val="10"/>
        <rFont val="Arial"/>
        <family val="0"/>
        <charset val="1"/>
      </rPr>
      <t xml:space="preserve">× k </t>
    </r>
    <r>
      <rPr>
        <sz val="10"/>
        <rFont val="WenQuanYi Zen Hei"/>
        <family val="2"/>
      </rPr>
      <t xml:space="preserve">相對 </t>
    </r>
    <r>
      <rPr>
        <sz val="10"/>
        <rFont val="Arial"/>
        <family val="0"/>
        <charset val="1"/>
      </rPr>
      <t xml:space="preserve">v0.1 </t>
    </r>
    <r>
      <rPr>
        <sz val="10"/>
        <rFont val="WenQuanYi Zen Hei"/>
        <family val="2"/>
      </rPr>
      <t xml:space="preserve">舊值（目前情境）</t>
    </r>
  </si>
  <si>
    <r>
      <rPr>
        <sz val="10"/>
        <rFont val="WenQuanYi Zen Hei"/>
        <family val="2"/>
      </rPr>
      <t xml:space="preserve">對照｜成本加成路徑：錨 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15%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1 − 8%</t>
    </r>
    <r>
      <rPr>
        <sz val="10"/>
        <rFont val="WenQuanYi Zen Hei"/>
        <family val="2"/>
      </rPr>
      <t xml:space="preserve">）（只作 </t>
    </r>
    <r>
      <rPr>
        <sz val="10"/>
        <rFont val="Arial"/>
        <family val="0"/>
        <charset val="1"/>
      </rPr>
      <t xml:space="preserve">ROIC </t>
    </r>
    <r>
      <rPr>
        <sz val="10"/>
        <rFont val="WenQuanYi Zen Hei"/>
        <family val="2"/>
      </rPr>
      <t xml:space="preserve">檢查）</t>
    </r>
  </si>
  <si>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WenQuanYi Zen Hei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WenQuanYi Zen Hei"/>
        <family val="2"/>
      </rPr>
      <t xml:space="preserve">基準（經濟利潤加成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WenQuanYi Zen Hei"/>
        <family val="2"/>
      </rPr>
      <t xml:space="preserve">、公司層級費用 </t>
    </r>
    <r>
      <rPr>
        <sz val="9"/>
        <color rgb="FF595959"/>
        <rFont val="Arial"/>
        <family val="0"/>
        <charset val="1"/>
      </rPr>
      <t xml:space="preserve">8% [Assumed]</t>
    </r>
    <r>
      <rPr>
        <sz val="9"/>
        <color rgb="FF595959"/>
        <rFont val="WenQuanYi Zen Hei"/>
        <family val="2"/>
      </rPr>
      <t xml:space="preserve">）；契約第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WenQuanYi Zen Hei"/>
        <family val="2"/>
      </rPr>
      <t xml:space="preserve">條：只作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WenQuanYi Zen Hei"/>
        <family val="2"/>
      </rPr>
      <t xml:space="preserve">與資金缺口檢查，不作收入輸入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</si>
  <si>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v0.1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建置成本（寫死 </t>
    </r>
    <r>
      <rPr>
        <sz val="10"/>
        <rFont val="Arial"/>
        <family val="0"/>
        <charset val="1"/>
      </rPr>
      <t xml:space="preserve">37.45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37.59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Tokenomics v5.24</t>
    </r>
    <r>
      <rPr>
        <sz val="10"/>
        <rFont val="WenQuanYi Zen Hei"/>
        <family val="2"/>
      </rPr>
      <t xml:space="preserve">；只列，不入模型）</t>
    </r>
  </si>
  <si>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scenarios.capexTemplate.costMW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 37.45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起模型採 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WenQuanYi Zen Hei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IF_CapexIT</t>
    </r>
    <r>
      <rPr>
        <sz val="9"/>
        <color rgb="FF595959"/>
        <rFont val="WenQuanYi Zen Hei"/>
        <family val="2"/>
      </rPr>
      <t xml:space="preserve">（『輸入與假設』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</si>
  <si>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實現：經常性雲端營收年化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評價日已連網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（上限；只列，不用）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</si>
  <si>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經常性雲端營收（</t>
    </r>
    <r>
      <rPr>
        <sz val="9"/>
        <color rgb="FF595959"/>
        <rFont val="Arial"/>
        <family val="0"/>
        <charset val="1"/>
      </rPr>
      <t xml:space="preserve">23.806 </t>
    </r>
    <r>
      <rPr>
        <sz val="9"/>
        <color rgb="FF595959"/>
        <rFont val="WenQuanYi Zen Hei"/>
        <family val="2"/>
      </rPr>
      <t xml:space="preserve">扣終止費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4 ÷ </t>
    </r>
    <r>
      <rPr>
        <sz val="9"/>
        <color rgb="FF595959"/>
        <rFont val="WenQuanYi Zen Hei"/>
        <family val="2"/>
      </rPr>
      <t xml:space="preserve">評價日已連網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（冰島 </t>
    </r>
    <r>
      <rPr>
        <sz val="9"/>
        <color rgb="FF595959"/>
        <rFont val="Arial"/>
        <family val="0"/>
        <charset val="1"/>
      </rPr>
      <t xml:space="preserve">5.5</t>
    </r>
    <r>
      <rPr>
        <sz val="9"/>
        <color rgb="FF595959"/>
        <rFont val="WenQuanYi Zen Hei"/>
        <family val="2"/>
      </rPr>
      <t xml:space="preserve">；亞特蘭大與加拿大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未揭露，分母偏小 → 上限）；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不得用來校準（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區列驗證拆解）</t>
    </r>
  </si>
  <si>
    <r>
      <rPr>
        <sz val="10"/>
        <rFont val="WenQuanYi Zen Hei"/>
        <family val="2"/>
      </rPr>
      <t xml:space="preserve">對照｜</t>
    </r>
    <r>
      <rPr>
        <sz val="10"/>
        <rFont val="Arial"/>
        <family val="0"/>
        <charset val="1"/>
      </rPr>
      <t xml:space="preserve">Tokenomics IF_FacilityGW</t>
    </r>
    <r>
      <rPr>
        <sz val="10"/>
        <rFont val="WenQuanYi Zen Hei"/>
        <family val="2"/>
      </rPr>
      <t xml:space="preserve">（參考世代，基準；</t>
    </r>
    <r>
      <rPr>
        <sz val="10"/>
        <rFont val="Arial"/>
        <family val="0"/>
        <charset val="1"/>
      </rPr>
      <t xml:space="preserve">PUE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</si>
  <si>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只對照：公司自述 </t>
    </r>
    <r>
      <rPr>
        <sz val="9"/>
        <color rgb="FF595959"/>
        <rFont val="Arial"/>
        <family val="0"/>
        <charset val="1"/>
      </rPr>
      <t xml:space="preserve">MTL-3 PUE 1.3</t>
    </r>
    <r>
      <rPr>
        <sz val="9"/>
        <color rgb="FF595959"/>
        <rFont val="WenQuanYi Zen Hei"/>
        <family val="2"/>
      </rPr>
      <t xml:space="preserve">（業界 </t>
    </r>
    <r>
      <rPr>
        <sz val="9"/>
        <color rgb="FF595959"/>
        <rFont val="Arial"/>
        <family val="0"/>
        <charset val="1"/>
      </rPr>
      <t xml:space="preserve">1.45</t>
    </r>
    <r>
      <rPr>
        <sz val="9"/>
        <color rgb="FF595959"/>
        <rFont val="WenQuanYi Zen Hei"/>
        <family val="2"/>
      </rPr>
      <t xml:space="preserve">）；雲端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每顆 </t>
    </r>
    <r>
      <rPr>
        <sz val="9"/>
        <color rgb="FF595959"/>
        <rFont val="Arial"/>
        <family val="0"/>
        <charset val="1"/>
      </rPr>
      <t xml:space="preserve">IT kW </t>
    </r>
    <r>
      <rPr>
        <sz val="9"/>
        <color rgb="FF595959"/>
        <rFont val="WenQuanYi Zen Hei"/>
        <family val="2"/>
      </rPr>
      <t xml:space="preserve">換算（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WenQuanYi Zen Hei"/>
        <family val="2"/>
      </rPr>
      <t xml:space="preserve">區），不經 </t>
    </r>
    <r>
      <rPr>
        <sz val="9"/>
        <color rgb="FF595959"/>
        <rFont val="Arial"/>
        <family val="0"/>
        <charset val="1"/>
      </rPr>
      <t xml:space="preserve">PUE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</si>
  <si>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驗證（不是校準；只列，不回頭改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WenQuanYi Zen Hei"/>
        <family val="2"/>
      </rPr>
      <t xml:space="preserve">）：模型首期每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vs Q2 </t>
    </r>
    <r>
      <rPr>
        <b val="true"/>
        <sz val="10"/>
        <rFont val="WenQuanYi Zen Hei"/>
        <family val="2"/>
      </rPr>
      <t xml:space="preserve">實現（經常性雲端營收年化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評價日已連網 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WenQuanYi Zen Hei"/>
        <family val="2"/>
      </rPr>
      <t xml:space="preserve">）</t>
    </r>
  </si>
  <si>
    <t xml:space="preserve">算式／說明</t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</si>
  <si>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｜經常性雲端營收年化（最新季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</si>
  <si>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已實現實際數（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核閱數：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雲端營收 </t>
    </r>
    <r>
      <rPr>
        <sz val="9"/>
        <color rgb="FF595959"/>
        <rFont val="Arial"/>
        <family val="0"/>
        <charset val="1"/>
      </rPr>
      <t xml:space="preserve">23.806 </t>
    </r>
    <r>
      <rPr>
        <sz val="9"/>
        <color rgb="FF595959"/>
        <rFont val="WenQuanYi Zen Hei"/>
        <family val="2"/>
      </rPr>
      <t xml:space="preserve">扣終止費 </t>
    </r>
    <r>
      <rPr>
        <sz val="9"/>
        <color rgb="FF595959"/>
        <rFont val="Arial"/>
        <family val="0"/>
        <charset val="1"/>
      </rPr>
      <t xml:space="preserve">12.3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11.506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× 4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WenQuanYi Zen Hei"/>
        <family val="2"/>
      </rPr>
      <t xml:space="preserve">；含雲端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、儲存等非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服務（公司未分拆）</t>
    </r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</si>
  <si>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｜評價日已連網雲端 </t>
    </r>
    <r>
      <rPr>
        <sz val="10"/>
        <rFont val="Arial"/>
        <family val="0"/>
        <charset val="1"/>
      </rPr>
      <t xml:space="preserve">MW-IT</t>
    </r>
  </si>
  <si>
    <r>
      <rPr>
        <sz val="9"/>
        <color rgb="FF595959"/>
        <rFont val="WenQuanYi Zen Hei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WenQuanYi Zen Hei"/>
        <family val="2"/>
      </rPr>
      <t xml:space="preserve">）已連網雲端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：冰島 </t>
    </r>
    <r>
      <rPr>
        <sz val="9"/>
        <color rgb="FF595959"/>
        <rFont val="Arial"/>
        <family val="0"/>
        <charset val="1"/>
      </rPr>
      <t xml:space="preserve">Blönduós </t>
    </r>
    <r>
      <rPr>
        <sz val="9"/>
        <color rgb="FF595959"/>
        <rFont val="WenQuanYi Zen Hei"/>
        <family val="2"/>
      </rPr>
      <t xml:space="preserve">第三方機房已簽 </t>
    </r>
    <r>
      <rPr>
        <sz val="9"/>
        <color rgb="FF595959"/>
        <rFont val="Arial"/>
        <family val="0"/>
        <charset val="1"/>
      </rPr>
      <t xml:space="preserve">5.5 MW IT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texts.mwYearEndNotes</t>
    </r>
    <r>
      <rPr>
        <sz val="9"/>
        <color rgb="FF595959"/>
        <rFont val="WenQuanYi Zen Hei"/>
        <family val="2"/>
      </rPr>
      <t xml:space="preserve">）。亞特蘭大（</t>
    </r>
    <r>
      <rPr>
        <sz val="9"/>
        <color rgb="FF595959"/>
        <rFont val="Arial"/>
        <family val="0"/>
        <charset val="1"/>
      </rPr>
      <t xml:space="preserve">2026-02 </t>
    </r>
    <r>
      <rPr>
        <sz val="9"/>
        <color rgb="FF595959"/>
        <rFont val="WenQuanYi Zen Hei"/>
        <family val="2"/>
      </rPr>
      <t xml:space="preserve">起承租）與加拿大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未揭露，故為下限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經常性雲端營收年化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此值＝</t>
    </r>
    <r>
      <rPr>
        <sz val="9"/>
        <color rgb="FF595959"/>
        <rFont val="Arial"/>
        <family val="0"/>
        <charset val="1"/>
      </rPr>
      <t xml:space="preserve">8.37 </t>
    </r>
    <r>
      <rPr>
        <sz val="9"/>
        <color rgb="FF595959"/>
        <rFont val="WenQuanYi Zen Hei"/>
        <family val="2"/>
      </rPr>
      <t xml:space="preserve">為上限（事實總帳 </t>
    </r>
    <r>
      <rPr>
        <sz val="9"/>
        <color rgb="FF595959"/>
        <rFont val="Arial"/>
        <family val="0"/>
        <charset val="1"/>
      </rPr>
      <t xml:space="preserve">pm.a.perMW</t>
    </r>
    <r>
      <rPr>
        <sz val="9"/>
        <color rgb="FF595959"/>
        <rFont val="WenQuanYi Zen Hei"/>
        <family val="2"/>
      </rPr>
      <t xml:space="preserve">）。</t>
    </r>
  </si>
  <si>
    <r>
      <rPr>
        <sz val="10"/>
        <rFont val="Arial"/>
        <family val="0"/>
        <charset val="1"/>
      </rPr>
      <t xml:space="preserve">Q2</t>
    </r>
    <r>
      <rPr>
        <sz val="10"/>
        <rFont val="WenQuanYi Zen Hei"/>
        <family val="2"/>
      </rPr>
      <t xml:space="preserve">｜期初可計費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（模型校準值，目前情境）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</si>
  <si>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經常性雲端營收年化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年收入（對齊已實現實際數的校準，非推價格）</t>
    </r>
  </si>
  <si>
    <r>
      <rPr>
        <sz val="10"/>
        <rFont val="WenQuanYi Zen Hei"/>
        <family val="2"/>
      </rPr>
      <t xml:space="preserve">模型隱含：期初可計費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評價日已連網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</si>
  <si>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WenQuanYi Zen Hei"/>
        <family val="2"/>
      </rPr>
      <t xml:space="preserve">低於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：評價日已連網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中，以模型價格計的計費當量只有這個比例（舊世代單價低於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，或未全數計費）——這是本驗證要解釋的現象，不回頭改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</si>
  <si>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</si>
  <si>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經常性雲端營收年化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評價日已連網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WenQuanYi Zen Hei"/>
        <family val="2"/>
      </rPr>
      <t xml:space="preserve">（上限；亞特蘭大、加拿大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未揭露）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</si>
  <si>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實現每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</si>
  <si>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與模型首期每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年收入只差期初可計費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的四捨五入（因校準所致，非獨立證據）</t>
    </r>
  </si>
  <si>
    <r>
      <rPr>
        <sz val="10"/>
        <rFont val="WenQuanYi Zen Hei"/>
        <family val="2"/>
      </rPr>
      <t xml:space="preserve">期初錨（評價日世代組合 </t>
    </r>
    <r>
      <rPr>
        <sz val="10"/>
        <rFont val="Arial"/>
        <family val="0"/>
        <charset val="1"/>
      </rPr>
      <t xml:space="preserve">× IF_HoldEcon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</si>
  <si>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評價日世代組合 </t>
    </r>
    <r>
      <rPr>
        <sz val="9"/>
        <color rgb="FF595959"/>
        <rFont val="Arial"/>
        <family val="0"/>
        <charset val="1"/>
      </rPr>
      <t xml:space="preserve">fleet.openMix [Assumed]</t>
    </r>
  </si>
  <si>
    <t xml:space="preserve">模型首期錨（平均在役世代）</t>
  </si>
  <si>
    <r>
      <rPr>
        <sz val="10"/>
        <rFont val="WenQuanYi Zen Hei"/>
        <family val="2"/>
      </rPr>
      <t xml:space="preserve">模型首期定價倍數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</si>
  <si>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WenQuanYi Zen Hei"/>
        <family val="2"/>
      </rPr>
      <t xml:space="preserve">模型首期每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年收入（目前情境，錨 </t>
    </r>
    <r>
      <rPr>
        <b val="true"/>
        <sz val="10"/>
        <rFont val="Arial"/>
        <family val="0"/>
        <charset val="1"/>
      </rPr>
      <t xml:space="preserve">× k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</si>
  <si>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隱含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 </t>
    </r>
    <r>
      <rPr>
        <sz val="10"/>
        <rFont val="Arial"/>
        <family val="0"/>
        <charset val="1"/>
      </rPr>
      <t xml:space="preserve">MW ÷ </t>
    </r>
    <r>
      <rPr>
        <sz val="10"/>
        <rFont val="WenQuanYi Zen Hei"/>
        <family val="2"/>
      </rPr>
      <t xml:space="preserve">期初錨；只列，不用）</t>
    </r>
  </si>
  <si>
    <r>
      <rPr>
        <sz val="9"/>
        <color rgb="FF595959"/>
        <rFont val="WenQuanYi Zen Hei"/>
        <family val="2"/>
      </rPr>
      <t xml:space="preserve">不得用來校準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（已決定事項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WenQuanYi Zen Hei"/>
        <family val="2"/>
      </rPr>
      <t xml:space="preserve">）；含爬坡與非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營收，不是價格</t>
    </r>
  </si>
  <si>
    <r>
      <rPr>
        <sz val="10"/>
        <rFont val="WenQuanYi Zen Hei"/>
        <family val="2"/>
      </rPr>
      <t xml:space="preserve">現有機隊代表合約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H100 256 </t>
    </r>
    <r>
      <rPr>
        <sz val="10"/>
        <rFont val="WenQuanYi Zen Hei"/>
        <family val="2"/>
      </rPr>
      <t xml:space="preserve">台 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個月；只列）</t>
    </r>
  </si>
  <si>
    <r>
      <rPr>
        <sz val="9"/>
        <color rgb="FF595959"/>
        <rFont val="Arial"/>
        <family val="0"/>
        <charset val="1"/>
      </rPr>
      <t xml:space="preserve">H100 256 </t>
    </r>
    <r>
      <rPr>
        <sz val="9"/>
        <color rgb="FF595959"/>
        <rFont val="WenQuanYi Zen Hei"/>
        <family val="2"/>
      </rPr>
      <t xml:space="preserve">台（</t>
    </r>
    <r>
      <rPr>
        <sz val="9"/>
        <color rgb="FF595959"/>
        <rFont val="Arial"/>
        <family val="0"/>
        <charset val="1"/>
      </rPr>
      <t xml:space="preserve">2,048 </t>
    </r>
    <r>
      <rPr>
        <sz val="9"/>
        <color rgb="FF595959"/>
        <rFont val="WenQuanYi Zen Hei"/>
        <family val="2"/>
      </rPr>
      <t xml:space="preserve">顆）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WenQuanYi Zen Hei"/>
        <family val="2"/>
      </rPr>
      <t xml:space="preserve">個月約：</t>
    </r>
    <r>
      <rPr>
        <sz val="9"/>
        <color rgb="FF595959"/>
        <rFont val="Arial"/>
        <family val="0"/>
        <charset val="1"/>
      </rPr>
      <t xml:space="preserve">TCV 50.2 ÷ 2 ÷ 2.852 MW-IT ÷ IF_HoldEcon</t>
    </r>
    <r>
      <rPr>
        <sz val="9"/>
        <color rgb="FF595959"/>
        <rFont val="WenQuanYi Zen Hei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 [Derived]</t>
    </r>
    <r>
      <rPr>
        <sz val="9"/>
        <color rgb="FF595959"/>
        <rFont val="WenQuanYi Zen Hei"/>
        <family val="2"/>
      </rPr>
      <t xml:space="preserve">；現有機隊的代表價格（其餘既有合約未揭露）</t>
    </r>
  </si>
  <si>
    <r>
      <rPr>
        <b val="true"/>
        <sz val="10"/>
        <rFont val="WenQuanYi Zen Hei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實現 − 模型首期）</t>
    </r>
  </si>
  <si>
    <r>
      <rPr>
        <sz val="10"/>
        <rFont val="WenQuanYi Zen Hei"/>
        <family val="2"/>
      </rPr>
      <t xml:space="preserve">總差距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模型首期</t>
    </r>
  </si>
  <si>
    <r>
      <rPr>
        <sz val="9"/>
        <color rgb="FF595959"/>
        <rFont val="Arial"/>
        <family val="0"/>
        <charset val="1"/>
      </rPr>
      <t xml:space="preserve">&gt; 5% </t>
    </r>
    <r>
      <rPr>
        <sz val="9"/>
        <color rgb="FF595959"/>
        <rFont val="WenQuanYi Zen Hei"/>
        <family val="2"/>
      </rPr>
      <t xml:space="preserve">附原因（已決定事項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），見下方「差異原因」</t>
    </r>
  </si>
  <si>
    <r>
      <rPr>
        <b val="true"/>
        <sz val="11"/>
        <color rgb="FFFFFFFF"/>
        <rFont val="WenQuanYi Zen Hei"/>
        <family val="2"/>
      </rPr>
      <t xml:space="preserve">差距拆解（由模型走向 </t>
    </r>
    <r>
      <rPr>
        <b val="true"/>
        <sz val="11"/>
        <color rgb="FFFFFFFF"/>
        <rFont val="Arial"/>
        <family val="0"/>
        <charset val="1"/>
      </rPr>
      <t xml:space="preserve">Q2 </t>
    </r>
    <r>
      <rPr>
        <b val="true"/>
        <sz val="11"/>
        <color rgb="FFFFFFFF"/>
        <rFont val="WenQuanYi Zen Hei"/>
        <family val="2"/>
      </rPr>
      <t xml:space="preserve">實現）</t>
    </r>
  </si>
  <si>
    <r>
      <rPr>
        <b val="true"/>
        <sz val="11"/>
        <color rgb="FFFFFFFF"/>
        <rFont val="WenQuanYi Zen Hei"/>
        <family val="2"/>
      </rPr>
      <t xml:space="preserve">其他＝</t>
    </r>
    <r>
      <rPr>
        <b val="true"/>
        <sz val="11"/>
        <color rgb="FFFFFFFF"/>
        <rFont val="Arial"/>
        <family val="0"/>
        <charset val="1"/>
      </rPr>
      <t xml:space="preserve">0%</t>
    </r>
  </si>
  <si>
    <r>
      <rPr>
        <b val="true"/>
        <sz val="11"/>
        <color rgb="FFFFFFFF"/>
        <rFont val="WenQuanYi Zen Hei"/>
        <family val="2"/>
      </rPr>
      <t xml:space="preserve">其他＝</t>
    </r>
    <r>
      <rPr>
        <b val="true"/>
        <sz val="11"/>
        <color rgb="FFFFFFFF"/>
        <rFont val="Arial"/>
        <family val="0"/>
        <charset val="1"/>
      </rPr>
      <t xml:space="preserve">10%</t>
    </r>
  </si>
  <si>
    <r>
      <rPr>
        <b val="true"/>
        <sz val="11"/>
        <color rgb="FFFFFFFF"/>
        <rFont val="WenQuanYi Zen Hei"/>
        <family val="2"/>
      </rPr>
      <t xml:space="preserve">其他＝</t>
    </r>
    <r>
      <rPr>
        <b val="true"/>
        <sz val="11"/>
        <color rgb="FFFFFFFF"/>
        <rFont val="Arial"/>
        <family val="0"/>
        <charset val="1"/>
      </rPr>
      <t xml:space="preserve">20%</t>
    </r>
  </si>
  <si>
    <r>
      <rPr>
        <b val="true"/>
        <sz val="11"/>
        <color rgb="FFFFFFFF"/>
        <rFont val="WenQuanYi Zen Hei"/>
        <family val="2"/>
      </rPr>
      <t xml:space="preserve">其他＝</t>
    </r>
    <r>
      <rPr>
        <b val="true"/>
        <sz val="11"/>
        <color rgb="FFFFFFFF"/>
        <rFont val="Arial"/>
        <family val="0"/>
        <charset val="1"/>
      </rPr>
      <t xml:space="preserve">30%</t>
    </r>
  </si>
  <si>
    <r>
      <rPr>
        <sz val="10"/>
        <rFont val="WenQuanYi Zen Hei"/>
        <family val="2"/>
      </rPr>
      <t xml:space="preserve">其他（非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雲端營收等）占經常性雲端營收的比例 </t>
    </r>
    <r>
      <rPr>
        <sz val="10"/>
        <rFont val="Arial"/>
        <family val="0"/>
        <charset val="1"/>
      </rPr>
      <t xml:space="preserve">n</t>
    </r>
    <r>
      <rPr>
        <sz val="10"/>
        <rFont val="WenQuanYi Zen Hei"/>
        <family val="2"/>
      </rPr>
      <t xml:space="preserve">（情境；輸入）</t>
    </r>
  </si>
  <si>
    <r>
      <rPr>
        <sz val="9"/>
        <color rgb="FF595959"/>
        <rFont val="WenQuanYi Zen Hei"/>
        <family val="2"/>
      </rPr>
      <t xml:space="preserve">公司未分拆經常性雲端營收中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計費與其他（雲端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、儲存、軟體；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稱新簽合約「含雲端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／儲存」）的比例（不存在／未揭露；試過：</t>
    </r>
    <r>
      <rPr>
        <sz val="9"/>
        <color rgb="FF595959"/>
        <rFont val="Arial"/>
        <family val="0"/>
        <charset val="1"/>
      </rPr>
      <t xml:space="preserve">FY2025 10-K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10-Q</t>
    </r>
    <r>
      <rPr>
        <sz val="9"/>
        <color rgb="FF595959"/>
        <rFont val="WenQuanYi Zen Hei"/>
        <family val="2"/>
      </rPr>
      <t xml:space="preserve">、簡報、事實總帳）。區間 </t>
    </r>
    <r>
      <rPr>
        <sz val="9"/>
        <color rgb="FF595959"/>
        <rFont val="Arial"/>
        <family val="0"/>
        <charset val="1"/>
      </rPr>
      <t xml:space="preserve">0–30% [Assumed]</t>
    </r>
    <r>
      <rPr>
        <sz val="9"/>
        <color rgb="FF595959"/>
        <rFont val="WenQuanYi Zen Hei"/>
        <family val="2"/>
      </rPr>
      <t xml:space="preserve">，不作基準；只用於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驗證拆解與期初可計費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校準的敏感度。 各欄：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WenQuanYi Zen Hei"/>
        <family val="2"/>
      </rPr>
      <t xml:space="preserve">（經常性雲端營收全部視為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計費）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（含雲端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、儲存等非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服務）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 [Assumed]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（上緣）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</si>
  <si>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WenQuanYi Zen Hei"/>
        <family val="2"/>
      </rPr>
      <t xml:space="preserve">起點：模型首期每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年收入（錨 </t>
    </r>
    <r>
      <rPr>
        <sz val="10"/>
        <rFont val="Arial"/>
        <family val="0"/>
        <charset val="1"/>
      </rPr>
      <t xml:space="preserve">× k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</si>
  <si>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(iii) </t>
    </r>
    <r>
      <rPr>
        <sz val="10"/>
        <rFont val="WenQuanYi Zen Hei"/>
        <family val="2"/>
      </rPr>
      <t xml:space="preserve">世代組合：評價日世代組合的錨 對 首期平均在役世代的錨（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</si>
  <si>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＝（期初錨 − 首期平均錨）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營收來自評價日機隊（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為主），首期平均含較新（較貴）的新增世代</t>
    </r>
  </si>
  <si>
    <r>
      <rPr>
        <sz val="10"/>
        <rFont val="Arial"/>
        <family val="0"/>
        <charset val="1"/>
      </rPr>
      <t xml:space="preserve">(ii) </t>
    </r>
    <r>
      <rPr>
        <sz val="10"/>
        <rFont val="WenQuanYi Zen Hei"/>
        <family val="2"/>
      </rPr>
      <t xml:space="preserve">價格：現有機隊代表合約 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對模型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期初錨）</t>
    </r>
  </si>
  <si>
    <r>
      <rPr>
        <sz val="9"/>
        <color rgb="FF595959"/>
        <rFont val="WenQuanYi Zen Hei"/>
        <family val="2"/>
      </rPr>
      <t xml:space="preserve">＝（</t>
    </r>
    <r>
      <rPr>
        <sz val="9"/>
        <color rgb="FF595959"/>
        <rFont val="Arial"/>
        <family val="0"/>
        <charset val="1"/>
      </rPr>
      <t xml:space="preserve">H100 24 </t>
    </r>
    <r>
      <rPr>
        <sz val="9"/>
        <color rgb="FF595959"/>
        <rFont val="WenQuanYi Zen Hei"/>
        <family val="2"/>
      </rPr>
      <t xml:space="preserve">個月約 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期初錨；模型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含非長約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的現貨指數倍數（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WenQuanYi Zen Hei"/>
        <family val="2"/>
      </rPr>
      <t xml:space="preserve">），現有機隊的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WenQuanYi Zen Hei"/>
        <family val="2"/>
      </rPr>
      <t xml:space="preserve">合約價約 </t>
    </r>
    <r>
      <rPr>
        <sz val="9"/>
        <color rgb="FF595959"/>
        <rFont val="Arial"/>
        <family val="0"/>
        <charset val="1"/>
      </rPr>
      <t xml:space="preserve">0.9 </t>
    </r>
    <r>
      <rPr>
        <sz val="9"/>
        <color rgb="FF595959"/>
        <rFont val="WenQuanYi Zen Hei"/>
        <family val="2"/>
      </rPr>
      <t xml:space="preserve">倍打平租金。只說明，不採用</t>
    </r>
  </si>
  <si>
    <r>
      <rPr>
        <sz val="10"/>
        <rFont val="WenQuanYi Zen Hei"/>
        <family val="2"/>
      </rPr>
      <t xml:space="preserve">小計：全為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計費、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計費、評價日世代、現有機隊代表合約價</t>
    </r>
  </si>
  <si>
    <r>
      <rPr>
        <sz val="9"/>
        <color rgb="FF595959"/>
        <rFont val="WenQuanYi Zen Hei"/>
        <family val="2"/>
      </rPr>
      <t xml:space="preserve">＝期初錨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現有機隊代表合約 </t>
    </r>
    <r>
      <rPr>
        <sz val="9"/>
        <color rgb="FF595959"/>
        <rFont val="Arial"/>
        <family val="0"/>
        <charset val="1"/>
      </rPr>
      <t xml:space="preserve">k</t>
    </r>
  </si>
  <si>
    <r>
      <rPr>
        <sz val="10"/>
        <rFont val="Arial"/>
        <family val="0"/>
        <charset val="1"/>
      </rPr>
      <t xml:space="preserve">(iv) </t>
    </r>
    <r>
      <rPr>
        <sz val="10"/>
        <rFont val="WenQuanYi Zen Hei"/>
        <family val="2"/>
      </rPr>
      <t xml:space="preserve">爬坡分母：計費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少於已連網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（殘差）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</si>
  <si>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實現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n</t>
    </r>
    <r>
      <rPr>
        <sz val="9"/>
        <color rgb="FF595959"/>
        <rFont val="WenQuanYi Zen Hei"/>
        <family val="2"/>
      </rPr>
      <t xml:space="preserve">））− 小計；負值＝已連網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中只有一部分在計費。這是由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決定的殘差，不是獨立估計</t>
    </r>
  </si>
  <si>
    <r>
      <rPr>
        <sz val="10"/>
        <rFont val="Arial"/>
        <family val="0"/>
        <charset val="1"/>
      </rPr>
      <t xml:space="preserve">(i) </t>
    </r>
    <r>
      <rPr>
        <sz val="10"/>
        <rFont val="WenQuanYi Zen Hei"/>
        <family val="2"/>
      </rPr>
      <t xml:space="preserve">其他：經常性雲端營收中不屬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計費的部分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</si>
  <si>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實現 </t>
    </r>
    <r>
      <rPr>
        <sz val="9"/>
        <color rgb="FF595959"/>
        <rFont val="Arial"/>
        <family val="0"/>
        <charset val="1"/>
      </rPr>
      <t xml:space="preserve">× n</t>
    </r>
  </si>
  <si>
    <r>
      <rPr>
        <b val="true"/>
        <sz val="10"/>
        <rFont val="WenQuanYi Zen Hei"/>
        <family val="2"/>
      </rPr>
      <t xml:space="preserve">終點：</t>
    </r>
    <r>
      <rPr>
        <b val="true"/>
        <sz val="10"/>
        <rFont val="Arial"/>
        <family val="0"/>
        <charset val="1"/>
      </rPr>
      <t xml:space="preserve">Q2 </t>
    </r>
    <r>
      <rPr>
        <b val="true"/>
        <sz val="10"/>
        <rFont val="WenQuanYi Zen Hei"/>
        <family val="2"/>
      </rPr>
      <t xml:space="preserve">實現每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</t>
    </r>
  </si>
  <si>
    <r>
      <rPr>
        <sz val="10"/>
        <rFont val="WenQuanYi Zen Hei"/>
        <family val="2"/>
      </rPr>
      <t xml:space="preserve">核對：終點 −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實現</t>
    </r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</si>
  <si>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（誤差 </t>
    </r>
    <r>
      <rPr>
        <sz val="9"/>
        <color rgb="FF595959"/>
        <rFont val="Arial"/>
        <family val="0"/>
        <charset val="1"/>
      </rPr>
      <t xml:space="preserve">&lt; 0.01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</si>
  <si>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隱含期初可計費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已連網（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；現有機隊代表合約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</si>
  <si>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小計；≤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才合理（計費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不可能超過已連網）</t>
    </r>
  </si>
  <si>
    <r>
      <rPr>
        <sz val="10"/>
        <rFont val="WenQuanYi Zen Hei"/>
        <family val="2"/>
      </rPr>
      <t xml:space="preserve">隱含期初可計費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（現有機隊代表合約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</si>
  <si>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隱含期初可計費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已連網（</t>
    </r>
    <r>
      <rPr>
        <sz val="10"/>
        <rFont val="Arial"/>
        <family val="0"/>
        <charset val="1"/>
      </rPr>
      <t xml:space="preserve">f</t>
    </r>
    <r>
      <rPr>
        <sz val="10"/>
        <rFont val="WenQuanYi Zen Hei"/>
        <family val="2"/>
      </rPr>
      <t xml:space="preserve">；模型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</si>
  <si>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若價格取模型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f &lt; 100% </t>
    </r>
    <r>
      <rPr>
        <sz val="9"/>
        <color rgb="FF595959"/>
        <rFont val="WenQuanYi Zen Hei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營收只相當於已連網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的這個比例在模型價格下計費（舊世代價格較低、部分未計費）</t>
    </r>
  </si>
  <si>
    <r>
      <rPr>
        <sz val="10"/>
        <rFont val="WenQuanYi Zen Hei"/>
        <family val="2"/>
      </rPr>
      <t xml:space="preserve">讓 </t>
    </r>
    <r>
      <rPr>
        <sz val="10"/>
        <rFont val="Arial"/>
        <family val="0"/>
        <charset val="1"/>
      </rPr>
      <t xml:space="preserve">f ≤ 100% </t>
    </r>
    <r>
      <rPr>
        <sz val="10"/>
        <rFont val="WenQuanYi Zen Hei"/>
        <family val="2"/>
      </rPr>
      <t xml:space="preserve">所需的最低其他占比（模型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</si>
  <si>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WenQuanYi Zen Hei"/>
        <family val="2"/>
      </rPr>
      <t xml:space="preserve">期初錨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k ÷ Q2 </t>
    </r>
    <r>
      <rPr>
        <sz val="9"/>
        <color rgb="FF595959"/>
        <rFont val="WenQuanYi Zen Hei"/>
        <family val="2"/>
      </rPr>
      <t xml:space="preserve">實現；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代表在模型價格下，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營收已可由已連網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解釋（不需要非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營收）</t>
    </r>
  </si>
  <si>
    <r>
      <rPr>
        <b val="true"/>
        <sz val="10"/>
        <rFont val="WenQuanYi Zen Hei"/>
        <family val="2"/>
      </rPr>
      <t xml:space="preserve">差異原因（已決定事項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</si>
  <si>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類型：已知限制＋觀點。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實現（經常性雲端營收年化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已連網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）低於模型首期，原因依序為：</t>
    </r>
    <r>
      <rPr>
        <sz val="9"/>
        <color rgb="FF595959"/>
        <rFont val="Arial"/>
        <family val="0"/>
        <charset val="1"/>
      </rPr>
      <t xml:space="preserve">(ii) </t>
    </r>
    <r>
      <rPr>
        <sz val="9"/>
        <color rgb="FF595959"/>
        <rFont val="WenQuanYi Zen Hei"/>
        <family val="2"/>
      </rPr>
      <t xml:space="preserve">價格——現有機隊以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WenQuanYi Zen Hei"/>
        <family val="2"/>
      </rPr>
      <t xml:space="preserve">為主，代表合約（</t>
    </r>
    <r>
      <rPr>
        <sz val="9"/>
        <color rgb="FF595959"/>
        <rFont val="Arial"/>
        <family val="0"/>
        <charset val="1"/>
      </rPr>
      <t xml:space="preserve">H100 24 </t>
    </r>
    <r>
      <rPr>
        <sz val="9"/>
        <color rgb="FF595959"/>
        <rFont val="WenQuanYi Zen Hei"/>
        <family val="2"/>
      </rPr>
      <t xml:space="preserve">個月）價約 </t>
    </r>
    <r>
      <rPr>
        <sz val="9"/>
        <color rgb="FF595959"/>
        <rFont val="Arial"/>
        <family val="0"/>
        <charset val="1"/>
      </rPr>
      <t xml:space="preserve">0.9 </t>
    </r>
    <r>
      <rPr>
        <sz val="9"/>
        <color rgb="FF595959"/>
        <rFont val="WenQuanYi Zen Hei"/>
        <family val="2"/>
      </rPr>
      <t xml:space="preserve">倍打平租金，低於模型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（含非長約 </t>
    </r>
    <r>
      <rPr>
        <sz val="9"/>
        <color rgb="FF595959"/>
        <rFont val="Arial"/>
        <family val="0"/>
        <charset val="1"/>
      </rPr>
      <t xml:space="preserve">25% </t>
    </r>
    <r>
      <rPr>
        <sz val="9"/>
        <color rgb="FF595959"/>
        <rFont val="WenQuanYi Zen Hei"/>
        <family val="2"/>
      </rPr>
      <t xml:space="preserve">的現貨倍數 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(iii) </t>
    </r>
    <r>
      <rPr>
        <sz val="9"/>
        <color rgb="FF595959"/>
        <rFont val="WenQuanYi Zen Hei"/>
        <family val="2"/>
      </rPr>
      <t xml:space="preserve">世代組合——評價日機隊較舊、首期平均含新增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，使模型錨較高；</t>
    </r>
    <r>
      <rPr>
        <sz val="9"/>
        <color rgb="FF595959"/>
        <rFont val="Arial"/>
        <family val="0"/>
        <charset val="1"/>
      </rPr>
      <t xml:space="preserve">(iv) </t>
    </r>
    <r>
      <rPr>
        <sz val="9"/>
        <color rgb="FF595959"/>
        <rFont val="WenQuanYi Zen Hei"/>
        <family val="2"/>
      </rPr>
      <t xml:space="preserve">爬坡分母——已連網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中可能有未計費部分（</t>
    </r>
    <r>
      <rPr>
        <sz val="9"/>
        <color rgb="FF595959"/>
        <rFont val="Arial"/>
        <family val="0"/>
        <charset val="1"/>
      </rPr>
      <t xml:space="preserve">Initial Customer </t>
    </r>
    <r>
      <rPr>
        <sz val="9"/>
        <color rgb="FF595959"/>
        <rFont val="WenQuanYi Zen Hei"/>
        <family val="2"/>
      </rPr>
      <t xml:space="preserve">終止後的閒置機隊），與其他三項無法由公開資料分離；</t>
    </r>
    <r>
      <rPr>
        <sz val="9"/>
        <color rgb="FF595959"/>
        <rFont val="Arial"/>
        <family val="0"/>
        <charset val="1"/>
      </rPr>
      <t xml:space="preserve">(i) </t>
    </r>
    <r>
      <rPr>
        <sz val="9"/>
        <color rgb="FF595959"/>
        <rFont val="WenQuanYi Zen Hei"/>
        <family val="2"/>
      </rPr>
      <t xml:space="preserve">其他——經常性雲端營收含雲端 </t>
    </r>
    <r>
      <rPr>
        <sz val="9"/>
        <color rgb="FF595959"/>
        <rFont val="Arial"/>
        <family val="0"/>
        <charset val="1"/>
      </rPr>
      <t xml:space="preserve">CPU</t>
    </r>
    <r>
      <rPr>
        <sz val="9"/>
        <color rgb="FF595959"/>
        <rFont val="WenQuanYi Zen Hei"/>
        <family val="2"/>
      </rPr>
      <t xml:space="preserve">／儲存等非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服務（未分拆）。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只列不用，不回頭改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；其他占比扣除的敏感度見 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WenQuanYi Zen Hei"/>
        <family val="2"/>
      </rPr>
      <t xml:space="preserve">區。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</si>
  <si>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數 → </t>
    </r>
    <r>
      <rPr>
        <b val="true"/>
        <sz val="10"/>
        <rFont val="Arial"/>
        <family val="0"/>
        <charset val="1"/>
      </rPr>
      <t xml:space="preserve">MW-IT </t>
    </r>
    <r>
      <rPr>
        <b val="true"/>
        <sz val="10"/>
        <rFont val="WenQuanYi Zen Hei"/>
        <family val="2"/>
      </rPr>
      <t xml:space="preserve">換算核對（雲端站點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多由合約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WenQuanYi Zen Hei"/>
        <family val="2"/>
      </rPr>
      <t xml:space="preserve">數換算；每顆 </t>
    </r>
    <r>
      <rPr>
        <b val="true"/>
        <sz val="10"/>
        <rFont val="Arial"/>
        <family val="0"/>
        <charset val="1"/>
      </rPr>
      <t xml:space="preserve">IT kW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1000 ÷ (IF_GPUsPerGW ÷ 1000)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</si>
  <si>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GPU </t>
    </r>
    <r>
      <rPr>
        <b val="true"/>
        <sz val="11"/>
        <color rgb="FFFFFFFF"/>
        <rFont val="WenQuanYi Zen Hei"/>
        <family val="2"/>
      </rPr>
      <t xml:space="preserve">數</t>
    </r>
  </si>
  <si>
    <r>
      <rPr>
        <b val="true"/>
        <sz val="11"/>
        <color rgb="FFFFFFFF"/>
        <rFont val="WenQuanYi Zen Hei"/>
        <family val="2"/>
      </rPr>
      <t xml:space="preserve">換算 </t>
    </r>
    <r>
      <rPr>
        <b val="true"/>
        <sz val="11"/>
        <color rgb="FFFFFFFF"/>
        <rFont val="Arial"/>
        <family val="0"/>
        <charset val="1"/>
      </rPr>
      <t xml:space="preserve">MW-IT</t>
    </r>
  </si>
  <si>
    <t xml:space="preserve">company.json mwIT</t>
  </si>
  <si>
    <t xml:space="preserve">差</t>
  </si>
  <si>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換算｜</t>
    </r>
    <r>
      <rPr>
        <sz val="10"/>
        <rFont val="Arial"/>
        <family val="0"/>
        <charset val="1"/>
      </rPr>
      <t xml:space="preserve">Baseten 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GB300 NVL72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</si>
  <si>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mwIT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÷ (IF_GPUsPerGW ÷ 1000)</t>
    </r>
    <r>
      <rPr>
        <sz val="9"/>
        <color rgb="FF595959"/>
        <rFont val="WenQuanYi Zen Hei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位小數；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B200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WenQuanYi Zen Hei"/>
        <family val="2"/>
      </rPr>
      <t xml:space="preserve">欄近似（</t>
    </r>
    <r>
      <rPr>
        <sz val="9"/>
        <color rgb="FF595959"/>
        <rFont val="Arial"/>
        <family val="0"/>
        <charset val="1"/>
      </rPr>
      <t xml:space="preserve">HGX </t>
    </r>
    <r>
      <rPr>
        <sz val="9"/>
        <color rgb="FF595959"/>
        <rFont val="WenQuanYi Zen Hei"/>
        <family val="2"/>
      </rPr>
      <t xml:space="preserve">氣冷機實際每顆 </t>
    </r>
    <r>
      <rPr>
        <sz val="9"/>
        <color rgb="FF595959"/>
        <rFont val="Arial"/>
        <family val="0"/>
        <charset val="1"/>
      </rPr>
      <t xml:space="preserve">kW </t>
    </r>
    <r>
      <rPr>
        <sz val="9"/>
        <color rgb="FF595959"/>
        <rFont val="WenQuanYi Zen Hei"/>
        <family val="2"/>
      </rPr>
      <t xml:space="preserve">較低 </t>
    </r>
    <r>
      <rPr>
        <sz val="9"/>
        <color rgb="FF595959"/>
        <rFont val="Arial"/>
        <family val="0"/>
        <charset val="1"/>
      </rPr>
      <t xml:space="preserve">0–12%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WenQuanYi Zen Hei"/>
        <family val="2"/>
      </rPr>
      <t xml:space="preserve">。巴黎 </t>
    </r>
    <r>
      <rPr>
        <sz val="9"/>
        <color rgb="FF595959"/>
        <rFont val="Arial"/>
        <family val="0"/>
        <charset val="1"/>
      </rPr>
      <t xml:space="preserve">1.84 MW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以年額 </t>
    </r>
    <r>
      <rPr>
        <sz val="9"/>
        <color rgb="FF595959"/>
        <rFont val="Arial"/>
        <family val="0"/>
        <charset val="1"/>
      </rPr>
      <t xml:space="preserve">&gt;32 ÷ 17.40 </t>
    </r>
    <r>
      <rPr>
        <sz val="9"/>
        <color rgb="FF595959"/>
        <rFont val="WenQuanYi Zen Hei"/>
        <family val="2"/>
      </rPr>
      <t xml:space="preserve">推得（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數未揭露），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WenQuanYi Zen Hei"/>
        <family val="2"/>
      </rPr>
      <t xml:space="preserve">未重算（列待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WenQuanYi Zen Hei"/>
        <family val="2"/>
      </rPr>
      <t xml:space="preserve">判斷）。</t>
    </r>
  </si>
  <si>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換算｜</t>
    </r>
    <r>
      <rPr>
        <sz val="10"/>
        <rFont val="Arial"/>
        <family val="0"/>
        <charset val="1"/>
      </rPr>
      <t xml:space="preserve">128 </t>
    </r>
    <r>
      <rPr>
        <sz val="10"/>
        <rFont val="WenQuanYi Zen Hei"/>
        <family val="2"/>
      </rPr>
      <t xml:space="preserve">顆 </t>
    </r>
    <r>
      <rPr>
        <sz val="10"/>
        <rFont val="Arial"/>
        <family val="0"/>
        <charset val="1"/>
      </rPr>
      <t xml:space="preserve">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GB300 NVL72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</si>
  <si>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換算｜</t>
    </r>
    <r>
      <rPr>
        <sz val="10"/>
        <rFont val="Arial"/>
        <family val="0"/>
        <charset val="1"/>
      </rPr>
      <t xml:space="preserve">Prime GB200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GB200 NVL72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</si>
  <si>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換算｜冰島 </t>
    </r>
    <r>
      <rPr>
        <sz val="10"/>
        <rFont val="Arial"/>
        <family val="0"/>
        <charset val="1"/>
      </rPr>
      <t xml:space="preserve">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GB300 NVL72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</si>
  <si>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換算｜</t>
    </r>
    <r>
      <rPr>
        <sz val="10"/>
        <rFont val="Arial"/>
        <family val="0"/>
        <charset val="1"/>
      </rPr>
      <t xml:space="preserve">Prime VR200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VR200 NVL72</t>
    </r>
    <r>
      <rPr>
        <sz val="10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</si>
  <si>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換算核對｜最大絕對差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</si>
  <si>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WenQuanYi Zen Hei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3 × 3 </t>
    </r>
    <r>
      <rPr>
        <b val="true"/>
        <sz val="10"/>
        <rFont val="WenQuanYi Zen Hei"/>
        <family val="2"/>
      </rPr>
      <t xml:space="preserve">容量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價格（快照）：各指標（容量情境 ＼ 價格情境；價格低／基準／高依序在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</si>
  <si>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容量情境 ＼ 價格情境</t>
  </si>
  <si>
    <t xml:space="preserve">價格低</t>
  </si>
  <si>
    <t xml:space="preserve">價格基準</t>
  </si>
  <si>
    <t xml:space="preserve">價格高</t>
  </si>
  <si>
    <t xml:space="preserve">矩陣｜加權目標價｜保守 只有已簽約</t>
  </si>
  <si>
    <r>
      <rPr>
        <sz val="9"/>
        <color rgb="FF595959"/>
        <rFont val="WenQuanYi Zen Hei"/>
        <family val="2"/>
      </rPr>
      <t xml:space="preserve">價格低＝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1.56</t>
    </r>
    <r>
      <rPr>
        <sz val="9"/>
        <color rgb="FF595959"/>
        <rFont val="WenQuanYi Zen Hei"/>
        <family val="2"/>
      </rPr>
      <t xml:space="preserve">；基準＝</t>
    </r>
    <r>
      <rPr>
        <sz val="9"/>
        <color rgb="FF595959"/>
        <rFont val="Arial"/>
        <family val="0"/>
        <charset val="1"/>
      </rPr>
      <t xml:space="preserve">0.89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1.83</t>
    </r>
    <r>
      <rPr>
        <sz val="9"/>
        <color rgb="FF595959"/>
        <rFont val="WenQuanYi Zen Hei"/>
        <family val="2"/>
      </rPr>
      <t xml:space="preserve">；高＝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2.67</t>
    </r>
    <r>
      <rPr>
        <sz val="9"/>
        <color rgb="FF595959"/>
        <rFont val="WenQuanYi Zen Hei"/>
        <family val="2"/>
      </rPr>
      <t xml:space="preserve">（隨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快照重算）。容量情境＝合約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路徑（保守只含已簽約、基準加雪梨與每年 </t>
    </r>
    <r>
      <rPr>
        <sz val="9"/>
        <color rgb="FF595959"/>
        <rFont val="Arial"/>
        <family val="0"/>
        <charset val="1"/>
      </rPr>
      <t xml:space="preserve">+3 MW</t>
    </r>
    <r>
      <rPr>
        <sz val="9"/>
        <color rgb="FF595959"/>
        <rFont val="WenQuanYi Zen Hei"/>
        <family val="2"/>
      </rPr>
      <t xml:space="preserve">、積極每年 </t>
    </r>
    <r>
      <rPr>
        <sz val="9"/>
        <color rgb="FF595959"/>
        <rFont val="Arial"/>
        <family val="0"/>
        <charset val="1"/>
      </rPr>
      <t xml:space="preserve">+6 MW </t>
    </r>
    <r>
      <rPr>
        <sz val="9"/>
        <color rgb="FF595959"/>
        <rFont val="WenQuanYi Zen Hei"/>
        <family val="2"/>
      </rPr>
      <t xml:space="preserve">並加 </t>
    </r>
    <r>
      <rPr>
        <sz val="9"/>
        <color rgb="FF595959"/>
        <rFont val="Arial"/>
        <family val="0"/>
        <charset val="1"/>
      </rPr>
      <t xml:space="preserve">NC-2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等）、建設延誤月數、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專案融資</t>
    </r>
  </si>
  <si>
    <r>
      <rPr>
        <sz val="10"/>
        <rFont val="WenQuanYi Zen Hei"/>
        <family val="2"/>
      </rPr>
      <t xml:space="preserve">矩陣｜加權目標價｜基準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</si>
  <si>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矩陣｜加權目標價｜積極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</si>
  <si>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矩陣｜五期股權募資｜保守 只有已簽約</t>
  </si>
  <si>
    <r>
      <rPr>
        <sz val="10"/>
        <rFont val="WenQuanYi Zen Hei"/>
        <family val="2"/>
      </rPr>
      <t xml:space="preserve">矩陣｜五期股權募資｜基準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</si>
  <si>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矩陣｜五期股權募資｜積極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</si>
  <si>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矩陣｜融資前缺口｜保守 只有已簽約</t>
  </si>
  <si>
    <r>
      <rPr>
        <sz val="10"/>
        <rFont val="WenQuanYi Zen Hei"/>
        <family val="2"/>
      </rPr>
      <t xml:space="preserve">矩陣｜融資前缺口｜基準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</si>
  <si>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矩陣｜融資前缺口｜積極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</si>
  <si>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矩陣｜調整後槓桿峰值｜保守 只有已簽約</t>
  </si>
  <si>
    <r>
      <rPr>
        <sz val="10"/>
        <rFont val="WenQuanYi Zen Hei"/>
        <family val="2"/>
      </rPr>
      <t xml:space="preserve">矩陣｜調整後槓桿峰值｜基準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</si>
  <si>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矩陣｜調整後槓桿峰值｜積極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</si>
  <si>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t xml:space="preserve">矩陣｜新股數｜保守 只有已簽約</t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</si>
  <si>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WenQuanYi Zen Hei"/>
        <family val="2"/>
      </rPr>
      <t xml:space="preserve">股</t>
    </r>
  </si>
  <si>
    <r>
      <rPr>
        <sz val="10"/>
        <rFont val="WenQuanYi Zen Hei"/>
        <family val="2"/>
      </rPr>
      <t xml:space="preserve">矩陣｜新股數｜基準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</t>
    </r>
  </si>
  <si>
    <r>
      <rPr>
        <sz val="10"/>
        <rFont val="WenQuanYi Zen Hei"/>
        <family val="2"/>
      </rPr>
      <t xml:space="preserve">矩陣｜新股數｜積極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</si>
  <si>
    <r>
      <rPr>
        <b val="true"/>
        <sz val="10"/>
        <rFont val="WenQuanYi Zen Hei"/>
        <family val="2"/>
      </rPr>
      <t xml:space="preserve">快照檢查：目前情境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目前價格情境的快照 − 即時加權目標價</t>
    </r>
  </si>
  <si>
    <r>
      <rPr>
        <sz val="9"/>
        <color rgb="FF595959"/>
        <rFont val="WenQuanYi Zen Hei"/>
        <family val="2"/>
      </rPr>
      <t xml:space="preserve">改了任何輸入後快照不會自動更新；重建（</t>
    </r>
    <r>
      <rPr>
        <sz val="9"/>
        <color rgb="FF595959"/>
        <rFont val="Arial"/>
        <family val="0"/>
        <charset val="1"/>
      </rPr>
      <t xml:space="preserve">node scripts/tk_sens.js → build_xlsx.py</t>
    </r>
    <r>
      <rPr>
        <sz val="9"/>
        <color rgb="FF595959"/>
        <rFont val="WenQuanYi Zen Hei"/>
        <family val="2"/>
      </rPr>
      <t xml:space="preserve">）即更新</t>
    </r>
  </si>
  <si>
    <r>
      <rPr>
        <b val="true"/>
        <sz val="10"/>
        <rFont val="Arial"/>
        <family val="0"/>
        <charset val="1"/>
      </rPr>
      <t xml:space="preserve">G2</t>
    </r>
    <r>
      <rPr>
        <b val="true"/>
        <sz val="10"/>
        <rFont val="WenQuanYi Zen Hei"/>
        <family val="2"/>
      </rPr>
      <t xml:space="preserve">｜每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收入與校準的敏感度（價格基準；快照；保守／基準／積極 依序在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WenQuanYi Zen Hei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WenQuanYi Zen Hei"/>
        <family val="2"/>
      </rPr>
      <t xml:space="preserve">欄）</t>
    </r>
  </si>
  <si>
    <t xml:space="preserve">加權目標價｜變動</t>
  </si>
  <si>
    <t xml:space="preserve">保守</t>
  </si>
  <si>
    <t xml:space="preserve">積極</t>
  </si>
  <si>
    <t xml:space="preserve">敏感度｜加權目標價｜基準（目前輸入）</t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</si>
  <si>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</si>
  <si>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</si>
  <si>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兩筆長約中位數）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</si>
  <si>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1.77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Baseten B300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</si>
  <si>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自身合約：冰島 </t>
    </r>
    <r>
      <rPr>
        <sz val="10"/>
        <rFont val="Arial"/>
        <family val="0"/>
        <charset val="1"/>
      </rPr>
      <t xml:space="preserve">B300 5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</si>
  <si>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Prime Intellect VR200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</si>
  <si>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H100 256 </t>
    </r>
    <r>
      <rPr>
        <sz val="10"/>
        <rFont val="WenQuanYi Zen Hei"/>
        <family val="2"/>
      </rPr>
      <t xml:space="preserve">台 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個月（現有機隊代表））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</si>
  <si>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</si>
  <si>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</si>
  <si>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敏感度｜加權目標價｜長約占比 </t>
    </r>
    <r>
      <rPr>
        <sz val="10"/>
        <rFont val="Arial"/>
        <family val="0"/>
        <charset val="1"/>
      </rPr>
      <t xml:space="preserve">90%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</si>
  <si>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敏感度｜加權目標價｜長約占比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</si>
  <si>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敏感度｜加權目標價｜長約占比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</si>
  <si>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</si>
  <si>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敏感度｜加權目標價｜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</si>
  <si>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敏感度｜加權目標價｜首期末收斂比例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</si>
  <si>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敏感度｜加權目標價｜首期末收斂比例 </t>
    </r>
    <r>
      <rPr>
        <sz val="10"/>
        <rFont val="Arial"/>
        <family val="0"/>
        <charset val="1"/>
      </rPr>
      <t xml:space="preserve">90%</t>
    </r>
  </si>
  <si>
    <r>
      <rPr>
        <sz val="10"/>
        <rFont val="WenQuanYi Zen Hei"/>
        <family val="2"/>
      </rPr>
      <t xml:space="preserve">敏感度｜加權目標價｜第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</si>
  <si>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敏感度｜加權目標價｜第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</si>
  <si>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敏感度｜加權目標價｜期初可計費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</si>
  <si>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敏感度｜加權目標價｜期初可計費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</si>
  <si>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敏感度｜加權目標價｜期初可計費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30% </t>
    </r>
    <r>
      <rPr>
        <sz val="10"/>
        <rFont val="WenQuanYi Zen Hei"/>
        <family val="2"/>
      </rPr>
      <t xml:space="preserve">的經常性雲端營收</t>
    </r>
  </si>
  <si>
    <t xml:space="preserve">五期股權募資｜變動</t>
  </si>
  <si>
    <t xml:space="preserve">敏感度｜五期股權募資｜基準（目前輸入）</t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</si>
  <si>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</si>
  <si>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</si>
  <si>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兩筆長約中位數）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</si>
  <si>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1.77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Baseten B300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</si>
  <si>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自身合約：冰島 </t>
    </r>
    <r>
      <rPr>
        <sz val="10"/>
        <rFont val="Arial"/>
        <family val="0"/>
        <charset val="1"/>
      </rPr>
      <t xml:space="preserve">B300 5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</si>
  <si>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Prime Intellect VR200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</si>
  <si>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H100 256 </t>
    </r>
    <r>
      <rPr>
        <sz val="10"/>
        <rFont val="WenQuanYi Zen Hei"/>
        <family val="2"/>
      </rPr>
      <t xml:space="preserve">台 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個月（現有機隊代表））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</si>
  <si>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</si>
  <si>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</si>
  <si>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敏感度｜五期股權募資｜長約占比 </t>
    </r>
    <r>
      <rPr>
        <sz val="10"/>
        <rFont val="Arial"/>
        <family val="0"/>
        <charset val="1"/>
      </rPr>
      <t xml:space="preserve">90%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</si>
  <si>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敏感度｜五期股權募資｜長約占比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</si>
  <si>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敏感度｜五期股權募資｜長約占比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</si>
  <si>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</si>
  <si>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敏感度｜五期股權募資｜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</si>
  <si>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敏感度｜五期股權募資｜首期末收斂比例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</si>
  <si>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敏感度｜五期股權募資｜首期末收斂比例 </t>
    </r>
    <r>
      <rPr>
        <sz val="10"/>
        <rFont val="Arial"/>
        <family val="0"/>
        <charset val="1"/>
      </rPr>
      <t xml:space="preserve">90%</t>
    </r>
  </si>
  <si>
    <r>
      <rPr>
        <sz val="10"/>
        <rFont val="WenQuanYi Zen Hei"/>
        <family val="2"/>
      </rPr>
      <t xml:space="preserve">敏感度｜五期股權募資｜第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</si>
  <si>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敏感度｜五期股權募資｜第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</si>
  <si>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敏感度｜五期股權募資｜期初可計費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</si>
  <si>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敏感度｜五期股權募資｜期初可計費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</si>
  <si>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敏感度｜五期股權募資｜期初可計費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30% </t>
    </r>
    <r>
      <rPr>
        <sz val="10"/>
        <rFont val="WenQuanYi Zen Hei"/>
        <family val="2"/>
      </rPr>
      <t xml:space="preserve">的經常性雲端營收</t>
    </r>
  </si>
  <si>
    <t xml:space="preserve">融資前缺口｜變動</t>
  </si>
  <si>
    <t xml:space="preserve">敏感度｜融資前缺口｜基準（目前輸入）</t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</si>
  <si>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</si>
  <si>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</si>
  <si>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兩筆長約中位數）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</si>
  <si>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1.77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Baseten B300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</si>
  <si>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自身合約：冰島 </t>
    </r>
    <r>
      <rPr>
        <sz val="10"/>
        <rFont val="Arial"/>
        <family val="0"/>
        <charset val="1"/>
      </rPr>
      <t xml:space="preserve">B300 5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</si>
  <si>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Prime Intellect VR200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</si>
  <si>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H100 256 </t>
    </r>
    <r>
      <rPr>
        <sz val="10"/>
        <rFont val="WenQuanYi Zen Hei"/>
        <family val="2"/>
      </rPr>
      <t xml:space="preserve">台 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個月（現有機隊代表））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</si>
  <si>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</si>
  <si>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</si>
  <si>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敏感度｜融資前缺口｜長約占比 </t>
    </r>
    <r>
      <rPr>
        <sz val="10"/>
        <rFont val="Arial"/>
        <family val="0"/>
        <charset val="1"/>
      </rPr>
      <t xml:space="preserve">90%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</si>
  <si>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敏感度｜融資前缺口｜長約占比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</si>
  <si>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敏感度｜融資前缺口｜長約占比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</si>
  <si>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</si>
  <si>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敏感度｜融資前缺口｜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</si>
  <si>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敏感度｜融資前缺口｜首期末收斂比例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</si>
  <si>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敏感度｜融資前缺口｜首期末收斂比例 </t>
    </r>
    <r>
      <rPr>
        <sz val="10"/>
        <rFont val="Arial"/>
        <family val="0"/>
        <charset val="1"/>
      </rPr>
      <t xml:space="preserve">90%</t>
    </r>
  </si>
  <si>
    <r>
      <rPr>
        <sz val="10"/>
        <rFont val="WenQuanYi Zen Hei"/>
        <family val="2"/>
      </rPr>
      <t xml:space="preserve">敏感度｜融資前缺口｜第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</si>
  <si>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敏感度｜融資前缺口｜第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</si>
  <si>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敏感度｜融資前缺口｜期初可計費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</si>
  <si>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敏感度｜融資前缺口｜期初可計費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</si>
  <si>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敏感度｜融資前缺口｜期初可計費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30% </t>
    </r>
    <r>
      <rPr>
        <sz val="10"/>
        <rFont val="WenQuanYi Zen Hei"/>
        <family val="2"/>
      </rPr>
      <t xml:space="preserve">的經常性雲端營收</t>
    </r>
  </si>
  <si>
    <t xml:space="preserve">調整後槓桿峰值｜變動</t>
  </si>
  <si>
    <t xml:space="preserve">敏感度｜調整後槓桿峰值｜基準（目前輸入）</t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</si>
  <si>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</si>
  <si>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</si>
  <si>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兩筆長約中位數）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</si>
  <si>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1.77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Baseten B300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</si>
  <si>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自身合約：冰島 </t>
    </r>
    <r>
      <rPr>
        <sz val="10"/>
        <rFont val="Arial"/>
        <family val="0"/>
        <charset val="1"/>
      </rPr>
      <t xml:space="preserve">B300 5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</si>
  <si>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Prime Intellect VR200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</si>
  <si>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H100 256 </t>
    </r>
    <r>
      <rPr>
        <sz val="10"/>
        <rFont val="WenQuanYi Zen Hei"/>
        <family val="2"/>
      </rPr>
      <t xml:space="preserve">台 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個月（現有機隊代表））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</si>
  <si>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</si>
  <si>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</si>
  <si>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敏感度｜調整後槓桿峰值｜長約占比 </t>
    </r>
    <r>
      <rPr>
        <sz val="10"/>
        <rFont val="Arial"/>
        <family val="0"/>
        <charset val="1"/>
      </rPr>
      <t xml:space="preserve">90%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</si>
  <si>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敏感度｜調整後槓桿峰值｜長約占比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</si>
  <si>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敏感度｜調整後槓桿峰值｜長約占比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</si>
  <si>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</si>
  <si>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敏感度｜調整後槓桿峰值｜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</si>
  <si>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敏感度｜調整後槓桿峰值｜首期末收斂比例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</si>
  <si>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敏感度｜調整後槓桿峰值｜首期末收斂比例 </t>
    </r>
    <r>
      <rPr>
        <sz val="10"/>
        <rFont val="Arial"/>
        <family val="0"/>
        <charset val="1"/>
      </rPr>
      <t xml:space="preserve">90%</t>
    </r>
  </si>
  <si>
    <r>
      <rPr>
        <sz val="10"/>
        <rFont val="WenQuanYi Zen Hei"/>
        <family val="2"/>
      </rPr>
      <t xml:space="preserve">敏感度｜調整後槓桿峰值｜第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</si>
  <si>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敏感度｜調整後槓桿峰值｜第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</si>
  <si>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敏感度｜調整後槓桿峰值｜期初可計費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</si>
  <si>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敏感度｜調整後槓桿峰值｜期初可計費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</si>
  <si>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敏感度｜調整後槓桿峰值｜期初可計費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30% </t>
    </r>
    <r>
      <rPr>
        <sz val="10"/>
        <rFont val="WenQuanYi Zen Hei"/>
        <family val="2"/>
      </rPr>
      <t xml:space="preserve">的經常性雲端營收</t>
    </r>
  </si>
  <si>
    <t xml:space="preserve">新股數｜變動</t>
  </si>
  <si>
    <t xml:space="preserve">敏感度｜新股數｜基準（目前輸入）</t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</si>
  <si>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0.80</t>
    </r>
    <r>
      <rPr>
        <sz val="10"/>
        <rFont val="WenQuanYi Zen Hei"/>
        <family val="2"/>
      </rPr>
      <t xml:space="preserve">（價格軸低端以下）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</si>
  <si>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1.00</t>
    </r>
    <r>
      <rPr>
        <sz val="10"/>
        <rFont val="WenQuanYi Zen Hei"/>
        <family val="2"/>
      </rPr>
      <t xml:space="preserve">（＝長約價等於打平租金）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</si>
  <si>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兩筆長約中位數）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</si>
  <si>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1.77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Baseten B300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</si>
  <si>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1.36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自身合約：冰島 </t>
    </r>
    <r>
      <rPr>
        <sz val="10"/>
        <rFont val="Arial"/>
        <family val="0"/>
        <charset val="1"/>
      </rPr>
      <t xml:space="preserve">B300 5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</si>
  <si>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1.49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Prime Intellect VR200 3 </t>
    </r>
    <r>
      <rPr>
        <sz val="10"/>
        <rFont val="WenQuanYi Zen Hei"/>
        <family val="2"/>
      </rPr>
      <t xml:space="preserve">年）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</si>
  <si>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0.91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自身合約：</t>
    </r>
    <r>
      <rPr>
        <sz val="10"/>
        <rFont val="Arial"/>
        <family val="0"/>
        <charset val="1"/>
      </rPr>
      <t xml:space="preserve">H100 256 </t>
    </r>
    <r>
      <rPr>
        <sz val="10"/>
        <rFont val="WenQuanYi Zen Hei"/>
        <family val="2"/>
      </rPr>
      <t xml:space="preserve">台 </t>
    </r>
    <r>
      <rPr>
        <sz val="10"/>
        <rFont val="Arial"/>
        <family val="0"/>
        <charset val="1"/>
      </rPr>
      <t xml:space="preserve">24 </t>
    </r>
    <r>
      <rPr>
        <sz val="10"/>
        <rFont val="WenQuanYi Zen Hei"/>
        <family val="2"/>
      </rPr>
      <t xml:space="preserve">個月（現有機隊代表））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</si>
  <si>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1.56</t>
    </r>
    <r>
      <rPr>
        <sz val="10"/>
        <rFont val="WenQuanYi Zen Hei"/>
        <family val="2"/>
      </rPr>
      <t xml:space="preserve">（現貨低端）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</si>
  <si>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2.67</t>
    </r>
    <r>
      <rPr>
        <sz val="10"/>
        <rFont val="WenQuanYi Zen Hei"/>
        <family val="2"/>
      </rPr>
      <t xml:space="preserve">（現貨高端）</t>
    </r>
  </si>
  <si>
    <r>
      <rPr>
        <sz val="10"/>
        <rFont val="WenQuanYi Zen Hei"/>
        <family val="2"/>
      </rPr>
      <t xml:space="preserve">敏感度｜新股數｜長約占比 </t>
    </r>
    <r>
      <rPr>
        <sz val="10"/>
        <rFont val="Arial"/>
        <family val="0"/>
        <charset val="1"/>
      </rPr>
      <t xml:space="preserve">90%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10%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</si>
  <si>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敏感度｜新股數｜長約占比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30%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</si>
  <si>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敏感度｜新股數｜長約占比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（隨需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</si>
  <si>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低成本（錨與建置成本同動；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</si>
  <si>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敏感度｜新股數｜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高成本（錨與建置成本同動；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依證據重算）</t>
    </r>
  </si>
  <si>
    <r>
      <rPr>
        <sz val="10"/>
        <rFont val="WenQuanYi Zen Hei"/>
        <family val="2"/>
      </rPr>
      <t xml:space="preserve">敏感度｜新股數｜首期末收斂比例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（預設 </t>
    </r>
    <r>
      <rPr>
        <sz val="10"/>
        <rFont val="Arial"/>
        <family val="0"/>
        <charset val="1"/>
      </rPr>
      <t xml:space="preserve">70%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</si>
  <si>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敏感度｜新股數｜首期末收斂比例 </t>
    </r>
    <r>
      <rPr>
        <sz val="10"/>
        <rFont val="Arial"/>
        <family val="0"/>
        <charset val="1"/>
      </rPr>
      <t xml:space="preserve">90%</t>
    </r>
  </si>
  <si>
    <r>
      <rPr>
        <sz val="10"/>
        <rFont val="WenQuanYi Zen Hei"/>
        <family val="2"/>
      </rPr>
      <t xml:space="preserve">敏感度｜新股數｜第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−</t>
    </r>
    <r>
      <rPr>
        <sz val="10"/>
        <rFont val="Arial"/>
        <family val="0"/>
        <charset val="1"/>
      </rPr>
      <t xml:space="preserve">10pt</t>
    </r>
  </si>
  <si>
    <r>
      <rPr>
        <sz val="10"/>
        <rFont val="WenQuanYi Zen Hei"/>
        <family val="2"/>
      </rPr>
      <t xml:space="preserve">敏感度｜新股數｜第 </t>
    </r>
    <r>
      <rPr>
        <sz val="10"/>
        <rFont val="Arial"/>
        <family val="0"/>
        <charset val="1"/>
      </rPr>
      <t xml:space="preserve">2 </t>
    </r>
    <r>
      <rPr>
        <sz val="10"/>
        <rFont val="WenQuanYi Zen Hei"/>
        <family val="2"/>
      </rPr>
      <t xml:space="preserve">期起收斂比例 </t>
    </r>
    <r>
      <rPr>
        <sz val="10"/>
        <rFont val="Arial"/>
        <family val="0"/>
        <charset val="1"/>
      </rPr>
      <t xml:space="preserve">+10pt</t>
    </r>
  </si>
  <si>
    <r>
      <rPr>
        <sz val="10"/>
        <rFont val="WenQuanYi Zen Hei"/>
        <family val="2"/>
      </rPr>
      <t xml:space="preserve">敏感度｜新股數｜期初可計費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10%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</si>
  <si>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敏感度｜新股數｜期初可計費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20% </t>
    </r>
    <r>
      <rPr>
        <sz val="10"/>
        <rFont val="WenQuanYi Zen Hei"/>
        <family val="2"/>
      </rPr>
      <t xml:space="preserve">的經常性雲端營收</t>
    </r>
  </si>
  <si>
    <r>
      <rPr>
        <sz val="10"/>
        <rFont val="WenQuanYi Zen Hei"/>
        <family val="2"/>
      </rPr>
      <t xml:space="preserve">敏感度｜新股數｜期初可計費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校準扣除非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計費 </t>
    </r>
    <r>
      <rPr>
        <sz val="10"/>
        <rFont val="Arial"/>
        <family val="0"/>
        <charset val="1"/>
      </rPr>
      <t xml:space="preserve">30% </t>
    </r>
    <r>
      <rPr>
        <sz val="10"/>
        <rFont val="WenQuanYi Zen Hei"/>
        <family val="2"/>
      </rPr>
      <t xml:space="preserve">的經常性雲端營收</t>
    </r>
  </si>
  <si>
    <r>
      <rPr>
        <sz val="9"/>
        <color rgb="FF595959"/>
        <rFont val="WenQuanYi Zen Hei"/>
        <family val="2"/>
      </rPr>
      <t xml:space="preserve">說明：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低／高成本——錨（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）與每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WenQuanYi Zen Hei"/>
        <family val="2"/>
      </rPr>
      <t xml:space="preserve">）同時改變，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WenQuanYi Zen Hei"/>
        <family val="2"/>
      </rPr>
      <t xml:space="preserve">以證據世代的成本比例重算（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＝市場價格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同情境持有成本；價格是事實），所以收入大致不隨成本情境改變、成本改變。</t>
    </r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自身合約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1.4–1.8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0.9</t>
    </r>
    <r>
      <rPr>
        <sz val="9"/>
        <color rgb="FF595959"/>
        <rFont val="WenQuanYi Zen Hei"/>
        <family val="2"/>
      </rPr>
      <t xml:space="preserve">）只改 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WenQuanYi Zen Hei"/>
        <family val="2"/>
      </rPr>
      <t xml:space="preserve">長約（長約占比維持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WenQuanYi Zen Hei"/>
        <family val="2"/>
      </rPr>
      <t xml:space="preserve">）。其他扣除：期初可計費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經常性雲端營收年化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n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30%</t>
    </r>
    <r>
      <rPr>
        <sz val="9"/>
        <color rgb="FF595959"/>
        <rFont val="WenQuanYi Zen Hei"/>
        <family val="2"/>
      </rPr>
      <t xml:space="preserve">（公司未分拆，見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區）。收斂比例：基準首期末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WenQuanYi Zen Hei"/>
        <family val="2"/>
      </rPr>
      <t xml:space="preserve">、之後 </t>
    </r>
    <r>
      <rPr>
        <sz val="9"/>
        <color rgb="FF595959"/>
        <rFont val="Arial"/>
        <family val="0"/>
        <charset val="1"/>
      </rPr>
      <t xml:space="preserve">85%→90%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WenQuanYi Zen Hei"/>
        <family val="2"/>
      </rPr>
      <t xml:space="preserve">）。</t>
    </r>
  </si>
  <si>
    <r>
      <rPr>
        <b val="true"/>
        <sz val="14"/>
        <rFont val="WenQuanYi Zen Hei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）逐筆＋存量利息推導</t>
    </r>
  </si>
  <si>
    <r>
      <rPr>
        <sz val="9"/>
        <color rgb="FF595959"/>
        <rFont val="WenQuanYi Zen Hei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</si>
  <si>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</si>
  <si>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</si>
  <si>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</si>
  <si>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</si>
  <si>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WenQuanYi Zen Hei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</si>
  <si>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</si>
  <si>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Bit Digital DDTL</t>
    </r>
    <r>
      <rPr>
        <sz val="10"/>
        <rFont val="WenQuanYi Zen Hei"/>
        <family val="2"/>
      </rPr>
      <t xml:space="preserve">（含 </t>
    </r>
    <r>
      <rPr>
        <sz val="10"/>
        <rFont val="Arial"/>
        <family val="0"/>
        <charset val="1"/>
      </rPr>
      <t xml:space="preserve">B. Riley </t>
    </r>
    <r>
      <rPr>
        <sz val="10"/>
        <rFont val="WenQuanYi Zen Hei"/>
        <family val="2"/>
      </rPr>
      <t xml:space="preserve">持有票據）</t>
    </r>
  </si>
  <si>
    <r>
      <rPr>
        <sz val="9"/>
        <color rgb="FF595959"/>
        <rFont val="WenQuanYi Zen Hei"/>
        <family val="2"/>
      </rPr>
      <t xml:space="preserve">擔保（</t>
    </r>
    <r>
      <rPr>
        <sz val="9"/>
        <color rgb="FF595959"/>
        <rFont val="Arial"/>
        <family val="0"/>
        <charset val="1"/>
      </rPr>
      <t xml:space="preserve">NC-1 Topco </t>
    </r>
    <r>
      <rPr>
        <sz val="9"/>
        <color rgb="FF595959"/>
        <rFont val="WenQuanYi Zen Hei"/>
        <family val="2"/>
      </rPr>
      <t xml:space="preserve">股權）</t>
    </r>
  </si>
  <si>
    <t xml:space="preserve">2027-03</t>
  </si>
  <si>
    <r>
      <rPr>
        <sz val="9"/>
        <color rgb="FF595959"/>
        <rFont val="WenQuanYi Zen Hei"/>
        <family val="2"/>
      </rPr>
      <t xml:space="preserve">已動用 </t>
    </r>
    <r>
      <rPr>
        <sz val="9"/>
        <color rgb="FF595959"/>
        <rFont val="Arial"/>
        <family val="0"/>
        <charset val="1"/>
      </rPr>
      <t xml:space="preserve">80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 50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7/27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7/31 </t>
    </r>
    <r>
      <rPr>
        <sz val="9"/>
        <color rgb="FF595959"/>
        <rFont val="WenQuanYi Zen Hei"/>
        <family val="2"/>
      </rPr>
      <t xml:space="preserve">共 </t>
    </r>
    <r>
      <rPr>
        <sz val="9"/>
        <color rgb="FF595959"/>
        <rFont val="Arial"/>
        <family val="0"/>
        <charset val="1"/>
      </rPr>
      <t xml:space="preserve">30</t>
    </r>
    <r>
      <rPr>
        <sz val="9"/>
        <color rgb="FF595959"/>
        <rFont val="WenQuanYi Zen Hei"/>
        <family val="2"/>
      </rPr>
      <t xml:space="preserve">）；票面 </t>
    </r>
    <r>
      <rPr>
        <sz val="9"/>
        <color rgb="FF595959"/>
        <rFont val="Arial"/>
        <family val="0"/>
        <charset val="1"/>
      </rPr>
      <t xml:space="preserve">9.5%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完工且 ≥</t>
    </r>
    <r>
      <rPr>
        <sz val="9"/>
        <color rgb="FF595959"/>
        <rFont val="Arial"/>
        <family val="0"/>
        <charset val="1"/>
      </rPr>
      <t xml:space="preserve">80% </t>
    </r>
    <r>
      <rPr>
        <sz val="9"/>
        <color rgb="FF595959"/>
        <rFont val="WenQuanYi Zen Hei"/>
        <family val="2"/>
      </rPr>
      <t xml:space="preserve">出租後 </t>
    </r>
    <r>
      <rPr>
        <sz val="9"/>
        <color rgb="FF595959"/>
        <rFont val="Arial"/>
        <family val="0"/>
        <charset val="1"/>
      </rPr>
      <t xml:space="preserve">8.0%</t>
    </r>
    <r>
      <rPr>
        <sz val="9"/>
        <color rgb="FF595959"/>
        <rFont val="WenQuanYi Zen Hei"/>
        <family val="2"/>
      </rPr>
      <t xml:space="preserve">）；另有 </t>
    </r>
    <r>
      <rPr>
        <sz val="9"/>
        <color rgb="FF595959"/>
        <rFont val="Arial"/>
        <family val="0"/>
        <charset val="1"/>
      </rPr>
      <t xml:space="preserve">1.1× MOIC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debt.extraCost </t>
    </r>
    <r>
      <rPr>
        <sz val="9"/>
        <color rgb="FF595959"/>
        <rFont val="WenQuanYi Zen Hei"/>
        <family val="2"/>
      </rPr>
      <t xml:space="preserve">加付計入融資成本；到期假設 </t>
    </r>
    <r>
      <rPr>
        <sz val="9"/>
        <color rgb="FF595959"/>
        <rFont val="Arial"/>
        <family val="0"/>
        <charset val="1"/>
      </rPr>
      <t xml:space="preserve">2027-03</t>
    </r>
    <r>
      <rPr>
        <sz val="9"/>
        <color rgb="FF595959"/>
        <rFont val="WenQuanYi Zen Hei"/>
        <family val="2"/>
      </rPr>
      <t xml:space="preserve">（可動用期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WenQuanYi Zen Hei"/>
        <family val="2"/>
      </rPr>
      <t xml:space="preserve">個月，由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專案融資或再融資償還）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</si>
  <si>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Arial"/>
        <family val="0"/>
        <charset val="1"/>
      </rPr>
      <t xml:space="preserve">Landsbankinn </t>
    </r>
    <r>
      <rPr>
        <sz val="10"/>
        <rFont val="WenQuanYi Zen Hei"/>
        <family val="2"/>
      </rPr>
      <t xml:space="preserve">冰島擔保定期貸款</t>
    </r>
  </si>
  <si>
    <r>
      <rPr>
        <sz val="9"/>
        <color rgb="FF595959"/>
        <rFont val="WenQuanYi Zen Hei"/>
        <family val="2"/>
      </rPr>
      <t xml:space="preserve">擔保（冰島子公司股權與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）</t>
    </r>
  </si>
  <si>
    <t xml:space="preserve">2028-06</t>
  </si>
  <si>
    <r>
      <rPr>
        <sz val="9"/>
        <color rgb="FF595959"/>
        <rFont val="Arial"/>
        <family val="0"/>
        <charset val="1"/>
      </rPr>
      <t xml:space="preserve">SOFR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4.25%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票面 </t>
    </r>
    <r>
      <rPr>
        <sz val="9"/>
        <color rgb="FF595959"/>
        <rFont val="Arial"/>
        <family val="0"/>
        <charset val="1"/>
      </rPr>
      <t xml:space="preserve">7.92%</t>
    </r>
    <r>
      <rPr>
        <sz val="9"/>
        <color rgb="FF595959"/>
        <rFont val="WenQuanYi Zen Hei"/>
        <family val="2"/>
      </rPr>
      <t xml:space="preserve">、有效 </t>
    </r>
    <r>
      <rPr>
        <sz val="9"/>
        <color rgb="FF595959"/>
        <rFont val="Arial"/>
        <family val="0"/>
        <charset val="1"/>
      </rPr>
      <t xml:space="preserve">10.64%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年、季攤還（流動 </t>
    </r>
    <r>
      <rPr>
        <sz val="9"/>
        <color rgb="FF595959"/>
        <rFont val="Arial"/>
        <family val="0"/>
        <charset val="1"/>
      </rPr>
      <t xml:space="preserve">9.0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</si>
  <si>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RBC </t>
    </r>
    <r>
      <rPr>
        <sz val="10"/>
        <rFont val="WenQuanYi Zen Hei"/>
        <family val="2"/>
      </rPr>
      <t xml:space="preserve">聯貸（</t>
    </r>
    <r>
      <rPr>
        <sz val="10"/>
        <rFont val="Arial"/>
        <family val="0"/>
        <charset val="1"/>
      </rPr>
      <t xml:space="preserve">Enovum</t>
    </r>
    <r>
      <rPr>
        <sz val="10"/>
        <rFont val="WenQuanYi Zen Hei"/>
        <family val="2"/>
      </rPr>
      <t xml:space="preserve">，不可循環）</t>
    </r>
  </si>
  <si>
    <r>
      <rPr>
        <sz val="9"/>
        <color rgb="FF595959"/>
        <rFont val="WenQuanYi Zen Hei"/>
        <family val="2"/>
      </rPr>
      <t xml:space="preserve">擔保（</t>
    </r>
    <r>
      <rPr>
        <sz val="9"/>
        <color rgb="FF595959"/>
        <rFont val="Arial"/>
        <family val="0"/>
        <charset val="1"/>
      </rPr>
      <t xml:space="preserve">MTL-2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MTL-3 </t>
    </r>
    <r>
      <rPr>
        <sz val="9"/>
        <color rgb="FF595959"/>
        <rFont val="WenQuanYi Zen Hei"/>
        <family val="2"/>
      </rPr>
      <t xml:space="preserve">不動產）</t>
    </r>
  </si>
  <si>
    <t xml:space="preserve">2029-07</t>
  </si>
  <si>
    <r>
      <rPr>
        <sz val="9"/>
        <color rgb="FF595959"/>
        <rFont val="Arial"/>
        <family val="0"/>
        <charset val="1"/>
      </rPr>
      <t xml:space="preserve">2026-07-15 </t>
    </r>
    <r>
      <rPr>
        <sz val="9"/>
        <color rgb="FF595959"/>
        <rFont val="WenQuanYi Zen Hei"/>
        <family val="2"/>
      </rPr>
      <t xml:space="preserve">動用 </t>
    </r>
    <r>
      <rPr>
        <sz val="9"/>
        <color rgb="FF595959"/>
        <rFont val="Arial"/>
        <family val="0"/>
        <charset val="1"/>
      </rPr>
      <t xml:space="preserve">CAD 36.8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換算 </t>
    </r>
    <r>
      <rPr>
        <sz val="9"/>
        <color rgb="FF595959"/>
        <rFont val="Arial"/>
        <family val="0"/>
        <charset val="1"/>
      </rPr>
      <t xml:space="preserve">USD 26.2</t>
    </r>
    <r>
      <rPr>
        <sz val="9"/>
        <color rgb="FF595959"/>
        <rFont val="WenQuanYi Zen Hei"/>
        <family val="2"/>
      </rPr>
      <t xml:space="preserve">；匯率依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WenQuanYi Zen Hei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WenQuanYi Zen Hei"/>
        <family val="2"/>
      </rPr>
      <t xml:space="preserve">）並全額再融資 </t>
    </r>
    <r>
      <rPr>
        <sz val="9"/>
        <color rgb="FF595959"/>
        <rFont val="Arial"/>
        <family val="0"/>
        <charset val="1"/>
      </rPr>
      <t xml:space="preserve">RBC 17.339</t>
    </r>
    <r>
      <rPr>
        <sz val="9"/>
        <color rgb="FF595959"/>
        <rFont val="WenQuanYi Zen Hei"/>
        <family val="2"/>
      </rPr>
      <t xml:space="preserve">；首次動用起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WenQuanYi Zen Hei"/>
        <family val="2"/>
      </rPr>
      <t xml:space="preserve">年攤還季付；利率 </t>
    </r>
    <r>
      <rPr>
        <sz val="9"/>
        <color rgb="FF595959"/>
        <rFont val="Arial"/>
        <family val="0"/>
        <charset val="1"/>
      </rPr>
      <t xml:space="preserve">CORRA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2.45%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CSA</t>
    </r>
    <r>
      <rPr>
        <sz val="9"/>
        <color rgb="FF595959"/>
        <rFont val="WenQuanYi Zen Hei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5.5% </t>
    </r>
    <r>
      <rPr>
        <sz val="9"/>
        <color rgb="FF595959"/>
        <rFont val="WenQuanYi Zen Hei"/>
        <family val="2"/>
      </rPr>
      <t xml:space="preserve">計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5.0–6.5%]</t>
    </r>
  </si>
  <si>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</si>
  <si>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315.339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WenQuanYi Zen Hei"/>
        <family val="2"/>
      </rPr>
      <t xml:space="preserve">）</t>
    </r>
  </si>
  <si>
    <t xml:space="preserve">加權有效利率</t>
  </si>
  <si>
    <r>
      <rPr>
        <sz val="9"/>
        <color rgb="FF595959"/>
        <rFont val="WenQuanYi Zen Hei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WenQuanYi Zen Hei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</si>
  <si>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</si>
  <si>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WenQuanYi Zen Hei"/>
        <family val="2"/>
      </rPr>
      <t xml:space="preserve">（期後新發；不在五期還本表內，只計利息）</t>
    </r>
  </si>
  <si>
    <r>
      <rPr>
        <b val="true"/>
        <sz val="10"/>
        <rFont val="WenQuanYi Zen Hei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WenQuanYi Zen Hei"/>
        <family val="2"/>
      </rPr>
      <t xml:space="preserve">判斷價 → 視為轉股，不計利息與還本）</t>
    </r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</si>
  <si>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</si>
  <si>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</si>
  <si>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</si>
  <si>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</si>
  <si>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</si>
  <si>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WenQuanYi Zen Hei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＝是）</t>
    </r>
  </si>
  <si>
    <r>
      <rPr>
        <sz val="10"/>
        <rFont val="Arial"/>
        <family val="0"/>
        <charset val="1"/>
      </rPr>
      <t xml:space="preserve">4.50% 2031 </t>
    </r>
    <r>
      <rPr>
        <sz val="10"/>
        <rFont val="WenQuanYi Zen Hei"/>
        <family val="2"/>
      </rPr>
      <t xml:space="preserve">可轉債（交換後剩餘）</t>
    </r>
  </si>
  <si>
    <t xml:space="preserve">2031-02</t>
  </si>
  <si>
    <r>
      <rPr>
        <sz val="9"/>
        <color rgb="FF595959"/>
        <rFont val="WenQuanYi Zen Hei"/>
        <family val="2"/>
      </rPr>
      <t xml:space="preserve">原始 </t>
    </r>
    <r>
      <rPr>
        <sz val="9"/>
        <color rgb="FF595959"/>
        <rFont val="Arial"/>
        <family val="0"/>
        <charset val="1"/>
      </rPr>
      <t xml:space="preserve">230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2026-01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WenQuanYi Zen Hei"/>
        <family val="2"/>
      </rPr>
      <t xml:space="preserve">以現金約 </t>
    </r>
    <r>
      <rPr>
        <sz val="9"/>
        <color rgb="FF595959"/>
        <rFont val="Arial"/>
        <family val="0"/>
        <charset val="1"/>
      </rPr>
      <t xml:space="preserve">118.5</t>
    </r>
    <r>
      <rPr>
        <sz val="9"/>
        <color rgb="FF595959"/>
        <rFont val="WenQuanYi Zen Hei"/>
        <family val="2"/>
      </rPr>
      <t xml:space="preserve">＋約 </t>
    </r>
    <r>
      <rPr>
        <sz val="9"/>
        <color rgb="FF595959"/>
        <rFont val="Arial"/>
        <family val="0"/>
        <charset val="1"/>
      </rPr>
      <t xml:space="preserve">6.3M </t>
    </r>
    <r>
      <rPr>
        <sz val="9"/>
        <color rgb="FF595959"/>
        <rFont val="WenQuanYi Zen Hei"/>
        <family val="2"/>
      </rPr>
      <t xml:space="preserve">股交換 </t>
    </r>
    <r>
      <rPr>
        <sz val="9"/>
        <color rgb="FF595959"/>
        <rFont val="Arial"/>
        <family val="0"/>
        <charset val="1"/>
      </rPr>
      <t xml:space="preserve">198.15</t>
    </r>
    <r>
      <rPr>
        <sz val="9"/>
        <color rgb="FF595959"/>
        <rFont val="WenQuanYi Zen Hei"/>
        <family val="2"/>
      </rPr>
      <t xml:space="preserve">，剩 </t>
    </r>
    <r>
      <rPr>
        <sz val="9"/>
        <color rgb="FF595959"/>
        <rFont val="Arial"/>
        <family val="0"/>
        <charset val="1"/>
      </rPr>
      <t xml:space="preserve">31.85</t>
    </r>
    <r>
      <rPr>
        <sz val="9"/>
        <color rgb="FF595959"/>
        <rFont val="WenQuanYi Zen Hei"/>
        <family val="2"/>
      </rPr>
      <t xml:space="preserve">；轉換價 </t>
    </r>
    <r>
      <rPr>
        <sz val="9"/>
        <color rgb="FF595959"/>
        <rFont val="Arial"/>
        <family val="0"/>
        <charset val="1"/>
      </rPr>
      <t xml:space="preserve">25.91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38.5981 </t>
    </r>
    <r>
      <rPr>
        <sz val="9"/>
        <color rgb="FF595959"/>
        <rFont val="WenQuanYi Zen Hei"/>
        <family val="2"/>
      </rPr>
      <t xml:space="preserve">股／千元）；</t>
    </r>
    <r>
      <rPr>
        <sz val="9"/>
        <color rgb="FF595959"/>
        <rFont val="Arial"/>
        <family val="0"/>
        <charset val="1"/>
      </rPr>
      <t xml:space="preserve">2029-02 </t>
    </r>
    <r>
      <rPr>
        <sz val="9"/>
        <color rgb="FF595959"/>
        <rFont val="WenQuanYi Zen Hei"/>
        <family val="2"/>
      </rPr>
      <t xml:space="preserve">起可賣回／可贖回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</si>
  <si>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5.00% 2032 </t>
    </r>
    <r>
      <rPr>
        <sz val="10"/>
        <rFont val="WenQuanYi Zen Hei"/>
        <family val="2"/>
      </rPr>
      <t xml:space="preserve">可轉債（</t>
    </r>
    <r>
      <rPr>
        <sz val="10"/>
        <rFont val="Arial"/>
        <family val="0"/>
        <charset val="1"/>
      </rPr>
      <t xml:space="preserve">2026-08</t>
    </r>
    <r>
      <rPr>
        <sz val="10"/>
        <rFont val="WenQuanYi Zen Hei"/>
        <family val="2"/>
      </rPr>
      <t xml:space="preserve">）</t>
    </r>
  </si>
  <si>
    <t xml:space="preserve">2032-09</t>
  </si>
  <si>
    <r>
      <rPr>
        <sz val="9"/>
        <color rgb="FF595959"/>
        <rFont val="Arial"/>
        <family val="0"/>
        <charset val="1"/>
      </rPr>
      <t xml:space="preserve">310</t>
    </r>
    <r>
      <rPr>
        <sz val="9"/>
        <color rgb="FF595959"/>
        <rFont val="WenQuanYi Zen Hei"/>
        <family val="2"/>
      </rPr>
      <t xml:space="preserve">（含超額配售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WenQuanYi Zen Hei"/>
        <family val="2"/>
      </rPr>
      <t xml:space="preserve">）；轉換價 </t>
    </r>
    <r>
      <rPr>
        <sz val="9"/>
        <color rgb="FF595959"/>
        <rFont val="Arial"/>
        <family val="0"/>
        <charset val="1"/>
      </rPr>
      <t xml:space="preserve">33.84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29.5530 </t>
    </r>
    <r>
      <rPr>
        <sz val="9"/>
        <color rgb="FF595959"/>
        <rFont val="WenQuanYi Zen Hei"/>
        <family val="2"/>
      </rPr>
      <t xml:space="preserve">股／千元，</t>
    </r>
    <r>
      <rPr>
        <sz val="9"/>
        <color rgb="FF595959"/>
        <rFont val="Arial"/>
        <family val="0"/>
        <charset val="1"/>
      </rPr>
      <t xml:space="preserve">9.161M </t>
    </r>
    <r>
      <rPr>
        <sz val="9"/>
        <color rgb="FF595959"/>
        <rFont val="WenQuanYi Zen Hei"/>
        <family val="2"/>
      </rPr>
      <t xml:space="preserve">股）；</t>
    </r>
    <r>
      <rPr>
        <sz val="9"/>
        <color rgb="FF595959"/>
        <rFont val="Arial"/>
        <family val="0"/>
        <charset val="1"/>
      </rPr>
      <t xml:space="preserve">2030-09-06 </t>
    </r>
    <r>
      <rPr>
        <sz val="9"/>
        <color rgb="FF595959"/>
        <rFont val="WenQuanYi Zen Hei"/>
        <family val="2"/>
      </rPr>
      <t xml:space="preserve">起可賣回／可贖回；無上限買權（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WenQuanYi Zen Hei"/>
        <family val="2"/>
      </rPr>
      <t xml:space="preserve">與新聞稿未提）；淨收入 </t>
    </r>
    <r>
      <rPr>
        <sz val="9"/>
        <color rgb="FF595959"/>
        <rFont val="Arial"/>
        <family val="0"/>
        <charset val="1"/>
      </rPr>
      <t xml:space="preserve">298.5 [Interested-party 8-K]</t>
    </r>
  </si>
  <si>
    <r>
      <rPr>
        <sz val="9"/>
        <color rgb="FF595959"/>
        <rFont val="WenQuanYi Zen Hei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WenQuanYi Zen Hei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WenQuanYi Zen Hei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</si>
  <si>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</si>
  <si>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</si>
  <si>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</si>
  <si>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</si>
  <si>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</si>
  <si>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</si>
  <si>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</si>
  <si>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</si>
  <si>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WenQuanYi Zen Hei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</si>
  <si>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</si>
  <si>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</si>
  <si>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</si>
  <si>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</si>
  <si>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</si>
  <si>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</si>
  <si>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</si>
  <si>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</si>
  <si>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WenQuanYi Zen Hei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</si>
  <si>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</si>
  <si>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</si>
  <si>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</si>
  <si>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</si>
  <si>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</si>
  <si>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</si>
  <si>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WenQuanYi Zen Hei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期間長度；到期當期計半期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</si>
  <si>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新增借款利息校準</t>
    </r>
  </si>
  <si>
    <r>
      <rPr>
        <sz val="9"/>
        <color rgb="FF595959"/>
        <rFont val="WenQuanYi Zen Hei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WenQuanYi Zen Hei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</si>
  <si>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WenQuanYi Zen Hei"/>
        <family val="2"/>
      </rPr>
      <t xml:space="preserve">額外融資成本｜</t>
    </r>
    <r>
      <rPr>
        <sz val="10"/>
        <rFont val="Arial"/>
        <family val="0"/>
        <charset val="1"/>
      </rPr>
      <t xml:space="preserve">DDTL 1.1× MOIC </t>
    </r>
    <r>
      <rPr>
        <sz val="10"/>
        <rFont val="WenQuanYi Zen Hei"/>
        <family val="2"/>
      </rPr>
      <t xml:space="preserve">到期加付</t>
    </r>
  </si>
  <si>
    <r>
      <rPr>
        <sz val="9"/>
        <color rgb="FF595959"/>
        <rFont val="Arial"/>
        <family val="0"/>
        <charset val="1"/>
      </rPr>
      <t xml:space="preserve">MOIC</t>
    </r>
    <r>
      <rPr>
        <sz val="9"/>
        <color rgb="FF595959"/>
        <rFont val="WenQuanYi Zen Hei"/>
        <family val="2"/>
      </rPr>
      <t xml:space="preserve">：到期時貸方累計收款至少為本金 </t>
    </r>
    <r>
      <rPr>
        <sz val="9"/>
        <color rgb="FF595959"/>
        <rFont val="Arial"/>
        <family val="0"/>
        <charset val="1"/>
      </rPr>
      <t xml:space="preserve">1.1 </t>
    </r>
    <r>
      <rPr>
        <sz val="9"/>
        <color rgb="FF595959"/>
        <rFont val="WenQuanYi Zen Hei"/>
        <family val="2"/>
      </rPr>
      <t xml:space="preserve">倍＝</t>
    </r>
    <r>
      <rPr>
        <sz val="9"/>
        <color rgb="FF595959"/>
        <rFont val="Arial"/>
        <family val="0"/>
        <charset val="1"/>
      </rPr>
      <t xml:space="preserve">8.0</t>
    </r>
    <r>
      <rPr>
        <sz val="9"/>
        <color rgb="FF595959"/>
        <rFont val="WenQuanYi Zen Hei"/>
        <family val="2"/>
      </rPr>
      <t xml:space="preserve">；評價日後至假設到期 </t>
    </r>
    <r>
      <rPr>
        <sz val="9"/>
        <color rgb="FF595959"/>
        <rFont val="Arial"/>
        <family val="0"/>
        <charset val="1"/>
      </rPr>
      <t xml:space="preserve">2027-03 </t>
    </r>
    <r>
      <rPr>
        <sz val="9"/>
        <color rgb="FF595959"/>
        <rFont val="WenQuanYi Zen Hei"/>
        <family val="2"/>
      </rPr>
      <t xml:space="preserve">的票息約 </t>
    </r>
    <r>
      <rPr>
        <sz val="9"/>
        <color rgb="FF595959"/>
        <rFont val="Arial"/>
        <family val="0"/>
        <charset val="1"/>
      </rPr>
      <t xml:space="preserve">6.1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50 × 9.5% × 0.75 </t>
    </r>
    <r>
      <rPr>
        <sz val="9"/>
        <color rgb="FF595959"/>
        <rFont val="WenQuanYi Zen Hei"/>
        <family val="2"/>
      </rPr>
      <t xml:space="preserve">年＋</t>
    </r>
    <r>
      <rPr>
        <sz val="9"/>
        <color rgb="FF595959"/>
        <rFont val="Arial"/>
        <family val="0"/>
        <charset val="1"/>
      </rPr>
      <t xml:space="preserve">30 × 9.5% ×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0.67 </t>
    </r>
    <r>
      <rPr>
        <sz val="9"/>
        <color rgb="FF595959"/>
        <rFont val="WenQuanYi Zen Hei"/>
        <family val="2"/>
      </rPr>
      <t xml:space="preserve">年）→ 到期加付約 </t>
    </r>
    <r>
      <rPr>
        <sz val="9"/>
        <color rgb="FF595959"/>
        <rFont val="Arial"/>
        <family val="0"/>
        <charset val="1"/>
      </rPr>
      <t xml:space="preserve">1.9</t>
    </r>
    <r>
      <rPr>
        <sz val="9"/>
        <color rgb="FF595959"/>
        <rFont val="WenQuanYi Zen Hei"/>
        <family val="2"/>
      </rPr>
      <t xml:space="preserve">，列為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融資成本（非經常利息；審查留言第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條）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稅前債務成本仍 </t>
    </r>
    <r>
      <rPr>
        <sz val="9"/>
        <color rgb="FF595959"/>
        <rFont val="Arial"/>
        <family val="0"/>
        <charset val="1"/>
      </rPr>
      <t xml:space="preserve">9.5%</t>
    </r>
  </si>
  <si>
    <t xml:space="preserve">存量利息合計（連回輸入頁）</t>
  </si>
  <si>
    <r>
      <rPr>
        <sz val="9"/>
        <color rgb="FF595959"/>
        <rFont val="WenQuanYi Zen Hei"/>
        <family val="2"/>
      </rPr>
      <t xml:space="preserve">＝存量債務利息＋期後新發可轉債利息＋可轉債票息＋首期校準＋額外融資成本＋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專案貸款利息（</t>
    </r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</si>
  <si>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NC-1 </t>
    </r>
    <r>
      <rPr>
        <b val="true"/>
        <sz val="10"/>
        <rFont val="WenQuanYi Zen Hei"/>
        <family val="2"/>
      </rPr>
      <t xml:space="preserve">專案貸款（排程：動用期期初一次動用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自有利率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次期起直線攤還；</t>
    </r>
    <r>
      <rPr>
        <b val="true"/>
        <sz val="10"/>
        <rFont val="Arial"/>
        <family val="0"/>
        <charset val="1"/>
      </rPr>
      <t xml:space="preserve">WhiteFiber v0.1c</t>
    </r>
    <r>
      <rPr>
        <b val="true"/>
        <sz val="10"/>
        <rFont val="WenQuanYi Zen Hei"/>
        <family val="2"/>
      </rPr>
      <t xml:space="preserve">）</t>
    </r>
  </si>
  <si>
    <t xml:space="preserve">專案貸款期初餘額</t>
  </si>
  <si>
    <t xml:space="preserve">專案貸款動用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</si>
  <si>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專案貸款金額（『輸入與假設』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WenQuanYi Zen Hei"/>
        <family val="2"/>
      </rPr>
      <t xml:space="preserve">區），於動用期期初一次到位</t>
    </r>
  </si>
  <si>
    <t xml:space="preserve">專案貸款攤還</t>
  </si>
  <si>
    <r>
      <rPr>
        <sz val="9"/>
        <color rgb="FF595959"/>
        <rFont val="WenQuanYi Zen Hei"/>
        <family val="2"/>
      </rPr>
      <t xml:space="preserve">＝金額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攤還年數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期間長度（動用次期起；不超過期初餘額）</t>
    </r>
  </si>
  <si>
    <t xml:space="preserve">專案貸款期末餘額</t>
  </si>
  <si>
    <t xml:space="preserve">專案貸款利息</t>
  </si>
  <si>
    <r>
      <rPr>
        <sz val="9"/>
        <color rgb="FF595959"/>
        <rFont val="WenQuanYi Zen Hei"/>
        <family val="2"/>
      </rPr>
      <t xml:space="preserve">＝利率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WenQuanYi Zen Hei"/>
        <family val="2"/>
      </rPr>
      <t xml:space="preserve">期初＋動用＋期末</t>
    </r>
    <r>
      <rPr>
        <sz val="9"/>
        <color rgb="FF595959"/>
        <rFont val="Arial"/>
        <family val="0"/>
        <charset val="1"/>
      </rPr>
      <t xml:space="preserve">)÷ 2 × </t>
    </r>
    <r>
      <rPr>
        <sz val="9"/>
        <color rgb="FF595959"/>
        <rFont val="WenQuanYi Zen Hei"/>
        <family val="2"/>
      </rPr>
      <t xml:space="preserve">期間長度（動用當期全期計息）；併入存量利息合計</t>
    </r>
  </si>
  <si>
    <t xml:space="preserve">新債與新股（類資產負債表：現金、債務、股本、槓桿）</t>
  </si>
  <si>
    <r>
      <rPr>
        <sz val="9"/>
        <color rgb="FF595959"/>
        <rFont val="WenQuanYi Zen Hei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『資產與負債 → 新債與新股』同口徑</t>
    </r>
  </si>
  <si>
    <t xml:space="preserve">期初現金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</si>
  <si>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</si>
  <si>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</si>
  <si>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</si>
  <si>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</si>
  <si>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</si>
  <si>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</si>
  <si>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</si>
  <si>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專案貸款動用</t>
    </r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</si>
  <si>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</si>
  <si>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</si>
  <si>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</si>
  <si>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</si>
  <si>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WenQuanYi Zen Hei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</si>
  <si>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</si>
  <si>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</si>
  <si>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＝其他借款＋債務處理可轉債到期本金（轉股處理者不列）</t>
    </r>
  </si>
  <si>
    <t xml:space="preserve">− 排程還本（模型期）</t>
  </si>
  <si>
    <r>
      <rPr>
        <sz val="10"/>
        <rFont val="WenQuanYi Zen Hei"/>
        <family val="2"/>
      </rPr>
      <t xml:space="preserve">＋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專案貸款動用 − 攤還</t>
    </r>
  </si>
  <si>
    <r>
      <rPr>
        <sz val="9"/>
        <color rgb="FF595959"/>
        <rFont val="WenQuanYi Zen Hei"/>
        <family val="2"/>
      </rPr>
      <t xml:space="preserve">排程貸款（</t>
    </r>
    <r>
      <rPr>
        <sz val="9"/>
        <color rgb="FF595959"/>
        <rFont val="Arial"/>
        <family val="0"/>
        <charset val="1"/>
      </rPr>
      <t xml:space="preserve">WhiteFiber v0.1c</t>
    </r>
    <r>
      <rPr>
        <sz val="9"/>
        <color rgb="FF595959"/>
        <rFont val="WenQuanYi Zen Hei"/>
        <family val="2"/>
      </rPr>
      <t xml:space="preserve">）</t>
    </r>
  </si>
  <si>
    <t xml:space="preserve">既有債務期末</t>
  </si>
  <si>
    <r>
      <rPr>
        <sz val="9"/>
        <color rgb="FF595959"/>
        <rFont val="WenQuanYi Zen Hei"/>
        <family val="2"/>
      </rPr>
      <t xml:space="preserve">＝依到期表遞減（關閉攤還時維持期初）；含 </t>
    </r>
    <r>
      <rPr>
        <sz val="9"/>
        <color rgb="FF595959"/>
        <rFont val="Arial"/>
        <family val="0"/>
        <charset val="1"/>
      </rPr>
      <t xml:space="preserve">NC-1 </t>
    </r>
    <r>
      <rPr>
        <sz val="9"/>
        <color rgb="FF595959"/>
        <rFont val="WenQuanYi Zen Hei"/>
        <family val="2"/>
      </rPr>
      <t xml:space="preserve">專案貸款餘額</t>
    </r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</si>
  <si>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</si>
  <si>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</si>
  <si>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</si>
  <si>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</si>
  <si>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</si>
  <si>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</si>
  <si>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</si>
  <si>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</si>
  <si>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WenQuanYi Zen Hei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WenQuanYi Zen Hei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WenQuanYi Zen Hei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</si>
  <si>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</si>
  <si>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</si>
  <si>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</si>
  <si>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</si>
  <si>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WenQuanYi Zen Hei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</si>
  <si>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</si>
  <si>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WenQuanYi Zen Hei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WenQuanYi Zen Hei"/>
        <family val="2"/>
      </rPr>
      <t xml:space="preserve">上限約束</t>
    </r>
  </si>
  <si>
    <r>
      <rPr>
        <sz val="10"/>
        <rFont val="WenQuanYi Zen Hei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WenQuanYi Zen Hei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</si>
  <si>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以半年</t>
    </r>
    <r>
      <rPr>
        <sz val="9"/>
        <color rgb="FF595959"/>
        <rFont val="Arial"/>
        <family val="0"/>
        <charset val="1"/>
      </rPr>
      <t xml:space="preserve">×2 </t>
    </r>
    <r>
      <rPr>
        <sz val="9"/>
        <color rgb="FF595959"/>
        <rFont val="WenQuanYi Zen Hei"/>
        <family val="2"/>
      </rPr>
      <t xml:space="preserve">年化</t>
    </r>
  </si>
  <si>
    <t xml:space="preserve">租賃負債（期末）</t>
  </si>
  <si>
    <r>
      <rPr>
        <sz val="9"/>
        <color rgb="FF595959"/>
        <rFont val="WenQuanYi Zen Hei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</si>
  <si>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WenQuanYi Zen Hei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WenQuanYi Zen Hei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WenQuanYi Zen Hei"/>
        <family val="2"/>
      </rPr>
      <t xml:space="preserve">期間長度）</t>
    </r>
  </si>
  <si>
    <r>
      <rPr>
        <b val="true"/>
        <sz val="10"/>
        <rFont val="WenQuanYi Zen Hei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</si>
  <si>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WenQuanYi Zen Hei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WenQuanYi Zen Hei"/>
        <family val="2"/>
      </rPr>
      <t xml:space="preserve">自身口徑另含全部未起租承諾與無條件採購義務，較本列高（見報告）</t>
    </r>
  </si>
  <si>
    <t xml:space="preserve">距債務上限的空間（上限 − 調整後槓桿）</t>
  </si>
  <si>
    <t xml:space="preserve">負值＝超過上限：需股權或高息債</t>
  </si>
  <si>
    <r>
      <rPr>
        <sz val="9"/>
        <color rgb="FF595959"/>
        <rFont val="WenQuanYi Zen Hei"/>
        <family val="2"/>
      </rPr>
      <t xml:space="preserve">債務上限基準為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時的槓桿（總債務含可轉債；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為負或極小時以 </t>
    </r>
    <r>
      <rPr>
        <sz val="9"/>
        <color rgb="FF595959"/>
        <rFont val="Arial"/>
        <family val="0"/>
        <charset val="1"/>
      </rPr>
      <t xml:space="preserve">US$10m </t>
    </r>
    <r>
      <rPr>
        <sz val="9"/>
        <color rgb="FF595959"/>
        <rFont val="WenQuanYi Zen Hei"/>
        <family val="2"/>
      </rPr>
      <t xml:space="preserve">為下限）；</t>
    </r>
    <r>
      <rPr>
        <sz val="9"/>
        <color rgb="FF595959"/>
        <rFont val="Arial"/>
        <family val="0"/>
        <charset val="1"/>
      </rPr>
      <t xml:space="preserve">WhiteFiber v0.1b</t>
    </r>
  </si>
  <si>
    <r>
      <rPr>
        <b val="true"/>
        <sz val="14"/>
        <rFont val="WenQuanYi Zen Hei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WenQuanYi Zen Hei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</si>
  <si>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</si>
  <si>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</si>
  <si>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WenQuanYi Zen Hei"/>
        <family val="2"/>
      </rPr>
      <t xml:space="preserve">下半</t>
    </r>
  </si>
  <si>
    <t xml:space="preserve">2027</t>
  </si>
  <si>
    <t xml:space="preserve">2028</t>
  </si>
  <si>
    <t xml:space="preserve">2029</t>
  </si>
  <si>
    <t xml:space="preserve">2030</t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</si>
  <si>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</si>
  <si>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</si>
  <si>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</si>
  <si>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</si>
  <si>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WenQuanYi Zen Hei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15.376</t>
    </r>
    <r>
      <rPr>
        <sz val="9"/>
        <color rgb="FF595959"/>
        <rFont val="WenQuanYi Zen Hei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WenQuanYi Zen Hei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WenQuanYi Zen Hei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</si>
  <si>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</si>
  <si>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</si>
  <si>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WenQuanYi Zen Hei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WenQuanYi Zen Hei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WenQuanYi Zen Hei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</si>
  <si>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</si>
  <si>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</si>
  <si>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</si>
  <si>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</si>
  <si>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</si>
  <si>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</si>
  <si>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</si>
  <si>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</si>
  <si>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</si>
  <si>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WenQuanYi Zen Hei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</si>
  <si>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Bit Digital DDTL </t>
    </r>
    <r>
      <rPr>
        <sz val="9"/>
        <color rgb="FF595959"/>
        <rFont val="WenQuanYi Zen Hei"/>
        <family val="2"/>
      </rPr>
      <t xml:space="preserve">未動用額度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WenQuanYi Zen Hei"/>
        <family val="2"/>
      </rPr>
      <t xml:space="preserve">（額度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WenQuanYi Zen Hei"/>
        <family val="2"/>
      </rPr>
      <t xml:space="preserve">、已動用 </t>
    </r>
    <r>
      <rPr>
        <sz val="9"/>
        <color rgb="FF595959"/>
        <rFont val="Arial"/>
        <family val="0"/>
        <charset val="1"/>
      </rPr>
      <t xml:space="preserve">80</t>
    </r>
    <r>
      <rPr>
        <sz val="9"/>
        <color rgb="FF595959"/>
        <rFont val="WenQuanYi Zen Hei"/>
        <family val="2"/>
      </rPr>
      <t xml:space="preserve">；可增至 </t>
    </r>
    <r>
      <rPr>
        <sz val="9"/>
        <color rgb="FF595959"/>
        <rFont val="Arial"/>
        <family val="0"/>
        <charset val="1"/>
      </rPr>
      <t xml:space="preserve">150 </t>
    </r>
    <r>
      <rPr>
        <sz val="9"/>
        <color rgb="FF595959"/>
        <rFont val="WenQuanYi Zen Hei"/>
        <family val="2"/>
      </rPr>
      <t xml:space="preserve">未承諾，不計））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</si>
  <si>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</si>
  <si>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</si>
  <si>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</si>
  <si>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</si>
  <si>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</si>
  <si>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WenQuanYi Zen Hei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WenQuanYi Zen Hei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WenQuanYi Zen Hei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</si>
  <si>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</si>
  <si>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</si>
  <si>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WenQuanYi Zen Hei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WenQuanYi Zen Hei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</si>
  <si>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</si>
  <si>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</si>
  <si>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轉換＋新簽約</t>
    </r>
  </si>
  <si>
    <t xml:space="preserve">非算力服務</t>
  </si>
  <si>
    <t xml:space="preserve">託管</t>
  </si>
  <si>
    <r>
      <rPr>
        <sz val="9"/>
        <color rgb="FF595959"/>
        <rFont val="Arial"/>
        <family val="0"/>
        <charset val="1"/>
      </rPr>
      <t xml:space="preserve">SaaS</t>
    </r>
    <r>
      <rPr>
        <sz val="9"/>
        <color rgb="FF595959"/>
        <rFont val="WenQuanYi Zen Hei"/>
        <family val="2"/>
      </rPr>
      <t xml:space="preserve">、軟體、硬體、服務（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</si>
  <si>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</si>
  <si>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</si>
  <si>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WenQuanYi Zen Hei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</si>
  <si>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WenQuanYi Zen Hei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＋託管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</si>
  <si>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</si>
  <si>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</si>
  <si>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WenQuanYi Zen Hei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</si>
  <si>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</si>
  <si>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</si>
  <si>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WenQuanYi Zen Hei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</si>
  <si>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WenQuanYi Zen Hei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</si>
  <si>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WenQuanYi Zen Hei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</si>
  <si>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</si>
  <si>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</si>
  <si>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</si>
  <si>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</si>
  <si>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t xml:space="preserve">車隊折舊，見輸入頁</t>
  </si>
  <si>
    <t xml:space="preserve">EBITDA</t>
  </si>
  <si>
    <r>
      <rPr>
        <sz val="10"/>
        <rFont val="WenQuanYi Zen Hei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WenQuanYi Zen Hei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</si>
  <si>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WenQuanYi Zen Hei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WenQuanYi Zen Hei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</si>
  <si>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</si>
  <si>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</si>
  <si>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WenQuanYi Zen Hei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</si>
  <si>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欄只含下半年；全年口徑見下方</t>
    </r>
  </si>
  <si>
    <r>
      <rPr>
        <b val="true"/>
        <sz val="10"/>
        <rFont val="WenQuanYi Zen Hei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FY26</t>
    </r>
    <r>
      <rPr>
        <b val="true"/>
        <sz val="10"/>
        <rFont val="WenQuanYi Zen Hei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WenQuanYi Zen Hei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</si>
  <si>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WenQuanYi Zen Hei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</si>
  <si>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</si>
  <si>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可對照指引 不適用（公司未給指引）</t>
    </r>
  </si>
  <si>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</si>
  <si>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79.164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</si>
  <si>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WenQuanYi Zen Hei"/>
        <family val="2"/>
      </rPr>
      <t xml:space="preserve">營業利益</t>
    </r>
  </si>
  <si>
    <t xml:space="preserve">營利率</t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</si>
  <si>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</si>
  <si>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13.008</t>
    </r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</si>
  <si>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</si>
  <si>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</si>
  <si>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起瀑布新債利息（</t>
    </r>
    <r>
      <rPr>
        <sz val="9"/>
        <color rgb="FF595959"/>
        <rFont val="Arial"/>
        <family val="0"/>
        <charset val="1"/>
      </rPr>
      <t xml:space="preserve">9%</t>
    </r>
    <r>
      <rPr>
        <sz val="9"/>
        <color rgb="FF595959"/>
        <rFont val="WenQuanYi Zen Hei"/>
        <family val="2"/>
      </rPr>
      <t xml:space="preserve">）與新股同時影響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</si>
  <si>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</si>
  <si>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</si>
  <si>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WenQuanYi Zen Hei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</si>
  <si>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FY26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−0.70</t>
    </r>
    <r>
      <rPr>
        <sz val="9"/>
        <color rgb="FF595959"/>
        <rFont val="WenQuanYi Zen Hei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WenQuanYi Zen Hei"/>
        <family val="2"/>
      </rPr>
      <t xml:space="preserve">股數</t>
    </r>
  </si>
  <si>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WenQuanYi Zen Hei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</si>
  <si>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WenQuanYi Zen Hei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WenQuanYi Zen Hei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全額加回</t>
    </r>
  </si>
  <si>
    <r>
      <rPr>
        <b val="true"/>
        <sz val="14"/>
        <rFont val="WenQuanYi Zen Hei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WenQuanYi Zen Hei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WenQuanYi Zen Hei"/>
        <family val="2"/>
      </rPr>
      <t xml:space="preserve">、加權目標價</t>
    </r>
  </si>
  <si>
    <r>
      <rPr>
        <sz val="9"/>
        <color rgb="FF595959"/>
        <rFont val="WenQuanYi Zen Hei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WenQuanYi Zen Hei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</si>
  <si>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WenQuanYi Zen Hei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</si>
  <si>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WenQuanYi Zen Hei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</si>
  <si>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344.712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</si>
  <si>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</si>
  <si>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FY25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79.164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50.762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</si>
  <si>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</si>
  <si>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WenQuanYi Zen Hei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WenQuanYi Zen Hei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WenQuanYi Zen Hei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WenQuanYi Zen Hei"/>
        <family val="2"/>
      </rPr>
      <t xml:space="preserve">）</t>
    </r>
  </si>
  <si>
    <t xml:space="preserve">營運資金變動</t>
  </si>
  <si>
    <r>
      <rPr>
        <sz val="9"/>
        <color rgb="FF595959"/>
        <rFont val="WenQuanYi Zen Hei"/>
        <family val="2"/>
      </rPr>
      <t xml:space="preserve">營收增量的 </t>
    </r>
    <r>
      <rPr>
        <sz val="9"/>
        <color rgb="FF595959"/>
        <rFont val="Arial"/>
        <family val="0"/>
        <charset val="1"/>
      </rPr>
      <t xml:space="preserve">2%</t>
    </r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</si>
  <si>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</si>
  <si>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</si>
  <si>
    <t xml:space="preserve">　本期動用（無槓桿）</t>
  </si>
  <si>
    <r>
      <rPr>
        <sz val="10"/>
        <rFont val="WenQuanYi Zen Hei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WenQuanYi Zen Hei"/>
        <family val="2"/>
      </rPr>
      <t xml:space="preserve">期末</t>
    </r>
  </si>
  <si>
    <r>
      <rPr>
        <sz val="10"/>
        <rFont val="WenQuanYi Zen Hei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用）</t>
    </r>
  </si>
  <si>
    <r>
      <rPr>
        <sz val="9"/>
        <color rgb="FF595959"/>
        <rFont val="WenQuanYi Zen Hei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的正確口徑</t>
    </r>
  </si>
  <si>
    <t xml:space="preserve">UFCF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</si>
  <si>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WenQuanYi Zen Hei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</si>
  <si>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</si>
  <si>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WenQuanYi Zen Hei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WenQuanYi Zen Hei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WenQuanYi Zen Hei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</si>
  <si>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</si>
  <si>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</t>
    </r>
  </si>
  <si>
    <r>
      <rPr>
        <sz val="10"/>
        <rFont val="WenQuanYi Zen Hei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WenQuanYi Zen Hei"/>
        <family val="2"/>
      </rPr>
      <t xml:space="preserve">現值合計</t>
    </r>
  </si>
  <si>
    <t xml:space="preserve">建置期現金流現值</t>
  </si>
  <si>
    <r>
      <rPr>
        <sz val="10"/>
        <rFont val="WenQuanYi Zen Hei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 UFCF</t>
    </r>
    <r>
      <rPr>
        <sz val="10"/>
        <rFont val="WenQuanYi Zen Hei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</si>
  <si>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WenQuanYi Zen Hei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WenQuanYi Zen Hei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WenQuanYi Zen Hei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WenQuanYi Zen Hei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不是永續資產，終值年須持續再投資</t>
    </r>
  </si>
  <si>
    <r>
      <rPr>
        <sz val="10"/>
        <rFont val="WenQuanYi Zen Hei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</si>
  <si>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</si>
  <si>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</si>
  <si>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WenQuanYi Zen Hei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</si>
  <si>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</si>
  <si>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</si>
  <si>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</si>
  <si>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</t>
    </r>
  </si>
  <si>
    <r>
      <rPr>
        <sz val="9"/>
        <color rgb="FF595959"/>
        <rFont val="WenQuanYi Zen Hei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截斷或選擇權</t>
    </r>
  </si>
  <si>
    <r>
      <rPr>
        <sz val="10"/>
        <rFont val="WenQuanYi Zen Hei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WenQuanYi Zen Hei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</si>
  <si>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</si>
  <si>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WenQuanYi Zen Hei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WenQuanYi Zen Hei"/>
        <family val="2"/>
      </rPr>
      <t xml:space="preserve">年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</si>
  <si>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</si>
  <si>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WenQuanYi Zen Hei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</si>
  <si>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WenQuanYi Zen Hei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</si>
  <si>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WenQuanYi Zen Hei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</si>
  <si>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</si>
  <si>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WenQuanYi Zen Hei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WenQuanYi Zen Hei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WenQuanYi Zen Hei"/>
        <family val="2"/>
      </rPr>
      <t xml:space="preserve">＝淨負債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</si>
  <si>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</si>
  <si>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</si>
  <si>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WenQuanYi Zen Hei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FY29</t>
    </r>
    <r>
      <rPr>
        <b val="true"/>
        <sz val="10"/>
        <rFont val="WenQuanYi Zen Hei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</si>
  <si>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t xml:space="preserve">錨定年度</t>
  </si>
  <si>
    <r>
      <rPr>
        <sz val="9"/>
        <color rgb="FF595959"/>
        <rFont val="WenQuanYi Zen Hei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WenQuanYi Zen Hei"/>
        <family val="2"/>
      </rPr>
      <t xml:space="preserve">區可改</t>
    </r>
  </si>
  <si>
    <r>
      <rPr>
        <sz val="10"/>
        <rFont val="WenQuanYi Zen Hei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</si>
  <si>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WenQuanYi Zen Hei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</si>
  <si>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分部加總：雲端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WenQuanYi Zen Hei"/>
        <family val="2"/>
      </rPr>
      <t xml:space="preserve">倍數＋託管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託管倍數（下方兩列）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</si>
  <si>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</si>
  <si>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</si>
  <si>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</si>
  <si>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WenQuanYi Zen Hei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WenQuanYi Zen Hei"/>
        <family val="2"/>
      </rPr>
      <t xml:space="preserve">逐年稀釋＋瀑布新股</t>
    </r>
  </si>
  <si>
    <r>
      <rPr>
        <sz val="10"/>
        <rFont val="WenQuanYi Zen Hei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WenQuanYi Zen Hei"/>
        <family val="2"/>
      </rPr>
      <t xml:space="preserve">的折現因子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</si>
  <si>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WenQuanYi Zen Hei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</si>
  <si>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每股（融資後）</t>
    </r>
  </si>
  <si>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為下限</t>
    </r>
  </si>
  <si>
    <r>
      <rPr>
        <sz val="10"/>
        <rFont val="WenQuanYi Zen Hei"/>
        <family val="2"/>
      </rPr>
      <t xml:space="preserve">錨定年度託管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</si>
  <si>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託管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倍數（託管同業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WenQuanYi Zen Hei"/>
        <family val="2"/>
      </rPr>
      <t xml:space="preserve">中位數）</t>
    </r>
  </si>
  <si>
    <r>
      <rPr>
        <sz val="10"/>
        <rFont val="WenQuanYi Zen Hei"/>
        <family val="2"/>
      </rPr>
      <t xml:space="preserve">錨定年度 雲端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（算力＋服務＋其他）</t>
    </r>
  </si>
  <si>
    <r>
      <rPr>
        <sz val="9"/>
        <color rgb="FF595959"/>
        <rFont val="WenQuanYi Zen Hei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WenQuanYi Zen Hei"/>
        <family val="2"/>
      </rPr>
      <t xml:space="preserve">託管；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WenQuanYi Zen Hei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</si>
  <si>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</si>
  <si>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每股（推到目標價時點）</t>
    </r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</si>
  <si>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WenQuanYi Zen Hei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WenQuanYi Zen Hei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</si>
  <si>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</si>
  <si>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</si>
  <si>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</si>
  <si>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</si>
  <si>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</si>
  <si>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WenQuanYi Zen Hei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WenQuanYi Zen Hei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WenQuanYi Zen Hei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WenQuanYi Zen Hei"/>
        <family val="2"/>
      </rPr>
      <t xml:space="preserve">）</t>
    </r>
  </si>
  <si>
    <t xml:space="preserve">第一輪：轉股股數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</si>
  <si>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</si>
  <si>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</si>
  <si>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</si>
  <si>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</si>
  <si>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融資後股數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</si>
  <si>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</si>
  <si>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每股（評價日）</t>
    </r>
  </si>
  <si>
    <r>
      <rPr>
        <sz val="9"/>
        <color rgb="FF595959"/>
        <rFont val="WenQuanYi Zen Hei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</si>
  <si>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</si>
  <si>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</si>
  <si>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</si>
  <si>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WenQuanYi Zen Hei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</si>
  <si>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</si>
  <si>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</si>
  <si>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WenQuanYi Zen Hei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WenQuanYi Zen Hei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WenQuanYi Zen Hei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</si>
  <si>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</si>
  <si>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WenQuanYi Zen Hei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WenQuanYi Zen Hei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</si>
  <si>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</si>
  <si>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</si>
  <si>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</si>
  <si>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</si>
  <si>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WenQuanYi Zen Hei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</si>
  <si>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</si>
  <si>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</si>
  <si>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權重說明</t>
    </r>
  </si>
  <si>
    <r>
      <rPr>
        <sz val="9"/>
        <color rgb="FF595959"/>
        <rFont val="WenQuanYi Zen Hei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</si>
  <si>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</si>
  <si>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</si>
  <si>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WenQuanYi Zen Hei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（評等用）</t>
    </r>
  </si>
  <si>
    <r>
      <rPr>
        <sz val="10"/>
        <rFont val="WenQuanYi Zen Hei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現市值（評等用）</t>
    </r>
  </si>
  <si>
    <r>
      <rPr>
        <sz val="10"/>
        <rFont val="WenQuanYi Zen Hei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WenQuanYi Zen Hei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＝賣出）</t>
    </r>
  </si>
  <si>
    <r>
      <rPr>
        <sz val="10"/>
        <rFont val="WenQuanYi Zen Hei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WenQuanYi Zen Hei"/>
        <family val="2"/>
      </rPr>
      <t xml:space="preserve">）</t>
    </r>
  </si>
  <si>
    <t xml:space="preserve">目標價區間｜保守 只有已簽約（加權目標價／評等代碼／距賣出門檻）</t>
  </si>
  <si>
    <r>
      <rPr>
        <sz val="9"/>
        <color rgb="FF595959"/>
        <rFont val="WenQuanYi Zen Hei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），保留其餘手動輸入</t>
    </r>
  </si>
  <si>
    <r>
      <rPr>
        <sz val="10"/>
        <rFont val="WenQuanYi Zen Hei"/>
        <family val="2"/>
      </rPr>
      <t xml:space="preserve">目標價區間｜基準 加 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下一批（加權目標價／評等代碼／距賣出門檻）</t>
    </r>
  </si>
  <si>
    <r>
      <rPr>
        <sz val="10"/>
        <rFont val="WenQuanYi Zen Hei"/>
        <family val="2"/>
      </rPr>
      <t xml:space="preserve">目標價區間｜積極 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與 </t>
    </r>
    <r>
      <rPr>
        <sz val="10"/>
        <rFont val="Arial"/>
        <family val="0"/>
        <charset val="1"/>
      </rPr>
      <t xml:space="preserve">Krambu</t>
    </r>
    <r>
      <rPr>
        <sz val="10"/>
        <rFont val="WenQuanYi Zen Hei"/>
        <family val="2"/>
      </rPr>
      <t xml:space="preserve">（加權目標價／評等代碼／距賣出門檻）</t>
    </r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</si>
  <si>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</si>
  <si>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</si>
  <si>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</si>
  <si>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</t>
    </r>
  </si>
  <si>
    <r>
      <rPr>
        <sz val="10"/>
        <rFont val="WenQuanYi Zen Hei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WenQuanYi Zen Hei"/>
        <family val="2"/>
      </rPr>
      <t xml:space="preserve">目標價（價位／評等代碼）</t>
    </r>
  </si>
  <si>
    <r>
      <rPr>
        <sz val="10"/>
        <rFont val="WenQuanYi Zen Hei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</si>
  <si>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</si>
  <si>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</si>
  <si>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</si>
  <si>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</si>
  <si>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WenQuanYi Zen Hei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WenQuanYi Zen Hei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WenQuanYi Zen Hei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</si>
  <si>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WenQuanYi Zen Hei"/>
        <family val="2"/>
      </rPr>
      <t xml:space="preserve">腿）</t>
    </r>
  </si>
  <si>
    <t xml:space="preserve">倍數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</si>
  <si>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WenQuanYi Zen Hei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倍數＋託管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WenQuanYi Zen Hei"/>
        <family val="2"/>
      </rPr>
      <t xml:space="preserve">託管倍數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WenQuanYi Zen Hei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有效權重。綠底＝不低於現價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</si>
  <si>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</si>
  <si>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</si>
  <si>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</si>
  <si>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</si>
  <si>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WenQuanYi Zen Hei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</si>
  <si>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t xml:space="preserve">雲端 倍數 ＼ 錨定（加權目標價）</t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</si>
  <si>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</si>
  <si>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</si>
  <si>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</si>
  <si>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</si>
  <si>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WenQuanYi Zen Hei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</si>
  <si>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WenQuanYi Zen Hei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WenQuanYi Zen Hei"/>
        <family val="2"/>
      </rPr>
      <t xml:space="preserve">現價隱含什麼樣的收入與成本</t>
    </r>
  </si>
  <si>
    <r>
      <rPr>
        <sz val="9"/>
        <color rgb="FF595959"/>
        <rFont val="WenQuanYi Zen Hei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WenQuanYi Zen Hei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WenQuanYi Zen Hei"/>
        <family val="2"/>
      </rPr>
      <t xml:space="preserve">預設輸入）</t>
    </r>
  </si>
  <si>
    <r>
      <rPr>
        <b val="true"/>
        <sz val="10"/>
        <rFont val="WenQuanYi Zen Hei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WenQuanYi Zen Hei"/>
        <family val="2"/>
      </rPr>
      <t xml:space="preserve">與現價的差距</t>
    </r>
  </si>
  <si>
    <r>
      <rPr>
        <sz val="10"/>
        <rFont val="WenQuanYi Zen Hei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每股（依下限方式）</t>
    </r>
  </si>
  <si>
    <r>
      <rPr>
        <b val="true"/>
        <sz val="10"/>
        <rFont val="WenQuanYi Zen Hei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WenQuanYi Zen Hei"/>
        <family val="2"/>
      </rPr>
      <t xml:space="preserve">現價）＝目標搜尋的『設定儲存格』</t>
    </r>
  </si>
  <si>
    <r>
      <rPr>
        <sz val="10"/>
        <rFont val="WenQuanYi Zen Hei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</si>
  <si>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</si>
  <si>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WenQuanYi Zen Hei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WenQuanYi Zen Hei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</si>
  <si>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WenQuanYi Zen Hei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率』</t>
    </r>
  </si>
  <si>
    <r>
      <rPr>
        <sz val="9"/>
        <color rgb="FF595959"/>
        <rFont val="WenQuanYi Zen Hei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WenQuanYi Zen Hei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WenQuanYi Zen Hei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WenQuanYi Zen Hei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WenQuanYi Zen Hei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WenQuanYi Zen Hei"/>
        <family val="2"/>
      </rPr>
      <t xml:space="preserve">以上開始搜尋</t>
    </r>
  </si>
  <si>
    <r>
      <rPr>
        <sz val="9"/>
        <color rgb="FF595959"/>
        <rFont val="WenQuanYi Zen Hei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WenQuanYi Zen Hei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WenQuanYi Zen Hei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年收入倍數』做目標搜尋，即得下方矩陣中的一格</t>
    </r>
  </si>
  <si>
    <r>
      <rPr>
        <b val="true"/>
        <sz val="10"/>
        <rFont val="WenQuanYi Zen Hei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WenQuanYi Zen Hei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WenQuanYi Zen Hei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</si>
  <si>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</si>
  <si>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</si>
  <si>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</si>
  <si>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</si>
  <si>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</si>
  <si>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FY30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</si>
  <si>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WhiteFiber </t>
    </r>
    <r>
      <rPr>
        <sz val="9"/>
        <color rgb="FF595959"/>
        <rFont val="WenQuanYi Zen Hei"/>
        <family val="2"/>
      </rPr>
      <t xml:space="preserve">對照：新簽雲端長約隱含 </t>
    </r>
    <r>
      <rPr>
        <sz val="9"/>
        <color rgb="FF595959"/>
        <rFont val="Arial"/>
        <family val="0"/>
        <charset val="1"/>
      </rPr>
      <t xml:space="preserve">14.8–20.3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WenQuanYi Zen Hei"/>
        <family val="2"/>
      </rPr>
      <t xml:space="preserve">經常性年化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冰島 </t>
    </r>
    <r>
      <rPr>
        <sz val="9"/>
        <color rgb="FF595959"/>
        <rFont val="Arial"/>
        <family val="0"/>
        <charset val="1"/>
      </rPr>
      <t xml:space="preserve">5.5 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8.37</t>
    </r>
    <r>
      <rPr>
        <sz val="9"/>
        <color rgb="FF595959"/>
        <rFont val="WenQuanYi Zen Hei"/>
        <family val="2"/>
      </rPr>
      <t xml:space="preserve">（上限）；模型每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錨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WenQuanYi Zen Hei"/>
        <family val="2"/>
      </rPr>
      <t xml:space="preserve">，不以此反推</t>
    </r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</si>
  <si>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</si>
  <si>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Tokenomics IF_CapexIT</t>
    </r>
    <r>
      <rPr>
        <sz val="9"/>
        <color rgb="FF595959"/>
        <rFont val="WenQuanYi Zen Hei"/>
        <family val="2"/>
      </rPr>
      <t xml:space="preserve">｜世代加權（</t>
    </r>
    <r>
      <rPr>
        <sz val="9"/>
        <color rgb="FF595959"/>
        <rFont val="Arial"/>
        <family val="0"/>
        <charset val="1"/>
      </rPr>
      <t xml:space="preserve">v19.0 GB300 32.24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37.59 US$m/MW-IT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WenQuanYi Zen Hei"/>
        <family val="2"/>
      </rPr>
      <t xml:space="preserve">；機房另計）</t>
    </r>
  </si>
  <si>
    <t xml:space="preserve">無解</t>
  </si>
  <si>
    <r>
      <rPr>
        <sz val="9"/>
        <color rgb="FF595959"/>
        <rFont val="WenQuanYi Zen Hei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率；託管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WenQuanYi Zen Hei"/>
        <family val="2"/>
      </rPr>
      <t xml:space="preserve">（變動為百分點）</t>
    </r>
  </si>
  <si>
    <r>
      <rPr>
        <sz val="10"/>
        <rFont val="WenQuanYi Zen Hei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</t>
    </r>
  </si>
  <si>
    <r>
      <rPr>
        <sz val="9"/>
        <color rgb="FF595959"/>
        <rFont val="WenQuanYi Zen Hei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FY29 </t>
    </r>
    <r>
      <rPr>
        <sz val="9"/>
        <color rgb="FF595959"/>
        <rFont val="WenQuanYi Zen Hei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</si>
  <si>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WenQuanYi Zen Hei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FY30 </t>
    </r>
    <r>
      <rPr>
        <b val="true"/>
        <sz val="10"/>
        <rFont val="WenQuanYi Zen Hei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WenQuanYi Zen Hei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</si>
  <si>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WenQuanYi Zen Hei"/>
        <family val="2"/>
      </rPr>
      <t xml:space="preserve">率</t>
    </r>
  </si>
  <si>
    <r>
      <rPr>
        <sz val="9"/>
        <color rgb="FF595959"/>
        <rFont val="WenQuanYi Zen Hei"/>
        <family val="2"/>
      </rPr>
      <t xml:space="preserve">矩陣保留 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率維度：託管（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 </t>
    </r>
    <r>
      <rPr>
        <sz val="9"/>
        <color rgb="FF595959"/>
        <rFont val="Arial"/>
        <family val="0"/>
        <charset val="1"/>
      </rPr>
      <t xml:space="preserve">52.2%→65.0%</t>
    </r>
    <r>
      <rPr>
        <sz val="9"/>
        <color rgb="FF595959"/>
        <rFont val="WenQuanYi Zen Hei"/>
        <family val="2"/>
      </rPr>
      <t xml:space="preserve">、託管同業倍數）不隨此表變動</t>
    </r>
  </si>
  <si>
    <r>
      <rPr>
        <sz val="10"/>
        <rFont val="Arial"/>
        <family val="0"/>
        <charset val="1"/>
      </rPr>
      <t xml:space="preserve">$26.3m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</si>
  <si>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$30.1m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</si>
  <si>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$33.8m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</si>
  <si>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$37.6m</t>
    </r>
    <r>
      <rPr>
        <sz val="10"/>
        <rFont val="WenQuanYi Zen Hei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</si>
  <si>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$41.3m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</si>
  <si>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WenQuanYi Zen Hei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WenQuanYi Zen Hei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WenQuanYi Zen Hei"/>
        <family val="2"/>
      </rPr>
      <t xml:space="preserve">』</t>
    </r>
  </si>
  <si>
    <r>
      <rPr>
        <b val="true"/>
        <sz val="14"/>
        <rFont val="WenQuanYi Zen Hei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WenQuanYi Zen Hei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WenQuanYi Zen Hei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</si>
  <si>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WenQuanYi Zen Hei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WenQuanYi Zen Hei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WenQuanYi Zen Hei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WenQuanYi Zen Hei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WenQuanYi Zen Hei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</si>
  <si>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</si>
  <si>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</si>
  <si>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</si>
  <si>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</si>
  <si>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WenQuanYi Zen Hei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</si>
  <si>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WenQuanYi Zen Hei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WenQuanYi Zen Hei"/>
        <family val="2"/>
      </rPr>
      <t xml:space="preserve">）</t>
    </r>
  </si>
  <si>
    <r>
      <rPr>
        <b val="true"/>
        <sz val="11"/>
        <color rgb="FFFFFFFF"/>
        <rFont val="WenQuanYi Zen Hei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</si>
  <si>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</si>
  <si>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</si>
  <si>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</si>
  <si>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</si>
  <si>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</si>
  <si>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16540.0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-231.0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3991.0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</si>
  <si>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</si>
  <si>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WenQuanYi Zen Hei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WenQuanYi Zen Hei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</si>
  <si>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1625.3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-612.0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418.0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</si>
  <si>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</si>
  <si>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WenQuanYi Zen Hei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</si>
  <si>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3.0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-1047.0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418.0</t>
    </r>
    <r>
      <rPr>
        <sz val="9"/>
        <color rgb="FF595959"/>
        <rFont val="WenQuanYi Zen Hei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3m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WenQuanYi Zen Hei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4,000m</t>
    </r>
  </si>
  <si>
    <t xml:space="preserve">APLD Applied Digital</t>
  </si>
  <si>
    <r>
      <rPr>
        <sz val="9"/>
        <color rgb="FF595959"/>
        <rFont val="WenQuanYi Zen Hei"/>
        <family val="2"/>
      </rPr>
      <t xml:space="preserve">市值 </t>
    </r>
    <r>
      <rPr>
        <sz val="9"/>
        <color rgb="FF595959"/>
        <rFont val="Arial"/>
        <family val="0"/>
        <charset val="1"/>
      </rPr>
      <t xml:space="preserve">6.94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EV 14.81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WenQuanYi Zen Hei"/>
        <family val="2"/>
      </rPr>
      <t xml:space="preserve">收盤，</t>
    </r>
    <r>
      <rPr>
        <sz val="9"/>
        <color rgb="FF595959"/>
        <rFont val="Arial"/>
        <family val="0"/>
        <charset val="1"/>
      </rPr>
      <t xml:space="preserve">v0.1a val.peer.apld</t>
    </r>
    <r>
      <rPr>
        <sz val="9"/>
        <color rgb="FF595959"/>
        <rFont val="WenQuanYi Zen Hei"/>
        <family val="2"/>
      </rPr>
      <t xml:space="preserve">）；營收與損益 </t>
    </r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WenQuanYi Zen Hei"/>
        <family val="2"/>
      </rPr>
      <t xml:space="preserve">，未更新）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</si>
  <si>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66.0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-236.0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67.0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APLD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WenQuanYi Zen Hei"/>
        <family val="2"/>
      </rPr>
      <t xml:space="preserve">；損益 </t>
    </r>
    <r>
      <rPr>
        <sz val="9"/>
        <color rgb="FF595959"/>
        <rFont val="Arial"/>
        <family val="0"/>
        <charset val="1"/>
      </rPr>
      <t xml:space="preserve">FY26 10-K</t>
    </r>
  </si>
  <si>
    <t xml:space="preserve">CORZ Core Scientific</t>
  </si>
  <si>
    <r>
      <rPr>
        <sz val="9"/>
        <color rgb="FF595959"/>
        <rFont val="WenQuanYi Zen Hei"/>
        <family val="2"/>
      </rPr>
      <t xml:space="preserve">市值 </t>
    </r>
    <r>
      <rPr>
        <sz val="9"/>
        <color rgb="FF595959"/>
        <rFont val="Arial"/>
        <family val="0"/>
        <charset val="1"/>
      </rPr>
      <t xml:space="preserve">5.75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EV 9.43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2026-09-04 </t>
    </r>
    <r>
      <rPr>
        <sz val="9"/>
        <color rgb="FF595959"/>
        <rFont val="WenQuanYi Zen Hei"/>
        <family val="2"/>
      </rPr>
      <t xml:space="preserve">收盤，頁面未更新；</t>
    </r>
    <r>
      <rPr>
        <sz val="9"/>
        <color rgb="FF595959"/>
        <rFont val="Arial"/>
        <family val="0"/>
        <charset val="1"/>
      </rPr>
      <t xml:space="preserve">v0.1a val.peer.corz</t>
    </r>
    <r>
      <rPr>
        <sz val="9"/>
        <color rgb="FF595959"/>
        <rFont val="WenQuanYi Zen Hei"/>
        <family val="2"/>
      </rPr>
      <t xml:space="preserve">）；損益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WenQuanYi Zen Hei"/>
        <family val="2"/>
      </rPr>
      <t xml:space="preserve">（未更新）</t>
    </r>
  </si>
  <si>
    <r>
      <rPr>
        <sz val="9"/>
        <color rgb="FF595959"/>
        <rFont val="WenQuanYi Zen Hei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109.0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WenQuanYi Zen Hei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-561.0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63.0</t>
    </r>
    <r>
      <rPr>
        <sz val="9"/>
        <color rgb="FF595959"/>
        <rFont val="WenQuanYi Zen Hei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CORZ </t>
    </r>
    <r>
      <rPr>
        <sz val="9"/>
        <color rgb="FF595959"/>
        <rFont val="WenQuanYi Zen Hei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2026-09-04</t>
    </r>
    <r>
      <rPr>
        <sz val="9"/>
        <color rgb="FF595959"/>
        <rFont val="WenQuanYi Zen Hei"/>
        <family val="2"/>
      </rPr>
      <t xml:space="preserve">（未更新）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</si>
  <si>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</si>
  <si>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WYFI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WenQuanYi Zen Hei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</si>
  <si>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WenQuanYi Zen Hei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</si>
  <si>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WenQuanYi Zen Hei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WenQuanYi Zen Hei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15.376</t>
    </r>
  </si>
  <si>
    <r>
      <rPr>
        <sz val="10"/>
        <rFont val="Arial"/>
        <family val="0"/>
        <charset val="1"/>
      </rPr>
      <t xml:space="preserve">WYFI </t>
    </r>
    <r>
      <rPr>
        <sz val="10"/>
        <rFont val="WenQuanYi Zen Hei"/>
        <family val="2"/>
      </rPr>
      <t xml:space="preserve">模型 </t>
    </r>
    <r>
      <rPr>
        <sz val="10"/>
        <rFont val="Arial"/>
        <family val="0"/>
        <charset val="1"/>
      </rPr>
      <t xml:space="preserve">FY27E</t>
    </r>
  </si>
  <si>
    <r>
      <rPr>
        <sz val="9"/>
        <color rgb="FF595959"/>
        <rFont val="WenQuanYi Zen Hei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營收</t>
    </r>
  </si>
  <si>
    <r>
      <rPr>
        <sz val="9"/>
        <color rgb="FF595959"/>
        <rFont val="WenQuanYi Zen Hei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WenQuanYi Zen Hei"/>
        <family val="2"/>
      </rPr>
      <t xml:space="preserve">同時有雲端（短約）與託管（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WenQuanYi Zen Hei"/>
        <family val="2"/>
      </rPr>
      <t xml:space="preserve">年長約）；倍數不可直接與純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WenQuanYi Zen Hei"/>
        <family val="2"/>
      </rPr>
      <t xml:space="preserve">或純託管同業比較；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</si>
  <si>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WenQuanYi Zen Hei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WenQuanYi Zen Hei"/>
        <family val="2"/>
      </rPr>
      <t xml:space="preserve">雲端以第三方機房承租為主、託管站點自有。</t>
    </r>
  </si>
  <si>
    <r>
      <rPr>
        <sz val="9"/>
        <color rgb="FF595959"/>
        <rFont val="WenQuanYi Zen Hei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WYFI </t>
    </r>
    <r>
      <rPr>
        <sz val="9"/>
        <color rgb="FF595959"/>
        <rFont val="WenQuanYi Zen Hei"/>
        <family val="2"/>
      </rPr>
      <t xml:space="preserve">模型列。此表為市場比較用，不進入目標價。</t>
    </r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</si>
  <si>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</si>
  <si>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</si>
  <si>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</si>
  <si>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</si>
  <si>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</si>
  <si>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WenQuanYi Zen Hei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100%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</si>
  <si>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</si>
  <si>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</si>
  <si>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</si>
  <si>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t xml:space="preserve">≥0</t>
  </si>
  <si>
    <r>
      <rPr>
        <sz val="9"/>
        <color rgb="FF595959"/>
        <rFont val="WenQuanYi Zen Hei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WenQuanYi Zen Hei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</si>
  <si>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FY26 CapEx </t>
    </r>
    <r>
      <rPr>
        <sz val="10"/>
        <rFont val="WenQuanYi Zen Hei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</si>
  <si>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t xml:space="preserve">不適用（公司未給指引）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</si>
  <si>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344.712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模型；全年指引 不適用（公司未給指引）（法說會轉述）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</si>
  <si>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WenQuanYi Zen Hei"/>
        <family val="2"/>
      </rPr>
      <t xml:space="preserve">指引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</si>
  <si>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WenQuanYi Zen Hei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50.762</t>
    </r>
    <r>
      <rPr>
        <sz val="9"/>
        <color rgb="FF595959"/>
        <rFont val="WenQuanYi Zen Hei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WenQuanYi Zen Hei"/>
        <family val="2"/>
      </rPr>
      <t xml:space="preserve">模型（算力＋非算力服務）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</si>
  <si>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WenQuanYi Zen Hei"/>
        <family val="2"/>
      </rPr>
      <t xml:space="preserve">強度（模型期合計）</t>
    </r>
  </si>
  <si>
    <t xml:space="preserve">$28.5549–39.2826m/MW</t>
  </si>
  <si>
    <r>
      <rPr>
        <sz val="9"/>
        <color rgb="FF595959"/>
        <rFont val="Arial"/>
        <family val="0"/>
        <charset val="1"/>
      </rPr>
      <t xml:space="preserve">Tokenomics IF_CapexIT GB300 </t>
    </r>
    <r>
      <rPr>
        <sz val="9"/>
        <color rgb="FF595959"/>
        <rFont val="WenQuanYi Zen Hei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TK_CapexIT_GB300_Lo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28.55–39.28 US$m/MW-IT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 </t>
    </r>
    <r>
      <rPr>
        <sz val="9"/>
        <color rgb="FF595959"/>
        <rFont val="WenQuanYi Zen Hei"/>
        <family val="2"/>
      </rPr>
      <t xml:space="preserve">手抄 </t>
    </r>
    <r>
      <rPr>
        <sz val="9"/>
        <color rgb="FF595959"/>
        <rFont val="Arial"/>
        <family val="0"/>
        <charset val="1"/>
      </rPr>
      <t xml:space="preserve">28–51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</si>
  <si>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</si>
  <si>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</si>
  <si>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</si>
  <si>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WenQuanYi Zen Hei"/>
        <family val="2"/>
      </rPr>
      <t xml:space="preserve">）</t>
    </r>
  </si>
  <si>
    <t xml:space="preserve">≥8</t>
  </si>
  <si>
    <r>
      <rPr>
        <sz val="10"/>
        <rFont val="Arial"/>
        <family val="0"/>
        <charset val="1"/>
      </rPr>
      <t xml:space="preserve">FY28 </t>
    </r>
    <r>
      <rPr>
        <sz val="10"/>
        <rFont val="WenQuanYi Zen Hei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</si>
  <si>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WenQuanYi Zen Hei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</si>
  <si>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FY28–FY30 </t>
    </r>
    <r>
      <rPr>
        <sz val="9"/>
        <color rgb="FF595959"/>
        <rFont val="WenQuanYi Zen Hei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WenQuanYi Zen Hei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</si>
  <si>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</si>
  <si>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FY27 </t>
    </r>
    <r>
      <rPr>
        <sz val="9"/>
        <color rgb="FF595959"/>
        <rFont val="WenQuanYi Zen Hei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WenQuanYi Zen Hei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</si>
  <si>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</si>
  <si>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單一來源（</t>
    </r>
    <r>
      <rPr>
        <sz val="10"/>
        <rFont val="Arial"/>
        <family val="0"/>
        <charset val="1"/>
      </rPr>
      <t xml:space="preserve">FY27 </t>
    </r>
    <r>
      <rPr>
        <sz val="10"/>
        <rFont val="WenQuanYi Zen Hei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WenQuanYi Zen Hei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率）</t>
    </r>
  </si>
  <si>
    <r>
      <rPr>
        <sz val="9"/>
        <color rgb="FF595959"/>
        <rFont val="WenQuanYi Zen Hei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</si>
  <si>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WenQuanYi Zen Hei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WenQuanYi Zen Hei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FY27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</si>
  <si>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WenQuanYi Zen Hei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</si>
  <si>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＝失效）</t>
    </r>
  </si>
  <si>
    <t xml:space="preserve">0</t>
  </si>
  <si>
    <r>
      <rPr>
        <sz val="9"/>
        <color rgb="FF595959"/>
        <rFont val="WenQuanYi Zen Hei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WenQuanYi Zen Hei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WenQuanYi Zen Hei"/>
        <family val="2"/>
      </rPr>
      <t xml:space="preserve">；股權為負不算失效</t>
    </r>
  </si>
  <si>
    <t xml:space="preserve">期末現金 ≥ 最低現金（期前融資）</t>
  </si>
  <si>
    <t xml:space="preserve">≥30.0</t>
  </si>
  <si>
    <t xml:space="preserve">瀑布每期補足至最低現金；最小值應等於最低現金</t>
  </si>
  <si>
    <r>
      <rPr>
        <sz val="10"/>
        <rFont val="WenQuanYi Zen Hei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現市值</t>
    </r>
  </si>
  <si>
    <r>
      <rPr>
        <sz val="10"/>
        <rFont val="WenQuanYi Zen Hei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WenQuanYi Zen Hei"/>
        <family val="2"/>
      </rPr>
      <t xml:space="preserve">季報本金 </t>
    </r>
    <r>
      <rPr>
        <sz val="10"/>
        <rFont val="Arial"/>
        <family val="0"/>
        <charset val="1"/>
      </rPr>
      <t xml:space="preserve">315.339 − </t>
    </r>
    <r>
      <rPr>
        <sz val="10"/>
        <rFont val="WenQuanYi Zen Hei"/>
        <family val="2"/>
      </rPr>
      <t xml:space="preserve">以股換債 ＋ 期後新發</t>
    </r>
  </si>
  <si>
    <t xml:space="preserve">466.05</t>
  </si>
  <si>
    <r>
      <rPr>
        <sz val="9"/>
        <color rgb="FF595959"/>
        <rFont val="WenQuanYi Zen Hei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WenQuanYi Zen Hei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</si>
  <si>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公式）</t>
    </r>
  </si>
  <si>
    <r>
      <rPr>
        <sz val="9"/>
        <color rgb="FF595959"/>
        <rFont val="WenQuanYi Zen Hei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</si>
  <si>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WenQuanYi Zen Hei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WenQuanYi Zen Hei"/>
        <family val="2"/>
      </rPr>
      <t xml:space="preserve">年內履行</t>
    </r>
  </si>
  <si>
    <r>
      <rPr>
        <sz val="10"/>
        <rFont val="WenQuanYi Zen Hei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年租金（</t>
    </r>
    <r>
      <rPr>
        <sz val="10"/>
        <rFont val="Arial"/>
        <family val="0"/>
        <charset val="1"/>
      </rPr>
      <t xml:space="preserve">FY30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</si>
  <si>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</t>
    </r>
  </si>
  <si>
    <r>
      <rPr>
        <sz val="9"/>
        <color rgb="FF595959"/>
        <rFont val="WenQuanYi Zen Hei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</si>
  <si>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</si>
  <si>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</si>
  <si>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WenQuanYi Zen Hei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WenQuanYi Zen Hei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WenQuanYi Zen Hei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</si>
  <si>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WenQuanYi Zen Hei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WenQuanYi Zen Hei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</si>
  <si>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</si>
  <si>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75.146 × 100%</t>
    </r>
    <r>
      <rPr>
        <sz val="9"/>
        <color rgb="FF595959"/>
        <rFont val="WenQuanYi Zen Hei"/>
        <family val="2"/>
      </rPr>
      <t xml:space="preserve">（含託管）−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WenQuanYi Zen Hei"/>
        <family val="2"/>
      </rPr>
      <t xml:space="preserve">排程高於模型產能營收</t>
    </r>
  </si>
  <si>
    <r>
      <rPr>
        <sz val="10"/>
        <rFont val="WenQuanYi Zen Hei"/>
        <family val="2"/>
      </rPr>
      <t xml:space="preserve">託管：</t>
    </r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年初至今實際＋模型期 − 全年（四線合計）</t>
    </r>
  </si>
  <si>
    <r>
      <rPr>
        <sz val="9"/>
        <color rgb="FF595959"/>
        <rFont val="WenQuanYi Zen Hei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WenQuanYi Zen Hei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</si>
  <si>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</si>
  <si>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WenQuanYi Zen Hei"/>
        <family val="2"/>
      </rPr>
      <t xml:space="preserve">期間長度</t>
    </r>
  </si>
  <si>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數 → </t>
    </r>
    <r>
      <rPr>
        <sz val="10"/>
        <rFont val="Arial"/>
        <family val="0"/>
        <charset val="1"/>
      </rPr>
      <t xml:space="preserve">MW-IT </t>
    </r>
    <r>
      <rPr>
        <sz val="10"/>
        <rFont val="WenQuanYi Zen Hei"/>
        <family val="2"/>
      </rPr>
      <t xml:space="preserve">換算＝</t>
    </r>
    <r>
      <rPr>
        <sz val="10"/>
        <rFont val="Arial"/>
        <family val="0"/>
        <charset val="1"/>
      </rPr>
      <t xml:space="preserve">Tokenomics IF_GPUsPerGW</t>
    </r>
    <r>
      <rPr>
        <sz val="10"/>
        <rFont val="WenQuanYi Zen Hei"/>
        <family val="2"/>
      </rPr>
      <t xml:space="preserve">（最大絕對差）</t>
    </r>
  </si>
  <si>
    <t xml:space="preserve">&lt;0.001 MW</t>
  </si>
  <si>
    <r>
      <rPr>
        <sz val="9"/>
        <color rgb="FF595959"/>
        <rFont val="Arial"/>
        <family val="0"/>
        <charset val="1"/>
      </rPr>
      <t xml:space="preserve">company.json → scenarios.mwPath.gpuConv </t>
    </r>
    <r>
      <rPr>
        <sz val="9"/>
        <color rgb="FF595959"/>
        <rFont val="WenQuanYi Zen Hei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mwIT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 </t>
    </r>
    <r>
      <rPr>
        <sz val="9"/>
        <color rgb="FF595959"/>
        <rFont val="Arial"/>
        <family val="0"/>
        <charset val="1"/>
      </rPr>
      <t xml:space="preserve">÷ (TK_GPUsPerGW ÷ 1000) </t>
    </r>
    <r>
      <rPr>
        <sz val="9"/>
        <color rgb="FF595959"/>
        <rFont val="WenQuanYi Zen Hei"/>
        <family val="2"/>
      </rPr>
      <t xml:space="preserve">相同（四捨五入到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WenQuanYi Zen Hei"/>
        <family val="2"/>
      </rPr>
      <t xml:space="preserve">位；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</si>
  <si>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收入上限：每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客戶付費 </t>
    </r>
    <r>
      <rPr>
        <sz val="10"/>
        <rFont val="Arial"/>
        <family val="0"/>
        <charset val="1"/>
      </rPr>
      <t xml:space="preserve">token </t>
    </r>
    <r>
      <rPr>
        <sz val="10"/>
        <rFont val="WenQuanYi Zen Hei"/>
        <family val="2"/>
      </rPr>
      <t xml:space="preserve">營收（最高）</t>
    </r>
  </si>
  <si>
    <t xml:space="preserve">≤50%</t>
  </si>
  <si>
    <r>
      <rPr>
        <sz val="9"/>
        <color rgb="FF595959"/>
        <rFont val="WenQuanYi Zen Hei"/>
        <family val="2"/>
      </rPr>
      <t xml:space="preserve">雲端業者拿走客戶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WenQuanYi Zen Hei"/>
        <family val="2"/>
      </rPr>
      <t xml:space="preserve">營收的比例＝每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 Tokenomics </t>
    </r>
    <r>
      <rPr>
        <sz val="9"/>
        <color rgb="FF595959"/>
        <rFont val="WenQuanYi Zen Hei"/>
        <family val="2"/>
      </rPr>
      <t xml:space="preserve">四層瀑布比較層 </t>
    </r>
    <r>
      <rPr>
        <sz val="9"/>
        <color rgb="FF595959"/>
        <rFont val="Arial"/>
        <family val="0"/>
        <charset val="1"/>
      </rPr>
      <t xml:space="preserve">_Prod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WenQuanYi Zen Hei"/>
        <family val="2"/>
      </rPr>
      <t xml:space="preserve">，在役世代加權；</t>
    </r>
    <r>
      <rPr>
        <sz val="9"/>
        <color rgb="FF595959"/>
        <rFont val="Arial"/>
        <family val="0"/>
        <charset val="1"/>
      </rPr>
      <t xml:space="preserve">company.json → methodology.checks.revCapLayer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WenQuanYi Zen Hei"/>
        <family val="2"/>
      </rPr>
      <t xml:space="preserve">警示；只警示、不改數字（</t>
    </r>
    <r>
      <rPr>
        <sz val="9"/>
        <color rgb="FF595959"/>
        <rFont val="Arial"/>
        <family val="0"/>
        <charset val="1"/>
      </rPr>
      <t xml:space="preserve">v0.3</t>
    </r>
    <r>
      <rPr>
        <sz val="9"/>
        <color rgb="FF595959"/>
        <rFont val="WenQuanYi Zen Hei"/>
        <family val="2"/>
      </rPr>
      <t xml:space="preserve">）</t>
    </r>
  </si>
  <si>
    <r>
      <rPr>
        <b val="true"/>
        <sz val="10"/>
        <rFont val="WenQuanYi Zen Hei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WenQuanYi Zen Hei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WenQuanYi Zen Hei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WenQuanYi Zen Hei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WenQuanYi Zen Hei"/>
        <family val="2"/>
      </rPr>
      <t xml:space="preserve">同口徑）</t>
    </r>
  </si>
  <si>
    <r>
      <rPr>
        <sz val="10"/>
        <rFont val="WenQuanYi Zen Hei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</si>
  <si>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</si>
  <si>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</si>
  <si>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WenQuanYi Zen Hei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</si>
  <si>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</si>
  <si>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起，含瀑布新債）</t>
    </r>
  </si>
  <si>
    <r>
      <rPr>
        <sz val="10"/>
        <rFont val="WenQuanYi Zen Hei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</si>
  <si>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WenQuanYi Zen Hei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WenQuanYi Zen Hei"/>
        <family val="2"/>
      </rPr>
      <t xml:space="preserve">起）</t>
    </r>
  </si>
  <si>
    <r>
      <rPr>
        <sz val="10"/>
        <rFont val="Arial"/>
        <family val="0"/>
        <charset val="1"/>
      </rPr>
      <t xml:space="preserve">FY26 </t>
    </r>
    <r>
      <rPr>
        <sz val="10"/>
        <rFont val="WenQuanYi Zen Hei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WenQuanYi Zen Hei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</si>
  <si>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WenQuanYi Zen Hei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</si>
  <si>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</si>
  <si>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WenQuanYi Zen Hei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WenQuanYi Zen Hei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WenQuanYi Zen Hei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WenQuanYi Zen Hei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WenQuanYi Zen Hei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WenQuanYi Zen Hei"/>
        <family val="2"/>
      </rPr>
      <t xml:space="preserve">截斷）</t>
    </r>
  </si>
  <si>
    <t xml:space="preserve">版本</t>
  </si>
  <si>
    <t xml:space="preserve">主要變更</t>
  </si>
  <si>
    <t xml:space="preserve">基準目標價</t>
  </si>
  <si>
    <t xml:space="preserve">變動原因</t>
  </si>
  <si>
    <t xml:space="preserve">v0.2</t>
  </si>
  <si>
    <t xml:space="preserve">10-22</t>
  </si>
  <si>
    <r>
      <rPr>
        <sz val="10"/>
        <rFont val="WenQuanYi Zen Hei"/>
        <family val="2"/>
      </rPr>
      <t xml:space="preserve">雲端每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年收入改以 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為錨（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在役世代占比 </t>
    </r>
    <r>
      <rPr>
        <sz val="10"/>
        <rFont val="Arial"/>
        <family val="0"/>
        <charset val="1"/>
      </rPr>
      <t xml:space="preserve">× IF_HoldEcon 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＝證據價格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同世代持有成本，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WenQuanYi Zen Hei"/>
        <family val="2"/>
      </rPr>
      <t xml:space="preserve">五年約 </t>
    </r>
    <r>
      <rPr>
        <sz val="10"/>
        <rFont val="Arial"/>
        <family val="0"/>
        <charset val="1"/>
      </rPr>
      <t xml:space="preserve">9.70 → 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0.89</t>
    </r>
    <r>
      <rPr>
        <sz val="10"/>
        <rFont val="WenQuanYi Zen Hei"/>
        <family val="2"/>
      </rPr>
      <t xml:space="preserve">、現貨 </t>
    </r>
    <r>
      <rPr>
        <sz val="10"/>
        <rFont val="Arial"/>
        <family val="0"/>
        <charset val="1"/>
      </rPr>
      <t xml:space="preserve">1.83</t>
    </r>
    <r>
      <rPr>
        <sz val="10"/>
        <rFont val="WenQuanYi Zen Hei"/>
        <family val="2"/>
      </rPr>
      <t xml:space="preserve">；非長約 </t>
    </r>
    <r>
      <rPr>
        <sz val="10"/>
        <rFont val="Arial"/>
        <family val="0"/>
        <charset val="1"/>
      </rPr>
      <t xml:space="preserve">25%</t>
    </r>
    <r>
      <rPr>
        <sz val="10"/>
        <rFont val="WenQuanYi Zen Hei"/>
        <family val="2"/>
      </rPr>
      <t xml:space="preserve">），取代 </t>
    </r>
    <r>
      <rPr>
        <sz val="10"/>
        <rFont val="Arial"/>
        <family val="0"/>
        <charset val="1"/>
      </rPr>
      <t xml:space="preserve">v0.1 </t>
    </r>
    <r>
      <rPr>
        <sz val="10"/>
        <rFont val="WenQuanYi Zen Hei"/>
        <family val="2"/>
      </rPr>
      <t xml:space="preserve">的成本加成與市場價 </t>
    </r>
    <r>
      <rPr>
        <sz val="10"/>
        <rFont val="Arial"/>
        <family val="0"/>
        <charset val="1"/>
      </rPr>
      <t xml:space="preserve">50/50 </t>
    </r>
    <r>
      <rPr>
        <sz val="10"/>
        <rFont val="WenQuanYi Zen Hei"/>
        <family val="2"/>
      </rPr>
      <t xml:space="preserve">平均；容量情境與價格情境（</t>
    </r>
    <r>
      <rPr>
        <sz val="10"/>
        <rFont val="Arial"/>
        <family val="0"/>
        <charset val="1"/>
      </rPr>
      <t xml:space="preserve">k </t>
    </r>
    <r>
      <rPr>
        <sz val="10"/>
        <rFont val="WenQuanYi Zen Hei"/>
        <family val="2"/>
      </rPr>
      <t xml:space="preserve">低／基準／高）分離，期初可計費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隨價格軸重算；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取數改 </t>
    </r>
    <r>
      <rPr>
        <sz val="10"/>
        <rFont val="Arial"/>
        <family val="0"/>
        <charset val="1"/>
      </rPr>
      <t xml:space="preserve">v19.0 </t>
    </r>
    <r>
      <rPr>
        <sz val="10"/>
        <rFont val="WenQuanYi Zen Hei"/>
        <family val="2"/>
      </rPr>
      <t xml:space="preserve">官方快照（</t>
    </r>
    <r>
      <rPr>
        <sz val="10"/>
        <rFont val="Arial"/>
        <family val="0"/>
        <charset val="1"/>
      </rPr>
      <t xml:space="preserve">TK_ </t>
    </r>
    <r>
      <rPr>
        <sz val="10"/>
        <rFont val="WenQuanYi Zen Hei"/>
        <family val="2"/>
      </rPr>
      <t xml:space="preserve">具名範圍）；雲端資本支出與汰換年限引用 </t>
    </r>
    <r>
      <rPr>
        <sz val="10"/>
        <rFont val="Arial"/>
        <family val="0"/>
        <charset val="1"/>
      </rPr>
      <t xml:space="preserve">TK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IF_CapexIT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IF_DeprLifeIT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EBITDAR </t>
    </r>
    <r>
      <rPr>
        <sz val="10"/>
        <rFont val="WenQuanYi Zen Hei"/>
        <family val="2"/>
      </rPr>
      <t xml:space="preserve">重校準；收入上限檢查（</t>
    </r>
    <r>
      <rPr>
        <sz val="10"/>
        <rFont val="Arial"/>
        <family val="0"/>
        <charset val="1"/>
      </rPr>
      <t xml:space="preserve">IFW_RevGWFleet </t>
    </r>
    <r>
      <rPr>
        <sz val="10"/>
        <rFont val="WenQuanYi Zen Hei"/>
        <family val="2"/>
      </rPr>
      <t xml:space="preserve">四層＋</t>
    </r>
    <r>
      <rPr>
        <sz val="10"/>
        <rFont val="Arial"/>
        <family val="0"/>
        <charset val="1"/>
      </rPr>
      <t xml:space="preserve">P×Q </t>
    </r>
    <r>
      <rPr>
        <sz val="10"/>
        <rFont val="WenQuanYi Zen Hei"/>
        <family val="2"/>
      </rPr>
      <t xml:space="preserve">對照）、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驗證、</t>
    </r>
    <r>
      <rPr>
        <sz val="10"/>
        <rFont val="Arial"/>
        <family val="0"/>
        <charset val="1"/>
      </rPr>
      <t xml:space="preserve">3×3 </t>
    </r>
    <r>
      <rPr>
        <sz val="10"/>
        <rFont val="WenQuanYi Zen Hei"/>
        <family val="2"/>
      </rPr>
      <t xml:space="preserve">容量</t>
    </r>
    <r>
      <rPr>
        <sz val="10"/>
        <rFont val="Arial"/>
        <family val="0"/>
        <charset val="1"/>
      </rPr>
      <t xml:space="preserve">×</t>
    </r>
    <r>
      <rPr>
        <sz val="10"/>
        <rFont val="WenQuanYi Zen Hei"/>
        <family val="2"/>
      </rPr>
      <t xml:space="preserve">價格矩陣</t>
    </r>
  </si>
  <si>
    <t xml:space="preserve">$15.2</t>
  </si>
  <si>
    <r>
      <rPr>
        <sz val="10"/>
        <rFont val="WenQuanYi Zen Hei"/>
        <family val="2"/>
      </rPr>
      <t xml:space="preserve">基準（中立）；保守 </t>
    </r>
    <r>
      <rPr>
        <sz val="10"/>
        <rFont val="Arial"/>
        <family val="0"/>
        <charset val="1"/>
      </rPr>
      <t xml:space="preserve">$11.5</t>
    </r>
    <r>
      <rPr>
        <sz val="10"/>
        <rFont val="WenQuanYi Zen Hei"/>
        <family val="2"/>
      </rPr>
      <t xml:space="preserve">（賣出）、積極 </t>
    </r>
    <r>
      <rPr>
        <sz val="10"/>
        <rFont val="Arial"/>
        <family val="0"/>
        <charset val="1"/>
      </rPr>
      <t xml:space="preserve">$25.4</t>
    </r>
    <r>
      <rPr>
        <sz val="10"/>
        <rFont val="WenQuanYi Zen Hei"/>
        <family val="2"/>
      </rPr>
      <t xml:space="preserve">（買進）；</t>
    </r>
    <r>
      <rPr>
        <sz val="10"/>
        <rFont val="Arial"/>
        <family val="0"/>
        <charset val="1"/>
      </rPr>
      <t xml:space="preserve">v0.1 </t>
    </r>
    <r>
      <rPr>
        <sz val="10"/>
        <rFont val="WenQuanYi Zen Hei"/>
        <family val="2"/>
      </rPr>
      <t xml:space="preserve">為基準 </t>
    </r>
    <r>
      <rPr>
        <sz val="10"/>
        <rFont val="Arial"/>
        <family val="0"/>
        <charset val="1"/>
      </rPr>
      <t xml:space="preserve">$16.8</t>
    </r>
    <r>
      <rPr>
        <sz val="10"/>
        <rFont val="WenQuanYi Zen Hei"/>
        <family val="2"/>
      </rPr>
      <t xml:space="preserve">（中立）、保守 </t>
    </r>
    <r>
      <rPr>
        <sz val="10"/>
        <rFont val="Arial"/>
        <family val="0"/>
        <charset val="1"/>
      </rPr>
      <t xml:space="preserve">$10.0</t>
    </r>
    <r>
      <rPr>
        <sz val="10"/>
        <rFont val="WenQuanYi Zen Hei"/>
        <family val="2"/>
      </rPr>
      <t xml:space="preserve">（賣出）、積極 </t>
    </r>
    <r>
      <rPr>
        <sz val="10"/>
        <rFont val="Arial"/>
        <family val="0"/>
        <charset val="1"/>
      </rPr>
      <t xml:space="preserve">$34.7</t>
    </r>
    <r>
      <rPr>
        <sz val="10"/>
        <rFont val="WenQuanYi Zen Hei"/>
        <family val="2"/>
      </rPr>
      <t xml:space="preserve">（中立）</t>
    </r>
  </si>
  <si>
    <t xml:space="preserve">v0.1</t>
  </si>
  <si>
    <t xml:space="preserve">10-08</t>
  </si>
  <si>
    <r>
      <rPr>
        <sz val="10"/>
        <rFont val="WenQuanYi Zen Hei"/>
        <family val="2"/>
      </rPr>
      <t xml:space="preserve">由 </t>
    </r>
    <r>
      <rPr>
        <sz val="10"/>
        <rFont val="Arial"/>
        <family val="0"/>
        <charset val="1"/>
      </rPr>
      <t xml:space="preserve">CRWV v4.5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Nebius v0.1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Oracle v0.2 </t>
    </r>
    <r>
      <rPr>
        <sz val="10"/>
        <rFont val="WenQuanYi Zen Hei"/>
        <family val="2"/>
      </rPr>
      <t xml:space="preserve">模板建立（</t>
    </r>
    <r>
      <rPr>
        <sz val="10"/>
        <rFont val="Arial"/>
        <family val="0"/>
        <charset val="1"/>
      </rPr>
      <t xml:space="preserve">oracle/ @ e4540c3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CRWV v1.0–v4.5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Nebius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Oracle </t>
    </r>
    <r>
      <rPr>
        <sz val="10"/>
        <rFont val="WenQuanYi Zen Hei"/>
        <family val="2"/>
      </rPr>
      <t xml:space="preserve">的歷史見各自資料夾）；雲端 </t>
    </r>
    <r>
      <rPr>
        <sz val="10"/>
        <rFont val="Arial"/>
        <family val="0"/>
        <charset val="1"/>
      </rPr>
      <t xml:space="preserve">MW ×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收入（</t>
    </r>
    <r>
      <rPr>
        <sz val="10"/>
        <rFont val="Arial"/>
        <family val="0"/>
        <charset val="1"/>
      </rPr>
      <t xml:space="preserve">Tokenomics </t>
    </r>
    <r>
      <rPr>
        <sz val="10"/>
        <rFont val="WenQuanYi Zen Hei"/>
        <family val="2"/>
      </rPr>
      <t xml:space="preserve">正向推導、首期以 </t>
    </r>
    <r>
      <rPr>
        <sz val="10"/>
        <rFont val="Arial"/>
        <family val="0"/>
        <charset val="1"/>
      </rPr>
      <t xml:space="preserve">Q2 </t>
    </r>
    <r>
      <rPr>
        <sz val="10"/>
        <rFont val="WenQuanYi Zen Hei"/>
        <family val="2"/>
      </rPr>
      <t xml:space="preserve">經常性營收校準）、託管分部（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驅動站點、合約租金與年調、建置 </t>
    </r>
    <r>
      <rPr>
        <sz val="10"/>
        <rFont val="Arial"/>
        <family val="0"/>
        <charset val="1"/>
      </rPr>
      <t xml:space="preserve">CapEx</t>
    </r>
    <r>
      <rPr>
        <sz val="10"/>
        <rFont val="WenQuanYi Zen Hei"/>
        <family val="2"/>
      </rPr>
      <t xml:space="preserve">、建物折舊）、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租賃（新增 </t>
    </r>
    <r>
      <rPr>
        <sz val="10"/>
        <rFont val="Arial"/>
        <family val="0"/>
        <charset val="1"/>
      </rPr>
      <t xml:space="preserve">50%</t>
    </r>
    <r>
      <rPr>
        <sz val="10"/>
        <rFont val="WenQuanYi Zen Hei"/>
        <family val="2"/>
      </rPr>
      <t xml:space="preserve">）、客戶預付、可轉債（逐檔與瀑布）、</t>
    </r>
    <r>
      <rPr>
        <sz val="10"/>
        <rFont val="Arial"/>
        <family val="0"/>
        <charset val="1"/>
      </rPr>
      <t xml:space="preserve">NC-1 </t>
    </r>
    <r>
      <rPr>
        <sz val="10"/>
        <rFont val="WenQuanYi Zen Hei"/>
        <family val="2"/>
      </rPr>
      <t xml:space="preserve">專案貸款（排程）、融資瀑布（債務上限 </t>
    </r>
    <r>
      <rPr>
        <sz val="10"/>
        <rFont val="Arial"/>
        <family val="0"/>
        <charset val="1"/>
      </rPr>
      <t xml:space="preserve">5× EBITDA</t>
    </r>
    <r>
      <rPr>
        <sz val="10"/>
        <rFont val="WenQuanYi Zen Hei"/>
        <family val="2"/>
      </rPr>
      <t xml:space="preserve">）、建設延誤、</t>
    </r>
    <r>
      <rPr>
        <sz val="10"/>
        <rFont val="Arial"/>
        <family val="0"/>
        <charset val="1"/>
      </rPr>
      <t xml:space="preserve">CAPM</t>
    </r>
    <r>
      <rPr>
        <sz val="10"/>
        <rFont val="WenQuanYi Zen Hei"/>
        <family val="2"/>
      </rPr>
      <t xml:space="preserve">、分部 </t>
    </r>
    <r>
      <rPr>
        <sz val="10"/>
        <rFont val="Arial"/>
        <family val="0"/>
        <charset val="1"/>
      </rPr>
      <t xml:space="preserve">EV/EBITDA</t>
    </r>
    <r>
      <rPr>
        <sz val="10"/>
        <rFont val="WenQuanYi Zen Hei"/>
        <family val="2"/>
      </rPr>
      <t xml:space="preserve">（託管 </t>
    </r>
    <r>
      <rPr>
        <sz val="10"/>
        <rFont val="Arial"/>
        <family val="0"/>
        <charset val="1"/>
      </rPr>
      <t xml:space="preserve">20.75×</t>
    </r>
    <r>
      <rPr>
        <sz val="10"/>
        <rFont val="WenQuanYi Zen Hei"/>
        <family val="2"/>
      </rPr>
      <t xml:space="preserve">＋雲端 </t>
    </r>
    <r>
      <rPr>
        <sz val="10"/>
        <rFont val="Arial"/>
        <family val="0"/>
        <charset val="1"/>
      </rPr>
      <t xml:space="preserve">6×</t>
    </r>
    <r>
      <rPr>
        <sz val="10"/>
        <rFont val="WenQuanYi Zen Hei"/>
        <family val="2"/>
      </rPr>
      <t xml:space="preserve">）；金額單位 </t>
    </r>
    <r>
      <rPr>
        <sz val="10"/>
        <rFont val="Arial"/>
        <family val="0"/>
        <charset val="1"/>
      </rPr>
      <t xml:space="preserve">US$m</t>
    </r>
  </si>
  <si>
    <t xml:space="preserve">$16.8</t>
  </si>
  <si>
    <r>
      <rPr>
        <sz val="10"/>
        <rFont val="WenQuanYi Zen Hei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$10.0</t>
    </r>
    <r>
      <rPr>
        <sz val="10"/>
        <rFont val="WenQuanYi Zen Hei"/>
        <family val="2"/>
      </rPr>
      <t xml:space="preserve">（賣出）、積極 </t>
    </r>
    <r>
      <rPr>
        <sz val="10"/>
        <rFont val="Arial"/>
        <family val="0"/>
        <charset val="1"/>
      </rPr>
      <t xml:space="preserve">$34.7</t>
    </r>
    <r>
      <rPr>
        <sz val="10"/>
        <rFont val="WenQuanYi Zen Hei"/>
        <family val="2"/>
      </rPr>
      <t xml:space="preserve">（中立）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</si>
  <si>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</si>
  <si>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</si>
  <si>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</si>
  <si>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 Q2 10-Q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2026-08-12</t>
    </r>
    <r>
      <rPr>
        <sz val="10"/>
        <rFont val="WenQuanYi Zen Hei"/>
        <family val="2"/>
      </rPr>
      <t xml:space="preserve">，核閱、未查核）：營收 </t>
    </r>
    <r>
      <rPr>
        <sz val="10"/>
        <rFont val="Arial"/>
        <family val="0"/>
        <charset val="1"/>
      </rPr>
      <t xml:space="preserve">28.839</t>
    </r>
    <r>
      <rPr>
        <sz val="10"/>
        <rFont val="WenQuanYi Zen Hei"/>
        <family val="2"/>
      </rPr>
      <t xml:space="preserve">（雲端 </t>
    </r>
    <r>
      <rPr>
        <sz val="10"/>
        <rFont val="Arial"/>
        <family val="0"/>
        <charset val="1"/>
      </rPr>
      <t xml:space="preserve">23.806 </t>
    </r>
    <r>
      <rPr>
        <sz val="10"/>
        <rFont val="WenQuanYi Zen Hei"/>
        <family val="2"/>
      </rPr>
      <t xml:space="preserve">含終止費 </t>
    </r>
    <r>
      <rPr>
        <sz val="10"/>
        <rFont val="Arial"/>
        <family val="0"/>
        <charset val="1"/>
      </rPr>
      <t xml:space="preserve">12.3</t>
    </r>
    <r>
      <rPr>
        <sz val="10"/>
        <rFont val="WenQuanYi Zen Hei"/>
        <family val="2"/>
      </rPr>
      <t xml:space="preserve">、託管 </t>
    </r>
    <r>
      <rPr>
        <sz val="10"/>
        <rFont val="Arial"/>
        <family val="0"/>
        <charset val="1"/>
      </rPr>
      <t xml:space="preserve">4.726</t>
    </r>
    <r>
      <rPr>
        <sz val="10"/>
        <rFont val="WenQuanYi Zen Hei"/>
        <family val="2"/>
      </rPr>
      <t xml:space="preserve">、其他 </t>
    </r>
    <r>
      <rPr>
        <sz val="10"/>
        <rFont val="Arial"/>
        <family val="0"/>
        <charset val="1"/>
      </rPr>
      <t xml:space="preserve">0.307</t>
    </r>
    <r>
      <rPr>
        <sz val="10"/>
        <rFont val="WenQuanYi Zen Hei"/>
        <family val="2"/>
      </rPr>
      <t xml:space="preserve">）；毛利（不含 </t>
    </r>
    <r>
      <rPr>
        <sz val="10"/>
        <rFont val="Arial"/>
        <family val="0"/>
        <charset val="1"/>
      </rPr>
      <t xml:space="preserve">D&amp;A</t>
    </r>
    <r>
      <rPr>
        <sz val="10"/>
        <rFont val="WenQuanYi Zen Hei"/>
        <family val="2"/>
      </rPr>
      <t xml:space="preserve">）</t>
    </r>
    <r>
      <rPr>
        <sz val="10"/>
        <rFont val="Arial"/>
        <family val="0"/>
        <charset val="1"/>
      </rPr>
      <t xml:space="preserve">17.129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D&amp;A 6.567</t>
    </r>
    <r>
      <rPr>
        <sz val="10"/>
        <rFont val="WenQuanYi Zen Hei"/>
        <family val="2"/>
      </rPr>
      <t xml:space="preserve">；減損 </t>
    </r>
    <r>
      <rPr>
        <sz val="10"/>
        <rFont val="Arial"/>
        <family val="0"/>
        <charset val="1"/>
      </rPr>
      <t xml:space="preserve">5.006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G&amp;A 14.811</t>
    </r>
    <r>
      <rPr>
        <sz val="10"/>
        <rFont val="WenQuanYi Zen Hei"/>
        <family val="2"/>
      </rPr>
      <t xml:space="preserve">；利息 </t>
    </r>
    <r>
      <rPr>
        <sz val="10"/>
        <rFont val="Arial"/>
        <family val="0"/>
        <charset val="1"/>
      </rPr>
      <t xml:space="preserve">6.016</t>
    </r>
    <r>
      <rPr>
        <sz val="10"/>
        <rFont val="WenQuanYi Zen Hei"/>
        <family val="2"/>
      </rPr>
      <t xml:space="preserve">；淨損 </t>
    </r>
    <r>
      <rPr>
        <sz val="10"/>
        <rFont val="Arial"/>
        <family val="0"/>
        <charset val="1"/>
      </rPr>
      <t xml:space="preserve">14.976</t>
    </r>
    <r>
      <rPr>
        <sz val="10"/>
        <rFont val="WenQuanYi Zen Hei"/>
        <family val="2"/>
      </rPr>
      <t xml:space="preserve">；調整後 </t>
    </r>
    <r>
      <rPr>
        <sz val="10"/>
        <rFont val="Arial"/>
        <family val="0"/>
        <charset val="1"/>
      </rPr>
      <t xml:space="preserve">EBITDA 5.535</t>
    </r>
    <r>
      <rPr>
        <sz val="10"/>
        <rFont val="WenQuanYi Zen Hei"/>
        <family val="2"/>
      </rPr>
      <t xml:space="preserve">（扣一次性約 −</t>
    </r>
    <r>
      <rPr>
        <sz val="10"/>
        <rFont val="Arial"/>
        <family val="0"/>
        <charset val="1"/>
      </rPr>
      <t xml:space="preserve">0.565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</si>
  <si>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WenQuanYi Zen Hei"/>
        <family val="2"/>
      </rPr>
      <t xml:space="preserve">）：現金 </t>
    </r>
    <r>
      <rPr>
        <sz val="10"/>
        <rFont val="Arial"/>
        <family val="0"/>
        <charset val="1"/>
      </rPr>
      <t xml:space="preserve">56.056</t>
    </r>
    <r>
      <rPr>
        <sz val="10"/>
        <rFont val="WenQuanYi Zen Hei"/>
        <family val="2"/>
      </rPr>
      <t xml:space="preserve">、受限 </t>
    </r>
    <r>
      <rPr>
        <sz val="10"/>
        <rFont val="Arial"/>
        <family val="0"/>
        <charset val="1"/>
      </rPr>
      <t xml:space="preserve">4.313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WenQuanYi Zen Hei"/>
        <family val="2"/>
      </rPr>
      <t xml:space="preserve">淨額 </t>
    </r>
    <r>
      <rPr>
        <sz val="10"/>
        <rFont val="Arial"/>
        <family val="0"/>
        <charset val="1"/>
      </rPr>
      <t xml:space="preserve">651.085</t>
    </r>
    <r>
      <rPr>
        <sz val="10"/>
        <rFont val="WenQuanYi Zen Hei"/>
        <family val="2"/>
      </rPr>
      <t xml:space="preserve">（在建 </t>
    </r>
    <r>
      <rPr>
        <sz val="10"/>
        <rFont val="Arial"/>
        <family val="0"/>
        <charset val="1"/>
      </rPr>
      <t xml:space="preserve">484.6</t>
    </r>
    <r>
      <rPr>
        <sz val="10"/>
        <rFont val="WenQuanYi Zen Hei"/>
        <family val="2"/>
      </rPr>
      <t xml:space="preserve">）；遞延營收 </t>
    </r>
    <r>
      <rPr>
        <sz val="10"/>
        <rFont val="Arial"/>
        <family val="0"/>
        <charset val="1"/>
      </rPr>
      <t xml:space="preserve">143.110</t>
    </r>
    <r>
      <rPr>
        <sz val="10"/>
        <rFont val="WenQuanYi Zen Hei"/>
        <family val="2"/>
      </rPr>
      <t xml:space="preserve">；定期借款本金 </t>
    </r>
    <r>
      <rPr>
        <sz val="10"/>
        <rFont val="Arial"/>
        <family val="0"/>
        <charset val="1"/>
      </rPr>
      <t xml:space="preserve">85.339</t>
    </r>
    <r>
      <rPr>
        <sz val="10"/>
        <rFont val="WenQuanYi Zen Hei"/>
        <family val="2"/>
      </rPr>
      <t xml:space="preserve">＋</t>
    </r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230</t>
    </r>
    <r>
      <rPr>
        <sz val="10"/>
        <rFont val="WenQuanYi Zen Hei"/>
        <family val="2"/>
      </rPr>
      <t xml:space="preserve">；營業租賃負債 </t>
    </r>
    <r>
      <rPr>
        <sz val="10"/>
        <rFont val="Arial"/>
        <family val="0"/>
        <charset val="1"/>
      </rPr>
      <t xml:space="preserve">15.376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RPO 1,008.0</t>
    </r>
    <r>
      <rPr>
        <sz val="10"/>
        <rFont val="WenQuanYi Zen Hei"/>
        <family val="2"/>
      </rPr>
      <t xml:space="preserve">（託管 </t>
    </r>
    <r>
      <rPr>
        <sz val="10"/>
        <rFont val="Arial"/>
        <family val="0"/>
        <charset val="1"/>
      </rPr>
      <t xml:space="preserve">932.9</t>
    </r>
    <r>
      <rPr>
        <sz val="10"/>
        <rFont val="WenQuanYi Zen Hei"/>
        <family val="2"/>
      </rPr>
      <t xml:space="preserve">、雲端 </t>
    </r>
    <r>
      <rPr>
        <sz val="10"/>
        <rFont val="Arial"/>
        <family val="0"/>
        <charset val="1"/>
      </rPr>
      <t xml:space="preserve">75.1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</si>
  <si>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現金流（</t>
    </r>
    <r>
      <rPr>
        <sz val="10"/>
        <rFont val="Arial"/>
        <family val="0"/>
        <charset val="1"/>
      </rPr>
      <t xml:space="preserve">1H26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CFO 89.105</t>
    </r>
    <r>
      <rPr>
        <sz val="10"/>
        <rFont val="WenQuanYi Zen Hei"/>
        <family val="2"/>
      </rPr>
      <t xml:space="preserve">（客戶預付 </t>
    </r>
    <r>
      <rPr>
        <sz val="10"/>
        <rFont val="Arial"/>
        <family val="0"/>
        <charset val="1"/>
      </rPr>
      <t xml:space="preserve">72.6</t>
    </r>
    <r>
      <rPr>
        <sz val="10"/>
        <rFont val="WenQuanYi Zen Hei"/>
        <family val="2"/>
      </rPr>
      <t xml:space="preserve">）；資本支出 </t>
    </r>
    <r>
      <rPr>
        <sz val="10"/>
        <rFont val="Arial"/>
        <family val="0"/>
        <charset val="1"/>
      </rPr>
      <t xml:space="preserve">344.712</t>
    </r>
    <r>
      <rPr>
        <sz val="10"/>
        <rFont val="WenQuanYi Zen Hei"/>
        <family val="2"/>
      </rPr>
      <t xml:space="preserve">；出售 </t>
    </r>
    <r>
      <rPr>
        <sz val="10"/>
        <rFont val="Arial"/>
        <family val="0"/>
        <charset val="1"/>
      </rPr>
      <t xml:space="preserve">H200 26.1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可轉債淨額 </t>
    </r>
    <r>
      <rPr>
        <sz val="10"/>
        <rFont val="Arial"/>
        <family val="0"/>
        <charset val="1"/>
      </rPr>
      <t xml:space="preserve">222.1</t>
    </r>
    <r>
      <rPr>
        <sz val="10"/>
        <rFont val="WenQuanYi Zen Hei"/>
        <family val="2"/>
      </rPr>
      <t xml:space="preserve">、零履約價買權 −</t>
    </r>
    <r>
      <rPr>
        <sz val="10"/>
        <rFont val="Arial"/>
        <family val="0"/>
        <charset val="1"/>
      </rPr>
      <t xml:space="preserve">120.0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</si>
  <si>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期後 </t>
    </r>
    <r>
      <rPr>
        <sz val="10"/>
        <rFont val="Arial"/>
        <family val="0"/>
        <charset val="1"/>
      </rPr>
      <t xml:space="preserve">8-K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2032 </t>
    </r>
    <r>
      <rPr>
        <sz val="10"/>
        <rFont val="WenQuanYi Zen Hei"/>
        <family val="2"/>
      </rPr>
      <t xml:space="preserve">可轉債 </t>
    </r>
    <r>
      <rPr>
        <sz val="10"/>
        <rFont val="Arial"/>
        <family val="0"/>
        <charset val="1"/>
      </rPr>
      <t xml:space="preserve">310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5.00%</t>
    </r>
    <r>
      <rPr>
        <sz val="10"/>
        <rFont val="WenQuanYi Zen Hei"/>
        <family val="2"/>
      </rPr>
      <t xml:space="preserve">、轉換價 </t>
    </r>
    <r>
      <rPr>
        <sz val="10"/>
        <rFont val="Arial"/>
        <family val="0"/>
        <charset val="1"/>
      </rPr>
      <t xml:space="preserve">33.84</t>
    </r>
    <r>
      <rPr>
        <sz val="10"/>
        <rFont val="WenQuanYi Zen Hei"/>
        <family val="2"/>
      </rPr>
      <t xml:space="preserve">、淨收入 </t>
    </r>
    <r>
      <rPr>
        <sz val="10"/>
        <rFont val="Arial"/>
        <family val="0"/>
        <charset val="1"/>
      </rPr>
      <t xml:space="preserve">298.5</t>
    </r>
    <r>
      <rPr>
        <sz val="10"/>
        <rFont val="WenQuanYi Zen Hei"/>
        <family val="2"/>
      </rPr>
      <t xml:space="preserve">）與 </t>
    </r>
    <r>
      <rPr>
        <sz val="10"/>
        <rFont val="Arial"/>
        <family val="0"/>
        <charset val="1"/>
      </rPr>
      <t xml:space="preserve">2031 </t>
    </r>
    <r>
      <rPr>
        <sz val="10"/>
        <rFont val="WenQuanYi Zen Hei"/>
        <family val="2"/>
      </rPr>
      <t xml:space="preserve">交換（現金約 </t>
    </r>
    <r>
      <rPr>
        <sz val="10"/>
        <rFont val="Arial"/>
        <family val="0"/>
        <charset val="1"/>
      </rPr>
      <t xml:space="preserve">118.5</t>
    </r>
    <r>
      <rPr>
        <sz val="10"/>
        <rFont val="WenQuanYi Zen Hei"/>
        <family val="2"/>
      </rPr>
      <t xml:space="preserve">＋約 </t>
    </r>
    <r>
      <rPr>
        <sz val="10"/>
        <rFont val="Arial"/>
        <family val="0"/>
        <charset val="1"/>
      </rPr>
      <t xml:space="preserve">6.3M </t>
    </r>
    <r>
      <rPr>
        <sz val="10"/>
        <rFont val="WenQuanYi Zen Hei"/>
        <family val="2"/>
      </rPr>
      <t xml:space="preserve">股換 </t>
    </r>
    <r>
      <rPr>
        <sz val="10"/>
        <rFont val="Arial"/>
        <family val="0"/>
        <charset val="1"/>
      </rPr>
      <t xml:space="preserve">198.15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DDTL </t>
    </r>
    <r>
      <rPr>
        <sz val="10"/>
        <rFont val="WenQuanYi Zen Hei"/>
        <family val="2"/>
      </rPr>
      <t xml:space="preserve">追加 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RBC </t>
    </r>
    <r>
      <rPr>
        <sz val="10"/>
        <rFont val="WenQuanYi Zen Hei"/>
        <family val="2"/>
      </rPr>
      <t xml:space="preserve">聯貸 </t>
    </r>
    <r>
      <rPr>
        <sz val="10"/>
        <rFont val="Arial"/>
        <family val="0"/>
        <charset val="1"/>
      </rPr>
      <t xml:space="preserve">CAD 36.8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NC-2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3 </t>
    </r>
    <r>
      <rPr>
        <sz val="10"/>
        <rFont val="WenQuanYi Zen Hei"/>
        <family val="2"/>
      </rPr>
      <t xml:space="preserve">買賣協議 </t>
    </r>
    <r>
      <rPr>
        <sz val="10"/>
        <rFont val="Arial"/>
        <family val="0"/>
        <charset val="1"/>
      </rPr>
      <t xml:space="preserve">60.0</t>
    </r>
    <r>
      <rPr>
        <sz val="10"/>
        <rFont val="WenQuanYi Zen Hei"/>
        <family val="2"/>
      </rPr>
      <t xml:space="preserve">。</t>
    </r>
  </si>
  <si>
    <r>
      <rPr>
        <sz val="10"/>
        <rFont val="Arial"/>
        <family val="0"/>
        <charset val="1"/>
      </rPr>
      <t xml:space="preserve">FY2025 10-K</t>
    </r>
    <r>
      <rPr>
        <sz val="10"/>
        <rFont val="WenQuanYi Zen Hei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79.164</t>
    </r>
    <r>
      <rPr>
        <sz val="10"/>
        <rFont val="WenQuanYi Zen Hei"/>
        <family val="2"/>
      </rPr>
      <t xml:space="preserve">（雲端 </t>
    </r>
    <r>
      <rPr>
        <sz val="10"/>
        <rFont val="Arial"/>
        <family val="0"/>
        <charset val="1"/>
      </rPr>
      <t xml:space="preserve">68.754</t>
    </r>
    <r>
      <rPr>
        <sz val="10"/>
        <rFont val="WenQuanYi Zen Hei"/>
        <family val="2"/>
      </rPr>
      <t xml:space="preserve">、託管 </t>
    </r>
    <r>
      <rPr>
        <sz val="10"/>
        <rFont val="Arial"/>
        <family val="0"/>
        <charset val="1"/>
      </rPr>
      <t xml:space="preserve">8.914</t>
    </r>
    <r>
      <rPr>
        <sz val="10"/>
        <rFont val="WenQuanYi Zen Hei"/>
        <family val="2"/>
      </rPr>
      <t xml:space="preserve">、其他 </t>
    </r>
    <r>
      <rPr>
        <sz val="10"/>
        <rFont val="Arial"/>
        <family val="0"/>
        <charset val="1"/>
      </rPr>
      <t xml:space="preserve">1.497</t>
    </r>
    <r>
      <rPr>
        <sz val="10"/>
        <rFont val="WenQuanYi Zen Hei"/>
        <family val="2"/>
      </rPr>
      <t xml:space="preserve">）；淨損 </t>
    </r>
    <r>
      <rPr>
        <sz val="10"/>
        <rFont val="Arial"/>
        <family val="0"/>
        <charset val="1"/>
      </rPr>
      <t xml:space="preserve">24.683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CFO 45.655</t>
    </r>
    <r>
      <rPr>
        <sz val="10"/>
        <rFont val="WenQuanYi Zen Hei"/>
        <family val="2"/>
      </rPr>
      <t xml:space="preserve">；資本支出 </t>
    </r>
    <r>
      <rPr>
        <sz val="10"/>
        <rFont val="Arial"/>
        <family val="0"/>
        <charset val="1"/>
      </rPr>
      <t xml:space="preserve">268.403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</si>
  <si>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合約：</t>
    </r>
    <r>
      <rPr>
        <sz val="10"/>
        <rFont val="Arial"/>
        <family val="0"/>
        <charset val="1"/>
      </rPr>
      <t xml:space="preserve">Nscale NC-1 865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年／</t>
    </r>
    <r>
      <rPr>
        <sz val="10"/>
        <rFont val="Arial"/>
        <family val="0"/>
        <charset val="1"/>
      </rPr>
      <t xml:space="preserve">40 MW-IT</t>
    </r>
    <r>
      <rPr>
        <sz val="10"/>
        <rFont val="WenQuanYi Zen Hei"/>
        <family val="2"/>
      </rPr>
      <t xml:space="preserve">／年調 </t>
    </r>
    <r>
      <rPr>
        <sz val="10"/>
        <rFont val="Arial"/>
        <family val="0"/>
        <charset val="1"/>
      </rPr>
      <t xml:space="preserve">3%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Cerebras MTL-3 5 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Baseten 165.2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1,392 </t>
    </r>
    <r>
      <rPr>
        <sz val="10"/>
        <rFont val="WenQuanYi Zen Hei"/>
        <family val="2"/>
      </rPr>
      <t xml:space="preserve">顆 </t>
    </r>
    <r>
      <rPr>
        <sz val="10"/>
        <rFont val="Arial"/>
        <family val="0"/>
        <charset val="1"/>
      </rPr>
      <t xml:space="preserve">B300</t>
    </r>
    <r>
      <rPr>
        <sz val="10"/>
        <rFont val="WenQuanYi Zen Hei"/>
        <family val="2"/>
      </rPr>
      <t xml:space="preserve">）、</t>
    </r>
    <r>
      <rPr>
        <sz val="10"/>
        <rFont val="Arial"/>
        <family val="0"/>
        <charset val="1"/>
      </rPr>
      <t xml:space="preserve">Prime Intellect 108.2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576 </t>
    </r>
    <r>
      <rPr>
        <sz val="10"/>
        <rFont val="WenQuanYi Zen Hei"/>
        <family val="2"/>
      </rPr>
      <t xml:space="preserve">顆 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）、冰島 </t>
    </r>
    <r>
      <rPr>
        <sz val="10"/>
        <rFont val="Arial"/>
        <family val="0"/>
        <charset val="1"/>
      </rPr>
      <t xml:space="preserve">B300 87.5</t>
    </r>
    <r>
      <rPr>
        <sz val="10"/>
        <rFont val="WenQuanYi Zen Hei"/>
        <family val="2"/>
      </rPr>
      <t xml:space="preserve">、巴黎 </t>
    </r>
    <r>
      <rPr>
        <sz val="10"/>
        <rFont val="Arial"/>
        <family val="0"/>
        <charset val="1"/>
      </rPr>
      <t xml:space="preserve">&gt;160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數未揭露）。</t>
    </r>
  </si>
  <si>
    <t xml:space="preserve">Derived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</si>
  <si>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年收入（</t>
    </r>
    <r>
      <rPr>
        <sz val="10"/>
        <rFont val="Arial"/>
        <family val="0"/>
        <charset val="1"/>
      </rPr>
      <t xml:space="preserve">Tokenomics v19.0 </t>
    </r>
    <r>
      <rPr>
        <sz val="10"/>
        <rFont val="WenQuanYi Zen Hei"/>
        <family val="2"/>
      </rPr>
      <t xml:space="preserve">快照 </t>
    </r>
    <r>
      <rPr>
        <sz val="10"/>
        <rFont val="Arial"/>
        <family val="0"/>
        <charset val="1"/>
      </rPr>
      <t xml:space="preserve">× </t>
    </r>
    <r>
      <rPr>
        <sz val="10"/>
        <rFont val="WenQuanYi Zen Hei"/>
        <family val="2"/>
      </rPr>
      <t xml:space="preserve">定價倍數 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）：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在役世代占比 </t>
    </r>
    <r>
      <rPr>
        <sz val="10"/>
        <rFont val="Arial"/>
        <family val="0"/>
        <charset val="1"/>
      </rPr>
      <t xml:space="preserve">× IF_HoldEcon × k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k</t>
    </r>
    <r>
      <rPr>
        <sz val="10"/>
        <rFont val="WenQuanYi Zen Hei"/>
        <family val="2"/>
      </rPr>
      <t xml:space="preserve">＝證據價格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同世代持有成本（</t>
    </r>
    <r>
      <rPr>
        <sz val="10"/>
        <rFont val="Arial"/>
        <family val="0"/>
        <charset val="1"/>
      </rPr>
      <t xml:space="preserve">IREN–Microsoft GB300 </t>
    </r>
    <r>
      <rPr>
        <sz val="10"/>
        <rFont val="WenQuanYi Zen Hei"/>
        <family val="2"/>
      </rPr>
      <t xml:space="preserve">五年約 </t>
    </r>
    <r>
      <rPr>
        <sz val="10"/>
        <rFont val="Arial"/>
        <family val="0"/>
        <charset val="1"/>
      </rPr>
      <t xml:space="preserve">9.70 → k_</t>
    </r>
    <r>
      <rPr>
        <sz val="10"/>
        <rFont val="WenQuanYi Zen Hei"/>
        <family val="2"/>
      </rPr>
      <t xml:space="preserve">長約 </t>
    </r>
    <r>
      <rPr>
        <sz val="10"/>
        <rFont val="Arial"/>
        <family val="0"/>
        <charset val="1"/>
      </rPr>
      <t xml:space="preserve">0.891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H100 </t>
    </r>
    <r>
      <rPr>
        <sz val="10"/>
        <rFont val="WenQuanYi Zen Hei"/>
        <family val="2"/>
      </rPr>
      <t xml:space="preserve">現貨指數 → </t>
    </r>
    <r>
      <rPr>
        <sz val="10"/>
        <rFont val="Arial"/>
        <family val="0"/>
        <charset val="1"/>
      </rPr>
      <t xml:space="preserve">k_</t>
    </r>
    <r>
      <rPr>
        <sz val="10"/>
        <rFont val="WenQuanYi Zen Hei"/>
        <family val="2"/>
      </rPr>
      <t xml:space="preserve">現貨 </t>
    </r>
    <r>
      <rPr>
        <sz val="10"/>
        <rFont val="Arial"/>
        <family val="0"/>
        <charset val="1"/>
      </rPr>
      <t xml:space="preserve">1.83</t>
    </r>
    <r>
      <rPr>
        <sz val="10"/>
        <rFont val="WenQuanYi Zen Hei"/>
        <family val="2"/>
      </rPr>
      <t xml:space="preserve">）；每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建置成本 </t>
    </r>
    <r>
      <rPr>
        <sz val="10"/>
        <rFont val="Arial"/>
        <family val="0"/>
        <charset val="1"/>
      </rPr>
      <t xml:space="preserve">Σ </t>
    </r>
    <r>
      <rPr>
        <sz val="10"/>
        <rFont val="WenQuanYi Zen Hei"/>
        <family val="2"/>
      </rPr>
      <t xml:space="preserve">新增世代占比 </t>
    </r>
    <r>
      <rPr>
        <sz val="10"/>
        <rFont val="Arial"/>
        <family val="0"/>
        <charset val="1"/>
      </rPr>
      <t xml:space="preserve">× IF_CapexIT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v19.0 GB300 32.24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VR200 37.59</t>
    </r>
    <r>
      <rPr>
        <sz val="10"/>
        <rFont val="WenQuanYi Zen Hei"/>
        <family val="2"/>
      </rPr>
      <t xml:space="preserve">）。</t>
    </r>
    <r>
      <rPr>
        <sz val="10"/>
        <rFont val="Arial"/>
        <family val="0"/>
        <charset val="1"/>
      </rPr>
      <t xml:space="preserve">WhiteFiber </t>
    </r>
    <r>
      <rPr>
        <sz val="10"/>
        <rFont val="WenQuanYi Zen Hei"/>
        <family val="2"/>
      </rPr>
      <t xml:space="preserve">合約隱含單價只作對照與敏感度。</t>
    </r>
  </si>
  <si>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16.83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Yahoo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Benzinga</t>
    </r>
    <r>
      <rPr>
        <sz val="10"/>
        <rFont val="WenQuanYi Zen Hei"/>
        <family val="2"/>
      </rPr>
      <t xml:space="preserve">）；市值 </t>
    </r>
    <r>
      <rPr>
        <sz val="10"/>
        <rFont val="Arial"/>
        <family val="0"/>
        <charset val="1"/>
      </rPr>
      <t xml:space="preserve">759.4</t>
    </r>
    <r>
      <rPr>
        <sz val="10"/>
        <rFont val="WenQuanYi Zen Hei"/>
        <family val="2"/>
      </rPr>
      <t xml:space="preserve">（交換後 </t>
    </r>
    <r>
      <rPr>
        <sz val="10"/>
        <rFont val="Arial"/>
        <family val="0"/>
        <charset val="1"/>
      </rPr>
      <t xml:space="preserve">45.12M </t>
    </r>
    <r>
      <rPr>
        <sz val="10"/>
        <rFont val="WenQuanYi Zen Hei"/>
        <family val="2"/>
      </rPr>
      <t xml:space="preserve">股，</t>
    </r>
    <r>
      <rPr>
        <sz val="10"/>
        <rFont val="Arial"/>
        <family val="0"/>
        <charset val="1"/>
      </rPr>
      <t xml:space="preserve">[Derived]</t>
    </r>
    <r>
      <rPr>
        <sz val="10"/>
        <rFont val="WenQuanYi Zen Hei"/>
        <family val="2"/>
      </rPr>
      <t xml:space="preserve">）。</t>
    </r>
  </si>
  <si>
    <r>
      <rPr>
        <sz val="10"/>
        <rFont val="WenQuanYi Zen Hei"/>
        <family val="2"/>
      </rPr>
      <t xml:space="preserve">市值（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CRWV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NBIS</t>
    </r>
    <r>
      <rPr>
        <sz val="10"/>
        <rFont val="WenQuanYi Zen Hei"/>
        <family val="2"/>
      </rPr>
      <t xml:space="preserve">）；</t>
    </r>
    <r>
      <rPr>
        <sz val="10"/>
        <rFont val="Arial"/>
        <family val="0"/>
        <charset val="1"/>
      </rPr>
      <t xml:space="preserve">APLD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</t>
    </r>
    <r>
      <rPr>
        <sz val="10"/>
        <rFont val="WenQuanYi Zen Hei"/>
        <family val="2"/>
      </rPr>
      <t xml:space="preserve">為 </t>
    </r>
    <r>
      <rPr>
        <sz val="10"/>
        <rFont val="Arial"/>
        <family val="0"/>
        <charset val="1"/>
      </rPr>
      <t xml:space="preserve">v0.1a </t>
    </r>
    <r>
      <rPr>
        <sz val="10"/>
        <rFont val="WenQuanYi Zen Hei"/>
        <family val="2"/>
      </rPr>
      <t xml:space="preserve">市值與 </t>
    </r>
    <r>
      <rPr>
        <sz val="10"/>
        <rFont val="Arial"/>
        <family val="0"/>
        <charset val="1"/>
      </rPr>
      <t xml:space="preserve">EV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</t>
    </r>
    <r>
      <rPr>
        <sz val="10"/>
        <rFont val="WenQuanYi Zen Hei"/>
        <family val="2"/>
      </rPr>
      <t xml:space="preserve">未更新）：</t>
    </r>
    <r>
      <rPr>
        <sz val="10"/>
        <rFont val="Arial"/>
        <family val="0"/>
        <charset val="1"/>
      </rPr>
      <t xml:space="preserve">WYFI </t>
    </r>
    <r>
      <rPr>
        <sz val="10"/>
        <rFont val="WenQuanYi Zen Hei"/>
        <family val="2"/>
      </rPr>
      <t xml:space="preserve">現價 </t>
    </r>
    <r>
      <rPr>
        <sz val="10"/>
        <rFont val="Arial"/>
        <family val="0"/>
        <charset val="1"/>
      </rPr>
      <t xml:space="preserve">$16.83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WenQuanYi Zen Hei"/>
        <family val="2"/>
      </rPr>
      <t xml:space="preserve">收盤）、市值 </t>
    </r>
    <r>
      <rPr>
        <sz val="10"/>
        <rFont val="Arial"/>
        <family val="0"/>
        <charset val="1"/>
      </rPr>
      <t xml:space="preserve">759.4m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2026-10-07</t>
    </r>
    <r>
      <rPr>
        <sz val="10"/>
        <rFont val="WenQuanYi Zen Hei"/>
        <family val="2"/>
      </rPr>
      <t xml:space="preserve">）、流通 </t>
    </r>
    <r>
      <rPr>
        <sz val="10"/>
        <rFont val="Arial"/>
        <family val="0"/>
        <charset val="1"/>
      </rPr>
      <t xml:space="preserve">38.84m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CRWV 49,110.0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NBIS 68,490.0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IREN 18,610.0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APLD 6,940.0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CORZ 5,750.0</t>
    </r>
    <r>
      <rPr>
        <sz val="10"/>
        <rFont val="WenQuanYi Zen Hei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46,030.0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NBIS 2,150.0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IREN 1,700.0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APLD 7,870.0</t>
    </r>
    <r>
      <rPr>
        <sz val="10"/>
        <rFont val="WenQuanYi Zen Hei"/>
        <family val="2"/>
      </rPr>
      <t xml:space="preserve">、</t>
    </r>
    <r>
      <rPr>
        <sz val="10"/>
        <rFont val="Arial"/>
        <family val="0"/>
        <charset val="1"/>
      </rPr>
      <t xml:space="preserve">CORZ 3,680.0</t>
    </r>
    <r>
      <rPr>
        <sz val="10"/>
        <rFont val="WenQuanYi Zen Hei"/>
        <family val="2"/>
      </rPr>
      <t xml:space="preserve">。</t>
    </r>
  </si>
  <si>
    <r>
      <rPr>
        <sz val="10"/>
        <rFont val="WenQuanYi Zen Hei"/>
        <family val="2"/>
      </rPr>
      <t xml:space="preserve">賣方目標價（</t>
    </r>
    <r>
      <rPr>
        <sz val="10"/>
        <rFont val="Arial"/>
        <family val="0"/>
        <charset val="1"/>
      </rPr>
      <t xml:space="preserve">MarketBeat</t>
    </r>
    <r>
      <rPr>
        <sz val="10"/>
        <rFont val="WenQuanYi Zen Hei"/>
        <family val="2"/>
      </rPr>
      <t xml:space="preserve">（自行彙整），擷取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WenQuanYi Zen Hei"/>
        <family val="2"/>
      </rPr>
      <t xml:space="preserve">）：平均 </t>
    </r>
    <r>
      <rPr>
        <sz val="10"/>
        <rFont val="Arial"/>
        <family val="0"/>
        <charset val="1"/>
      </rPr>
      <t xml:space="preserve">$38.00</t>
    </r>
    <r>
      <rPr>
        <sz val="10"/>
        <rFont val="WenQuanYi Zen Hei"/>
        <family val="2"/>
      </rPr>
      <t xml:space="preserve">、區間 </t>
    </r>
    <r>
      <rPr>
        <sz val="10"/>
        <rFont val="Arial"/>
        <family val="0"/>
        <charset val="1"/>
      </rPr>
      <t xml:space="preserve">$32.00–$50.00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11 </t>
    </r>
    <r>
      <rPr>
        <sz val="10"/>
        <rFont val="WenQuanYi Zen Hei"/>
        <family val="2"/>
      </rPr>
      <t xml:space="preserve">家）；共識評等 </t>
    </r>
    <r>
      <rPr>
        <sz val="10"/>
        <rFont val="Arial"/>
        <family val="0"/>
        <charset val="1"/>
      </rPr>
      <t xml:space="preserve">Moderate Buy</t>
    </r>
    <r>
      <rPr>
        <sz val="10"/>
        <rFont val="WenQuanYi Zen Hei"/>
        <family val="2"/>
      </rPr>
      <t xml:space="preserve">。對照 </t>
    </r>
    <r>
      <rPr>
        <sz val="10"/>
        <rFont val="Arial"/>
        <family val="0"/>
        <charset val="1"/>
      </rPr>
      <t xml:space="preserve">Investing.com</t>
    </r>
    <r>
      <rPr>
        <sz val="10"/>
        <rFont val="WenQuanYi Zen Hei"/>
        <family val="2"/>
      </rPr>
      <t xml:space="preserve">：平均 </t>
    </r>
    <r>
      <rPr>
        <sz val="10"/>
        <rFont val="Arial"/>
        <family val="0"/>
        <charset val="1"/>
      </rPr>
      <t xml:space="preserve">$40.50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10 </t>
    </r>
    <r>
      <rPr>
        <sz val="10"/>
        <rFont val="WenQuanYi Zen Hei"/>
        <family val="2"/>
      </rPr>
      <t xml:space="preserve">家，</t>
    </r>
    <r>
      <rPr>
        <sz val="10"/>
        <rFont val="Arial"/>
        <family val="0"/>
        <charset val="1"/>
      </rPr>
      <t xml:space="preserve">Strong Buy</t>
    </r>
    <r>
      <rPr>
        <sz val="10"/>
        <rFont val="WenQuanYi Zen Hei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WenQuanYi Zen Hei"/>
        <family val="2"/>
      </rPr>
      <t xml:space="preserve">區。</t>
    </r>
  </si>
  <si>
    <t xml:space="preserve">方法</t>
  </si>
  <si>
    <r>
      <rPr>
        <sz val="10"/>
        <rFont val="WenQuanYi Zen Hei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WenQuanYi Zen Hei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</si>
  <si>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WenQuanYi Zen Hei"/>
        <family val="2"/>
      </rPr>
      <t xml:space="preserve">取數（算力相關的產業與物理層資料）</t>
    </r>
  </si>
  <si>
    <r>
      <rPr>
        <sz val="9"/>
        <color rgb="FF595959"/>
        <rFont val="WenQuanYi Zen Hei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20261022_Tokenomics_v19.0.xlsx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v19.0</t>
    </r>
    <r>
      <rPr>
        <sz val="9"/>
        <color rgb="FF595959"/>
        <rFont val="WenQuanYi Zen Hei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1916a06</t>
    </r>
    <r>
      <rPr>
        <sz val="9"/>
        <color rgb="FF595959"/>
        <rFont val="WenQuanYi Zen Hei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2026-10-22</t>
    </r>
    <r>
      <rPr>
        <sz val="9"/>
        <color rgb="FF595959"/>
        <rFont val="WenQuanYi Zen Hei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WenQuanYi Zen Hei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IFC_ </t>
    </r>
    <r>
      <rPr>
        <sz val="9"/>
        <color rgb="FF595959"/>
        <rFont val="WenQuanYi Zen Hei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WenQuanYi Zen Hei"/>
        <family val="2"/>
      </rPr>
      <t xml:space="preserve">名稱；模型主值取「基準」，低／高只作敏感度；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WenQuanYi Zen Hei"/>
        <family val="2"/>
      </rPr>
      <t xml:space="preserve">關鍵電力。</t>
    </r>
  </si>
  <si>
    <r>
      <rPr>
        <sz val="9"/>
        <color rgb="FF595959"/>
        <rFont val="WenQuanYi Zen Hei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WenQuanYi Zen Hei"/>
        <family val="2"/>
      </rPr>
      <t xml:space="preserve">收入錨定（</t>
    </r>
    <r>
      <rPr>
        <sz val="9"/>
        <color rgb="FF595959"/>
        <rFont val="Arial"/>
        <family val="0"/>
        <charset val="1"/>
      </rPr>
      <t xml:space="preserve">IF_HoldEcon</t>
    </r>
    <r>
      <rPr>
        <sz val="9"/>
        <color rgb="FF595959"/>
        <rFont val="WenQuanYi Zen Hei"/>
        <family val="2"/>
      </rPr>
      <t xml:space="preserve">）、建置成本（</t>
    </r>
    <r>
      <rPr>
        <sz val="9"/>
        <color rgb="FF595959"/>
        <rFont val="Arial"/>
        <family val="0"/>
        <charset val="1"/>
      </rPr>
      <t xml:space="preserve">IF_CapexIT</t>
    </r>
    <r>
      <rPr>
        <sz val="9"/>
        <color rgb="FF595959"/>
        <rFont val="WenQuanYi Zen Hei"/>
        <family val="2"/>
      </rPr>
      <t xml:space="preserve">）、汰換年限（</t>
    </r>
    <r>
      <rPr>
        <sz val="9"/>
        <color rgb="FF595959"/>
        <rFont val="Arial"/>
        <family val="0"/>
        <charset val="1"/>
      </rPr>
      <t xml:space="preserve">IF_DeprLifeIT</t>
    </r>
    <r>
      <rPr>
        <sz val="9"/>
        <color rgb="FF595959"/>
        <rFont val="WenQuanYi Zen Hei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WenQuanYi Zen Hei"/>
        <family val="2"/>
      </rPr>
      <t xml:space="preserve">數換算（</t>
    </r>
    <r>
      <rPr>
        <sz val="9"/>
        <color rgb="FF595959"/>
        <rFont val="Arial"/>
        <family val="0"/>
        <charset val="1"/>
      </rPr>
      <t xml:space="preserve">IF_GPUsPerGW</t>
    </r>
    <r>
      <rPr>
        <sz val="9"/>
        <color rgb="FF595959"/>
        <rFont val="WenQuanYi Zen Hei"/>
        <family val="2"/>
      </rPr>
      <t xml:space="preserve">）與上限檢查（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IFW_RevGWFleet_* </t>
    </r>
    <r>
      <rPr>
        <sz val="9"/>
        <color rgb="FF595959"/>
        <rFont val="WenQuanYi Zen Hei"/>
        <family val="2"/>
      </rPr>
      <t xml:space="preserve">四層）引用本分頁的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WenQuanYi Zen Hei"/>
        <family val="2"/>
      </rPr>
      <t xml:space="preserve">具名範圍；值為快照的藍字輸入格，更新方式見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WenQuanYi Zen Hei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WenQuanYi Zen Hei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WenQuanYi Zen Hei"/>
        <family val="2"/>
      </rPr>
      <t xml:space="preserve">取數」。</t>
    </r>
  </si>
  <si>
    <t xml:space="preserve">具名範圍（基準）</t>
  </si>
  <si>
    <t xml:space="preserve">名稱</t>
  </si>
  <si>
    <t xml:space="preserve">中文標籤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</si>
  <si>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</si>
  <si>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</si>
  <si>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WenQuanYi Zen Hei"/>
        <family val="2"/>
      </rPr>
      <t xml:space="preserve">位置</t>
    </r>
  </si>
  <si>
    <r>
      <rPr>
        <b val="true"/>
        <sz val="11"/>
        <color rgb="FFFFFFFF"/>
        <rFont val="WenQuanYi Zen Hei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</si>
  <si>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TK_RacksPerGW_H100</t>
  </si>
  <si>
    <t xml:space="preserve">IF_RacksPerGW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</si>
  <si>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機架數</t>
    </r>
  </si>
  <si>
    <t xml:space="preserve">架</t>
  </si>
  <si>
    <t xml:space="preserve">Hopper H100</t>
  </si>
  <si>
    <t xml:space="preserve">Interface!C6:E6</t>
  </si>
  <si>
    <t xml:space="preserve">v19.0 · 1916a06</t>
  </si>
  <si>
    <t xml:space="preserve">TK_RacksPerGW_GB200</t>
  </si>
  <si>
    <t xml:space="preserve">GB200 NVL72</t>
  </si>
  <si>
    <t xml:space="preserve">Interface!F6:H6</t>
  </si>
  <si>
    <t xml:space="preserve">TK_RacksPerGW_GB300</t>
  </si>
  <si>
    <t xml:space="preserve">GB300 NVL72</t>
  </si>
  <si>
    <t xml:space="preserve">Interface!I6:K6</t>
  </si>
  <si>
    <t xml:space="preserve">TK_RacksPerGW_VR200</t>
  </si>
  <si>
    <t xml:space="preserve">VR200 NVL72</t>
  </si>
  <si>
    <t xml:space="preserve">Interface!L6:N6</t>
  </si>
  <si>
    <t xml:space="preserve">TK_RacksPerGW_RU</t>
  </si>
  <si>
    <r>
      <rPr>
        <sz val="10"/>
        <rFont val="Arial"/>
        <family val="0"/>
        <charset val="1"/>
      </rPr>
      <t xml:space="preserve">Rubin Ultra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WenQuanYi Zen Hei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WenQuanYi Zen Hei"/>
        <family val="2"/>
      </rPr>
      <t xml:space="preserve">）</t>
    </r>
  </si>
  <si>
    <t xml:space="preserve">Interface!O6:Q6</t>
  </si>
  <si>
    <t xml:space="preserve">TK_GPUsPerGW_H100</t>
  </si>
  <si>
    <t xml:space="preserve">IF_GPUsPerGW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</si>
  <si>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WenQuanYi Zen Hei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</si>
  <si>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</si>
  <si>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</si>
  <si>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</si>
  <si>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</si>
  <si>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</si>
  <si>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</si>
  <si>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</si>
  <si>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</si>
  <si>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</si>
  <si>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</si>
  <si>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TK_FacilityGW_H100</t>
  </si>
  <si>
    <t xml:space="preserve">IF_FacilityGW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</si>
  <si>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WenQuanYi Zen Hei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</si>
  <si>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</si>
  <si>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</si>
  <si>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</si>
  <si>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</si>
  <si>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</si>
  <si>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</si>
  <si>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</si>
  <si>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</si>
  <si>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</si>
  <si>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</si>
  <si>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TK_CapexIT_H100</t>
  </si>
  <si>
    <t xml:space="preserve">IF_CapexIT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</si>
  <si>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</si>
  <si>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</si>
  <si>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</si>
  <si>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</si>
  <si>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</si>
  <si>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</si>
  <si>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</si>
  <si>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</si>
  <si>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</si>
  <si>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</si>
  <si>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</si>
  <si>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</si>
  <si>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</si>
  <si>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</si>
  <si>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</si>
  <si>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</si>
  <si>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</si>
  <si>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</si>
  <si>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</si>
  <si>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</si>
  <si>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</si>
  <si>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</si>
  <si>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</si>
  <si>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</si>
  <si>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</si>
  <si>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</si>
  <si>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</si>
  <si>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</si>
  <si>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</si>
  <si>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</si>
  <si>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</si>
  <si>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</si>
  <si>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</si>
  <si>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</si>
  <si>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</si>
  <si>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TK_HoldAcct_H100</t>
  </si>
  <si>
    <t xml:space="preserve">IF_HoldAcct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</si>
  <si>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會計口徑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</si>
  <si>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WenQuanYi Zen Hei"/>
        <family val="2"/>
      </rPr>
      <t xml:space="preserve">年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</si>
  <si>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</si>
  <si>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</si>
  <si>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</si>
  <si>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</si>
  <si>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</si>
  <si>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</si>
  <si>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</si>
  <si>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</si>
  <si>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</si>
  <si>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TK_HoldEcon_H100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</si>
  <si>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年持有成本 — 經濟口徑</t>
    </r>
  </si>
  <si>
    <t xml:space="preserve">Interface!C13:E13</t>
  </si>
  <si>
    <t xml:space="preserve">TK_HoldEcon_GB200</t>
  </si>
  <si>
    <t xml:space="preserve">Interface!F13:H13</t>
  </si>
  <si>
    <t xml:space="preserve">TK_HoldEcon_GB300</t>
  </si>
  <si>
    <t xml:space="preserve">Interface!I13:K13</t>
  </si>
  <si>
    <t xml:space="preserve">TK_HoldEcon_VR200</t>
  </si>
  <si>
    <t xml:space="preserve">Interface!L13:N13</t>
  </si>
  <si>
    <t xml:space="preserve">TK_HoldEcon_RU</t>
  </si>
  <si>
    <t xml:space="preserve">Interface!O13:Q13</t>
  </si>
  <si>
    <t xml:space="preserve">TK_GPUhrEcon_H100</t>
  </si>
  <si>
    <t xml:space="preserve">IF_GPUhrEcon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</si>
  <si>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</si>
  <si>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</si>
  <si>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</si>
  <si>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</si>
  <si>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</si>
  <si>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</si>
  <si>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</si>
  <si>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</si>
  <si>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</si>
  <si>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</si>
  <si>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</si>
  <si>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TK_PowerCost_H100</t>
  </si>
  <si>
    <t xml:space="preserve">IF_PowerCost</t>
  </si>
  <si>
    <r>
      <rPr>
        <sz val="10"/>
        <rFont val="WenQuanYi Zen Hei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</si>
  <si>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</si>
  <si>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</si>
  <si>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</si>
  <si>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</si>
  <si>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</si>
  <si>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</si>
  <si>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</si>
  <si>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</si>
  <si>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</si>
  <si>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TK_Util</t>
  </si>
  <si>
    <t xml:space="preserve">IF_Util</t>
  </si>
  <si>
    <r>
      <rPr>
        <sz val="10"/>
        <rFont val="WenQuanYi Zen Hei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WenQuanYi Zen Hei"/>
        <family val="2"/>
      </rPr>
      <t xml:space="preserve">層；下游可覆寫）</t>
    </r>
  </si>
  <si>
    <t xml:space="preserve">Interface!C48</t>
  </si>
  <si>
    <t xml:space="preserve">TK_FacCapexMW</t>
  </si>
  <si>
    <t xml:space="preserve">L1_FacCapexMW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</si>
  <si>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WenQuanYi Zen Hei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</si>
  <si>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</si>
  <si>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</si>
  <si>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TK_GPUhr_GB200_vsCW</t>
  </si>
  <si>
    <t xml:space="preserve">L1_GPUhr_GB200_vsCW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</si>
  <si>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）對 </t>
    </r>
    <r>
      <rPr>
        <sz val="10"/>
        <rFont val="Arial"/>
        <family val="0"/>
        <charset val="1"/>
      </rPr>
      <t xml:space="preserve">CoreWeave </t>
    </r>
    <r>
      <rPr>
        <sz val="10"/>
        <rFont val="WenQuanYi Zen Hei"/>
        <family val="2"/>
      </rPr>
      <t xml:space="preserve">隨需牌價</t>
    </r>
  </si>
  <si>
    <r>
      <rPr>
        <sz val="9"/>
        <color rgb="FF595959"/>
        <rFont val="Arial"/>
        <family val="0"/>
        <charset val="1"/>
      </rPr>
      <t xml:space="preserve">L1!D30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F30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</si>
  <si>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TK_GPUhr_GB300_vsBE</t>
  </si>
  <si>
    <t xml:space="preserve">L1_GPUhr_GB300_vsBE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</si>
  <si>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）對新雲損益兩平租金</t>
    </r>
  </si>
  <si>
    <r>
      <rPr>
        <sz val="9"/>
        <color rgb="FF595959"/>
        <rFont val="Arial"/>
        <family val="0"/>
        <charset val="1"/>
      </rPr>
      <t xml:space="preserve">L1!D31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E31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F31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</si>
  <si>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TK_RevGW_Fleet_VR200</t>
  </si>
  <si>
    <t xml:space="preserve">L1_RevGW_Fleet_VR200</t>
  </si>
  <si>
    <r>
      <rPr>
        <sz val="10"/>
        <rFont val="Arial"/>
        <family val="0"/>
        <charset val="1"/>
      </rPr>
      <t xml:space="preserve">1 GW </t>
    </r>
    <r>
      <rPr>
        <sz val="10"/>
        <rFont val="WenQuanYi Zen Hei"/>
        <family val="2"/>
      </rPr>
      <t xml:space="preserve">參考機隊付費營收（理想上限，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</si>
  <si>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</si>
  <si>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F29</t>
    </r>
    <r>
      <rPr>
        <sz val="9"/>
        <color rgb="FF595959"/>
        <rFont val="WenQuanYi Zen Hei"/>
        <family val="2"/>
      </rPr>
      <t xml:space="preserve">；利用率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Sens_Rev </t>
    </r>
    <r>
      <rPr>
        <sz val="9"/>
        <color rgb="FF595959"/>
        <rFont val="WenQuanYi Zen Hei"/>
        <family val="2"/>
      </rPr>
      <t xml:space="preserve">情境值；</t>
    </r>
    <r>
      <rPr>
        <sz val="9"/>
        <color rgb="FF595959"/>
        <rFont val="Arial"/>
        <family val="0"/>
        <charset val="1"/>
      </rPr>
      <t xml:space="preserve">J6 </t>
    </r>
    <r>
      <rPr>
        <sz val="9"/>
        <color rgb="FF595959"/>
        <rFont val="WenQuanYi Zen Hei"/>
        <family val="2"/>
      </rPr>
      <t xml:space="preserve">區間））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</si>
  <si>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</si>
  <si>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</si>
  <si>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WenQuanYi Zen Hei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</si>
  <si>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</si>
  <si>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</si>
  <si>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</si>
  <si>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</si>
  <si>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</si>
  <si>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</si>
  <si>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</si>
  <si>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</si>
  <si>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</si>
  <si>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</si>
  <si>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</si>
  <si>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</si>
  <si>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</si>
  <si>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</si>
  <si>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</si>
  <si>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</si>
  <si>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</si>
  <si>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</si>
  <si>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</si>
  <si>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</si>
  <si>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</si>
  <si>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</si>
  <si>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</si>
  <si>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</si>
  <si>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</si>
  <si>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</si>
  <si>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</si>
  <si>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</si>
  <si>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</si>
  <si>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</si>
  <si>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</si>
  <si>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</si>
  <si>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</si>
  <si>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TK_AvgDraw_H100</t>
  </si>
  <si>
    <t xml:space="preserve">IF_AvgDraw</t>
  </si>
  <si>
    <r>
      <rPr>
        <sz val="10"/>
        <rFont val="WenQuanYi Zen Hei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WenQuanYi Zen Hei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</si>
  <si>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</si>
  <si>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</si>
  <si>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</si>
  <si>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</si>
  <si>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</si>
  <si>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</si>
  <si>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</si>
  <si>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</si>
  <si>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</si>
  <si>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</si>
  <si>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</si>
  <si>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</si>
  <si>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</si>
  <si>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</si>
  <si>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</si>
  <si>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</si>
  <si>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</si>
  <si>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</si>
  <si>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</si>
  <si>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</si>
  <si>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</si>
  <si>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TK_MaintIT_H100</t>
  </si>
  <si>
    <t xml:space="preserve">IF_MaintIT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</si>
  <si>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WenQuanYi Zen Hei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</si>
  <si>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</si>
  <si>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</si>
  <si>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</si>
  <si>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</si>
  <si>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</si>
  <si>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</si>
  <si>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</si>
  <si>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</si>
  <si>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</si>
  <si>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</si>
  <si>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</si>
  <si>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</si>
  <si>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</si>
  <si>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</si>
  <si>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</si>
  <si>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</si>
  <si>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</si>
  <si>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</si>
  <si>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</si>
  <si>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</si>
  <si>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</si>
  <si>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</si>
  <si>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</si>
  <si>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</si>
  <si>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</si>
  <si>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</si>
  <si>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</si>
  <si>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</si>
  <si>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</si>
  <si>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</si>
  <si>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</si>
  <si>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</si>
  <si>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</si>
  <si>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</si>
  <si>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</si>
  <si>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</si>
  <si>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</si>
  <si>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</si>
  <si>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</si>
  <si>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</si>
  <si>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</si>
  <si>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</si>
  <si>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</si>
  <si>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</si>
  <si>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</si>
  <si>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TK_OpexGW_H100</t>
  </si>
  <si>
    <t xml:space="preserve">IF_OpexGW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</si>
  <si>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</si>
  <si>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</si>
  <si>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</si>
  <si>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</si>
  <si>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</si>
  <si>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</si>
  <si>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</si>
  <si>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</si>
  <si>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</si>
  <si>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</si>
  <si>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TK_RevGWFleet_H100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</si>
  <si>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</si>
  <si>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</si>
  <si>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</si>
  <si>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</si>
  <si>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</si>
  <si>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</si>
  <si>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</si>
  <si>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</si>
  <si>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</si>
  <si>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</si>
  <si>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TK_RevGWFleet_100_H100</t>
  </si>
  <si>
    <t xml:space="preserve">IFW_RevGWFleet_100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</si>
  <si>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WenQuanYi Zen Hei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WenQuanYi Zen Hei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</si>
  <si>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Interface!C248:E248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</si>
  <si>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TK_RevGWFleet_100_GB200</t>
  </si>
  <si>
    <r>
      <rPr>
        <sz val="9"/>
        <color rgb="FF595959"/>
        <rFont val="Arial"/>
        <family val="0"/>
        <charset val="1"/>
      </rPr>
      <t xml:space="preserve">Interface!F248:H248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</si>
  <si>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TK_RevGWFleet_100_GB300</t>
  </si>
  <si>
    <r>
      <rPr>
        <sz val="9"/>
        <color rgb="FF595959"/>
        <rFont val="Arial"/>
        <family val="0"/>
        <charset val="1"/>
      </rPr>
      <t xml:space="preserve">Interface!I248:K248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</si>
  <si>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TK_RevGWFleet_100_VR200</t>
  </si>
  <si>
    <r>
      <rPr>
        <sz val="9"/>
        <color rgb="FF595959"/>
        <rFont val="Arial"/>
        <family val="0"/>
        <charset val="1"/>
      </rPr>
      <t xml:space="preserve">Interface!L248:N248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</si>
  <si>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TK_RevGWFleet_100_RU</t>
  </si>
  <si>
    <r>
      <rPr>
        <sz val="9"/>
        <color rgb="FF595959"/>
        <rFont val="Arial"/>
        <family val="0"/>
        <charset val="1"/>
      </rPr>
      <t xml:space="preserve">Interface!O248:Q248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</si>
  <si>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TK_RevGWFleet_Util_H100</t>
  </si>
  <si>
    <t xml:space="preserve">IFW_RevGWFleet_Util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</si>
  <si>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WenQuanYi Zen Hei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WenQuanYi Zen Hei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WenQuanYi Zen Hei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WenQuanYi Zen Hei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WenQuanYi Zen Hei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WenQuanYi Zen Hei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WenQuanYi Zen Hei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WenQuanYi Zen Hei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WenQuanYi Zen Hei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</si>
  <si>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Interface!C249:E249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</si>
  <si>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TK_RevGWFleet_Util_GB200</t>
  </si>
  <si>
    <r>
      <rPr>
        <sz val="9"/>
        <color rgb="FF595959"/>
        <rFont val="Arial"/>
        <family val="0"/>
        <charset val="1"/>
      </rPr>
      <t xml:space="preserve">Interface!F249:H249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</si>
  <si>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TK_RevGWFleet_Util_GB300</t>
  </si>
  <si>
    <r>
      <rPr>
        <sz val="9"/>
        <color rgb="FF595959"/>
        <rFont val="Arial"/>
        <family val="0"/>
        <charset val="1"/>
      </rPr>
      <t xml:space="preserve">Interface!I249:K249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</si>
  <si>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TK_RevGWFleet_Util_VR200</t>
  </si>
  <si>
    <r>
      <rPr>
        <sz val="9"/>
        <color rgb="FF595959"/>
        <rFont val="Arial"/>
        <family val="0"/>
        <charset val="1"/>
      </rPr>
      <t xml:space="preserve">Interface!L249:N249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</si>
  <si>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TK_RevGWFleet_Util_RU</t>
  </si>
  <si>
    <r>
      <rPr>
        <sz val="9"/>
        <color rgb="FF595959"/>
        <rFont val="Arial"/>
        <family val="0"/>
        <charset val="1"/>
      </rPr>
      <t xml:space="preserve">Interface!O249:Q249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</si>
  <si>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TK_RevGWFleet_Prod_H100</t>
  </si>
  <si>
    <t xml:space="preserve">IFW_RevGWFleet_Prod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</si>
  <si>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WenQuanYi Zen Hei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WenQuanYi Zen Hei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WenQuanYi Zen Hei"/>
        <family val="2"/>
      </rPr>
      <t xml:space="preserve">後的值）</t>
    </r>
  </si>
  <si>
    <r>
      <rPr>
        <sz val="9"/>
        <color rgb="FF595959"/>
        <rFont val="Arial"/>
        <family val="0"/>
        <charset val="1"/>
      </rPr>
      <t xml:space="preserve">Interface!C250:E250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</si>
  <si>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TK_RevGWFleet_Prod_GB200</t>
  </si>
  <si>
    <r>
      <rPr>
        <sz val="9"/>
        <color rgb="FF595959"/>
        <rFont val="Arial"/>
        <family val="0"/>
        <charset val="1"/>
      </rPr>
      <t xml:space="preserve">Interface!F250:H250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</si>
  <si>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TK_RevGWFleet_Prod_GB300</t>
  </si>
  <si>
    <r>
      <rPr>
        <sz val="9"/>
        <color rgb="FF595959"/>
        <rFont val="Arial"/>
        <family val="0"/>
        <charset val="1"/>
      </rPr>
      <t xml:space="preserve">Interface!I250:K250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</si>
  <si>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TK_RevGWFleet_Prod_VR200</t>
  </si>
  <si>
    <r>
      <rPr>
        <sz val="9"/>
        <color rgb="FF595959"/>
        <rFont val="Arial"/>
        <family val="0"/>
        <charset val="1"/>
      </rPr>
      <t xml:space="preserve">Interface!L250:N250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</si>
  <si>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TK_RevGWFleet_Prod_RU</t>
  </si>
  <si>
    <r>
      <rPr>
        <sz val="9"/>
        <color rgb="FF595959"/>
        <rFont val="Arial"/>
        <family val="0"/>
        <charset val="1"/>
      </rPr>
      <t xml:space="preserve">Interface!O250:Q250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</si>
  <si>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TK_RevGWFleet_Life_H100</t>
  </si>
  <si>
    <t xml:space="preserve">IFW_RevGWFleet_Life</t>
  </si>
  <si>
    <r>
      <rPr>
        <sz val="10"/>
        <rFont val="WenQuanYi Zen Hei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WenQuanYi Zen Hei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WenQuanYi Zen Hei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WenQuanYi Zen Hei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WenQuanYi Zen Hei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WenQuanYi Zen Hei"/>
        <family val="2"/>
      </rPr>
      <t xml:space="preserve">不含折減，並列保留）</t>
    </r>
  </si>
  <si>
    <r>
      <rPr>
        <sz val="9"/>
        <color rgb="FF595959"/>
        <rFont val="Arial"/>
        <family val="0"/>
        <charset val="1"/>
      </rPr>
      <t xml:space="preserve">Interface!C251:E251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</si>
  <si>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TK_RevGWFleet_Life_GB200</t>
  </si>
  <si>
    <r>
      <rPr>
        <sz val="9"/>
        <color rgb="FF595959"/>
        <rFont val="Arial"/>
        <family val="0"/>
        <charset val="1"/>
      </rPr>
      <t xml:space="preserve">Interface!F251:H251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</si>
  <si>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TK_RevGWFleet_Life_GB300</t>
  </si>
  <si>
    <r>
      <rPr>
        <sz val="9"/>
        <color rgb="FF595959"/>
        <rFont val="Arial"/>
        <family val="0"/>
        <charset val="1"/>
      </rPr>
      <t xml:space="preserve">Interface!I251:K251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</si>
  <si>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TK_RevGWFleet_Life_VR200</t>
  </si>
  <si>
    <r>
      <rPr>
        <sz val="9"/>
        <color rgb="FF595959"/>
        <rFont val="Arial"/>
        <family val="0"/>
        <charset val="1"/>
      </rPr>
      <t xml:space="preserve">Interface!L251:N251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</si>
  <si>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TK_RevGWFleet_Life_RU</t>
  </si>
  <si>
    <r>
      <rPr>
        <sz val="9"/>
        <color rgb="FF595959"/>
        <rFont val="Arial"/>
        <family val="0"/>
        <charset val="1"/>
      </rPr>
      <t xml:space="preserve">Interface!O251:Q251</t>
    </r>
    <r>
      <rPr>
        <sz val="9"/>
        <color rgb="FF595959"/>
        <rFont val="WenQuanYi Zen Hei"/>
        <family val="2"/>
      </rPr>
      <t xml:space="preserve">｜用途（</t>
    </r>
    <r>
      <rPr>
        <sz val="9"/>
        <color rgb="FF595959"/>
        <rFont val="Arial"/>
        <family val="0"/>
        <charset val="1"/>
      </rPr>
      <t xml:space="preserve">IFC_Use</t>
    </r>
    <r>
      <rPr>
        <sz val="9"/>
        <color rgb="FF595959"/>
        <rFont val="WenQuanYi Zen Hei"/>
        <family val="2"/>
      </rPr>
      <t xml:space="preserve">）：情境、相對比較、反轉門檻；上限，不得作預測</t>
    </r>
  </si>
  <si>
    <t xml:space="preserve">TK_HoldEconMW_Hopper</t>
  </si>
  <si>
    <t xml:space="preserve">L1_HoldEconMW_Hopper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</si>
  <si>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</si>
  <si>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$M/MW/</t>
    </r>
    <r>
      <rPr>
        <sz val="9"/>
        <color rgb="FF595959"/>
        <rFont val="WenQuanYi Zen Hei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</si>
  <si>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L1!D54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E54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F54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</si>
  <si>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TK_HoldEconMW_GB200</t>
  </si>
  <si>
    <t xml:space="preserve">L1_HoldEconMW_GB200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</si>
  <si>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</si>
  <si>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L1!D55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F55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</si>
  <si>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TK_HoldEconMW_GB300</t>
  </si>
  <si>
    <t xml:space="preserve">L1_HoldEconMW_GB300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</si>
  <si>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</si>
  <si>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L1!D56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E56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F56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</si>
  <si>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TK_HoldEconMW_VR200</t>
  </si>
  <si>
    <t xml:space="preserve">L1_HoldEconMW_VR200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</si>
  <si>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WenQuanYi Zen Hei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；數值＝每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的 </t>
    </r>
    <r>
      <rPr>
        <sz val="10"/>
        <rFont val="Arial"/>
        <family val="0"/>
        <charset val="1"/>
      </rPr>
      <t xml:space="preserve">$B</t>
    </r>
    <r>
      <rPr>
        <sz val="10"/>
        <rFont val="WenQuanYi Zen Hei"/>
        <family val="2"/>
      </rPr>
      <t xml:space="preserve">：</t>
    </r>
    <r>
      <rPr>
        <sz val="10"/>
        <rFont val="Arial"/>
        <family val="0"/>
        <charset val="1"/>
      </rPr>
      <t xml:space="preserve">1 $B/GW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1 $M/MW</t>
    </r>
    <r>
      <rPr>
        <sz val="10"/>
        <rFont val="WenQuanYi Zen Hei"/>
        <family val="2"/>
      </rPr>
      <t xml:space="preserve">；</t>
    </r>
    <r>
      <rPr>
        <sz val="10"/>
        <rFont val="Arial"/>
        <family val="0"/>
        <charset val="1"/>
      </rPr>
      <t xml:space="preserve">v5.30 X15 (b) </t>
    </r>
    <r>
      <rPr>
        <sz val="10"/>
        <rFont val="WenQuanYi Zen Hei"/>
        <family val="2"/>
      </rPr>
      <t xml:space="preserve">更正）</t>
    </r>
  </si>
  <si>
    <r>
      <rPr>
        <sz val="9"/>
        <color rgb="FF595959"/>
        <rFont val="Arial"/>
        <family val="0"/>
        <charset val="1"/>
      </rPr>
      <t xml:space="preserve">L1!D57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F57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</si>
  <si>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TK_TokMW_Gen_ratio_VR200</t>
  </si>
  <si>
    <t xml:space="preserve">L1_TokMW_Gen_ratio_VR200</t>
  </si>
  <si>
    <r>
      <rPr>
        <sz val="10"/>
        <rFont val="WenQuanYi Zen Hei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WenQuanYi Zen Hei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）總產出比：</t>
    </r>
    <r>
      <rPr>
        <sz val="10"/>
        <rFont val="Arial"/>
        <family val="0"/>
        <charset val="1"/>
      </rPr>
      <t xml:space="preserve">VR200 ÷ GB300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WenQuanYi Zen Hei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WenQuanYi Zen Hei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</si>
  <si>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</si>
  <si>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TK_TokMW_Gen_ratio_VR200_Lo</t>
  </si>
  <si>
    <t xml:space="preserve">L1_TokMW_Gen_ratio_VR200_Lo</t>
  </si>
  <si>
    <r>
      <rPr>
        <sz val="9"/>
        <color rgb="FF595959"/>
        <rFont val="Arial"/>
        <family val="0"/>
        <charset val="1"/>
      </rPr>
      <t xml:space="preserve">L1!E60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</si>
  <si>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TK_TokMW_Gen_ratio_VR200_Hi</t>
  </si>
  <si>
    <t xml:space="preserve">L1_TokMW_Gen_ratio_VR200_Hi</t>
  </si>
  <si>
    <r>
      <rPr>
        <sz val="9"/>
        <color rgb="FF595959"/>
        <rFont val="Arial"/>
        <family val="0"/>
        <charset val="1"/>
      </rPr>
      <t xml:space="preserve">L1!F60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E60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F60</t>
    </r>
    <r>
      <rPr>
        <sz val="9"/>
        <color rgb="FF595959"/>
        <rFont val="WenQuanYi Zen Hei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Sens_Perf VR η_d × 0.5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× 1.5 </t>
    </r>
    <r>
      <rPr>
        <sz val="9"/>
        <color rgb="FF595959"/>
        <rFont val="WenQuanYi Zen Hei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E:F</t>
    </r>
    <r>
      <rPr>
        <sz val="9"/>
        <color rgb="FF595959"/>
        <rFont val="WenQuanYi Zen Hei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G:H </t>
    </r>
    <r>
      <rPr>
        <sz val="9"/>
        <color rgb="FF595959"/>
        <rFont val="WenQuanYi Zen Hei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98 </t>
    </r>
    <r>
      <rPr>
        <sz val="9"/>
        <color rgb="FF595959"/>
        <rFont val="WenQuanYi Zen Hei"/>
        <family val="2"/>
      </rPr>
      <t xml:space="preserve">列）的比值）</t>
    </r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</si>
  <si>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</si>
  <si>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</si>
  <si>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WenQuanYi Zen Hei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WenQuanYi Zen Hei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</si>
  <si>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</si>
  <si>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</si>
  <si>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</si>
  <si>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</si>
  <si>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</si>
  <si>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</si>
  <si>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WenQuanYi Zen Hei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WenQuanYi Zen Hei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WenQuanYi Zen Hei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WenQuanYi Zen Hei"/>
        <family val="2"/>
      </rPr>
      <t xml:space="preserve">、單價取基準）</t>
    </r>
  </si>
  <si>
    <t xml:space="preserve">TK_TokMW_Gen_ratio_GB200</t>
  </si>
  <si>
    <t xml:space="preserve">L1_TokMW_Gen_ratio_GB200</t>
  </si>
  <si>
    <r>
      <rPr>
        <sz val="10"/>
        <rFont val="WenQuanYi Zen Hei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WenQuanYi Zen Hei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）總產出比：</t>
    </r>
    <r>
      <rPr>
        <sz val="10"/>
        <rFont val="Arial"/>
        <family val="0"/>
        <charset val="1"/>
      </rPr>
      <t xml:space="preserve">GB200 ÷ Hopper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WenQuanYi Zen Hei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WenQuanYi Zen Hei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</si>
  <si>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L1!D58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F58</t>
    </r>
    <r>
      <rPr>
        <sz val="9"/>
        <color rgb="FF595959"/>
        <rFont val="WenQuanYi Zen Hei"/>
        <family val="2"/>
      </rPr>
      <t xml:space="preserve">；無區間（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））</t>
    </r>
  </si>
  <si>
    <t xml:space="preserve">TK_TokMW_Gen_ratio_GB300</t>
  </si>
  <si>
    <t xml:space="preserve">L1_TokMW_Gen_ratio_GB300</t>
  </si>
  <si>
    <r>
      <rPr>
        <sz val="10"/>
        <rFont val="WenQuanYi Zen Hei"/>
        <family val="2"/>
      </rPr>
      <t xml:space="preserve">相鄰世代每 </t>
    </r>
    <r>
      <rPr>
        <sz val="10"/>
        <rFont val="Arial"/>
        <family val="0"/>
        <charset val="1"/>
      </rPr>
      <t xml:space="preserve">GW</t>
    </r>
    <r>
      <rPr>
        <sz val="10"/>
        <rFont val="WenQuanYi Zen Hei"/>
        <family val="2"/>
      </rPr>
      <t xml:space="preserve">（每 </t>
    </r>
    <r>
      <rPr>
        <sz val="10"/>
        <rFont val="Arial"/>
        <family val="0"/>
        <charset val="1"/>
      </rPr>
      <t xml:space="preserve">MW</t>
    </r>
    <r>
      <rPr>
        <sz val="10"/>
        <rFont val="WenQuanYi Zen Hei"/>
        <family val="2"/>
      </rPr>
      <t xml:space="preserve">）總產出比：</t>
    </r>
    <r>
      <rPr>
        <sz val="10"/>
        <rFont val="Arial"/>
        <family val="0"/>
        <charset val="1"/>
      </rPr>
      <t xml:space="preserve">GB300 ÷ GB200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Sol</t>
    </r>
    <r>
      <rPr>
        <sz val="10"/>
        <rFont val="WenQuanYi Zen Hei"/>
        <family val="2"/>
      </rPr>
      <t xml:space="preserve">，</t>
    </r>
    <r>
      <rPr>
        <sz val="10"/>
        <rFont val="Arial"/>
        <family val="0"/>
        <charset val="1"/>
      </rPr>
      <t xml:space="preserve">100%</t>
    </r>
    <r>
      <rPr>
        <sz val="10"/>
        <rFont val="WenQuanYi Zen Hei"/>
        <family val="2"/>
      </rPr>
      <t xml:space="preserve">）｜固定模型口徑（</t>
    </r>
    <r>
      <rPr>
        <sz val="10"/>
        <rFont val="Arial"/>
        <family val="0"/>
        <charset val="1"/>
      </rPr>
      <t xml:space="preserve">2026 Arch </t>
    </r>
    <r>
      <rPr>
        <sz val="10"/>
        <rFont val="WenQuanYi Zen Hei"/>
        <family val="2"/>
      </rPr>
      <t xml:space="preserve">快照，跨世代同一模型）；模型隨世代變大見 </t>
    </r>
    <r>
      <rPr>
        <sz val="10"/>
        <rFont val="Arial"/>
        <family val="0"/>
        <charset val="1"/>
      </rPr>
      <t xml:space="preserve">`ARCH_ScaleGen` </t>
    </r>
    <r>
      <rPr>
        <sz val="10"/>
        <rFont val="WenQuanYi Zen Hei"/>
        <family val="2"/>
      </rPr>
      <t xml:space="preserve">與情境 </t>
    </r>
    <r>
      <rPr>
        <sz val="10"/>
        <rFont val="Arial"/>
        <family val="0"/>
        <charset val="1"/>
      </rPr>
      <t xml:space="preserve">`d1_model_scale`</t>
    </r>
  </si>
  <si>
    <r>
      <rPr>
        <sz val="9"/>
        <color rgb="FF595959"/>
        <rFont val="Arial"/>
        <family val="0"/>
        <charset val="1"/>
      </rPr>
      <t xml:space="preserve">L1!D59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E59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F59</t>
    </r>
    <r>
      <rPr>
        <sz val="9"/>
        <color rgb="FF595959"/>
        <rFont val="WenQuanYi Zen Hei"/>
        <family val="2"/>
      </rPr>
      <t xml:space="preserve">；無區間（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WenQuanYi Zen Hei"/>
        <family val="2"/>
      </rPr>
      <t xml:space="preserve">只涵蓋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WenQuanYi Zen Hei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WenQuanYi Zen Hei"/>
        <family val="2"/>
      </rPr>
      <t xml:space="preserve">））</t>
    </r>
  </si>
  <si>
    <t xml:space="preserve">TK_GPUhr_GB300</t>
  </si>
  <si>
    <t xml:space="preserve">L1_GPUhr_GB300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</si>
  <si>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</si>
  <si>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WenQuanYi Zen Hei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</si>
  <si>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</si>
  <si>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</si>
  <si>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WenQuanYi Zen Hei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WenQuanYi Zen Hei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</si>
  <si>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WenQuanYi Zen Hei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WenQuanYi Zen Hei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WenQuanYi Zen Hei"/>
        <family val="2"/>
      </rPr>
      <t xml:space="preserve">；成本角落情境（低成本／高成本欄））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</si>
</sst>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0.0000"/>
    <numFmt numFmtId="172" formatCode="@"/>
    <numFmt numFmtId="173" formatCode="0.00"/>
    <numFmt numFmtId="174" formatCode="0.000000"/>
    <numFmt numFmtId="175" formatCode="#,##0.000"/>
    <numFmt numFmtId="176" formatCode="0.00%"/>
    <numFmt numFmtId="177" formatCode="0.000"/>
    <numFmt numFmtId="178" formatCode="0.0000%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WenQuanYi Zen Hei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WenQuanYi Zen Hei"/>
      <family val="2"/>
    </font>
    <font>
      <sz val="10"/>
      <color rgb="FF0000FF"/>
      <name val="WenQuanYi Zen Hei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E3F1E8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4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4.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4.15" hidden="false" customHeight="false" outlineLevel="0" collapsed="false">
      <c r="A11" s="3" t="s">
        <v>8</v>
      </c>
    </row>
    <row r="12" customFormat="false" ht="14.15" hidden="false" customHeight="false" outlineLevel="0" collapsed="false">
      <c r="A12" s="3" t="s">
        <v>9</v>
      </c>
    </row>
    <row r="13" customFormat="false" ht="14.15" hidden="false" customHeight="false" outlineLevel="0" collapsed="false">
      <c r="A13" s="3" t="s">
        <v>10</v>
      </c>
    </row>
    <row r="14" customFormat="false" ht="14.15" hidden="false" customHeight="false" outlineLevel="0" collapsed="false">
      <c r="A14" s="3" t="s">
        <v>11</v>
      </c>
    </row>
    <row r="15" customFormat="false" ht="14.15" hidden="false" customHeight="false" outlineLevel="0" collapsed="false">
      <c r="A15" s="3" t="s">
        <v>12</v>
      </c>
    </row>
    <row r="16" customFormat="false" ht="14.15" hidden="false" customHeight="false" outlineLevel="0" collapsed="false">
      <c r="A16" s="3" t="s">
        <v>13</v>
      </c>
    </row>
    <row r="17" customFormat="false" ht="14.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4.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4.15" hidden="false" customHeight="false" outlineLevel="0" collapsed="false">
      <c r="A23" s="2" t="s">
        <v>18</v>
      </c>
    </row>
    <row r="24" customFormat="false" ht="14.15" hidden="false" customHeight="false" outlineLevel="0" collapsed="false">
      <c r="A24" s="3" t="s">
        <v>19</v>
      </c>
    </row>
    <row r="25" customFormat="false" ht="14.15" hidden="false" customHeight="false" outlineLevel="0" collapsed="false">
      <c r="A25" s="3" t="s">
        <v>20</v>
      </c>
    </row>
    <row r="26" customFormat="false" ht="14.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4.15" hidden="false" customHeight="false" outlineLevel="0" collapsed="false">
      <c r="A29" s="3" t="s">
        <v>23</v>
      </c>
    </row>
    <row r="30" customFormat="false" ht="14.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4.15" hidden="false" customHeight="false" outlineLevel="0" collapsed="false">
      <c r="A32" s="2" t="s">
        <v>25</v>
      </c>
    </row>
    <row r="33" customFormat="false" ht="14.15" hidden="false" customHeight="false" outlineLevel="0" collapsed="false">
      <c r="A33" s="3" t="s">
        <v>26</v>
      </c>
    </row>
    <row r="34" customFormat="false" ht="14.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4.15" hidden="false" customHeight="false" outlineLevel="0" collapsed="false">
      <c r="A41" s="3" t="s">
        <v>32</v>
      </c>
    </row>
    <row r="42" customFormat="false" ht="14.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只有已簽約","基準 加 NC-1 下一批","積極 NC-2／3 與 Krambu") &amp; "（預設＝基準）；共識＝data/consensus_wyfi_20261008.json（2026-10-08）"</f>
        <v>模型端＝目前情境：基準 加 NC-1 下一批（預設＝基準）；共識＝data/consensus_wyfi_20261008.json（2026-10-08）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評價_DCF與目標價!C78</f>
        <v>0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中立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15.2481184884189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輸入與假設!$C$228</f>
        <v>16.83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-0.0939917713357773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評價_DCF與目標價!C83</f>
        <v>11.4795061690524</v>
      </c>
      <c r="D10" s="12" t="n">
        <f aca="false">評價_DCF與目標價!D83</f>
        <v>25.3637818713434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評價_DCF與目標價!C85</f>
        <v>15.0866832430256</v>
      </c>
      <c r="D11" s="12" t="n">
        <f aca="false">評價_DCF與目標價!D85</f>
        <v>15.2481184884189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評價_DCF與目標價!$C$79</f>
        <v>14.3055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0.942618488418868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中立：點位 $15.2，較現價 $16.83 低 9%；情境區間 $11.5–$25.4，方法區間 $15.1–$15.2；點位高於賣出門檻 $14.3 達 $0.9。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評價_DCF與目標價!C91</f>
        <v>情境區間上緣 $25.4 不低於現價 $16.83：賣出並非在三個擴張情境下都成立。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$199="ebitda",輸入與假設!$C$199="leaseAdj"),"超出可融資上限、需高息債的金額："&amp;IF(SUM(各期收支!C87:G87)&gt;50,"$"&amp;TEXT(SUM(各期收支!C87:G87),"#,##0.0")&amp;"m（五期高息債溢出）","$0")&amp;"；債務上限＝"&amp;IF(輸入與假設!$C$199="leaseAdj","(總債務＋租賃負債) ≤ "&amp;IF(輸入與假設!$C$200=INT(輸入與假設!$C$200),TEXT(輸入與假設!$C$200,"0"),TEXT(輸入與假設!$C$200,"0.0"))&amp;"×(EBITDA＋租金)","總債務 ≤ "&amp;IF(輸入與假設!$C$200=INT(輸入與假設!$C$200),TEXT(輸入與假設!$C$200,"0"),TEXT(輸入與假設!$C$200,"0.0"))&amp;"× 當期 EBITDA")&amp;"，股權每年 ≤ 現市值 "&amp;IF(ROUND(ABS(輸入與假設!$C$207)*100,4)=INT(ROUND(ABS(輸入與假設!$C$207)*100,4)),TEXT(ROUND(ABS(輸入與假設!$C$207)*100,4),"0"),TEXT(ROUND(ABS(輸入與假設!$C$207)*100,4),"0.0"))&amp;"%"&amp;"。","")</f>
        <v>超出可融資上限、需高息債的金額：$0；債務上限＝總債務 ≤ 5× 當期 EBITDA，股權每年 ≤ 現市值 10%。</v>
      </c>
    </row>
    <row r="17" customFormat="false" ht="15" hidden="false" customHeight="false" outlineLevel="1" collapsed="false">
      <c r="A17" s="2" t="s">
        <v>50</v>
      </c>
      <c r="C17" s="10" t="str">
        <f aca="false">IF(輸入與假設!$C$199="leaseAdj","調整後槓桿（(債務＋租賃負債) ÷ (EBITDA＋租金)）路徑 "&amp;TEXT(資產負債_新債與新股!C38,"0.0")&amp;"／"&amp;TEXT(資產負債_新債與新股!D38,"0.0")&amp;"／"&amp;TEXT(資產負債_新債與新股!E38,"0.0")&amp;"／"&amp;TEXT(資產負債_新債與新股!F38,"0.0")&amp;"／"&amp;TEXT(資產負債_新債與新股!G38,"0.0")&amp;"×；上限 "&amp;IF(輸入與假設!$C$200=INT(輸入與假設!$C$200),TEXT(輸入與假設!$C$200,"0"),TEXT(輸入與假設!$C$200,"0.0"))&amp;"×，"&amp;IF(MAX(資產負債_新債與新股!$C$38:$G$38)&gt;輸入與假設!$C$200+0.000000001,CHOOSE(MATCH(MAX(資產負債_新債與新股!$C$38:$G$38),資產負債_新債與新股!$C$38:$G$38,0),"FY26","FY27","FY28","FY29","FY30")&amp;" 超過 "&amp;TEXT(MAX(資產負債_新債與新股!$C$38:$G$38)-輸入與假設!$C$200,"0.0")&amp;"×：需股權或高息債。","最小空間 "&amp;TEXT(輸入與假設!$C$200-MAX(資產負債_新債與新股!$C$38:$G$38),"0.0")&amp;"×（"&amp;CHOOSE(MATCH(MAX(資產負債_新債與新股!$C$38:$G$38),資產負債_新債與新股!$C$38:$G$38,0),"FY26","FY27","FY28","FY29","FY30")&amp;"）。"),"總債務 ÷ EBITDA（年化）路徑 "&amp;TEXT(資產負債_新債與新股!C40,"0.0")&amp;"／"&amp;TEXT(資產負債_新債與新股!D40,"0.0")&amp;"／"&amp;TEXT(資產負債_新債與新股!E40,"0.0")&amp;"／"&amp;TEXT(資產負債_新債與新股!F40,"0.0")&amp;"／"&amp;TEXT(資產負債_新債與新股!G40,"0.0")&amp;"×；上限 "&amp;IF(輸入與假設!$C$200=INT(輸入與假設!$C$200),TEXT(輸入與假設!$C$200,"0"),TEXT(輸入與假設!$C$200,"0.0"))&amp;"×，"&amp;IF(MAX(資產負債_新債與新股!$C$40:$G$40)&gt;輸入與假設!$C$200+0.000000001,CHOOSE(MATCH(MAX(資產負債_新債與新股!$C$40:$G$40),資產負債_新債與新股!$C$40:$G$40,0),"FY26","FY27","FY28","FY29","FY30")&amp;" 最高超過 "&amp;TEXT(MAX(資產負債_新債與新股!$C$40:$G$40)-輸入與假設!$C$200,"0.0")&amp;"×：超過期間新債只能動用已承諾額度，其餘靠可轉債、股權或高息債。","最小空間 "&amp;TEXT(輸入與假設!$C$200-MAX(資產負債_新債與新股!$C$40:$G$40),"0.0")&amp;"×（"&amp;CHOOSE(MATCH(MAX(資產負債_新債與新股!$C$40:$G$40),資產負債_新債與新股!$C$40:$G$40,0),"FY26","FY27","FY28","FY29","FY30")&amp;"）。"))</f>
        <v>總債務 ÷ EBITDA（年化）路徑 26.8／25.5／9.4／6.2／4.7×；上限 5×，FY26 最高超過 21.8×：超過期間新債只能動用已承諾額度，其餘靠可轉債、股權或高息債。</v>
      </c>
    </row>
    <row r="18" customFormat="false" ht="15" hidden="false" customHeight="false" outlineLevel="1" collapsed="false">
      <c r="A18" s="3" t="s">
        <v>51</v>
      </c>
      <c r="C18" s="10" t="str">
        <f aca="false">IF(運營_產能與收入!$C$62&gt;0,"建設延誤 "&amp;IF(運營_產能與收入!$C$62=INT(運營_產能與收入!$C$62),TEXT(運營_產能與收入!$C$62,"0"),TEXT(運營_產能與收入!$C$62,"0.0"))&amp;" 個月（GPU 資本支出照原時程）：閒置資本（已支出、尚未產生收入）峰值 $"&amp;TEXT(MAX(運營_產能與收入!$C$67:$G$67),"#,##0.0")&amp;"m（"&amp;CHOOSE(MATCH(MAX(運營_產能與收入!$C$67:$G$67),運營_產能與收入!$C$67:$G$67,0),"FY26","FY27","FY28","FY29","FY30")&amp;" 末）。","建設延誤：本情境 0 個月（無閒置資本）。")</f>
        <v>建設延誤 3 個月（GPU 資本支出照原時程）：閒置資本（已支出、尚未產生收入）峰值 $52.5m（FY26 末）。</v>
      </c>
    </row>
    <row r="20" customFormat="false" ht="15" hidden="false" customHeight="false" outlineLevel="0" collapsed="false">
      <c r="A20" s="7" t="s">
        <v>52</v>
      </c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1" collapsed="false">
      <c r="A21" s="14" t="s">
        <v>53</v>
      </c>
      <c r="B21" s="14" t="s">
        <v>54</v>
      </c>
      <c r="C21" s="15" t="s">
        <v>55</v>
      </c>
      <c r="D21" s="15" t="s">
        <v>56</v>
      </c>
      <c r="E21" s="15" t="s">
        <v>57</v>
      </c>
    </row>
    <row r="22" customFormat="false" ht="15" hidden="false" customHeight="false" outlineLevel="1" collapsed="false">
      <c r="A22" s="3" t="s">
        <v>58</v>
      </c>
      <c r="B22" s="11" t="s">
        <v>59</v>
      </c>
      <c r="C22" s="10" t="n">
        <f aca="false">損益!C29</f>
        <v>122.090001249499</v>
      </c>
      <c r="D22" s="10" t="n">
        <f aca="false">損益!D29</f>
        <v>227.080143357358</v>
      </c>
      <c r="E22" s="10" t="n">
        <f aca="false">損益!E29</f>
        <v>336.311668998414</v>
      </c>
    </row>
    <row r="23" customFormat="false" ht="15" hidden="false" customHeight="false" outlineLevel="1" collapsed="false">
      <c r="A23" s="3" t="s">
        <v>60</v>
      </c>
      <c r="B23" s="11" t="s">
        <v>59</v>
      </c>
      <c r="C23" s="10" t="n">
        <f aca="false">輸入與假設!$C$344</f>
        <v>137</v>
      </c>
      <c r="D23" s="10" t="n">
        <f aca="false">輸入與假設!$D$344</f>
        <v>296</v>
      </c>
      <c r="E23" s="10" t="n">
        <f aca="false">輸入與假設!$E$344</f>
        <v>530</v>
      </c>
    </row>
    <row r="24" customFormat="false" ht="15" hidden="false" customHeight="false" outlineLevel="1" collapsed="false">
      <c r="A24" s="3" t="s">
        <v>61</v>
      </c>
      <c r="B24" s="11" t="s">
        <v>42</v>
      </c>
      <c r="C24" s="13" t="n">
        <f aca="false">IFERROR(C22/C23-1,"—")</f>
        <v>-0.10883210766789</v>
      </c>
      <c r="D24" s="13" t="n">
        <f aca="false">IFERROR(D22/D23-1,"—")</f>
        <v>-0.23283735352244</v>
      </c>
      <c r="E24" s="13" t="n">
        <f aca="false">IFERROR(E22/E23-1,"—")</f>
        <v>-0.365449681135069</v>
      </c>
    </row>
    <row r="25" customFormat="false" ht="15" hidden="false" customHeight="false" outlineLevel="1" collapsed="false">
      <c r="A25" s="3" t="s">
        <v>62</v>
      </c>
      <c r="B25" s="11" t="s">
        <v>59</v>
      </c>
      <c r="C25" s="10" t="n">
        <f aca="false">輸入與假設!$C$310+損益!C22</f>
        <v>17.1389960998291</v>
      </c>
      <c r="D25" s="10" t="n">
        <f aca="false">損益!D34</f>
        <v>28.270594044399</v>
      </c>
      <c r="E25" s="10" t="n">
        <f aca="false">損益!E34</f>
        <v>80.5782595387003</v>
      </c>
    </row>
    <row r="26" customFormat="false" ht="15" hidden="false" customHeight="false" outlineLevel="1" collapsed="false">
      <c r="A26" s="3" t="s">
        <v>63</v>
      </c>
      <c r="B26" s="11" t="s">
        <v>59</v>
      </c>
      <c r="C26" s="10" t="str">
        <f aca="false">"—"</f>
        <v>—</v>
      </c>
      <c r="D26" s="10" t="str">
        <f aca="false">"—"</f>
        <v>—</v>
      </c>
      <c r="E26" s="10" t="str">
        <f aca="false">"—"</f>
        <v>—</v>
      </c>
    </row>
    <row r="27" customFormat="false" ht="15" hidden="false" customHeight="false" outlineLevel="1" collapsed="false">
      <c r="A27" s="3" t="s">
        <v>64</v>
      </c>
      <c r="B27" s="11" t="s">
        <v>42</v>
      </c>
      <c r="C27" s="13" t="str">
        <f aca="false">IFERROR(C25/C26-1,"—")</f>
        <v>—</v>
      </c>
      <c r="D27" s="13" t="str">
        <f aca="false">IFERROR(D25/D26-1,"—")</f>
        <v>—</v>
      </c>
      <c r="E27" s="13" t="str">
        <f aca="false">IFERROR(E25/E26-1,"—")</f>
        <v>—</v>
      </c>
      <c r="I27" s="11" t="s">
        <v>65</v>
      </c>
    </row>
    <row r="28" customFormat="false" ht="15" hidden="false" customHeight="false" outlineLevel="1" collapsed="false">
      <c r="A28" s="3" t="s">
        <v>66</v>
      </c>
      <c r="B28" s="11" t="s">
        <v>59</v>
      </c>
      <c r="C28" s="10" t="str">
        <f aca="false">IFERROR(C25-C26,"—")</f>
        <v>—</v>
      </c>
      <c r="D28" s="10" t="str">
        <f aca="false">IFERROR(D25-D26,"—")</f>
        <v>—</v>
      </c>
      <c r="E28" s="10" t="str">
        <f aca="false">IFERROR(E25-E26,"—")</f>
        <v>—</v>
      </c>
      <c r="I28" s="6" t="s">
        <v>67</v>
      </c>
    </row>
    <row r="29" customFormat="false" ht="15" hidden="false" customHeight="false" outlineLevel="1" collapsed="false">
      <c r="A29" s="3" t="s">
        <v>68</v>
      </c>
      <c r="B29" s="11" t="s">
        <v>42</v>
      </c>
      <c r="C29" s="13" t="n">
        <f aca="false">C25/C22</f>
        <v>0.140380014124207</v>
      </c>
      <c r="D29" s="13" t="n">
        <f aca="false">D25/D22</f>
        <v>0.124496107966205</v>
      </c>
      <c r="E29" s="13" t="n">
        <f aca="false">E25/E22</f>
        <v>0.239594004509788</v>
      </c>
    </row>
    <row r="30" customFormat="false" ht="15" hidden="false" customHeight="false" outlineLevel="1" collapsed="false">
      <c r="A30" s="3" t="s">
        <v>69</v>
      </c>
      <c r="B30" s="11" t="s">
        <v>42</v>
      </c>
      <c r="C30" s="13" t="str">
        <f aca="false">"—"</f>
        <v>—</v>
      </c>
      <c r="D30" s="13" t="str">
        <f aca="false">"—"</f>
        <v>—</v>
      </c>
      <c r="E30" s="13" t="str">
        <f aca="false">"—"</f>
        <v>—</v>
      </c>
    </row>
    <row r="31" customFormat="false" ht="15" hidden="false" customHeight="false" outlineLevel="1" collapsed="false">
      <c r="A31" s="3" t="s">
        <v>70</v>
      </c>
      <c r="B31" s="11" t="s">
        <v>71</v>
      </c>
      <c r="C31" s="13" t="str">
        <f aca="false">IFERROR(C29-C30,"—")</f>
        <v>—</v>
      </c>
      <c r="D31" s="13" t="str">
        <f aca="false">IFERROR(D29-D30,"—")</f>
        <v>—</v>
      </c>
      <c r="E31" s="13" t="str">
        <f aca="false">IFERROR(E29-E30,"—")</f>
        <v>—</v>
      </c>
      <c r="I31" s="11" t="s">
        <v>72</v>
      </c>
    </row>
    <row r="32" customFormat="false" ht="15" hidden="false" customHeight="false" outlineLevel="1" collapsed="false">
      <c r="A32" s="3" t="s">
        <v>73</v>
      </c>
      <c r="B32" s="11" t="s">
        <v>59</v>
      </c>
      <c r="C32" s="10" t="n">
        <f aca="false">輸入與假設!$C$293+輸入與假設!C$175</f>
        <v>473.244419912925</v>
      </c>
      <c r="D32" s="10" t="n">
        <f aca="false">輸入與假設!D$175</f>
        <v>427.1413589256</v>
      </c>
      <c r="E32" s="10" t="n">
        <f aca="false">輸入與假設!E$175</f>
        <v>52.367682</v>
      </c>
    </row>
    <row r="33" customFormat="false" ht="15" hidden="false" customHeight="false" outlineLevel="1" collapsed="false">
      <c r="A33" s="3" t="s">
        <v>74</v>
      </c>
      <c r="B33" s="11" t="s">
        <v>59</v>
      </c>
      <c r="C33" s="10" t="str">
        <f aca="false">"—"</f>
        <v>—</v>
      </c>
      <c r="D33" s="10" t="str">
        <f aca="false">"—"</f>
        <v>—</v>
      </c>
      <c r="E33" s="10" t="str">
        <f aca="false">"—"</f>
        <v>—</v>
      </c>
    </row>
    <row r="34" customFormat="false" ht="15" hidden="false" customHeight="false" outlineLevel="1" collapsed="false">
      <c r="A34" s="3" t="s">
        <v>75</v>
      </c>
      <c r="B34" s="11" t="s">
        <v>42</v>
      </c>
      <c r="C34" s="13" t="str">
        <f aca="false">IFERROR(C32/C33-1,"—")</f>
        <v>—</v>
      </c>
      <c r="D34" s="13" t="str">
        <f aca="false">IFERROR(D32/D33-1,"—")</f>
        <v>—</v>
      </c>
      <c r="E34" s="13" t="str">
        <f aca="false">IFERROR(E32/E33-1,"—")</f>
        <v>—</v>
      </c>
      <c r="I34" s="6" t="s">
        <v>76</v>
      </c>
    </row>
    <row r="35" customFormat="false" ht="15" hidden="false" customHeight="false" outlineLevel="1" collapsed="false">
      <c r="A35" s="3" t="s">
        <v>77</v>
      </c>
      <c r="B35" s="11" t="s">
        <v>59</v>
      </c>
      <c r="C35" s="10" t="n">
        <f aca="false">資產負債_新債與新股!C26</f>
        <v>307.500312773009</v>
      </c>
      <c r="D35" s="10" t="n">
        <f aca="false">資產負債_新債與新股!D26</f>
        <v>691.118351386103</v>
      </c>
      <c r="E35" s="10" t="n">
        <f aca="false">資產負債_新債與新股!E26</f>
        <v>730.058851386104</v>
      </c>
    </row>
    <row r="36" customFormat="false" ht="15" hidden="false" customHeight="false" outlineLevel="1" collapsed="false">
      <c r="A36" s="3" t="s">
        <v>78</v>
      </c>
      <c r="B36" s="11" t="s">
        <v>59</v>
      </c>
      <c r="C36" s="10" t="str">
        <f aca="false">"—"</f>
        <v>—</v>
      </c>
      <c r="D36" s="10" t="str">
        <f aca="false">"—"</f>
        <v>—</v>
      </c>
      <c r="E36" s="10" t="str">
        <f aca="false">"—"</f>
        <v>—</v>
      </c>
    </row>
    <row r="37" customFormat="false" ht="15" hidden="false" customHeight="false" outlineLevel="1" collapsed="false">
      <c r="A37" s="3" t="s">
        <v>79</v>
      </c>
      <c r="B37" s="11" t="s">
        <v>42</v>
      </c>
      <c r="C37" s="13" t="str">
        <f aca="false">IFERROR(C35/C36-1,"—")</f>
        <v>—</v>
      </c>
      <c r="D37" s="13" t="str">
        <f aca="false">IFERROR(D35/D36-1,"—")</f>
        <v>—</v>
      </c>
      <c r="E37" s="13" t="str">
        <f aca="false">IFERROR(E35/E36-1,"—")</f>
        <v>—</v>
      </c>
      <c r="I37" s="6" t="s">
        <v>80</v>
      </c>
    </row>
    <row r="38" customFormat="false" ht="15" hidden="false" customHeight="false" outlineLevel="1" collapsed="false">
      <c r="A38" s="3" t="s">
        <v>81</v>
      </c>
      <c r="B38" s="11" t="s">
        <v>59</v>
      </c>
      <c r="C38" s="10" t="str">
        <f aca="false">IFERROR(C35-C36,"—")</f>
        <v>—</v>
      </c>
      <c r="D38" s="10" t="str">
        <f aca="false">IFERROR(D35-D36,"—")</f>
        <v>—</v>
      </c>
      <c r="E38" s="10" t="str">
        <f aca="false">IFERROR(E35-E36,"—")</f>
        <v>—</v>
      </c>
      <c r="I38" s="6" t="s">
        <v>67</v>
      </c>
    </row>
    <row r="39" customFormat="false" ht="15" hidden="false" customHeight="false" outlineLevel="1" collapsed="false">
      <c r="A39" s="3" t="s">
        <v>82</v>
      </c>
      <c r="C39" s="10" t="str">
        <f aca="false">MID(IF(ABS(C24)&gt;輸入與假設!$C$367,"、營收 "&amp;IF(C24&lt;0,"−","+")&amp;TEXT(ABS(C24)*100,"0.0")&amp;"%",""),2,999)</f>
        <v>營收 −10.9%</v>
      </c>
      <c r="D39" s="10" t="str">
        <f aca="false">MID(IF(ABS(D24)&gt;輸入與假設!$C$367,"、營收 "&amp;IF(D24&lt;0,"−","+")&amp;TEXT(ABS(D24)*100,"0.0")&amp;"%",""),2,999)</f>
        <v>營收 −23.3%</v>
      </c>
      <c r="E39" s="10" t="str">
        <f aca="false">MID(IF(ABS(E24)&gt;輸入與假設!$C$367,"、營收 "&amp;IF(E24&lt;0,"−","+")&amp;TEXT(ABS(E24)*100,"0.0")&amp;"%",""),2,999)</f>
        <v>營收 −36.5%</v>
      </c>
      <c r="I39" s="6" t="s">
        <v>83</v>
      </c>
    </row>
    <row r="40" customFormat="false" ht="15" hidden="false" customHeight="false" outlineLevel="1" collapsed="false">
      <c r="A40" s="3" t="s">
        <v>84</v>
      </c>
      <c r="C40" s="9" t="n">
        <f aca="false">IF(C39&lt;&gt;"",1,IF(D39&lt;&gt;"",2,IF(E39&lt;&gt;"",3,0)))</f>
        <v>1</v>
      </c>
    </row>
    <row r="41" customFormat="false" ht="15" hidden="false" customHeight="false" outlineLevel="1" collapsed="false">
      <c r="A41" s="2" t="s">
        <v>85</v>
      </c>
      <c r="C41" s="10" t="str">
        <f aca="false">CHOOSE(C40+1,"FY26–FY28 營收 與共識差距皆在 "&amp;IF(ROUND(ABS(輸入與假設!$C$367)*100,4)=INT(ROUND(ABS(輸入與假設!$C$367)*100,4)),TEXT(ROUND(ABS(輸入與假設!$C$367)*100,4),"0"),TEXT(ROUND(ABS(輸入與假設!$C$367)*100,4),"0.0"))&amp;"%"&amp;" 以內。","分歧始於 FY26（"&amp;C39&amp;"）"&amp;"；FY27 "&amp;IF(D39="","回到 "&amp;IF(ROUND(ABS(輸入與假設!$C$367)*100,4)=INT(ROUND(ABS(輸入與假設!$C$367)*100,4)),TEXT(ROUND(ABS(輸入與假設!$C$367)*100,4),"0"),TEXT(ROUND(ABS(輸入與假設!$C$367)*100,4),"0.0"))&amp;"%"&amp;" 以內",D39)&amp;"；FY28 "&amp;IF(E39="","回到 "&amp;IF(ROUND(ABS(輸入與假設!$C$367)*100,4)=INT(ROUND(ABS(輸入與假設!$C$367)*100,4)),TEXT(ROUND(ABS(輸入與假設!$C$367)*100,4),"0"),TEXT(ROUND(ABS(輸入與假設!$C$367)*100,4),"0.0"))&amp;"%"&amp;" 以內",E39)&amp;"。","FY26 營收 與共識差距在 "&amp;IF(ROUND(ABS(輸入與假設!$C$367)*100,4)=INT(ROUND(ABS(輸入與假設!$C$367)*100,4)),TEXT(ROUND(ABS(輸入與假設!$C$367)*100,4),"0"),TEXT(ROUND(ABS(輸入與假設!$C$367)*100,4),"0.0"))&amp;"%"&amp;" 以內；分歧始於 FY27（"&amp;D39&amp;"）"&amp;"；FY28 "&amp;IF(E39="","回到 "&amp;IF(ROUND(ABS(輸入與假設!$C$367)*100,4)=INT(ROUND(ABS(輸入與假設!$C$367)*100,4)),TEXT(ROUND(ABS(輸入與假設!$C$367)*100,4),"0"),TEXT(ROUND(ABS(輸入與假設!$C$367)*100,4),"0.0"))&amp;"%"&amp;" 以內",E39)&amp;"。","FY26–FY27 營收 與共識差距在 "&amp;IF(ROUND(ABS(輸入與假設!$C$367)*100,4)=INT(ROUND(ABS(輸入與假設!$C$367)*100,4)),TEXT(ROUND(ABS(輸入與假設!$C$367)*100,4),"0"),TEXT(ROUND(ABS(輸入與假設!$C$367)*100,4),"0.0"))&amp;"%"&amp;" 以內；分歧始於 FY28（"&amp;E39&amp;"）。")</f>
        <v>分歧始於 FY26（營收 −10.9%）；FY27 營收 −23.3%；FY28 營收 −36.5%。</v>
      </c>
    </row>
    <row r="42" customFormat="false" ht="15" hidden="false" customHeight="false" outlineLevel="1" collapsed="false">
      <c r="A42" s="3" t="s">
        <v>86</v>
      </c>
      <c r="C42" s="10" t="str">
        <f aca="false">IF(ABS(C24)&gt;輸入與假設!$C$367,"觀點","")</f>
        <v>觀點</v>
      </c>
      <c r="D42" s="10" t="str">
        <f aca="false">IF(ABS(C24)&gt;輸入與假設!$C$367,"營收＝雲端（在役 MW × 每 MW 年收入，Tokenomics 錨 × k；年底已連網 "&amp;IF((輸入與假設!C$43)&lt;0,"−","")&amp;TEXT(ABS((輸入與假設!C$43)),"#,##0.0")&amp;" MW-IT）＋託管（已簽約合約排程與擴建）；共識未揭露 MW 與單價假設","")</f>
        <v>營收＝雲端（在役 MW × 每 MW 年收入，Tokenomics 錨 × k；年底已連網 14.6 MW-IT）＋託管（已簽約合約排程與擴建）；共識未揭露 MW 與單價假設</v>
      </c>
      <c r="I42" s="11" t="s">
        <v>87</v>
      </c>
    </row>
    <row r="43" customFormat="false" ht="15" hidden="false" customHeight="false" outlineLevel="1" collapsed="false">
      <c r="A43" s="3" t="s">
        <v>88</v>
      </c>
      <c r="C43" s="10" t="str">
        <f aca="false">IF(ABS(D24)&gt;輸入與假設!$C$367,"觀點","")</f>
        <v>觀點</v>
      </c>
      <c r="D43" s="10" t="str">
        <f aca="false">IF(ABS(D24)&gt;輸入與假設!$C$367,"營收＝雲端（在役 MW × 每 MW 年收入，Tokenomics 錨 × k；年底已連網 "&amp;IF((輸入與假設!D$43)&lt;0,"−","")&amp;TEXT(ABS((輸入與假設!D$43)),"#,##0.0")&amp;" MW-IT）＋託管（已簽約合約排程與擴建）；共識未揭露 MW 與單價假設","")</f>
        <v>營收＝雲端（在役 MW × 每 MW 年收入，Tokenomics 錨 × k；年底已連網 16.5 MW-IT）＋託管（已簽約合約排程與擴建）；共識未揭露 MW 與單價假設</v>
      </c>
    </row>
    <row r="44" customFormat="false" ht="15" hidden="false" customHeight="false" outlineLevel="1" collapsed="false">
      <c r="A44" s="3" t="s">
        <v>89</v>
      </c>
      <c r="C44" s="10" t="str">
        <f aca="false">IF(ABS(E24)&gt;輸入與假設!$C$367,"觀點","")</f>
        <v>觀點</v>
      </c>
      <c r="D44" s="10" t="str">
        <f aca="false">IF(ABS(E24)&gt;輸入與假設!$C$367,"營收＝雲端（在役 MW × 每 MW 年收入，Tokenomics 錨 × k；年底已連網 "&amp;IF((輸入與假設!E$43)&lt;0,"−","")&amp;TEXT(ABS((輸入與假設!E$43)),"#,##0.0")&amp;" MW-IT）＋託管（已簽約合約排程與擴建）；共識未揭露 MW 與單價假設","")</f>
        <v>營收＝雲端（在役 MW × 每 MW 年收入，Tokenomics 錨 × k；年底已連網 19.5 MW-IT）＋託管（已簽約合約排程與擴建）；共識未揭露 MW 與單價假設</v>
      </c>
    </row>
    <row r="45" customFormat="false" ht="15" hidden="false" customHeight="false" outlineLevel="1" collapsed="false">
      <c r="A45" s="3" t="s">
        <v>90</v>
      </c>
      <c r="C45" s="9" t="n">
        <f aca="false">SUMPRODUCT(--(ABS(C24:E24)&gt;輸入與假設!$C$367))</f>
        <v>3</v>
      </c>
      <c r="I45" s="6" t="s">
        <v>91</v>
      </c>
    </row>
    <row r="46" customFormat="false" ht="15" hidden="false" customHeight="false" outlineLevel="1" collapsed="false">
      <c r="A46" s="3" t="s">
        <v>92</v>
      </c>
      <c r="C46" s="10" t="str">
        <f aca="false">IF(C45=0,"","需附原因的 "&amp;C45&amp;" 項差距："&amp;MID(IF((COUNTIF(C42,"觀點")+COUNTIF(C43,"觀點")+COUNTIF(C44,"觀點"))&gt;0,"、觀點 "&amp;(COUNTIF(C42,"觀點")+COUNTIF(C43,"觀點")+COUNTIF(C44,"觀點"))&amp;" 項","")&amp;IF((COUNTIF(C42,"拆法")+COUNTIF(C43,"拆法")+COUNTIF(C44,"拆法"))&gt;0,"、拆法 "&amp;(COUNTIF(C42,"拆法")+COUNTIF(C43,"拆法")+COUNTIF(C44,"拆法"))&amp;" 項","")&amp;IF((COUNTIF(C42,"已知限制")+COUNTIF(C43,"已知限制")+COUNTIF(C44,"已知限制"))&gt;0,"、已知限制 "&amp;(COUNTIF(C42,"已知限制")+COUNTIF(C43,"已知限制")+COUNTIF(C44,"已知限制"))&amp;" 項","")&amp;IF((C45-((COUNTIF(C42,"觀點")+COUNTIF(C43,"觀點")+COUNTIF(C44,"觀點"))+(COUNTIF(C42,"拆法")+COUNTIF(C43,"拆法")+COUNTIF(C44,"拆法"))+(COUNTIF(C42,"已知限制")+COUNTIF(C43,"已知限制")+COUNTIF(C44,"已知限制"))))&gt;0,"、未歸類 "&amp;(C45-((COUNTIF(C42,"觀點")+COUNTIF(C43,"觀點")+COUNTIF(C44,"觀點"))+(COUNTIF(C42,"拆法")+COUNTIF(C43,"拆法")+COUNTIF(C44,"拆法"))+(COUNTIF(C42,"已知限制")+COUNTIF(C43,"已知限制")+COUNTIF(C44,"已知限制"))))&amp;" 項",""),2,999)&amp;"；原因見「損益與評價 → 市場共識」。")</f>
        <v>需附原因的 3 項差距：觀點 3 項；原因見「損益與評價 → 市場共識」。</v>
      </c>
      <c r="I46" s="6" t="s">
        <v>93</v>
      </c>
    </row>
    <row r="48" customFormat="false" ht="15" hidden="false" customHeight="false" outlineLevel="0" collapsed="false">
      <c r="A48" s="7" t="s">
        <v>94</v>
      </c>
      <c r="B48" s="8"/>
      <c r="C48" s="8"/>
      <c r="D48" s="8"/>
      <c r="E48" s="8"/>
      <c r="F48" s="8"/>
      <c r="G48" s="8"/>
      <c r="H48" s="8"/>
    </row>
    <row r="49" customFormat="false" ht="15" hidden="false" customHeight="false" outlineLevel="1" collapsed="false">
      <c r="A49" s="3" t="s">
        <v>95</v>
      </c>
      <c r="B49" s="11" t="s">
        <v>96</v>
      </c>
      <c r="C49" s="16" t="str">
        <f aca="false">"—"</f>
        <v>—</v>
      </c>
      <c r="I49" s="6" t="s">
        <v>97</v>
      </c>
    </row>
    <row r="50" customFormat="false" ht="15" hidden="false" customHeight="false" outlineLevel="1" collapsed="false">
      <c r="A50" s="3" t="s">
        <v>98</v>
      </c>
      <c r="B50" s="11" t="s">
        <v>96</v>
      </c>
      <c r="C50" s="16" t="str">
        <f aca="false">"—"</f>
        <v>—</v>
      </c>
      <c r="I50" s="6" t="s">
        <v>99</v>
      </c>
    </row>
    <row r="51" customFormat="false" ht="15" hidden="false" customHeight="false" outlineLevel="1" collapsed="false">
      <c r="A51" s="3" t="s">
        <v>100</v>
      </c>
      <c r="B51" s="11" t="s">
        <v>96</v>
      </c>
      <c r="C51" s="16" t="n">
        <f aca="false">MAX(輸入與假設!$C$258,輸入與假設!$C$259)</f>
        <v>6</v>
      </c>
      <c r="I51" s="6" t="s">
        <v>101</v>
      </c>
    </row>
    <row r="52" customFormat="false" ht="15" hidden="false" customHeight="false" outlineLevel="1" collapsed="false">
      <c r="A52" s="3" t="s">
        <v>102</v>
      </c>
      <c r="B52" s="11" t="s">
        <v>59</v>
      </c>
      <c r="C52" s="10" t="n">
        <f aca="false">輸入與假設!E$117</f>
        <v>88.5732688314977</v>
      </c>
      <c r="I52" s="11" t="s">
        <v>103</v>
      </c>
    </row>
    <row r="53" customFormat="false" ht="15" hidden="false" customHeight="false" outlineLevel="1" collapsed="false">
      <c r="A53" s="3" t="s">
        <v>104</v>
      </c>
      <c r="B53" s="11" t="s">
        <v>96</v>
      </c>
      <c r="C53" s="16" t="str">
        <f aca="false">"—"</f>
        <v>—</v>
      </c>
      <c r="I53" s="6" t="s">
        <v>105</v>
      </c>
    </row>
    <row r="54" customFormat="false" ht="15" hidden="false" customHeight="false" outlineLevel="1" collapsed="false">
      <c r="A54" s="3" t="s">
        <v>106</v>
      </c>
      <c r="B54" s="11" t="s">
        <v>96</v>
      </c>
      <c r="C54" s="16" t="str">
        <f aca="false">"—"</f>
        <v>—</v>
      </c>
      <c r="I54" s="6" t="s">
        <v>107</v>
      </c>
    </row>
    <row r="55" customFormat="false" ht="15" hidden="false" customHeight="false" outlineLevel="1" collapsed="false">
      <c r="A55" s="2" t="s">
        <v>108</v>
      </c>
      <c r="C55" s="10" t="str">
        <f aca="false">"共識 FY28 調整後 EBITDA 未列：隱含倍數不適用（共識平均目標價 $"&amp;TEXT(輸入與假設!$C$322,"0.00")&amp;"、現價 $"&amp;TEXT(輸入與假設!$C$228,"0.00")&amp;"）。"</f>
        <v>共識 FY28 調整後 EBITDA 未列：隱含倍數不適用（共識平均目標價 $38.00、現價 $16.83）。</v>
      </c>
    </row>
    <row r="56" customFormat="false" ht="15" hidden="false" customHeight="false" outlineLevel="1" collapsed="false">
      <c r="A56" s="3" t="s">
        <v>109</v>
      </c>
      <c r="C56" s="17" t="n">
        <f aca="false">評價_反向DCF!B18</f>
        <v>12.3408</v>
      </c>
      <c r="D56" s="17" t="n">
        <f aca="false">評價_反向DCF!C18</f>
        <v>28.5719</v>
      </c>
      <c r="E56" s="13" t="n">
        <f aca="false">評價_反向DCF!D18</f>
        <v>1.3152</v>
      </c>
      <c r="I56" s="6" t="s">
        <v>110</v>
      </c>
    </row>
    <row r="57" customFormat="false" ht="15" hidden="false" customHeight="false" outlineLevel="1" collapsed="false">
      <c r="A57" s="3" t="s">
        <v>111</v>
      </c>
      <c r="C57" s="17" t="n">
        <f aca="false">評價_反向DCF!B19</f>
        <v>37.5864</v>
      </c>
      <c r="D57" s="17" t="n">
        <f aca="false">評價_反向DCF!C19</f>
        <v>4.8226</v>
      </c>
      <c r="E57" s="13" t="n">
        <f aca="false">評價_反向DCF!D19</f>
        <v>-0.8717</v>
      </c>
    </row>
    <row r="58" customFormat="false" ht="15" hidden="false" customHeight="false" outlineLevel="1" collapsed="false">
      <c r="A58" s="3" t="s">
        <v>112</v>
      </c>
      <c r="C58" s="13" t="n">
        <f aca="false">評價_反向DCF!B20</f>
        <v>0.47</v>
      </c>
      <c r="D58" s="13" t="str">
        <f aca="false">評價_反向DCF!C20</f>
        <v>無解</v>
      </c>
      <c r="E58" s="13" t="str">
        <f aca="false">評價_反向DCF!D20</f>
        <v>無解</v>
      </c>
    </row>
    <row r="59" customFormat="false" ht="15" hidden="false" customHeight="false" outlineLevel="1" collapsed="false">
      <c r="A59" s="3" t="s">
        <v>113</v>
      </c>
      <c r="C59" s="17" t="n">
        <f aca="false">評價_反向DCF!B21</f>
        <v>12.3408</v>
      </c>
      <c r="D59" s="17" t="n">
        <f aca="false">評價_反向DCF!C21</f>
        <v>15.4556</v>
      </c>
      <c r="E59" s="13" t="n">
        <f aca="false">評價_反向DCF!D21</f>
        <v>0.2524</v>
      </c>
    </row>
    <row r="61" customFormat="false" ht="15" hidden="false" customHeight="false" outlineLevel="0" collapsed="false">
      <c r="A61" s="7" t="s">
        <v>114</v>
      </c>
      <c r="B61" s="8"/>
      <c r="C61" s="8"/>
      <c r="D61" s="8"/>
      <c r="E61" s="8"/>
      <c r="F61" s="8"/>
      <c r="G61" s="8"/>
      <c r="H61" s="8"/>
    </row>
    <row r="62" customFormat="false" ht="15" hidden="false" customHeight="false" outlineLevel="1" collapsed="false">
      <c r="A62" s="3" t="s">
        <v>115</v>
      </c>
      <c r="C62" s="10" t="str">
        <f aca="false">季度追蹤!C12</f>
        <v>Q3 2026</v>
      </c>
      <c r="I62" s="6" t="s">
        <v>116</v>
      </c>
    </row>
    <row r="63" customFormat="false" ht="15" hidden="false" customHeight="false" outlineLevel="1" collapsed="false">
      <c r="A63" s="3" t="s">
        <v>117</v>
      </c>
      <c r="B63" s="11" t="s">
        <v>59</v>
      </c>
      <c r="C63" s="10" t="n">
        <f aca="false">季度追蹤!C6</f>
        <v>29.2890004164997</v>
      </c>
      <c r="D63" s="10" t="str">
        <f aca="false">季度追蹤!D6</f>
        <v>不適用</v>
      </c>
      <c r="E63" s="10" t="str">
        <f aca="false">季度追蹤!F6</f>
        <v>不適用</v>
      </c>
      <c r="F63" s="10" t="str">
        <f aca="false">季度追蹤!G6</f>
        <v>不適用</v>
      </c>
      <c r="G63" s="10" t="str">
        <f aca="false">季度追蹤!I6</f>
        <v>待公布</v>
      </c>
      <c r="I63" s="6" t="s">
        <v>118</v>
      </c>
    </row>
    <row r="64" customFormat="false" ht="15" hidden="false" customHeight="false" outlineLevel="1" collapsed="false">
      <c r="A64" s="2" t="s">
        <v>119</v>
      </c>
      <c r="C64" s="10" t="str">
        <f aca="false">INDEX(季度追蹤!$C$123:$H$123,輸入與假設!$C$373)</f>
        <v>營收：模型 $29.3m</v>
      </c>
    </row>
    <row r="65" customFormat="false" ht="15" hidden="false" customHeight="false" outlineLevel="1" collapsed="false">
      <c r="A65" s="3" t="s">
        <v>120</v>
      </c>
      <c r="B65" s="11" t="s">
        <v>59</v>
      </c>
      <c r="C65" s="10" t="n">
        <f aca="false">季度追蹤!C7</f>
        <v>3.51088152358675</v>
      </c>
      <c r="D65" s="10" t="str">
        <f aca="false">季度追蹤!D7</f>
        <v>不適用</v>
      </c>
      <c r="E65" s="10" t="str">
        <f aca="false">季度追蹤!F7</f>
        <v>不適用</v>
      </c>
      <c r="F65" s="10" t="str">
        <f aca="false">季度追蹤!G7</f>
        <v>不適用</v>
      </c>
      <c r="G65" s="10" t="str">
        <f aca="false">季度追蹤!I7</f>
        <v>待公布</v>
      </c>
      <c r="I65" s="6" t="s">
        <v>118</v>
      </c>
    </row>
    <row r="66" customFormat="false" ht="15" hidden="false" customHeight="false" outlineLevel="1" collapsed="false">
      <c r="A66" s="2" t="s">
        <v>121</v>
      </c>
      <c r="C66" s="10" t="str">
        <f aca="false">INDEX(季度追蹤!$C$124:$H$124,輸入與假設!$C$373)</f>
        <v>調整後 EBITDA：模型 $3.5m</v>
      </c>
    </row>
    <row r="67" customFormat="false" ht="15" hidden="false" customHeight="false" outlineLevel="1" collapsed="false">
      <c r="A67" s="3" t="s">
        <v>122</v>
      </c>
      <c r="B67" s="11" t="s">
        <v>59</v>
      </c>
      <c r="C67" s="10" t="n">
        <f aca="false">季度追蹤!C10</f>
        <v>64.2662099564625</v>
      </c>
      <c r="D67" s="10" t="str">
        <f aca="false">季度追蹤!D10</f>
        <v>不適用</v>
      </c>
      <c r="E67" s="10" t="str">
        <f aca="false">季度追蹤!F10</f>
        <v>不適用</v>
      </c>
      <c r="F67" s="10" t="str">
        <f aca="false">季度追蹤!G10</f>
        <v>不適用</v>
      </c>
      <c r="G67" s="10" t="str">
        <f aca="false">季度追蹤!I10</f>
        <v>待公布</v>
      </c>
      <c r="I67" s="6" t="s">
        <v>118</v>
      </c>
    </row>
    <row r="68" customFormat="false" ht="15" hidden="false" customHeight="false" outlineLevel="1" collapsed="false">
      <c r="A68" s="2" t="s">
        <v>123</v>
      </c>
      <c r="C68" s="10" t="str">
        <f aca="false">INDEX(季度追蹤!$C$127:$H$127,輸入與假設!$C$373)</f>
        <v>CapEx（毛額）：模型 $64.3m</v>
      </c>
    </row>
    <row r="69" customFormat="false" ht="15" hidden="false" customHeight="false" outlineLevel="1" collapsed="false">
      <c r="A69" s="3" t="s">
        <v>124</v>
      </c>
      <c r="B69" s="6" t="s">
        <v>125</v>
      </c>
      <c r="C69" s="9" t="n">
        <f aca="false">輸入與假設!$C$337</f>
        <v>0</v>
      </c>
      <c r="D69" s="9" t="n">
        <f aca="false">輸入與假設!$C$338</f>
        <v>9</v>
      </c>
      <c r="E69" s="9" t="n">
        <f aca="false">輸入與假設!$C$339</f>
        <v>1</v>
      </c>
      <c r="F69" s="9" t="n">
        <f aca="false">輸入與假設!$C$340</f>
        <v>1</v>
      </c>
      <c r="G69" s="9" t="n">
        <f aca="false">輸入與假設!$C$341</f>
        <v>0</v>
      </c>
      <c r="I69" s="11" t="s">
        <v>126</v>
      </c>
    </row>
    <row r="70" customFormat="false" ht="15" hidden="false" customHeight="false" outlineLevel="1" collapsed="false">
      <c r="A70" s="3" t="s">
        <v>127</v>
      </c>
      <c r="B70" s="11" t="s">
        <v>39</v>
      </c>
      <c r="C70" s="12" t="n">
        <f aca="false">輸入與假設!$C$322</f>
        <v>38</v>
      </c>
      <c r="D70" s="12" t="str">
        <f aca="false">"—"</f>
        <v>—</v>
      </c>
      <c r="E70" s="12" t="n">
        <f aca="false">輸入與假設!$C$323</f>
        <v>32</v>
      </c>
      <c r="F70" s="12" t="n">
        <f aca="false">輸入與假設!$C$324</f>
        <v>50</v>
      </c>
      <c r="I70" s="11" t="s">
        <v>128</v>
      </c>
    </row>
    <row r="71" customFormat="false" ht="15" hidden="false" customHeight="false" outlineLevel="1" collapsed="false"/>
    <row r="72" customFormat="false" ht="15" hidden="false" customHeight="false" outlineLevel="1" collapsed="false">
      <c r="A72" s="6" t="s">
        <v>129</v>
      </c>
    </row>
    <row r="73" customFormat="false" ht="15" hidden="false" customHeight="false" outlineLevel="1" collapsed="false">
      <c r="A73" s="6" t="s">
        <v>130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3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131</v>
      </c>
    </row>
    <row r="2" customFormat="false" ht="15" hidden="false" customHeight="false" outlineLevel="0" collapsed="false">
      <c r="A2" s="11" t="s">
        <v>132</v>
      </c>
    </row>
    <row r="4" customFormat="false" ht="15" hidden="false" customHeight="false" outlineLevel="0" collapsed="false">
      <c r="A4" s="7" t="s">
        <v>133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134</v>
      </c>
      <c r="C5" s="18" t="n">
        <v>2</v>
      </c>
      <c r="D5" s="2" t="str">
        <f aca="false">CHOOSE(C5,"保守 只有已簽約","基準 加 NC-1 下一批","積極 NC-2／3 與 Krambu")</f>
        <v>基準 加 NC-1 下一批</v>
      </c>
      <c r="E5" s="2" t="s">
        <v>135</v>
      </c>
      <c r="F5" s="18" t="n">
        <v>2</v>
      </c>
      <c r="G5" s="2" t="str">
        <f aca="false">CHOOSE(F5,"價格低","價格基準","價格高")</f>
        <v>價格基準</v>
      </c>
      <c r="I5" s="6" t="s">
        <v>136</v>
      </c>
    </row>
    <row r="6" customFormat="false" ht="15" hidden="false" customHeight="false" outlineLevel="1" collapsed="false">
      <c r="A6" s="19" t="s">
        <v>137</v>
      </c>
      <c r="B6" s="20"/>
      <c r="C6" s="20"/>
      <c r="D6" s="20"/>
      <c r="E6" s="20"/>
      <c r="F6" s="20"/>
      <c r="G6" s="20"/>
      <c r="H6" s="20"/>
    </row>
    <row r="7" customFormat="false" ht="15" hidden="false" customHeight="false" outlineLevel="2" collapsed="false">
      <c r="A7" s="14" t="s">
        <v>138</v>
      </c>
      <c r="B7" s="14" t="s">
        <v>54</v>
      </c>
      <c r="C7" s="15" t="s">
        <v>55</v>
      </c>
      <c r="D7" s="15" t="s">
        <v>56</v>
      </c>
      <c r="E7" s="15" t="s">
        <v>57</v>
      </c>
      <c r="F7" s="15" t="s">
        <v>139</v>
      </c>
      <c r="G7" s="15" t="s">
        <v>140</v>
      </c>
      <c r="I7" s="15" t="s">
        <v>141</v>
      </c>
    </row>
    <row r="8" customFormat="false" ht="15" hidden="false" customHeight="false" outlineLevel="2" collapsed="false">
      <c r="A8" s="3" t="s">
        <v>142</v>
      </c>
      <c r="B8" s="11" t="s">
        <v>143</v>
      </c>
      <c r="C8" s="21" t="n">
        <v>14.574</v>
      </c>
      <c r="I8" s="6" t="s">
        <v>144</v>
      </c>
    </row>
    <row r="9" customFormat="false" ht="15" hidden="false" customHeight="false" outlineLevel="2" collapsed="false">
      <c r="A9" s="3" t="s">
        <v>145</v>
      </c>
      <c r="B9" s="11" t="s">
        <v>143</v>
      </c>
      <c r="C9" s="21" t="n">
        <v>12.074</v>
      </c>
      <c r="D9" s="21" t="n">
        <v>14.048</v>
      </c>
      <c r="E9" s="21" t="n">
        <v>14.048</v>
      </c>
      <c r="F9" s="21" t="n">
        <v>14.048</v>
      </c>
      <c r="G9" s="21" t="n">
        <v>14.048</v>
      </c>
      <c r="I9" s="11" t="s">
        <v>146</v>
      </c>
    </row>
    <row r="10" customFormat="false" ht="15" hidden="false" customHeight="false" outlineLevel="2" collapsed="false">
      <c r="A10" s="3" t="s">
        <v>147</v>
      </c>
      <c r="B10" s="11" t="s">
        <v>148</v>
      </c>
      <c r="C10" s="21" t="n">
        <v>100</v>
      </c>
      <c r="I10" s="11" t="s">
        <v>149</v>
      </c>
    </row>
    <row r="11" customFormat="false" ht="15" hidden="false" customHeight="false" outlineLevel="2" collapsed="false">
      <c r="A11" s="3" t="s">
        <v>150</v>
      </c>
      <c r="B11" s="11" t="s">
        <v>143</v>
      </c>
      <c r="C11" s="22" t="n">
        <f aca="false">MIN(C9,輸入與假設!$C$8)</f>
        <v>12.074</v>
      </c>
      <c r="D11" s="22" t="n">
        <f aca="false">MIN(D9,C11+輸入與假設!$C$10*D$41)</f>
        <v>14.048</v>
      </c>
      <c r="E11" s="22" t="n">
        <f aca="false">MIN(E9,D11+輸入與假設!$C$10*E$41)</f>
        <v>14.048</v>
      </c>
      <c r="F11" s="22" t="n">
        <f aca="false">MIN(F9,E11+輸入與假設!$C$10*F$41)</f>
        <v>14.048</v>
      </c>
      <c r="G11" s="22" t="n">
        <f aca="false">MIN(G9,F11+輸入與假設!$C$10*G$41)</f>
        <v>14.048</v>
      </c>
      <c r="I11" s="21" t="n">
        <v>0</v>
      </c>
      <c r="J11" s="6" t="s">
        <v>151</v>
      </c>
    </row>
    <row r="12" customFormat="false" ht="15" hidden="false" customHeight="false" outlineLevel="2" collapsed="false">
      <c r="A12" s="3" t="s">
        <v>152</v>
      </c>
      <c r="B12" s="11" t="s">
        <v>143</v>
      </c>
      <c r="C12" s="21" t="n">
        <v>14.574</v>
      </c>
      <c r="D12" s="21" t="n">
        <v>16.548</v>
      </c>
      <c r="E12" s="21" t="n">
        <v>19.548</v>
      </c>
      <c r="F12" s="21" t="n">
        <v>22.548</v>
      </c>
      <c r="G12" s="21" t="n">
        <v>25.548</v>
      </c>
      <c r="I12" s="11" t="s">
        <v>146</v>
      </c>
    </row>
    <row r="13" customFormat="false" ht="15" hidden="false" customHeight="false" outlineLevel="2" collapsed="false">
      <c r="A13" s="3" t="s">
        <v>153</v>
      </c>
      <c r="B13" s="11" t="s">
        <v>148</v>
      </c>
      <c r="C13" s="21" t="n">
        <v>100</v>
      </c>
      <c r="I13" s="11" t="s">
        <v>149</v>
      </c>
    </row>
    <row r="14" customFormat="false" ht="15" hidden="false" customHeight="false" outlineLevel="2" collapsed="false">
      <c r="A14" s="3" t="s">
        <v>154</v>
      </c>
      <c r="B14" s="11" t="s">
        <v>143</v>
      </c>
      <c r="C14" s="22" t="n">
        <f aca="false">MIN(C12,輸入與假設!$C$8)</f>
        <v>14.574</v>
      </c>
      <c r="D14" s="22" t="n">
        <f aca="false">MIN(D12,C14+輸入與假設!$C$13*D$41)</f>
        <v>16.548</v>
      </c>
      <c r="E14" s="22" t="n">
        <f aca="false">MIN(E12,D14+輸入與假設!$C$13*E$41)</f>
        <v>19.548</v>
      </c>
      <c r="F14" s="22" t="n">
        <f aca="false">MIN(F12,E14+輸入與假設!$C$13*F$41)</f>
        <v>22.548</v>
      </c>
      <c r="G14" s="22" t="n">
        <f aca="false">MIN(G12,F14+輸入與假設!$C$13*G$41)</f>
        <v>25.548</v>
      </c>
      <c r="I14" s="21" t="n">
        <v>0</v>
      </c>
      <c r="J14" s="6" t="s">
        <v>155</v>
      </c>
    </row>
    <row r="15" customFormat="false" ht="15" hidden="false" customHeight="false" outlineLevel="2" collapsed="false">
      <c r="A15" s="3" t="s">
        <v>156</v>
      </c>
      <c r="B15" s="11" t="s">
        <v>143</v>
      </c>
      <c r="C15" s="21" t="n">
        <v>14.574</v>
      </c>
      <c r="D15" s="21" t="n">
        <v>16.548</v>
      </c>
      <c r="E15" s="21" t="n">
        <v>22.548</v>
      </c>
      <c r="F15" s="21" t="n">
        <v>28.548</v>
      </c>
      <c r="G15" s="21" t="n">
        <v>34.548</v>
      </c>
      <c r="I15" s="11" t="s">
        <v>146</v>
      </c>
    </row>
    <row r="16" customFormat="false" ht="15" hidden="false" customHeight="false" outlineLevel="2" collapsed="false">
      <c r="A16" s="3" t="s">
        <v>157</v>
      </c>
      <c r="B16" s="11" t="s">
        <v>148</v>
      </c>
      <c r="C16" s="21" t="n">
        <v>100</v>
      </c>
      <c r="I16" s="11" t="s">
        <v>149</v>
      </c>
    </row>
    <row r="17" customFormat="false" ht="15" hidden="false" customHeight="false" outlineLevel="2" collapsed="false">
      <c r="A17" s="3" t="s">
        <v>158</v>
      </c>
      <c r="B17" s="11" t="s">
        <v>143</v>
      </c>
      <c r="C17" s="22" t="n">
        <f aca="false">MIN(C15,輸入與假設!$C$8)</f>
        <v>14.574</v>
      </c>
      <c r="D17" s="22" t="n">
        <f aca="false">MIN(D15,C17+輸入與假設!$C$16*D$41)</f>
        <v>16.548</v>
      </c>
      <c r="E17" s="22" t="n">
        <f aca="false">MIN(E15,D17+輸入與假設!$C$16*E$41)</f>
        <v>22.548</v>
      </c>
      <c r="F17" s="22" t="n">
        <f aca="false">MIN(F15,E17+輸入與假設!$C$16*F$41)</f>
        <v>28.548</v>
      </c>
      <c r="G17" s="22" t="n">
        <f aca="false">MIN(G15,F17+輸入與假設!$C$16*G$41)</f>
        <v>34.548</v>
      </c>
      <c r="I17" s="21" t="n">
        <v>0</v>
      </c>
      <c r="J17" s="6" t="s">
        <v>159</v>
      </c>
    </row>
    <row r="18" customFormat="false" ht="15" hidden="false" customHeight="false" outlineLevel="2" collapsed="false">
      <c r="A18" s="3" t="s">
        <v>160</v>
      </c>
      <c r="B18" s="11" t="s">
        <v>161</v>
      </c>
      <c r="C18" s="23" t="n">
        <f aca="false">每MW收入_錨定!C51</f>
        <v>11.2021245238478</v>
      </c>
      <c r="D18" s="23" t="n">
        <f aca="false">每MW收入_錨定!D51</f>
        <v>11.6316041120839</v>
      </c>
      <c r="E18" s="23" t="n">
        <f aca="false">每MW收入_錨定!E51</f>
        <v>11.7809431334956</v>
      </c>
      <c r="F18" s="23" t="n">
        <f aca="false">每MW收入_錨定!F51</f>
        <v>11.7809431334956</v>
      </c>
      <c r="G18" s="23" t="n">
        <f aca="false">每MW收入_錨定!G51</f>
        <v>11.7809431334956</v>
      </c>
      <c r="I18" s="6" t="s">
        <v>162</v>
      </c>
    </row>
    <row r="19" customFormat="false" ht="15" hidden="false" customHeight="false" outlineLevel="2" collapsed="false">
      <c r="A19" s="3" t="s">
        <v>163</v>
      </c>
      <c r="B19" s="11" t="s">
        <v>161</v>
      </c>
      <c r="C19" s="23" t="n">
        <f aca="false">每MW收入_錨定!C78</f>
        <v>11.3191096123778</v>
      </c>
      <c r="D19" s="23" t="n">
        <f aca="false">每MW收入_錨定!D78</f>
        <v>11.7135178513398</v>
      </c>
      <c r="E19" s="23" t="n">
        <f aca="false">每MW收入_錨定!E78</f>
        <v>11.9325114275991</v>
      </c>
      <c r="F19" s="23" t="n">
        <f aca="false">每MW收入_錨定!F78</f>
        <v>12.1388872844007</v>
      </c>
      <c r="G19" s="23" t="n">
        <f aca="false">每MW收入_錨定!G78</f>
        <v>12.3407664644543</v>
      </c>
      <c r="I19" s="6" t="s">
        <v>162</v>
      </c>
    </row>
    <row r="20" customFormat="false" ht="15" hidden="false" customHeight="false" outlineLevel="2" collapsed="false">
      <c r="A20" s="3" t="s">
        <v>164</v>
      </c>
      <c r="B20" s="11" t="s">
        <v>161</v>
      </c>
      <c r="C20" s="23" t="n">
        <f aca="false">每MW收入_錨定!C105</f>
        <v>11.3191096123778</v>
      </c>
      <c r="D20" s="23" t="n">
        <f aca="false">每MW收入_錨定!D105</f>
        <v>11.7135178513398</v>
      </c>
      <c r="E20" s="23" t="n">
        <f aca="false">每MW收入_錨定!E105</f>
        <v>12.0147111405003</v>
      </c>
      <c r="F20" s="23" t="n">
        <f aca="false">每MW收入_錨定!F105</f>
        <v>12.3354563961177</v>
      </c>
      <c r="G20" s="23" t="n">
        <f aca="false">每MW收入_錨定!G105</f>
        <v>12.6058433104564</v>
      </c>
      <c r="I20" s="6" t="s">
        <v>162</v>
      </c>
    </row>
    <row r="21" customFormat="false" ht="15" hidden="false" customHeight="false" outlineLevel="2" collapsed="false">
      <c r="A21" s="3" t="s">
        <v>165</v>
      </c>
      <c r="B21" s="11" t="s">
        <v>42</v>
      </c>
      <c r="C21" s="24" t="n">
        <v>0.7</v>
      </c>
      <c r="D21" s="24" t="n">
        <v>0.85</v>
      </c>
      <c r="E21" s="24" t="n">
        <v>0.9</v>
      </c>
      <c r="F21" s="24" t="n">
        <v>0.9</v>
      </c>
      <c r="G21" s="24" t="n">
        <v>0.9</v>
      </c>
      <c r="I21" s="6" t="s">
        <v>166</v>
      </c>
    </row>
    <row r="22" customFormat="false" ht="15" hidden="false" customHeight="false" outlineLevel="2" collapsed="false">
      <c r="A22" s="3" t="s">
        <v>167</v>
      </c>
      <c r="B22" s="11" t="s">
        <v>59</v>
      </c>
      <c r="C22" s="25" t="n">
        <v>46.024</v>
      </c>
      <c r="I22" s="6" t="s">
        <v>168</v>
      </c>
    </row>
    <row r="23" customFormat="false" ht="15" hidden="false" customHeight="false" outlineLevel="2" collapsed="false">
      <c r="A23" s="3" t="s">
        <v>169</v>
      </c>
      <c r="B23" s="11" t="s">
        <v>143</v>
      </c>
      <c r="C23" s="22" t="n">
        <f aca="false">ROUND(輸入與假設!$C$22/C18,2)</f>
        <v>4.11</v>
      </c>
      <c r="I23" s="6" t="s">
        <v>170</v>
      </c>
    </row>
    <row r="24" customFormat="false" ht="15" hidden="false" customHeight="false" outlineLevel="2" collapsed="false">
      <c r="A24" s="3" t="s">
        <v>171</v>
      </c>
      <c r="B24" s="11" t="s">
        <v>143</v>
      </c>
      <c r="C24" s="22" t="n">
        <f aca="false">ROUND(輸入與假設!$C$22/C19,2)</f>
        <v>4.07</v>
      </c>
      <c r="I24" s="6" t="s">
        <v>170</v>
      </c>
    </row>
    <row r="25" customFormat="false" ht="15" hidden="false" customHeight="false" outlineLevel="2" collapsed="false">
      <c r="A25" s="3" t="s">
        <v>172</v>
      </c>
      <c r="B25" s="11" t="s">
        <v>143</v>
      </c>
      <c r="C25" s="22" t="n">
        <f aca="false">ROUND(輸入與假設!$C$22/C20,2)</f>
        <v>4.07</v>
      </c>
      <c r="I25" s="6" t="s">
        <v>170</v>
      </c>
    </row>
    <row r="26" customFormat="false" ht="15" hidden="false" customHeight="false" outlineLevel="2" collapsed="false">
      <c r="A26" s="3" t="s">
        <v>173</v>
      </c>
      <c r="B26" s="11" t="s">
        <v>59</v>
      </c>
      <c r="C26" s="25" t="n">
        <v>20.296</v>
      </c>
      <c r="I26" s="6" t="s">
        <v>174</v>
      </c>
    </row>
    <row r="27" customFormat="false" ht="15" hidden="false" customHeight="false" outlineLevel="2" collapsed="false">
      <c r="A27" s="3" t="s">
        <v>175</v>
      </c>
      <c r="B27" s="6" t="s">
        <v>176</v>
      </c>
      <c r="C27" s="21" t="n">
        <v>1</v>
      </c>
      <c r="I27" s="11" t="s">
        <v>177</v>
      </c>
    </row>
    <row r="28" customFormat="false" ht="15" hidden="false" customHeight="false" outlineLevel="2" collapsed="false">
      <c r="A28" s="3" t="s">
        <v>178</v>
      </c>
      <c r="B28" s="6" t="s">
        <v>176</v>
      </c>
      <c r="C28" s="21" t="n">
        <v>1</v>
      </c>
      <c r="I28" s="6" t="s">
        <v>179</v>
      </c>
    </row>
    <row r="29" customFormat="false" ht="15" hidden="false" customHeight="false" outlineLevel="2" collapsed="false">
      <c r="A29" s="3" t="s">
        <v>180</v>
      </c>
      <c r="B29" s="6" t="s">
        <v>181</v>
      </c>
      <c r="C29" s="26" t="n">
        <v>4.916667</v>
      </c>
      <c r="I29" s="6" t="s">
        <v>182</v>
      </c>
    </row>
    <row r="30" customFormat="false" ht="15" hidden="false" customHeight="false" outlineLevel="0" collapsed="false">
      <c r="A30" s="7" t="s">
        <v>183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4" t="s">
        <v>184</v>
      </c>
      <c r="B31" s="11" t="s">
        <v>59</v>
      </c>
      <c r="C31" s="25" t="n">
        <v>75.146</v>
      </c>
      <c r="I31" s="6" t="s">
        <v>185</v>
      </c>
    </row>
    <row r="32" customFormat="false" ht="15" hidden="false" customHeight="false" outlineLevel="1" collapsed="false">
      <c r="A32" s="3" t="s">
        <v>186</v>
      </c>
      <c r="B32" s="11" t="s">
        <v>59</v>
      </c>
      <c r="C32" s="25" t="n">
        <v>0</v>
      </c>
      <c r="I32" s="6" t="s">
        <v>187</v>
      </c>
    </row>
    <row r="33" customFormat="false" ht="15" hidden="false" customHeight="false" outlineLevel="1" collapsed="false">
      <c r="A33" s="3" t="s">
        <v>188</v>
      </c>
      <c r="B33" s="11" t="s">
        <v>42</v>
      </c>
      <c r="C33" s="24" t="n">
        <v>1</v>
      </c>
      <c r="I33" s="6" t="s">
        <v>189</v>
      </c>
    </row>
    <row r="34" customFormat="false" ht="15" hidden="false" customHeight="false" outlineLevel="1" collapsed="false">
      <c r="A34" s="4" t="s">
        <v>190</v>
      </c>
      <c r="B34" s="11" t="s">
        <v>42</v>
      </c>
      <c r="C34" s="24" t="n">
        <v>1</v>
      </c>
      <c r="I34" s="6" t="s">
        <v>191</v>
      </c>
    </row>
    <row r="35" customFormat="false" ht="15" hidden="false" customHeight="false" outlineLevel="1" collapsed="false">
      <c r="A35" s="4" t="s">
        <v>192</v>
      </c>
      <c r="B35" s="11" t="s">
        <v>143</v>
      </c>
      <c r="C35" s="21" t="n">
        <v>5.5</v>
      </c>
      <c r="I35" s="11" t="s">
        <v>193</v>
      </c>
    </row>
    <row r="36" customFormat="false" ht="15" hidden="false" customHeight="false" outlineLevel="1" collapsed="false">
      <c r="A36" s="4" t="s">
        <v>194</v>
      </c>
      <c r="B36" s="11" t="s">
        <v>143</v>
      </c>
      <c r="C36" s="22" t="n">
        <f aca="false">CHOOSE(輸入與假設!$C$5,輸入與假設!$C$23,輸入與假設!$C$24,輸入與假設!$C$25)</f>
        <v>4.07</v>
      </c>
      <c r="I36" s="6" t="s">
        <v>195</v>
      </c>
    </row>
    <row r="37" customFormat="false" ht="15" hidden="false" customHeight="false" outlineLevel="1" collapsed="false">
      <c r="A37" s="3" t="s">
        <v>196</v>
      </c>
      <c r="B37" s="6"/>
      <c r="C37" s="21" t="n">
        <v>1</v>
      </c>
      <c r="I37" s="11" t="s">
        <v>197</v>
      </c>
    </row>
    <row r="38" customFormat="false" ht="15" hidden="false" customHeight="false" outlineLevel="1" collapsed="false">
      <c r="A38" s="3" t="s">
        <v>198</v>
      </c>
      <c r="B38" s="6"/>
      <c r="C38" s="27" t="s">
        <v>199</v>
      </c>
      <c r="I38" s="11" t="s">
        <v>200</v>
      </c>
    </row>
    <row r="39" customFormat="false" ht="15" hidden="false" customHeight="false" outlineLevel="1" collapsed="false">
      <c r="A39" s="3" t="s">
        <v>201</v>
      </c>
      <c r="B39" s="11" t="s">
        <v>42</v>
      </c>
      <c r="C39" s="24" t="n">
        <v>1</v>
      </c>
      <c r="I39" s="6" t="s">
        <v>202</v>
      </c>
    </row>
    <row r="40" customFormat="false" ht="15" hidden="false" customHeight="false" outlineLevel="1" collapsed="false">
      <c r="A40" s="14" t="s">
        <v>53</v>
      </c>
      <c r="B40" s="14" t="s">
        <v>54</v>
      </c>
      <c r="C40" s="28" t="s">
        <v>55</v>
      </c>
      <c r="D40" s="28" t="s">
        <v>56</v>
      </c>
      <c r="E40" s="28" t="s">
        <v>57</v>
      </c>
      <c r="F40" s="28" t="s">
        <v>139</v>
      </c>
      <c r="G40" s="28" t="s">
        <v>140</v>
      </c>
      <c r="I40" s="14" t="s">
        <v>203</v>
      </c>
    </row>
    <row r="41" customFormat="false" ht="15" hidden="false" customHeight="false" outlineLevel="1" collapsed="false">
      <c r="A41" s="3" t="s">
        <v>204</v>
      </c>
      <c r="B41" s="6"/>
      <c r="C41" s="25" t="n">
        <v>0.5</v>
      </c>
      <c r="D41" s="25" t="n">
        <v>1</v>
      </c>
      <c r="E41" s="25" t="n">
        <v>1</v>
      </c>
      <c r="F41" s="25" t="n">
        <v>1</v>
      </c>
      <c r="G41" s="25" t="n">
        <v>1</v>
      </c>
      <c r="I41" s="6" t="s">
        <v>205</v>
      </c>
    </row>
    <row r="42" customFormat="false" ht="15" hidden="false" customHeight="false" outlineLevel="1" collapsed="false">
      <c r="A42" s="4" t="s">
        <v>206</v>
      </c>
      <c r="B42" s="11" t="s">
        <v>42</v>
      </c>
      <c r="C42" s="24" t="n">
        <v>0.2878</v>
      </c>
      <c r="D42" s="24" t="n">
        <v>0.575599</v>
      </c>
      <c r="E42" s="24" t="n">
        <v>0.136601</v>
      </c>
      <c r="F42" s="24" t="n">
        <v>0</v>
      </c>
      <c r="G42" s="24" t="n">
        <v>0</v>
      </c>
      <c r="H42" s="29" t="n">
        <f aca="false">SUM(C42:G42)</f>
        <v>1</v>
      </c>
      <c r="I42" s="6" t="s">
        <v>207</v>
      </c>
    </row>
    <row r="43" customFormat="false" ht="15" hidden="false" customHeight="false" outlineLevel="1" collapsed="false">
      <c r="A43" s="4" t="s">
        <v>208</v>
      </c>
      <c r="B43" s="11" t="s">
        <v>143</v>
      </c>
      <c r="C43" s="22" t="n">
        <f aca="false">CHOOSE(輸入與假設!$C$5,C11,C14,C17)</f>
        <v>14.574</v>
      </c>
      <c r="D43" s="22" t="n">
        <f aca="false">CHOOSE(輸入與假設!$C$5,D11,D14,D17)</f>
        <v>16.548</v>
      </c>
      <c r="E43" s="22" t="n">
        <f aca="false">CHOOSE(輸入與假設!$C$5,E11,E14,E17)</f>
        <v>19.548</v>
      </c>
      <c r="F43" s="22" t="n">
        <f aca="false">CHOOSE(輸入與假設!$C$5,F11,F14,F17)</f>
        <v>22.548</v>
      </c>
      <c r="G43" s="22" t="n">
        <f aca="false">CHOOSE(輸入與假設!$C$5,G11,G14,G17)</f>
        <v>25.548</v>
      </c>
      <c r="I43" s="6" t="s">
        <v>209</v>
      </c>
    </row>
    <row r="44" customFormat="false" ht="15" hidden="false" customHeight="false" outlineLevel="1" collapsed="false">
      <c r="A44" s="4" t="s">
        <v>210</v>
      </c>
      <c r="B44" s="11" t="s">
        <v>143</v>
      </c>
      <c r="C44" s="22" t="n">
        <f aca="false">ROUND(輸入與假設!$C$36+(C43-輸入與假設!$C$36)*C21,2)</f>
        <v>11.42</v>
      </c>
      <c r="D44" s="22" t="n">
        <f aca="false">ROUND(輸入與假設!$C$36+(D43-輸入與假設!$C$36)*D21,2)</f>
        <v>14.68</v>
      </c>
      <c r="E44" s="22" t="n">
        <f aca="false">ROUND(輸入與假設!$C$36+(E43-輸入與假設!$C$36)*E21,2)</f>
        <v>18</v>
      </c>
      <c r="F44" s="22" t="n">
        <f aca="false">ROUND(輸入與假設!$C$36+(F43-輸入與假設!$C$36)*F21,2)</f>
        <v>20.7</v>
      </c>
      <c r="G44" s="22" t="n">
        <f aca="false">ROUND(輸入與假設!$C$36+(G43-輸入與假設!$C$36)*G21,2)</f>
        <v>23.4</v>
      </c>
      <c r="I44" s="6" t="s">
        <v>211</v>
      </c>
    </row>
    <row r="45" customFormat="false" ht="15" hidden="false" customHeight="false" outlineLevel="1" collapsed="false">
      <c r="A45" s="3" t="s">
        <v>212</v>
      </c>
      <c r="B45" s="11" t="s">
        <v>42</v>
      </c>
      <c r="C45" s="24" t="n">
        <v>1</v>
      </c>
      <c r="D45" s="24" t="n">
        <v>1</v>
      </c>
      <c r="E45" s="24" t="n">
        <v>1</v>
      </c>
      <c r="F45" s="24" t="n">
        <v>1</v>
      </c>
      <c r="G45" s="24" t="n">
        <v>1</v>
      </c>
      <c r="I45" s="11" t="s">
        <v>213</v>
      </c>
    </row>
    <row r="46" customFormat="false" ht="15" hidden="false" customHeight="false" outlineLevel="1" collapsed="false">
      <c r="A46" s="3" t="s">
        <v>214</v>
      </c>
      <c r="B46" s="11" t="s">
        <v>161</v>
      </c>
      <c r="C46" s="30" t="n">
        <f aca="false">CHOOSE(輸入與假設!$C$5,C18,C19,C20)</f>
        <v>11.3191096123778</v>
      </c>
      <c r="D46" s="30" t="n">
        <f aca="false">CHOOSE(輸入與假設!$C$5,D18,D19,D20)</f>
        <v>11.7135178513398</v>
      </c>
      <c r="E46" s="30" t="n">
        <f aca="false">CHOOSE(輸入與假設!$C$5,E18,E19,E20)</f>
        <v>11.9325114275991</v>
      </c>
      <c r="F46" s="30" t="n">
        <f aca="false">CHOOSE(輸入與假設!$C$5,F18,F19,F20)</f>
        <v>12.1388872844007</v>
      </c>
      <c r="G46" s="30" t="n">
        <f aca="false">CHOOSE(輸入與假設!$C$5,G18,G19,G20)</f>
        <v>12.3407664644543</v>
      </c>
      <c r="I46" s="6" t="s">
        <v>215</v>
      </c>
    </row>
    <row r="47" customFormat="false" ht="15" hidden="false" customHeight="false" outlineLevel="1" collapsed="false">
      <c r="A47" s="3" t="s">
        <v>216</v>
      </c>
      <c r="B47" s="11" t="s">
        <v>42</v>
      </c>
      <c r="C47" s="24" t="n">
        <v>1</v>
      </c>
      <c r="D47" s="24" t="n">
        <v>1</v>
      </c>
      <c r="E47" s="24" t="n">
        <v>1</v>
      </c>
      <c r="F47" s="24" t="n">
        <v>1</v>
      </c>
      <c r="G47" s="24" t="n">
        <v>1</v>
      </c>
      <c r="I47" s="11" t="s">
        <v>217</v>
      </c>
    </row>
    <row r="48" customFormat="false" ht="15" hidden="false" customHeight="false" outlineLevel="1" collapsed="false">
      <c r="A48" s="3" t="s">
        <v>218</v>
      </c>
      <c r="B48" s="11" t="s">
        <v>42</v>
      </c>
      <c r="C48" s="24" t="n">
        <v>0.005</v>
      </c>
      <c r="D48" s="24" t="n">
        <v>0.01</v>
      </c>
      <c r="E48" s="24" t="n">
        <v>0.015</v>
      </c>
      <c r="F48" s="24" t="n">
        <v>0.02</v>
      </c>
      <c r="G48" s="24" t="n">
        <v>0.025</v>
      </c>
      <c r="I48" s="6" t="s">
        <v>219</v>
      </c>
    </row>
    <row r="49" customFormat="false" ht="15" hidden="false" customHeight="false" outlineLevel="1" collapsed="false">
      <c r="A49" s="3" t="s">
        <v>220</v>
      </c>
      <c r="B49" s="11" t="s">
        <v>42</v>
      </c>
      <c r="C49" s="24" t="n">
        <v>0.5</v>
      </c>
      <c r="D49" s="24" t="n">
        <v>0.5</v>
      </c>
      <c r="E49" s="24" t="n">
        <v>0.5</v>
      </c>
      <c r="F49" s="24" t="n">
        <v>0.5</v>
      </c>
      <c r="G49" s="24" t="n">
        <v>0.5</v>
      </c>
      <c r="I49" s="11" t="s">
        <v>221</v>
      </c>
    </row>
    <row r="50" customFormat="false" ht="15" hidden="false" customHeight="false" outlineLevel="1" collapsed="false">
      <c r="A50" s="3" t="s">
        <v>222</v>
      </c>
      <c r="B50" s="11" t="s">
        <v>59</v>
      </c>
      <c r="C50" s="25" t="n">
        <v>0</v>
      </c>
      <c r="D50" s="25" t="n">
        <v>0</v>
      </c>
      <c r="E50" s="25" t="n">
        <v>0</v>
      </c>
      <c r="F50" s="25" t="n">
        <v>0</v>
      </c>
      <c r="G50" s="25" t="n">
        <v>0</v>
      </c>
      <c r="I50" s="6" t="s">
        <v>223</v>
      </c>
    </row>
    <row r="51" customFormat="false" ht="15" hidden="false" customHeight="false" outlineLevel="1" collapsed="false">
      <c r="A51" s="3" t="s">
        <v>224</v>
      </c>
      <c r="B51" s="11" t="s">
        <v>59</v>
      </c>
      <c r="C51" s="25" t="n">
        <v>0</v>
      </c>
      <c r="D51" s="25" t="n">
        <v>0</v>
      </c>
      <c r="E51" s="25" t="n">
        <v>0</v>
      </c>
      <c r="F51" s="25" t="n">
        <v>0</v>
      </c>
      <c r="G51" s="25" t="n">
        <v>0</v>
      </c>
      <c r="I51" s="6" t="s">
        <v>225</v>
      </c>
    </row>
    <row r="52" customFormat="false" ht="15" hidden="false" customHeight="false" outlineLevel="1" collapsed="false">
      <c r="A52" s="31" t="s">
        <v>226</v>
      </c>
      <c r="B52" s="20"/>
      <c r="C52" s="20"/>
      <c r="D52" s="20"/>
      <c r="E52" s="20"/>
      <c r="F52" s="20"/>
      <c r="G52" s="20"/>
      <c r="H52" s="20"/>
    </row>
    <row r="53" customFormat="false" ht="15" hidden="false" customHeight="false" outlineLevel="1" collapsed="true">
      <c r="A53" s="19" t="s">
        <v>227</v>
      </c>
      <c r="B53" s="20"/>
      <c r="C53" s="20"/>
      <c r="D53" s="20"/>
      <c r="E53" s="20"/>
      <c r="F53" s="20"/>
      <c r="G53" s="20"/>
      <c r="H53" s="20"/>
      <c r="I53" s="6" t="s">
        <v>228</v>
      </c>
    </row>
    <row r="54" customFormat="false" ht="15" hidden="true" customHeight="false" outlineLevel="2" collapsed="false">
      <c r="A54" s="3" t="s">
        <v>229</v>
      </c>
      <c r="B54" s="6" t="s">
        <v>181</v>
      </c>
      <c r="C54" s="32" t="n">
        <v>0</v>
      </c>
      <c r="D54" s="32" t="n">
        <v>0.5</v>
      </c>
      <c r="E54" s="32" t="n">
        <v>1.5</v>
      </c>
      <c r="F54" s="32" t="n">
        <v>2.5</v>
      </c>
      <c r="G54" s="32" t="n">
        <v>3.5</v>
      </c>
      <c r="I54" s="6" t="s">
        <v>230</v>
      </c>
    </row>
    <row r="55" customFormat="false" ht="15" hidden="true" customHeight="false" outlineLevel="2" collapsed="false">
      <c r="A55" s="3" t="s">
        <v>231</v>
      </c>
      <c r="B55" s="6" t="s">
        <v>181</v>
      </c>
      <c r="C55" s="32" t="n">
        <v>0.5</v>
      </c>
      <c r="D55" s="32" t="n">
        <v>1.5</v>
      </c>
      <c r="E55" s="32" t="n">
        <v>2.5</v>
      </c>
      <c r="F55" s="32" t="n">
        <v>3.5</v>
      </c>
      <c r="G55" s="32" t="n">
        <v>4.5</v>
      </c>
      <c r="I55" s="6" t="s">
        <v>230</v>
      </c>
    </row>
    <row r="56" customFormat="false" ht="15" hidden="true" customHeight="false" outlineLevel="2" collapsed="false">
      <c r="A56" s="3" t="s">
        <v>232</v>
      </c>
      <c r="B56" s="6"/>
      <c r="C56" s="33" t="n">
        <v>20</v>
      </c>
      <c r="D56" s="33" t="n">
        <v>0.0833</v>
      </c>
      <c r="E56" s="33" t="n">
        <v>1.886</v>
      </c>
      <c r="F56" s="33" t="n">
        <v>0.03</v>
      </c>
      <c r="G56" s="33" t="n">
        <v>0</v>
      </c>
      <c r="I56" s="11" t="s">
        <v>233</v>
      </c>
    </row>
    <row r="57" customFormat="false" ht="15" hidden="true" customHeight="false" outlineLevel="2" collapsed="false">
      <c r="A57" s="3" t="s">
        <v>234</v>
      </c>
      <c r="B57" s="6"/>
      <c r="C57" s="33" t="n">
        <v>0</v>
      </c>
      <c r="D57" s="33" t="n">
        <v>0</v>
      </c>
      <c r="E57" s="33" t="n">
        <v>0</v>
      </c>
      <c r="F57" s="33" t="n">
        <v>1</v>
      </c>
      <c r="G57" s="33"/>
      <c r="I57" s="6" t="s">
        <v>235</v>
      </c>
    </row>
    <row r="58" customFormat="false" ht="15" hidden="true" customHeight="false" outlineLevel="2" collapsed="false">
      <c r="A58" s="3" t="s">
        <v>236</v>
      </c>
      <c r="B58" s="6"/>
      <c r="C58" s="21" t="n">
        <v>1</v>
      </c>
      <c r="D58" s="21" t="n">
        <v>1</v>
      </c>
      <c r="E58" s="21" t="n">
        <v>1</v>
      </c>
      <c r="F58" s="21"/>
      <c r="G58" s="21"/>
      <c r="I58" s="6" t="s">
        <v>237</v>
      </c>
    </row>
    <row r="59" customFormat="false" ht="15" hidden="true" customHeight="false" outlineLevel="2" collapsed="false">
      <c r="A59" s="3" t="s">
        <v>238</v>
      </c>
      <c r="B59" s="11" t="s">
        <v>59</v>
      </c>
      <c r="C59" s="32" t="n">
        <f aca="false">CHOOSE(輸入與假設!$C$5,$C$58,$D$58,$E$58)*IF(C$55&gt;MAX(C$54,($D$56+$E$57*運營_產能與收入!$C$62/12)),$C$56*$E$56*(1+$F$56)^((MAX(C$54,($D$56+$E$57*運營_產能與收入!$C$62/12))+C$55)/2-($D$56+$E$57*運營_產能與收入!$C$62/12))*(C$55-MAX(C$54,($D$56+$E$57*運營_產能與收入!$C$62/12))),0)</f>
        <v>15.8150227246047</v>
      </c>
      <c r="D59" s="32" t="n">
        <f aca="false">CHOOSE(輸入與假設!$C$5,$C$58,$D$58,$E$58)*IF(D$55&gt;MAX(D$54,($D$56+$E$57*運營_產能與收入!$C$62/12)),$C$56*$E$56*(1+$F$56)^((MAX(D$54,($D$56+$E$57*運營_產能與收入!$C$62/12))+D$55)/2-($D$56+$E$57*運營_產能與收入!$C$62/12))*(D$55-MAX(D$54,($D$56+$E$57*運營_產能與收入!$C$62/12))),0)</f>
        <v>38.7560553923364</v>
      </c>
      <c r="E59" s="32" t="n">
        <f aca="false">CHOOSE(輸入與假設!$C$5,$C$58,$D$58,$E$58)*IF(E$55&gt;MAX(E$54,($D$56+$E$57*運營_產能與收入!$C$62/12)),$C$56*$E$56*(1+$F$56)^((MAX(E$54,($D$56+$E$57*運營_產能與收入!$C$62/12))+E$55)/2-($D$56+$E$57*運營_產能與收入!$C$62/12))*(E$55-MAX(E$54,($D$56+$E$57*運營_產能與收入!$C$62/12))),0)</f>
        <v>39.9187370541065</v>
      </c>
      <c r="F59" s="32" t="n">
        <f aca="false">CHOOSE(輸入與假設!$C$5,$C$58,$D$58,$E$58)*IF(F$55&gt;MAX(F$54,($D$56+$E$57*運營_產能與收入!$C$62/12)),$C$56*$E$56*(1+$F$56)^((MAX(F$54,($D$56+$E$57*運營_產能與收入!$C$62/12))+F$55)/2-($D$56+$E$57*運營_產能與收入!$C$62/12))*(F$55-MAX(F$54,($D$56+$E$57*運營_產能與收入!$C$62/12))),0)</f>
        <v>41.1162991657297</v>
      </c>
      <c r="G59" s="32" t="n">
        <f aca="false">CHOOSE(輸入與假設!$C$5,$C$58,$D$58,$E$58)*IF(G$55&gt;MAX(G$54,($D$56+$E$57*運營_產能與收入!$C$62/12)),$C$56*$E$56*(1+$F$56)^((MAX(G$54,($D$56+$E$57*運營_產能與收入!$C$62/12))+G$55)/2-($D$56+$E$57*運營_產能與收入!$C$62/12))*(G$55-MAX(G$54,($D$56+$E$57*運營_產能與收入!$C$62/12))),0)</f>
        <v>42.3497881407016</v>
      </c>
      <c r="I59" s="6" t="s">
        <v>239</v>
      </c>
    </row>
    <row r="60" customFormat="false" ht="15" hidden="true" customHeight="false" outlineLevel="2" collapsed="false">
      <c r="A60" s="3" t="s">
        <v>240</v>
      </c>
      <c r="B60" s="11" t="s">
        <v>59</v>
      </c>
      <c r="C60" s="32" t="n">
        <f aca="false">CHOOSE(輸入與假設!$C$5,$C$58,$D$58,$E$58)*IF($D$57&gt;$C$57,$G$56*MAX(0,MIN(C$55,$D$57)-MAX(C$54,$C$57))/($D$57-$C$57),IF(OR(AND($C$57&gt;=C$54,$C$57&lt;C$55),$C$57&lt;C$54),$G$56,0))</f>
        <v>0</v>
      </c>
      <c r="D60" s="32" t="n">
        <f aca="false">CHOOSE(輸入與假設!$C$5,$C$58,$D$58,$E$58)*IF($D$57&gt;$C$57,$G$56*MAX(0,MIN(D$55,$D$57)-MAX(D$54,$C$57))/($D$57-$C$57),IF(OR(AND($C$57&gt;=D$54,$C$57&lt;D$55)),$G$56,0))</f>
        <v>0</v>
      </c>
      <c r="E60" s="32" t="n">
        <f aca="false">CHOOSE(輸入與假設!$C$5,$C$58,$D$58,$E$58)*IF($D$57&gt;$C$57,$G$56*MAX(0,MIN(E$55,$D$57)-MAX(E$54,$C$57))/($D$57-$C$57),IF(OR(AND($C$57&gt;=E$54,$C$57&lt;E$55)),$G$56,0))</f>
        <v>0</v>
      </c>
      <c r="F60" s="32" t="n">
        <f aca="false">CHOOSE(輸入與假設!$C$5,$C$58,$D$58,$E$58)*IF($D$57&gt;$C$57,$G$56*MAX(0,MIN(F$55,$D$57)-MAX(F$54,$C$57))/($D$57-$C$57),IF(OR(AND($C$57&gt;=F$54,$C$57&lt;F$55)),$G$56,0))</f>
        <v>0</v>
      </c>
      <c r="G60" s="32" t="n">
        <f aca="false">CHOOSE(輸入與假設!$C$5,$C$58,$D$58,$E$58)*IF($D$57&gt;$C$57,$G$56*MAX(0,MIN(G$55,$D$57)-MAX(G$54,$C$57))/($D$57-$C$57),IF(OR(AND($C$57&gt;=G$54,$C$57&lt;G$55)),$G$56,0))</f>
        <v>0</v>
      </c>
      <c r="I60" s="6" t="s">
        <v>241</v>
      </c>
    </row>
    <row r="61" customFormat="false" ht="15" hidden="true" customHeight="false" outlineLevel="2" collapsed="false">
      <c r="A61" s="3" t="s">
        <v>242</v>
      </c>
      <c r="B61" s="6"/>
      <c r="C61" s="33" t="n">
        <v>20</v>
      </c>
      <c r="D61" s="33" t="n">
        <v>0.1667</v>
      </c>
      <c r="E61" s="33" t="n">
        <v>1.886</v>
      </c>
      <c r="F61" s="33" t="n">
        <v>0.03</v>
      </c>
      <c r="G61" s="33" t="n">
        <v>0</v>
      </c>
      <c r="I61" s="6" t="s">
        <v>243</v>
      </c>
    </row>
    <row r="62" customFormat="false" ht="15" hidden="true" customHeight="false" outlineLevel="2" collapsed="false">
      <c r="A62" s="3" t="s">
        <v>244</v>
      </c>
      <c r="B62" s="6"/>
      <c r="C62" s="33" t="n">
        <v>0</v>
      </c>
      <c r="D62" s="33" t="n">
        <v>0</v>
      </c>
      <c r="E62" s="33" t="n">
        <v>0</v>
      </c>
      <c r="F62" s="33" t="n">
        <v>1</v>
      </c>
      <c r="G62" s="33"/>
      <c r="I62" s="6" t="s">
        <v>235</v>
      </c>
    </row>
    <row r="63" customFormat="false" ht="15" hidden="true" customHeight="false" outlineLevel="2" collapsed="false">
      <c r="A63" s="3" t="s">
        <v>245</v>
      </c>
      <c r="B63" s="6"/>
      <c r="C63" s="21" t="n">
        <v>1</v>
      </c>
      <c r="D63" s="21" t="n">
        <v>1</v>
      </c>
      <c r="E63" s="21" t="n">
        <v>1</v>
      </c>
      <c r="F63" s="21"/>
      <c r="G63" s="21"/>
      <c r="I63" s="6" t="s">
        <v>237</v>
      </c>
    </row>
    <row r="64" customFormat="false" ht="15" hidden="true" customHeight="false" outlineLevel="2" collapsed="false">
      <c r="A64" s="3" t="s">
        <v>246</v>
      </c>
      <c r="B64" s="11" t="s">
        <v>59</v>
      </c>
      <c r="C64" s="32" t="n">
        <f aca="false">CHOOSE(輸入與假設!$C$5,$C$63,$D$63,$E$63)*IF(C$55&gt;MAX(C$54,($D$61+$E$62*運營_產能與收入!$C$62/12)),$C$61*$E$61*(1+$F$61)^((MAX(C$54,($D$61+$E$62*運營_產能與收入!$C$62/12))+C$55)/2-($D$61+$E$62*運營_產能與收入!$C$62/12))*(C$55-MAX(C$54,($D$61+$E$62*運營_產能與收入!$C$62/12))),0)</f>
        <v>12.6341585073334</v>
      </c>
      <c r="D64" s="32" t="n">
        <f aca="false">CHOOSE(輸入與假設!$C$5,$C$63,$D$63,$E$63)*IF(D$55&gt;MAX(D$54,($D$61+$E$62*運營_產能與收入!$C$62/12)),$C$61*$E$61*(1+$F$61)^((MAX(D$54,($D$61+$E$62*運營_產能與收入!$C$62/12))+D$55)/2-($D$61+$E$62*運營_產能與收入!$C$62/12))*(D$55-MAX(D$54,($D$61+$E$62*運營_產能與收入!$C$62/12))),0)</f>
        <v>38.6606314734587</v>
      </c>
      <c r="E64" s="32" t="n">
        <f aca="false">CHOOSE(輸入與假設!$C$5,$C$63,$D$63,$E$63)*IF(E$55&gt;MAX(E$54,($D$61+$E$62*運營_產能與收入!$C$62/12)),$C$61*$E$61*(1+$F$61)^((MAX(E$54,($D$61+$E$62*運營_產能與收入!$C$62/12))+E$55)/2-($D$61+$E$62*運營_產能與收入!$C$62/12))*(E$55-MAX(E$54,($D$61+$E$62*運營_產能與收入!$C$62/12))),0)</f>
        <v>39.8204504176624</v>
      </c>
      <c r="F64" s="32" t="n">
        <f aca="false">CHOOSE(輸入與假設!$C$5,$C$63,$D$63,$E$63)*IF(F$55&gt;MAX(F$54,($D$61+$E$62*運營_產能與收入!$C$62/12)),$C$61*$E$61*(1+$F$61)^((MAX(F$54,($D$61+$E$62*運營_產能與收入!$C$62/12))+F$55)/2-($D$61+$E$62*運營_產能與收入!$C$62/12))*(F$55-MAX(F$54,($D$61+$E$62*運營_產能與收入!$C$62/12))),0)</f>
        <v>41.0150639301923</v>
      </c>
      <c r="G64" s="32" t="n">
        <f aca="false">CHOOSE(輸入與假設!$C$5,$C$63,$D$63,$E$63)*IF(G$55&gt;MAX(G$54,($D$61+$E$62*運營_產能與收入!$C$62/12)),$C$61*$E$61*(1+$F$61)^((MAX(G$54,($D$61+$E$62*運營_產能與收入!$C$62/12))+G$55)/2-($D$61+$E$62*運營_產能與收入!$C$62/12))*(G$55-MAX(G$54,($D$61+$E$62*運營_產能與收入!$C$62/12))),0)</f>
        <v>42.2455158480981</v>
      </c>
      <c r="I64" s="6" t="s">
        <v>239</v>
      </c>
    </row>
    <row r="65" customFormat="false" ht="15" hidden="true" customHeight="false" outlineLevel="2" collapsed="false">
      <c r="A65" s="3" t="s">
        <v>247</v>
      </c>
      <c r="B65" s="11" t="s">
        <v>59</v>
      </c>
      <c r="C65" s="32" t="n">
        <f aca="false">CHOOSE(輸入與假設!$C$5,$C$63,$D$63,$E$63)*IF($D$62&gt;$C$62,$G$61*MAX(0,MIN(C$55,$D$62)-MAX(C$54,$C$62))/($D$62-$C$62),IF(OR(AND($C$62&gt;=C$54,$C$62&lt;C$55),$C$62&lt;C$54),$G$61,0))</f>
        <v>0</v>
      </c>
      <c r="D65" s="32" t="n">
        <f aca="false">CHOOSE(輸入與假設!$C$5,$C$63,$D$63,$E$63)*IF($D$62&gt;$C$62,$G$61*MAX(0,MIN(D$55,$D$62)-MAX(D$54,$C$62))/($D$62-$C$62),IF(OR(AND($C$62&gt;=D$54,$C$62&lt;D$55)),$G$61,0))</f>
        <v>0</v>
      </c>
      <c r="E65" s="32" t="n">
        <f aca="false">CHOOSE(輸入與假設!$C$5,$C$63,$D$63,$E$63)*IF($D$62&gt;$C$62,$G$61*MAX(0,MIN(E$55,$D$62)-MAX(E$54,$C$62))/($D$62-$C$62),IF(OR(AND($C$62&gt;=E$54,$C$62&lt;E$55)),$G$61,0))</f>
        <v>0</v>
      </c>
      <c r="F65" s="32" t="n">
        <f aca="false">CHOOSE(輸入與假設!$C$5,$C$63,$D$63,$E$63)*IF($D$62&gt;$C$62,$G$61*MAX(0,MIN(F$55,$D$62)-MAX(F$54,$C$62))/($D$62-$C$62),IF(OR(AND($C$62&gt;=F$54,$C$62&lt;F$55)),$G$61,0))</f>
        <v>0</v>
      </c>
      <c r="G65" s="32" t="n">
        <f aca="false">CHOOSE(輸入與假設!$C$5,$C$63,$D$63,$E$63)*IF($D$62&gt;$C$62,$G$61*MAX(0,MIN(G$55,$D$62)-MAX(G$54,$C$62))/($D$62-$C$62),IF(OR(AND($C$62&gt;=G$54,$C$62&lt;G$55)),$G$61,0))</f>
        <v>0</v>
      </c>
      <c r="I65" s="6" t="s">
        <v>241</v>
      </c>
    </row>
    <row r="66" customFormat="false" ht="15" hidden="true" customHeight="false" outlineLevel="2" collapsed="false">
      <c r="A66" s="3" t="s">
        <v>248</v>
      </c>
      <c r="B66" s="6"/>
      <c r="C66" s="33" t="n">
        <v>5</v>
      </c>
      <c r="D66" s="33" t="n">
        <v>-0.6667</v>
      </c>
      <c r="E66" s="33" t="n">
        <v>2.35</v>
      </c>
      <c r="F66" s="33" t="n">
        <v>0</v>
      </c>
      <c r="G66" s="33" t="n">
        <v>0</v>
      </c>
      <c r="I66" s="11" t="s">
        <v>249</v>
      </c>
    </row>
    <row r="67" customFormat="false" ht="15" hidden="true" customHeight="false" outlineLevel="2" collapsed="false">
      <c r="A67" s="3" t="s">
        <v>250</v>
      </c>
      <c r="B67" s="6"/>
      <c r="C67" s="33" t="n">
        <v>0</v>
      </c>
      <c r="D67" s="33" t="n">
        <v>0</v>
      </c>
      <c r="E67" s="33" t="n">
        <v>0</v>
      </c>
      <c r="F67" s="33" t="n">
        <v>1</v>
      </c>
      <c r="G67" s="33"/>
      <c r="I67" s="6" t="s">
        <v>235</v>
      </c>
    </row>
    <row r="68" customFormat="false" ht="15" hidden="true" customHeight="false" outlineLevel="2" collapsed="false">
      <c r="A68" s="3" t="s">
        <v>251</v>
      </c>
      <c r="B68" s="6"/>
      <c r="C68" s="21" t="n">
        <v>1</v>
      </c>
      <c r="D68" s="21" t="n">
        <v>1</v>
      </c>
      <c r="E68" s="21" t="n">
        <v>1</v>
      </c>
      <c r="F68" s="21"/>
      <c r="G68" s="21"/>
      <c r="I68" s="6" t="s">
        <v>237</v>
      </c>
    </row>
    <row r="69" customFormat="false" ht="15" hidden="true" customHeight="false" outlineLevel="2" collapsed="false">
      <c r="A69" s="3" t="s">
        <v>252</v>
      </c>
      <c r="B69" s="11" t="s">
        <v>59</v>
      </c>
      <c r="C69" s="32" t="n">
        <f aca="false">CHOOSE(輸入與假設!$C$5,$C$68,$D$68,$E$68)*IF(C$55&gt;MAX(C$54,($D$66+$E$67*運營_產能與收入!$C$62/12)),$C$66*$E$66*(1+$F$66)^((MAX(C$54,($D$66+$E$67*運營_產能與收入!$C$62/12))+C$55)/2-($D$66+$E$67*運營_產能與收入!$C$62/12))*(C$55-MAX(C$54,($D$66+$E$67*運營_產能與收入!$C$62/12))),0)</f>
        <v>5.875</v>
      </c>
      <c r="D69" s="32" t="n">
        <f aca="false">CHOOSE(輸入與假設!$C$5,$C$68,$D$68,$E$68)*IF(D$55&gt;MAX(D$54,($D$66+$E$67*運營_產能與收入!$C$62/12)),$C$66*$E$66*(1+$F$66)^((MAX(D$54,($D$66+$E$67*運營_產能與收入!$C$62/12))+D$55)/2-($D$66+$E$67*運營_產能與收入!$C$62/12))*(D$55-MAX(D$54,($D$66+$E$67*運營_產能與收入!$C$62/12))),0)</f>
        <v>11.75</v>
      </c>
      <c r="E69" s="32" t="n">
        <f aca="false">CHOOSE(輸入與假設!$C$5,$C$68,$D$68,$E$68)*IF(E$55&gt;MAX(E$54,($D$66+$E$67*運營_產能與收入!$C$62/12)),$C$66*$E$66*(1+$F$66)^((MAX(E$54,($D$66+$E$67*運營_產能與收入!$C$62/12))+E$55)/2-($D$66+$E$67*運營_產能與收入!$C$62/12))*(E$55-MAX(E$54,($D$66+$E$67*運營_產能與收入!$C$62/12))),0)</f>
        <v>11.75</v>
      </c>
      <c r="F69" s="32" t="n">
        <f aca="false">CHOOSE(輸入與假設!$C$5,$C$68,$D$68,$E$68)*IF(F$55&gt;MAX(F$54,($D$66+$E$67*運營_產能與收入!$C$62/12)),$C$66*$E$66*(1+$F$66)^((MAX(F$54,($D$66+$E$67*運營_產能與收入!$C$62/12))+F$55)/2-($D$66+$E$67*運營_產能與收入!$C$62/12))*(F$55-MAX(F$54,($D$66+$E$67*運營_產能與收入!$C$62/12))),0)</f>
        <v>11.75</v>
      </c>
      <c r="G69" s="32" t="n">
        <f aca="false">CHOOSE(輸入與假設!$C$5,$C$68,$D$68,$E$68)*IF(G$55&gt;MAX(G$54,($D$66+$E$67*運營_產能與收入!$C$62/12)),$C$66*$E$66*(1+$F$66)^((MAX(G$54,($D$66+$E$67*運營_產能與收入!$C$62/12))+G$55)/2-($D$66+$E$67*運營_產能與收入!$C$62/12))*(G$55-MAX(G$54,($D$66+$E$67*運營_產能與收入!$C$62/12))),0)</f>
        <v>11.75</v>
      </c>
      <c r="I69" s="6" t="s">
        <v>239</v>
      </c>
    </row>
    <row r="70" customFormat="false" ht="15" hidden="true" customHeight="false" outlineLevel="2" collapsed="false">
      <c r="A70" s="3" t="s">
        <v>253</v>
      </c>
      <c r="B70" s="11" t="s">
        <v>59</v>
      </c>
      <c r="C70" s="32" t="n">
        <f aca="false">CHOOSE(輸入與假設!$C$5,$C$68,$D$68,$E$68)*IF($D$67&gt;$C$67,$G$66*MAX(0,MIN(C$55,$D$67)-MAX(C$54,$C$67))/($D$67-$C$67),IF(OR(AND($C$67&gt;=C$54,$C$67&lt;C$55),$C$67&lt;C$54),$G$66,0))</f>
        <v>0</v>
      </c>
      <c r="D70" s="32" t="n">
        <f aca="false">CHOOSE(輸入與假設!$C$5,$C$68,$D$68,$E$68)*IF($D$67&gt;$C$67,$G$66*MAX(0,MIN(D$55,$D$67)-MAX(D$54,$C$67))/($D$67-$C$67),IF(OR(AND($C$67&gt;=D$54,$C$67&lt;D$55)),$G$66,0))</f>
        <v>0</v>
      </c>
      <c r="E70" s="32" t="n">
        <f aca="false">CHOOSE(輸入與假設!$C$5,$C$68,$D$68,$E$68)*IF($D$67&gt;$C$67,$G$66*MAX(0,MIN(E$55,$D$67)-MAX(E$54,$C$67))/($D$67-$C$67),IF(OR(AND($C$67&gt;=E$54,$C$67&lt;E$55)),$G$66,0))</f>
        <v>0</v>
      </c>
      <c r="F70" s="32" t="n">
        <f aca="false">CHOOSE(輸入與假設!$C$5,$C$68,$D$68,$E$68)*IF($D$67&gt;$C$67,$G$66*MAX(0,MIN(F$55,$D$67)-MAX(F$54,$C$67))/($D$67-$C$67),IF(OR(AND($C$67&gt;=F$54,$C$67&lt;F$55)),$G$66,0))</f>
        <v>0</v>
      </c>
      <c r="G70" s="32" t="n">
        <f aca="false">CHOOSE(輸入與假設!$C$5,$C$68,$D$68,$E$68)*IF($D$67&gt;$C$67,$G$66*MAX(0,MIN(G$55,$D$67)-MAX(G$54,$C$67))/($D$67-$C$67),IF(OR(AND($C$67&gt;=G$54,$C$67&lt;G$55)),$G$66,0))</f>
        <v>0</v>
      </c>
      <c r="I70" s="6" t="s">
        <v>241</v>
      </c>
    </row>
    <row r="71" customFormat="false" ht="15" hidden="true" customHeight="false" outlineLevel="2" collapsed="false">
      <c r="A71" s="3" t="s">
        <v>254</v>
      </c>
      <c r="B71" s="6"/>
      <c r="C71" s="33" t="n">
        <v>3</v>
      </c>
      <c r="D71" s="33" t="n">
        <v>-5.5</v>
      </c>
      <c r="E71" s="33" t="n">
        <v>2.38</v>
      </c>
      <c r="F71" s="33" t="n">
        <v>0</v>
      </c>
      <c r="G71" s="33" t="n">
        <v>0</v>
      </c>
      <c r="I71" s="11" t="s">
        <v>255</v>
      </c>
    </row>
    <row r="72" customFormat="false" ht="15" hidden="true" customHeight="false" outlineLevel="2" collapsed="false">
      <c r="A72" s="3" t="s">
        <v>256</v>
      </c>
      <c r="B72" s="6"/>
      <c r="C72" s="33" t="n">
        <v>0</v>
      </c>
      <c r="D72" s="33" t="n">
        <v>0</v>
      </c>
      <c r="E72" s="33" t="n">
        <v>0</v>
      </c>
      <c r="F72" s="33" t="n">
        <v>1</v>
      </c>
      <c r="G72" s="33"/>
      <c r="I72" s="6" t="s">
        <v>235</v>
      </c>
    </row>
    <row r="73" customFormat="false" ht="15" hidden="true" customHeight="false" outlineLevel="2" collapsed="false">
      <c r="A73" s="3" t="s">
        <v>257</v>
      </c>
      <c r="B73" s="6"/>
      <c r="C73" s="21" t="n">
        <v>1</v>
      </c>
      <c r="D73" s="21" t="n">
        <v>1</v>
      </c>
      <c r="E73" s="21" t="n">
        <v>1</v>
      </c>
      <c r="F73" s="21"/>
      <c r="G73" s="21"/>
      <c r="I73" s="6" t="s">
        <v>237</v>
      </c>
    </row>
    <row r="74" customFormat="false" ht="15" hidden="true" customHeight="false" outlineLevel="2" collapsed="false">
      <c r="A74" s="3" t="s">
        <v>258</v>
      </c>
      <c r="B74" s="11" t="s">
        <v>59</v>
      </c>
      <c r="C74" s="32" t="n">
        <f aca="false">CHOOSE(輸入與假設!$C$5,$C$73,$D$73,$E$73)*IF(C$55&gt;MAX(C$54,($D$71+$E$72*運營_產能與收入!$C$62/12)),$C$71*$E$71*(1+$F$71)^((MAX(C$54,($D$71+$E$72*運營_產能與收入!$C$62/12))+C$55)/2-($D$71+$E$72*運營_產能與收入!$C$62/12))*(C$55-MAX(C$54,($D$71+$E$72*運營_產能與收入!$C$62/12))),0)</f>
        <v>3.57</v>
      </c>
      <c r="D74" s="32" t="n">
        <f aca="false">CHOOSE(輸入與假設!$C$5,$C$73,$D$73,$E$73)*IF(D$55&gt;MAX(D$54,($D$71+$E$72*運營_產能與收入!$C$62/12)),$C$71*$E$71*(1+$F$71)^((MAX(D$54,($D$71+$E$72*運營_產能與收入!$C$62/12))+D$55)/2-($D$71+$E$72*運營_產能與收入!$C$62/12))*(D$55-MAX(D$54,($D$71+$E$72*運營_產能與收入!$C$62/12))),0)</f>
        <v>7.14</v>
      </c>
      <c r="E74" s="32" t="n">
        <f aca="false">CHOOSE(輸入與假設!$C$5,$C$73,$D$73,$E$73)*IF(E$55&gt;MAX(E$54,($D$71+$E$72*運營_產能與收入!$C$62/12)),$C$71*$E$71*(1+$F$71)^((MAX(E$54,($D$71+$E$72*運營_產能與收入!$C$62/12))+E$55)/2-($D$71+$E$72*運營_產能與收入!$C$62/12))*(E$55-MAX(E$54,($D$71+$E$72*運營_產能與收入!$C$62/12))),0)</f>
        <v>7.14</v>
      </c>
      <c r="F74" s="32" t="n">
        <f aca="false">CHOOSE(輸入與假設!$C$5,$C$73,$D$73,$E$73)*IF(F$55&gt;MAX(F$54,($D$71+$E$72*運營_產能與收入!$C$62/12)),$C$71*$E$71*(1+$F$71)^((MAX(F$54,($D$71+$E$72*運營_產能與收入!$C$62/12))+F$55)/2-($D$71+$E$72*運營_產能與收入!$C$62/12))*(F$55-MAX(F$54,($D$71+$E$72*運營_產能與收入!$C$62/12))),0)</f>
        <v>7.14</v>
      </c>
      <c r="G74" s="32" t="n">
        <f aca="false">CHOOSE(輸入與假設!$C$5,$C$73,$D$73,$E$73)*IF(G$55&gt;MAX(G$54,($D$71+$E$72*運營_產能與收入!$C$62/12)),$C$71*$E$71*(1+$F$71)^((MAX(G$54,($D$71+$E$72*運營_產能與收入!$C$62/12))+G$55)/2-($D$71+$E$72*運營_產能與收入!$C$62/12))*(G$55-MAX(G$54,($D$71+$E$72*運營_產能與收入!$C$62/12))),0)</f>
        <v>7.14</v>
      </c>
      <c r="I74" s="6" t="s">
        <v>239</v>
      </c>
    </row>
    <row r="75" customFormat="false" ht="15" hidden="true" customHeight="false" outlineLevel="2" collapsed="false">
      <c r="A75" s="3" t="s">
        <v>259</v>
      </c>
      <c r="B75" s="11" t="s">
        <v>59</v>
      </c>
      <c r="C75" s="32" t="n">
        <f aca="false">CHOOSE(輸入與假設!$C$5,$C$73,$D$73,$E$73)*IF($D$72&gt;$C$72,$G$71*MAX(0,MIN(C$55,$D$72)-MAX(C$54,$C$72))/($D$72-$C$72),IF(OR(AND($C$72&gt;=C$54,$C$72&lt;C$55),$C$72&lt;C$54),$G$71,0))</f>
        <v>0</v>
      </c>
      <c r="D75" s="32" t="n">
        <f aca="false">CHOOSE(輸入與假設!$C$5,$C$73,$D$73,$E$73)*IF($D$72&gt;$C$72,$G$71*MAX(0,MIN(D$55,$D$72)-MAX(D$54,$C$72))/($D$72-$C$72),IF(OR(AND($C$72&gt;=D$54,$C$72&lt;D$55)),$G$71,0))</f>
        <v>0</v>
      </c>
      <c r="E75" s="32" t="n">
        <f aca="false">CHOOSE(輸入與假設!$C$5,$C$73,$D$73,$E$73)*IF($D$72&gt;$C$72,$G$71*MAX(0,MIN(E$55,$D$72)-MAX(E$54,$C$72))/($D$72-$C$72),IF(OR(AND($C$72&gt;=E$54,$C$72&lt;E$55)),$G$71,0))</f>
        <v>0</v>
      </c>
      <c r="F75" s="32" t="n">
        <f aca="false">CHOOSE(輸入與假設!$C$5,$C$73,$D$73,$E$73)*IF($D$72&gt;$C$72,$G$71*MAX(0,MIN(F$55,$D$72)-MAX(F$54,$C$72))/($D$72-$C$72),IF(OR(AND($C$72&gt;=F$54,$C$72&lt;F$55)),$G$71,0))</f>
        <v>0</v>
      </c>
      <c r="G75" s="32" t="n">
        <f aca="false">CHOOSE(輸入與假設!$C$5,$C$73,$D$73,$E$73)*IF($D$72&gt;$C$72,$G$71*MAX(0,MIN(G$55,$D$72)-MAX(G$54,$C$72))/($D$72-$C$72),IF(OR(AND($C$72&gt;=G$54,$C$72&lt;G$55)),$G$71,0))</f>
        <v>0</v>
      </c>
      <c r="I75" s="6" t="s">
        <v>241</v>
      </c>
    </row>
    <row r="76" customFormat="false" ht="15" hidden="true" customHeight="false" outlineLevel="2" collapsed="false">
      <c r="A76" s="3" t="s">
        <v>260</v>
      </c>
      <c r="B76" s="6"/>
      <c r="C76" s="33" t="n">
        <v>3</v>
      </c>
      <c r="D76" s="33" t="n">
        <v>0.5</v>
      </c>
      <c r="E76" s="33" t="n">
        <v>1.85</v>
      </c>
      <c r="F76" s="33" t="n">
        <v>0.03</v>
      </c>
      <c r="G76" s="33" t="n">
        <v>23.6</v>
      </c>
      <c r="I76" s="11" t="s">
        <v>261</v>
      </c>
    </row>
    <row r="77" customFormat="false" ht="15" hidden="true" customHeight="false" outlineLevel="2" collapsed="false">
      <c r="A77" s="3" t="s">
        <v>262</v>
      </c>
      <c r="B77" s="6"/>
      <c r="C77" s="33" t="n">
        <v>0</v>
      </c>
      <c r="D77" s="33" t="n">
        <v>0.5</v>
      </c>
      <c r="E77" s="33" t="n">
        <v>1</v>
      </c>
      <c r="F77" s="33" t="n">
        <v>0</v>
      </c>
      <c r="G77" s="33"/>
      <c r="I77" s="6" t="s">
        <v>235</v>
      </c>
    </row>
    <row r="78" customFormat="false" ht="15" hidden="true" customHeight="false" outlineLevel="2" collapsed="false">
      <c r="A78" s="3" t="s">
        <v>263</v>
      </c>
      <c r="B78" s="6"/>
      <c r="C78" s="21" t="n">
        <v>0</v>
      </c>
      <c r="D78" s="21" t="n">
        <v>1</v>
      </c>
      <c r="E78" s="21" t="n">
        <v>1</v>
      </c>
      <c r="F78" s="21"/>
      <c r="G78" s="21"/>
      <c r="I78" s="6" t="s">
        <v>237</v>
      </c>
    </row>
    <row r="79" customFormat="false" ht="15" hidden="true" customHeight="false" outlineLevel="2" collapsed="false">
      <c r="A79" s="3" t="s">
        <v>264</v>
      </c>
      <c r="B79" s="11" t="s">
        <v>59</v>
      </c>
      <c r="C79" s="32" t="n">
        <f aca="false">CHOOSE(輸入與假設!$C$5,$C$78,$D$78,$E$78)*IF(C$55&gt;MAX(C$54,($D$76+$E$77*運營_產能與收入!$C$62/12)),$C$76*$E$76*(1+$F$76)^((MAX(C$54,($D$76+$E$77*運營_產能與收入!$C$62/12))+C$55)/2-($D$76+$E$77*運營_產能與收入!$C$62/12))*(C$55-MAX(C$54,($D$76+$E$77*運營_產能與收入!$C$62/12))),0)</f>
        <v>0</v>
      </c>
      <c r="D79" s="32" t="n">
        <f aca="false">CHOOSE(輸入與假設!$C$5,$C$78,$D$78,$E$78)*IF(D$55&gt;MAX(D$54,($D$76+$E$77*運營_產能與收入!$C$62/12)),$C$76*$E$76*(1+$F$76)^((MAX(D$54,($D$76+$E$77*運營_產能與收入!$C$62/12))+D$55)/2-($D$76+$E$77*運營_產能與收入!$C$62/12))*(D$55-MAX(D$54,($D$76+$E$77*運營_產能與收入!$C$62/12))),0)</f>
        <v>4.20889610783603</v>
      </c>
      <c r="E79" s="32" t="n">
        <f aca="false">CHOOSE(輸入與假設!$C$5,$C$78,$D$78,$E$78)*IF(E$55&gt;MAX(E$54,($D$76+$E$77*運營_產能與收入!$C$62/12)),$C$76*$E$76*(1+$F$76)^((MAX(E$54,($D$76+$E$77*運營_產能與收入!$C$62/12))+E$55)/2-($D$76+$E$77*運營_產能與收入!$C$62/12))*(E$55-MAX(E$54,($D$76+$E$77*運營_產能與收入!$C$62/12))),0)</f>
        <v>5.75889969081741</v>
      </c>
      <c r="F79" s="32" t="n">
        <f aca="false">CHOOSE(輸入與假設!$C$5,$C$78,$D$78,$E$78)*IF(F$55&gt;MAX(F$54,($D$76+$E$77*運營_產能與收入!$C$62/12)),$C$76*$E$76*(1+$F$76)^((MAX(F$54,($D$76+$E$77*運營_產能與收入!$C$62/12))+F$55)/2-($D$76+$E$77*運營_產能與收入!$C$62/12))*(F$55-MAX(F$54,($D$76+$E$77*運營_產能與收入!$C$62/12))),0)</f>
        <v>5.93166668154193</v>
      </c>
      <c r="G79" s="32" t="n">
        <f aca="false">CHOOSE(輸入與假設!$C$5,$C$78,$D$78,$E$78)*IF(G$55&gt;MAX(G$54,($D$76+$E$77*運營_產能與收入!$C$62/12)),$C$76*$E$76*(1+$F$76)^((MAX(G$54,($D$76+$E$77*運營_產能與收入!$C$62/12))+G$55)/2-($D$76+$E$77*運營_產能與收入!$C$62/12))*(G$55-MAX(G$54,($D$76+$E$77*運營_產能與收入!$C$62/12))),0)</f>
        <v>6.10961668198819</v>
      </c>
      <c r="I79" s="6" t="s">
        <v>239</v>
      </c>
    </row>
    <row r="80" customFormat="false" ht="15" hidden="true" customHeight="false" outlineLevel="2" collapsed="false">
      <c r="A80" s="3" t="s">
        <v>265</v>
      </c>
      <c r="B80" s="11" t="s">
        <v>59</v>
      </c>
      <c r="C80" s="32" t="n">
        <f aca="false">CHOOSE(輸入與假設!$C$5,$C$78,$D$78,$E$78)*IF($D$77&gt;$C$77,$G$76*MAX(0,MIN(C$55,$D$77)-MAX(C$54,$C$77))/($D$77-$C$77),IF(OR(AND($C$77&gt;=C$54,$C$77&lt;C$55),$C$77&lt;C$54),$G$76,0))</f>
        <v>23.6</v>
      </c>
      <c r="D80" s="32" t="n">
        <f aca="false">CHOOSE(輸入與假設!$C$5,$C$78,$D$78,$E$78)*IF($D$77&gt;$C$77,$G$76*MAX(0,MIN(D$55,$D$77)-MAX(D$54,$C$77))/($D$77-$C$77),IF(OR(AND($C$77&gt;=D$54,$C$77&lt;D$55)),$G$76,0))</f>
        <v>0</v>
      </c>
      <c r="E80" s="32" t="n">
        <f aca="false">CHOOSE(輸入與假設!$C$5,$C$78,$D$78,$E$78)*IF($D$77&gt;$C$77,$G$76*MAX(0,MIN(E$55,$D$77)-MAX(E$54,$C$77))/($D$77-$C$77),IF(OR(AND($C$77&gt;=E$54,$C$77&lt;E$55)),$G$76,0))</f>
        <v>0</v>
      </c>
      <c r="F80" s="32" t="n">
        <f aca="false">CHOOSE(輸入與假設!$C$5,$C$78,$D$78,$E$78)*IF($D$77&gt;$C$77,$G$76*MAX(0,MIN(F$55,$D$77)-MAX(F$54,$C$77))/($D$77-$C$77),IF(OR(AND($C$77&gt;=F$54,$C$77&lt;F$55)),$G$76,0))</f>
        <v>0</v>
      </c>
      <c r="G80" s="32" t="n">
        <f aca="false">CHOOSE(輸入與假設!$C$5,$C$78,$D$78,$E$78)*IF($D$77&gt;$C$77,$G$76*MAX(0,MIN(G$55,$D$77)-MAX(G$54,$C$77))/($D$77-$C$77),IF(OR(AND($C$77&gt;=G$54,$C$77&lt;G$55)),$G$76,0))</f>
        <v>0</v>
      </c>
      <c r="I80" s="6" t="s">
        <v>241</v>
      </c>
    </row>
    <row r="81" customFormat="false" ht="15" hidden="true" customHeight="false" outlineLevel="2" collapsed="false">
      <c r="A81" s="3" t="s">
        <v>266</v>
      </c>
      <c r="B81" s="6"/>
      <c r="C81" s="33" t="n">
        <v>33.33</v>
      </c>
      <c r="D81" s="33" t="n">
        <v>1.5</v>
      </c>
      <c r="E81" s="33" t="n">
        <v>1.85</v>
      </c>
      <c r="F81" s="33" t="n">
        <v>0.03</v>
      </c>
      <c r="G81" s="33" t="n">
        <v>383.295</v>
      </c>
      <c r="I81" s="11" t="s">
        <v>267</v>
      </c>
    </row>
    <row r="82" customFormat="false" ht="15" hidden="true" customHeight="false" outlineLevel="2" collapsed="false">
      <c r="A82" s="3" t="s">
        <v>268</v>
      </c>
      <c r="B82" s="6"/>
      <c r="C82" s="33" t="n">
        <v>0.5</v>
      </c>
      <c r="D82" s="33" t="n">
        <v>1.5</v>
      </c>
      <c r="E82" s="33" t="n">
        <v>1</v>
      </c>
      <c r="F82" s="33" t="n">
        <v>0</v>
      </c>
      <c r="G82" s="33"/>
      <c r="I82" s="6" t="s">
        <v>235</v>
      </c>
    </row>
    <row r="83" customFormat="false" ht="15" hidden="true" customHeight="false" outlineLevel="2" collapsed="false">
      <c r="A83" s="3" t="s">
        <v>269</v>
      </c>
      <c r="B83" s="6"/>
      <c r="C83" s="21" t="n">
        <v>0</v>
      </c>
      <c r="D83" s="21" t="n">
        <v>1</v>
      </c>
      <c r="E83" s="21" t="n">
        <v>1</v>
      </c>
      <c r="F83" s="21"/>
      <c r="G83" s="21"/>
      <c r="I83" s="6" t="s">
        <v>237</v>
      </c>
    </row>
    <row r="84" customFormat="false" ht="15" hidden="true" customHeight="false" outlineLevel="2" collapsed="false">
      <c r="A84" s="3" t="s">
        <v>270</v>
      </c>
      <c r="B84" s="11" t="s">
        <v>59</v>
      </c>
      <c r="C84" s="32" t="n">
        <f aca="false">CHOOSE(輸入與假設!$C$5,$C$83,$D$83,$E$83)*IF(C$55&gt;MAX(C$54,($D$81+$E$82*運營_產能與收入!$C$62/12)),$C$81*$E$81*(1+$F$81)^((MAX(C$54,($D$81+$E$82*運營_產能與收入!$C$62/12))+C$55)/2-($D$81+$E$82*運營_產能與收入!$C$62/12))*(C$55-MAX(C$54,($D$81+$E$82*運營_產能與收入!$C$62/12))),0)</f>
        <v>0</v>
      </c>
      <c r="D84" s="32" t="n">
        <f aca="false">CHOOSE(輸入與假設!$C$5,$C$83,$D$83,$E$83)*IF(D$55&gt;MAX(D$54,($D$81+$E$82*運營_產能與收入!$C$62/12)),$C$81*$E$81*(1+$F$81)^((MAX(D$54,($D$81+$E$82*運營_產能與收入!$C$62/12))+D$55)/2-($D$81+$E$82*運營_產能與收入!$C$62/12))*(D$55-MAX(D$54,($D$81+$E$82*運營_產能與收入!$C$62/12))),0)</f>
        <v>0</v>
      </c>
      <c r="E84" s="32" t="n">
        <f aca="false">CHOOSE(輸入與假設!$C$5,$C$83,$D$83,$E$83)*IF(E$55&gt;MAX(E$54,($D$81+$E$82*運營_產能與收入!$C$62/12)),$C$81*$E$81*(1+$F$81)^((MAX(E$54,($D$81+$E$82*運營_產能與收入!$C$62/12))+E$55)/2-($D$81+$E$82*運營_產能與收入!$C$62/12))*(E$55-MAX(E$54,($D$81+$E$82*運營_產能與收入!$C$62/12))),0)</f>
        <v>46.7608357580582</v>
      </c>
      <c r="F84" s="32" t="n">
        <f aca="false">CHOOSE(輸入與假設!$C$5,$C$83,$D$83,$E$83)*IF(F$55&gt;MAX(F$54,($D$81+$E$82*運營_產能與收入!$C$62/12)),$C$81*$E$81*(1+$F$81)^((MAX(F$54,($D$81+$E$82*運營_產能與收入!$C$62/12))+F$55)/2-($D$81+$E$82*運營_產能與收入!$C$62/12))*(F$55-MAX(F$54,($D$81+$E$82*運營_產能與收入!$C$62/12))),0)</f>
        <v>63.9813755649814</v>
      </c>
      <c r="G84" s="32" t="n">
        <f aca="false">CHOOSE(輸入與假設!$C$5,$C$83,$D$83,$E$83)*IF(G$55&gt;MAX(G$54,($D$81+$E$82*運營_產能與收入!$C$62/12)),$C$81*$E$81*(1+$F$81)^((MAX(G$54,($D$81+$E$82*運營_產能與收入!$C$62/12))+G$55)/2-($D$81+$E$82*運營_產能與收入!$C$62/12))*(G$55-MAX(G$54,($D$81+$E$82*運營_產能與收入!$C$62/12))),0)</f>
        <v>65.9008168319309</v>
      </c>
      <c r="I84" s="6" t="s">
        <v>239</v>
      </c>
    </row>
    <row r="85" customFormat="false" ht="15" hidden="true" customHeight="false" outlineLevel="2" collapsed="false">
      <c r="A85" s="3" t="s">
        <v>271</v>
      </c>
      <c r="B85" s="11" t="s">
        <v>59</v>
      </c>
      <c r="C85" s="32" t="n">
        <f aca="false">CHOOSE(輸入與假設!$C$5,$C$83,$D$83,$E$83)*IF($D$82&gt;$C$82,$G$81*MAX(0,MIN(C$55,$D$82)-MAX(C$54,$C$82))/($D$82-$C$82),IF(OR(AND($C$82&gt;=C$54,$C$82&lt;C$55),$C$82&lt;C$54),$G$81,0))</f>
        <v>0</v>
      </c>
      <c r="D85" s="32" t="n">
        <f aca="false">CHOOSE(輸入與假設!$C$5,$C$83,$D$83,$E$83)*IF($D$82&gt;$C$82,$G$81*MAX(0,MIN(D$55,$D$82)-MAX(D$54,$C$82))/($D$82-$C$82),IF(OR(AND($C$82&gt;=D$54,$C$82&lt;D$55)),$G$81,0))</f>
        <v>383.295</v>
      </c>
      <c r="E85" s="32" t="n">
        <f aca="false">CHOOSE(輸入與假設!$C$5,$C$83,$D$83,$E$83)*IF($D$82&gt;$C$82,$G$81*MAX(0,MIN(E$55,$D$82)-MAX(E$54,$C$82))/($D$82-$C$82),IF(OR(AND($C$82&gt;=E$54,$C$82&lt;E$55)),$G$81,0))</f>
        <v>0</v>
      </c>
      <c r="F85" s="32" t="n">
        <f aca="false">CHOOSE(輸入與假設!$C$5,$C$83,$D$83,$E$83)*IF($D$82&gt;$C$82,$G$81*MAX(0,MIN(F$55,$D$82)-MAX(F$54,$C$82))/($D$82-$C$82),IF(OR(AND($C$82&gt;=F$54,$C$82&lt;F$55)),$G$81,0))</f>
        <v>0</v>
      </c>
      <c r="G85" s="32" t="n">
        <f aca="false">CHOOSE(輸入與假設!$C$5,$C$83,$D$83,$E$83)*IF($D$82&gt;$C$82,$G$81*MAX(0,MIN(G$55,$D$82)-MAX(G$54,$C$82))/($D$82-$C$82),IF(OR(AND($C$82&gt;=G$54,$C$82&lt;G$55)),$G$81,0))</f>
        <v>0</v>
      </c>
      <c r="I85" s="6" t="s">
        <v>241</v>
      </c>
    </row>
    <row r="86" customFormat="false" ht="15" hidden="true" customHeight="false" outlineLevel="2" collapsed="false">
      <c r="A86" s="3" t="s">
        <v>272</v>
      </c>
      <c r="B86" s="6"/>
      <c r="C86" s="33" t="n">
        <v>44.44</v>
      </c>
      <c r="D86" s="33" t="n">
        <v>1.25</v>
      </c>
      <c r="E86" s="33" t="n">
        <v>1.85</v>
      </c>
      <c r="F86" s="33" t="n">
        <v>0.03</v>
      </c>
      <c r="G86" s="33" t="n">
        <v>571.06</v>
      </c>
      <c r="I86" s="6" t="s">
        <v>273</v>
      </c>
    </row>
    <row r="87" customFormat="false" ht="15" hidden="true" customHeight="false" outlineLevel="2" collapsed="false">
      <c r="A87" s="3" t="s">
        <v>274</v>
      </c>
      <c r="B87" s="6"/>
      <c r="C87" s="33" t="n">
        <v>0.375</v>
      </c>
      <c r="D87" s="33" t="n">
        <v>1.25</v>
      </c>
      <c r="E87" s="33" t="n">
        <v>1</v>
      </c>
      <c r="F87" s="33" t="n">
        <v>0</v>
      </c>
      <c r="G87" s="33"/>
      <c r="I87" s="6" t="s">
        <v>235</v>
      </c>
    </row>
    <row r="88" customFormat="false" ht="15" hidden="true" customHeight="false" outlineLevel="2" collapsed="false">
      <c r="A88" s="3" t="s">
        <v>275</v>
      </c>
      <c r="B88" s="6"/>
      <c r="C88" s="21" t="n">
        <v>0</v>
      </c>
      <c r="D88" s="21" t="n">
        <v>0</v>
      </c>
      <c r="E88" s="21" t="n">
        <v>1</v>
      </c>
      <c r="F88" s="21"/>
      <c r="G88" s="21"/>
      <c r="I88" s="6" t="s">
        <v>237</v>
      </c>
    </row>
    <row r="89" customFormat="false" ht="15" hidden="true" customHeight="false" outlineLevel="2" collapsed="false">
      <c r="A89" s="3" t="s">
        <v>276</v>
      </c>
      <c r="B89" s="11" t="s">
        <v>59</v>
      </c>
      <c r="C89" s="32" t="n">
        <f aca="false">CHOOSE(輸入與假設!$C$5,$C$88,$D$88,$E$88)*IF(C$55&gt;MAX(C$54,($D$86+$E$87*運營_產能與收入!$C$62/12)),$C$86*$E$86*(1+$F$86)^((MAX(C$54,($D$86+$E$87*運營_產能與收入!$C$62/12))+C$55)/2-($D$86+$E$87*運營_產能與收入!$C$62/12))*(C$55-MAX(C$54,($D$86+$E$87*運營_產能與收入!$C$62/12))),0)</f>
        <v>0</v>
      </c>
      <c r="D89" s="32" t="n">
        <f aca="false">CHOOSE(輸入與假設!$C$5,$C$88,$D$88,$E$88)*IF(D$55&gt;MAX(D$54,($D$86+$E$87*運營_產能與收入!$C$62/12)),$C$86*$E$86*(1+$F$86)^((MAX(D$54,($D$86+$E$87*運營_產能與收入!$C$62/12))+D$55)/2-($D$86+$E$87*運營_產能與收入!$C$62/12))*(D$55-MAX(D$54,($D$86+$E$87*運營_產能與收入!$C$62/12))),0)</f>
        <v>0</v>
      </c>
      <c r="E89" s="32" t="n">
        <f aca="false">CHOOSE(輸入與假設!$C$5,$C$88,$D$88,$E$88)*IF(E$55&gt;MAX(E$54,($D$86+$E$87*運營_產能與收入!$C$62/12)),$C$86*$E$86*(1+$F$86)^((MAX(E$54,($D$86+$E$87*運營_產能與收入!$C$62/12))+E$55)/2-($D$86+$E$87*運營_產能與收入!$C$62/12))*(E$55-MAX(E$54,($D$86+$E$87*運營_產能與收入!$C$62/12))),0)</f>
        <v>0</v>
      </c>
      <c r="F89" s="32" t="n">
        <f aca="false">CHOOSE(輸入與假設!$C$5,$C$88,$D$88,$E$88)*IF(F$55&gt;MAX(F$54,($D$86+$E$87*運營_產能與收入!$C$62/12)),$C$86*$E$86*(1+$F$86)^((MAX(F$54,($D$86+$E$87*運營_產能與收入!$C$62/12))+F$55)/2-($D$86+$E$87*運營_產能與收入!$C$62/12))*(F$55-MAX(F$54,($D$86+$E$87*運營_產能與收入!$C$62/12))),0)</f>
        <v>0</v>
      </c>
      <c r="G89" s="32" t="n">
        <f aca="false">CHOOSE(輸入與假設!$C$5,$C$88,$D$88,$E$88)*IF(G$55&gt;MAX(G$54,($D$86+$E$87*運營_產能與收入!$C$62/12)),$C$86*$E$86*(1+$F$86)^((MAX(G$54,($D$86+$E$87*運營_產能與收入!$C$62/12))+G$55)/2-($D$86+$E$87*運營_產能與收入!$C$62/12))*(G$55-MAX(G$54,($D$86+$E$87*運營_產能與收入!$C$62/12))),0)</f>
        <v>0</v>
      </c>
      <c r="I89" s="6" t="s">
        <v>239</v>
      </c>
    </row>
    <row r="90" customFormat="false" ht="15" hidden="true" customHeight="false" outlineLevel="2" collapsed="false">
      <c r="A90" s="3" t="s">
        <v>277</v>
      </c>
      <c r="B90" s="11" t="s">
        <v>59</v>
      </c>
      <c r="C90" s="32" t="n">
        <f aca="false">CHOOSE(輸入與假設!$C$5,$C$88,$D$88,$E$88)*IF($D$87&gt;$C$87,$G$86*MAX(0,MIN(C$55,$D$87)-MAX(C$54,$C$87))/($D$87-$C$87),IF(OR(AND($C$87&gt;=C$54,$C$87&lt;C$55),$C$87&lt;C$54),$G$86,0))</f>
        <v>0</v>
      </c>
      <c r="D90" s="32" t="n">
        <f aca="false">CHOOSE(輸入與假設!$C$5,$C$88,$D$88,$E$88)*IF($D$87&gt;$C$87,$G$86*MAX(0,MIN(D$55,$D$87)-MAX(D$54,$C$87))/($D$87-$C$87),IF(OR(AND($C$87&gt;=D$54,$C$87&lt;D$55)),$G$86,0))</f>
        <v>0</v>
      </c>
      <c r="E90" s="32" t="n">
        <f aca="false">CHOOSE(輸入與假設!$C$5,$C$88,$D$88,$E$88)*IF($D$87&gt;$C$87,$G$86*MAX(0,MIN(E$55,$D$87)-MAX(E$54,$C$87))/($D$87-$C$87),IF(OR(AND($C$87&gt;=E$54,$C$87&lt;E$55)),$G$86,0))</f>
        <v>0</v>
      </c>
      <c r="F90" s="32" t="n">
        <f aca="false">CHOOSE(輸入與假設!$C$5,$C$88,$D$88,$E$88)*IF($D$87&gt;$C$87,$G$86*MAX(0,MIN(F$55,$D$87)-MAX(F$54,$C$87))/($D$87-$C$87),IF(OR(AND($C$87&gt;=F$54,$C$87&lt;F$55)),$G$86,0))</f>
        <v>0</v>
      </c>
      <c r="G90" s="32" t="n">
        <f aca="false">CHOOSE(輸入與假設!$C$5,$C$88,$D$88,$E$88)*IF($D$87&gt;$C$87,$G$86*MAX(0,MIN(G$55,$D$87)-MAX(G$54,$C$87))/($D$87-$C$87),IF(OR(AND($C$87&gt;=G$54,$C$87&lt;G$55)),$G$86,0))</f>
        <v>0</v>
      </c>
      <c r="I90" s="6" t="s">
        <v>241</v>
      </c>
    </row>
    <row r="91" customFormat="false" ht="15" hidden="true" customHeight="false" outlineLevel="2" collapsed="false">
      <c r="A91" s="3" t="s">
        <v>278</v>
      </c>
      <c r="B91" s="6"/>
      <c r="C91" s="33" t="n">
        <v>74.07</v>
      </c>
      <c r="D91" s="33" t="n">
        <v>2.5</v>
      </c>
      <c r="E91" s="33" t="n">
        <v>1.85</v>
      </c>
      <c r="F91" s="33" t="n">
        <v>0.03</v>
      </c>
      <c r="G91" s="33" t="n">
        <v>851.805</v>
      </c>
      <c r="I91" s="11" t="s">
        <v>279</v>
      </c>
    </row>
    <row r="92" customFormat="false" ht="15" hidden="true" customHeight="false" outlineLevel="2" collapsed="false">
      <c r="A92" s="3" t="s">
        <v>280</v>
      </c>
      <c r="B92" s="6"/>
      <c r="C92" s="33" t="n">
        <v>1.5</v>
      </c>
      <c r="D92" s="33" t="n">
        <v>2.5</v>
      </c>
      <c r="E92" s="33" t="n">
        <v>1</v>
      </c>
      <c r="F92" s="33" t="n">
        <v>0</v>
      </c>
      <c r="G92" s="33"/>
      <c r="I92" s="6" t="s">
        <v>235</v>
      </c>
    </row>
    <row r="93" customFormat="false" ht="15" hidden="true" customHeight="false" outlineLevel="2" collapsed="false">
      <c r="A93" s="3" t="s">
        <v>281</v>
      </c>
      <c r="B93" s="6"/>
      <c r="C93" s="21" t="n">
        <v>0</v>
      </c>
      <c r="D93" s="21" t="n">
        <v>0</v>
      </c>
      <c r="E93" s="21" t="n">
        <v>1</v>
      </c>
      <c r="F93" s="21"/>
      <c r="G93" s="21"/>
      <c r="I93" s="6" t="s">
        <v>237</v>
      </c>
    </row>
    <row r="94" customFormat="false" ht="15" hidden="true" customHeight="false" outlineLevel="2" collapsed="false">
      <c r="A94" s="3" t="s">
        <v>282</v>
      </c>
      <c r="B94" s="11" t="s">
        <v>59</v>
      </c>
      <c r="C94" s="32" t="n">
        <f aca="false">CHOOSE(輸入與假設!$C$5,$C$93,$D$93,$E$93)*IF(C$55&gt;MAX(C$54,($D$91+$E$92*運營_產能與收入!$C$62/12)),$C$91*$E$91*(1+$F$91)^((MAX(C$54,($D$91+$E$92*運營_產能與收入!$C$62/12))+C$55)/2-($D$91+$E$92*運營_產能與收入!$C$62/12))*(C$55-MAX(C$54,($D$91+$E$92*運營_產能與收入!$C$62/12))),0)</f>
        <v>0</v>
      </c>
      <c r="D94" s="32" t="n">
        <f aca="false">CHOOSE(輸入與假設!$C$5,$C$93,$D$93,$E$93)*IF(D$55&gt;MAX(D$54,($D$91+$E$92*運營_產能與收入!$C$62/12)),$C$91*$E$91*(1+$F$91)^((MAX(D$54,($D$91+$E$92*運營_產能與收入!$C$62/12))+D$55)/2-($D$91+$E$92*運營_產能與收入!$C$62/12))*(D$55-MAX(D$54,($D$91+$E$92*運營_產能與收入!$C$62/12))),0)</f>
        <v>0</v>
      </c>
      <c r="E94" s="32" t="n">
        <f aca="false">CHOOSE(輸入與假設!$C$5,$C$93,$D$93,$E$93)*IF(E$55&gt;MAX(E$54,($D$91+$E$92*運營_產能與收入!$C$62/12)),$C$91*$E$91*(1+$F$91)^((MAX(E$54,($D$91+$E$92*運營_產能與收入!$C$62/12))+E$55)/2-($D$91+$E$92*運營_產能與收入!$C$62/12))*(E$55-MAX(E$54,($D$91+$E$92*運營_產能與收入!$C$62/12))),0)</f>
        <v>0</v>
      </c>
      <c r="F94" s="32" t="n">
        <f aca="false">CHOOSE(輸入與假設!$C$5,$C$93,$D$93,$E$93)*IF(F$55&gt;MAX(F$54,($D$91+$E$92*運營_產能與收入!$C$62/12)),$C$91*$E$91*(1+$F$91)^((MAX(F$54,($D$91+$E$92*運營_產能與收入!$C$62/12))+F$55)/2-($D$91+$E$92*運營_產能與收入!$C$62/12))*(F$55-MAX(F$54,($D$91+$E$92*運營_產能與收入!$C$62/12))),0)</f>
        <v>0</v>
      </c>
      <c r="G94" s="32" t="n">
        <f aca="false">CHOOSE(輸入與假設!$C$5,$C$93,$D$93,$E$93)*IF(G$55&gt;MAX(G$54,($D$91+$E$92*運營_產能與收入!$C$62/12)),$C$91*$E$91*(1+$F$91)^((MAX(G$54,($D$91+$E$92*運營_產能與收入!$C$62/12))+G$55)/2-($D$91+$E$92*運營_產能與收入!$C$62/12))*(G$55-MAX(G$54,($D$91+$E$92*運營_產能與收入!$C$62/12))),0)</f>
        <v>0</v>
      </c>
      <c r="I94" s="6" t="s">
        <v>239</v>
      </c>
    </row>
    <row r="95" customFormat="false" ht="15" hidden="true" customHeight="false" outlineLevel="2" collapsed="false">
      <c r="A95" s="3" t="s">
        <v>283</v>
      </c>
      <c r="B95" s="11" t="s">
        <v>59</v>
      </c>
      <c r="C95" s="32" t="n">
        <f aca="false">CHOOSE(輸入與假設!$C$5,$C$93,$D$93,$E$93)*IF($D$92&gt;$C$92,$G$91*MAX(0,MIN(C$55,$D$92)-MAX(C$54,$C$92))/($D$92-$C$92),IF(OR(AND($C$92&gt;=C$54,$C$92&lt;C$55),$C$92&lt;C$54),$G$91,0))</f>
        <v>0</v>
      </c>
      <c r="D95" s="32" t="n">
        <f aca="false">CHOOSE(輸入與假設!$C$5,$C$93,$D$93,$E$93)*IF($D$92&gt;$C$92,$G$91*MAX(0,MIN(D$55,$D$92)-MAX(D$54,$C$92))/($D$92-$C$92),IF(OR(AND($C$92&gt;=D$54,$C$92&lt;D$55)),$G$91,0))</f>
        <v>0</v>
      </c>
      <c r="E95" s="32" t="n">
        <f aca="false">CHOOSE(輸入與假設!$C$5,$C$93,$D$93,$E$93)*IF($D$92&gt;$C$92,$G$91*MAX(0,MIN(E$55,$D$92)-MAX(E$54,$C$92))/($D$92-$C$92),IF(OR(AND($C$92&gt;=E$54,$C$92&lt;E$55)),$G$91,0))</f>
        <v>0</v>
      </c>
      <c r="F95" s="32" t="n">
        <f aca="false">CHOOSE(輸入與假設!$C$5,$C$93,$D$93,$E$93)*IF($D$92&gt;$C$92,$G$91*MAX(0,MIN(F$55,$D$92)-MAX(F$54,$C$92))/($D$92-$C$92),IF(OR(AND($C$92&gt;=F$54,$C$92&lt;F$55)),$G$91,0))</f>
        <v>0</v>
      </c>
      <c r="G95" s="32" t="n">
        <f aca="false">CHOOSE(輸入與假設!$C$5,$C$93,$D$93,$E$93)*IF($D$92&gt;$C$92,$G$91*MAX(0,MIN(G$55,$D$92)-MAX(G$54,$C$92))/($D$92-$C$92),IF(OR(AND($C$92&gt;=G$54,$C$92&lt;G$55)),$G$91,0))</f>
        <v>0</v>
      </c>
      <c r="I95" s="6" t="s">
        <v>241</v>
      </c>
    </row>
    <row r="96" customFormat="false" ht="15" hidden="true" customHeight="false" outlineLevel="2" collapsed="false">
      <c r="A96" s="3" t="s">
        <v>284</v>
      </c>
      <c r="B96" s="6"/>
      <c r="C96" s="33" t="n">
        <v>74.81</v>
      </c>
      <c r="D96" s="33" t="n">
        <v>3.5</v>
      </c>
      <c r="E96" s="33" t="n">
        <v>1.85</v>
      </c>
      <c r="F96" s="33" t="n">
        <v>0.03</v>
      </c>
      <c r="G96" s="33" t="n">
        <v>860.315</v>
      </c>
      <c r="I96" s="6" t="s">
        <v>285</v>
      </c>
    </row>
    <row r="97" customFormat="false" ht="15" hidden="true" customHeight="false" outlineLevel="2" collapsed="false">
      <c r="A97" s="3" t="s">
        <v>286</v>
      </c>
      <c r="B97" s="6"/>
      <c r="C97" s="33" t="n">
        <v>2.5</v>
      </c>
      <c r="D97" s="33" t="n">
        <v>3.5</v>
      </c>
      <c r="E97" s="33" t="n">
        <v>1</v>
      </c>
      <c r="F97" s="33" t="n">
        <v>0</v>
      </c>
      <c r="G97" s="33"/>
      <c r="I97" s="6" t="s">
        <v>235</v>
      </c>
    </row>
    <row r="98" customFormat="false" ht="15" hidden="true" customHeight="false" outlineLevel="2" collapsed="false">
      <c r="A98" s="3" t="s">
        <v>287</v>
      </c>
      <c r="B98" s="6"/>
      <c r="C98" s="21" t="n">
        <v>0</v>
      </c>
      <c r="D98" s="21" t="n">
        <v>0</v>
      </c>
      <c r="E98" s="21" t="n">
        <v>1</v>
      </c>
      <c r="F98" s="21"/>
      <c r="G98" s="21"/>
      <c r="I98" s="6" t="s">
        <v>237</v>
      </c>
    </row>
    <row r="99" customFormat="false" ht="15" hidden="true" customHeight="false" outlineLevel="2" collapsed="false">
      <c r="A99" s="3" t="s">
        <v>288</v>
      </c>
      <c r="B99" s="11" t="s">
        <v>59</v>
      </c>
      <c r="C99" s="32" t="n">
        <f aca="false">CHOOSE(輸入與假設!$C$5,$C$98,$D$98,$E$98)*IF(C$55&gt;MAX(C$54,($D$96+$E$97*運營_產能與收入!$C$62/12)),$C$96*$E$96*(1+$F$96)^((MAX(C$54,($D$96+$E$97*運營_產能與收入!$C$62/12))+C$55)/2-($D$96+$E$97*運營_產能與收入!$C$62/12))*(C$55-MAX(C$54,($D$96+$E$97*運營_產能與收入!$C$62/12))),0)</f>
        <v>0</v>
      </c>
      <c r="D99" s="32" t="n">
        <f aca="false">CHOOSE(輸入與假設!$C$5,$C$98,$D$98,$E$98)*IF(D$55&gt;MAX(D$54,($D$96+$E$97*運營_產能與收入!$C$62/12)),$C$96*$E$96*(1+$F$96)^((MAX(D$54,($D$96+$E$97*運營_產能與收入!$C$62/12))+D$55)/2-($D$96+$E$97*運營_產能與收入!$C$62/12))*(D$55-MAX(D$54,($D$96+$E$97*運營_產能與收入!$C$62/12))),0)</f>
        <v>0</v>
      </c>
      <c r="E99" s="32" t="n">
        <f aca="false">CHOOSE(輸入與假設!$C$5,$C$98,$D$98,$E$98)*IF(E$55&gt;MAX(E$54,($D$96+$E$97*運營_產能與收入!$C$62/12)),$C$96*$E$96*(1+$F$96)^((MAX(E$54,($D$96+$E$97*運營_產能與收入!$C$62/12))+E$55)/2-($D$96+$E$97*運營_產能與收入!$C$62/12))*(E$55-MAX(E$54,($D$96+$E$97*運營_產能與收入!$C$62/12))),0)</f>
        <v>0</v>
      </c>
      <c r="F99" s="32" t="n">
        <f aca="false">CHOOSE(輸入與假設!$C$5,$C$98,$D$98,$E$98)*IF(F$55&gt;MAX(F$54,($D$96+$E$97*運營_產能與收入!$C$62/12)),$C$96*$E$96*(1+$F$96)^((MAX(F$54,($D$96+$E$97*運營_產能與收入!$C$62/12))+F$55)/2-($D$96+$E$97*運營_產能與收入!$C$62/12))*(F$55-MAX(F$54,($D$96+$E$97*運營_產能與收入!$C$62/12))),0)</f>
        <v>0</v>
      </c>
      <c r="G99" s="32" t="n">
        <f aca="false">CHOOSE(輸入與假設!$C$5,$C$98,$D$98,$E$98)*IF(G$55&gt;MAX(G$54,($D$96+$E$97*運營_產能與收入!$C$62/12)),$C$96*$E$96*(1+$F$96)^((MAX(G$54,($D$96+$E$97*運營_產能與收入!$C$62/12))+G$55)/2-($D$96+$E$97*運營_產能與收入!$C$62/12))*(G$55-MAX(G$54,($D$96+$E$97*運營_產能與收入!$C$62/12))),0)</f>
        <v>0</v>
      </c>
      <c r="I99" s="6" t="s">
        <v>239</v>
      </c>
    </row>
    <row r="100" customFormat="false" ht="15" hidden="true" customHeight="false" outlineLevel="2" collapsed="false">
      <c r="A100" s="3" t="s">
        <v>289</v>
      </c>
      <c r="B100" s="11" t="s">
        <v>59</v>
      </c>
      <c r="C100" s="32" t="n">
        <f aca="false">CHOOSE(輸入與假設!$C$5,$C$98,$D$98,$E$98)*IF($D$97&gt;$C$97,$G$96*MAX(0,MIN(C$55,$D$97)-MAX(C$54,$C$97))/($D$97-$C$97),IF(OR(AND($C$97&gt;=C$54,$C$97&lt;C$55),$C$97&lt;C$54),$G$96,0))</f>
        <v>0</v>
      </c>
      <c r="D100" s="32" t="n">
        <f aca="false">CHOOSE(輸入與假設!$C$5,$C$98,$D$98,$E$98)*IF($D$97&gt;$C$97,$G$96*MAX(0,MIN(D$55,$D$97)-MAX(D$54,$C$97))/($D$97-$C$97),IF(OR(AND($C$97&gt;=D$54,$C$97&lt;D$55)),$G$96,0))</f>
        <v>0</v>
      </c>
      <c r="E100" s="32" t="n">
        <f aca="false">CHOOSE(輸入與假設!$C$5,$C$98,$D$98,$E$98)*IF($D$97&gt;$C$97,$G$96*MAX(0,MIN(E$55,$D$97)-MAX(E$54,$C$97))/($D$97-$C$97),IF(OR(AND($C$97&gt;=E$54,$C$97&lt;E$55)),$G$96,0))</f>
        <v>0</v>
      </c>
      <c r="F100" s="32" t="n">
        <f aca="false">CHOOSE(輸入與假設!$C$5,$C$98,$D$98,$E$98)*IF($D$97&gt;$C$97,$G$96*MAX(0,MIN(F$55,$D$97)-MAX(F$54,$C$97))/($D$97-$C$97),IF(OR(AND($C$97&gt;=F$54,$C$97&lt;F$55)),$G$96,0))</f>
        <v>0</v>
      </c>
      <c r="G100" s="32" t="n">
        <f aca="false">CHOOSE(輸入與假設!$C$5,$C$98,$D$98,$E$98)*IF($D$97&gt;$C$97,$G$96*MAX(0,MIN(G$55,$D$97)-MAX(G$54,$C$97))/($D$97-$C$97),IF(OR(AND($C$97&gt;=G$54,$C$97&lt;G$55)),$G$96,0))</f>
        <v>0</v>
      </c>
      <c r="I100" s="6" t="s">
        <v>241</v>
      </c>
    </row>
    <row r="101" customFormat="false" ht="15" hidden="true" customHeight="false" outlineLevel="2" collapsed="false">
      <c r="A101" s="3" t="s">
        <v>290</v>
      </c>
      <c r="B101" s="6"/>
      <c r="C101" s="33" t="n">
        <v>74.07</v>
      </c>
      <c r="D101" s="33" t="n">
        <v>1.5</v>
      </c>
      <c r="E101" s="33" t="n">
        <v>1.85</v>
      </c>
      <c r="F101" s="33" t="n">
        <v>0.03</v>
      </c>
      <c r="G101" s="33" t="n">
        <v>851.805</v>
      </c>
      <c r="I101" s="6" t="s">
        <v>291</v>
      </c>
    </row>
    <row r="102" customFormat="false" ht="15" hidden="true" customHeight="false" outlineLevel="2" collapsed="false">
      <c r="A102" s="3" t="s">
        <v>292</v>
      </c>
      <c r="B102" s="6"/>
      <c r="C102" s="33" t="n">
        <v>0.5</v>
      </c>
      <c r="D102" s="33" t="n">
        <v>1.5</v>
      </c>
      <c r="E102" s="33" t="n">
        <v>1</v>
      </c>
      <c r="F102" s="33" t="n">
        <v>0</v>
      </c>
      <c r="G102" s="33"/>
      <c r="I102" s="6" t="s">
        <v>235</v>
      </c>
    </row>
    <row r="103" customFormat="false" ht="15" hidden="true" customHeight="false" outlineLevel="2" collapsed="false">
      <c r="A103" s="3" t="s">
        <v>293</v>
      </c>
      <c r="B103" s="6"/>
      <c r="C103" s="21" t="n">
        <v>0</v>
      </c>
      <c r="D103" s="21" t="n">
        <v>0</v>
      </c>
      <c r="E103" s="21" t="n">
        <v>1</v>
      </c>
      <c r="F103" s="21"/>
      <c r="G103" s="21"/>
      <c r="I103" s="6" t="s">
        <v>237</v>
      </c>
    </row>
    <row r="104" customFormat="false" ht="15" hidden="true" customHeight="false" outlineLevel="2" collapsed="false">
      <c r="A104" s="3" t="s">
        <v>294</v>
      </c>
      <c r="B104" s="11" t="s">
        <v>59</v>
      </c>
      <c r="C104" s="32" t="n">
        <f aca="false">CHOOSE(輸入與假設!$C$5,$C$103,$D$103,$E$103)*IF(C$55&gt;MAX(C$54,($D$101+$E$102*運營_產能與收入!$C$62/12)),$C$101*$E$101*(1+$F$101)^((MAX(C$54,($D$101+$E$102*運營_產能與收入!$C$62/12))+C$55)/2-($D$101+$E$102*運營_產能與收入!$C$62/12))*(C$55-MAX(C$54,($D$101+$E$102*運營_產能與收入!$C$62/12))),0)</f>
        <v>0</v>
      </c>
      <c r="D104" s="32" t="n">
        <f aca="false">CHOOSE(輸入與假設!$C$5,$C$103,$D$103,$E$103)*IF(D$55&gt;MAX(D$54,($D$101+$E$102*運營_產能與收入!$C$62/12)),$C$101*$E$101*(1+$F$101)^((MAX(D$54,($D$101+$E$102*運營_產能與收入!$C$62/12))+D$55)/2-($D$101+$E$102*運營_產能與收入!$C$62/12))*(D$55-MAX(D$54,($D$101+$E$102*運營_產能與收入!$C$62/12))),0)</f>
        <v>0</v>
      </c>
      <c r="E104" s="32" t="n">
        <f aca="false">CHOOSE(輸入與假設!$C$5,$C$103,$D$103,$E$103)*IF(E$55&gt;MAX(E$54,($D$101+$E$102*運營_產能與收入!$C$62/12)),$C$101*$E$101*(1+$F$101)^((MAX(E$54,($D$101+$E$102*運營_產能與收入!$C$62/12))+E$55)/2-($D$101+$E$102*運營_產能與收入!$C$62/12))*(E$55-MAX(E$54,($D$101+$E$102*運營_產能與收入!$C$62/12))),0)</f>
        <v>0</v>
      </c>
      <c r="F104" s="32" t="n">
        <f aca="false">CHOOSE(輸入與假設!$C$5,$C$103,$D$103,$E$103)*IF(F$55&gt;MAX(F$54,($D$101+$E$102*運營_產能與收入!$C$62/12)),$C$101*$E$101*(1+$F$101)^((MAX(F$54,($D$101+$E$102*運營_產能與收入!$C$62/12))+F$55)/2-($D$101+$E$102*運營_產能與收入!$C$62/12))*(F$55-MAX(F$54,($D$101+$E$102*運營_產能與收入!$C$62/12))),0)</f>
        <v>0</v>
      </c>
      <c r="G104" s="32" t="n">
        <f aca="false">CHOOSE(輸入與假設!$C$5,$C$103,$D$103,$E$103)*IF(G$55&gt;MAX(G$54,($D$101+$E$102*運營_產能與收入!$C$62/12)),$C$101*$E$101*(1+$F$101)^((MAX(G$54,($D$101+$E$102*運營_產能與收入!$C$62/12))+G$55)/2-($D$101+$E$102*運營_產能與收入!$C$62/12))*(G$55-MAX(G$54,($D$101+$E$102*運營_產能與收入!$C$62/12))),0)</f>
        <v>0</v>
      </c>
      <c r="I104" s="6" t="s">
        <v>239</v>
      </c>
    </row>
    <row r="105" customFormat="false" ht="15" hidden="true" customHeight="false" outlineLevel="2" collapsed="false">
      <c r="A105" s="3" t="s">
        <v>295</v>
      </c>
      <c r="B105" s="11" t="s">
        <v>59</v>
      </c>
      <c r="C105" s="32" t="n">
        <f aca="false">CHOOSE(輸入與假設!$C$5,$C$103,$D$103,$E$103)*IF($D$102&gt;$C$102,$G$101*MAX(0,MIN(C$55,$D$102)-MAX(C$54,$C$102))/($D$102-$C$102),IF(OR(AND($C$102&gt;=C$54,$C$102&lt;C$55),$C$102&lt;C$54),$G$101,0))</f>
        <v>0</v>
      </c>
      <c r="D105" s="32" t="n">
        <f aca="false">CHOOSE(輸入與假設!$C$5,$C$103,$D$103,$E$103)*IF($D$102&gt;$C$102,$G$101*MAX(0,MIN(D$55,$D$102)-MAX(D$54,$C$102))/($D$102-$C$102),IF(OR(AND($C$102&gt;=D$54,$C$102&lt;D$55)),$G$101,0))</f>
        <v>0</v>
      </c>
      <c r="E105" s="32" t="n">
        <f aca="false">CHOOSE(輸入與假設!$C$5,$C$103,$D$103,$E$103)*IF($D$102&gt;$C$102,$G$101*MAX(0,MIN(E$55,$D$102)-MAX(E$54,$C$102))/($D$102-$C$102),IF(OR(AND($C$102&gt;=E$54,$C$102&lt;E$55)),$G$101,0))</f>
        <v>0</v>
      </c>
      <c r="F105" s="32" t="n">
        <f aca="false">CHOOSE(輸入與假設!$C$5,$C$103,$D$103,$E$103)*IF($D$102&gt;$C$102,$G$101*MAX(0,MIN(F$55,$D$102)-MAX(F$54,$C$102))/($D$102-$C$102),IF(OR(AND($C$102&gt;=F$54,$C$102&lt;F$55)),$G$101,0))</f>
        <v>0</v>
      </c>
      <c r="G105" s="32" t="n">
        <f aca="false">CHOOSE(輸入與假設!$C$5,$C$103,$D$103,$E$103)*IF($D$102&gt;$C$102,$G$101*MAX(0,MIN(G$55,$D$102)-MAX(G$54,$C$102))/($D$102-$C$102),IF(OR(AND($C$102&gt;=G$54,$C$102&lt;G$55)),$G$101,0))</f>
        <v>0</v>
      </c>
      <c r="I105" s="6" t="s">
        <v>241</v>
      </c>
    </row>
    <row r="106" customFormat="false" ht="15" hidden="true" customHeight="false" outlineLevel="2" collapsed="false">
      <c r="A106" s="3" t="s">
        <v>296</v>
      </c>
      <c r="B106" s="11" t="s">
        <v>59</v>
      </c>
      <c r="C106" s="32" t="n">
        <f aca="false">C59+C64+C69+C74+C79+C84+C89+C94+C99+C104</f>
        <v>37.8941812319381</v>
      </c>
      <c r="D106" s="32" t="n">
        <f aca="false">D59+D64+D69+D74+D79+D84+D89+D94+D99+D104</f>
        <v>100.515582973631</v>
      </c>
      <c r="E106" s="32" t="n">
        <f aca="false">E59+E64+E69+E74+E79+E84+E89+E94+E99+E104</f>
        <v>151.148922920645</v>
      </c>
      <c r="F106" s="32" t="n">
        <f aca="false">F59+F64+F69+F74+F79+F84+F89+F94+F99+F104</f>
        <v>170.934405342445</v>
      </c>
      <c r="G106" s="32" t="n">
        <f aca="false">G59+G64+G69+G74+G79+G84+G89+G94+G99+G104</f>
        <v>175.495737502719</v>
      </c>
      <c r="I106" s="6" t="s">
        <v>297</v>
      </c>
    </row>
    <row r="107" customFormat="false" ht="15" hidden="true" customHeight="false" outlineLevel="2" collapsed="false">
      <c r="A107" s="3" t="s">
        <v>298</v>
      </c>
      <c r="B107" s="11" t="s">
        <v>59</v>
      </c>
      <c r="C107" s="32" t="n">
        <f aca="false">C60+C65+C70+C75+C80+C85+C90+C95+C100+C105</f>
        <v>23.6</v>
      </c>
      <c r="D107" s="32" t="n">
        <f aca="false">D60+D65+D70+D75+D80+D85+D90+D95+D100+D105</f>
        <v>383.295</v>
      </c>
      <c r="E107" s="32" t="n">
        <f aca="false">E60+E65+E70+E75+E80+E85+E90+E95+E100+E105</f>
        <v>0</v>
      </c>
      <c r="F107" s="32" t="n">
        <f aca="false">F60+F65+F70+F75+F80+F85+F90+F95+F100+F105</f>
        <v>0</v>
      </c>
      <c r="G107" s="32" t="n">
        <f aca="false">G60+G65+G70+G75+G80+G85+G90+G95+G100+G105</f>
        <v>0</v>
      </c>
      <c r="I107" s="6" t="s">
        <v>299</v>
      </c>
    </row>
    <row r="108" customFormat="false" ht="15" hidden="true" customHeight="false" outlineLevel="2" collapsed="false">
      <c r="A108" s="3" t="s">
        <v>300</v>
      </c>
      <c r="B108" s="11" t="s">
        <v>59</v>
      </c>
      <c r="C108" s="25" t="n">
        <v>556.3</v>
      </c>
      <c r="I108" s="11" t="s">
        <v>301</v>
      </c>
    </row>
    <row r="109" customFormat="false" ht="15" hidden="true" customHeight="false" outlineLevel="2" collapsed="false">
      <c r="A109" s="3" t="s">
        <v>302</v>
      </c>
      <c r="B109" s="6" t="s">
        <v>181</v>
      </c>
      <c r="C109" s="21" t="n">
        <v>20</v>
      </c>
      <c r="I109" s="6" t="s">
        <v>303</v>
      </c>
    </row>
    <row r="110" customFormat="false" ht="15" hidden="true" customHeight="false" outlineLevel="2" collapsed="false">
      <c r="A110" s="3" t="s">
        <v>304</v>
      </c>
      <c r="B110" s="11" t="s">
        <v>59</v>
      </c>
      <c r="C110" s="32" t="n">
        <f aca="false">輸入與假設!$C$108</f>
        <v>556.3</v>
      </c>
      <c r="D110" s="32" t="n">
        <f aca="false">C110+C107</f>
        <v>579.9</v>
      </c>
      <c r="E110" s="32" t="n">
        <f aca="false">D110+D107</f>
        <v>963.195</v>
      </c>
      <c r="F110" s="32" t="n">
        <f aca="false">E110+E107</f>
        <v>963.195</v>
      </c>
      <c r="G110" s="32" t="n">
        <f aca="false">F110+F107</f>
        <v>963.195</v>
      </c>
      <c r="I110" s="6" t="s">
        <v>305</v>
      </c>
    </row>
    <row r="111" customFormat="false" ht="15" hidden="true" customHeight="false" outlineLevel="2" collapsed="false">
      <c r="A111" s="3" t="s">
        <v>306</v>
      </c>
      <c r="B111" s="11" t="s">
        <v>59</v>
      </c>
      <c r="C111" s="32" t="n">
        <f aca="false">(C110+0.5*C107)/輸入與假設!$C$109*C$41</f>
        <v>14.2025</v>
      </c>
      <c r="D111" s="32" t="n">
        <f aca="false">(D110+0.5*D107)/輸入與假設!$C$109*D$41</f>
        <v>38.577375</v>
      </c>
      <c r="E111" s="32" t="n">
        <f aca="false">(E110+0.5*E107)/輸入與假設!$C$109*E$41</f>
        <v>48.15975</v>
      </c>
      <c r="F111" s="32" t="n">
        <f aca="false">(F110+0.5*F107)/輸入與假設!$C$109*F$41</f>
        <v>48.15975</v>
      </c>
      <c r="G111" s="32" t="n">
        <f aca="false">(G110+0.5*G107)/輸入與假設!$C$109*G$41</f>
        <v>48.15975</v>
      </c>
      <c r="I111" s="6" t="s">
        <v>307</v>
      </c>
    </row>
    <row r="112" customFormat="false" ht="15" hidden="true" customHeight="false" outlineLevel="2" collapsed="false">
      <c r="A112" s="3" t="s">
        <v>308</v>
      </c>
      <c r="B112" s="11" t="s">
        <v>59</v>
      </c>
      <c r="C112" s="32" t="n">
        <f aca="false">C59+C64+C69+C74</f>
        <v>37.8941812319381</v>
      </c>
      <c r="D112" s="32" t="n">
        <f aca="false">D59+D64+D69+D74</f>
        <v>96.3066868657951</v>
      </c>
      <c r="E112" s="32" t="n">
        <f aca="false">E59+E64+E69+E74</f>
        <v>98.6291874717689</v>
      </c>
      <c r="F112" s="32" t="n">
        <f aca="false">F59+F64+F69+F74</f>
        <v>101.021363095922</v>
      </c>
      <c r="G112" s="32" t="n">
        <f aca="false">G59+G64+G69+G74</f>
        <v>103.4853039888</v>
      </c>
      <c r="I112" s="6" t="s">
        <v>309</v>
      </c>
    </row>
    <row r="113" customFormat="false" ht="15" hidden="true" customHeight="false" outlineLevel="2" collapsed="false">
      <c r="A113" s="3" t="s">
        <v>310</v>
      </c>
      <c r="B113" s="11" t="s">
        <v>59</v>
      </c>
      <c r="C113" s="25" t="n">
        <v>36.053</v>
      </c>
      <c r="D113" s="25" t="n">
        <v>93.465</v>
      </c>
      <c r="E113" s="25" t="n">
        <v>94.835</v>
      </c>
      <c r="F113" s="25" t="n">
        <v>95.285</v>
      </c>
      <c r="G113" s="25" t="n">
        <v>94.021</v>
      </c>
      <c r="I113" s="11" t="s">
        <v>311</v>
      </c>
    </row>
    <row r="114" customFormat="false" ht="15" hidden="true" customHeight="false" outlineLevel="2" collapsed="false">
      <c r="A114" s="3" t="s">
        <v>312</v>
      </c>
      <c r="B114" s="11" t="s">
        <v>59</v>
      </c>
      <c r="C114" s="32" t="n">
        <f aca="false">C112-C113</f>
        <v>1.84118123193812</v>
      </c>
      <c r="D114" s="32" t="n">
        <f aca="false">D112-D113</f>
        <v>2.84168686579505</v>
      </c>
      <c r="E114" s="32" t="n">
        <f aca="false">E112-E113</f>
        <v>3.79418747176894</v>
      </c>
      <c r="F114" s="32" t="n">
        <f aca="false">F112-F113</f>
        <v>5.73636309592199</v>
      </c>
      <c r="G114" s="32" t="n">
        <f aca="false">G112-G113</f>
        <v>9.46430398879966</v>
      </c>
      <c r="I114" s="6" t="s">
        <v>313</v>
      </c>
    </row>
    <row r="115" customFormat="false" ht="15" hidden="true" customHeight="false" outlineLevel="2" collapsed="false">
      <c r="A115" s="3" t="s">
        <v>314</v>
      </c>
      <c r="B115" s="11" t="s">
        <v>59</v>
      </c>
      <c r="C115" s="32" t="n">
        <f aca="false">C106</f>
        <v>37.8941812319381</v>
      </c>
      <c r="D115" s="32" t="n">
        <f aca="false">D106</f>
        <v>100.515582973631</v>
      </c>
      <c r="E115" s="32" t="n">
        <f aca="false">E106</f>
        <v>151.148922920645</v>
      </c>
      <c r="F115" s="32" t="n">
        <f aca="false">F106</f>
        <v>170.934405342445</v>
      </c>
      <c r="G115" s="32" t="n">
        <f aca="false">G106</f>
        <v>175.495737502719</v>
      </c>
      <c r="I115" s="6" t="s">
        <v>315</v>
      </c>
    </row>
    <row r="116" customFormat="false" ht="15" hidden="true" customHeight="false" outlineLevel="2" collapsed="false">
      <c r="A116" s="3" t="s">
        <v>316</v>
      </c>
      <c r="B116" s="11" t="s">
        <v>42</v>
      </c>
      <c r="C116" s="24" t="n">
        <v>0.522</v>
      </c>
      <c r="D116" s="24" t="n">
        <v>0.554</v>
      </c>
      <c r="E116" s="24" t="n">
        <v>0.586</v>
      </c>
      <c r="F116" s="24" t="n">
        <v>0.618</v>
      </c>
      <c r="G116" s="24" t="n">
        <v>0.65</v>
      </c>
      <c r="I116" s="6" t="s">
        <v>317</v>
      </c>
    </row>
    <row r="117" customFormat="false" ht="15" hidden="true" customHeight="false" outlineLevel="2" collapsed="false">
      <c r="A117" s="3" t="s">
        <v>318</v>
      </c>
      <c r="B117" s="11" t="s">
        <v>59</v>
      </c>
      <c r="C117" s="32" t="n">
        <f aca="false">C115*C116</f>
        <v>19.7807626030717</v>
      </c>
      <c r="D117" s="32" t="n">
        <f aca="false">D115*D116</f>
        <v>55.6856329673916</v>
      </c>
      <c r="E117" s="32" t="n">
        <f aca="false">E115*E116</f>
        <v>88.5732688314977</v>
      </c>
      <c r="F117" s="32" t="n">
        <f aca="false">F115*F116</f>
        <v>105.637462501631</v>
      </c>
      <c r="G117" s="32" t="n">
        <f aca="false">G115*G116</f>
        <v>114.072229376767</v>
      </c>
      <c r="I117" s="6" t="s">
        <v>319</v>
      </c>
    </row>
    <row r="118" customFormat="false" ht="15" hidden="true" customHeight="false" outlineLevel="2" collapsed="false">
      <c r="A118" s="3" t="s">
        <v>320</v>
      </c>
      <c r="B118" s="11" t="s">
        <v>59</v>
      </c>
      <c r="C118" s="32" t="n">
        <f aca="false">0</f>
        <v>0</v>
      </c>
      <c r="I118" s="6" t="s">
        <v>321</v>
      </c>
    </row>
    <row r="120" customFormat="false" ht="15" hidden="false" customHeight="false" outlineLevel="0" collapsed="false">
      <c r="A120" s="7" t="s">
        <v>322</v>
      </c>
      <c r="B120" s="8"/>
      <c r="C120" s="8"/>
      <c r="D120" s="8"/>
      <c r="E120" s="8"/>
      <c r="F120" s="8"/>
      <c r="G120" s="8"/>
      <c r="H120" s="8"/>
    </row>
    <row r="121" customFormat="false" ht="15" hidden="false" customHeight="false" outlineLevel="1" collapsed="false">
      <c r="A121" s="3" t="s">
        <v>323</v>
      </c>
      <c r="B121" s="11" t="s">
        <v>42</v>
      </c>
      <c r="C121" s="34" t="n">
        <v>-0.1149</v>
      </c>
      <c r="I121" s="11" t="s">
        <v>324</v>
      </c>
    </row>
    <row r="122" customFormat="false" ht="15" hidden="false" customHeight="false" outlineLevel="1" collapsed="false">
      <c r="A122" s="3" t="s">
        <v>325</v>
      </c>
      <c r="B122" s="11" t="s">
        <v>42</v>
      </c>
      <c r="C122" s="34" t="n">
        <v>0.47</v>
      </c>
      <c r="I122" s="6" t="s">
        <v>326</v>
      </c>
    </row>
    <row r="123" customFormat="false" ht="15" hidden="false" customHeight="false" outlineLevel="1" collapsed="false">
      <c r="A123" s="3" t="s">
        <v>327</v>
      </c>
      <c r="B123" s="11" t="s">
        <v>42</v>
      </c>
      <c r="C123" s="24" t="n">
        <v>0.098099</v>
      </c>
      <c r="I123" s="11" t="s">
        <v>328</v>
      </c>
    </row>
    <row r="124" customFormat="false" ht="15" hidden="false" customHeight="false" outlineLevel="1" collapsed="false">
      <c r="A124" s="3" t="s">
        <v>329</v>
      </c>
      <c r="B124" s="11" t="s">
        <v>42</v>
      </c>
      <c r="C124" s="24" t="n">
        <v>0.023836</v>
      </c>
      <c r="I124" s="6" t="s">
        <v>330</v>
      </c>
    </row>
    <row r="125" customFormat="false" ht="15" hidden="false" customHeight="false" outlineLevel="1" collapsed="false">
      <c r="A125" s="14" t="s">
        <v>53</v>
      </c>
      <c r="B125" s="14" t="s">
        <v>54</v>
      </c>
      <c r="C125" s="28" t="s">
        <v>55</v>
      </c>
      <c r="D125" s="28" t="s">
        <v>56</v>
      </c>
      <c r="E125" s="28" t="s">
        <v>57</v>
      </c>
      <c r="F125" s="28" t="s">
        <v>139</v>
      </c>
      <c r="G125" s="28" t="s">
        <v>140</v>
      </c>
      <c r="I125" s="14" t="s">
        <v>203</v>
      </c>
    </row>
    <row r="126" customFormat="false" ht="15" hidden="false" customHeight="false" outlineLevel="1" collapsed="false">
      <c r="A126" s="4" t="s">
        <v>331</v>
      </c>
      <c r="B126" s="11" t="s">
        <v>42</v>
      </c>
      <c r="C126" s="35" t="n">
        <f aca="false">輸入與假設!$C$121+輸入與假設!$C$123+(輸入與假設!$C$122+輸入與假設!$C$124-輸入與假設!$C$121-輸入與假設!$C$123)*0/4</f>
        <v>-0.016801</v>
      </c>
      <c r="D126" s="35" t="n">
        <f aca="false">輸入與假設!$C$121+輸入與假設!$C$123+(輸入與假設!$C$122+輸入與假設!$C$124-輸入與假設!$C$121-輸入與假設!$C$123)*1/4</f>
        <v>0.11085825</v>
      </c>
      <c r="E126" s="35" t="n">
        <f aca="false">輸入與假設!$C$121+輸入與假設!$C$123+(輸入與假設!$C$122+輸入與假設!$C$124-輸入與假設!$C$121-輸入與假設!$C$123)*2/4</f>
        <v>0.2385175</v>
      </c>
      <c r="F126" s="35" t="n">
        <f aca="false">輸入與假設!$C$121+輸入與假設!$C$123+(輸入與假設!$C$122+輸入與假設!$C$124-輸入與假設!$C$121-輸入與假設!$C$123)*3/4</f>
        <v>0.36617675</v>
      </c>
      <c r="G126" s="35" t="n">
        <f aca="false">輸入與假設!$C$121+輸入與假設!$C$123+(輸入與假設!$C$122+輸入與假設!$C$124-輸入與假設!$C$121-輸入與假設!$C$123)*4/4</f>
        <v>0.493836</v>
      </c>
      <c r="I126" s="6" t="s">
        <v>332</v>
      </c>
    </row>
    <row r="127" customFormat="false" ht="15" hidden="false" customHeight="false" outlineLevel="1" collapsed="false">
      <c r="A127" s="4" t="s">
        <v>333</v>
      </c>
      <c r="B127" s="11" t="s">
        <v>42</v>
      </c>
      <c r="C127" s="35" t="n">
        <f aca="false">C126-各期收支!C17/MAX(10,運營_產能與收入!C50)</f>
        <v>-0.334325138359049</v>
      </c>
      <c r="D127" s="35" t="n">
        <f aca="false">D126-各期收支!D17/MAX(10,運營_產能與收入!D50)</f>
        <v>-0.216609126914153</v>
      </c>
      <c r="E127" s="35" t="n">
        <f aca="false">E126-各期收支!E17/MAX(10,運營_產能與收入!E50)</f>
        <v>-0.043178282144506</v>
      </c>
      <c r="F127" s="35" t="n">
        <f aca="false">F126-各期收支!F17/MAX(10,運營_產能與收入!F50)</f>
        <v>0.0731156540798472</v>
      </c>
      <c r="G127" s="35" t="n">
        <f aca="false">G126-各期收支!G17/MAX(10,運營_產能與收入!G50)</f>
        <v>0.196899370283186</v>
      </c>
      <c r="I127" s="6" t="s">
        <v>334</v>
      </c>
    </row>
    <row r="128" customFormat="false" ht="15" hidden="false" customHeight="false" outlineLevel="1" collapsed="false">
      <c r="A128" s="3" t="s">
        <v>335</v>
      </c>
      <c r="B128" s="11" t="s">
        <v>59</v>
      </c>
      <c r="C128" s="32" t="n">
        <f aca="false">輸入與假設!C$50*運營_產能與收入!C51</f>
        <v>-0</v>
      </c>
      <c r="D128" s="32" t="n">
        <f aca="false">輸入與假設!D$50*運營_產能與收入!D51</f>
        <v>0</v>
      </c>
      <c r="E128" s="32" t="n">
        <f aca="false">輸入與假設!E$50*運營_產能與收入!E51</f>
        <v>0</v>
      </c>
      <c r="F128" s="32" t="n">
        <f aca="false">輸入與假設!F$50*運營_產能與收入!F51</f>
        <v>0</v>
      </c>
      <c r="G128" s="32" t="n">
        <f aca="false">輸入與假設!G$50*運營_產能與收入!G51</f>
        <v>0</v>
      </c>
      <c r="I128" s="6" t="s">
        <v>336</v>
      </c>
    </row>
    <row r="129" customFormat="false" ht="15" hidden="false" customHeight="false" outlineLevel="1" collapsed="true">
      <c r="A129" s="19" t="s">
        <v>337</v>
      </c>
      <c r="B129" s="20"/>
      <c r="C129" s="20"/>
      <c r="D129" s="20"/>
      <c r="E129" s="20"/>
      <c r="F129" s="20"/>
      <c r="G129" s="20"/>
      <c r="H129" s="20"/>
    </row>
    <row r="130" customFormat="false" ht="15" hidden="true" customHeight="false" outlineLevel="2" collapsed="false">
      <c r="A130" s="3" t="s">
        <v>338</v>
      </c>
      <c r="B130" s="6"/>
      <c r="C130" s="21" t="n">
        <v>0</v>
      </c>
      <c r="I130" s="11" t="s">
        <v>339</v>
      </c>
    </row>
    <row r="131" customFormat="false" ht="15" hidden="true" customHeight="false" outlineLevel="2" collapsed="false">
      <c r="A131" s="3" t="s">
        <v>340</v>
      </c>
      <c r="B131" s="11" t="s">
        <v>341</v>
      </c>
      <c r="C131" s="21" t="n">
        <v>60</v>
      </c>
      <c r="D131" s="21" t="n">
        <v>62</v>
      </c>
      <c r="E131" s="21" t="n">
        <v>64</v>
      </c>
      <c r="F131" s="21" t="n">
        <v>66</v>
      </c>
      <c r="G131" s="21" t="n">
        <v>68</v>
      </c>
      <c r="I131" s="11" t="s">
        <v>342</v>
      </c>
    </row>
    <row r="132" customFormat="false" ht="15" hidden="true" customHeight="false" outlineLevel="2" collapsed="false">
      <c r="A132" s="4" t="s">
        <v>343</v>
      </c>
      <c r="B132" s="6"/>
      <c r="C132" s="36" t="n">
        <v>1.3</v>
      </c>
      <c r="D132" s="36" t="n">
        <v>1.3</v>
      </c>
      <c r="E132" s="36" t="n">
        <v>1.3</v>
      </c>
      <c r="F132" s="36" t="n">
        <v>1.3</v>
      </c>
      <c r="G132" s="36" t="n">
        <v>1.3</v>
      </c>
      <c r="I132" s="11" t="s">
        <v>342</v>
      </c>
    </row>
    <row r="133" customFormat="false" ht="15" hidden="true" customHeight="false" outlineLevel="2" collapsed="false">
      <c r="A133" s="3" t="s">
        <v>344</v>
      </c>
      <c r="B133" s="11" t="s">
        <v>161</v>
      </c>
      <c r="C133" s="36" t="n">
        <v>0.15</v>
      </c>
      <c r="D133" s="36" t="n">
        <v>0.15</v>
      </c>
      <c r="E133" s="36" t="n">
        <v>0.16</v>
      </c>
      <c r="F133" s="36" t="n">
        <v>0.16</v>
      </c>
      <c r="G133" s="36" t="n">
        <v>0.17</v>
      </c>
      <c r="I133" s="11" t="s">
        <v>342</v>
      </c>
    </row>
    <row r="135" customFormat="false" ht="15" hidden="false" customHeight="false" outlineLevel="0" collapsed="false">
      <c r="A135" s="7" t="s">
        <v>345</v>
      </c>
      <c r="B135" s="8"/>
      <c r="C135" s="8"/>
      <c r="D135" s="8"/>
      <c r="E135" s="8"/>
      <c r="F135" s="8"/>
      <c r="G135" s="8"/>
      <c r="H135" s="8"/>
    </row>
    <row r="136" customFormat="false" ht="15" hidden="false" customHeight="false" outlineLevel="1" collapsed="false">
      <c r="A136" s="3" t="s">
        <v>346</v>
      </c>
      <c r="B136" s="11" t="s">
        <v>42</v>
      </c>
      <c r="C136" s="24" t="n">
        <v>0.35</v>
      </c>
      <c r="I136" s="6" t="s">
        <v>347</v>
      </c>
    </row>
    <row r="137" customFormat="false" ht="15" hidden="false" customHeight="false" outlineLevel="1" collapsed="false">
      <c r="A137" s="4" t="s">
        <v>348</v>
      </c>
      <c r="B137" s="11" t="s">
        <v>143</v>
      </c>
      <c r="C137" s="22" t="n">
        <f aca="false">CHOOSE(輸入與假設!$C$5,I11,I14,I17)</f>
        <v>0</v>
      </c>
      <c r="I137" s="6" t="s">
        <v>349</v>
      </c>
    </row>
    <row r="138" customFormat="false" ht="15" hidden="false" customHeight="false" outlineLevel="1" collapsed="false">
      <c r="A138" s="4" t="s">
        <v>350</v>
      </c>
      <c r="B138" s="11" t="s">
        <v>59</v>
      </c>
      <c r="C138" s="25" t="n">
        <v>0</v>
      </c>
      <c r="I138" s="6" t="s">
        <v>351</v>
      </c>
    </row>
    <row r="139" customFormat="false" ht="15" hidden="false" customHeight="false" outlineLevel="1" collapsed="false">
      <c r="A139" s="4" t="s">
        <v>352</v>
      </c>
      <c r="B139" s="6" t="s">
        <v>181</v>
      </c>
      <c r="C139" s="37" t="n">
        <f aca="false">TK_DeprLifeIT_GB300</f>
        <v>6</v>
      </c>
      <c r="I139" s="6" t="s">
        <v>353</v>
      </c>
    </row>
    <row r="140" customFormat="false" ht="15" hidden="false" customHeight="false" outlineLevel="1" collapsed="false">
      <c r="A140" s="4" t="s">
        <v>354</v>
      </c>
      <c r="B140" s="11" t="s">
        <v>59</v>
      </c>
      <c r="C140" s="25" t="n">
        <v>111.6</v>
      </c>
      <c r="I140" s="6" t="s">
        <v>355</v>
      </c>
    </row>
    <row r="141" customFormat="false" ht="15" hidden="false" customHeight="false" outlineLevel="1" collapsed="false">
      <c r="A141" s="3" t="s">
        <v>356</v>
      </c>
      <c r="B141" s="11" t="s">
        <v>42</v>
      </c>
      <c r="C141" s="24" t="n">
        <v>1</v>
      </c>
      <c r="I141" s="6" t="s">
        <v>357</v>
      </c>
    </row>
    <row r="142" customFormat="false" ht="15" hidden="false" customHeight="false" outlineLevel="1" collapsed="false">
      <c r="A142" s="4" t="s">
        <v>358</v>
      </c>
      <c r="B142" s="11" t="s">
        <v>42</v>
      </c>
      <c r="C142" s="24" t="n">
        <v>0.5</v>
      </c>
      <c r="I142" s="6" t="s">
        <v>359</v>
      </c>
    </row>
    <row r="143" customFormat="false" ht="15" hidden="false" customHeight="false" outlineLevel="1" collapsed="false">
      <c r="A143" s="4" t="s">
        <v>360</v>
      </c>
      <c r="B143" s="11" t="s">
        <v>42</v>
      </c>
      <c r="C143" s="24" t="n">
        <v>0.260436</v>
      </c>
      <c r="I143" s="6" t="s">
        <v>361</v>
      </c>
    </row>
    <row r="144" customFormat="false" ht="15" hidden="false" customHeight="false" outlineLevel="1" collapsed="false">
      <c r="A144" s="14" t="s">
        <v>53</v>
      </c>
      <c r="B144" s="14" t="s">
        <v>54</v>
      </c>
      <c r="C144" s="28" t="s">
        <v>55</v>
      </c>
      <c r="D144" s="28" t="s">
        <v>56</v>
      </c>
      <c r="E144" s="28" t="s">
        <v>57</v>
      </c>
      <c r="F144" s="28" t="s">
        <v>139</v>
      </c>
      <c r="G144" s="28" t="s">
        <v>140</v>
      </c>
      <c r="I144" s="14" t="s">
        <v>203</v>
      </c>
    </row>
    <row r="145" customFormat="false" ht="15" hidden="false" customHeight="false" outlineLevel="1" collapsed="false">
      <c r="A145" s="3" t="s">
        <v>362</v>
      </c>
      <c r="B145" s="11" t="s">
        <v>161</v>
      </c>
      <c r="C145" s="38" t="n">
        <f aca="false">每MW收入_錨定!C24*TK_CapexIT_H100+每MW收入_錨定!C25*TK_CapexIT_GB200+每MW收入_錨定!C26*TK_CapexIT_GB300+每MW收入_錨定!C27*TK_CapexIT_VR200</f>
        <v>31.85078765</v>
      </c>
      <c r="D145" s="38" t="n">
        <f aca="false">每MW收入_錨定!D24*TK_CapexIT_H100+每MW收入_錨定!D25*TK_CapexIT_GB200+每MW收入_錨定!D26*TK_CapexIT_GB300+每MW收入_錨定!D27*TK_CapexIT_VR200</f>
        <v>37.586352</v>
      </c>
      <c r="E145" s="38" t="n">
        <f aca="false">每MW收入_錨定!E24*TK_CapexIT_H100+每MW收入_錨定!E25*TK_CapexIT_GB200+每MW收入_錨定!E26*TK_CapexIT_GB300+每MW收入_錨定!E27*TK_CapexIT_VR200</f>
        <v>34.911788</v>
      </c>
      <c r="F145" s="38" t="n">
        <f aca="false">每MW收入_錨定!F24*TK_CapexIT_H100+每MW收入_錨定!F25*TK_CapexIT_GB200+每MW收入_錨定!F26*TK_CapexIT_GB300+每MW收入_錨定!F27*TK_CapexIT_VR200</f>
        <v>37.586352</v>
      </c>
      <c r="G145" s="38" t="n">
        <f aca="false">每MW收入_錨定!G24*TK_CapexIT_H100+每MW收入_錨定!G25*TK_CapexIT_GB200+每MW收入_錨定!G26*TK_CapexIT_GB300+每MW收入_錨定!G27*TK_CapexIT_VR200</f>
        <v>37.586352</v>
      </c>
      <c r="I145" s="11" t="s">
        <v>363</v>
      </c>
    </row>
    <row r="146" customFormat="false" ht="15" hidden="false" customHeight="false" outlineLevel="1" collapsed="false">
      <c r="A146" s="3" t="s">
        <v>364</v>
      </c>
      <c r="B146" s="11" t="s">
        <v>42</v>
      </c>
      <c r="C146" s="24" t="n">
        <v>1</v>
      </c>
      <c r="I146" s="6" t="s">
        <v>365</v>
      </c>
    </row>
    <row r="147" customFormat="false" ht="15" hidden="false" customHeight="false" outlineLevel="1" collapsed="false">
      <c r="A147" s="3" t="s">
        <v>366</v>
      </c>
      <c r="B147" s="11" t="s">
        <v>42</v>
      </c>
      <c r="C147" s="24" t="n">
        <v>0.21</v>
      </c>
      <c r="I147" s="11" t="s">
        <v>367</v>
      </c>
    </row>
    <row r="148" customFormat="false" ht="15" hidden="false" customHeight="false" outlineLevel="1" collapsed="false">
      <c r="A148" s="3" t="s">
        <v>368</v>
      </c>
      <c r="B148" s="6" t="s">
        <v>181</v>
      </c>
      <c r="C148" s="26" t="n">
        <v>8</v>
      </c>
      <c r="I148" s="6" t="s">
        <v>369</v>
      </c>
    </row>
    <row r="149" customFormat="false" ht="15" hidden="false" customHeight="false" outlineLevel="1" collapsed="false">
      <c r="A149" s="4" t="s">
        <v>370</v>
      </c>
      <c r="B149" s="11" t="s">
        <v>59</v>
      </c>
      <c r="C149" s="25" t="n">
        <v>143.11</v>
      </c>
      <c r="I149" s="6" t="s">
        <v>371</v>
      </c>
    </row>
    <row r="150" customFormat="false" ht="15" hidden="false" customHeight="false" outlineLevel="1" collapsed="false">
      <c r="A150" s="3" t="s">
        <v>372</v>
      </c>
      <c r="B150" s="11" t="s">
        <v>42</v>
      </c>
      <c r="C150" s="24" t="n">
        <v>0</v>
      </c>
      <c r="I150" s="6" t="s">
        <v>373</v>
      </c>
    </row>
    <row r="151" customFormat="false" ht="15" hidden="false" customHeight="false" outlineLevel="1" collapsed="false">
      <c r="A151" s="14" t="s">
        <v>53</v>
      </c>
      <c r="B151" s="14" t="s">
        <v>54</v>
      </c>
      <c r="C151" s="28" t="s">
        <v>55</v>
      </c>
      <c r="D151" s="28" t="s">
        <v>56</v>
      </c>
      <c r="E151" s="28" t="s">
        <v>57</v>
      </c>
      <c r="F151" s="28" t="s">
        <v>139</v>
      </c>
      <c r="G151" s="28" t="s">
        <v>140</v>
      </c>
      <c r="I151" s="14" t="s">
        <v>203</v>
      </c>
    </row>
    <row r="152" customFormat="false" ht="15" hidden="false" customHeight="false" outlineLevel="1" collapsed="false">
      <c r="A152" s="3" t="s">
        <v>374</v>
      </c>
      <c r="B152" s="11" t="s">
        <v>42</v>
      </c>
      <c r="C152" s="35" t="n">
        <f aca="false">輸入與假設!$C$146*輸入與假設!$C$147</f>
        <v>0.21</v>
      </c>
      <c r="D152" s="35" t="n">
        <f aca="false">輸入與假設!$C$146*輸入與假設!$C$147</f>
        <v>0.21</v>
      </c>
      <c r="E152" s="35" t="n">
        <f aca="false">輸入與假設!$C$146*輸入與假設!$C$147</f>
        <v>0.21</v>
      </c>
      <c r="F152" s="35" t="n">
        <f aca="false">輸入與假設!$C$146*輸入與假設!$C$147</f>
        <v>0.21</v>
      </c>
      <c r="G152" s="35" t="n">
        <f aca="false">輸入與假設!$C$146*輸入與假設!$C$147</f>
        <v>0.21</v>
      </c>
      <c r="I152" s="6" t="s">
        <v>375</v>
      </c>
    </row>
    <row r="153" customFormat="false" ht="15" hidden="false" customHeight="false" outlineLevel="1" collapsed="false">
      <c r="A153" s="3" t="s">
        <v>376</v>
      </c>
      <c r="B153" s="11" t="s">
        <v>59</v>
      </c>
      <c r="C153" s="25" t="n">
        <v>3.268</v>
      </c>
      <c r="D153" s="25" t="n">
        <v>4.28</v>
      </c>
      <c r="E153" s="25" t="n">
        <v>2.465</v>
      </c>
      <c r="F153" s="25" t="n">
        <v>2.304</v>
      </c>
      <c r="G153" s="25" t="n">
        <v>2.358</v>
      </c>
      <c r="I153" s="6" t="s">
        <v>377</v>
      </c>
    </row>
    <row r="154" customFormat="false" ht="15" hidden="false" customHeight="false" outlineLevel="1" collapsed="false">
      <c r="A154" s="3" t="s">
        <v>378</v>
      </c>
      <c r="B154" s="6" t="s">
        <v>176</v>
      </c>
      <c r="C154" s="22" t="n">
        <f aca="false">ROUND(4*SUM($C$41:C$41),0)</f>
        <v>2</v>
      </c>
      <c r="D154" s="22" t="n">
        <f aca="false">ROUND(4*SUM($C$41:D$41),0)</f>
        <v>6</v>
      </c>
      <c r="E154" s="22" t="n">
        <f aca="false">ROUND(4*SUM($C$41:E$41),0)</f>
        <v>10</v>
      </c>
      <c r="F154" s="22" t="n">
        <f aca="false">ROUND(4*SUM($C$41:F$41),0)</f>
        <v>14</v>
      </c>
      <c r="G154" s="22" t="n">
        <f aca="false">ROUND(4*SUM($C$41:G$41),0)</f>
        <v>18</v>
      </c>
      <c r="I154" s="6" t="s">
        <v>379</v>
      </c>
    </row>
    <row r="155" customFormat="false" ht="15" hidden="false" customHeight="false" outlineLevel="1" collapsed="false">
      <c r="A155" s="3" t="s">
        <v>380</v>
      </c>
      <c r="B155" s="11" t="s">
        <v>59</v>
      </c>
      <c r="C155" s="32" t="n">
        <f aca="false">輸入與假設!$C$26/輸入與假設!$C$28/輸入與假設!$C$29/4*((MIN(MAX(0,C154-輸入與假設!$C$27),輸入與假設!$C$28)*(MIN(MAX(0,C154-輸入與假設!$C$27),輸入與假設!$C$28)+1)/2+輸入與假設!$C$28*MAX(0,MAX(0,C154-輸入與假設!$C$27)-輸入與假設!$C$28))-(MIN(MAX(0,0-輸入與假設!$C$27),輸入與假設!$C$28)*(MIN(MAX(0,0-輸入與假設!$C$27),輸入與假設!$C$28)+1)/2+輸入與假設!$C$28*MAX(0,MAX(0,0-輸入與假設!$C$27)-輸入與假設!$C$28)))</f>
        <v>1.0319999300339</v>
      </c>
      <c r="D155" s="32" t="n">
        <f aca="false">輸入與假設!$C$26/輸入與假設!$C$28/輸入與假設!$C$29/4*((MIN(MAX(0,D154-輸入與假設!$C$27),輸入與假設!$C$28)*(MIN(MAX(0,D154-輸入與假設!$C$27),輸入與假設!$C$28)+1)/2+輸入與假設!$C$28*MAX(0,MAX(0,D154-輸入與假設!$C$27)-輸入與假設!$C$28))-(MIN(MAX(0,C154-輸入與假設!$C$27),輸入與假設!$C$28)*(MIN(MAX(0,C154-輸入與假設!$C$27),輸入與假設!$C$28)+1)/2+輸入與假設!$C$28*MAX(0,MAX(0,C154-輸入與假設!$C$27)-輸入與假設!$C$28)))</f>
        <v>4.12799972013561</v>
      </c>
      <c r="E155" s="32" t="n">
        <f aca="false">輸入與假設!$C$26/輸入與假設!$C$28/輸入與假設!$C$29/4*((MIN(MAX(0,E154-輸入與假設!$C$27),輸入與假設!$C$28)*(MIN(MAX(0,E154-輸入與假設!$C$27),輸入與假設!$C$28)+1)/2+輸入與假設!$C$28*MAX(0,MAX(0,E154-輸入與假設!$C$27)-輸入與假設!$C$28))-(MIN(MAX(0,D154-輸入與假設!$C$27),輸入與假設!$C$28)*(MIN(MAX(0,D154-輸入與假設!$C$27),輸入與假設!$C$28)+1)/2+輸入與假設!$C$28*MAX(0,MAX(0,D154-輸入與假設!$C$27)-輸入與假設!$C$28)))</f>
        <v>4.12799972013561</v>
      </c>
      <c r="F155" s="32" t="n">
        <f aca="false">輸入與假設!$C$26/輸入與假設!$C$28/輸入與假設!$C$29/4*((MIN(MAX(0,F154-輸入與假設!$C$27),輸入與假設!$C$28)*(MIN(MAX(0,F154-輸入與假設!$C$27),輸入與假設!$C$28)+1)/2+輸入與假設!$C$28*MAX(0,MAX(0,F154-輸入與假設!$C$27)-輸入與假設!$C$28))-(MIN(MAX(0,E154-輸入與假設!$C$27),輸入與假設!$C$28)*(MIN(MAX(0,E154-輸入與假設!$C$27),輸入與假設!$C$28)+1)/2+輸入與假設!$C$28*MAX(0,MAX(0,E154-輸入與假設!$C$27)-輸入與假設!$C$28)))</f>
        <v>4.12799972013561</v>
      </c>
      <c r="G155" s="32" t="n">
        <f aca="false">輸入與假設!$C$26/輸入與假設!$C$28/輸入與假設!$C$29/4*((MIN(MAX(0,G154-輸入與假設!$C$27),輸入與假設!$C$28)*(MIN(MAX(0,G154-輸入與假設!$C$27),輸入與假設!$C$28)+1)/2+輸入與假設!$C$28*MAX(0,MAX(0,G154-輸入與假設!$C$27)-輸入與假設!$C$28))-(MIN(MAX(0,F154-輸入與假設!$C$27),輸入與假設!$C$28)*(MIN(MAX(0,F154-輸入與假設!$C$27),輸入與假設!$C$28)+1)/2+輸入與假設!$C$28*MAX(0,MAX(0,F154-輸入與假設!$C$27)-輸入與假設!$C$28)))</f>
        <v>4.12799972013561</v>
      </c>
      <c r="I155" s="6" t="s">
        <v>381</v>
      </c>
    </row>
    <row r="156" customFormat="false" ht="15" hidden="false" customHeight="false" outlineLevel="1" collapsed="false">
      <c r="A156" s="4" t="s">
        <v>382</v>
      </c>
      <c r="B156" s="11" t="s">
        <v>59</v>
      </c>
      <c r="C156" s="25" t="n">
        <v>0</v>
      </c>
      <c r="D156" s="25" t="n">
        <v>0</v>
      </c>
      <c r="E156" s="25" t="n">
        <v>0</v>
      </c>
      <c r="F156" s="25" t="n">
        <v>0</v>
      </c>
      <c r="G156" s="25" t="n">
        <v>0</v>
      </c>
      <c r="I156" s="6" t="s">
        <v>383</v>
      </c>
    </row>
    <row r="157" customFormat="false" ht="15" hidden="false" customHeight="false" outlineLevel="1" collapsed="false">
      <c r="A157" s="4" t="s">
        <v>384</v>
      </c>
      <c r="B157" s="11" t="s">
        <v>59</v>
      </c>
      <c r="C157" s="25" t="n">
        <v>0</v>
      </c>
      <c r="D157" s="25" t="n">
        <v>0</v>
      </c>
      <c r="E157" s="25" t="n">
        <v>0</v>
      </c>
      <c r="F157" s="25" t="n">
        <v>0</v>
      </c>
      <c r="G157" s="25" t="n">
        <v>0</v>
      </c>
      <c r="I157" s="6" t="s">
        <v>385</v>
      </c>
    </row>
    <row r="158" customFormat="false" ht="15" hidden="false" customHeight="false" outlineLevel="1" collapsed="false">
      <c r="A158" s="4" t="s">
        <v>386</v>
      </c>
      <c r="B158" s="11" t="s">
        <v>59</v>
      </c>
      <c r="C158" s="32" t="n">
        <f aca="false">C156+C157</f>
        <v>0</v>
      </c>
      <c r="D158" s="32" t="n">
        <f aca="false">D156+D157</f>
        <v>0</v>
      </c>
      <c r="E158" s="32" t="n">
        <f aca="false">E156+E157</f>
        <v>0</v>
      </c>
      <c r="F158" s="32" t="n">
        <f aca="false">F156+F157</f>
        <v>0</v>
      </c>
      <c r="G158" s="32" t="n">
        <f aca="false">G156+G157</f>
        <v>0</v>
      </c>
      <c r="I158" s="6" t="s">
        <v>387</v>
      </c>
    </row>
    <row r="159" customFormat="false" ht="15" hidden="false" customHeight="false" outlineLevel="1" collapsed="true">
      <c r="A159" s="31" t="s">
        <v>388</v>
      </c>
      <c r="B159" s="20"/>
      <c r="C159" s="20"/>
      <c r="D159" s="20"/>
      <c r="E159" s="20"/>
      <c r="F159" s="20"/>
      <c r="G159" s="20"/>
      <c r="H159" s="20"/>
    </row>
    <row r="160" customFormat="false" ht="15" hidden="true" customHeight="false" outlineLevel="2" collapsed="false">
      <c r="A160" s="3" t="s">
        <v>389</v>
      </c>
      <c r="B160" s="11" t="s">
        <v>143</v>
      </c>
      <c r="C160" s="22" t="n">
        <f aca="false">輸入與假設!$C$35</f>
        <v>5.5</v>
      </c>
      <c r="D160" s="22" t="n">
        <f aca="false">C43</f>
        <v>14.574</v>
      </c>
      <c r="E160" s="22" t="n">
        <f aca="false">D43</f>
        <v>16.548</v>
      </c>
      <c r="F160" s="22" t="n">
        <f aca="false">E43</f>
        <v>19.548</v>
      </c>
      <c r="G160" s="22" t="n">
        <f aca="false">F43</f>
        <v>22.548</v>
      </c>
      <c r="I160" s="11" t="s">
        <v>390</v>
      </c>
    </row>
    <row r="161" customFormat="false" ht="15" hidden="true" customHeight="false" outlineLevel="2" collapsed="false">
      <c r="A161" s="3" t="s">
        <v>391</v>
      </c>
      <c r="B161" s="11" t="s">
        <v>143</v>
      </c>
      <c r="C161" s="22" t="n">
        <f aca="false">C43-C160</f>
        <v>9.074</v>
      </c>
      <c r="D161" s="22" t="n">
        <f aca="false">D43-D160</f>
        <v>1.974</v>
      </c>
      <c r="E161" s="22" t="n">
        <f aca="false">E43-E160</f>
        <v>3</v>
      </c>
      <c r="F161" s="22" t="n">
        <f aca="false">F43-F160</f>
        <v>3</v>
      </c>
      <c r="G161" s="22" t="n">
        <f aca="false">G43-G160</f>
        <v>3</v>
      </c>
    </row>
    <row r="162" customFormat="false" ht="15" hidden="true" customHeight="false" outlineLevel="2" collapsed="false">
      <c r="A162" s="3" t="s">
        <v>392</v>
      </c>
      <c r="B162" s="11" t="s">
        <v>143</v>
      </c>
      <c r="C162" s="22" t="n">
        <f aca="false">D43-C43</f>
        <v>1.974</v>
      </c>
      <c r="D162" s="22" t="n">
        <f aca="false">E43-D43</f>
        <v>3</v>
      </c>
      <c r="E162" s="22" t="n">
        <f aca="false">F43-E43</f>
        <v>3</v>
      </c>
      <c r="F162" s="22" t="n">
        <f aca="false">G43-F43</f>
        <v>3</v>
      </c>
      <c r="G162" s="22" t="n">
        <f aca="false">輸入與假設!$C$137</f>
        <v>0</v>
      </c>
    </row>
    <row r="163" customFormat="false" ht="15" hidden="true" customHeight="false" outlineLevel="2" collapsed="false">
      <c r="A163" s="3" t="s">
        <v>393</v>
      </c>
      <c r="B163" s="11" t="s">
        <v>59</v>
      </c>
      <c r="C163" s="32" t="n">
        <f aca="false">(C161*(1-輸入與假設!$C$136)+C162*輸入與假設!$C$136)*C145*輸入與假設!$C$141</f>
        <v>209.86483982585</v>
      </c>
      <c r="D163" s="32" t="n">
        <f aca="false">(D161*(1-輸入與假設!$C$136)+D162*輸入與假設!$C$136)*D145*輸入與假設!$C$141</f>
        <v>87.6927178512</v>
      </c>
      <c r="E163" s="32" t="n">
        <f aca="false">(E161*(1-輸入與假設!$C$136)+E162*輸入與假設!$C$136)*E145*輸入與假設!$C$141</f>
        <v>104.735364</v>
      </c>
      <c r="F163" s="32" t="n">
        <f aca="false">(F161*(1-輸入與假設!$C$136)+F162*輸入與假設!$C$136)*F145*輸入與假設!$C$141</f>
        <v>112.759056</v>
      </c>
      <c r="G163" s="32" t="n">
        <f aca="false">(G161*(1-輸入與假設!$C$136)+G162*輸入與假設!$C$136)*G145*輸入與假設!$C$141</f>
        <v>73.2933864</v>
      </c>
      <c r="I163" s="6" t="s">
        <v>394</v>
      </c>
    </row>
    <row r="164" customFormat="false" ht="15" hidden="true" customHeight="false" outlineLevel="2" collapsed="false">
      <c r="A164" s="4" t="s">
        <v>395</v>
      </c>
      <c r="B164" s="11" t="s">
        <v>59</v>
      </c>
      <c r="C164" s="32" t="n">
        <f aca="false">MAX(C163,輸入與假設!$C$138)-輸入與假設!$C$311</f>
        <v>209.86483982585</v>
      </c>
      <c r="D164" s="32" t="n">
        <f aca="false">D163</f>
        <v>87.6927178512</v>
      </c>
      <c r="E164" s="32" t="n">
        <f aca="false">E163</f>
        <v>104.735364</v>
      </c>
      <c r="F164" s="32" t="n">
        <f aca="false">F163</f>
        <v>112.759056</v>
      </c>
      <c r="G164" s="32" t="n">
        <f aca="false">G163</f>
        <v>73.2933864</v>
      </c>
      <c r="I164" s="11" t="s">
        <v>396</v>
      </c>
    </row>
    <row r="165" customFormat="false" ht="15" hidden="true" customHeight="false" outlineLevel="2" collapsed="false">
      <c r="A165" s="3" t="s">
        <v>397</v>
      </c>
      <c r="B165" s="11" t="s">
        <v>59</v>
      </c>
      <c r="C165" s="32" t="n">
        <f aca="false">C164*(1-輸入與假設!$C$142)</f>
        <v>104.932419912925</v>
      </c>
      <c r="D165" s="32" t="n">
        <f aca="false">D164*(1-輸入與假設!$C$142)</f>
        <v>43.8463589256</v>
      </c>
      <c r="E165" s="32" t="n">
        <f aca="false">E164*(1-輸入與假設!$C$142)</f>
        <v>52.367682</v>
      </c>
      <c r="F165" s="32" t="n">
        <f aca="false">F164*(1-輸入與假設!$C$142)</f>
        <v>56.379528</v>
      </c>
      <c r="G165" s="32" t="n">
        <f aca="false">G164*(1-輸入與假設!$C$142)</f>
        <v>36.6466932</v>
      </c>
      <c r="I165" s="11" t="s">
        <v>398</v>
      </c>
    </row>
    <row r="166" customFormat="false" ht="15" hidden="true" customHeight="false" outlineLevel="2" collapsed="false">
      <c r="A166" s="3" t="s">
        <v>399</v>
      </c>
      <c r="B166" s="11" t="s">
        <v>59</v>
      </c>
      <c r="C166" s="32" t="n">
        <f aca="false">IF(2026-輸入與假設!$C$139=2025,輸入與假設!$C$35,0)*C145*輸入與假設!$C$141</f>
        <v>0</v>
      </c>
      <c r="D166" s="32" t="n">
        <f aca="false">IF(2027-輸入與假設!$C$139=2025,輸入與假設!$C$35,0)*D145*輸入與假設!$C$141</f>
        <v>0</v>
      </c>
      <c r="E166" s="32" t="n">
        <f aca="false">IF(2028-輸入與假設!$C$139=2025,輸入與假設!$C$35,0)*E145*輸入與假設!$C$141</f>
        <v>0</v>
      </c>
      <c r="F166" s="32" t="n">
        <f aca="false">IF(2029-輸入與假設!$C$139=2025,輸入與假設!$C$35,0)*F145*輸入與假設!$C$141</f>
        <v>0</v>
      </c>
      <c r="G166" s="32" t="n">
        <f aca="false">IF(2030-輸入與假設!$C$139=2025,輸入與假設!$C$35,0)*G145*輸入與假設!$C$141</f>
        <v>0</v>
      </c>
      <c r="I166" s="6" t="s">
        <v>400</v>
      </c>
    </row>
    <row r="167" customFormat="false" ht="15" hidden="true" customHeight="false" outlineLevel="2" collapsed="false">
      <c r="A167" s="3" t="s">
        <v>401</v>
      </c>
      <c r="B167" s="11" t="s">
        <v>59</v>
      </c>
      <c r="C167" s="32" t="n">
        <f aca="false">(C160+C43)/2*C145*輸入與假設!$C$141/輸入與假設!$C$139*C41</f>
        <v>26.6405296369208</v>
      </c>
      <c r="D167" s="32" t="n">
        <f aca="false">(D160+D43)/2*D145*輸入與假設!$C$141/輸入與假設!$C$139*D41</f>
        <v>97.480203912</v>
      </c>
      <c r="E167" s="32" t="n">
        <f aca="false">(E160+E43)/2*E145*輸入與假設!$C$141/輸入與假設!$C$139*E41</f>
        <v>81.7401329706667</v>
      </c>
      <c r="F167" s="32" t="n">
        <f aca="false">(F160+F43)/2*F145*輸入與假設!$C$141/輸入與假設!$C$139*F41</f>
        <v>88.002178816</v>
      </c>
      <c r="G167" s="32" t="n">
        <f aca="false">(G160+G43)/2*G145*輸入與假設!$C$141/輸入與假設!$C$139*G41</f>
        <v>150.646098816</v>
      </c>
      <c r="I167" s="6" t="s">
        <v>402</v>
      </c>
    </row>
    <row r="168" customFormat="false" ht="15" hidden="true" customHeight="false" outlineLevel="2" collapsed="false">
      <c r="A168" s="3" t="s">
        <v>403</v>
      </c>
      <c r="B168" s="6"/>
      <c r="C168" s="22" t="n">
        <f aca="false">IF(C161&lt;=0,1,0)</f>
        <v>0</v>
      </c>
      <c r="D168" s="22" t="n">
        <f aca="false">IF(D161&lt;=0,1,0)</f>
        <v>0</v>
      </c>
      <c r="E168" s="22" t="n">
        <f aca="false">IF(E161&lt;=0,1,0)</f>
        <v>0</v>
      </c>
      <c r="F168" s="22" t="n">
        <f aca="false">IF(F161&lt;=0,1,0)</f>
        <v>0</v>
      </c>
      <c r="G168" s="22" t="n">
        <f aca="false">1</f>
        <v>1</v>
      </c>
      <c r="I168" s="6" t="s">
        <v>404</v>
      </c>
    </row>
    <row r="169" customFormat="false" ht="15" hidden="true" customHeight="false" outlineLevel="2" collapsed="false">
      <c r="A169" s="4" t="s">
        <v>405</v>
      </c>
      <c r="B169" s="11" t="s">
        <v>59</v>
      </c>
      <c r="C169" s="32" t="n">
        <f aca="false">IF(C168=1,C167,C166)*(1-輸入與假設!$C$142)</f>
        <v>0</v>
      </c>
      <c r="D169" s="32" t="n">
        <f aca="false">IF(D168=1,D167,D166)*(1-輸入與假設!$C$142)</f>
        <v>0</v>
      </c>
      <c r="E169" s="32" t="n">
        <f aca="false">IF(E168=1,E167,E166)*(1-輸入與假設!$C$142)</f>
        <v>0</v>
      </c>
      <c r="F169" s="32" t="n">
        <f aca="false">IF(F168=1,F167,F166)*(1-輸入與假設!$C$142)</f>
        <v>0</v>
      </c>
      <c r="G169" s="32" t="n">
        <f aca="false">IF(G168=1,G167,G166)*(1-輸入與假設!$C$142)</f>
        <v>75.323049408</v>
      </c>
      <c r="I169" s="6" t="s">
        <v>406</v>
      </c>
    </row>
    <row r="170" customFormat="false" ht="15" hidden="true" customHeight="false" outlineLevel="2" collapsed="false">
      <c r="A170" s="4" t="s">
        <v>407</v>
      </c>
      <c r="B170" s="11" t="s">
        <v>59</v>
      </c>
      <c r="C170" s="32" t="n">
        <f aca="false">C164*輸入與假設!$C$142</f>
        <v>104.932419912925</v>
      </c>
      <c r="D170" s="32" t="n">
        <f aca="false">D164*輸入與假設!$C$142</f>
        <v>43.8463589256</v>
      </c>
      <c r="E170" s="32" t="n">
        <f aca="false">E164*輸入與假設!$C$142</f>
        <v>52.367682</v>
      </c>
      <c r="F170" s="32" t="n">
        <f aca="false">F164*輸入與假設!$C$142</f>
        <v>56.379528</v>
      </c>
      <c r="G170" s="32" t="n">
        <f aca="false">G164*輸入與假設!$C$142</f>
        <v>36.6466932</v>
      </c>
      <c r="I170" s="6" t="s">
        <v>408</v>
      </c>
    </row>
    <row r="171" customFormat="false" ht="15" hidden="true" customHeight="false" outlineLevel="2" collapsed="false">
      <c r="A171" s="4" t="s">
        <v>409</v>
      </c>
      <c r="B171" s="11" t="s">
        <v>59</v>
      </c>
      <c r="C171" s="32" t="n">
        <f aca="false">0</f>
        <v>0</v>
      </c>
      <c r="D171" s="32" t="n">
        <f aca="false">C171+C170</f>
        <v>104.932419912925</v>
      </c>
      <c r="E171" s="32" t="n">
        <f aca="false">D171+D170</f>
        <v>148.778778838525</v>
      </c>
      <c r="F171" s="32" t="n">
        <f aca="false">E171+E170</f>
        <v>201.146460838525</v>
      </c>
      <c r="G171" s="32" t="n">
        <f aca="false">F171+F170</f>
        <v>257.525988838525</v>
      </c>
      <c r="I171" s="6" t="s">
        <v>410</v>
      </c>
    </row>
    <row r="172" customFormat="false" ht="15" hidden="true" customHeight="false" outlineLevel="2" collapsed="false">
      <c r="A172" s="4" t="s">
        <v>411</v>
      </c>
      <c r="B172" s="11" t="s">
        <v>59</v>
      </c>
      <c r="C172" s="32" t="n">
        <f aca="false">(C171+0.5*C170)*輸入與假設!$C$143*C41</f>
        <v>6.83204492811063</v>
      </c>
      <c r="D172" s="32" t="n">
        <f aca="false">(D171+0.5*D170)*輸入與假設!$C$143*D41</f>
        <v>33.0377648790163</v>
      </c>
      <c r="E172" s="32" t="n">
        <f aca="false">(E171+0.5*E170)*輸入與假設!$C$143*E41</f>
        <v>45.5665648602661</v>
      </c>
      <c r="F172" s="32" t="n">
        <f aca="false">(F171+0.5*F170)*輸入與假設!$C$143*F41</f>
        <v>59.7274090520461</v>
      </c>
      <c r="G172" s="32" t="n">
        <f aca="false">(G171+0.5*G170)*輸入與假設!$C$143*G41</f>
        <v>71.8410975242677</v>
      </c>
      <c r="I172" s="6" t="s">
        <v>412</v>
      </c>
    </row>
    <row r="173" customFormat="false" ht="15" hidden="true" customHeight="false" outlineLevel="2" collapsed="false">
      <c r="A173" s="3" t="s">
        <v>413</v>
      </c>
      <c r="B173" s="11" t="s">
        <v>59</v>
      </c>
      <c r="C173" s="32" t="n">
        <f aca="false">輸入與假設!$C$140</f>
        <v>111.6</v>
      </c>
      <c r="D173" s="32" t="n">
        <f aca="false">C173+運營_產能與收入!C$66</f>
        <v>164.066209956462</v>
      </c>
      <c r="E173" s="32" t="n">
        <f aca="false">D173+運營_產能與收入!D$66</f>
        <v>249.417189107125</v>
      </c>
      <c r="F173" s="32" t="n">
        <f aca="false">E173+運營_產能與收入!E$66</f>
        <v>299.654540338525</v>
      </c>
      <c r="G173" s="32" t="n">
        <f aca="false">F173+運營_產能與收入!F$66</f>
        <v>355.031106838525</v>
      </c>
      <c r="I173" s="6" t="s">
        <v>414</v>
      </c>
    </row>
    <row r="174" customFormat="false" ht="15" hidden="false" customHeight="false" outlineLevel="1" collapsed="false">
      <c r="A174" s="31" t="s">
        <v>415</v>
      </c>
      <c r="B174" s="20"/>
      <c r="C174" s="20"/>
      <c r="D174" s="20"/>
      <c r="E174" s="20"/>
      <c r="F174" s="20"/>
      <c r="G174" s="20"/>
      <c r="H174" s="20"/>
    </row>
    <row r="175" customFormat="false" ht="15" hidden="false" customHeight="false" outlineLevel="2" collapsed="false">
      <c r="A175" s="3" t="s">
        <v>416</v>
      </c>
      <c r="B175" s="11" t="s">
        <v>59</v>
      </c>
      <c r="C175" s="39" t="n">
        <f aca="false">C165+C169+C107</f>
        <v>128.532419912925</v>
      </c>
      <c r="D175" s="39" t="n">
        <f aca="false">D165+D169+D107</f>
        <v>427.1413589256</v>
      </c>
      <c r="E175" s="39" t="n">
        <f aca="false">E165+E169+E107</f>
        <v>52.367682</v>
      </c>
      <c r="F175" s="39" t="n">
        <f aca="false">F165+F169+F107</f>
        <v>56.379528</v>
      </c>
      <c r="G175" s="39" t="n">
        <f aca="false">G165+G169+G107</f>
        <v>111.969742608</v>
      </c>
      <c r="I175" s="6" t="s">
        <v>417</v>
      </c>
    </row>
    <row r="176" customFormat="false" ht="15" hidden="false" customHeight="false" outlineLevel="2" collapsed="false">
      <c r="A176" s="4" t="s">
        <v>418</v>
      </c>
      <c r="B176" s="11" t="s">
        <v>59</v>
      </c>
      <c r="C176" s="39" t="n">
        <f aca="false">(C173+0.5*運營_產能與收入!C$66)/輸入與假設!$C$139*C41+C111</f>
        <v>25.6885920815193</v>
      </c>
      <c r="D176" s="39" t="n">
        <f aca="false">(D173+0.5*運營_產能與收入!D$66)/輸入與假設!$C$139*D41+D111</f>
        <v>73.0343249219656</v>
      </c>
      <c r="E176" s="39" t="n">
        <f aca="false">(E173+0.5*運營_產能與收入!E$66)/輸入與假設!$C$139*E41+E111</f>
        <v>93.9157274538042</v>
      </c>
      <c r="F176" s="39" t="n">
        <f aca="false">(F173+0.5*運營_產能與收入!F$66)/輸入與假設!$C$139*F41+F111</f>
        <v>102.716887264754</v>
      </c>
      <c r="G176" s="39" t="n">
        <f aca="false">(G173+0.5*運營_產能與收入!G$66)/輸入與假設!$C$139*G41+G111</f>
        <v>110.796592964754</v>
      </c>
      <c r="I176" s="6" t="s">
        <v>419</v>
      </c>
    </row>
    <row r="178" customFormat="false" ht="15" hidden="false" customHeight="false" outlineLevel="0" collapsed="false">
      <c r="A178" s="7" t="s">
        <v>420</v>
      </c>
      <c r="B178" s="8"/>
      <c r="C178" s="8"/>
      <c r="D178" s="8"/>
      <c r="E178" s="8"/>
      <c r="F178" s="8"/>
      <c r="G178" s="8"/>
      <c r="H178" s="8"/>
    </row>
    <row r="179" customFormat="false" ht="15" hidden="false" customHeight="false" outlineLevel="1" collapsed="false">
      <c r="A179" s="19" t="s">
        <v>421</v>
      </c>
      <c r="B179" s="20"/>
      <c r="C179" s="20"/>
      <c r="D179" s="20"/>
      <c r="E179" s="20"/>
      <c r="F179" s="20"/>
      <c r="G179" s="20"/>
      <c r="H179" s="20"/>
    </row>
    <row r="180" customFormat="false" ht="15" hidden="false" customHeight="false" outlineLevel="2" collapsed="false">
      <c r="A180" s="14" t="s">
        <v>422</v>
      </c>
      <c r="B180" s="14" t="s">
        <v>423</v>
      </c>
      <c r="C180" s="14" t="s">
        <v>424</v>
      </c>
      <c r="D180" s="14" t="s">
        <v>425</v>
      </c>
      <c r="E180" s="14" t="s">
        <v>426</v>
      </c>
      <c r="F180" s="14" t="s">
        <v>427</v>
      </c>
      <c r="I180" s="14" t="s">
        <v>428</v>
      </c>
    </row>
    <row r="181" customFormat="false" ht="15" hidden="false" customHeight="false" outlineLevel="2" collapsed="false">
      <c r="A181" s="3" t="s">
        <v>429</v>
      </c>
      <c r="B181" s="11" t="s">
        <v>430</v>
      </c>
      <c r="C181" s="25" t="n">
        <v>298.5</v>
      </c>
      <c r="D181" s="25" t="n">
        <v>0</v>
      </c>
      <c r="E181" s="25" t="n">
        <v>310</v>
      </c>
      <c r="F181" s="40" t="n">
        <v>0</v>
      </c>
      <c r="I181" s="6" t="s">
        <v>431</v>
      </c>
    </row>
    <row r="182" customFormat="false" ht="15" hidden="false" customHeight="false" outlineLevel="2" collapsed="false">
      <c r="A182" s="3" t="s">
        <v>432</v>
      </c>
      <c r="B182" s="11" t="s">
        <v>430</v>
      </c>
      <c r="C182" s="25" t="n">
        <v>-118.5</v>
      </c>
      <c r="D182" s="25" t="n">
        <v>0</v>
      </c>
      <c r="E182" s="25" t="n">
        <v>-198.15</v>
      </c>
      <c r="F182" s="40" t="n">
        <v>6.278451</v>
      </c>
      <c r="I182" s="6" t="s">
        <v>433</v>
      </c>
    </row>
    <row r="183" customFormat="false" ht="15" hidden="false" customHeight="false" outlineLevel="2" collapsed="false">
      <c r="A183" s="3" t="s">
        <v>434</v>
      </c>
      <c r="B183" s="11" t="s">
        <v>435</v>
      </c>
      <c r="C183" s="25" t="n">
        <v>29.1</v>
      </c>
      <c r="D183" s="25" t="n">
        <v>30</v>
      </c>
      <c r="E183" s="25" t="n">
        <v>0</v>
      </c>
      <c r="F183" s="40" t="n">
        <v>0</v>
      </c>
      <c r="I183" s="6" t="s">
        <v>436</v>
      </c>
    </row>
    <row r="184" customFormat="false" ht="15" hidden="false" customHeight="false" outlineLevel="2" collapsed="false">
      <c r="A184" s="3" t="s">
        <v>437</v>
      </c>
      <c r="B184" s="11" t="s">
        <v>438</v>
      </c>
      <c r="C184" s="25" t="n">
        <v>8.861</v>
      </c>
      <c r="D184" s="25" t="n">
        <v>8.861</v>
      </c>
      <c r="E184" s="25" t="n">
        <v>0</v>
      </c>
      <c r="F184" s="40" t="n">
        <v>0</v>
      </c>
      <c r="I184" s="6" t="s">
        <v>439</v>
      </c>
    </row>
    <row r="185" customFormat="false" ht="15" hidden="false" customHeight="false" outlineLevel="2" collapsed="false">
      <c r="A185" s="3" t="s">
        <v>440</v>
      </c>
      <c r="B185" s="11" t="s">
        <v>59</v>
      </c>
      <c r="C185" s="25" t="n">
        <v>56.056</v>
      </c>
      <c r="I185" s="6" t="s">
        <v>441</v>
      </c>
    </row>
    <row r="186" customFormat="false" ht="15" hidden="false" customHeight="false" outlineLevel="2" collapsed="false">
      <c r="A186" s="3" t="s">
        <v>442</v>
      </c>
      <c r="B186" s="11" t="s">
        <v>59</v>
      </c>
      <c r="C186" s="25" t="n">
        <v>0</v>
      </c>
      <c r="I186" s="6" t="s">
        <v>443</v>
      </c>
    </row>
    <row r="187" customFormat="false" ht="15" hidden="false" customHeight="false" outlineLevel="2" collapsed="false">
      <c r="A187" s="3" t="s">
        <v>444</v>
      </c>
      <c r="B187" s="6"/>
      <c r="C187" s="21" t="n">
        <v>1</v>
      </c>
      <c r="I187" s="6" t="s">
        <v>445</v>
      </c>
    </row>
    <row r="188" customFormat="false" ht="15" hidden="false" customHeight="false" outlineLevel="2" collapsed="false">
      <c r="A188" s="3" t="s">
        <v>446</v>
      </c>
      <c r="B188" s="11" t="s">
        <v>59</v>
      </c>
      <c r="C188" s="25" t="n">
        <v>20</v>
      </c>
      <c r="I188" s="11" t="s">
        <v>447</v>
      </c>
    </row>
    <row r="189" customFormat="false" ht="15" hidden="false" customHeight="false" outlineLevel="2" collapsed="false">
      <c r="A189" s="3" t="s">
        <v>448</v>
      </c>
      <c r="B189" s="6"/>
      <c r="C189" s="21" t="n">
        <v>1</v>
      </c>
      <c r="I189" s="6" t="s">
        <v>449</v>
      </c>
    </row>
    <row r="190" customFormat="false" ht="15" hidden="false" customHeight="false" outlineLevel="2" collapsed="false">
      <c r="A190" s="4" t="s">
        <v>450</v>
      </c>
      <c r="B190" s="11" t="s">
        <v>59</v>
      </c>
      <c r="C190" s="25" t="n">
        <v>0</v>
      </c>
      <c r="I190" s="11" t="s">
        <v>451</v>
      </c>
    </row>
    <row r="191" customFormat="false" ht="15" hidden="false" customHeight="false" outlineLevel="2" collapsed="false">
      <c r="A191" s="4" t="s">
        <v>452</v>
      </c>
      <c r="B191" s="11" t="s">
        <v>59</v>
      </c>
      <c r="C191" s="25" t="n">
        <v>307.125</v>
      </c>
      <c r="I191" s="11" t="s">
        <v>451</v>
      </c>
    </row>
    <row r="192" customFormat="false" ht="15" hidden="false" customHeight="false" outlineLevel="2" collapsed="false">
      <c r="A192" s="4" t="s">
        <v>453</v>
      </c>
      <c r="B192" s="11" t="s">
        <v>59</v>
      </c>
      <c r="C192" s="25" t="n">
        <v>307.125</v>
      </c>
      <c r="I192" s="11" t="s">
        <v>451</v>
      </c>
    </row>
    <row r="193" customFormat="false" ht="15" hidden="false" customHeight="false" outlineLevel="2" collapsed="false">
      <c r="A193" s="4" t="s">
        <v>454</v>
      </c>
      <c r="B193" s="11" t="s">
        <v>59</v>
      </c>
      <c r="C193" s="32" t="n">
        <f aca="false">CHOOSE(輸入與假設!$C$5,輸入與假設!$C$190,輸入與假設!$C$191,輸入與假設!$C$192)</f>
        <v>307.125</v>
      </c>
      <c r="I193" s="6" t="s">
        <v>455</v>
      </c>
    </row>
    <row r="194" customFormat="false" ht="15" hidden="false" customHeight="false" outlineLevel="2" collapsed="false">
      <c r="A194" s="4" t="s">
        <v>456</v>
      </c>
      <c r="B194" s="6"/>
      <c r="C194" s="21" t="n">
        <v>1</v>
      </c>
      <c r="I194" s="6" t="s">
        <v>457</v>
      </c>
    </row>
    <row r="195" customFormat="false" ht="15" hidden="false" customHeight="false" outlineLevel="2" collapsed="false">
      <c r="A195" s="4" t="s">
        <v>458</v>
      </c>
      <c r="B195" s="11" t="s">
        <v>42</v>
      </c>
      <c r="C195" s="24" t="n">
        <v>0.085</v>
      </c>
      <c r="I195" s="11" t="s">
        <v>459</v>
      </c>
    </row>
    <row r="196" customFormat="false" ht="15" hidden="false" customHeight="false" outlineLevel="2" collapsed="false">
      <c r="A196" s="4" t="s">
        <v>460</v>
      </c>
      <c r="B196" s="6" t="s">
        <v>181</v>
      </c>
      <c r="C196" s="21" t="n">
        <v>10</v>
      </c>
      <c r="I196" s="6" t="s">
        <v>461</v>
      </c>
    </row>
    <row r="197" customFormat="false" ht="15" hidden="false" customHeight="false" outlineLevel="2" collapsed="false">
      <c r="A197" s="3" t="s">
        <v>462</v>
      </c>
      <c r="B197" s="6"/>
      <c r="C197" s="21" t="n">
        <v>1</v>
      </c>
      <c r="I197" s="6" t="s">
        <v>463</v>
      </c>
    </row>
    <row r="198" customFormat="false" ht="15" hidden="false" customHeight="false" outlineLevel="2" collapsed="false">
      <c r="A198" s="3" t="s">
        <v>464</v>
      </c>
      <c r="B198" s="11" t="s">
        <v>96</v>
      </c>
      <c r="C198" s="41" t="n">
        <v>0.5</v>
      </c>
      <c r="I198" s="6" t="s">
        <v>465</v>
      </c>
    </row>
    <row r="199" customFormat="false" ht="15" hidden="false" customHeight="false" outlineLevel="2" collapsed="false">
      <c r="A199" s="3" t="s">
        <v>466</v>
      </c>
      <c r="B199" s="6"/>
      <c r="C199" s="27" t="s">
        <v>467</v>
      </c>
      <c r="I199" s="11" t="s">
        <v>468</v>
      </c>
    </row>
    <row r="200" customFormat="false" ht="15" hidden="false" customHeight="false" outlineLevel="2" collapsed="false">
      <c r="A200" s="3" t="s">
        <v>469</v>
      </c>
      <c r="B200" s="11" t="s">
        <v>96</v>
      </c>
      <c r="C200" s="41" t="n">
        <v>5</v>
      </c>
      <c r="I200" s="6" t="s">
        <v>470</v>
      </c>
    </row>
    <row r="201" customFormat="false" ht="15" hidden="false" customHeight="false" outlineLevel="2" collapsed="false">
      <c r="A201" s="3" t="s">
        <v>471</v>
      </c>
      <c r="B201" s="6" t="s">
        <v>181</v>
      </c>
      <c r="C201" s="21" t="n">
        <v>3</v>
      </c>
      <c r="I201" s="11" t="s">
        <v>472</v>
      </c>
    </row>
    <row r="202" customFormat="false" ht="15" hidden="false" customHeight="false" outlineLevel="2" collapsed="false">
      <c r="A202" s="3" t="s">
        <v>473</v>
      </c>
      <c r="B202" s="11" t="s">
        <v>39</v>
      </c>
      <c r="C202" s="42" t="n">
        <v>0</v>
      </c>
      <c r="I202" s="6" t="s">
        <v>474</v>
      </c>
    </row>
    <row r="203" customFormat="false" ht="15" hidden="false" customHeight="false" outlineLevel="2" collapsed="false">
      <c r="A203" s="3" t="s">
        <v>475</v>
      </c>
      <c r="B203" s="11" t="s">
        <v>476</v>
      </c>
      <c r="C203" s="33" t="n">
        <v>45.119652</v>
      </c>
      <c r="I203" s="6" t="s">
        <v>477</v>
      </c>
    </row>
    <row r="204" customFormat="false" ht="15" hidden="false" customHeight="false" outlineLevel="2" collapsed="false">
      <c r="A204" s="3" t="s">
        <v>478</v>
      </c>
      <c r="B204" s="11" t="s">
        <v>59</v>
      </c>
      <c r="C204" s="25" t="n">
        <v>30</v>
      </c>
      <c r="I204" s="6" t="s">
        <v>479</v>
      </c>
    </row>
    <row r="205" customFormat="false" ht="15" hidden="false" customHeight="false" outlineLevel="2" collapsed="false">
      <c r="A205" s="3" t="s">
        <v>480</v>
      </c>
      <c r="B205" s="11" t="s">
        <v>39</v>
      </c>
      <c r="C205" s="42" t="n">
        <v>16.83</v>
      </c>
      <c r="I205" s="6" t="s">
        <v>481</v>
      </c>
    </row>
    <row r="206" customFormat="false" ht="15" hidden="false" customHeight="false" outlineLevel="2" collapsed="false">
      <c r="A206" s="3" t="s">
        <v>482</v>
      </c>
      <c r="B206" s="11" t="s">
        <v>42</v>
      </c>
      <c r="C206" s="24" t="n">
        <v>0.1</v>
      </c>
      <c r="I206" s="6" t="s">
        <v>483</v>
      </c>
    </row>
    <row r="207" customFormat="false" ht="15" hidden="false" customHeight="false" outlineLevel="2" collapsed="false">
      <c r="A207" s="3" t="s">
        <v>484</v>
      </c>
      <c r="B207" s="11" t="s">
        <v>42</v>
      </c>
      <c r="C207" s="24" t="n">
        <v>0.1</v>
      </c>
      <c r="I207" s="6" t="s">
        <v>485</v>
      </c>
    </row>
    <row r="208" customFormat="false" ht="15" hidden="false" customHeight="false" outlineLevel="2" collapsed="false">
      <c r="A208" s="3" t="s">
        <v>486</v>
      </c>
      <c r="B208" s="11" t="s">
        <v>476</v>
      </c>
      <c r="C208" s="33" t="n">
        <v>45.119652</v>
      </c>
      <c r="I208" s="6" t="s">
        <v>487</v>
      </c>
    </row>
    <row r="209" customFormat="false" ht="15" hidden="false" customHeight="false" outlineLevel="2" collapsed="false">
      <c r="A209" s="3" t="s">
        <v>488</v>
      </c>
      <c r="B209" s="11" t="s">
        <v>489</v>
      </c>
      <c r="C209" s="25" t="n">
        <v>75.9</v>
      </c>
      <c r="I209" s="6" t="s">
        <v>490</v>
      </c>
    </row>
    <row r="210" customFormat="false" ht="15" hidden="false" customHeight="false" outlineLevel="2" collapsed="false">
      <c r="A210" s="3" t="s">
        <v>491</v>
      </c>
      <c r="B210" s="11" t="s">
        <v>489</v>
      </c>
      <c r="C210" s="25" t="n">
        <v>75.9</v>
      </c>
      <c r="I210" s="6" t="s">
        <v>490</v>
      </c>
    </row>
    <row r="211" customFormat="false" ht="15" hidden="false" customHeight="false" outlineLevel="2" collapsed="false">
      <c r="A211" s="3" t="s">
        <v>492</v>
      </c>
      <c r="B211" s="11" t="s">
        <v>489</v>
      </c>
      <c r="C211" s="25" t="n">
        <v>75.9</v>
      </c>
      <c r="I211" s="6" t="s">
        <v>490</v>
      </c>
    </row>
    <row r="212" customFormat="false" ht="15" hidden="false" customHeight="false" outlineLevel="2" collapsed="false">
      <c r="A212" s="3" t="s">
        <v>493</v>
      </c>
      <c r="B212" s="11" t="s">
        <v>489</v>
      </c>
      <c r="C212" s="32" t="n">
        <f aca="false">CHOOSE(輸入與假設!$C$5,輸入與假設!$C$209,輸入與假設!$C$210,輸入與假設!$C$211)</f>
        <v>75.9</v>
      </c>
      <c r="I212" s="6" t="s">
        <v>494</v>
      </c>
    </row>
    <row r="213" customFormat="false" ht="15" hidden="false" customHeight="false" outlineLevel="2" collapsed="false">
      <c r="A213" s="3" t="s">
        <v>495</v>
      </c>
      <c r="B213" s="11" t="s">
        <v>42</v>
      </c>
      <c r="C213" s="24" t="n">
        <v>0.05</v>
      </c>
      <c r="I213" s="6" t="s">
        <v>496</v>
      </c>
    </row>
    <row r="214" customFormat="false" ht="15" hidden="false" customHeight="false" outlineLevel="2" collapsed="false">
      <c r="A214" s="3" t="s">
        <v>497</v>
      </c>
      <c r="B214" s="11" t="s">
        <v>42</v>
      </c>
      <c r="C214" s="24" t="n">
        <v>0.25</v>
      </c>
      <c r="I214" s="6" t="s">
        <v>498</v>
      </c>
    </row>
    <row r="215" customFormat="false" ht="15" hidden="false" customHeight="false" outlineLevel="2" collapsed="false">
      <c r="A215" s="3" t="s">
        <v>499</v>
      </c>
      <c r="B215" s="11" t="s">
        <v>42</v>
      </c>
      <c r="C215" s="24" t="n">
        <v>0.12</v>
      </c>
      <c r="I215" s="6" t="s">
        <v>500</v>
      </c>
    </row>
    <row r="216" customFormat="false" ht="15" hidden="false" customHeight="false" outlineLevel="2" collapsed="false">
      <c r="A216" s="3" t="s">
        <v>501</v>
      </c>
      <c r="B216" s="11" t="s">
        <v>42</v>
      </c>
      <c r="C216" s="24" t="n">
        <v>0.21</v>
      </c>
      <c r="I216" s="6" t="s">
        <v>502</v>
      </c>
    </row>
    <row r="217" customFormat="false" ht="15" hidden="false" customHeight="false" outlineLevel="2" collapsed="false">
      <c r="A217" s="4" t="s">
        <v>503</v>
      </c>
      <c r="B217" s="11" t="s">
        <v>504</v>
      </c>
      <c r="C217" s="21"/>
      <c r="I217" s="6" t="s">
        <v>505</v>
      </c>
    </row>
    <row r="218" customFormat="false" ht="15" hidden="false" customHeight="false" outlineLevel="2" collapsed="false">
      <c r="A218" s="4" t="s">
        <v>506</v>
      </c>
      <c r="B218" s="6"/>
      <c r="C218" s="21" t="n">
        <v>0</v>
      </c>
      <c r="I218" s="6" t="s">
        <v>507</v>
      </c>
    </row>
    <row r="219" customFormat="false" ht="15" hidden="false" customHeight="false" outlineLevel="2" collapsed="false">
      <c r="A219" s="4" t="s">
        <v>508</v>
      </c>
      <c r="B219" s="11" t="s">
        <v>504</v>
      </c>
      <c r="C219" s="21" t="n">
        <v>450</v>
      </c>
      <c r="I219" s="11" t="s">
        <v>509</v>
      </c>
    </row>
    <row r="220" customFormat="false" ht="15" hidden="false" customHeight="false" outlineLevel="2" collapsed="false">
      <c r="A220" s="4" t="s">
        <v>510</v>
      </c>
      <c r="B220" s="11" t="s">
        <v>42</v>
      </c>
      <c r="C220" s="24" t="n">
        <v>0.4</v>
      </c>
      <c r="I220" s="6" t="s">
        <v>511</v>
      </c>
    </row>
    <row r="221" customFormat="false" ht="15" hidden="false" customHeight="false" outlineLevel="2" collapsed="false">
      <c r="A221" s="14" t="s">
        <v>53</v>
      </c>
      <c r="B221" s="14" t="s">
        <v>54</v>
      </c>
      <c r="C221" s="28" t="s">
        <v>55</v>
      </c>
      <c r="D221" s="28" t="s">
        <v>56</v>
      </c>
      <c r="E221" s="28" t="s">
        <v>57</v>
      </c>
      <c r="F221" s="28" t="s">
        <v>139</v>
      </c>
      <c r="G221" s="28" t="s">
        <v>140</v>
      </c>
      <c r="I221" s="14" t="s">
        <v>203</v>
      </c>
    </row>
    <row r="222" customFormat="false" ht="15" hidden="false" customHeight="false" outlineLevel="2" collapsed="false">
      <c r="A222" s="3" t="s">
        <v>512</v>
      </c>
      <c r="B222" s="11" t="s">
        <v>59</v>
      </c>
      <c r="C222" s="25" t="n">
        <v>0</v>
      </c>
      <c r="D222" s="25" t="n">
        <v>0</v>
      </c>
      <c r="E222" s="25" t="n">
        <v>0</v>
      </c>
      <c r="F222" s="25" t="n">
        <v>0</v>
      </c>
      <c r="G222" s="25" t="n">
        <v>0</v>
      </c>
      <c r="I222" s="6" t="s">
        <v>513</v>
      </c>
    </row>
    <row r="223" customFormat="false" ht="15" hidden="false" customHeight="false" outlineLevel="2" collapsed="false">
      <c r="A223" s="3" t="s">
        <v>514</v>
      </c>
      <c r="B223" s="11" t="s">
        <v>59</v>
      </c>
      <c r="C223" s="25" t="n">
        <v>5.373</v>
      </c>
      <c r="D223" s="25" t="n">
        <v>90.747</v>
      </c>
      <c r="E223" s="25" t="n">
        <v>6.247</v>
      </c>
      <c r="F223" s="25" t="n">
        <v>20.959</v>
      </c>
      <c r="G223" s="25" t="n">
        <v>0</v>
      </c>
      <c r="I223" s="6" t="s">
        <v>515</v>
      </c>
    </row>
    <row r="224" customFormat="false" ht="15" hidden="false" customHeight="false" outlineLevel="2" collapsed="false">
      <c r="A224" s="3" t="s">
        <v>516</v>
      </c>
      <c r="B224" s="11" t="s">
        <v>42</v>
      </c>
      <c r="C224" s="24" t="n">
        <v>0.095</v>
      </c>
      <c r="D224" s="24" t="n">
        <v>0.095</v>
      </c>
      <c r="E224" s="24" t="n">
        <v>0.095</v>
      </c>
      <c r="F224" s="24" t="n">
        <v>0.095</v>
      </c>
      <c r="G224" s="24" t="n">
        <v>0.095</v>
      </c>
      <c r="I224" s="6" t="s">
        <v>517</v>
      </c>
    </row>
    <row r="225" customFormat="false" ht="15" hidden="false" customHeight="false" outlineLevel="2" collapsed="false">
      <c r="A225" s="3" t="s">
        <v>518</v>
      </c>
      <c r="B225" s="11" t="s">
        <v>59</v>
      </c>
      <c r="C225" s="43" t="n">
        <f aca="false">資產負債_既有債務!C37</f>
        <v>13.5867264456522</v>
      </c>
      <c r="D225" s="43" t="n">
        <f aca="false">資產負債_既有債務!D37</f>
        <v>51.1289587608696</v>
      </c>
      <c r="E225" s="43" t="n">
        <f aca="false">資產負債_既有債務!E37</f>
        <v>43.8367314545089</v>
      </c>
      <c r="F225" s="43" t="n">
        <f aca="false">資產負債_既有債務!F37</f>
        <v>40.0798150108696</v>
      </c>
      <c r="G225" s="43" t="n">
        <f aca="false">資產負債_既有債務!G37</f>
        <v>36.5861226018519</v>
      </c>
      <c r="I225" s="6" t="s">
        <v>519</v>
      </c>
    </row>
    <row r="227" customFormat="false" ht="15" hidden="false" customHeight="false" outlineLevel="0" collapsed="false">
      <c r="A227" s="7" t="s">
        <v>520</v>
      </c>
      <c r="B227" s="8"/>
      <c r="C227" s="8"/>
      <c r="D227" s="8"/>
      <c r="E227" s="8"/>
      <c r="F227" s="8"/>
      <c r="G227" s="8"/>
      <c r="H227" s="8"/>
    </row>
    <row r="228" customFormat="false" ht="15" hidden="false" customHeight="false" outlineLevel="1" collapsed="false">
      <c r="A228" s="3" t="s">
        <v>521</v>
      </c>
      <c r="B228" s="11" t="s">
        <v>39</v>
      </c>
      <c r="C228" s="42" t="n">
        <v>16.83</v>
      </c>
      <c r="I228" s="11" t="s">
        <v>522</v>
      </c>
    </row>
    <row r="229" customFormat="false" ht="15" hidden="false" customHeight="false" outlineLevel="1" collapsed="false">
      <c r="A229" s="3" t="s">
        <v>523</v>
      </c>
      <c r="B229" s="11" t="s">
        <v>476</v>
      </c>
      <c r="C229" s="30" t="n">
        <f aca="false">33.060039+SUM(輸入與假設!$F$181:$F$184)</f>
        <v>39.33849</v>
      </c>
      <c r="I229" s="6" t="s">
        <v>524</v>
      </c>
    </row>
    <row r="230" customFormat="false" ht="15" hidden="false" customHeight="false" outlineLevel="1" collapsed="false">
      <c r="A230" s="3" t="s">
        <v>525</v>
      </c>
      <c r="B230" s="11" t="s">
        <v>59</v>
      </c>
      <c r="C230" s="32" t="n">
        <f aca="false">29.283+SUM(輸入與假設!$D$181:$D$184)-SUM(輸入與假設!$C$181:$C$184)</f>
        <v>-149.817</v>
      </c>
      <c r="I230" s="6" t="s">
        <v>526</v>
      </c>
    </row>
    <row r="231" customFormat="false" ht="15" hidden="false" customHeight="false" outlineLevel="1" collapsed="false">
      <c r="A231" s="3" t="s">
        <v>527</v>
      </c>
      <c r="B231" s="11" t="s">
        <v>42</v>
      </c>
      <c r="C231" s="24" t="n">
        <v>0.3</v>
      </c>
      <c r="I231" s="6" t="s">
        <v>528</v>
      </c>
    </row>
    <row r="232" customFormat="false" ht="15" hidden="false" customHeight="false" outlineLevel="1" collapsed="false">
      <c r="A232" s="3" t="s">
        <v>529</v>
      </c>
      <c r="B232" s="11" t="s">
        <v>59</v>
      </c>
      <c r="C232" s="32" t="n">
        <f aca="false">0-(0)*(1-輸入與假設!$C$231)</f>
        <v>0</v>
      </c>
      <c r="I232" s="6" t="s">
        <v>530</v>
      </c>
    </row>
    <row r="233" customFormat="false" ht="15" hidden="false" customHeight="false" outlineLevel="1" collapsed="false">
      <c r="A233" s="3" t="s">
        <v>531</v>
      </c>
      <c r="B233" s="11" t="s">
        <v>42</v>
      </c>
      <c r="C233" s="24" t="n">
        <v>0.21</v>
      </c>
      <c r="I233" s="6" t="s">
        <v>532</v>
      </c>
    </row>
    <row r="234" customFormat="false" ht="15" hidden="false" customHeight="false" outlineLevel="1" collapsed="false">
      <c r="A234" s="3" t="s">
        <v>533</v>
      </c>
      <c r="B234" s="11" t="s">
        <v>42</v>
      </c>
      <c r="C234" s="24" t="n">
        <v>0.0527</v>
      </c>
      <c r="I234" s="11" t="s">
        <v>534</v>
      </c>
    </row>
    <row r="235" customFormat="false" ht="15" hidden="false" customHeight="false" outlineLevel="1" collapsed="false">
      <c r="A235" s="4" t="s">
        <v>535</v>
      </c>
      <c r="B235" s="11" t="s">
        <v>96</v>
      </c>
      <c r="C235" s="36" t="n">
        <v>2.5</v>
      </c>
      <c r="I235" s="11" t="s">
        <v>536</v>
      </c>
    </row>
    <row r="236" customFormat="false" ht="15" hidden="false" customHeight="false" outlineLevel="1" collapsed="false">
      <c r="A236" s="4" t="s">
        <v>537</v>
      </c>
      <c r="B236" s="11" t="s">
        <v>42</v>
      </c>
      <c r="C236" s="24" t="n">
        <v>0.05</v>
      </c>
      <c r="I236" s="11" t="s">
        <v>538</v>
      </c>
    </row>
    <row r="237" customFormat="false" ht="15" hidden="false" customHeight="false" outlineLevel="1" collapsed="false">
      <c r="A237" s="3" t="s">
        <v>539</v>
      </c>
      <c r="B237" s="11" t="s">
        <v>42</v>
      </c>
      <c r="C237" s="35" t="n">
        <f aca="false">輸入與假設!$C$234+輸入與假設!$C$235*輸入與假設!$C$236</f>
        <v>0.1777</v>
      </c>
      <c r="I237" s="11" t="s">
        <v>540</v>
      </c>
    </row>
    <row r="238" customFormat="false" ht="15" hidden="false" customHeight="false" outlineLevel="1" collapsed="false">
      <c r="A238" s="3" t="s">
        <v>541</v>
      </c>
      <c r="B238" s="11" t="s">
        <v>42</v>
      </c>
      <c r="C238" s="24" t="n">
        <v>0.095</v>
      </c>
      <c r="I238" s="11" t="s">
        <v>542</v>
      </c>
    </row>
    <row r="239" customFormat="false" ht="15" hidden="false" customHeight="false" outlineLevel="1" collapsed="false">
      <c r="A239" s="3" t="s">
        <v>543</v>
      </c>
      <c r="B239" s="11" t="s">
        <v>59</v>
      </c>
      <c r="C239" s="32" t="n">
        <f aca="false">輸入與假設!$C$228*(38.841201+SUM(輸入與假設!$F$181:$F$184))</f>
        <v>759.36374316</v>
      </c>
      <c r="I239" s="6" t="s">
        <v>544</v>
      </c>
    </row>
    <row r="240" customFormat="false" ht="15" hidden="false" customHeight="false" outlineLevel="1" collapsed="false">
      <c r="A240" s="3" t="s">
        <v>545</v>
      </c>
      <c r="B240" s="11" t="s">
        <v>59</v>
      </c>
      <c r="C240" s="32" t="n">
        <f aca="false">315.339+SUM(輸入與假設!$D$181:$D$184)+SUM(輸入與假設!$E$181:$E$184)</f>
        <v>466.05</v>
      </c>
      <c r="I240" s="6" t="s">
        <v>546</v>
      </c>
    </row>
    <row r="241" customFormat="false" ht="15" hidden="false" customHeight="false" outlineLevel="1" collapsed="false">
      <c r="A241" s="4" t="s">
        <v>547</v>
      </c>
      <c r="B241" s="11" t="s">
        <v>42</v>
      </c>
      <c r="C241" s="35" t="n">
        <f aca="false">輸入與假設!$C$239/(輸入與假設!$C$240+輸入與假設!$C$239)*輸入與假設!$C$237+輸入與假設!$C$240/(輸入與假設!$C$240+輸入與假設!$C$239)*輸入與假設!$C$238*(1-輸入與假設!$C$233)</f>
        <v>0.138660097953011</v>
      </c>
      <c r="I241" s="11" t="s">
        <v>548</v>
      </c>
    </row>
    <row r="242" customFormat="false" ht="15" hidden="false" customHeight="false" outlineLevel="1" collapsed="false">
      <c r="A242" s="4" t="s">
        <v>549</v>
      </c>
      <c r="B242" s="11" t="s">
        <v>42</v>
      </c>
      <c r="C242" s="24"/>
      <c r="I242" s="11" t="s">
        <v>550</v>
      </c>
    </row>
    <row r="243" customFormat="false" ht="15" hidden="false" customHeight="false" outlineLevel="1" collapsed="false">
      <c r="A243" s="4" t="s">
        <v>551</v>
      </c>
      <c r="B243" s="11" t="s">
        <v>42</v>
      </c>
      <c r="C243" s="35" t="n">
        <f aca="false">IF(ISBLANK(輸入與假設!$C$242),輸入與假設!$C$241,輸入與假設!$C$242)</f>
        <v>0.138660097953011</v>
      </c>
      <c r="I243" s="6" t="s">
        <v>552</v>
      </c>
    </row>
    <row r="244" customFormat="false" ht="15" hidden="false" customHeight="false" outlineLevel="1" collapsed="false">
      <c r="A244" s="3" t="s">
        <v>553</v>
      </c>
      <c r="B244" s="11" t="s">
        <v>42</v>
      </c>
      <c r="C244" s="24" t="n">
        <v>0.03</v>
      </c>
      <c r="I244" s="11" t="s">
        <v>221</v>
      </c>
    </row>
    <row r="245" customFormat="false" ht="15" hidden="false" customHeight="false" outlineLevel="1" collapsed="false">
      <c r="A245" s="3" t="s">
        <v>554</v>
      </c>
      <c r="B245" s="11" t="s">
        <v>42</v>
      </c>
      <c r="C245" s="24" t="n">
        <v>0.8</v>
      </c>
      <c r="I245" s="11" t="s">
        <v>555</v>
      </c>
    </row>
    <row r="246" customFormat="false" ht="15" hidden="false" customHeight="false" outlineLevel="1" collapsed="false">
      <c r="A246" s="3" t="s">
        <v>556</v>
      </c>
      <c r="B246" s="11" t="s">
        <v>59</v>
      </c>
      <c r="C246" s="25" t="n">
        <v>0</v>
      </c>
      <c r="I246" s="11" t="s">
        <v>557</v>
      </c>
    </row>
    <row r="247" customFormat="false" ht="15" hidden="false" customHeight="false" outlineLevel="1" collapsed="false">
      <c r="A247" s="4" t="s">
        <v>558</v>
      </c>
      <c r="B247" s="11" t="s">
        <v>42</v>
      </c>
      <c r="C247" s="24" t="n">
        <v>0.8</v>
      </c>
      <c r="I247" s="6" t="s">
        <v>559</v>
      </c>
    </row>
    <row r="248" customFormat="false" ht="15" hidden="false" customHeight="false" outlineLevel="1" collapsed="false">
      <c r="A248" s="3" t="s">
        <v>560</v>
      </c>
      <c r="B248" s="11" t="s">
        <v>42</v>
      </c>
      <c r="C248" s="24" t="n">
        <v>0.02</v>
      </c>
      <c r="I248" s="6" t="s">
        <v>561</v>
      </c>
    </row>
    <row r="249" customFormat="false" ht="15" hidden="false" customHeight="false" outlineLevel="1" collapsed="false">
      <c r="A249" s="4" t="s">
        <v>562</v>
      </c>
      <c r="B249" s="11" t="s">
        <v>96</v>
      </c>
      <c r="C249" s="44" t="n">
        <v>6</v>
      </c>
      <c r="I249" s="6" t="s">
        <v>563</v>
      </c>
    </row>
    <row r="250" customFormat="false" ht="15" hidden="false" customHeight="false" outlineLevel="1" collapsed="false">
      <c r="A250" s="3" t="s">
        <v>564</v>
      </c>
      <c r="B250" s="11" t="s">
        <v>96</v>
      </c>
      <c r="C250" s="44" t="n">
        <v>20.4</v>
      </c>
      <c r="I250" s="11" t="s">
        <v>565</v>
      </c>
    </row>
    <row r="251" customFormat="false" ht="15" hidden="false" customHeight="false" outlineLevel="1" collapsed="false">
      <c r="A251" s="3" t="s">
        <v>566</v>
      </c>
      <c r="B251" s="11" t="s">
        <v>96</v>
      </c>
      <c r="C251" s="44" t="n">
        <v>21.1</v>
      </c>
      <c r="I251" s="11" t="s">
        <v>567</v>
      </c>
    </row>
    <row r="252" customFormat="false" ht="15" hidden="false" customHeight="false" outlineLevel="1" collapsed="false">
      <c r="A252" s="3" t="s">
        <v>568</v>
      </c>
      <c r="B252" s="11" t="s">
        <v>96</v>
      </c>
      <c r="C252" s="45" t="n">
        <f aca="false">MEDIAN(輸入與假設!$C$250,輸入與假設!$C$251)</f>
        <v>20.75</v>
      </c>
      <c r="I252" s="6" t="s">
        <v>569</v>
      </c>
    </row>
    <row r="253" customFormat="false" ht="15" hidden="false" customHeight="false" outlineLevel="1" collapsed="false">
      <c r="A253" s="3" t="s">
        <v>570</v>
      </c>
      <c r="B253" s="11" t="s">
        <v>96</v>
      </c>
      <c r="C253" s="44"/>
      <c r="I253" s="11" t="s">
        <v>571</v>
      </c>
    </row>
    <row r="254" customFormat="false" ht="15" hidden="false" customHeight="false" outlineLevel="1" collapsed="false">
      <c r="A254" s="3" t="s">
        <v>572</v>
      </c>
      <c r="B254" s="11" t="s">
        <v>96</v>
      </c>
      <c r="C254" s="45" t="n">
        <f aca="false">IF(ISBLANK(輸入與假設!$C$253),輸入與假設!$C$252,輸入與假設!$C$253)</f>
        <v>20.75</v>
      </c>
      <c r="I254" s="6" t="s">
        <v>573</v>
      </c>
    </row>
    <row r="255" customFormat="false" ht="15" hidden="false" customHeight="false" outlineLevel="1" collapsed="false">
      <c r="A255" s="4" t="s">
        <v>574</v>
      </c>
      <c r="B255" s="6"/>
      <c r="C255" s="18" t="n">
        <v>3</v>
      </c>
      <c r="I255" s="6" t="s">
        <v>575</v>
      </c>
    </row>
    <row r="256" customFormat="false" ht="15" hidden="false" customHeight="false" outlineLevel="1" collapsed="false">
      <c r="A256" s="3" t="s">
        <v>576</v>
      </c>
      <c r="B256" s="11" t="s">
        <v>42</v>
      </c>
      <c r="C256" s="24" t="n">
        <v>0.45</v>
      </c>
      <c r="I256" s="6"/>
    </row>
    <row r="257" customFormat="false" ht="15" hidden="false" customHeight="false" outlineLevel="1" collapsed="false">
      <c r="A257" s="3" t="s">
        <v>577</v>
      </c>
      <c r="B257" s="11" t="s">
        <v>42</v>
      </c>
      <c r="C257" s="24" t="n">
        <v>0.55</v>
      </c>
      <c r="I257" s="6"/>
    </row>
    <row r="258" customFormat="false" ht="15" hidden="false" customHeight="false" outlineLevel="1" collapsed="false">
      <c r="A258" s="3" t="s">
        <v>578</v>
      </c>
      <c r="B258" s="11" t="s">
        <v>96</v>
      </c>
      <c r="C258" s="44" t="n">
        <v>5</v>
      </c>
      <c r="I258" s="11" t="s">
        <v>579</v>
      </c>
    </row>
    <row r="259" customFormat="false" ht="15" hidden="false" customHeight="false" outlineLevel="1" collapsed="false">
      <c r="A259" s="3" t="s">
        <v>580</v>
      </c>
      <c r="B259" s="11" t="s">
        <v>96</v>
      </c>
      <c r="C259" s="44" t="n">
        <v>6</v>
      </c>
      <c r="I259" s="6"/>
    </row>
    <row r="260" customFormat="false" ht="15" hidden="false" customHeight="false" outlineLevel="1" collapsed="false">
      <c r="A260" s="3" t="s">
        <v>581</v>
      </c>
      <c r="B260" s="11" t="s">
        <v>42</v>
      </c>
      <c r="C260" s="24" t="n">
        <v>0.01</v>
      </c>
      <c r="I260" s="6" t="s">
        <v>582</v>
      </c>
    </row>
    <row r="261" customFormat="false" ht="15" hidden="false" customHeight="false" outlineLevel="1" collapsed="false">
      <c r="A261" s="3" t="s">
        <v>583</v>
      </c>
      <c r="B261" s="11" t="s">
        <v>59</v>
      </c>
      <c r="C261" s="25" t="n">
        <v>22.034</v>
      </c>
      <c r="I261" s="11" t="s">
        <v>584</v>
      </c>
    </row>
    <row r="262" customFormat="false" ht="15" hidden="false" customHeight="false" outlineLevel="1" collapsed="false">
      <c r="A262" s="31" t="s">
        <v>585</v>
      </c>
      <c r="B262" s="20"/>
      <c r="C262" s="20"/>
      <c r="D262" s="20"/>
      <c r="E262" s="20"/>
      <c r="F262" s="20"/>
      <c r="G262" s="20"/>
      <c r="H262" s="20"/>
    </row>
    <row r="263" customFormat="false" ht="15" hidden="false" customHeight="false" outlineLevel="2" collapsed="false">
      <c r="A263" s="4" t="s">
        <v>586</v>
      </c>
      <c r="B263" s="6"/>
      <c r="C263" s="18" t="n">
        <v>1</v>
      </c>
      <c r="I263" s="11" t="s">
        <v>587</v>
      </c>
    </row>
    <row r="264" customFormat="false" ht="15" hidden="false" customHeight="false" outlineLevel="2" collapsed="false">
      <c r="A264" s="3" t="s">
        <v>588</v>
      </c>
      <c r="B264" s="11" t="s">
        <v>42</v>
      </c>
      <c r="C264" s="24" t="n">
        <v>0.5</v>
      </c>
      <c r="I264" s="6" t="s">
        <v>589</v>
      </c>
    </row>
    <row r="265" customFormat="false" ht="15" hidden="false" customHeight="false" outlineLevel="2" collapsed="false">
      <c r="A265" s="3" t="s">
        <v>590</v>
      </c>
      <c r="B265" s="6" t="s">
        <v>181</v>
      </c>
      <c r="C265" s="26" t="n">
        <v>4.5</v>
      </c>
      <c r="I265" s="6" t="s">
        <v>591</v>
      </c>
    </row>
    <row r="266" customFormat="false" ht="15" hidden="false" customHeight="false" outlineLevel="1" collapsed="false">
      <c r="A266" s="19" t="s">
        <v>592</v>
      </c>
      <c r="B266" s="20"/>
      <c r="C266" s="20"/>
      <c r="D266" s="20"/>
      <c r="E266" s="20"/>
      <c r="F266" s="20"/>
      <c r="G266" s="20"/>
      <c r="H266" s="20"/>
    </row>
    <row r="267" customFormat="false" ht="15" hidden="false" customHeight="false" outlineLevel="2" collapsed="false">
      <c r="A267" s="3" t="s">
        <v>593</v>
      </c>
      <c r="B267" s="6" t="s">
        <v>594</v>
      </c>
      <c r="C267" s="22" t="n">
        <v>12</v>
      </c>
      <c r="I267" s="11" t="s">
        <v>595</v>
      </c>
    </row>
    <row r="268" customFormat="false" ht="15" hidden="false" customHeight="false" outlineLevel="2" collapsed="false">
      <c r="A268" s="3" t="s">
        <v>596</v>
      </c>
      <c r="B268" s="6"/>
      <c r="C268" s="46" t="s">
        <v>597</v>
      </c>
      <c r="I268" s="11" t="s">
        <v>598</v>
      </c>
    </row>
    <row r="269" customFormat="false" ht="15" hidden="false" customHeight="false" outlineLevel="2" collapsed="false">
      <c r="A269" s="3" t="s">
        <v>599</v>
      </c>
      <c r="B269" s="6"/>
      <c r="C269" s="46" t="s">
        <v>600</v>
      </c>
      <c r="I269" s="11" t="s">
        <v>601</v>
      </c>
    </row>
    <row r="270" customFormat="false" ht="15" hidden="false" customHeight="false" outlineLevel="2" collapsed="false">
      <c r="A270" s="3" t="s">
        <v>602</v>
      </c>
      <c r="B270" s="6"/>
      <c r="C270" s="46" t="s">
        <v>603</v>
      </c>
      <c r="I270" s="6" t="s">
        <v>604</v>
      </c>
    </row>
    <row r="271" customFormat="false" ht="15" hidden="false" customHeight="false" outlineLevel="2" collapsed="false">
      <c r="A271" s="3" t="s">
        <v>605</v>
      </c>
      <c r="B271" s="6" t="s">
        <v>181</v>
      </c>
      <c r="C271" s="32" t="n">
        <v>1</v>
      </c>
      <c r="I271" s="6"/>
    </row>
    <row r="272" customFormat="false" ht="15" hidden="false" customHeight="false" outlineLevel="2" collapsed="false">
      <c r="A272" s="3" t="s">
        <v>606</v>
      </c>
      <c r="B272" s="6"/>
      <c r="C272" s="46" t="s">
        <v>607</v>
      </c>
      <c r="I272" s="6" t="s">
        <v>608</v>
      </c>
    </row>
    <row r="273" customFormat="false" ht="15" hidden="false" customHeight="false" outlineLevel="2" collapsed="false">
      <c r="A273" s="3" t="s">
        <v>609</v>
      </c>
      <c r="B273" s="6"/>
      <c r="C273" s="46" t="s">
        <v>610</v>
      </c>
      <c r="I273" s="11" t="s">
        <v>611</v>
      </c>
    </row>
    <row r="274" customFormat="false" ht="15" hidden="false" customHeight="false" outlineLevel="2" collapsed="false">
      <c r="A274" s="3" t="s">
        <v>612</v>
      </c>
      <c r="B274" s="6"/>
      <c r="C274" s="46" t="s">
        <v>613</v>
      </c>
      <c r="I274" s="11" t="s">
        <v>614</v>
      </c>
    </row>
    <row r="275" customFormat="false" ht="15" hidden="false" customHeight="false" outlineLevel="2" collapsed="false">
      <c r="A275" s="3" t="s">
        <v>615</v>
      </c>
      <c r="B275" s="6" t="s">
        <v>181</v>
      </c>
      <c r="C275" s="32" t="n">
        <v>0.5</v>
      </c>
      <c r="I275" s="11" t="s">
        <v>616</v>
      </c>
    </row>
    <row r="276" customFormat="false" ht="15" hidden="false" customHeight="false" outlineLevel="2" collapsed="false">
      <c r="A276" s="14" t="s">
        <v>617</v>
      </c>
      <c r="B276" s="14" t="s">
        <v>54</v>
      </c>
      <c r="C276" s="28" t="s">
        <v>55</v>
      </c>
      <c r="D276" s="28" t="s">
        <v>56</v>
      </c>
      <c r="E276" s="28" t="s">
        <v>57</v>
      </c>
      <c r="F276" s="28" t="s">
        <v>139</v>
      </c>
      <c r="G276" s="28" t="s">
        <v>140</v>
      </c>
      <c r="I276" s="14" t="s">
        <v>203</v>
      </c>
    </row>
    <row r="277" customFormat="false" ht="15" hidden="false" customHeight="false" outlineLevel="2" collapsed="false">
      <c r="A277" s="3" t="s">
        <v>618</v>
      </c>
      <c r="B277" s="6"/>
      <c r="C277" s="46" t="s">
        <v>619</v>
      </c>
      <c r="D277" s="46" t="s">
        <v>620</v>
      </c>
      <c r="E277" s="46" t="s">
        <v>621</v>
      </c>
      <c r="F277" s="46" t="s">
        <v>622</v>
      </c>
      <c r="G277" s="46" t="s">
        <v>623</v>
      </c>
      <c r="I277" s="6" t="s">
        <v>624</v>
      </c>
    </row>
    <row r="278" customFormat="false" ht="15" hidden="false" customHeight="false" outlineLevel="2" collapsed="false">
      <c r="A278" s="3" t="s">
        <v>625</v>
      </c>
      <c r="B278" s="6" t="s">
        <v>181</v>
      </c>
      <c r="C278" s="32" t="n">
        <v>0.5</v>
      </c>
      <c r="D278" s="32" t="n">
        <v>1.5</v>
      </c>
      <c r="E278" s="32" t="n">
        <v>2.5</v>
      </c>
      <c r="F278" s="32" t="n">
        <v>3.5</v>
      </c>
      <c r="G278" s="32" t="n">
        <v>4.5</v>
      </c>
      <c r="I278" s="6" t="s">
        <v>624</v>
      </c>
    </row>
    <row r="279" customFormat="false" ht="15" hidden="false" customHeight="false" outlineLevel="2" collapsed="false">
      <c r="A279" s="3" t="s">
        <v>626</v>
      </c>
      <c r="B279" s="6" t="s">
        <v>181</v>
      </c>
      <c r="C279" s="32" t="n">
        <v>0</v>
      </c>
      <c r="D279" s="32" t="n">
        <v>0.5</v>
      </c>
      <c r="E279" s="32" t="n">
        <v>1.5</v>
      </c>
      <c r="F279" s="32" t="n">
        <v>2.5</v>
      </c>
      <c r="G279" s="32" t="n">
        <v>3.5</v>
      </c>
      <c r="I279" s="6" t="s">
        <v>624</v>
      </c>
    </row>
    <row r="280" customFormat="false" ht="15" hidden="false" customHeight="false" outlineLevel="1" collapsed="false">
      <c r="A280" s="19" t="s">
        <v>627</v>
      </c>
      <c r="B280" s="20"/>
      <c r="C280" s="20"/>
      <c r="D280" s="20"/>
      <c r="E280" s="20"/>
      <c r="F280" s="20"/>
      <c r="G280" s="20"/>
      <c r="H280" s="20"/>
    </row>
    <row r="281" customFormat="false" ht="15" hidden="false" customHeight="false" outlineLevel="2" collapsed="false">
      <c r="A281" s="3" t="s">
        <v>628</v>
      </c>
      <c r="B281" s="11" t="s">
        <v>42</v>
      </c>
      <c r="C281" s="24" t="n">
        <v>0.25</v>
      </c>
      <c r="I281" s="6" t="s">
        <v>629</v>
      </c>
    </row>
    <row r="282" customFormat="false" ht="15" hidden="false" customHeight="false" outlineLevel="2" collapsed="false">
      <c r="A282" s="3" t="s">
        <v>630</v>
      </c>
      <c r="B282" s="11" t="s">
        <v>42</v>
      </c>
      <c r="C282" s="24" t="n">
        <v>0.9</v>
      </c>
      <c r="I282" s="6" t="s">
        <v>631</v>
      </c>
    </row>
    <row r="283" customFormat="false" ht="15" hidden="false" customHeight="false" outlineLevel="2" collapsed="false">
      <c r="A283" s="3" t="s">
        <v>632</v>
      </c>
      <c r="B283" s="11" t="s">
        <v>42</v>
      </c>
      <c r="C283" s="24" t="n">
        <v>-0.15</v>
      </c>
      <c r="I283" s="6" t="s">
        <v>633</v>
      </c>
    </row>
    <row r="284" customFormat="false" ht="15" hidden="false" customHeight="false" outlineLevel="2" collapsed="false">
      <c r="A284" s="3" t="s">
        <v>634</v>
      </c>
      <c r="B284" s="11" t="s">
        <v>96</v>
      </c>
      <c r="C284" s="44" t="n">
        <v>1.5</v>
      </c>
      <c r="I284" s="6" t="s">
        <v>635</v>
      </c>
    </row>
    <row r="285" customFormat="false" ht="15" hidden="false" customHeight="false" outlineLevel="2" collapsed="false">
      <c r="A285" s="3" t="s">
        <v>636</v>
      </c>
      <c r="B285" s="11" t="s">
        <v>42</v>
      </c>
      <c r="C285" s="24" t="n">
        <v>-0.08</v>
      </c>
      <c r="I285" s="6" t="s">
        <v>637</v>
      </c>
    </row>
    <row r="286" customFormat="false" ht="15" hidden="false" customHeight="false" outlineLevel="2" collapsed="false">
      <c r="A286" s="3" t="s">
        <v>638</v>
      </c>
      <c r="B286" s="11" t="s">
        <v>42</v>
      </c>
      <c r="C286" s="24" t="n">
        <v>0.05</v>
      </c>
      <c r="I286" s="6" t="s">
        <v>639</v>
      </c>
    </row>
    <row r="287" customFormat="false" ht="15" hidden="false" customHeight="false" outlineLevel="2" collapsed="false">
      <c r="A287" s="3" t="s">
        <v>640</v>
      </c>
      <c r="B287" s="11" t="s">
        <v>42</v>
      </c>
      <c r="C287" s="24" t="n">
        <v>0.85</v>
      </c>
      <c r="I287" s="6" t="s">
        <v>641</v>
      </c>
    </row>
    <row r="289" customFormat="false" ht="15" hidden="false" customHeight="false" outlineLevel="0" collapsed="true">
      <c r="A289" s="7" t="s">
        <v>642</v>
      </c>
      <c r="B289" s="8"/>
      <c r="C289" s="8"/>
      <c r="D289" s="8"/>
      <c r="E289" s="8"/>
      <c r="F289" s="8"/>
      <c r="G289" s="8"/>
      <c r="H289" s="8"/>
    </row>
    <row r="290" customFormat="false" ht="15" hidden="true" customHeight="false" outlineLevel="1" collapsed="false">
      <c r="A290" s="4" t="s">
        <v>643</v>
      </c>
      <c r="B290" s="11" t="s">
        <v>59</v>
      </c>
      <c r="C290" s="25" t="n">
        <v>114.441</v>
      </c>
      <c r="I290" s="6" t="s">
        <v>644</v>
      </c>
    </row>
    <row r="291" customFormat="false" ht="15" hidden="true" customHeight="false" outlineLevel="1" collapsed="false">
      <c r="A291" s="3" t="s">
        <v>645</v>
      </c>
      <c r="B291" s="11" t="s">
        <v>59</v>
      </c>
      <c r="C291" s="25" t="n">
        <v>89.105</v>
      </c>
      <c r="I291" s="11" t="s">
        <v>646</v>
      </c>
    </row>
    <row r="292" customFormat="false" ht="15" hidden="true" customHeight="false" outlineLevel="1" collapsed="false">
      <c r="A292" s="3" t="s">
        <v>647</v>
      </c>
      <c r="B292" s="11" t="s">
        <v>59</v>
      </c>
      <c r="C292" s="25" t="n">
        <v>344.712</v>
      </c>
      <c r="I292" s="11" t="s">
        <v>648</v>
      </c>
    </row>
    <row r="293" customFormat="false" ht="15" hidden="true" customHeight="false" outlineLevel="1" collapsed="false">
      <c r="A293" s="4" t="s">
        <v>649</v>
      </c>
      <c r="B293" s="11" t="s">
        <v>59</v>
      </c>
      <c r="C293" s="25" t="n">
        <v>344.712</v>
      </c>
      <c r="I293" s="6" t="s">
        <v>650</v>
      </c>
    </row>
    <row r="294" customFormat="false" ht="15" hidden="true" customHeight="false" outlineLevel="1" collapsed="false">
      <c r="A294" s="4" t="s">
        <v>651</v>
      </c>
      <c r="B294" s="11" t="s">
        <v>59</v>
      </c>
      <c r="C294" s="25" t="n">
        <v>0</v>
      </c>
      <c r="I294" s="6" t="s">
        <v>652</v>
      </c>
    </row>
    <row r="295" customFormat="false" ht="15" hidden="true" customHeight="false" outlineLevel="1" collapsed="false">
      <c r="A295" s="3" t="s">
        <v>653</v>
      </c>
      <c r="B295" s="11" t="s">
        <v>59</v>
      </c>
      <c r="C295" s="25" t="n">
        <v>304.526</v>
      </c>
      <c r="I295" s="6" t="s">
        <v>654</v>
      </c>
    </row>
    <row r="296" customFormat="false" ht="15" hidden="true" customHeight="false" outlineLevel="1" collapsed="false">
      <c r="A296" s="3" t="s">
        <v>655</v>
      </c>
      <c r="B296" s="11" t="s">
        <v>59</v>
      </c>
      <c r="C296" s="25" t="n">
        <v>12.599</v>
      </c>
      <c r="I296" s="6" t="s">
        <v>656</v>
      </c>
    </row>
    <row r="297" customFormat="false" ht="15" hidden="true" customHeight="false" outlineLevel="1" collapsed="false">
      <c r="A297" s="4" t="s">
        <v>657</v>
      </c>
      <c r="B297" s="11" t="s">
        <v>59</v>
      </c>
      <c r="C297" s="25" t="n">
        <v>120</v>
      </c>
      <c r="I297" s="6" t="s">
        <v>658</v>
      </c>
    </row>
    <row r="298" customFormat="false" ht="15" hidden="true" customHeight="false" outlineLevel="1" collapsed="false">
      <c r="A298" s="3" t="s">
        <v>659</v>
      </c>
      <c r="B298" s="11" t="s">
        <v>59</v>
      </c>
      <c r="C298" s="25" t="n">
        <v>0</v>
      </c>
      <c r="I298" s="11" t="s">
        <v>660</v>
      </c>
    </row>
    <row r="299" customFormat="false" ht="15" hidden="true" customHeight="false" outlineLevel="1" collapsed="false">
      <c r="A299" s="3" t="s">
        <v>661</v>
      </c>
      <c r="B299" s="11" t="s">
        <v>59</v>
      </c>
      <c r="C299" s="25" t="n">
        <v>8.011</v>
      </c>
      <c r="I299" s="11" t="s">
        <v>662</v>
      </c>
    </row>
    <row r="300" customFormat="false" ht="15" hidden="true" customHeight="false" outlineLevel="1" collapsed="false">
      <c r="A300" s="3" t="s">
        <v>663</v>
      </c>
      <c r="B300" s="11" t="s">
        <v>59</v>
      </c>
      <c r="C300" s="25" t="n">
        <v>13.044</v>
      </c>
      <c r="I300" s="6" t="s">
        <v>664</v>
      </c>
    </row>
    <row r="301" customFormat="false" ht="15" hidden="true" customHeight="false" outlineLevel="1" collapsed="false">
      <c r="A301" s="3" t="s">
        <v>665</v>
      </c>
      <c r="B301" s="11" t="s">
        <v>59</v>
      </c>
      <c r="C301" s="25" t="n">
        <v>50.762</v>
      </c>
      <c r="I301" s="6" t="s">
        <v>666</v>
      </c>
    </row>
    <row r="302" customFormat="false" ht="15" hidden="true" customHeight="false" outlineLevel="1" collapsed="false">
      <c r="A302" s="4" t="s">
        <v>667</v>
      </c>
      <c r="B302" s="11" t="s">
        <v>59</v>
      </c>
      <c r="C302" s="25" t="n">
        <v>-20.275</v>
      </c>
      <c r="I302" s="6" t="s">
        <v>668</v>
      </c>
    </row>
    <row r="303" customFormat="false" ht="15" hidden="true" customHeight="false" outlineLevel="1" collapsed="false">
      <c r="A303" s="3" t="s">
        <v>669</v>
      </c>
      <c r="B303" s="11" t="s">
        <v>59</v>
      </c>
      <c r="C303" s="25" t="n">
        <v>-27.018</v>
      </c>
      <c r="I303" s="6" t="s">
        <v>670</v>
      </c>
    </row>
    <row r="304" customFormat="false" ht="15" hidden="true" customHeight="false" outlineLevel="1" collapsed="false">
      <c r="A304" s="3" t="s">
        <v>671</v>
      </c>
      <c r="B304" s="11" t="s">
        <v>59</v>
      </c>
      <c r="C304" s="25" t="n">
        <v>72.6</v>
      </c>
      <c r="I304" s="6" t="s">
        <v>672</v>
      </c>
    </row>
    <row r="305" customFormat="false" ht="15" hidden="true" customHeight="false" outlineLevel="1" collapsed="false">
      <c r="A305" s="4" t="s">
        <v>673</v>
      </c>
      <c r="B305" s="11" t="s">
        <v>59</v>
      </c>
      <c r="C305" s="25" t="n">
        <v>13.008</v>
      </c>
      <c r="I305" s="6" t="s">
        <v>674</v>
      </c>
    </row>
    <row r="306" customFormat="false" ht="15" hidden="true" customHeight="false" outlineLevel="1" collapsed="false">
      <c r="A306" s="4" t="s">
        <v>675</v>
      </c>
      <c r="B306" s="11" t="s">
        <v>59</v>
      </c>
      <c r="C306" s="25" t="n">
        <v>11.017</v>
      </c>
      <c r="I306" s="6" t="s">
        <v>676</v>
      </c>
    </row>
    <row r="307" customFormat="false" ht="15" hidden="true" customHeight="false" outlineLevel="1" collapsed="false">
      <c r="A307" s="4" t="s">
        <v>677</v>
      </c>
      <c r="B307" s="11" t="s">
        <v>39</v>
      </c>
      <c r="C307" s="25" t="n">
        <v>-0.7</v>
      </c>
      <c r="I307" s="11" t="s">
        <v>678</v>
      </c>
    </row>
    <row r="308" customFormat="false" ht="15" hidden="true" customHeight="false" outlineLevel="1" collapsed="false">
      <c r="A308" s="4" t="s">
        <v>679</v>
      </c>
      <c r="B308" s="11" t="s">
        <v>39</v>
      </c>
      <c r="C308" s="25" t="n">
        <v>-0.41</v>
      </c>
      <c r="I308" s="11" t="s">
        <v>680</v>
      </c>
    </row>
    <row r="309" customFormat="false" ht="15" hidden="true" customHeight="false" outlineLevel="1" collapsed="false">
      <c r="A309" s="3" t="s">
        <v>681</v>
      </c>
      <c r="B309" s="11" t="s">
        <v>59</v>
      </c>
      <c r="C309" s="25" t="n">
        <v>0</v>
      </c>
      <c r="I309" s="6" t="s">
        <v>682</v>
      </c>
    </row>
    <row r="310" customFormat="false" ht="15" hidden="true" customHeight="false" outlineLevel="1" collapsed="false">
      <c r="A310" s="3" t="s">
        <v>683</v>
      </c>
      <c r="B310" s="11" t="s">
        <v>59</v>
      </c>
      <c r="C310" s="25" t="n">
        <v>8.536</v>
      </c>
      <c r="I310" s="11" t="s">
        <v>684</v>
      </c>
    </row>
    <row r="311" customFormat="false" ht="15" hidden="true" customHeight="false" outlineLevel="1" collapsed="false">
      <c r="A311" s="4" t="s">
        <v>685</v>
      </c>
      <c r="B311" s="11" t="s">
        <v>59</v>
      </c>
      <c r="C311" s="25" t="n">
        <v>0</v>
      </c>
      <c r="I311" s="6" t="s">
        <v>650</v>
      </c>
    </row>
    <row r="313" customFormat="false" ht="15" hidden="false" customHeight="false" outlineLevel="0" collapsed="false">
      <c r="A313" s="7" t="s">
        <v>686</v>
      </c>
      <c r="B313" s="8"/>
      <c r="C313" s="8"/>
      <c r="D313" s="8"/>
      <c r="E313" s="8"/>
      <c r="F313" s="8"/>
      <c r="G313" s="8"/>
      <c r="H313" s="8"/>
      <c r="I313" s="6" t="s">
        <v>687</v>
      </c>
    </row>
    <row r="314" customFormat="false" ht="15" hidden="false" customHeight="false" outlineLevel="1" collapsed="false">
      <c r="A314" s="3" t="s">
        <v>688</v>
      </c>
      <c r="D314" s="12" t="n">
        <f aca="false">評價_DCF與目標價!C51</f>
        <v>15.2481184884189</v>
      </c>
      <c r="E314" s="9" t="n">
        <f aca="false">評價_DCF與目標價!C78</f>
        <v>0</v>
      </c>
    </row>
    <row r="315" customFormat="false" ht="15" hidden="false" customHeight="false" outlineLevel="1" collapsed="false">
      <c r="A315" s="3" t="s">
        <v>689</v>
      </c>
      <c r="C315" s="9" t="n">
        <v>1</v>
      </c>
      <c r="D315" s="47" t="n">
        <f t="dataTable" ref="D315:E317" dt2D="0" dtr="0" r1="C5"/>
        <v>11.4795061690524</v>
      </c>
      <c r="E315" s="48" t="n">
        <v>-1</v>
      </c>
    </row>
    <row r="316" customFormat="false" ht="15" hidden="false" customHeight="false" outlineLevel="1" collapsed="false">
      <c r="A316" s="3" t="s">
        <v>690</v>
      </c>
      <c r="C316" s="9" t="n">
        <v>2</v>
      </c>
      <c r="D316" s="47" t="n">
        <v>15.2481184884189</v>
      </c>
      <c r="E316" s="48" t="n">
        <v>0</v>
      </c>
    </row>
    <row r="317" customFormat="false" ht="15" hidden="false" customHeight="false" outlineLevel="1" collapsed="false">
      <c r="A317" s="3" t="s">
        <v>691</v>
      </c>
      <c r="C317" s="9" t="n">
        <v>3</v>
      </c>
      <c r="D317" s="47" t="n">
        <v>25.3637818713434</v>
      </c>
      <c r="E317" s="48" t="n">
        <v>1</v>
      </c>
    </row>
    <row r="319" customFormat="false" ht="15" hidden="false" customHeight="false" outlineLevel="0" collapsed="false">
      <c r="A319" s="7" t="s">
        <v>692</v>
      </c>
      <c r="B319" s="8"/>
      <c r="C319" s="8"/>
      <c r="D319" s="8"/>
      <c r="E319" s="8"/>
      <c r="F319" s="8"/>
      <c r="G319" s="8"/>
      <c r="H319" s="8"/>
      <c r="I319" s="6" t="s">
        <v>693</v>
      </c>
    </row>
    <row r="320" customFormat="false" ht="15" hidden="false" customHeight="false" outlineLevel="1" collapsed="false">
      <c r="A320" s="14" t="s">
        <v>694</v>
      </c>
      <c r="B320" s="14" t="s">
        <v>54</v>
      </c>
      <c r="C320" s="14" t="s">
        <v>695</v>
      </c>
      <c r="D320" s="14"/>
      <c r="E320" s="14"/>
      <c r="F320" s="14" t="s">
        <v>696</v>
      </c>
      <c r="G320" s="14" t="s">
        <v>697</v>
      </c>
      <c r="H320" s="14"/>
      <c r="I320" s="14" t="s">
        <v>698</v>
      </c>
      <c r="J320" s="14" t="s">
        <v>699</v>
      </c>
    </row>
    <row r="321" customFormat="false" ht="15" hidden="false" customHeight="false" outlineLevel="1" collapsed="false">
      <c r="A321" s="3" t="s">
        <v>700</v>
      </c>
      <c r="B321" s="11" t="s">
        <v>39</v>
      </c>
      <c r="C321" s="42" t="n">
        <v>16.83</v>
      </c>
      <c r="F321" s="11" t="s">
        <v>613</v>
      </c>
      <c r="G321" s="11" t="s">
        <v>701</v>
      </c>
      <c r="I321" s="11" t="s">
        <v>702</v>
      </c>
      <c r="J321" s="6" t="s">
        <v>703</v>
      </c>
    </row>
    <row r="322" customFormat="false" ht="15" hidden="false" customHeight="false" outlineLevel="1" collapsed="false">
      <c r="A322" s="3" t="s">
        <v>704</v>
      </c>
      <c r="B322" s="11" t="s">
        <v>39</v>
      </c>
      <c r="C322" s="42" t="n">
        <v>38</v>
      </c>
      <c r="F322" s="11" t="s">
        <v>705</v>
      </c>
      <c r="G322" s="11" t="s">
        <v>706</v>
      </c>
      <c r="I322" s="11" t="s">
        <v>707</v>
      </c>
      <c r="J322" s="6"/>
    </row>
    <row r="323" customFormat="false" ht="15" hidden="false" customHeight="false" outlineLevel="1" collapsed="false">
      <c r="A323" s="3" t="s">
        <v>708</v>
      </c>
      <c r="B323" s="11" t="s">
        <v>39</v>
      </c>
      <c r="C323" s="42" t="n">
        <v>32</v>
      </c>
      <c r="F323" s="11" t="s">
        <v>705</v>
      </c>
      <c r="G323" s="11" t="s">
        <v>706</v>
      </c>
      <c r="I323" s="11" t="s">
        <v>707</v>
      </c>
      <c r="J323" s="6"/>
    </row>
    <row r="324" customFormat="false" ht="15" hidden="false" customHeight="false" outlineLevel="1" collapsed="false">
      <c r="A324" s="3" t="s">
        <v>709</v>
      </c>
      <c r="B324" s="11" t="s">
        <v>39</v>
      </c>
      <c r="C324" s="42" t="n">
        <v>50</v>
      </c>
      <c r="F324" s="11" t="s">
        <v>705</v>
      </c>
      <c r="G324" s="11" t="s">
        <v>706</v>
      </c>
      <c r="I324" s="11" t="s">
        <v>707</v>
      </c>
      <c r="J324" s="6"/>
    </row>
    <row r="325" customFormat="false" ht="15" hidden="false" customHeight="false" outlineLevel="1" collapsed="false">
      <c r="A325" s="3" t="s">
        <v>710</v>
      </c>
      <c r="B325" s="6" t="s">
        <v>125</v>
      </c>
      <c r="C325" s="21" t="n">
        <v>11</v>
      </c>
      <c r="F325" s="11" t="s">
        <v>705</v>
      </c>
      <c r="G325" s="11" t="s">
        <v>706</v>
      </c>
      <c r="I325" s="11" t="s">
        <v>707</v>
      </c>
      <c r="J325" s="6"/>
    </row>
    <row r="326" customFormat="false" ht="15" hidden="false" customHeight="false" outlineLevel="1" collapsed="false">
      <c r="A326" s="3" t="s">
        <v>711</v>
      </c>
      <c r="B326" s="6"/>
      <c r="C326" s="4" t="s">
        <v>712</v>
      </c>
      <c r="F326" s="11" t="s">
        <v>705</v>
      </c>
      <c r="G326" s="11" t="s">
        <v>706</v>
      </c>
      <c r="I326" s="11" t="s">
        <v>707</v>
      </c>
      <c r="J326" s="6"/>
    </row>
    <row r="327" customFormat="false" ht="15" hidden="false" customHeight="false" outlineLevel="1" collapsed="false">
      <c r="A327" s="3" t="s">
        <v>713</v>
      </c>
      <c r="B327" s="11" t="s">
        <v>39</v>
      </c>
      <c r="C327" s="42" t="n">
        <v>40.5</v>
      </c>
      <c r="F327" s="11" t="s">
        <v>705</v>
      </c>
      <c r="G327" s="11" t="s">
        <v>706</v>
      </c>
      <c r="I327" s="11" t="s">
        <v>714</v>
      </c>
      <c r="J327" s="6"/>
    </row>
    <row r="328" customFormat="false" ht="15" hidden="false" customHeight="false" outlineLevel="1" collapsed="false">
      <c r="A328" s="3" t="s">
        <v>715</v>
      </c>
      <c r="B328" s="6" t="s">
        <v>125</v>
      </c>
      <c r="C328" s="21" t="n">
        <v>10</v>
      </c>
      <c r="F328" s="11" t="s">
        <v>705</v>
      </c>
      <c r="G328" s="11" t="s">
        <v>706</v>
      </c>
      <c r="I328" s="11" t="s">
        <v>714</v>
      </c>
      <c r="J328" s="6"/>
    </row>
    <row r="329" customFormat="false" ht="15" hidden="false" customHeight="false" outlineLevel="1" collapsed="false">
      <c r="A329" s="3" t="s">
        <v>716</v>
      </c>
      <c r="B329" s="6"/>
      <c r="C329" s="4" t="s">
        <v>717</v>
      </c>
      <c r="F329" s="11" t="s">
        <v>705</v>
      </c>
      <c r="G329" s="11" t="s">
        <v>706</v>
      </c>
      <c r="I329" s="11" t="s">
        <v>714</v>
      </c>
      <c r="J329" s="6"/>
    </row>
    <row r="330" customFormat="false" ht="15" hidden="false" customHeight="false" outlineLevel="1" collapsed="false">
      <c r="A330" s="3" t="s">
        <v>718</v>
      </c>
      <c r="B330" s="11" t="s">
        <v>39</v>
      </c>
      <c r="C330" s="42" t="n">
        <v>40.45</v>
      </c>
      <c r="F330" s="11" t="s">
        <v>613</v>
      </c>
      <c r="G330" s="11" t="s">
        <v>706</v>
      </c>
      <c r="I330" s="11" t="s">
        <v>719</v>
      </c>
      <c r="J330" s="6"/>
    </row>
    <row r="331" customFormat="false" ht="15" hidden="false" customHeight="false" outlineLevel="1" collapsed="false">
      <c r="A331" s="3" t="s">
        <v>720</v>
      </c>
      <c r="B331" s="11" t="s">
        <v>39</v>
      </c>
      <c r="C331" s="42" t="n">
        <v>40.89</v>
      </c>
      <c r="F331" s="11" t="s">
        <v>705</v>
      </c>
      <c r="G331" s="11" t="s">
        <v>706</v>
      </c>
      <c r="I331" s="11" t="s">
        <v>721</v>
      </c>
      <c r="J331" s="11" t="s">
        <v>722</v>
      </c>
    </row>
    <row r="332" customFormat="false" ht="15" hidden="false" customHeight="false" outlineLevel="1" collapsed="false">
      <c r="A332" s="3" t="s">
        <v>723</v>
      </c>
      <c r="B332" s="6" t="s">
        <v>125</v>
      </c>
      <c r="C332" s="21" t="n">
        <v>8</v>
      </c>
      <c r="F332" s="11" t="s">
        <v>705</v>
      </c>
      <c r="G332" s="11" t="s">
        <v>706</v>
      </c>
      <c r="I332" s="11" t="s">
        <v>721</v>
      </c>
      <c r="J332" s="6"/>
    </row>
    <row r="333" customFormat="false" ht="15" hidden="false" customHeight="false" outlineLevel="1" collapsed="false">
      <c r="A333" s="3" t="s">
        <v>724</v>
      </c>
      <c r="B333" s="11" t="s">
        <v>39</v>
      </c>
      <c r="C333" s="42" t="n">
        <v>35.92</v>
      </c>
      <c r="F333" s="11" t="s">
        <v>705</v>
      </c>
      <c r="G333" s="11" t="s">
        <v>706</v>
      </c>
      <c r="I333" s="11" t="s">
        <v>725</v>
      </c>
      <c r="J333" s="6"/>
    </row>
    <row r="334" customFormat="false" ht="15" hidden="false" customHeight="false" outlineLevel="1" collapsed="false">
      <c r="A334" s="3" t="s">
        <v>726</v>
      </c>
      <c r="B334" s="11" t="s">
        <v>39</v>
      </c>
      <c r="C334" s="42" t="n">
        <v>32.33</v>
      </c>
      <c r="F334" s="11" t="s">
        <v>705</v>
      </c>
      <c r="G334" s="11" t="s">
        <v>706</v>
      </c>
      <c r="I334" s="11" t="s">
        <v>727</v>
      </c>
      <c r="J334" s="6" t="s">
        <v>728</v>
      </c>
    </row>
    <row r="335" customFormat="false" ht="15" hidden="false" customHeight="false" outlineLevel="1" collapsed="false">
      <c r="A335" s="3" t="s">
        <v>729</v>
      </c>
      <c r="B335" s="6" t="s">
        <v>125</v>
      </c>
      <c r="C335" s="21" t="n">
        <v>10</v>
      </c>
      <c r="F335" s="11" t="s">
        <v>705</v>
      </c>
      <c r="G335" s="11" t="s">
        <v>706</v>
      </c>
      <c r="I335" s="11" t="s">
        <v>727</v>
      </c>
      <c r="J335" s="6"/>
    </row>
    <row r="336" customFormat="false" ht="15" hidden="false" customHeight="false" outlineLevel="1" collapsed="false">
      <c r="A336" s="14" t="s">
        <v>730</v>
      </c>
      <c r="B336" s="14" t="s">
        <v>54</v>
      </c>
      <c r="C336" s="14" t="s">
        <v>695</v>
      </c>
      <c r="D336" s="14"/>
      <c r="E336" s="14"/>
      <c r="F336" s="14" t="s">
        <v>696</v>
      </c>
      <c r="G336" s="14" t="s">
        <v>697</v>
      </c>
      <c r="H336" s="14"/>
      <c r="I336" s="14" t="s">
        <v>698</v>
      </c>
      <c r="J336" s="14" t="s">
        <v>699</v>
      </c>
    </row>
    <row r="337" customFormat="false" ht="15" hidden="false" customHeight="false" outlineLevel="1" collapsed="false">
      <c r="A337" s="3" t="s">
        <v>731</v>
      </c>
      <c r="B337" s="6" t="s">
        <v>125</v>
      </c>
      <c r="C337" s="21" t="n">
        <v>0</v>
      </c>
      <c r="F337" s="11" t="s">
        <v>705</v>
      </c>
      <c r="G337" s="11" t="s">
        <v>706</v>
      </c>
      <c r="I337" s="11" t="s">
        <v>732</v>
      </c>
      <c r="J337" s="6"/>
    </row>
    <row r="338" customFormat="false" ht="15" hidden="false" customHeight="false" outlineLevel="1" collapsed="false">
      <c r="A338" s="3" t="s">
        <v>733</v>
      </c>
      <c r="B338" s="6" t="s">
        <v>125</v>
      </c>
      <c r="C338" s="21" t="n">
        <v>9</v>
      </c>
      <c r="F338" s="11" t="s">
        <v>705</v>
      </c>
      <c r="G338" s="11" t="s">
        <v>706</v>
      </c>
      <c r="I338" s="11" t="s">
        <v>732</v>
      </c>
      <c r="J338" s="6"/>
    </row>
    <row r="339" customFormat="false" ht="15" hidden="false" customHeight="false" outlineLevel="1" collapsed="false">
      <c r="A339" s="3" t="s">
        <v>734</v>
      </c>
      <c r="B339" s="6" t="s">
        <v>125</v>
      </c>
      <c r="C339" s="21" t="n">
        <v>1</v>
      </c>
      <c r="F339" s="11" t="s">
        <v>705</v>
      </c>
      <c r="G339" s="11" t="s">
        <v>706</v>
      </c>
      <c r="I339" s="11" t="s">
        <v>732</v>
      </c>
      <c r="J339" s="6"/>
    </row>
    <row r="340" customFormat="false" ht="15" hidden="false" customHeight="false" outlineLevel="1" collapsed="false">
      <c r="A340" s="3" t="s">
        <v>735</v>
      </c>
      <c r="B340" s="6" t="s">
        <v>125</v>
      </c>
      <c r="C340" s="21" t="n">
        <v>1</v>
      </c>
      <c r="F340" s="11" t="s">
        <v>705</v>
      </c>
      <c r="G340" s="11" t="s">
        <v>706</v>
      </c>
      <c r="I340" s="11" t="s">
        <v>732</v>
      </c>
      <c r="J340" s="6"/>
    </row>
    <row r="341" customFormat="false" ht="15" hidden="false" customHeight="false" outlineLevel="1" collapsed="false">
      <c r="A341" s="3" t="s">
        <v>736</v>
      </c>
      <c r="B341" s="6" t="s">
        <v>125</v>
      </c>
      <c r="C341" s="21" t="n">
        <v>0</v>
      </c>
      <c r="F341" s="11" t="s">
        <v>705</v>
      </c>
      <c r="G341" s="11" t="s">
        <v>706</v>
      </c>
      <c r="I341" s="11" t="s">
        <v>732</v>
      </c>
      <c r="J341" s="6"/>
    </row>
    <row r="342" customFormat="false" ht="15" hidden="false" customHeight="false" outlineLevel="1" collapsed="false">
      <c r="A342" s="3" t="s">
        <v>737</v>
      </c>
      <c r="B342" s="6" t="s">
        <v>125</v>
      </c>
      <c r="C342" s="21" t="n">
        <v>11</v>
      </c>
      <c r="F342" s="11" t="s">
        <v>705</v>
      </c>
      <c r="G342" s="11" t="s">
        <v>706</v>
      </c>
      <c r="I342" s="11" t="s">
        <v>732</v>
      </c>
      <c r="J342" s="6"/>
    </row>
    <row r="343" customFormat="false" ht="15" hidden="false" customHeight="false" outlineLevel="1" collapsed="false">
      <c r="A343" s="14" t="s">
        <v>738</v>
      </c>
      <c r="B343" s="14" t="s">
        <v>54</v>
      </c>
      <c r="C343" s="14" t="s">
        <v>695</v>
      </c>
      <c r="D343" s="14"/>
      <c r="E343" s="14"/>
      <c r="F343" s="14" t="s">
        <v>696</v>
      </c>
      <c r="G343" s="14" t="s">
        <v>697</v>
      </c>
      <c r="H343" s="14"/>
      <c r="I343" s="14" t="s">
        <v>698</v>
      </c>
      <c r="J343" s="14" t="s">
        <v>699</v>
      </c>
    </row>
    <row r="344" customFormat="false" ht="15" hidden="false" customHeight="false" outlineLevel="1" collapsed="false">
      <c r="A344" s="3" t="s">
        <v>739</v>
      </c>
      <c r="B344" s="11" t="s">
        <v>59</v>
      </c>
      <c r="C344" s="49" t="n">
        <v>137</v>
      </c>
      <c r="D344" s="49" t="n">
        <v>296</v>
      </c>
      <c r="E344" s="49" t="n">
        <v>530</v>
      </c>
      <c r="F344" s="11" t="s">
        <v>705</v>
      </c>
      <c r="G344" s="11" t="s">
        <v>706</v>
      </c>
      <c r="I344" s="11" t="s">
        <v>721</v>
      </c>
      <c r="J344" s="6"/>
    </row>
    <row r="345" customFormat="false" ht="15" hidden="false" customHeight="false" outlineLevel="1" collapsed="false">
      <c r="A345" s="3" t="s">
        <v>740</v>
      </c>
      <c r="B345" s="11" t="s">
        <v>59</v>
      </c>
      <c r="C345" s="49" t="n">
        <v>-43</v>
      </c>
      <c r="D345" s="49" t="n">
        <v>3</v>
      </c>
      <c r="E345" s="49" t="n">
        <v>56</v>
      </c>
      <c r="F345" s="11" t="s">
        <v>705</v>
      </c>
      <c r="G345" s="11" t="s">
        <v>706</v>
      </c>
      <c r="I345" s="11" t="s">
        <v>721</v>
      </c>
      <c r="J345" s="6"/>
    </row>
    <row r="346" customFormat="false" ht="15" hidden="false" customHeight="false" outlineLevel="1" collapsed="false">
      <c r="A346" s="3" t="s">
        <v>741</v>
      </c>
      <c r="B346" s="11" t="s">
        <v>59</v>
      </c>
      <c r="C346" s="49" t="n">
        <v>-556</v>
      </c>
      <c r="D346" s="49" t="n">
        <v>-484</v>
      </c>
      <c r="E346" s="49" t="n">
        <v>-848</v>
      </c>
      <c r="F346" s="11" t="s">
        <v>705</v>
      </c>
      <c r="G346" s="11" t="s">
        <v>706</v>
      </c>
      <c r="I346" s="11" t="s">
        <v>721</v>
      </c>
      <c r="J346" s="6"/>
    </row>
    <row r="347" customFormat="false" ht="15" hidden="false" customHeight="false" outlineLevel="1" collapsed="false">
      <c r="A347" s="3" t="s">
        <v>742</v>
      </c>
      <c r="B347" s="6"/>
      <c r="C347" s="3" t="s">
        <v>743</v>
      </c>
      <c r="F347" s="11" t="s">
        <v>705</v>
      </c>
      <c r="G347" s="11" t="s">
        <v>706</v>
      </c>
      <c r="I347" s="11" t="s">
        <v>721</v>
      </c>
      <c r="J347" s="6"/>
    </row>
    <row r="348" customFormat="false" ht="15" hidden="false" customHeight="false" outlineLevel="1" collapsed="false">
      <c r="A348" s="15" t="s">
        <v>744</v>
      </c>
      <c r="B348" s="14" t="s">
        <v>54</v>
      </c>
      <c r="C348" s="14" t="s">
        <v>695</v>
      </c>
      <c r="D348" s="14"/>
      <c r="E348" s="14"/>
      <c r="F348" s="14" t="s">
        <v>696</v>
      </c>
      <c r="G348" s="14" t="s">
        <v>697</v>
      </c>
      <c r="H348" s="14"/>
      <c r="I348" s="14" t="s">
        <v>698</v>
      </c>
      <c r="J348" s="14" t="s">
        <v>699</v>
      </c>
    </row>
    <row r="349" customFormat="false" ht="15" hidden="false" customHeight="false" outlineLevel="1" collapsed="false">
      <c r="A349" s="3" t="s">
        <v>745</v>
      </c>
      <c r="B349" s="11" t="s">
        <v>59</v>
      </c>
      <c r="C349" s="49" t="n">
        <v>138</v>
      </c>
      <c r="F349" s="11" t="s">
        <v>705</v>
      </c>
      <c r="G349" s="11" t="s">
        <v>706</v>
      </c>
      <c r="I349" s="11" t="s">
        <v>727</v>
      </c>
      <c r="J349" s="6"/>
    </row>
    <row r="350" customFormat="false" ht="15" hidden="false" customHeight="false" outlineLevel="1" collapsed="false">
      <c r="A350" s="3" t="s">
        <v>746</v>
      </c>
      <c r="B350" s="11" t="s">
        <v>59</v>
      </c>
      <c r="C350" s="49" t="n">
        <v>123</v>
      </c>
      <c r="D350" s="49" t="n">
        <v>150</v>
      </c>
      <c r="F350" s="11" t="s">
        <v>705</v>
      </c>
      <c r="G350" s="11" t="s">
        <v>706</v>
      </c>
      <c r="I350" s="11" t="s">
        <v>727</v>
      </c>
      <c r="J350" s="6"/>
    </row>
    <row r="351" customFormat="false" ht="15" hidden="false" customHeight="false" outlineLevel="1" collapsed="false">
      <c r="A351" s="3" t="s">
        <v>747</v>
      </c>
      <c r="B351" s="11" t="s">
        <v>39</v>
      </c>
      <c r="C351" s="42" t="n">
        <v>-0.63</v>
      </c>
      <c r="F351" s="11" t="s">
        <v>705</v>
      </c>
      <c r="G351" s="11" t="s">
        <v>706</v>
      </c>
      <c r="I351" s="11" t="s">
        <v>727</v>
      </c>
      <c r="J351" s="6"/>
    </row>
    <row r="352" customFormat="false" ht="15" hidden="false" customHeight="false" outlineLevel="1" collapsed="false">
      <c r="A352" s="3" t="s">
        <v>748</v>
      </c>
      <c r="B352" s="11" t="s">
        <v>39</v>
      </c>
      <c r="C352" s="42" t="n">
        <v>-0.92</v>
      </c>
      <c r="D352" s="42" t="n">
        <v>-0.33</v>
      </c>
      <c r="F352" s="11" t="s">
        <v>705</v>
      </c>
      <c r="G352" s="11" t="s">
        <v>706</v>
      </c>
      <c r="I352" s="11" t="s">
        <v>727</v>
      </c>
      <c r="J352" s="11" t="s">
        <v>749</v>
      </c>
    </row>
    <row r="353" customFormat="false" ht="15" hidden="false" customHeight="false" outlineLevel="1" collapsed="false">
      <c r="A353" s="14" t="s">
        <v>750</v>
      </c>
      <c r="B353" s="14" t="s">
        <v>54</v>
      </c>
      <c r="C353" s="14" t="s">
        <v>695</v>
      </c>
      <c r="D353" s="14"/>
      <c r="E353" s="14"/>
      <c r="F353" s="14" t="s">
        <v>696</v>
      </c>
      <c r="G353" s="14" t="s">
        <v>697</v>
      </c>
      <c r="H353" s="14"/>
      <c r="I353" s="14" t="s">
        <v>698</v>
      </c>
      <c r="J353" s="14" t="s">
        <v>699</v>
      </c>
    </row>
    <row r="354" customFormat="false" ht="15" hidden="false" customHeight="false" outlineLevel="1" collapsed="false">
      <c r="A354" s="3" t="s">
        <v>751</v>
      </c>
      <c r="B354" s="11" t="s">
        <v>39</v>
      </c>
      <c r="C354" s="42" t="n">
        <v>37</v>
      </c>
      <c r="F354" s="11" t="s">
        <v>705</v>
      </c>
      <c r="G354" s="11" t="s">
        <v>706</v>
      </c>
      <c r="I354" s="11" t="s">
        <v>732</v>
      </c>
      <c r="J354" s="11" t="s">
        <v>752</v>
      </c>
    </row>
    <row r="355" customFormat="false" ht="15" hidden="false" customHeight="false" outlineLevel="1" collapsed="false">
      <c r="A355" s="3" t="s">
        <v>753</v>
      </c>
      <c r="B355" s="11" t="s">
        <v>39</v>
      </c>
      <c r="C355" s="42" t="n">
        <v>32</v>
      </c>
      <c r="F355" s="11" t="s">
        <v>705</v>
      </c>
      <c r="G355" s="11" t="s">
        <v>706</v>
      </c>
      <c r="I355" s="11" t="s">
        <v>732</v>
      </c>
      <c r="J355" s="11" t="s">
        <v>754</v>
      </c>
    </row>
    <row r="356" customFormat="false" ht="15" hidden="false" customHeight="false" outlineLevel="1" collapsed="false">
      <c r="A356" s="3" t="s">
        <v>755</v>
      </c>
      <c r="B356" s="11" t="s">
        <v>39</v>
      </c>
      <c r="C356" s="42" t="n">
        <v>41</v>
      </c>
      <c r="F356" s="11" t="s">
        <v>705</v>
      </c>
      <c r="G356" s="11" t="s">
        <v>706</v>
      </c>
      <c r="I356" s="11" t="s">
        <v>732</v>
      </c>
      <c r="J356" s="11" t="s">
        <v>756</v>
      </c>
    </row>
    <row r="357" customFormat="false" ht="15" hidden="false" customHeight="false" outlineLevel="1" collapsed="false">
      <c r="A357" s="3" t="s">
        <v>757</v>
      </c>
      <c r="B357" s="11" t="s">
        <v>39</v>
      </c>
      <c r="C357" s="42" t="n">
        <v>36</v>
      </c>
      <c r="F357" s="11" t="s">
        <v>705</v>
      </c>
      <c r="G357" s="11" t="s">
        <v>706</v>
      </c>
      <c r="I357" s="11" t="s">
        <v>732</v>
      </c>
      <c r="J357" s="11" t="s">
        <v>758</v>
      </c>
    </row>
    <row r="358" customFormat="false" ht="15" hidden="false" customHeight="false" outlineLevel="1" collapsed="false">
      <c r="A358" s="3" t="s">
        <v>759</v>
      </c>
      <c r="B358" s="11" t="s">
        <v>39</v>
      </c>
      <c r="C358" s="42" t="n">
        <v>50</v>
      </c>
      <c r="F358" s="11" t="s">
        <v>705</v>
      </c>
      <c r="G358" s="11" t="s">
        <v>706</v>
      </c>
      <c r="I358" s="11" t="s">
        <v>732</v>
      </c>
      <c r="J358" s="11" t="s">
        <v>752</v>
      </c>
    </row>
    <row r="359" customFormat="false" ht="15" hidden="false" customHeight="false" outlineLevel="1" collapsed="false">
      <c r="A359" s="3" t="s">
        <v>760</v>
      </c>
      <c r="B359" s="11" t="s">
        <v>39</v>
      </c>
      <c r="C359" s="3" t="s">
        <v>761</v>
      </c>
      <c r="F359" s="11" t="s">
        <v>705</v>
      </c>
      <c r="G359" s="11" t="s">
        <v>706</v>
      </c>
      <c r="I359" s="11" t="s">
        <v>732</v>
      </c>
      <c r="J359" s="11" t="s">
        <v>762</v>
      </c>
    </row>
    <row r="360" customFormat="false" ht="15" hidden="false" customHeight="false" outlineLevel="1" collapsed="false">
      <c r="A360" s="14" t="s">
        <v>763</v>
      </c>
      <c r="B360" s="14" t="s">
        <v>54</v>
      </c>
      <c r="C360" s="14" t="s">
        <v>695</v>
      </c>
      <c r="D360" s="14"/>
      <c r="E360" s="14"/>
      <c r="F360" s="14" t="s">
        <v>696</v>
      </c>
      <c r="G360" s="14" t="s">
        <v>697</v>
      </c>
      <c r="H360" s="14"/>
      <c r="I360" s="14" t="s">
        <v>698</v>
      </c>
      <c r="J360" s="14" t="s">
        <v>699</v>
      </c>
    </row>
    <row r="361" customFormat="false" ht="15" hidden="false" customHeight="false" outlineLevel="1" collapsed="false">
      <c r="A361" s="3" t="s">
        <v>764</v>
      </c>
      <c r="B361" s="6"/>
      <c r="C361" s="4" t="s">
        <v>765</v>
      </c>
      <c r="F361" s="11" t="s">
        <v>705</v>
      </c>
      <c r="G361" s="6"/>
      <c r="I361" s="6" t="s">
        <v>766</v>
      </c>
      <c r="J361" s="6"/>
    </row>
    <row r="362" customFormat="false" ht="15" hidden="false" customHeight="false" outlineLevel="1" collapsed="false">
      <c r="A362" s="3" t="s">
        <v>767</v>
      </c>
      <c r="B362" s="6"/>
      <c r="C362" s="4" t="s">
        <v>768</v>
      </c>
      <c r="F362" s="11" t="s">
        <v>705</v>
      </c>
      <c r="G362" s="6"/>
      <c r="I362" s="6" t="s">
        <v>766</v>
      </c>
      <c r="J362" s="6"/>
    </row>
    <row r="363" customFormat="false" ht="15" hidden="false" customHeight="false" outlineLevel="1" collapsed="false">
      <c r="A363" s="3" t="s">
        <v>769</v>
      </c>
      <c r="B363" s="6"/>
      <c r="C363" s="4" t="s">
        <v>770</v>
      </c>
      <c r="F363" s="11" t="s">
        <v>705</v>
      </c>
      <c r="G363" s="6"/>
      <c r="I363" s="6" t="s">
        <v>766</v>
      </c>
      <c r="J363" s="6"/>
    </row>
    <row r="364" customFormat="false" ht="15" hidden="false" customHeight="false" outlineLevel="1" collapsed="false">
      <c r="A364" s="3" t="s">
        <v>771</v>
      </c>
      <c r="B364" s="6"/>
      <c r="C364" s="4" t="s">
        <v>772</v>
      </c>
      <c r="F364" s="11" t="s">
        <v>705</v>
      </c>
      <c r="G364" s="6"/>
      <c r="I364" s="6" t="s">
        <v>766</v>
      </c>
      <c r="J364" s="6"/>
    </row>
    <row r="365" customFormat="false" ht="15" hidden="false" customHeight="false" outlineLevel="1" collapsed="false">
      <c r="A365" s="3" t="s">
        <v>773</v>
      </c>
      <c r="B365" s="6"/>
      <c r="C365" s="3" t="s">
        <v>774</v>
      </c>
      <c r="F365" s="11" t="s">
        <v>705</v>
      </c>
      <c r="G365" s="6"/>
      <c r="I365" s="6" t="s">
        <v>766</v>
      </c>
      <c r="J365" s="6"/>
    </row>
    <row r="366" customFormat="false" ht="15" hidden="false" customHeight="false" outlineLevel="1" collapsed="false">
      <c r="A366" s="3" t="s">
        <v>775</v>
      </c>
      <c r="B366" s="6"/>
      <c r="C366" s="3" t="s">
        <v>776</v>
      </c>
      <c r="F366" s="11" t="s">
        <v>705</v>
      </c>
      <c r="G366" s="6"/>
      <c r="I366" s="6" t="s">
        <v>766</v>
      </c>
      <c r="J366" s="6"/>
    </row>
    <row r="367" customFormat="false" ht="15" hidden="false" customHeight="false" outlineLevel="1" collapsed="false">
      <c r="A367" s="3" t="s">
        <v>777</v>
      </c>
      <c r="B367" s="11" t="s">
        <v>42</v>
      </c>
      <c r="C367" s="24" t="n">
        <v>0.05</v>
      </c>
      <c r="I367" s="6" t="s">
        <v>778</v>
      </c>
    </row>
    <row r="368" customFormat="false" ht="15" hidden="false" customHeight="false" outlineLevel="1" collapsed="false">
      <c r="A368" s="3" t="s">
        <v>779</v>
      </c>
      <c r="B368" s="11" t="s">
        <v>71</v>
      </c>
      <c r="C368" s="24" t="n">
        <v>0.02</v>
      </c>
      <c r="I368" s="6" t="s">
        <v>780</v>
      </c>
    </row>
    <row r="370" customFormat="false" ht="15" hidden="false" customHeight="false" outlineLevel="0" collapsed="false">
      <c r="A370" s="7" t="s">
        <v>781</v>
      </c>
      <c r="B370" s="8"/>
      <c r="C370" s="8"/>
      <c r="D370" s="8"/>
      <c r="E370" s="8"/>
      <c r="F370" s="8"/>
      <c r="G370" s="8"/>
      <c r="H370" s="8"/>
    </row>
    <row r="371" customFormat="false" ht="15" hidden="false" customHeight="false" outlineLevel="1" collapsed="false">
      <c r="A371" s="14" t="s">
        <v>782</v>
      </c>
      <c r="B371" s="14" t="s">
        <v>54</v>
      </c>
      <c r="C371" s="15" t="s">
        <v>783</v>
      </c>
      <c r="D371" s="15" t="s">
        <v>784</v>
      </c>
      <c r="E371" s="15" t="s">
        <v>785</v>
      </c>
      <c r="F371" s="15" t="s">
        <v>786</v>
      </c>
      <c r="G371" s="15" t="s">
        <v>787</v>
      </c>
      <c r="H371" s="15" t="s">
        <v>788</v>
      </c>
      <c r="J371" s="14" t="s">
        <v>428</v>
      </c>
    </row>
    <row r="372" customFormat="false" ht="15" hidden="false" customHeight="false" outlineLevel="1" collapsed="false">
      <c r="A372" s="3" t="s">
        <v>789</v>
      </c>
      <c r="C372" s="22" t="n">
        <v>1</v>
      </c>
      <c r="D372" s="22" t="n">
        <v>1</v>
      </c>
      <c r="E372" s="22" t="n">
        <v>2</v>
      </c>
      <c r="F372" s="22" t="n">
        <v>2</v>
      </c>
      <c r="G372" s="22" t="n">
        <v>2</v>
      </c>
      <c r="H372" s="22" t="n">
        <v>2</v>
      </c>
      <c r="J372" s="6" t="s">
        <v>790</v>
      </c>
    </row>
    <row r="373" customFormat="false" ht="15" hidden="false" customHeight="false" outlineLevel="1" collapsed="false">
      <c r="A373" s="3" t="s">
        <v>791</v>
      </c>
      <c r="C373" s="18" t="n">
        <v>1</v>
      </c>
      <c r="J373" s="6" t="s">
        <v>792</v>
      </c>
    </row>
    <row r="374" customFormat="false" ht="15" hidden="false" customHeight="false" outlineLevel="1" collapsed="false">
      <c r="A374" s="3" t="s">
        <v>793</v>
      </c>
      <c r="B374" s="11" t="s">
        <v>59</v>
      </c>
      <c r="C374" s="49" t="n">
        <v>16.539</v>
      </c>
      <c r="J374" s="6" t="s">
        <v>794</v>
      </c>
    </row>
    <row r="375" customFormat="false" ht="15" hidden="false" customHeight="false" outlineLevel="1" collapsed="false">
      <c r="A375" s="3" t="s">
        <v>795</v>
      </c>
      <c r="B375" s="11" t="s">
        <v>143</v>
      </c>
      <c r="C375" s="21" t="n">
        <v>5.5</v>
      </c>
      <c r="J375" s="6" t="s">
        <v>796</v>
      </c>
    </row>
    <row r="376" customFormat="false" ht="15" hidden="false" customHeight="false" outlineLevel="1" collapsed="false">
      <c r="A376" s="3" t="s">
        <v>797</v>
      </c>
      <c r="B376" s="11" t="s">
        <v>59</v>
      </c>
      <c r="C376" s="49"/>
      <c r="D376" s="49"/>
      <c r="E376" s="49"/>
      <c r="F376" s="49"/>
      <c r="G376" s="49"/>
      <c r="H376" s="49"/>
      <c r="J376" s="6" t="s">
        <v>798</v>
      </c>
    </row>
    <row r="377" customFormat="false" ht="15" hidden="false" customHeight="false" outlineLevel="1" collapsed="false">
      <c r="A377" s="3" t="s">
        <v>799</v>
      </c>
      <c r="B377" s="11" t="s">
        <v>59</v>
      </c>
      <c r="C377" s="49"/>
      <c r="D377" s="49"/>
      <c r="E377" s="49"/>
      <c r="F377" s="49"/>
      <c r="G377" s="49"/>
      <c r="H377" s="49"/>
    </row>
    <row r="378" customFormat="false" ht="15" hidden="false" customHeight="false" outlineLevel="1" collapsed="false">
      <c r="A378" s="3" t="s">
        <v>800</v>
      </c>
      <c r="B378" s="11" t="s">
        <v>59</v>
      </c>
      <c r="C378" s="49"/>
      <c r="D378" s="49"/>
      <c r="E378" s="49"/>
      <c r="F378" s="49"/>
      <c r="G378" s="49"/>
      <c r="H378" s="49"/>
    </row>
    <row r="379" customFormat="false" ht="15" hidden="false" customHeight="false" outlineLevel="1" collapsed="false">
      <c r="A379" s="3" t="s">
        <v>801</v>
      </c>
      <c r="B379" s="11" t="s">
        <v>59</v>
      </c>
      <c r="C379" s="49"/>
      <c r="D379" s="49"/>
      <c r="E379" s="49"/>
      <c r="F379" s="49"/>
      <c r="G379" s="49"/>
      <c r="H379" s="49"/>
    </row>
    <row r="380" customFormat="false" ht="15" hidden="false" customHeight="false" outlineLevel="1" collapsed="false">
      <c r="A380" s="3" t="s">
        <v>802</v>
      </c>
      <c r="B380" s="11" t="s">
        <v>143</v>
      </c>
      <c r="C380" s="21"/>
      <c r="D380" s="21"/>
      <c r="E380" s="21"/>
      <c r="F380" s="21"/>
      <c r="G380" s="21"/>
      <c r="H380" s="21"/>
    </row>
    <row r="381" customFormat="false" ht="15" hidden="false" customHeight="false" outlineLevel="1" collapsed="false">
      <c r="A381" s="3" t="s">
        <v>803</v>
      </c>
      <c r="C381" s="27"/>
      <c r="D381" s="27"/>
      <c r="E381" s="27"/>
      <c r="F381" s="27"/>
      <c r="G381" s="27"/>
      <c r="H381" s="27"/>
    </row>
    <row r="382" customFormat="false" ht="15" hidden="false" customHeight="false" outlineLevel="1" collapsed="false">
      <c r="A382" s="3" t="s">
        <v>804</v>
      </c>
      <c r="C382" s="27"/>
      <c r="D382" s="27"/>
      <c r="E382" s="27"/>
      <c r="F382" s="27"/>
      <c r="G382" s="27"/>
      <c r="H382" s="27"/>
    </row>
    <row r="383" customFormat="false" ht="15" hidden="false" customHeight="false" outlineLevel="1" collapsed="false">
      <c r="A383" s="3" t="s">
        <v>805</v>
      </c>
      <c r="C383" s="27"/>
      <c r="D383" s="27"/>
      <c r="E383" s="27"/>
      <c r="F383" s="27"/>
      <c r="G383" s="27"/>
      <c r="H383" s="27"/>
    </row>
  </sheetData>
  <dataValidations count="1">
    <dataValidation allowBlank="false" error="請輸入 1–4" errorStyle="stop" errorTitle="錨定年度" operator="between" showDropDown="false" showErrorMessage="true" showInputMessage="false" sqref="C255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806</v>
      </c>
    </row>
    <row r="2" customFormat="false" ht="15" hidden="false" customHeight="false" outlineLevel="0" collapsed="false">
      <c r="A2" s="11" t="s">
        <v>807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139</v>
      </c>
      <c r="G4" s="28" t="s">
        <v>140</v>
      </c>
      <c r="I4" s="14" t="s">
        <v>808</v>
      </c>
    </row>
    <row r="5" customFormat="false" ht="15" hidden="false" customHeight="false" outlineLevel="0" collapsed="false">
      <c r="A5" s="50" t="s">
        <v>809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810</v>
      </c>
      <c r="B6" s="11" t="s">
        <v>59</v>
      </c>
      <c r="C6" s="32" t="n">
        <f aca="false">輸入與假設!$C$293+輸入與假設!C$175</f>
        <v>473.244419912925</v>
      </c>
      <c r="D6" s="32" t="n">
        <f aca="false">輸入與假設!D$175</f>
        <v>427.1413589256</v>
      </c>
      <c r="E6" s="32" t="n">
        <f aca="false">輸入與假設!E$175</f>
        <v>52.367682</v>
      </c>
      <c r="F6" s="32" t="n">
        <f aca="false">輸入與假設!F$175</f>
        <v>56.379528</v>
      </c>
      <c r="G6" s="32" t="n">
        <f aca="false">輸入與假設!G$175</f>
        <v>111.969742608</v>
      </c>
      <c r="I6" s="11" t="s">
        <v>811</v>
      </c>
    </row>
    <row r="7" customFormat="false" ht="15" hidden="false" customHeight="false" outlineLevel="1" collapsed="false">
      <c r="A7" s="3" t="s">
        <v>812</v>
      </c>
      <c r="B7" s="11" t="s">
        <v>42</v>
      </c>
      <c r="C7" s="51" t="n">
        <f aca="false">輸入與假設!C$152</f>
        <v>0.21</v>
      </c>
      <c r="D7" s="51" t="n">
        <f aca="false">輸入與假設!D$152</f>
        <v>0.21</v>
      </c>
      <c r="E7" s="51" t="n">
        <f aca="false">輸入與假設!E$152</f>
        <v>0.21</v>
      </c>
      <c r="F7" s="51" t="n">
        <f aca="false">輸入與假設!F$152</f>
        <v>0.21</v>
      </c>
      <c r="G7" s="51" t="n">
        <f aca="false">輸入與假設!G$152</f>
        <v>0.21</v>
      </c>
    </row>
    <row r="8" customFormat="false" ht="15" hidden="false" customHeight="false" outlineLevel="1" collapsed="false">
      <c r="A8" s="3" t="s">
        <v>813</v>
      </c>
      <c r="B8" s="11" t="s">
        <v>59</v>
      </c>
      <c r="C8" s="32" t="n">
        <f aca="false">(輸入與假設!C$165+輸入與假設!C$107)*C7</f>
        <v>26.9918081817142</v>
      </c>
      <c r="D8" s="32" t="n">
        <f aca="false">(輸入與假設!D$165+輸入與假設!D$107)*D7</f>
        <v>89.699685374376</v>
      </c>
      <c r="E8" s="32" t="n">
        <f aca="false">(輸入與假設!E$165+輸入與假設!E$107)*E7</f>
        <v>10.99721322</v>
      </c>
      <c r="F8" s="32" t="n">
        <f aca="false">(輸入與假設!F$165+輸入與假設!F$107)*F7</f>
        <v>11.83970088</v>
      </c>
      <c r="G8" s="32" t="n">
        <f aca="false">(輸入與假設!G$165+輸入與假設!G$107)*G7</f>
        <v>7.695805572</v>
      </c>
      <c r="I8" s="6" t="s">
        <v>814</v>
      </c>
    </row>
    <row r="9" customFormat="false" ht="15" hidden="false" customHeight="false" outlineLevel="1" collapsed="false">
      <c r="A9" s="3" t="s">
        <v>815</v>
      </c>
      <c r="B9" s="11" t="s">
        <v>59</v>
      </c>
      <c r="C9" s="32" t="n">
        <f aca="false">輸入與假設!$C$149</f>
        <v>143.11</v>
      </c>
      <c r="D9" s="32" t="n">
        <f aca="false">C12</f>
        <v>161.157433181714</v>
      </c>
      <c r="E9" s="32" t="n">
        <f aca="false">D12</f>
        <v>230.712439408376</v>
      </c>
      <c r="F9" s="32" t="n">
        <f aca="false">E12</f>
        <v>212.870597702329</v>
      </c>
      <c r="G9" s="32" t="n">
        <f aca="false">F12</f>
        <v>198.101473869538</v>
      </c>
      <c r="I9" s="11" t="s">
        <v>816</v>
      </c>
    </row>
    <row r="10" customFormat="false" ht="15" hidden="false" customHeight="false" outlineLevel="1" collapsed="false">
      <c r="A10" s="3" t="s">
        <v>817</v>
      </c>
      <c r="B10" s="11" t="s">
        <v>59</v>
      </c>
      <c r="C10" s="32" t="n">
        <f aca="false">輸入與假設!$C$150*(C9+0.5*C8)*運營_產能與收入!C7</f>
        <v>0</v>
      </c>
      <c r="D10" s="32" t="n">
        <f aca="false">輸入與假設!$C$150*(D9+0.5*D8)*運營_產能與收入!D7</f>
        <v>0</v>
      </c>
      <c r="E10" s="32" t="n">
        <f aca="false">輸入與假設!$C$150*(E9+0.5*E8)*運營_產能與收入!E7</f>
        <v>0</v>
      </c>
      <c r="F10" s="32" t="n">
        <f aca="false">輸入與假設!$C$150*(F9+0.5*F8)*運營_產能與收入!F7</f>
        <v>0</v>
      </c>
      <c r="G10" s="32" t="n">
        <f aca="false">輸入與假設!$C$150*(G9+0.5*G8)*運營_產能與收入!G7</f>
        <v>0</v>
      </c>
      <c r="I10" s="6" t="s">
        <v>818</v>
      </c>
    </row>
    <row r="11" customFormat="false" ht="15" hidden="false" customHeight="false" outlineLevel="1" collapsed="false">
      <c r="A11" s="3" t="s">
        <v>819</v>
      </c>
      <c r="B11" s="11" t="s">
        <v>59</v>
      </c>
      <c r="C11" s="32" t="n">
        <f aca="false">MIN(C9+C10,(C9+C10)/輸入與假設!$C$148*運營_產能與收入!C7)</f>
        <v>8.944375</v>
      </c>
      <c r="D11" s="32" t="n">
        <f aca="false">MIN(D9+D10,(D9+D10)/輸入與假設!$C$148*運營_產能與收入!D7)</f>
        <v>20.1446791477143</v>
      </c>
      <c r="E11" s="32" t="n">
        <f aca="false">MIN(E9+E10,(E9+E10)/輸入與假設!$C$148*運營_產能與收入!E7)</f>
        <v>28.839054926047</v>
      </c>
      <c r="F11" s="32" t="n">
        <f aca="false">MIN(F9+F10,(F9+F10)/輸入與假設!$C$148*運營_產能與收入!F7)</f>
        <v>26.6088247127911</v>
      </c>
      <c r="G11" s="32" t="n">
        <f aca="false">MIN(G9+G10,(G9+G10)/輸入與假設!$C$148*運營_產能與收入!G7)</f>
        <v>24.7626842336922</v>
      </c>
      <c r="I11" s="6" t="s">
        <v>820</v>
      </c>
    </row>
    <row r="12" customFormat="false" ht="15" hidden="false" customHeight="false" outlineLevel="1" collapsed="false">
      <c r="A12" s="3" t="s">
        <v>821</v>
      </c>
      <c r="B12" s="11" t="s">
        <v>59</v>
      </c>
      <c r="C12" s="32" t="n">
        <f aca="false">C9+C8+C10-C11</f>
        <v>161.157433181714</v>
      </c>
      <c r="D12" s="32" t="n">
        <f aca="false">D9+D8+D10-D11</f>
        <v>230.712439408376</v>
      </c>
      <c r="E12" s="32" t="n">
        <f aca="false">E9+E8+E10-E11</f>
        <v>212.870597702329</v>
      </c>
      <c r="F12" s="32" t="n">
        <f aca="false">F9+F8+F10-F11</f>
        <v>198.101473869538</v>
      </c>
      <c r="G12" s="32" t="n">
        <f aca="false">G9+G8+G10-G11</f>
        <v>181.034595207846</v>
      </c>
      <c r="I12" s="6" t="s">
        <v>822</v>
      </c>
    </row>
    <row r="13" customFormat="false" ht="15" hidden="false" customHeight="false" outlineLevel="1" collapsed="false">
      <c r="A13" s="4" t="s">
        <v>823</v>
      </c>
      <c r="B13" s="11" t="s">
        <v>59</v>
      </c>
      <c r="C13" s="32" t="n">
        <f aca="false">輸入與假設!$C$292+輸入與假設!C$175</f>
        <v>473.244419912925</v>
      </c>
      <c r="D13" s="32" t="n">
        <f aca="false">輸入與假設!D$175</f>
        <v>427.1413589256</v>
      </c>
      <c r="E13" s="32" t="n">
        <f aca="false">輸入與假設!E$175</f>
        <v>52.367682</v>
      </c>
      <c r="F13" s="32" t="n">
        <f aca="false">輸入與假設!F$175</f>
        <v>56.379528</v>
      </c>
      <c r="G13" s="32" t="n">
        <f aca="false">輸入與假設!G$175</f>
        <v>111.969742608</v>
      </c>
      <c r="I13" s="11" t="s">
        <v>824</v>
      </c>
    </row>
    <row r="14" customFormat="false" ht="15" hidden="false" customHeight="false" outlineLevel="1" collapsed="false">
      <c r="A14" s="3" t="s">
        <v>825</v>
      </c>
      <c r="B14" s="11" t="s">
        <v>59</v>
      </c>
      <c r="C14" s="43" t="n">
        <f aca="false">輸入與假設!C$153</f>
        <v>3.268</v>
      </c>
      <c r="D14" s="43" t="n">
        <f aca="false">輸入與假設!D$153</f>
        <v>4.28</v>
      </c>
      <c r="E14" s="43" t="n">
        <f aca="false">輸入與假設!E$153</f>
        <v>2.465</v>
      </c>
      <c r="F14" s="43" t="n">
        <f aca="false">輸入與假設!F$153</f>
        <v>2.304</v>
      </c>
      <c r="G14" s="43" t="n">
        <f aca="false">輸入與假設!G$153</f>
        <v>2.358</v>
      </c>
      <c r="I14" s="6" t="s">
        <v>826</v>
      </c>
    </row>
    <row r="15" customFormat="false" ht="15" hidden="false" customHeight="false" outlineLevel="1" collapsed="false">
      <c r="A15" s="3" t="s">
        <v>827</v>
      </c>
      <c r="B15" s="11" t="s">
        <v>59</v>
      </c>
      <c r="C15" s="43" t="n">
        <f aca="false">運營_產能與收入!C71</f>
        <v>0.515999965016951</v>
      </c>
      <c r="D15" s="43" t="n">
        <f aca="false">運營_產能與收入!D71</f>
        <v>4.12799972013561</v>
      </c>
      <c r="E15" s="43" t="n">
        <f aca="false">運營_產能與收入!E71</f>
        <v>4.12799972013561</v>
      </c>
      <c r="F15" s="43" t="n">
        <f aca="false">運營_產能與收入!F71</f>
        <v>4.12799972013561</v>
      </c>
      <c r="G15" s="43" t="n">
        <f aca="false">運營_產能與收入!G71</f>
        <v>4.12799972013561</v>
      </c>
      <c r="I15" s="6" t="s">
        <v>828</v>
      </c>
    </row>
    <row r="16" customFormat="false" ht="15" hidden="false" customHeight="false" outlineLevel="1" collapsed="false">
      <c r="A16" s="4" t="s">
        <v>829</v>
      </c>
      <c r="B16" s="11" t="s">
        <v>59</v>
      </c>
      <c r="C16" s="43" t="n">
        <f aca="false">輸入與假設!C$172</f>
        <v>6.83204492811063</v>
      </c>
      <c r="D16" s="43" t="n">
        <f aca="false">輸入與假設!D$172</f>
        <v>33.0377648790163</v>
      </c>
      <c r="E16" s="43" t="n">
        <f aca="false">輸入與假設!E$172</f>
        <v>45.5665648602661</v>
      </c>
      <c r="F16" s="43" t="n">
        <f aca="false">輸入與假設!F$172</f>
        <v>59.7274090520461</v>
      </c>
      <c r="G16" s="43" t="n">
        <f aca="false">輸入與假設!G$172</f>
        <v>71.8410975242677</v>
      </c>
      <c r="I16" s="6" t="s">
        <v>830</v>
      </c>
    </row>
    <row r="17" customFormat="false" ht="15" hidden="false" customHeight="false" outlineLevel="1" collapsed="false">
      <c r="A17" s="3" t="s">
        <v>831</v>
      </c>
      <c r="B17" s="11" t="s">
        <v>59</v>
      </c>
      <c r="C17" s="32" t="n">
        <f aca="false">C14+C15+C16</f>
        <v>10.6160448931276</v>
      </c>
      <c r="D17" s="32" t="n">
        <f aca="false">D14+D15+D16</f>
        <v>41.4457645991519</v>
      </c>
      <c r="E17" s="32" t="n">
        <f aca="false">E14+E15+E16</f>
        <v>52.1595645804017</v>
      </c>
      <c r="F17" s="32" t="n">
        <f aca="false">F14+F15+F16</f>
        <v>66.1594087721817</v>
      </c>
      <c r="G17" s="32" t="n">
        <f aca="false">G14+G15+G16</f>
        <v>78.3270972444033</v>
      </c>
      <c r="I17" s="6" t="s">
        <v>832</v>
      </c>
    </row>
    <row r="18" customFormat="false" ht="15" hidden="false" customHeight="false" outlineLevel="1" collapsed="false">
      <c r="A18" s="3" t="s">
        <v>833</v>
      </c>
      <c r="B18" s="11" t="s">
        <v>59</v>
      </c>
      <c r="C18" s="43" t="n">
        <f aca="false">輸入與假設!C$225</f>
        <v>13.5867264456522</v>
      </c>
      <c r="D18" s="43" t="n">
        <f aca="false">輸入與假設!D$225</f>
        <v>51.1289587608696</v>
      </c>
      <c r="E18" s="43" t="n">
        <f aca="false">輸入與假設!E$225</f>
        <v>43.8367314545089</v>
      </c>
      <c r="F18" s="43" t="n">
        <f aca="false">輸入與假設!F$225</f>
        <v>40.0798150108696</v>
      </c>
      <c r="G18" s="43" t="n">
        <f aca="false">輸入與假設!G$225</f>
        <v>36.5861226018519</v>
      </c>
      <c r="I18" s="6" t="str">
        <f aca="false">"6/30 債務餘額的利息。FY26 全年利息＝1H 實際 8.011＋2H "&amp;TEXT(C18,"0.0")&amp;"＝"&amp;TEXT(8.011+C18,"0.00")&amp;"（見下方備忘）"</f>
        <v>6/30 債務餘額的利息。FY26 全年利息＝1H 實際 8.011＋2H 13.6＝21.60（見下方備忘）</v>
      </c>
    </row>
    <row r="19" customFormat="false" ht="15" hidden="false" customHeight="false" outlineLevel="1" collapsed="false">
      <c r="A19" s="3" t="s">
        <v>834</v>
      </c>
      <c r="B19" s="11" t="s">
        <v>59</v>
      </c>
      <c r="C19" s="32" t="n">
        <f aca="false">輸入與假設!$C$290</f>
        <v>114.441</v>
      </c>
      <c r="D19" s="32" t="n">
        <f aca="false">C54</f>
        <v>153.176687226991</v>
      </c>
      <c r="E19" s="32" t="n">
        <f aca="false">D54</f>
        <v>30.0000000000001</v>
      </c>
      <c r="F19" s="32" t="n">
        <f aca="false">E54</f>
        <v>30.0000000000001</v>
      </c>
      <c r="G19" s="32" t="n">
        <f aca="false">F54</f>
        <v>30.0000000000001</v>
      </c>
      <c r="I19" s="11" t="s">
        <v>835</v>
      </c>
    </row>
    <row r="20" customFormat="false" ht="15" hidden="false" customHeight="false" outlineLevel="1" collapsed="false">
      <c r="A20" s="3" t="s">
        <v>836</v>
      </c>
      <c r="B20" s="11" t="s">
        <v>42</v>
      </c>
      <c r="C20" s="35" t="n">
        <f aca="false">IF(輸入與假設!$C$218=1,輸入與假設!C$224+MAX(0,輸入與假設!$C$217-450)/100*0.004,輸入與假設!C$224)</f>
        <v>0.095</v>
      </c>
      <c r="D20" s="35" t="n">
        <f aca="false">IF(輸入與假設!$C$218=1,輸入與假設!D$224+MAX(0,輸入與假設!$C$217-450)/100*0.004,輸入與假設!D$224)</f>
        <v>0.095</v>
      </c>
      <c r="E20" s="35" t="n">
        <f aca="false">IF(輸入與假設!$C$218=1,輸入與假設!E$224+MAX(0,輸入與假設!$C$217-450)/100*0.004,輸入與假設!E$224)</f>
        <v>0.095</v>
      </c>
      <c r="F20" s="35" t="n">
        <f aca="false">IF(輸入與假設!$C$218=1,輸入與假設!F$224+MAX(0,輸入與假設!$C$217-450)/100*0.004,輸入與假設!F$224)</f>
        <v>0.095</v>
      </c>
      <c r="G20" s="35" t="n">
        <f aca="false">IF(輸入與假設!$C$218=1,輸入與假設!G$224+MAX(0,輸入與假設!$C$217-450)/100*0.004,輸入與假設!G$224)</f>
        <v>0.095</v>
      </c>
      <c r="I20" s="11" t="s">
        <v>837</v>
      </c>
    </row>
    <row r="21" customFormat="false" ht="15" hidden="false" customHeight="false" outlineLevel="1" collapsed="false">
      <c r="A21" s="3" t="s">
        <v>838</v>
      </c>
      <c r="B21" s="11" t="s">
        <v>59</v>
      </c>
      <c r="C21" s="32" t="n">
        <f aca="false">C88</f>
        <v>0</v>
      </c>
      <c r="D21" s="32" t="n">
        <f aca="false">D88</f>
        <v>3.10316756930517</v>
      </c>
      <c r="E21" s="32" t="n">
        <f aca="false">E88</f>
        <v>6.89816756930517</v>
      </c>
      <c r="F21" s="32" t="n">
        <f aca="false">F88</f>
        <v>11.9873597358035</v>
      </c>
      <c r="G21" s="32" t="n">
        <f aca="false">G88</f>
        <v>17.0104748963675</v>
      </c>
      <c r="I21" s="6" t="s">
        <v>839</v>
      </c>
    </row>
    <row r="22" customFormat="false" ht="15" hidden="false" customHeight="false" outlineLevel="1" collapsed="false">
      <c r="A22" s="3" t="s">
        <v>840</v>
      </c>
      <c r="B22" s="11" t="s">
        <v>59</v>
      </c>
      <c r="C22" s="32" t="n">
        <f aca="false">C18+C21</f>
        <v>13.5867264456522</v>
      </c>
      <c r="D22" s="32" t="n">
        <f aca="false">D18+D21</f>
        <v>54.2321263301747</v>
      </c>
      <c r="E22" s="32" t="n">
        <f aca="false">E18+E21</f>
        <v>50.734899023814</v>
      </c>
      <c r="F22" s="32" t="n">
        <f aca="false">F18+F21</f>
        <v>52.0671747466731</v>
      </c>
      <c r="G22" s="32" t="n">
        <f aca="false">G18+G21</f>
        <v>53.5965974982194</v>
      </c>
    </row>
    <row r="23" customFormat="false" ht="15" hidden="false" customHeight="false" outlineLevel="1" collapsed="false">
      <c r="A23" s="4" t="s">
        <v>841</v>
      </c>
      <c r="B23" s="11" t="s">
        <v>59</v>
      </c>
      <c r="C23" s="32" t="n">
        <f aca="false">輸入與假設!$C$294+輸入與假設!C$158</f>
        <v>0</v>
      </c>
      <c r="D23" s="32" t="n">
        <f aca="false">輸入與假設!D$158</f>
        <v>0</v>
      </c>
      <c r="E23" s="32" t="n">
        <f aca="false">輸入與假設!E$158</f>
        <v>0</v>
      </c>
      <c r="F23" s="32" t="n">
        <f aca="false">輸入與假設!F$158</f>
        <v>0</v>
      </c>
      <c r="G23" s="32" t="n">
        <f aca="false">輸入與假設!G$158</f>
        <v>0</v>
      </c>
      <c r="I23" s="11" t="s">
        <v>842</v>
      </c>
    </row>
    <row r="24" customFormat="false" ht="15" hidden="false" customHeight="false" outlineLevel="1" collapsed="false">
      <c r="A24" s="3" t="s">
        <v>843</v>
      </c>
      <c r="B24" s="11" t="s">
        <v>59</v>
      </c>
      <c r="C24" s="32" t="n">
        <f aca="false">輸入與假設!$C$309+4*輸入與假設!$C$202*運營_產能與收入!C7*(輸入與假設!$C$203+0+SUMPRODUCT(資產負債_既有債務!$D$20:$D$21*資產負債_既有債務!$H$15:$H$16*(資產負債_既有債務!$G$15:$G$16&lt;0)))+輸入與假設!C$222</f>
        <v>0</v>
      </c>
      <c r="D24" s="32" t="n">
        <f aca="false">4*輸入與假設!$C$202*運營_產能與收入!D7*(輸入與假設!$C$203+C91+SUMPRODUCT(資產負債_既有債務!$D$20:$D$21*資產負債_既有債務!$H$15:$H$16*(資產負債_既有債務!$G$15:$G$16&lt;1)))+輸入與假設!D$222</f>
        <v>0</v>
      </c>
      <c r="E24" s="32" t="n">
        <f aca="false">4*輸入與假設!$C$202*運營_產能與收入!E7*(輸入與假設!$C$203+D91+SUMPRODUCT(資產負債_既有債務!$D$20:$D$21*資產負債_既有債務!$H$15:$H$16*(資產負債_既有債務!$G$15:$G$16&lt;2)))+輸入與假設!E$222</f>
        <v>0</v>
      </c>
      <c r="F24" s="32" t="n">
        <f aca="false">4*輸入與假設!$C$202*運營_產能與收入!F7*(輸入與假設!$C$203+E91+SUMPRODUCT(資產負債_既有債務!$D$20:$D$21*資產負債_既有債務!$H$15:$H$16*(資產負債_既有債務!$G$15:$G$16&lt;3)))+輸入與假設!F$222</f>
        <v>0</v>
      </c>
      <c r="G24" s="32" t="n">
        <f aca="false">4*輸入與假設!$C$202*運營_產能與收入!G7*(輸入與假設!$C$203+F91+SUMPRODUCT(資產負債_既有債務!$D$20:$D$21*資產負債_既有債務!$H$15:$H$16*(資產負債_既有債務!$G$15:$G$16&lt;4)))+輸入與假設!G$222</f>
        <v>0</v>
      </c>
      <c r="I24" s="6" t="s">
        <v>844</v>
      </c>
    </row>
    <row r="25" customFormat="false" ht="15" hidden="false" customHeight="false" outlineLevel="1" collapsed="false">
      <c r="A25" s="3" t="s">
        <v>845</v>
      </c>
      <c r="B25" s="11" t="s">
        <v>59</v>
      </c>
      <c r="C25" s="32" t="n">
        <f aca="false">IF(輸入與假設!$C$130=1,運營_產能與收入!C9*8760*輸入與假設!C$132*輸入與假設!C$131/1000000*運營_產能與收入!C7,0)</f>
        <v>0</v>
      </c>
      <c r="D25" s="32" t="n">
        <f aca="false">IF(輸入與假設!$C$130=1,運營_產能與收入!D9*8760*輸入與假設!D$132*輸入與假設!D$131/1000000*運營_產能與收入!D7,0)</f>
        <v>0</v>
      </c>
      <c r="E25" s="32" t="n">
        <f aca="false">IF(輸入與假設!$C$130=1,運營_產能與收入!E9*8760*輸入與假設!E$132*輸入與假設!E$131/1000000*運營_產能與收入!E7,0)</f>
        <v>0</v>
      </c>
      <c r="F25" s="32" t="n">
        <f aca="false">IF(輸入與假設!$C$130=1,運營_產能與收入!F9*8760*輸入與假設!F$132*輸入與假設!F$131/1000000*運營_產能與收入!F7,0)</f>
        <v>0</v>
      </c>
      <c r="G25" s="32" t="n">
        <f aca="false">IF(輸入與假設!$C$130=1,運營_產能與收入!G9*8760*輸入與假設!G$132*輸入與假設!G$131/1000000*運營_產能與收入!G7,0)</f>
        <v>0</v>
      </c>
      <c r="I25" s="6" t="s">
        <v>846</v>
      </c>
    </row>
    <row r="26" customFormat="false" ht="15" hidden="false" customHeight="false" outlineLevel="1" collapsed="false">
      <c r="A26" s="3" t="s">
        <v>847</v>
      </c>
      <c r="B26" s="11" t="s">
        <v>59</v>
      </c>
      <c r="C26" s="32" t="n">
        <f aca="false">IF(輸入與假設!$C$130=1,運營_產能與收入!C9*輸入與假設!C$133*運營_產能與收入!C7,0)</f>
        <v>0</v>
      </c>
      <c r="D26" s="32" t="n">
        <f aca="false">IF(輸入與假設!$C$130=1,運營_產能與收入!D9*輸入與假設!D$133*運營_產能與收入!D7,0)</f>
        <v>0</v>
      </c>
      <c r="E26" s="32" t="n">
        <f aca="false">IF(輸入與假設!$C$130=1,運營_產能與收入!E9*輸入與假設!E$133*運營_產能與收入!E7,0)</f>
        <v>0</v>
      </c>
      <c r="F26" s="32" t="n">
        <f aca="false">IF(輸入與假設!$C$130=1,運營_產能與收入!F9*輸入與假設!F$133*運營_產能與收入!F7,0)</f>
        <v>0</v>
      </c>
      <c r="G26" s="32" t="n">
        <f aca="false">IF(輸入與假設!$C$130=1,運營_產能與收入!G9*輸入與假設!G$133*運營_產能與收入!G7,0)</f>
        <v>0</v>
      </c>
    </row>
    <row r="27" customFormat="false" ht="15" hidden="false" customHeight="false" outlineLevel="1" collapsed="false">
      <c r="A27" s="3" t="s">
        <v>848</v>
      </c>
      <c r="B27" s="11" t="s">
        <v>59</v>
      </c>
      <c r="C27" s="32" t="n">
        <f aca="false">輸入與假設!$C$296+IF(輸入與假設!$C$197=1,輸入與假設!C$223,0)+資產負債_既有債務!C32+資產負債_既有債務!C43</f>
        <v>17.972</v>
      </c>
      <c r="D27" s="32" t="n">
        <f aca="false">IF(輸入與假設!$C$197=1,輸入與假設!D$223,0)+資產負債_既有債務!D32+資產負債_既有債務!D43</f>
        <v>90.747</v>
      </c>
      <c r="E27" s="32" t="n">
        <f aca="false">IF(輸入與假設!$C$197=1,輸入與假設!E$223,0)+資產負債_既有債務!E32+資產負債_既有債務!E43</f>
        <v>36.9595</v>
      </c>
      <c r="F27" s="32" t="n">
        <f aca="false">IF(輸入與假設!$C$197=1,輸入與假設!F$223,0)+資產負債_既有債務!F32+資產負債_既有債務!F43</f>
        <v>51.6715</v>
      </c>
      <c r="G27" s="32" t="n">
        <f aca="false">IF(輸入與假設!$C$197=1,輸入與假設!G$223,0)+資產負債_既有債務!G32+資產負債_既有債務!G43</f>
        <v>30.7125</v>
      </c>
      <c r="I27" s="11" t="s">
        <v>849</v>
      </c>
    </row>
    <row r="28" customFormat="false" ht="15" hidden="false" customHeight="false" outlineLevel="1" collapsed="false">
      <c r="A28" s="4" t="s">
        <v>850</v>
      </c>
      <c r="B28" s="11" t="s">
        <v>59</v>
      </c>
      <c r="C28" s="32" t="n">
        <f aca="false">輸入與假設!$C$297</f>
        <v>120</v>
      </c>
      <c r="D28" s="32" t="n">
        <f aca="false">0</f>
        <v>0</v>
      </c>
      <c r="E28" s="32" t="n">
        <f aca="false">0</f>
        <v>0</v>
      </c>
      <c r="F28" s="32" t="n">
        <f aca="false">0</f>
        <v>0</v>
      </c>
      <c r="G28" s="32" t="n">
        <f aca="false">0</f>
        <v>0</v>
      </c>
      <c r="I28" s="6" t="s">
        <v>851</v>
      </c>
    </row>
    <row r="29" customFormat="false" ht="15" hidden="false" customHeight="false" outlineLevel="1" collapsed="false">
      <c r="A29" s="3" t="s">
        <v>852</v>
      </c>
      <c r="B29" s="11" t="s">
        <v>59</v>
      </c>
      <c r="C29" s="32" t="n">
        <f aca="false">輸入與假設!$C$216*MAX(0,運營_產能與收入!C50*輸入與假設!C$127+輸入與假設!C$51+輸入與假設!C$117-運營_產能與收入!C74-輸入與假設!C$176-輸入與假設!C$225)</f>
        <v>0</v>
      </c>
      <c r="D29" s="32" t="n">
        <f aca="false">輸入與假設!$C$216*MAX(0,運營_產能與收入!D50*輸入與假設!D$127+輸入與假設!D$51+輸入與假設!D$117-運營_產能與收入!D74-輸入與假設!D$176-輸入與假設!D$225)</f>
        <v>0</v>
      </c>
      <c r="E29" s="32" t="n">
        <f aca="false">輸入與假設!$C$216*MAX(0,運營_產能與收入!E50*輸入與假設!E$127+輸入與假設!E$51+輸入與假設!E$117-運營_產能與收入!E74-輸入與假設!E$176-輸入與假設!E$225)</f>
        <v>0</v>
      </c>
      <c r="F29" s="32" t="n">
        <f aca="false">輸入與假設!$C$216*MAX(0,運營_產能與收入!F50*輸入與假設!F$127+輸入與假設!F$51+輸入與假設!F$117-運營_產能與收入!F74-輸入與假設!F$176-輸入與假設!F$225)</f>
        <v>0</v>
      </c>
      <c r="G29" s="32" t="n">
        <f aca="false">輸入與假設!$C$216*MAX(0,運營_產能與收入!G50*輸入與假設!G$127+輸入與假設!G$51+輸入與假設!G$117-運營_產能與收入!G74-輸入與假設!G$176-輸入與假設!G$225)</f>
        <v>3.91196280272828</v>
      </c>
      <c r="I29" s="6" t="s">
        <v>853</v>
      </c>
    </row>
    <row r="30" customFormat="false" ht="15" hidden="false" customHeight="false" outlineLevel="1" collapsed="false">
      <c r="A30" s="2" t="s">
        <v>854</v>
      </c>
      <c r="B30" s="11" t="s">
        <v>59</v>
      </c>
      <c r="C30" s="39" t="n">
        <f aca="false">C13+C17+C22+C23+C25+C26+C27+C28+C29+C24</f>
        <v>635.419191251705</v>
      </c>
      <c r="D30" s="39" t="n">
        <f aca="false">D13+D17+D22+D23+D25+D26+D27+D28+D29+D24</f>
        <v>613.566249854927</v>
      </c>
      <c r="E30" s="39" t="n">
        <f aca="false">E13+E17+E22+E23+E25+E26+E27+E28+E29+E24</f>
        <v>192.221645604216</v>
      </c>
      <c r="F30" s="39" t="n">
        <f aca="false">F13+F17+F22+F23+F25+F26+F27+F28+F29+F24</f>
        <v>226.277611518855</v>
      </c>
      <c r="G30" s="39" t="n">
        <f aca="false">G13+G17+G22+G23+G25+G26+G27+G28+G29+G24</f>
        <v>278.517900153351</v>
      </c>
      <c r="I30" s="11" t="s">
        <v>855</v>
      </c>
    </row>
    <row r="31" customFormat="false" ht="15" hidden="false" customHeight="false" outlineLevel="0" collapsed="false">
      <c r="A31" s="50" t="s">
        <v>856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857</v>
      </c>
      <c r="B32" s="11" t="s">
        <v>59</v>
      </c>
      <c r="C32" s="43" t="n">
        <f aca="false">輸入與假設!$C$291</f>
        <v>89.105</v>
      </c>
      <c r="D32" s="43" t="n">
        <f aca="false">0</f>
        <v>0</v>
      </c>
      <c r="E32" s="43" t="n">
        <f aca="false">0</f>
        <v>0</v>
      </c>
      <c r="F32" s="43" t="n">
        <f aca="false">0</f>
        <v>0</v>
      </c>
      <c r="G32" s="43" t="n">
        <f aca="false">0</f>
        <v>0</v>
      </c>
      <c r="I32" s="6" t="s">
        <v>858</v>
      </c>
    </row>
    <row r="33" customFormat="false" ht="15" hidden="false" customHeight="false" outlineLevel="1" collapsed="false">
      <c r="A33" s="4" t="s">
        <v>859</v>
      </c>
      <c r="B33" s="11" t="s">
        <v>59</v>
      </c>
      <c r="C33" s="43" t="n">
        <f aca="false">運營_產能與收入!C52</f>
        <v>-0.362447154001653</v>
      </c>
      <c r="D33" s="43" t="n">
        <f aca="false">運營_產能與收入!D52</f>
        <v>4.77108329030006</v>
      </c>
      <c r="E33" s="43" t="n">
        <f aca="false">運營_產能與收入!E52</f>
        <v>2.43002370918344</v>
      </c>
      <c r="F33" s="43" t="n">
        <f aca="false">運營_產能與收入!F52</f>
        <v>0</v>
      </c>
      <c r="G33" s="43" t="n">
        <f aca="false">運營_產能與收入!G52</f>
        <v>0</v>
      </c>
    </row>
    <row r="34" customFormat="false" ht="15" hidden="false" customHeight="false" outlineLevel="1" collapsed="false">
      <c r="A34" s="3" t="s">
        <v>860</v>
      </c>
      <c r="B34" s="11" t="s">
        <v>59</v>
      </c>
      <c r="C34" s="43" t="n">
        <f aca="false">運營_產能與收入!C53</f>
        <v>-0.197870152088101</v>
      </c>
      <c r="D34" s="43" t="n">
        <f aca="false">運營_產能與收入!D53</f>
        <v>9.1894887574784</v>
      </c>
      <c r="E34" s="43" t="n">
        <f aca="false">運營_產能與收入!E53</f>
        <v>41.4032974137638</v>
      </c>
      <c r="F34" s="43" t="n">
        <f aca="false">運營_產能與收入!F53</f>
        <v>81.8388289921375</v>
      </c>
      <c r="G34" s="43" t="n">
        <f aca="false">運營_產能與收入!G53</f>
        <v>128.637653011286</v>
      </c>
    </row>
    <row r="35" customFormat="false" ht="15" hidden="false" customHeight="false" outlineLevel="1" collapsed="false">
      <c r="A35" s="3" t="s">
        <v>861</v>
      </c>
      <c r="B35" s="11" t="s">
        <v>59</v>
      </c>
      <c r="C35" s="43" t="n">
        <f aca="false">輸入與假設!C$128</f>
        <v>-0</v>
      </c>
      <c r="D35" s="43" t="n">
        <f aca="false">輸入與假設!D$128</f>
        <v>0</v>
      </c>
      <c r="E35" s="43" t="n">
        <f aca="false">輸入與假設!E$128</f>
        <v>0</v>
      </c>
      <c r="F35" s="43" t="n">
        <f aca="false">輸入與假設!F$128</f>
        <v>0</v>
      </c>
      <c r="G35" s="43" t="n">
        <f aca="false">輸入與假設!G$128</f>
        <v>0</v>
      </c>
    </row>
    <row r="36" customFormat="false" ht="15" hidden="false" customHeight="false" outlineLevel="1" collapsed="false">
      <c r="A36" s="4" t="s">
        <v>862</v>
      </c>
      <c r="B36" s="11" t="s">
        <v>59</v>
      </c>
      <c r="C36" s="43" t="n">
        <f aca="false">輸入與假設!C$51</f>
        <v>0</v>
      </c>
      <c r="D36" s="43" t="n">
        <f aca="false">輸入與假設!D$51</f>
        <v>0</v>
      </c>
      <c r="E36" s="43" t="n">
        <f aca="false">輸入與假設!E$51</f>
        <v>0</v>
      </c>
      <c r="F36" s="43" t="n">
        <f aca="false">輸入與假設!F$51</f>
        <v>0</v>
      </c>
      <c r="G36" s="43" t="n">
        <f aca="false">輸入與假設!G$51</f>
        <v>0</v>
      </c>
      <c r="I36" s="6" t="s">
        <v>863</v>
      </c>
    </row>
    <row r="37" customFormat="false" ht="15" hidden="false" customHeight="false" outlineLevel="1" collapsed="false">
      <c r="A37" s="4" t="s">
        <v>864</v>
      </c>
      <c r="B37" s="11" t="s">
        <v>59</v>
      </c>
      <c r="C37" s="43" t="n">
        <f aca="false">輸入與假設!C$117</f>
        <v>19.7807626030717</v>
      </c>
      <c r="D37" s="43" t="n">
        <f aca="false">輸入與假設!D$117</f>
        <v>55.6856329673916</v>
      </c>
      <c r="E37" s="43" t="n">
        <f aca="false">輸入與假設!E$117</f>
        <v>88.5732688314977</v>
      </c>
      <c r="F37" s="43" t="n">
        <f aca="false">輸入與假設!F$117</f>
        <v>105.637462501631</v>
      </c>
      <c r="G37" s="43" t="n">
        <f aca="false">輸入與假設!G$117</f>
        <v>114.072229376767</v>
      </c>
      <c r="I37" s="11" t="s">
        <v>865</v>
      </c>
    </row>
    <row r="38" customFormat="false" ht="15" hidden="false" customHeight="false" outlineLevel="1" collapsed="false">
      <c r="A38" s="4" t="s">
        <v>866</v>
      </c>
      <c r="B38" s="11" t="s">
        <v>59</v>
      </c>
      <c r="C38" s="32" t="n">
        <f aca="false">-運營_產能與收入!C74</f>
        <v>-0</v>
      </c>
      <c r="D38" s="32" t="n">
        <f aca="false">-運營_產能與收入!D74</f>
        <v>-0</v>
      </c>
      <c r="E38" s="32" t="n">
        <f aca="false">-運營_產能與收入!E74</f>
        <v>-0</v>
      </c>
      <c r="F38" s="32" t="n">
        <f aca="false">-運營_產能與收入!F74</f>
        <v>-0</v>
      </c>
      <c r="G38" s="32" t="n">
        <f aca="false">-運營_產能與收入!G74</f>
        <v>-0</v>
      </c>
      <c r="I38" s="6" t="s">
        <v>867</v>
      </c>
    </row>
    <row r="39" customFormat="false" ht="15" hidden="false" customHeight="false" outlineLevel="1" collapsed="false">
      <c r="A39" s="3" t="s">
        <v>868</v>
      </c>
      <c r="B39" s="11" t="s">
        <v>59</v>
      </c>
      <c r="C39" s="32" t="n">
        <f aca="false">C8</f>
        <v>26.9918081817142</v>
      </c>
      <c r="D39" s="32" t="n">
        <f aca="false">D8</f>
        <v>89.699685374376</v>
      </c>
      <c r="E39" s="32" t="n">
        <f aca="false">E8</f>
        <v>10.99721322</v>
      </c>
      <c r="F39" s="32" t="n">
        <f aca="false">F8</f>
        <v>11.83970088</v>
      </c>
      <c r="G39" s="32" t="n">
        <f aca="false">G8</f>
        <v>7.695805572</v>
      </c>
    </row>
    <row r="40" customFormat="false" ht="15" hidden="false" customHeight="false" outlineLevel="1" collapsed="false">
      <c r="A40" s="4" t="s">
        <v>869</v>
      </c>
      <c r="B40" s="11" t="s">
        <v>59</v>
      </c>
      <c r="C40" s="32" t="n">
        <f aca="false">-C11</f>
        <v>-8.944375</v>
      </c>
      <c r="D40" s="32" t="n">
        <f aca="false">-D11</f>
        <v>-20.1446791477143</v>
      </c>
      <c r="E40" s="32" t="n">
        <f aca="false">-E11</f>
        <v>-28.839054926047</v>
      </c>
      <c r="F40" s="32" t="n">
        <f aca="false">-F11</f>
        <v>-26.6088247127911</v>
      </c>
      <c r="G40" s="32" t="n">
        <f aca="false">-G11</f>
        <v>-24.7626842336922</v>
      </c>
      <c r="I40" s="6" t="s">
        <v>870</v>
      </c>
    </row>
    <row r="41" customFormat="false" ht="15" hidden="false" customHeight="false" outlineLevel="1" collapsed="false">
      <c r="A41" s="2" t="s">
        <v>871</v>
      </c>
      <c r="B41" s="11" t="s">
        <v>59</v>
      </c>
      <c r="C41" s="39" t="n">
        <f aca="false">C32+C33+C34+C35+C36+C37+C38+C39+C40</f>
        <v>126.372878478696</v>
      </c>
      <c r="D41" s="39" t="n">
        <f aca="false">D32+D33+D34+D35+D36+D37+D38+D39+D40</f>
        <v>139.201211241832</v>
      </c>
      <c r="E41" s="39" t="n">
        <f aca="false">E32+E33+E34+E35+E36+E37+E38+E39+E40</f>
        <v>114.564748248398</v>
      </c>
      <c r="F41" s="39" t="n">
        <f aca="false">F32+F33+F34+F35+F36+F37+F38+F39+F40</f>
        <v>172.707167660978</v>
      </c>
      <c r="G41" s="39" t="n">
        <f aca="false">G32+G33+G34+G35+G36+G37+G38+G39+G40</f>
        <v>225.643003726361</v>
      </c>
    </row>
    <row r="42" customFormat="false" ht="15" hidden="false" customHeight="false" outlineLevel="1" collapsed="false">
      <c r="A42" s="3" t="s">
        <v>872</v>
      </c>
      <c r="B42" s="11" t="s">
        <v>59</v>
      </c>
      <c r="C42" s="32" t="n">
        <f aca="false">輸入與假設!$C$298+IF(輸入與假設!$C$187=1,輸入與假設!$C$186,0)+SUM(輸入與假設!$C$181:$C$184)</f>
        <v>217.961</v>
      </c>
      <c r="D42" s="32" t="n">
        <f aca="false">0</f>
        <v>0</v>
      </c>
      <c r="E42" s="32" t="n">
        <f aca="false">0</f>
        <v>0</v>
      </c>
      <c r="F42" s="32" t="n">
        <f aca="false">0</f>
        <v>0</v>
      </c>
      <c r="G42" s="32" t="n">
        <f aca="false">0</f>
        <v>0</v>
      </c>
      <c r="I42" s="11" t="s">
        <v>873</v>
      </c>
    </row>
    <row r="43" customFormat="false" ht="15" hidden="false" customHeight="false" outlineLevel="1" collapsed="false">
      <c r="A43" s="4" t="s">
        <v>874</v>
      </c>
      <c r="B43" s="11" t="s">
        <v>59</v>
      </c>
      <c r="C43" s="43" t="n">
        <f aca="false">輸入與假設!$C$295</f>
        <v>304.526</v>
      </c>
      <c r="D43" s="43" t="n">
        <f aca="false">0</f>
        <v>0</v>
      </c>
      <c r="E43" s="43" t="n">
        <f aca="false">0</f>
        <v>0</v>
      </c>
      <c r="F43" s="43" t="n">
        <f aca="false">0</f>
        <v>0</v>
      </c>
      <c r="G43" s="43" t="n">
        <f aca="false">0</f>
        <v>0</v>
      </c>
      <c r="I43" s="6" t="s">
        <v>875</v>
      </c>
    </row>
    <row r="44" customFormat="false" ht="15" hidden="false" customHeight="false" outlineLevel="1" collapsed="false">
      <c r="A44" s="4" t="s">
        <v>876</v>
      </c>
      <c r="B44" s="11" t="s">
        <v>59</v>
      </c>
      <c r="C44" s="43" t="n">
        <f aca="false">資產負債_既有債務!C42</f>
        <v>0</v>
      </c>
      <c r="D44" s="43" t="n">
        <f aca="false">資產負債_既有債務!D42</f>
        <v>307.125</v>
      </c>
      <c r="E44" s="43" t="n">
        <f aca="false">資產負債_既有債務!E42</f>
        <v>0</v>
      </c>
      <c r="F44" s="43" t="n">
        <f aca="false">資產負債_既有債務!F42</f>
        <v>0</v>
      </c>
      <c r="G44" s="43" t="n">
        <f aca="false">資產負債_既有債務!G42</f>
        <v>0</v>
      </c>
      <c r="I44" s="6" t="s">
        <v>877</v>
      </c>
    </row>
    <row r="45" customFormat="false" ht="15" hidden="false" customHeight="false" outlineLevel="1" collapsed="false">
      <c r="A45" s="3" t="s">
        <v>878</v>
      </c>
      <c r="B45" s="11" t="s">
        <v>59</v>
      </c>
      <c r="C45" s="32" t="n">
        <f aca="false">C80</f>
        <v>0</v>
      </c>
      <c r="D45" s="32" t="n">
        <f aca="false">D80</f>
        <v>20</v>
      </c>
      <c r="E45" s="32" t="n">
        <f aca="false">E80</f>
        <v>0</v>
      </c>
      <c r="F45" s="32" t="n">
        <f aca="false">F80</f>
        <v>53.5704438578771</v>
      </c>
      <c r="G45" s="32" t="n">
        <f aca="false">G80</f>
        <v>52.8748964269896</v>
      </c>
      <c r="I45" s="6" t="s">
        <v>879</v>
      </c>
    </row>
    <row r="46" customFormat="false" ht="15" hidden="false" customHeight="false" outlineLevel="1" collapsed="false">
      <c r="A46" s="4" t="s">
        <v>880</v>
      </c>
      <c r="B46" s="11" t="s">
        <v>59</v>
      </c>
      <c r="C46" s="32" t="n">
        <f aca="false">C83</f>
        <v>0</v>
      </c>
      <c r="D46" s="32" t="n">
        <f aca="false">D83</f>
        <v>24.0633513861034</v>
      </c>
      <c r="E46" s="32" t="n">
        <f aca="false">E83</f>
        <v>75.9</v>
      </c>
      <c r="F46" s="32" t="n">
        <f aca="false">F83</f>
        <v>0</v>
      </c>
      <c r="G46" s="32" t="n">
        <f aca="false">G83</f>
        <v>0</v>
      </c>
      <c r="I46" s="6" t="s">
        <v>881</v>
      </c>
    </row>
    <row r="47" customFormat="false" ht="15" hidden="false" customHeight="false" outlineLevel="1" collapsed="false">
      <c r="A47" s="3" t="s">
        <v>882</v>
      </c>
      <c r="B47" s="11" t="s">
        <v>59</v>
      </c>
      <c r="C47" s="32" t="n">
        <f aca="false">C86</f>
        <v>0</v>
      </c>
      <c r="D47" s="32" t="n">
        <f aca="false">D86</f>
        <v>0</v>
      </c>
      <c r="E47" s="32" t="n">
        <f aca="false">E86</f>
        <v>1.7568973558177</v>
      </c>
      <c r="F47" s="32" t="n">
        <f aca="false">F86</f>
        <v>0</v>
      </c>
      <c r="G47" s="32" t="n">
        <f aca="false">G86</f>
        <v>0</v>
      </c>
      <c r="I47" s="6" t="s">
        <v>883</v>
      </c>
    </row>
    <row r="48" customFormat="false" ht="15" hidden="false" customHeight="false" outlineLevel="1" collapsed="false">
      <c r="A48" s="3" t="s">
        <v>884</v>
      </c>
      <c r="B48" s="11" t="s">
        <v>59</v>
      </c>
      <c r="C48" s="32" t="n">
        <f aca="false">C87</f>
        <v>0</v>
      </c>
      <c r="D48" s="32" t="n">
        <f aca="false">D87</f>
        <v>0</v>
      </c>
      <c r="E48" s="32" t="n">
        <f aca="false">E87</f>
        <v>0</v>
      </c>
      <c r="F48" s="32" t="n">
        <f aca="false">F87</f>
        <v>0</v>
      </c>
      <c r="G48" s="32" t="n">
        <f aca="false">G87</f>
        <v>0</v>
      </c>
      <c r="I48" s="6" t="s">
        <v>885</v>
      </c>
    </row>
    <row r="49" customFormat="false" ht="15" hidden="false" customHeight="false" outlineLevel="1" collapsed="false">
      <c r="A49" s="2" t="s">
        <v>886</v>
      </c>
      <c r="B49" s="11" t="s">
        <v>59</v>
      </c>
      <c r="C49" s="39" t="n">
        <f aca="false">C41+C42+C43+C44+C45+C46+C47+C48</f>
        <v>648.859878478696</v>
      </c>
      <c r="D49" s="39" t="n">
        <f aca="false">D41+D42+D43+D44+D45+D46+D47+D48</f>
        <v>490.389562627935</v>
      </c>
      <c r="E49" s="39" t="n">
        <f aca="false">E41+E42+E43+E44+E45+E46+E47+E48</f>
        <v>192.221645604216</v>
      </c>
      <c r="F49" s="39" t="n">
        <f aca="false">F41+F42+F43+F44+F45+F46+F47+F48</f>
        <v>226.277611518855</v>
      </c>
      <c r="G49" s="39" t="n">
        <f aca="false">G41+G42+G43+G44+G45+G46+G47+G48</f>
        <v>278.517900153351</v>
      </c>
    </row>
    <row r="50" customFormat="false" ht="15" hidden="false" customHeight="false" outlineLevel="0" collapsed="false">
      <c r="A50" s="50" t="s">
        <v>887</v>
      </c>
      <c r="B50" s="8"/>
      <c r="C50" s="8"/>
      <c r="D50" s="8"/>
      <c r="E50" s="8"/>
      <c r="F50" s="8"/>
      <c r="G50" s="8"/>
      <c r="H50" s="8"/>
    </row>
    <row r="51" customFormat="false" ht="15" hidden="false" customHeight="false" outlineLevel="1" collapsed="false">
      <c r="A51" s="3" t="s">
        <v>888</v>
      </c>
      <c r="B51" s="11" t="s">
        <v>59</v>
      </c>
      <c r="C51" s="32" t="n">
        <f aca="false">輸入與假設!$C$185-(輸入與假設!$C$290+輸入與假設!$C$291+輸入與假設!$C$295+輸入與假設!$C$298-輸入與假設!$C$292-輸入與假設!$C$294-輸入與假設!$C$296-輸入與假設!$C$297-輸入與假設!$C$309)</f>
        <v>25.295</v>
      </c>
      <c r="D51" s="32" t="n">
        <f aca="false">0</f>
        <v>0</v>
      </c>
      <c r="E51" s="32" t="n">
        <f aca="false">0</f>
        <v>0</v>
      </c>
      <c r="F51" s="32" t="n">
        <f aca="false">0</f>
        <v>0</v>
      </c>
      <c r="G51" s="32" t="n">
        <f aca="false">0</f>
        <v>0</v>
      </c>
      <c r="I51" s="6" t="s">
        <v>889</v>
      </c>
    </row>
    <row r="52" customFormat="false" ht="15" hidden="false" customHeight="false" outlineLevel="1" collapsed="false">
      <c r="A52" s="2" t="s">
        <v>890</v>
      </c>
      <c r="B52" s="11" t="s">
        <v>59</v>
      </c>
      <c r="C52" s="39" t="n">
        <f aca="false">C41-(C30-C27-C28)</f>
        <v>-371.074312773009</v>
      </c>
      <c r="D52" s="39" t="n">
        <f aca="false">D41-(D30-D27-D28)</f>
        <v>-383.618038613095</v>
      </c>
      <c r="E52" s="39" t="n">
        <f aca="false">E41-(E30-E27-E28)</f>
        <v>-40.6973973558178</v>
      </c>
      <c r="F52" s="39" t="n">
        <f aca="false">F41-(F30-F27-F28)</f>
        <v>-1.8989438578771</v>
      </c>
      <c r="G52" s="39" t="n">
        <f aca="false">G41-(G30-G27-G28)</f>
        <v>-22.1623964269896</v>
      </c>
      <c r="I52" s="6" t="s">
        <v>891</v>
      </c>
    </row>
    <row r="53" customFormat="false" ht="15" hidden="false" customHeight="false" outlineLevel="1" collapsed="false">
      <c r="A53" s="3" t="s">
        <v>892</v>
      </c>
      <c r="B53" s="11" t="s">
        <v>59</v>
      </c>
      <c r="C53" s="32" t="n">
        <f aca="false">C49-C30+C51</f>
        <v>38.7356872269913</v>
      </c>
      <c r="D53" s="32" t="n">
        <f aca="false">D49-D30+D51</f>
        <v>-123.176687226991</v>
      </c>
      <c r="E53" s="32" t="n">
        <f aca="false">E49-E30+E51</f>
        <v>0</v>
      </c>
      <c r="F53" s="32" t="n">
        <f aca="false">F49-F30+F51</f>
        <v>0</v>
      </c>
      <c r="G53" s="32" t="n">
        <f aca="false">G49-G30+G51</f>
        <v>0</v>
      </c>
    </row>
    <row r="54" customFormat="false" ht="15" hidden="false" customHeight="false" outlineLevel="1" collapsed="false">
      <c r="A54" s="2" t="s">
        <v>893</v>
      </c>
      <c r="B54" s="11" t="s">
        <v>59</v>
      </c>
      <c r="C54" s="39" t="n">
        <f aca="false">C19+C53</f>
        <v>153.176687226991</v>
      </c>
      <c r="D54" s="39" t="n">
        <f aca="false">D19+D53</f>
        <v>30.0000000000001</v>
      </c>
      <c r="E54" s="39" t="n">
        <f aca="false">E19+E53</f>
        <v>30.0000000000001</v>
      </c>
      <c r="F54" s="39" t="n">
        <f aca="false">F19+F53</f>
        <v>30.0000000000001</v>
      </c>
      <c r="G54" s="39" t="n">
        <f aca="false">G19+G53</f>
        <v>30.0000000000001</v>
      </c>
      <c r="I54" s="6" t="s">
        <v>894</v>
      </c>
    </row>
    <row r="56" customFormat="false" ht="15" hidden="false" customHeight="false" outlineLevel="0" collapsed="false">
      <c r="A56" s="50" t="s">
        <v>895</v>
      </c>
      <c r="B56" s="8"/>
      <c r="C56" s="8"/>
      <c r="D56" s="8"/>
      <c r="E56" s="8"/>
      <c r="F56" s="8"/>
      <c r="G56" s="8"/>
      <c r="H56" s="8"/>
    </row>
    <row r="57" customFormat="false" ht="15" hidden="false" customHeight="false" outlineLevel="1" collapsed="false">
      <c r="A57" s="3" t="s">
        <v>896</v>
      </c>
      <c r="B57" s="11" t="s">
        <v>42</v>
      </c>
      <c r="C57" s="24" t="n">
        <v>0.083</v>
      </c>
      <c r="I57" s="11" t="s">
        <v>897</v>
      </c>
    </row>
    <row r="58" customFormat="false" ht="15" hidden="false" customHeight="false" outlineLevel="1" collapsed="false">
      <c r="A58" s="3" t="s">
        <v>898</v>
      </c>
      <c r="B58" s="6" t="s">
        <v>181</v>
      </c>
      <c r="C58" s="26" t="n">
        <v>3</v>
      </c>
      <c r="I58" s="6" t="s">
        <v>899</v>
      </c>
    </row>
    <row r="59" customFormat="false" ht="15" hidden="false" customHeight="false" outlineLevel="1" collapsed="false">
      <c r="A59" s="3" t="s">
        <v>900</v>
      </c>
      <c r="B59" s="11" t="s">
        <v>59</v>
      </c>
      <c r="C59" s="32" t="n">
        <f aca="false">輸入與假設!D$153*(1+各期收支!$C$57)^(-(運營_產能與收入!$D$63-運營_產能與收入!$D$7/2-運營_產能與收入!$C$63))+輸入與假設!E$153*(1+各期收支!$C$57)^(-(運營_產能與收入!$E$63-運營_產能與收入!$E$7/2-運營_產能與收入!$C$63))+輸入與假設!F$153*(1+各期收支!$C$57)^(-(運營_產能與收入!$F$63-運營_產能與收入!$F$7/2-運營_產能與收入!$C$63))+輸入與假設!G$153*(1+各期收支!$C$57)^(-(運營_產能與收入!$G$63-運營_產能與收入!$G$7/2-運營_產能與收入!$C$63))+5.76/各期收支!$C$58*(1+各期收支!$C$57)^0.5*(1-(1+各期收支!$C$57)^(-各期收支!$C$58))/各期收支!$C$57*(1+各期收支!$C$57)^(-(運營_產能與收入!$G$63-運營_產能與收入!$C$63))</f>
        <v>13.6941882557438</v>
      </c>
      <c r="D59" s="32" t="n">
        <f aca="false">輸入與假設!E$153*(1+各期收支!$C$57)^(-(運營_產能與收入!$E$63-運營_產能與收入!$E$7/2-運營_產能與收入!$D$63))+輸入與假設!F$153*(1+各期收支!$C$57)^(-(運營_產能與收入!$F$63-運營_產能與收入!$F$7/2-運營_產能與收入!$D$63))+輸入與假設!G$153*(1+各期收支!$C$57)^(-(運營_產能與收入!$G$63-運營_產能與收入!$G$7/2-運營_產能與收入!$D$63))+5.76/各期收支!$C$58*(1+各期收支!$C$57)^0.5*(1-(1+各期收支!$C$57)^(-各期收支!$C$58))/各期收支!$C$57*(1+各期收支!$C$57)^(-(運營_產能與收入!$G$63-運營_產能與收入!$D$63))</f>
        <v>10.3767260433385</v>
      </c>
      <c r="E59" s="32" t="n">
        <f aca="false">輸入與假設!F$153*(1+各期收支!$C$57)^(-(運營_產能與收入!$F$63-運營_產能與收入!$F$7/2-運營_產能與收入!$E$63))+輸入與假設!G$153*(1+各期收支!$C$57)^(-(運營_產能與收入!$G$63-運營_產能與收入!$G$7/2-運營_產能與收入!$E$63))+5.76/各期收支!$C$58*(1+各期收支!$C$57)^0.5*(1-(1+各期收支!$C$57)^(-各期收支!$C$58))/各期收支!$C$57*(1+各期收支!$C$57)^(-(運營_產能與收入!$G$63-運營_產能與收入!$E$63))</f>
        <v>8.67273570686018</v>
      </c>
      <c r="F59" s="32" t="n">
        <f aca="false">輸入與假設!G$153*(1+各期收支!$C$57)^(-(運營_產能與收入!$G$63-運營_產能與收入!$G$7/2-運營_產能與收入!$F$63))+5.76/各期收支!$C$58*(1+各期收支!$C$57)^0.5*(1-(1+各期收支!$C$57)^(-各期收支!$C$58))/各期收支!$C$57*(1+各期收支!$C$57)^(-(運營_產能與收入!$G$63-運營_產能與收入!$F$63))</f>
        <v>6.99486250279496</v>
      </c>
      <c r="G59" s="32" t="n">
        <f aca="false">5.76/各期收支!$C$58*(1+各期收支!$C$57)^0.5*(1-(1+各期收支!$C$57)^(-各期收支!$C$58))/各期收支!$C$57*(1+各期收支!$C$57)^(-(運營_產能與收入!$G$63-運營_產能與收入!$G$63))</f>
        <v>5.12152948839229</v>
      </c>
      <c r="I59" s="6" t="s">
        <v>901</v>
      </c>
    </row>
    <row r="60" customFormat="false" ht="15" hidden="false" customHeight="false" outlineLevel="1" collapsed="false">
      <c r="A60" s="3" t="s">
        <v>902</v>
      </c>
      <c r="B60" s="11" t="s">
        <v>59</v>
      </c>
      <c r="C60" s="32" t="n">
        <f aca="false">IF(OR(運營_產能與收入!$C$62&lt;=0,運營_產能與收入!$C$68&lt;=0),1*輸入與假設!$C$26/輸入與假設!$C$28/輸入與假設!$C$29/4/((1+各期收支!$C$57)^0.25-1)*(MIN(MAX(0,輸入與假設!C$154-(輸入與假設!$C$27)),輸入與假設!$C$28)-(1+各期收支!$C$57)^(-(4*輸入與假設!$C$29-MAX(0,輸入與假設!C$154-(輸入與假設!$C$27)))/4)*(1-(1+各期收支!$C$57)^(-MIN(MAX(0,輸入與假設!C$154-(輸入與假設!$C$27)),輸入與假設!$C$28)/4))/(1-(1+各期收支!$C$57)^(-0.25))),(1-運營_產能與收入!$C$68)*輸入與假設!$C$26/輸入與假設!$C$28/輸入與假設!$C$29/4/((1+各期收支!$C$57)^0.25-1)*(MIN(MAX(0,輸入與假設!C$154-(輸入與假設!$C$27)),輸入與假設!$C$28)-(1+各期收支!$C$57)^(-(4*輸入與假設!$C$29-MAX(0,輸入與假設!C$154-(輸入與假設!$C$27)))/4)*(1-(1+各期收支!$C$57)^(-MIN(MAX(0,輸入與假設!C$154-(輸入與假設!$C$27)),輸入與假設!$C$28)/4))/(1-(1+各期收支!$C$57)^(-0.25)))+運營_產能與收入!$C$68*輸入與假設!$C$26/輸入與假設!$C$28/輸入與假設!$C$29/4/((1+各期收支!$C$57)^0.25-1)*(MIN(MAX(0,輸入與假設!C$154-(輸入與假設!$C$27+運營_產能與收入!$C$62/3)),輸入與假設!$C$28)-(1+各期收支!$C$57)^(-(4*輸入與假設!$C$29-MAX(0,輸入與假設!C$154-(輸入與假設!$C$27+運營_產能與收入!$C$62/3)))/4)*(1-(1+各期收支!$C$57)^(-MIN(MAX(0,輸入與假設!C$154-(輸入與假設!$C$27+運營_產能與收入!$C$62/3)),輸入與假設!$C$28)/4))/(1-(1+各期收支!$C$57)^(-0.25))))</f>
        <v>7.9631252680735</v>
      </c>
      <c r="D60" s="32" t="n">
        <f aca="false">IF(OR(運營_產能與收入!$C$62&lt;=0,運營_產能與收入!$C$68&lt;=0),1*輸入與假設!$C$26/輸入與假設!$C$28/輸入與假設!$C$29/4/((1+各期收支!$C$57)^0.25-1)*(MIN(MAX(0,輸入與假設!D$154-(輸入與假設!$C$27)),輸入與假設!$C$28)-(1+各期收支!$C$57)^(-(4*輸入與假設!$C$29-MAX(0,輸入與假設!D$154-(輸入與假設!$C$27)))/4)*(1-(1+各期收支!$C$57)^(-MIN(MAX(0,輸入與假設!D$154-(輸入與假設!$C$27)),輸入與假設!$C$28)/4))/(1-(1+各期收支!$C$57)^(-0.25))),(1-運營_產能與收入!$C$68)*輸入與假設!$C$26/輸入與假設!$C$28/輸入與假設!$C$29/4/((1+各期收支!$C$57)^0.25-1)*(MIN(MAX(0,輸入與假設!D$154-(輸入與假設!$C$27)),輸入與假設!$C$28)-(1+各期收支!$C$57)^(-(4*輸入與假設!$C$29-MAX(0,輸入與假設!D$154-(輸入與假設!$C$27)))/4)*(1-(1+各期收支!$C$57)^(-MIN(MAX(0,輸入與假設!D$154-(輸入與假設!$C$27)),輸入與假設!$C$28)/4))/(1-(1+各期收支!$C$57)^(-0.25)))+運營_產能與收入!$C$68*輸入與假設!$C$26/輸入與假設!$C$28/輸入與假設!$C$29/4/((1+各期收支!$C$57)^0.25-1)*(MIN(MAX(0,輸入與假設!D$154-(輸入與假設!$C$27+運營_產能與收入!$C$62/3)),輸入與假設!$C$28)-(1+各期收支!$C$57)^(-(4*輸入與假設!$C$29-MAX(0,輸入與假設!D$154-(輸入與假設!$C$27+運營_產能與收入!$C$62/3)))/4)*(1-(1+各期收支!$C$57)^(-MIN(MAX(0,輸入與假設!D$154-(輸入與假設!$C$27+運營_產能與收入!$C$62/3)),輸入與假設!$C$28)/4))/(1-(1+各期收支!$C$57)^(-0.25))))</f>
        <v>13.3713706016856</v>
      </c>
      <c r="E60" s="32" t="n">
        <f aca="false">IF(OR(運營_產能與收入!$C$62&lt;=0,運營_產能與收入!$C$68&lt;=0),1*輸入與假設!$C$26/輸入與假設!$C$28/輸入與假設!$C$29/4/((1+各期收支!$C$57)^0.25-1)*(MIN(MAX(0,輸入與假設!E$154-(輸入與假設!$C$27)),輸入與假設!$C$28)-(1+各期收支!$C$57)^(-(4*輸入與假設!$C$29-MAX(0,輸入與假設!E$154-(輸入與假設!$C$27)))/4)*(1-(1+各期收支!$C$57)^(-MIN(MAX(0,輸入與假設!E$154-(輸入與假設!$C$27)),輸入與假設!$C$28)/4))/(1-(1+各期收支!$C$57)^(-0.25))),(1-運營_產能與收入!$C$68)*輸入與假設!$C$26/輸入與假設!$C$28/輸入與假設!$C$29/4/((1+各期收支!$C$57)^0.25-1)*(MIN(MAX(0,輸入與假設!E$154-(輸入與假設!$C$27)),輸入與假設!$C$28)-(1+各期收支!$C$57)^(-(4*輸入與假設!$C$29-MAX(0,輸入與假設!E$154-(輸入與假設!$C$27)))/4)*(1-(1+各期收支!$C$57)^(-MIN(MAX(0,輸入與假設!E$154-(輸入與假設!$C$27)),輸入與假設!$C$28)/4))/(1-(1+各期收支!$C$57)^(-0.25)))+運營_產能與收入!$C$68*輸入與假設!$C$26/輸入與假設!$C$28/輸入與假設!$C$29/4/((1+各期收支!$C$57)^0.25-1)*(MIN(MAX(0,輸入與假設!E$154-(輸入與假設!$C$27+運營_產能與收入!$C$62/3)),輸入與假設!$C$28)-(1+各期收支!$C$57)^(-(4*輸入與假設!$C$29-MAX(0,輸入與假設!E$154-(輸入與假設!$C$27+運營_產能與收入!$C$62/3)))/4)*(1-(1+各期收支!$C$57)^(-MIN(MAX(0,輸入與假設!E$154-(輸入與假設!$C$27+運營_產能與收入!$C$62/3)),輸入與假設!$C$28)/4))/(1-(1+各期收支!$C$57)^(-0.25))))</f>
        <v>10.226844715561</v>
      </c>
      <c r="F60" s="32" t="n">
        <f aca="false">IF(OR(運營_產能與收入!$C$62&lt;=0,運營_產能與收入!$C$68&lt;=0),1*輸入與假設!$C$26/輸入與假設!$C$28/輸入與假設!$C$29/4/((1+各期收支!$C$57)^0.25-1)*(MIN(MAX(0,輸入與假設!F$154-(輸入與假設!$C$27)),輸入與假設!$C$28)-(1+各期收支!$C$57)^(-(4*輸入與假設!$C$29-MAX(0,輸入與假設!F$154-(輸入與假設!$C$27)))/4)*(1-(1+各期收支!$C$57)^(-MIN(MAX(0,輸入與假設!F$154-(輸入與假設!$C$27)),輸入與假設!$C$28)/4))/(1-(1+各期收支!$C$57)^(-0.25))),(1-運營_產能與收入!$C$68)*輸入與假設!$C$26/輸入與假設!$C$28/輸入與假設!$C$29/4/((1+各期收支!$C$57)^0.25-1)*(MIN(MAX(0,輸入與假設!F$154-(輸入與假設!$C$27)),輸入與假設!$C$28)-(1+各期收支!$C$57)^(-(4*輸入與假設!$C$29-MAX(0,輸入與假設!F$154-(輸入與假設!$C$27)))/4)*(1-(1+各期收支!$C$57)^(-MIN(MAX(0,輸入與假設!F$154-(輸入與假設!$C$27)),輸入與假設!$C$28)/4))/(1-(1+各期收支!$C$57)^(-0.25)))+運營_產能與收入!$C$68*輸入與假設!$C$26/輸入與假設!$C$28/輸入與假設!$C$29/4/((1+各期收支!$C$57)^0.25-1)*(MIN(MAX(0,輸入與假設!F$154-(輸入與假設!$C$27+運營_產能與收入!$C$62/3)),輸入與假設!$C$28)-(1+各期收支!$C$57)^(-(4*輸入與假設!$C$29-MAX(0,輸入與假設!F$154-(輸入與假設!$C$27+運營_產能與收入!$C$62/3)))/4)*(1-(1+各期收支!$C$57)^(-MIN(MAX(0,輸入與假設!F$154-(輸入與假設!$C$27+運營_產能與收入!$C$62/3)),輸入與假設!$C$28)/4))/(1-(1+各期收支!$C$57)^(-0.25))))</f>
        <v>6.82132318088799</v>
      </c>
      <c r="G60" s="32" t="n">
        <f aca="false">IF(OR(運營_產能與收入!$C$62&lt;=0,運營_產能與收入!$C$68&lt;=0),1*輸入與假設!$C$26/輸入與假設!$C$28/輸入與假設!$C$29/4/((1+各期收支!$C$57)^0.25-1)*(MIN(MAX(0,輸入與假設!G$154-(輸入與假設!$C$27)),輸入與假設!$C$28)-(1+各期收支!$C$57)^(-(4*輸入與假設!$C$29-MAX(0,輸入與假設!G$154-(輸入與假設!$C$27)))/4)*(1-(1+各期收支!$C$57)^(-MIN(MAX(0,輸入與假設!G$154-(輸入與假設!$C$27)),輸入與假設!$C$28)/4))/(1-(1+各期收支!$C$57)^(-0.25))),(1-運營_產能與收入!$C$68)*輸入與假設!$C$26/輸入與假設!$C$28/輸入與假設!$C$29/4/((1+各期收支!$C$57)^0.25-1)*(MIN(MAX(0,輸入與假設!G$154-(輸入與假設!$C$27)),輸入與假設!$C$28)-(1+各期收支!$C$57)^(-(4*輸入與假設!$C$29-MAX(0,輸入與假設!G$154-(輸入與假設!$C$27)))/4)*(1-(1+各期收支!$C$57)^(-MIN(MAX(0,輸入與假設!G$154-(輸入與假設!$C$27)),輸入與假設!$C$28)/4))/(1-(1+各期收支!$C$57)^(-0.25)))+運營_產能與收入!$C$68*輸入與假設!$C$26/輸入與假設!$C$28/輸入與假設!$C$29/4/((1+各期收支!$C$57)^0.25-1)*(MIN(MAX(0,輸入與假設!G$154-(輸入與假設!$C$27+運營_產能與收入!$C$62/3)),輸入與假設!$C$28)-(1+各期收支!$C$57)^(-(4*輸入與假設!$C$29-MAX(0,輸入與假設!G$154-(輸入與假設!$C$27+運營_產能與收入!$C$62/3)))/4)*(1-(1+各期收支!$C$57)^(-MIN(MAX(0,輸入與假設!G$154-(輸入與假設!$C$27+運營_產能與收入!$C$62/3)),輸入與假設!$C$28)/4))/(1-(1+各期收支!$C$57)^(-0.25))))</f>
        <v>3.13314335883717</v>
      </c>
      <c r="I60" s="6" t="s">
        <v>903</v>
      </c>
    </row>
    <row r="61" customFormat="false" ht="15" hidden="false" customHeight="false" outlineLevel="1" collapsed="false">
      <c r="A61" s="2" t="s">
        <v>904</v>
      </c>
      <c r="B61" s="11" t="s">
        <v>59</v>
      </c>
      <c r="C61" s="39" t="n">
        <f aca="false">C59+C60</f>
        <v>21.6573135238173</v>
      </c>
      <c r="D61" s="39" t="n">
        <f aca="false">D59+D60</f>
        <v>23.7480966450241</v>
      </c>
      <c r="E61" s="39" t="n">
        <f aca="false">E59+E60</f>
        <v>18.8995804224211</v>
      </c>
      <c r="F61" s="39" t="n">
        <f aca="false">F59+F60</f>
        <v>13.8161856836829</v>
      </c>
      <c r="G61" s="39" t="n">
        <f aca="false">G59+G60</f>
        <v>8.25467284722946</v>
      </c>
    </row>
    <row r="63" customFormat="false" ht="15" hidden="false" customHeight="false" outlineLevel="0" collapsed="false">
      <c r="A63" s="50" t="s">
        <v>905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906</v>
      </c>
      <c r="B64" s="11" t="s">
        <v>59</v>
      </c>
      <c r="C64" s="32" t="n">
        <f aca="false">C13+C17+C18+C23+C25+C26+C27+C28+C29+C24</f>
        <v>635.419191251705</v>
      </c>
      <c r="D64" s="32" t="n">
        <f aca="false">D13+D17+D18+D23+D25+D26+D27+D28+D29+D24</f>
        <v>610.463082285622</v>
      </c>
      <c r="E64" s="32" t="n">
        <f aca="false">E13+E17+E18+E23+E25+E26+E27+E28+E29+E24</f>
        <v>185.323478034911</v>
      </c>
      <c r="F64" s="32" t="n">
        <f aca="false">F13+F17+F18+F23+F25+F26+F27+F28+F29+F24</f>
        <v>214.290251783051</v>
      </c>
      <c r="G64" s="32" t="n">
        <f aca="false">G13+G17+G18+G23+G25+G26+G27+G28+G29+G24</f>
        <v>261.507425256983</v>
      </c>
      <c r="I64" s="6" t="s">
        <v>907</v>
      </c>
    </row>
    <row r="65" customFormat="false" ht="15" hidden="false" customHeight="false" outlineLevel="1" collapsed="false">
      <c r="A65" s="3" t="s">
        <v>908</v>
      </c>
      <c r="B65" s="11" t="s">
        <v>59</v>
      </c>
      <c r="C65" s="32" t="n">
        <f aca="false">0</f>
        <v>0</v>
      </c>
      <c r="D65" s="32" t="n">
        <f aca="false">C92</f>
        <v>0</v>
      </c>
      <c r="E65" s="32" t="n">
        <f aca="false">D92</f>
        <v>20</v>
      </c>
      <c r="F65" s="32" t="n">
        <f aca="false">E92</f>
        <v>20</v>
      </c>
      <c r="G65" s="32" t="n">
        <f aca="false">F92</f>
        <v>73.5704438578771</v>
      </c>
    </row>
    <row r="66" customFormat="false" ht="15" hidden="false" customHeight="false" outlineLevel="1" collapsed="false">
      <c r="A66" s="3" t="s">
        <v>909</v>
      </c>
      <c r="B66" s="11" t="s">
        <v>42</v>
      </c>
      <c r="C66" s="52" t="n">
        <f aca="false">C20*運營_產能與收入!C7</f>
        <v>0.0475</v>
      </c>
      <c r="D66" s="52" t="n">
        <f aca="false">D20*運營_產能與收入!D7</f>
        <v>0.095</v>
      </c>
      <c r="E66" s="52" t="n">
        <f aca="false">E20*運營_產能與收入!E7</f>
        <v>0.095</v>
      </c>
      <c r="F66" s="52" t="n">
        <f aca="false">F20*運營_產能與收入!F7</f>
        <v>0.095</v>
      </c>
      <c r="G66" s="52" t="n">
        <f aca="false">G20*運營_產能與收入!G7</f>
        <v>0.095</v>
      </c>
    </row>
    <row r="67" customFormat="false" ht="15" hidden="false" customHeight="false" outlineLevel="1" collapsed="false">
      <c r="A67" s="3" t="s">
        <v>910</v>
      </c>
      <c r="B67" s="11" t="s">
        <v>59</v>
      </c>
      <c r="C67" s="32" t="n">
        <f aca="false">0</f>
        <v>0</v>
      </c>
      <c r="D67" s="32" t="n">
        <f aca="false">C94</f>
        <v>0</v>
      </c>
      <c r="E67" s="32" t="n">
        <f aca="false">D94</f>
        <v>0</v>
      </c>
      <c r="F67" s="32" t="n">
        <f aca="false">E94</f>
        <v>0</v>
      </c>
      <c r="G67" s="32" t="n">
        <f aca="false">F94</f>
        <v>0</v>
      </c>
    </row>
    <row r="68" customFormat="false" ht="15" hidden="false" customHeight="false" outlineLevel="1" collapsed="false">
      <c r="A68" s="3" t="s">
        <v>911</v>
      </c>
      <c r="B68" s="11" t="s">
        <v>59</v>
      </c>
      <c r="C68" s="32" t="n">
        <f aca="false">0</f>
        <v>0</v>
      </c>
      <c r="D68" s="32" t="n">
        <f aca="false">C95</f>
        <v>0</v>
      </c>
      <c r="E68" s="32" t="n">
        <f aca="false">D95</f>
        <v>24.0633513861034</v>
      </c>
      <c r="F68" s="32" t="n">
        <f aca="false">E95</f>
        <v>99.9633513861034</v>
      </c>
      <c r="G68" s="32" t="n">
        <f aca="false">F95</f>
        <v>99.9633513861034</v>
      </c>
    </row>
    <row r="69" customFormat="false" ht="15" hidden="false" customHeight="false" outlineLevel="1" collapsed="false">
      <c r="A69" s="3" t="s">
        <v>912</v>
      </c>
      <c r="B69" s="11" t="s">
        <v>42</v>
      </c>
      <c r="C69" s="52" t="n">
        <f aca="false">輸入與假設!$C$213*運營_產能與收入!C7</f>
        <v>0.025</v>
      </c>
      <c r="D69" s="52" t="n">
        <f aca="false">輸入與假設!$C$213*運營_產能與收入!D7</f>
        <v>0.05</v>
      </c>
      <c r="E69" s="52" t="n">
        <f aca="false">輸入與假設!$C$213*運營_產能與收入!E7</f>
        <v>0.05</v>
      </c>
      <c r="F69" s="52" t="n">
        <f aca="false">輸入與假設!$C$213*運營_產能與收入!F7</f>
        <v>0.05</v>
      </c>
      <c r="G69" s="52" t="n">
        <f aca="false">輸入與假設!$C$213*運營_產能與收入!G7</f>
        <v>0.05</v>
      </c>
    </row>
    <row r="70" customFormat="false" ht="15" hidden="false" customHeight="false" outlineLevel="1" collapsed="false">
      <c r="A70" s="3" t="s">
        <v>913</v>
      </c>
      <c r="B70" s="11" t="s">
        <v>42</v>
      </c>
      <c r="C70" s="52" t="n">
        <f aca="false">(輸入與假設!$C$215+IF(輸入與假設!$C$218=1,MAX(0,輸入與假設!$C$217-輸入與假設!$C$219)/10000*輸入與假設!$C$220,0))*運營_產能與收入!C7</f>
        <v>0.06</v>
      </c>
      <c r="D70" s="52" t="n">
        <f aca="false">(輸入與假設!$C$215+IF(輸入與假設!$C$218=1,MAX(0,輸入與假設!$C$217-輸入與假設!$C$219)/10000*輸入與假設!$C$220,0))*運營_產能與收入!D7</f>
        <v>0.12</v>
      </c>
      <c r="E70" s="52" t="n">
        <f aca="false">(輸入與假設!$C$215+IF(輸入與假設!$C$218=1,MAX(0,輸入與假設!$C$217-輸入與假設!$C$219)/10000*輸入與假設!$C$220,0))*運營_產能與收入!E7</f>
        <v>0.12</v>
      </c>
      <c r="F70" s="52" t="n">
        <f aca="false">(輸入與假設!$C$215+IF(輸入與假設!$C$218=1,MAX(0,輸入與假設!$C$217-輸入與假設!$C$219)/10000*輸入與假設!$C$220,0))*運營_產能與收入!F7</f>
        <v>0.12</v>
      </c>
      <c r="G70" s="52" t="n">
        <f aca="false">(輸入與假設!$C$215+IF(輸入與假設!$C$218=1,MAX(0,輸入與假設!$C$217-輸入與假設!$C$219)/10000*輸入與假設!$C$220,0))*運營_產能與收入!G7</f>
        <v>0.12</v>
      </c>
    </row>
    <row r="71" customFormat="false" ht="15" hidden="false" customHeight="false" outlineLevel="1" collapsed="false">
      <c r="A71" s="3" t="s">
        <v>914</v>
      </c>
      <c r="B71" s="11" t="s">
        <v>59</v>
      </c>
      <c r="C71" s="32" t="n">
        <f aca="false">C19+C41+C42+C43+C44+C51-C64-C66*C65-C70*C67-C69*C68</f>
        <v>153.176687226991</v>
      </c>
      <c r="D71" s="32" t="n">
        <f aca="false">D19+D41+D42+D43+D44+D51-D64-D66*D65-D70*D67-D69*D68</f>
        <v>-10.9601838167982</v>
      </c>
      <c r="E71" s="32" t="n">
        <f aca="false">E19+E41+E42+E43+E44+E51-E64-E66*E65-E70*E67-E69*E68</f>
        <v>-43.8618973558177</v>
      </c>
      <c r="F71" s="32" t="n">
        <f aca="false">F19+F41+F42+F43+F44+F51-F64-F66*F65-F70*F67-F69*F68</f>
        <v>-18.4812516913787</v>
      </c>
      <c r="G71" s="32" t="n">
        <f aca="false">G19+G41+G42+G43+G44+G51-G64-G66*G65-G70*G67-G69*G68</f>
        <v>-17.8517812664255</v>
      </c>
    </row>
    <row r="72" customFormat="false" ht="15" hidden="false" customHeight="false" outlineLevel="1" collapsed="false">
      <c r="A72" s="2" t="s">
        <v>915</v>
      </c>
      <c r="B72" s="11" t="s">
        <v>59</v>
      </c>
      <c r="C72" s="39" t="n">
        <f aca="false">MAX(0,輸入與假設!$C$204-C71)</f>
        <v>0</v>
      </c>
      <c r="D72" s="39" t="n">
        <f aca="false">MAX(0,輸入與假設!$C$204-D71)</f>
        <v>40.9601838167982</v>
      </c>
      <c r="E72" s="39" t="n">
        <f aca="false">MAX(0,輸入與假設!$C$204-E71)</f>
        <v>73.8618973558177</v>
      </c>
      <c r="F72" s="39" t="n">
        <f aca="false">MAX(0,輸入與假設!$C$204-F71)</f>
        <v>48.4812516913787</v>
      </c>
      <c r="G72" s="39" t="n">
        <f aca="false">MAX(0,輸入與假設!$C$204-G71)</f>
        <v>47.8517812664256</v>
      </c>
    </row>
    <row r="73" customFormat="false" ht="15" hidden="false" customHeight="false" outlineLevel="1" collapsed="false">
      <c r="A73" s="3" t="s">
        <v>916</v>
      </c>
      <c r="B73" s="11" t="s">
        <v>59</v>
      </c>
      <c r="C73" s="32" t="n">
        <f aca="false">輸入與假設!$C$31+輸入與假設!$C$32</f>
        <v>75.146</v>
      </c>
      <c r="D73" s="32" t="n">
        <f aca="false">C75</f>
        <v>112.552987287805</v>
      </c>
      <c r="E73" s="32" t="n">
        <f aca="false">D75</f>
        <v>165.079413387892</v>
      </c>
      <c r="F73" s="32" t="n">
        <f aca="false">E75</f>
        <v>254.67805551625</v>
      </c>
      <c r="G73" s="32" t="n">
        <f aca="false">F75</f>
        <v>181.490786064227</v>
      </c>
      <c r="I73" s="11" t="s">
        <v>917</v>
      </c>
    </row>
    <row r="74" customFormat="false" ht="15" hidden="false" customHeight="false" outlineLevel="1" collapsed="false">
      <c r="A74" s="3" t="s">
        <v>918</v>
      </c>
      <c r="B74" s="11" t="s">
        <v>59</v>
      </c>
      <c r="C74" s="32" t="n">
        <f aca="false">MAX(0,運營_產能與收入!C24/運營_產能與收入!C7-0)*輸入與假設!$C$201</f>
        <v>70.8408073053658</v>
      </c>
      <c r="D74" s="32" t="n">
        <f aca="false">MAX(0,運營_產能與收入!D24/運營_產能與收入!D7-運營_產能與收入!C24/運營_產能與收入!C7)*輸入與假設!$C$201</f>
        <v>179.090986483814</v>
      </c>
      <c r="E74" s="32" t="n">
        <f aca="false">MAX(0,運營_產能與收入!E24/運營_產能與收入!E7-運營_產能與收入!D24/運營_產能與收入!D7)*輸入與假設!$C$201</f>
        <v>274.761388206127</v>
      </c>
      <c r="F74" s="32" t="n">
        <f aca="false">MAX(0,運營_產能與收入!F24/運營_產能與收入!F7-運營_產能與收入!E24/運營_產能與收入!E7)*輸入與假設!$C$201</f>
        <v>152.565686819619</v>
      </c>
      <c r="G74" s="32" t="n">
        <f aca="false">MAX(0,運營_產能與收入!G24/運營_產能與收入!G7-運營_產能與收入!F24/運營_產能與收入!F7)*輸入與假設!$C$201</f>
        <v>114.092780718208</v>
      </c>
    </row>
    <row r="75" customFormat="false" ht="15" hidden="false" customHeight="false" outlineLevel="1" collapsed="false">
      <c r="A75" s="3" t="s">
        <v>919</v>
      </c>
      <c r="B75" s="11" t="s">
        <v>59</v>
      </c>
      <c r="C75" s="32" t="n">
        <f aca="false">C73-運營_產能與收入!C18-運營_產能與收入!C24+C74</f>
        <v>112.552987287805</v>
      </c>
      <c r="D75" s="32" t="n">
        <f aca="false">D73-運營_產能與收入!D18-運營_產能與收入!D24+D74</f>
        <v>165.079413387892</v>
      </c>
      <c r="E75" s="32" t="n">
        <f aca="false">E73-運營_產能與收入!E18-運營_產能與收入!E24+E74</f>
        <v>254.67805551625</v>
      </c>
      <c r="F75" s="32" t="n">
        <f aca="false">F73-運營_產能與收入!F18-運營_產能與收入!F24+F74</f>
        <v>181.490786064227</v>
      </c>
      <c r="G75" s="32" t="n">
        <f aca="false">G73-運營_產能與收入!G18-運營_產能與收入!G24+G74</f>
        <v>31.7996836047241</v>
      </c>
      <c r="I75" s="6" t="s">
        <v>920</v>
      </c>
    </row>
    <row r="76" customFormat="false" ht="15" hidden="false" customHeight="false" outlineLevel="1" collapsed="false">
      <c r="A76" s="3" t="s">
        <v>921</v>
      </c>
      <c r="B76" s="11" t="s">
        <v>59</v>
      </c>
      <c r="C76" s="32" t="n">
        <f aca="false">IF(輸入與假設!$C$197=1,資產負債_既有債務!C28,資產負債_既有債務!$E$8)+資產負債_既有債務!$E$11+資產負債_既有債務!C33+資產負債_既有債務!C44</f>
        <v>460.677</v>
      </c>
      <c r="D76" s="32" t="n">
        <f aca="false">IF(輸入與假設!$C$197=1,資產負債_既有債務!D28,資產負債_既有債務!$E$8)+資產負債_既有債務!$E$11+資產負債_既有債務!D33+資產負債_既有債務!D44</f>
        <v>677.055</v>
      </c>
      <c r="E76" s="32" t="n">
        <f aca="false">IF(輸入與假設!$C$197=1,資產負債_既有債務!E28,資產負債_既有債務!$E$8)+資產負債_既有債務!$E$11+資產負債_既有債務!E33+資產負債_既有債務!E44</f>
        <v>640.0955</v>
      </c>
      <c r="F76" s="32" t="n">
        <f aca="false">IF(輸入與假設!$C$197=1,資產負債_既有債務!F28,資產負債_既有債務!$E$8)+資產負債_既有債務!$E$11+資產負債_既有債務!F33+資產負債_既有債務!F44</f>
        <v>588.424</v>
      </c>
      <c r="G76" s="32" t="n">
        <f aca="false">IF(輸入與假設!$C$197=1,資產負債_既有債務!G28,資產負債_既有債務!$E$8)+資產負債_既有債務!$E$11+資產負債_既有債務!G33+資產負債_既有債務!G44</f>
        <v>557.7115</v>
      </c>
      <c r="I76" s="6" t="s">
        <v>922</v>
      </c>
    </row>
    <row r="77" customFormat="false" ht="15" hidden="false" customHeight="false" outlineLevel="1" collapsed="false">
      <c r="A77" s="3" t="s">
        <v>923</v>
      </c>
      <c r="B77" s="11" t="s">
        <v>59</v>
      </c>
      <c r="C77" s="32" t="n">
        <f aca="false">IF(輸入與假設!$C$199="leaseAdj",輸入與假設!$C$200*(損益!C22+C17)/運營_產能與收入!C7-C61,IF(輸入與假設!$C$199="ebitda",輸入與假設!$C$200*損益!C22/運營_產能與收入!C7,輸入與假設!$C$198*C75))</f>
        <v>86.0299609982908</v>
      </c>
      <c r="D77" s="32" t="n">
        <f aca="false">IF(輸入與假設!$C$199="leaseAdj",輸入與假設!$C$200*(損益!D22+D17)/運營_產能與收入!D7-D61,IF(輸入與假設!$C$199="ebitda",輸入與假設!$C$200*損益!D22/運營_產能與收入!D7,輸入與假設!$C$198*D75))</f>
        <v>141.352970221995</v>
      </c>
      <c r="E77" s="32" t="n">
        <f aca="false">IF(輸入與假設!$C$199="leaseAdj",輸入與假設!$C$200*(損益!E22+E17)/運營_產能與收入!E7-E61,IF(輸入與假設!$C$199="ebitda",輸入與假設!$C$200*損益!E22/運營_產能與收入!E7,輸入與假設!$C$198*E75))</f>
        <v>402.891297693502</v>
      </c>
      <c r="F77" s="32" t="n">
        <f aca="false">IF(輸入與假設!$C$199="leaseAdj",輸入與假設!$C$200*(損益!F22+F17)/運營_產能與收入!F7-F61,IF(輸入與假設!$C$199="ebitda",輸入與假設!$C$200*損益!F22/運營_產能與收入!F7,輸入與假設!$C$198*F75))</f>
        <v>610.717687799457</v>
      </c>
      <c r="G77" s="32" t="n">
        <f aca="false">IF(輸入與假設!$C$199="leaseAdj",輸入與假設!$C$200*(損益!G22+G17)/運營_產能與收入!G7-G61,IF(輸入與假設!$C$199="ebitda",輸入與假設!$C$200*損益!G22/運營_產能與收入!G7,輸入與假設!$C$198*G75))</f>
        <v>830.055549326561</v>
      </c>
      <c r="I77" s="11" t="s">
        <v>924</v>
      </c>
    </row>
    <row r="78" customFormat="false" ht="15" hidden="false" customHeight="false" outlineLevel="1" collapsed="false">
      <c r="A78" s="3" t="s">
        <v>925</v>
      </c>
      <c r="B78" s="11" t="s">
        <v>59</v>
      </c>
      <c r="C78" s="32" t="n">
        <f aca="false">IF(輸入與假設!$C$189=1,輸入與假設!$C$188,0)</f>
        <v>20</v>
      </c>
      <c r="D78" s="32" t="n">
        <f aca="false">C93</f>
        <v>20</v>
      </c>
      <c r="E78" s="32" t="n">
        <f aca="false">D93</f>
        <v>0</v>
      </c>
      <c r="F78" s="32" t="n">
        <f aca="false">E93</f>
        <v>0</v>
      </c>
      <c r="G78" s="32" t="n">
        <f aca="false">F93</f>
        <v>0</v>
      </c>
      <c r="I78" s="6" t="s">
        <v>926</v>
      </c>
    </row>
    <row r="79" customFormat="false" ht="15" hidden="false" customHeight="false" outlineLevel="1" collapsed="false">
      <c r="A79" s="3" t="s">
        <v>927</v>
      </c>
      <c r="B79" s="11" t="s">
        <v>59</v>
      </c>
      <c r="C79" s="32" t="n">
        <f aca="false">MAX(0,C77-(C76-資產負債_既有債務!C44+C65+C68),C78)</f>
        <v>20</v>
      </c>
      <c r="D79" s="32" t="n">
        <f aca="false">MAX(0,D77-(D76-資產負債_既有債務!D44+D65+D68),D78)</f>
        <v>20</v>
      </c>
      <c r="E79" s="32" t="n">
        <f aca="false">MAX(0,E77-(E76-資產負債_既有債務!E44+E65+E68),E78)</f>
        <v>0</v>
      </c>
      <c r="F79" s="32" t="n">
        <f aca="false">MAX(0,F77-(F76-資產負債_既有債務!F44+F65+F68),F78)</f>
        <v>148.030336413354</v>
      </c>
      <c r="G79" s="32" t="n">
        <f aca="false">MAX(0,G77-(G76-資產負債_既有債務!G44+G65+G68),G78)</f>
        <v>313.79775408258</v>
      </c>
      <c r="I79" s="6" t="s">
        <v>928</v>
      </c>
    </row>
    <row r="80" customFormat="false" ht="15" hidden="false" customHeight="false" outlineLevel="1" collapsed="false">
      <c r="A80" s="2" t="s">
        <v>929</v>
      </c>
      <c r="B80" s="11" t="s">
        <v>59</v>
      </c>
      <c r="C80" s="39" t="n">
        <f aca="false">MIN(C79,C72/(1-C66))</f>
        <v>0</v>
      </c>
      <c r="D80" s="39" t="n">
        <f aca="false">MIN(D79,D72/(1-D66))</f>
        <v>20</v>
      </c>
      <c r="E80" s="39" t="n">
        <f aca="false">MIN(E79,E72/(1-E66))</f>
        <v>0</v>
      </c>
      <c r="F80" s="39" t="n">
        <f aca="false">MIN(F79,F72/(1-F66))</f>
        <v>53.5704438578771</v>
      </c>
      <c r="G80" s="39" t="n">
        <f aca="false">MIN(G79,G72/(1-G66))</f>
        <v>52.8748964269896</v>
      </c>
      <c r="I80" s="6" t="s">
        <v>930</v>
      </c>
    </row>
    <row r="81" customFormat="false" ht="15" hidden="false" customHeight="false" outlineLevel="1" collapsed="false">
      <c r="A81" s="3" t="s">
        <v>931</v>
      </c>
      <c r="B81" s="11" t="s">
        <v>59</v>
      </c>
      <c r="C81" s="32" t="n">
        <f aca="false">MAX(0,C72+C66*C80-C80)</f>
        <v>0</v>
      </c>
      <c r="D81" s="32" t="n">
        <f aca="false">MAX(0,D72+D66*D80-D80)</f>
        <v>22.8601838167982</v>
      </c>
      <c r="E81" s="32" t="n">
        <f aca="false">MAX(0,E72+E66*E80-E80)</f>
        <v>73.8618973558177</v>
      </c>
      <c r="F81" s="32" t="n">
        <f aca="false">MAX(0,F72+F66*F80-F80)</f>
        <v>0</v>
      </c>
      <c r="G81" s="32" t="n">
        <f aca="false">MAX(0,G72+G66*G80-G80)</f>
        <v>0</v>
      </c>
    </row>
    <row r="82" customFormat="false" ht="15" hidden="false" customHeight="false" outlineLevel="1" collapsed="false">
      <c r="A82" s="3" t="s">
        <v>932</v>
      </c>
      <c r="B82" s="11" t="s">
        <v>59</v>
      </c>
      <c r="C82" s="32" t="n">
        <f aca="false">MAX(0,輸入與假設!$C$212)*運營_產能與收入!C7</f>
        <v>37.95</v>
      </c>
      <c r="D82" s="32" t="n">
        <f aca="false">MAX(0,輸入與假設!$C$212)*運營_產能與收入!D7</f>
        <v>75.9</v>
      </c>
      <c r="E82" s="32" t="n">
        <f aca="false">MAX(0,輸入與假設!$C$212)*運營_產能與收入!E7</f>
        <v>75.9</v>
      </c>
      <c r="F82" s="32" t="n">
        <f aca="false">MAX(0,輸入與假設!$C$212)*運營_產能與收入!F7</f>
        <v>75.9</v>
      </c>
      <c r="G82" s="32" t="n">
        <f aca="false">MAX(0,輸入與假設!$C$212)*運營_產能與收入!G7</f>
        <v>75.9</v>
      </c>
      <c r="I82" s="6" t="s">
        <v>933</v>
      </c>
    </row>
    <row r="83" customFormat="false" ht="15" hidden="false" customHeight="false" outlineLevel="1" collapsed="false">
      <c r="A83" s="2" t="s">
        <v>934</v>
      </c>
      <c r="B83" s="11" t="s">
        <v>59</v>
      </c>
      <c r="C83" s="39" t="n">
        <f aca="false">MIN(C82,C81/(1-C69))</f>
        <v>0</v>
      </c>
      <c r="D83" s="39" t="n">
        <f aca="false">MIN(D82,D81/(1-D69))</f>
        <v>24.0633513861034</v>
      </c>
      <c r="E83" s="39" t="n">
        <f aca="false">MIN(E82,E81/(1-E69))</f>
        <v>75.9</v>
      </c>
      <c r="F83" s="39" t="n">
        <f aca="false">MIN(F82,F81/(1-F69))</f>
        <v>0</v>
      </c>
      <c r="G83" s="39" t="n">
        <f aca="false">MIN(G82,G81/(1-G69))</f>
        <v>0</v>
      </c>
      <c r="I83" s="6" t="s">
        <v>935</v>
      </c>
    </row>
    <row r="84" customFormat="false" ht="15" hidden="false" customHeight="false" outlineLevel="1" collapsed="false">
      <c r="A84" s="3" t="s">
        <v>936</v>
      </c>
      <c r="B84" s="11" t="s">
        <v>59</v>
      </c>
      <c r="C84" s="32" t="n">
        <f aca="false">MAX(0,C81+C69*C83-C83)</f>
        <v>0</v>
      </c>
      <c r="D84" s="32" t="n">
        <f aca="false">MAX(0,D81+D69*D83-D83)</f>
        <v>0</v>
      </c>
      <c r="E84" s="32" t="n">
        <f aca="false">MAX(0,E81+E69*E83-E83)</f>
        <v>1.7568973558177</v>
      </c>
      <c r="F84" s="32" t="n">
        <f aca="false">MAX(0,F81+F69*F83-F83)</f>
        <v>0</v>
      </c>
      <c r="G84" s="32" t="n">
        <f aca="false">MAX(0,G81+G69*G83-G83)</f>
        <v>0</v>
      </c>
    </row>
    <row r="85" customFormat="false" ht="15" hidden="false" customHeight="false" outlineLevel="1" collapsed="false">
      <c r="A85" s="3" t="s">
        <v>937</v>
      </c>
      <c r="B85" s="11" t="s">
        <v>59</v>
      </c>
      <c r="C85" s="32" t="n">
        <f aca="false">IF(輸入與假設!$C$207&gt;=9,1E+099,輸入與假設!$C$207*輸入與假設!$C$205*輸入與假設!$C$208*運營_產能與收入!C7)</f>
        <v>37.968187158</v>
      </c>
      <c r="D85" s="32" t="n">
        <f aca="false">IF(輸入與假設!$C$207&gt;=9,1E+099,輸入與假設!$C$207*輸入與假設!$C$205*輸入與假設!$C$208*運營_產能與收入!D7)</f>
        <v>75.936374316</v>
      </c>
      <c r="E85" s="32" t="n">
        <f aca="false">IF(輸入與假設!$C$207&gt;=9,1E+099,輸入與假設!$C$207*輸入與假設!$C$205*輸入與假設!$C$208*運營_產能與收入!E7)</f>
        <v>75.936374316</v>
      </c>
      <c r="F85" s="32" t="n">
        <f aca="false">IF(輸入與假設!$C$207&gt;=9,1E+099,輸入與假設!$C$207*輸入與假設!$C$205*輸入與假設!$C$208*運營_產能與收入!F7)</f>
        <v>75.936374316</v>
      </c>
      <c r="G85" s="32" t="n">
        <f aca="false">IF(輸入與假設!$C$207&gt;=9,1E+099,輸入與假設!$C$207*輸入與假設!$C$205*輸入與假設!$C$208*運營_產能與收入!G7)</f>
        <v>75.936374316</v>
      </c>
      <c r="I85" s="6" t="s">
        <v>938</v>
      </c>
    </row>
    <row r="86" customFormat="false" ht="15" hidden="false" customHeight="false" outlineLevel="1" collapsed="false">
      <c r="A86" s="2" t="s">
        <v>939</v>
      </c>
      <c r="B86" s="11" t="s">
        <v>59</v>
      </c>
      <c r="C86" s="39" t="n">
        <f aca="false">MIN(C84,C85)</f>
        <v>0</v>
      </c>
      <c r="D86" s="39" t="n">
        <f aca="false">MIN(D84,D85)</f>
        <v>0</v>
      </c>
      <c r="E86" s="39" t="n">
        <f aca="false">MIN(E84,E85)</f>
        <v>1.7568973558177</v>
      </c>
      <c r="F86" s="39" t="n">
        <f aca="false">MIN(F84,F85)</f>
        <v>0</v>
      </c>
      <c r="G86" s="39" t="n">
        <f aca="false">MIN(G84,G85)</f>
        <v>0</v>
      </c>
    </row>
    <row r="87" customFormat="false" ht="15" hidden="false" customHeight="false" outlineLevel="1" collapsed="false">
      <c r="A87" s="2" t="s">
        <v>940</v>
      </c>
      <c r="B87" s="11" t="s">
        <v>59</v>
      </c>
      <c r="C87" s="39" t="n">
        <f aca="false">(C84-C86)/(1-C70)</f>
        <v>0</v>
      </c>
      <c r="D87" s="39" t="n">
        <f aca="false">(D84-D86)/(1-D70)</f>
        <v>0</v>
      </c>
      <c r="E87" s="39" t="n">
        <f aca="false">(E84-E86)/(1-E70)</f>
        <v>0</v>
      </c>
      <c r="F87" s="39" t="n">
        <f aca="false">(F84-F86)/(1-F70)</f>
        <v>0</v>
      </c>
      <c r="G87" s="39" t="n">
        <f aca="false">(G84-G86)/(1-G70)</f>
        <v>0</v>
      </c>
    </row>
    <row r="88" customFormat="false" ht="15" hidden="false" customHeight="false" outlineLevel="1" collapsed="false">
      <c r="A88" s="3" t="s">
        <v>941</v>
      </c>
      <c r="B88" s="11" t="s">
        <v>59</v>
      </c>
      <c r="C88" s="32" t="n">
        <f aca="false">C66*(C65+C80)+C70*(C67+C87)+C69*(C68+C83)</f>
        <v>0</v>
      </c>
      <c r="D88" s="32" t="n">
        <f aca="false">D66*(D65+D80)+D70*(D67+D87)+D69*(D68+D83)</f>
        <v>3.10316756930517</v>
      </c>
      <c r="E88" s="32" t="n">
        <f aca="false">E66*(E65+E80)+E70*(E67+E87)+E69*(E68+E83)</f>
        <v>6.89816756930517</v>
      </c>
      <c r="F88" s="32" t="n">
        <f aca="false">F66*(F65+F80)+F70*(F67+F87)+F69*(F68+F83)</f>
        <v>11.9873597358035</v>
      </c>
      <c r="G88" s="32" t="n">
        <f aca="false">G66*(G65+G80)+G70*(G67+G87)+G69*(G68+G83)</f>
        <v>17.0104748963675</v>
      </c>
      <c r="I88" s="6" t="s">
        <v>942</v>
      </c>
    </row>
    <row r="89" customFormat="false" ht="15" hidden="false" customHeight="false" outlineLevel="1" collapsed="false">
      <c r="A89" s="3" t="s">
        <v>943</v>
      </c>
      <c r="B89" s="11" t="s">
        <v>39</v>
      </c>
      <c r="C89" s="53" t="n">
        <f aca="false">輸入與假設!$C$205*(1-輸入與假設!$C$206)</f>
        <v>15.147</v>
      </c>
      <c r="D89" s="53" t="n">
        <f aca="false">輸入與假設!$C$205*(1-輸入與假設!$C$206)</f>
        <v>15.147</v>
      </c>
      <c r="E89" s="53" t="n">
        <f aca="false">輸入與假設!$C$205*(1-輸入與假設!$C$206)</f>
        <v>15.147</v>
      </c>
      <c r="F89" s="53" t="n">
        <f aca="false">輸入與假設!$C$205*(1-輸入與假設!$C$206)</f>
        <v>15.147</v>
      </c>
      <c r="G89" s="53" t="n">
        <f aca="false">輸入與假設!$C$205*(1-輸入與假設!$C$206)</f>
        <v>15.147</v>
      </c>
    </row>
    <row r="90" customFormat="false" ht="15" hidden="false" customHeight="false" outlineLevel="1" collapsed="false">
      <c r="A90" s="3" t="s">
        <v>944</v>
      </c>
      <c r="B90" s="11" t="s">
        <v>476</v>
      </c>
      <c r="C90" s="54" t="n">
        <f aca="false">C86/C89</f>
        <v>0</v>
      </c>
      <c r="D90" s="54" t="n">
        <f aca="false">D86/D89</f>
        <v>0</v>
      </c>
      <c r="E90" s="54" t="n">
        <f aca="false">E86/E89</f>
        <v>0.11598979044152</v>
      </c>
      <c r="F90" s="54" t="n">
        <f aca="false">F86/F89</f>
        <v>0</v>
      </c>
      <c r="G90" s="54" t="n">
        <f aca="false">G86/G89</f>
        <v>0</v>
      </c>
    </row>
    <row r="91" customFormat="false" ht="15" hidden="false" customHeight="false" outlineLevel="1" collapsed="false">
      <c r="A91" s="2" t="s">
        <v>945</v>
      </c>
      <c r="B91" s="11" t="s">
        <v>476</v>
      </c>
      <c r="C91" s="55" t="n">
        <f aca="false">C90</f>
        <v>0</v>
      </c>
      <c r="D91" s="55" t="n">
        <f aca="false">C91+D90</f>
        <v>0</v>
      </c>
      <c r="E91" s="55" t="n">
        <f aca="false">D91+E90</f>
        <v>0.11598979044152</v>
      </c>
      <c r="F91" s="55" t="n">
        <f aca="false">E91+F90</f>
        <v>0.11598979044152</v>
      </c>
      <c r="G91" s="55" t="n">
        <f aca="false">F91+G90</f>
        <v>0.11598979044152</v>
      </c>
    </row>
    <row r="92" customFormat="false" ht="15" hidden="false" customHeight="false" outlineLevel="1" collapsed="false">
      <c r="A92" s="3" t="s">
        <v>946</v>
      </c>
      <c r="B92" s="11" t="s">
        <v>59</v>
      </c>
      <c r="C92" s="32" t="n">
        <f aca="false">C65+C80</f>
        <v>0</v>
      </c>
      <c r="D92" s="32" t="n">
        <f aca="false">D65+D80</f>
        <v>20</v>
      </c>
      <c r="E92" s="32" t="n">
        <f aca="false">E65+E80</f>
        <v>20</v>
      </c>
      <c r="F92" s="32" t="n">
        <f aca="false">F65+F80</f>
        <v>73.5704438578771</v>
      </c>
      <c r="G92" s="32" t="n">
        <f aca="false">G65+G80</f>
        <v>126.445340284867</v>
      </c>
    </row>
    <row r="93" customFormat="false" ht="15" hidden="false" customHeight="false" outlineLevel="1" collapsed="false">
      <c r="A93" s="3" t="s">
        <v>947</v>
      </c>
      <c r="B93" s="11" t="s">
        <v>59</v>
      </c>
      <c r="C93" s="32" t="n">
        <f aca="false">C78-MIN(C78,C80)</f>
        <v>20</v>
      </c>
      <c r="D93" s="32" t="n">
        <f aca="false">D78-MIN(D78,D80)</f>
        <v>0</v>
      </c>
      <c r="E93" s="32" t="n">
        <f aca="false">E78-MIN(E78,E80)</f>
        <v>0</v>
      </c>
      <c r="F93" s="32" t="n">
        <f aca="false">F78-MIN(F78,F80)</f>
        <v>0</v>
      </c>
      <c r="G93" s="32" t="n">
        <f aca="false">G78-MIN(G78,G80)</f>
        <v>0</v>
      </c>
    </row>
    <row r="94" customFormat="false" ht="15" hidden="false" customHeight="false" outlineLevel="1" collapsed="false">
      <c r="A94" s="3" t="s">
        <v>948</v>
      </c>
      <c r="B94" s="11" t="s">
        <v>59</v>
      </c>
      <c r="C94" s="32" t="n">
        <f aca="false">C67+C87</f>
        <v>0</v>
      </c>
      <c r="D94" s="32" t="n">
        <f aca="false">D67+D87</f>
        <v>0</v>
      </c>
      <c r="E94" s="32" t="n">
        <f aca="false">E67+E87</f>
        <v>0</v>
      </c>
      <c r="F94" s="32" t="n">
        <f aca="false">F67+F87</f>
        <v>0</v>
      </c>
      <c r="G94" s="32" t="n">
        <f aca="false">G67+G87</f>
        <v>0</v>
      </c>
    </row>
    <row r="95" customFormat="false" ht="15" hidden="false" customHeight="false" outlineLevel="1" collapsed="false">
      <c r="A95" s="3" t="s">
        <v>949</v>
      </c>
      <c r="B95" s="11" t="s">
        <v>59</v>
      </c>
      <c r="C95" s="32" t="n">
        <f aca="false">C68+C83</f>
        <v>0</v>
      </c>
      <c r="D95" s="32" t="n">
        <f aca="false">D68+D83</f>
        <v>24.0633513861034</v>
      </c>
      <c r="E95" s="32" t="n">
        <f aca="false">E68+E83</f>
        <v>99.9633513861034</v>
      </c>
      <c r="F95" s="32" t="n">
        <f aca="false">F68+F83</f>
        <v>99.9633513861034</v>
      </c>
      <c r="G95" s="32" t="n">
        <f aca="false">G68+G83</f>
        <v>99.9633513861034</v>
      </c>
    </row>
    <row r="96" customFormat="false" ht="15" hidden="false" customHeight="false" outlineLevel="1" collapsed="false">
      <c r="A96" s="2" t="s">
        <v>950</v>
      </c>
      <c r="B96" s="11" t="s">
        <v>59</v>
      </c>
      <c r="C96" s="39" t="n">
        <f aca="false">C76+C92+C95+C94</f>
        <v>460.677</v>
      </c>
      <c r="D96" s="39" t="n">
        <f aca="false">D76+D92+D95+D94</f>
        <v>721.118351386103</v>
      </c>
      <c r="E96" s="39" t="n">
        <f aca="false">E76+E92+E95+E94</f>
        <v>760.058851386104</v>
      </c>
      <c r="F96" s="39" t="n">
        <f aca="false">F76+F92+F95+F94</f>
        <v>761.957795243981</v>
      </c>
      <c r="G96" s="39" t="n">
        <f aca="false">G76+G92+G95+G94</f>
        <v>784.12019167097</v>
      </c>
    </row>
    <row r="97" customFormat="false" ht="15" hidden="false" customHeight="false" outlineLevel="1" collapsed="false">
      <c r="A97" s="2" t="s">
        <v>951</v>
      </c>
      <c r="B97" s="11" t="s">
        <v>59</v>
      </c>
      <c r="C97" s="39" t="n">
        <f aca="false">C19+C41+C42+C43+C51-C64</f>
        <v>153.176687226991</v>
      </c>
      <c r="D97" s="39" t="n">
        <f aca="false">C97+D41+D42-D64</f>
        <v>-318.085183816798</v>
      </c>
      <c r="E97" s="39" t="n">
        <f aca="false">D97+E41+E42-E64</f>
        <v>-388.843913603311</v>
      </c>
      <c r="F97" s="39" t="n">
        <f aca="false">E97+F41+F42-F64</f>
        <v>-430.426997725384</v>
      </c>
      <c r="G97" s="39" t="n">
        <f aca="false">F97+G41+G42-G64</f>
        <v>-466.291419256007</v>
      </c>
      <c r="I97" s="6" t="s">
        <v>952</v>
      </c>
    </row>
    <row r="99" customFormat="false" ht="15" hidden="false" customHeight="false" outlineLevel="0" collapsed="true">
      <c r="A99" s="50" t="s">
        <v>953</v>
      </c>
      <c r="B99" s="8"/>
      <c r="C99" s="8"/>
      <c r="D99" s="8"/>
      <c r="E99" s="8"/>
      <c r="F99" s="8"/>
      <c r="G99" s="8"/>
      <c r="H99" s="8"/>
    </row>
    <row r="100" customFormat="false" ht="15" hidden="true" customHeight="false" outlineLevel="1" collapsed="false">
      <c r="A100" s="3" t="s">
        <v>954</v>
      </c>
      <c r="C100" s="56" t="n">
        <f aca="false">輸入與假設!$C$290</f>
        <v>114.441</v>
      </c>
    </row>
    <row r="101" customFormat="false" ht="15" hidden="true" customHeight="false" outlineLevel="1" collapsed="false">
      <c r="A101" s="3" t="s">
        <v>955</v>
      </c>
      <c r="C101" s="56" t="n">
        <f aca="false">SUM(C52:G52)</f>
        <v>-819.451089026788</v>
      </c>
    </row>
    <row r="102" customFormat="false" ht="15" hidden="true" customHeight="false" outlineLevel="1" collapsed="false">
      <c r="A102" s="3" t="s">
        <v>956</v>
      </c>
      <c r="C102" s="56" t="n">
        <f aca="false">SUM(C42:G42)</f>
        <v>217.961</v>
      </c>
    </row>
    <row r="103" customFormat="false" ht="15" hidden="true" customHeight="false" outlineLevel="1" collapsed="false">
      <c r="A103" s="3" t="s">
        <v>957</v>
      </c>
      <c r="C103" s="56" t="n">
        <f aca="false">SUM(C43:G43)</f>
        <v>304.526</v>
      </c>
    </row>
    <row r="104" customFormat="false" ht="15" hidden="true" customHeight="false" outlineLevel="1" collapsed="false">
      <c r="A104" s="4" t="s">
        <v>958</v>
      </c>
      <c r="C104" s="56" t="n">
        <f aca="false">-SUM(C28:G28)</f>
        <v>-120</v>
      </c>
    </row>
    <row r="105" customFormat="false" ht="15" hidden="true" customHeight="false" outlineLevel="1" collapsed="false">
      <c r="A105" s="3" t="s">
        <v>959</v>
      </c>
      <c r="C105" s="56" t="n">
        <f aca="false">SUM(C51:G51)</f>
        <v>25.295</v>
      </c>
    </row>
    <row r="106" customFormat="false" ht="15" hidden="true" customHeight="false" outlineLevel="1" collapsed="false">
      <c r="A106" s="3" t="s">
        <v>960</v>
      </c>
      <c r="C106" s="56" t="n">
        <f aca="false">SUM(C45:G45)+SUM(C46:G46)+SUM(C47:G47)+SUM(C48:G48)+SUM(C44:G44)</f>
        <v>535.290589026788</v>
      </c>
    </row>
    <row r="107" customFormat="false" ht="15" hidden="true" customHeight="false" outlineLevel="1" collapsed="false">
      <c r="A107" s="3" t="s">
        <v>961</v>
      </c>
      <c r="C107" s="56" t="n">
        <f aca="false">-SUM(C27:G27)</f>
        <v>-228.0625</v>
      </c>
    </row>
    <row r="108" customFormat="false" ht="15" hidden="true" customHeight="false" outlineLevel="1" collapsed="false">
      <c r="A108" s="2" t="s">
        <v>962</v>
      </c>
      <c r="C108" s="57" t="n">
        <f aca="false">SUM(C100:C107)</f>
        <v>29.9999999999999</v>
      </c>
    </row>
    <row r="109" customFormat="false" ht="15" hidden="true" customHeight="false" outlineLevel="1" collapsed="false">
      <c r="A109" s="3" t="s">
        <v>963</v>
      </c>
      <c r="C109" s="56" t="n">
        <f aca="false">G54</f>
        <v>30.0000000000001</v>
      </c>
    </row>
    <row r="110" customFormat="false" ht="15" hidden="true" customHeight="false" outlineLevel="1" collapsed="false">
      <c r="A110" s="2" t="s">
        <v>964</v>
      </c>
      <c r="C110" s="56" t="n">
        <f aca="false">C108-C109</f>
        <v>-1.13686837721616E-013</v>
      </c>
      <c r="I110" s="6" t="s">
        <v>965</v>
      </c>
    </row>
    <row r="112" customFormat="false" ht="15" hidden="false" customHeight="false" outlineLevel="0" collapsed="true">
      <c r="A112" s="7" t="s">
        <v>966</v>
      </c>
      <c r="B112" s="8"/>
      <c r="C112" s="8"/>
      <c r="D112" s="8"/>
      <c r="E112" s="8"/>
      <c r="F112" s="8"/>
      <c r="G112" s="8"/>
      <c r="H112" s="8"/>
    </row>
    <row r="113" customFormat="false" ht="15" hidden="true" customHeight="false" outlineLevel="1" collapsed="false">
      <c r="A113" s="4" t="s">
        <v>967</v>
      </c>
      <c r="C113" s="10" t="n">
        <f aca="false">運營_產能與收入!C31</f>
        <v>122.090001249499</v>
      </c>
      <c r="I113" s="6" t="s">
        <v>968</v>
      </c>
    </row>
    <row r="114" customFormat="false" ht="15" hidden="true" customHeight="false" outlineLevel="1" collapsed="false">
      <c r="A114" s="4" t="s">
        <v>969</v>
      </c>
      <c r="C114" s="10" t="n">
        <f aca="false">C6</f>
        <v>473.244419912925</v>
      </c>
      <c r="I114" s="6" t="s">
        <v>970</v>
      </c>
    </row>
    <row r="115" customFormat="false" ht="15" hidden="true" customHeight="false" outlineLevel="1" collapsed="false">
      <c r="A115" s="4" t="s">
        <v>971</v>
      </c>
      <c r="C115" s="10" t="n">
        <f aca="false">輸入與假設!$C$299+輸入與假設!C$225+C21</f>
        <v>21.5977264456522</v>
      </c>
      <c r="I115" s="6" t="s">
        <v>972</v>
      </c>
    </row>
    <row r="116" customFormat="false" ht="15" hidden="true" customHeight="false" outlineLevel="1" collapsed="false">
      <c r="A116" s="4" t="s">
        <v>973</v>
      </c>
      <c r="C116" s="10" t="n">
        <f aca="false">輸入與假設!$C$300+C17</f>
        <v>23.6600448931276</v>
      </c>
      <c r="I116" s="11" t="s">
        <v>974</v>
      </c>
    </row>
    <row r="117" customFormat="false" ht="15" hidden="true" customHeight="false" outlineLevel="1" collapsed="false">
      <c r="A117" s="4" t="s">
        <v>975</v>
      </c>
      <c r="C117" s="10" t="n">
        <f aca="false">C27</f>
        <v>17.972</v>
      </c>
      <c r="I117" s="11" t="s">
        <v>976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977</v>
      </c>
    </row>
    <row r="2" customFormat="false" ht="15" hidden="false" customHeight="false" outlineLevel="0" collapsed="false">
      <c r="A2" s="6" t="s">
        <v>978</v>
      </c>
    </row>
    <row r="4" customFormat="false" ht="15" hidden="false" customHeight="false" outlineLevel="0" collapsed="false">
      <c r="A4" s="7" t="s">
        <v>979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5" hidden="false" customHeight="false" outlineLevel="1" collapsed="false">
      <c r="A5" s="14" t="s">
        <v>980</v>
      </c>
      <c r="B5" s="14" t="s">
        <v>54</v>
      </c>
      <c r="C5" s="14" t="s">
        <v>981</v>
      </c>
      <c r="D5" s="14" t="s">
        <v>982</v>
      </c>
      <c r="E5" s="14" t="s">
        <v>983</v>
      </c>
      <c r="F5" s="14" t="s">
        <v>984</v>
      </c>
      <c r="G5" s="14" t="s">
        <v>985</v>
      </c>
      <c r="H5" s="14" t="s">
        <v>986</v>
      </c>
      <c r="I5" s="14" t="s">
        <v>987</v>
      </c>
      <c r="J5" s="14" t="s">
        <v>988</v>
      </c>
      <c r="K5" s="14" t="s">
        <v>989</v>
      </c>
      <c r="L5" s="14" t="s">
        <v>990</v>
      </c>
      <c r="M5" s="14" t="s">
        <v>991</v>
      </c>
      <c r="N5" s="14" t="s">
        <v>992</v>
      </c>
      <c r="O5" s="14" t="s">
        <v>988</v>
      </c>
      <c r="P5" s="14" t="s">
        <v>989</v>
      </c>
      <c r="Q5" s="14" t="s">
        <v>993</v>
      </c>
    </row>
    <row r="6" customFormat="false" ht="15" hidden="false" customHeight="false" outlineLevel="1" collapsed="false">
      <c r="A6" s="3" t="s">
        <v>994</v>
      </c>
      <c r="B6" s="11" t="s">
        <v>59</v>
      </c>
      <c r="C6" s="58" t="n">
        <f aca="false">INDEX($C$22:$H$22,輸入與假設!$C$373)</f>
        <v>29.2890004164997</v>
      </c>
      <c r="D6" s="58" t="str">
        <f aca="false">INDEX($C$32:$H$32,輸入與假設!$C$373)</f>
        <v>不適用</v>
      </c>
      <c r="E6" s="59" t="str">
        <f aca="false">INDEX($C$41:$H$41,輸入與假設!$C$373)</f>
        <v>不適用</v>
      </c>
      <c r="F6" s="60" t="s">
        <v>995</v>
      </c>
      <c r="G6" s="60" t="s">
        <v>995</v>
      </c>
      <c r="H6" s="59" t="str">
        <f aca="false">INDEX($C$42:$H$42,輸入與假設!$C$373)</f>
        <v>不適用</v>
      </c>
      <c r="I6" s="58" t="str">
        <f aca="false">IF(ISNUMBER(INDEX($C$35:$H$35,輸入與假設!$C$373)),INDEX($C$35:$H$35,輸入與假設!$C$373),"待公布")</f>
        <v>待公布</v>
      </c>
      <c r="J6" s="59" t="str">
        <f aca="false">INDEX($C$43:$H$43,輸入與假設!$C$373)</f>
        <v/>
      </c>
      <c r="K6" s="59" t="str">
        <f aca="false">INDEX($C$44:$H$44,輸入與假設!$C$373)</f>
        <v/>
      </c>
      <c r="L6" s="59" t="str">
        <f aca="false">INDEX($C$45:$H$45,輸入與假設!$C$373)</f>
        <v/>
      </c>
      <c r="M6" s="59"/>
      <c r="N6" s="59"/>
      <c r="O6" s="59"/>
      <c r="P6" s="59"/>
      <c r="Q6" s="59"/>
    </row>
    <row r="7" customFormat="false" ht="15" hidden="false" customHeight="false" outlineLevel="1" collapsed="false">
      <c r="A7" s="3" t="s">
        <v>996</v>
      </c>
      <c r="B7" s="11" t="s">
        <v>59</v>
      </c>
      <c r="C7" s="58" t="n">
        <f aca="false">INDEX($C$28:$H$28,輸入與假設!$C$373)</f>
        <v>3.51088152358675</v>
      </c>
      <c r="D7" s="58" t="str">
        <f aca="false">INDEX($C$33:$H$33,輸入與假設!$C$373)</f>
        <v>不適用</v>
      </c>
      <c r="E7" s="58" t="str">
        <f aca="false">INDEX($C$46:$H$46,輸入與假設!$C$373)</f>
        <v>不適用</v>
      </c>
      <c r="F7" s="60" t="s">
        <v>995</v>
      </c>
      <c r="G7" s="60" t="s">
        <v>995</v>
      </c>
      <c r="H7" s="58" t="str">
        <f aca="false">INDEX($C$47:$H$47,輸入與假設!$C$373)</f>
        <v>不適用</v>
      </c>
      <c r="I7" s="58" t="str">
        <f aca="false">IF(ISNUMBER(INDEX($C$36:$H$36,輸入與假設!$C$373)),INDEX($C$36:$H$36,輸入與假設!$C$373),"待公布")</f>
        <v>待公布</v>
      </c>
      <c r="J7" s="58" t="str">
        <f aca="false">INDEX($C$48:$H$48,輸入與假設!$C$373)</f>
        <v/>
      </c>
      <c r="K7" s="58" t="str">
        <f aca="false">INDEX($C$49:$H$49,輸入與假設!$C$373)</f>
        <v/>
      </c>
      <c r="L7" s="58" t="str">
        <f aca="false">INDEX($C$50:$H$50,輸入與假設!$C$373)</f>
        <v/>
      </c>
      <c r="M7" s="59" t="str">
        <f aca="false">INDEX($C$51:$H$51,輸入與假設!$C$373)</f>
        <v>不適用</v>
      </c>
      <c r="N7" s="59" t="str">
        <f aca="false">INDEX($C$52:$H$52,輸入與假設!$C$373)</f>
        <v>不適用</v>
      </c>
      <c r="O7" s="59" t="str">
        <f aca="false">INDEX($C$53:$H$53,輸入與假設!$C$373)</f>
        <v/>
      </c>
      <c r="P7" s="59" t="str">
        <f aca="false">INDEX($C$54:$H$54,輸入與假設!$C$373)</f>
        <v/>
      </c>
      <c r="Q7" s="59" t="str">
        <f aca="false">INDEX($C$55:$H$55,輸入與假設!$C$373)</f>
        <v/>
      </c>
    </row>
    <row r="8" customFormat="false" ht="15" hidden="false" customHeight="false" outlineLevel="1" collapsed="false">
      <c r="A8" s="3" t="s">
        <v>997</v>
      </c>
      <c r="B8" s="11" t="s">
        <v>42</v>
      </c>
      <c r="C8" s="59" t="n">
        <f aca="false">INDEX($C$27:$H$27,輸入與假設!$C$373)</f>
        <v>0.119870308773287</v>
      </c>
      <c r="D8" s="59" t="str">
        <f aca="false">INDEX($C$34:$H$34,輸入與假設!$C$373)</f>
        <v>不適用</v>
      </c>
      <c r="E8" s="59" t="str">
        <f aca="false">INDEX($C$56:$H$56,輸入與假設!$C$373)</f>
        <v>不適用</v>
      </c>
      <c r="F8" s="61" t="s">
        <v>995</v>
      </c>
      <c r="G8" s="61" t="s">
        <v>995</v>
      </c>
      <c r="H8" s="59" t="str">
        <f aca="false">INDEX($C$57:$H$57,輸入與假設!$C$373)</f>
        <v>不適用</v>
      </c>
      <c r="I8" s="59" t="str">
        <f aca="false">IF(ISNUMBER(INDEX($C$37:$H$37,輸入與假設!$C$373)),INDEX($C$37:$H$37,輸入與假設!$C$373),"待公布")</f>
        <v>待公布</v>
      </c>
      <c r="J8" s="59" t="str">
        <f aca="false">INDEX($C$58:$H$58,輸入與假設!$C$373)</f>
        <v/>
      </c>
      <c r="K8" s="59" t="str">
        <f aca="false">INDEX($C$59:$H$59,輸入與假設!$C$373)</f>
        <v/>
      </c>
      <c r="L8" s="59" t="str">
        <f aca="false">INDEX($C$60:$H$60,輸入與假設!$C$373)</f>
        <v/>
      </c>
      <c r="M8" s="59"/>
      <c r="N8" s="59"/>
      <c r="O8" s="59"/>
      <c r="P8" s="59"/>
      <c r="Q8" s="59"/>
    </row>
    <row r="9" customFormat="false" ht="15" hidden="false" customHeight="false" outlineLevel="1" collapsed="false">
      <c r="A9" s="3" t="s">
        <v>998</v>
      </c>
      <c r="B9" s="11" t="s">
        <v>59</v>
      </c>
      <c r="C9" s="58" t="n">
        <f aca="false">INDEX($C$30:$H$30,輸入與假設!$C$373)</f>
        <v>-8.71314149679307</v>
      </c>
      <c r="D9" s="60" t="s">
        <v>995</v>
      </c>
      <c r="E9" s="58" t="str">
        <f aca="false">INDEX($C$61:$H$61,輸入與假設!$C$373)</f>
        <v>不適用</v>
      </c>
      <c r="F9" s="60" t="s">
        <v>995</v>
      </c>
      <c r="G9" s="60" t="s">
        <v>995</v>
      </c>
      <c r="H9" s="58" t="str">
        <f aca="false">INDEX($C$62:$H$62,輸入與假設!$C$373)</f>
        <v>不適用</v>
      </c>
      <c r="I9" s="58" t="str">
        <f aca="false">IF(ISNUMBER(INDEX($C$38:$H$38,輸入與假設!$C$373)),INDEX($C$38:$H$38,輸入與假設!$C$373),"待公布")</f>
        <v>待公布</v>
      </c>
      <c r="J9" s="58" t="str">
        <f aca="false">INDEX($C$63:$H$63,輸入與假設!$C$373)</f>
        <v/>
      </c>
      <c r="K9" s="58" t="str">
        <f aca="false">INDEX($C$64:$H$64,輸入與假設!$C$373)</f>
        <v/>
      </c>
      <c r="L9" s="58" t="str">
        <f aca="false">INDEX($C$65:$H$65,輸入與假設!$C$373)</f>
        <v/>
      </c>
      <c r="M9" s="59" t="str">
        <f aca="false">INDEX($C$66:$H$66,輸入與假設!$C$373)</f>
        <v>不適用</v>
      </c>
      <c r="N9" s="59" t="str">
        <f aca="false">INDEX($C$67:$H$67,輸入與假設!$C$373)</f>
        <v>不適用</v>
      </c>
      <c r="O9" s="59" t="str">
        <f aca="false">INDEX($C$68:$H$68,輸入與假設!$C$373)</f>
        <v/>
      </c>
      <c r="P9" s="59" t="str">
        <f aca="false">INDEX($C$69:$H$69,輸入與假設!$C$373)</f>
        <v/>
      </c>
      <c r="Q9" s="59" t="str">
        <f aca="false">INDEX($C$70:$H$70,輸入與假設!$C$373)</f>
        <v/>
      </c>
    </row>
    <row r="10" customFormat="false" ht="15" hidden="false" customHeight="false" outlineLevel="1" collapsed="false">
      <c r="A10" s="3" t="s">
        <v>999</v>
      </c>
      <c r="B10" s="11" t="s">
        <v>59</v>
      </c>
      <c r="C10" s="58" t="n">
        <f aca="false">INDEX($C$31:$H$31,輸入與假設!$C$373)</f>
        <v>64.2662099564625</v>
      </c>
      <c r="D10" s="60" t="s">
        <v>995</v>
      </c>
      <c r="E10" s="59" t="str">
        <f aca="false">INDEX($C$71:$H$71,輸入與假設!$C$373)</f>
        <v>不適用</v>
      </c>
      <c r="F10" s="60" t="s">
        <v>995</v>
      </c>
      <c r="G10" s="60" t="s">
        <v>995</v>
      </c>
      <c r="H10" s="59" t="str">
        <f aca="false">INDEX($C$72:$H$72,輸入與假設!$C$373)</f>
        <v>不適用</v>
      </c>
      <c r="I10" s="58" t="str">
        <f aca="false">IF(ISNUMBER(INDEX($C$39:$H$39,輸入與假設!$C$373)),INDEX($C$39:$H$39,輸入與假設!$C$373),"待公布")</f>
        <v>待公布</v>
      </c>
      <c r="J10" s="59" t="str">
        <f aca="false">INDEX($C$73:$H$73,輸入與假設!$C$373)</f>
        <v/>
      </c>
      <c r="K10" s="59" t="str">
        <f aca="false">INDEX($C$74:$H$74,輸入與假設!$C$373)</f>
        <v/>
      </c>
      <c r="L10" s="59" t="str">
        <f aca="false">INDEX($C$75:$H$75,輸入與假設!$C$373)</f>
        <v/>
      </c>
      <c r="M10" s="59"/>
      <c r="N10" s="59"/>
      <c r="O10" s="59"/>
      <c r="P10" s="59"/>
      <c r="Q10" s="59"/>
    </row>
    <row r="11" customFormat="false" ht="15" hidden="false" customHeight="false" outlineLevel="1" collapsed="false">
      <c r="A11" s="3" t="s">
        <v>1000</v>
      </c>
      <c r="B11" s="11" t="s">
        <v>143</v>
      </c>
      <c r="C11" s="62" t="n">
        <f aca="false">INDEX($C$19:$H$19,輸入與假設!$C$373)</f>
        <v>10.037</v>
      </c>
      <c r="D11" s="63" t="s">
        <v>995</v>
      </c>
      <c r="E11" s="62" t="str">
        <f aca="false">INDEX($C$76:$H$76,輸入與假設!$C$373)</f>
        <v>不適用</v>
      </c>
      <c r="F11" s="63" t="s">
        <v>995</v>
      </c>
      <c r="G11" s="63" t="s">
        <v>995</v>
      </c>
      <c r="H11" s="62" t="str">
        <f aca="false">INDEX($C$77:$H$77,輸入與假設!$C$373)</f>
        <v>不適用</v>
      </c>
      <c r="I11" s="62" t="str">
        <f aca="false">IF(ISNUMBER(INDEX($C$40:$H$40,輸入與假設!$C$373)),INDEX($C$40:$H$40,輸入與假設!$C$373),"待公布")</f>
        <v>待公布</v>
      </c>
      <c r="J11" s="62" t="str">
        <f aca="false">INDEX($C$78:$H$78,輸入與假設!$C$373)</f>
        <v/>
      </c>
      <c r="K11" s="62" t="str">
        <f aca="false">INDEX($C$79:$H$79,輸入與假設!$C$373)</f>
        <v/>
      </c>
      <c r="L11" s="62" t="str">
        <f aca="false">INDEX($C$80:$H$80,輸入與假設!$C$373)</f>
        <v/>
      </c>
      <c r="M11" s="59"/>
      <c r="N11" s="59"/>
      <c r="O11" s="59"/>
      <c r="P11" s="59"/>
      <c r="Q11" s="59"/>
    </row>
    <row r="12" customFormat="false" ht="15" hidden="false" customHeight="false" outlineLevel="1" collapsed="false">
      <c r="A12" s="2" t="s">
        <v>1001</v>
      </c>
      <c r="C12" s="2" t="str">
        <f aca="false">INDEX($C$16:$H$16,輸入與假設!$C$373)</f>
        <v>Q3 2026</v>
      </c>
    </row>
    <row r="13" customFormat="false" ht="15" hidden="false" customHeight="false" outlineLevel="1" collapsed="false">
      <c r="A13" s="2" t="s">
        <v>1002</v>
      </c>
      <c r="C13" s="0" t="str">
        <f aca="false">IF(INDEX($C$117:$H$117,輸入與假設!$C$373)="","無（差距皆在 "&amp;IF(ROUND(ABS(輸入與假設!$C$367)*100,4)=INT(ROUND(ABS(輸入與假設!$C$367)*100,4)),TEXT(ROUND(ABS(輸入與假設!$C$367)*100,4),"0"),TEXT(ROUND(ABS(輸入與假設!$C$367)*100,4),"0.0"))&amp;"%"&amp;" 以內）",INDEX($C$117:$H$117,輸入與假設!$C$373))</f>
        <v>無（差距皆在 5% 以內）</v>
      </c>
    </row>
    <row r="15" customFormat="false" ht="15" hidden="false" customHeight="false" outlineLevel="0" collapsed="true">
      <c r="A15" s="7" t="s">
        <v>1003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53</v>
      </c>
      <c r="B16" s="14" t="s">
        <v>54</v>
      </c>
      <c r="C16" s="15" t="s">
        <v>783</v>
      </c>
      <c r="D16" s="15" t="s">
        <v>784</v>
      </c>
      <c r="E16" s="15" t="s">
        <v>785</v>
      </c>
      <c r="F16" s="15" t="s">
        <v>786</v>
      </c>
      <c r="G16" s="15" t="s">
        <v>787</v>
      </c>
      <c r="H16" s="15" t="s">
        <v>788</v>
      </c>
    </row>
    <row r="17" customFormat="false" ht="15" hidden="true" customHeight="false" outlineLevel="1" collapsed="false">
      <c r="A17" s="3" t="s">
        <v>1004</v>
      </c>
      <c r="C17" s="37" t="n">
        <f aca="false">輸入與假設!C$372</f>
        <v>1</v>
      </c>
      <c r="D17" s="37" t="n">
        <f aca="false">輸入與假設!D$372</f>
        <v>1</v>
      </c>
      <c r="E17" s="37" t="n">
        <f aca="false">輸入與假設!E$372</f>
        <v>2</v>
      </c>
      <c r="F17" s="37" t="n">
        <f aca="false">輸入與假設!F$372</f>
        <v>2</v>
      </c>
      <c r="G17" s="37" t="n">
        <f aca="false">輸入與假設!G$372</f>
        <v>2</v>
      </c>
      <c r="H17" s="37" t="n">
        <f aca="false">輸入與假設!H$372</f>
        <v>2</v>
      </c>
      <c r="J17" s="11" t="s">
        <v>1005</v>
      </c>
    </row>
    <row r="18" customFormat="false" ht="15" hidden="true" customHeight="false" outlineLevel="1" collapsed="false">
      <c r="A18" s="3" t="s">
        <v>1006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1007</v>
      </c>
    </row>
    <row r="19" customFormat="false" ht="15" hidden="true" customHeight="false" outlineLevel="1" collapsed="false">
      <c r="A19" s="3" t="s">
        <v>1008</v>
      </c>
      <c r="B19" s="11" t="s">
        <v>143</v>
      </c>
      <c r="C19" s="22" t="n">
        <f aca="false">輸入與假設!$C$375+(輸入與假設!C$43-輸入與假設!$C$375)*1/2</f>
        <v>10.037</v>
      </c>
      <c r="D19" s="22" t="n">
        <f aca="false">輸入與假設!$C$375+(輸入與假設!C$43-輸入與假設!$C$375)*2/2</f>
        <v>14.574</v>
      </c>
      <c r="E19" s="22" t="n">
        <f aca="false">輸入與假設!C$43+(輸入與假設!D$43-輸入與假設!C$43)*1/4</f>
        <v>15.0675</v>
      </c>
      <c r="F19" s="22" t="n">
        <f aca="false">輸入與假設!C$43+(輸入與假設!D$43-輸入與假設!C$43)*2/4</f>
        <v>15.561</v>
      </c>
      <c r="G19" s="22" t="n">
        <f aca="false">輸入與假設!C$43+(輸入與假設!D$43-輸入與假設!C$43)*3/4</f>
        <v>16.0545</v>
      </c>
      <c r="H19" s="22" t="n">
        <f aca="false">輸入與假設!C$43+(輸入與假設!D$43-輸入與假設!C$43)*4/4</f>
        <v>16.548</v>
      </c>
      <c r="J19" s="6" t="s">
        <v>1009</v>
      </c>
    </row>
    <row r="20" customFormat="false" ht="15" hidden="true" customHeight="false" outlineLevel="1" collapsed="false">
      <c r="A20" s="3" t="s">
        <v>1010</v>
      </c>
      <c r="B20" s="11" t="s">
        <v>143</v>
      </c>
      <c r="C20" s="22" t="n">
        <f aca="false">輸入與假設!$C$36+(運營_產能與收入!C$11-輸入與假設!$C$36)*1/4</f>
        <v>4.98875</v>
      </c>
      <c r="D20" s="22" t="n">
        <f aca="false">輸入與假設!$C$36+(運營_產能與收入!C$11-輸入與假設!$C$36)*3/4</f>
        <v>6.82625</v>
      </c>
      <c r="E20" s="22" t="n">
        <f aca="false">運營_產能與收入!C$11+(運營_產能與收入!D$11-運營_產能與收入!C$11)*1/8</f>
        <v>8.51</v>
      </c>
      <c r="F20" s="22" t="n">
        <f aca="false">運營_產能與收入!C$11+(運營_產能與收入!D$11-運營_產能與收入!C$11)*3/8</f>
        <v>10.04</v>
      </c>
      <c r="G20" s="22" t="n">
        <f aca="false">運營_產能與收入!C$11+(運營_產能與收入!D$11-運營_產能與收入!C$11)*5/8</f>
        <v>11.57</v>
      </c>
      <c r="H20" s="22" t="n">
        <f aca="false">運營_產能與收入!C$11+(運營_產能與收入!D$11-運營_產能與收入!C$11)*7/8</f>
        <v>13.1</v>
      </c>
      <c r="J20" s="6" t="s">
        <v>1011</v>
      </c>
    </row>
    <row r="21" customFormat="false" ht="15" hidden="true" customHeight="false" outlineLevel="1" collapsed="false">
      <c r="A21" s="3" t="s">
        <v>1012</v>
      </c>
      <c r="B21" s="11" t="s">
        <v>143</v>
      </c>
      <c r="C21" s="22" t="n">
        <f aca="false">C19-輸入與假設!$C$375</f>
        <v>4.537</v>
      </c>
      <c r="D21" s="22" t="n">
        <f aca="false">D19-C19</f>
        <v>4.537</v>
      </c>
      <c r="E21" s="22" t="n">
        <f aca="false">E19-輸入與假設!C$43</f>
        <v>0.493499999999999</v>
      </c>
      <c r="F21" s="22" t="n">
        <f aca="false">F19-E19</f>
        <v>0.493500000000001</v>
      </c>
      <c r="G21" s="22" t="n">
        <f aca="false">G19-F19</f>
        <v>0.493499999999997</v>
      </c>
      <c r="H21" s="22" t="n">
        <f aca="false">H19-G19</f>
        <v>0.493500000000001</v>
      </c>
      <c r="J21" s="11" t="s">
        <v>1013</v>
      </c>
    </row>
    <row r="22" customFormat="false" ht="15" hidden="true" customHeight="false" outlineLevel="1" collapsed="false">
      <c r="A22" s="3" t="s">
        <v>1014</v>
      </c>
      <c r="B22" s="11" t="s">
        <v>59</v>
      </c>
      <c r="C22" s="32" t="n">
        <f aca="false">輸入與假設!$C$374+1*(損益!C9-2*輸入與假設!$C$374)/3</f>
        <v>29.2890004164997</v>
      </c>
      <c r="D22" s="32" t="n">
        <f aca="false">輸入與假設!$C$374+2*(損益!C9-2*輸入與假設!$C$374)/3</f>
        <v>42.0390008329994</v>
      </c>
      <c r="E22" s="32" t="n">
        <f aca="false">損益!D9*E20/(E20+F20+G20+H20)</f>
        <v>44.7119856541211</v>
      </c>
      <c r="F22" s="32" t="n">
        <f aca="false">損益!D9*F20/(E20+F20+G20+H20)</f>
        <v>52.7506857776</v>
      </c>
      <c r="G22" s="32" t="n">
        <f aca="false">損益!D9*G20/(E20+F20+G20+H20)</f>
        <v>60.7893859010789</v>
      </c>
      <c r="H22" s="32" t="n">
        <f aca="false">損益!D9*H20/(E20+F20+G20+H20)</f>
        <v>68.8280860245578</v>
      </c>
      <c r="J22" s="6" t="s">
        <v>1015</v>
      </c>
    </row>
    <row r="23" customFormat="false" ht="15" hidden="true" customHeight="false" outlineLevel="1" collapsed="false">
      <c r="A23" s="4" t="s">
        <v>1016</v>
      </c>
      <c r="C23" s="58" t="n">
        <f aca="false">C22+D22</f>
        <v>71.3280012494991</v>
      </c>
      <c r="D23" s="58" t="n">
        <f aca="false">E22+F22+G22+H22</f>
        <v>227.080143357358</v>
      </c>
      <c r="J23" s="6" t="s">
        <v>1017</v>
      </c>
    </row>
    <row r="24" customFormat="false" ht="15" hidden="true" customHeight="false" outlineLevel="1" collapsed="false">
      <c r="A24" s="4" t="s">
        <v>1018</v>
      </c>
      <c r="C24" s="58" t="n">
        <f aca="false">C22*C18+D22*D18</f>
        <v>113.367002082498</v>
      </c>
      <c r="D24" s="58" t="n">
        <f aca="false">E22*E18+F22*F18+G22*G18+H22*H18</f>
        <v>1062.0541457255</v>
      </c>
      <c r="J24" s="6" t="s">
        <v>1017</v>
      </c>
    </row>
    <row r="25" customFormat="false" ht="15" hidden="true" customHeight="false" outlineLevel="1" collapsed="false">
      <c r="A25" s="4" t="s">
        <v>1019</v>
      </c>
      <c r="C25" s="58" t="n">
        <f aca="false">損益!C22</f>
        <v>8.60299609982908</v>
      </c>
      <c r="D25" s="58" t="n">
        <f aca="false">損益!D22</f>
        <v>28.270594044399</v>
      </c>
      <c r="J25" s="6" t="s">
        <v>1017</v>
      </c>
    </row>
    <row r="26" customFormat="false" ht="15" hidden="true" customHeight="false" outlineLevel="1" collapsed="false">
      <c r="A26" s="4" t="s">
        <v>1020</v>
      </c>
      <c r="C26" s="64" t="n">
        <f aca="false">(C25*D24-C24*D25)/(C23*D24-C24*D23)</f>
        <v>0.118612273024999</v>
      </c>
      <c r="D26" s="64" t="n">
        <f aca="false">(C23*D25-D23*C25)/(C23*D24-C24*D23)</f>
        <v>0.00125803574828799</v>
      </c>
      <c r="J26" s="6" t="s">
        <v>1021</v>
      </c>
    </row>
    <row r="27" customFormat="false" ht="15" hidden="true" customHeight="false" outlineLevel="1" collapsed="false">
      <c r="A27" s="4" t="s">
        <v>1022</v>
      </c>
      <c r="B27" s="11" t="s">
        <v>42</v>
      </c>
      <c r="C27" s="35" t="n">
        <f aca="false">$C$26+$D$26*C18</f>
        <v>0.119870308773287</v>
      </c>
      <c r="D27" s="35" t="n">
        <f aca="false">$C$26+$D$26*D18</f>
        <v>0.121128344521575</v>
      </c>
      <c r="E27" s="35" t="n">
        <f aca="false">$C$26+$D$26*E18</f>
        <v>0.122386380269863</v>
      </c>
      <c r="F27" s="35" t="n">
        <f aca="false">$C$26+$D$26*F18</f>
        <v>0.123644416018151</v>
      </c>
      <c r="G27" s="35" t="n">
        <f aca="false">$C$26+$D$26*G18</f>
        <v>0.124902451766439</v>
      </c>
      <c r="H27" s="35" t="n">
        <f aca="false">$C$26+$D$26*H18</f>
        <v>0.126160487514727</v>
      </c>
      <c r="J27" s="6" t="s">
        <v>1023</v>
      </c>
    </row>
    <row r="28" customFormat="false" ht="15" hidden="true" customHeight="false" outlineLevel="1" collapsed="false">
      <c r="A28" s="3" t="s">
        <v>1024</v>
      </c>
      <c r="B28" s="11" t="s">
        <v>59</v>
      </c>
      <c r="C28" s="32" t="n">
        <f aca="false">C22*C27</f>
        <v>3.51088152358675</v>
      </c>
      <c r="D28" s="32" t="n">
        <f aca="false">D22*D27</f>
        <v>5.09211457624233</v>
      </c>
      <c r="E28" s="32" t="n">
        <f aca="false">E22*E27</f>
        <v>5.47213807888592</v>
      </c>
      <c r="F28" s="32" t="n">
        <f aca="false">F22*F27</f>
        <v>6.52232773752833</v>
      </c>
      <c r="G28" s="32" t="n">
        <f aca="false">G22*G27</f>
        <v>7.59274334042095</v>
      </c>
      <c r="H28" s="32" t="n">
        <f aca="false">H22*H27</f>
        <v>8.68338488756377</v>
      </c>
    </row>
    <row r="29" customFormat="false" ht="15" hidden="true" customHeight="false" outlineLevel="1" collapsed="false">
      <c r="A29" s="3" t="s">
        <v>1025</v>
      </c>
      <c r="B29" s="11" t="s">
        <v>59</v>
      </c>
      <c r="C29" s="32" t="n">
        <f aca="false">(輸入與假設!C$173+運營_產能與收入!C$66*1/4)/輸入與假設!$C$139*輸入與假設!C$41/2+(輸入與假設!C$110+輸入與假設!C$107*1/4)/輸入與假設!$C$109*輸入與假設!C$41/2</f>
        <v>12.2240230203798</v>
      </c>
      <c r="D29" s="32" t="n">
        <f aca="false">(輸入與假設!C$173+運營_產能與收入!C$66*3/4)/輸入與假設!$C$139*輸入與假設!C$41/2+(輸入與假設!C$110+輸入與假設!C$107*3/4)/輸入與假設!$C$109*輸入與假設!C$41/2</f>
        <v>13.4645690611395</v>
      </c>
      <c r="E29" s="32" t="n">
        <f aca="false">(輸入與假設!D$173+運營_產能與收入!D$66*1/8)/輸入與假設!$C$139*輸入與假設!D$41/4+(輸入與假設!D$110+輸入與假設!D$107*1/8)/輸入與假設!$C$109*輸入與假設!D$41/4</f>
        <v>15.1282768687623</v>
      </c>
      <c r="F29" s="32" t="n">
        <f aca="false">(輸入與假設!D$173+運營_產能與收入!D$66*3/8)/輸入與假設!$C$139*輸入與假設!D$41/4+(輸入與假設!D$110+輸入與假設!D$107*3/8)/輸入與假設!$C$109*輸入與假設!D$41/4</f>
        <v>17.2151464432484</v>
      </c>
      <c r="G29" s="32" t="n">
        <f aca="false">(輸入與假設!D$173+運營_產能與收入!D$66*5/8)/輸入與假設!$C$139*輸入與假設!D$41/4+(輸入與假設!D$110+輸入與假設!D$107*5/8)/輸入與假設!$C$109*輸入與假設!D$41/4</f>
        <v>19.3020160177344</v>
      </c>
      <c r="H29" s="32" t="n">
        <f aca="false">(輸入與假設!D$173+運營_產能與收入!D$66*7/8)/輸入與假設!$C$139*輸入與假設!D$41/4+(輸入與假設!D$110+輸入與假設!D$107*7/8)/輸入與假設!$C$109*輸入與假設!D$41/4</f>
        <v>21.3888855922205</v>
      </c>
      <c r="J29" s="6" t="s">
        <v>1026</v>
      </c>
    </row>
    <row r="30" customFormat="false" ht="15" hidden="true" customHeight="false" outlineLevel="1" collapsed="false">
      <c r="A30" s="3" t="s">
        <v>1027</v>
      </c>
      <c r="B30" s="11" t="s">
        <v>59</v>
      </c>
      <c r="C30" s="32" t="n">
        <f aca="false">C28-C29</f>
        <v>-8.71314149679307</v>
      </c>
      <c r="D30" s="32" t="n">
        <f aca="false">D28-D29</f>
        <v>-8.37245448489713</v>
      </c>
      <c r="E30" s="32" t="n">
        <f aca="false">E28-E29</f>
        <v>-9.65613878987638</v>
      </c>
      <c r="F30" s="32" t="n">
        <f aca="false">F28-F29</f>
        <v>-10.69281870572</v>
      </c>
      <c r="G30" s="32" t="n">
        <f aca="false">G28-G29</f>
        <v>-11.7092726773135</v>
      </c>
      <c r="H30" s="32" t="n">
        <f aca="false">H28-H29</f>
        <v>-12.7055007046567</v>
      </c>
      <c r="J30" s="6" t="s">
        <v>1028</v>
      </c>
    </row>
    <row r="31" customFormat="false" ht="15" hidden="true" customHeight="false" outlineLevel="1" collapsed="false">
      <c r="A31" s="4" t="s">
        <v>1029</v>
      </c>
      <c r="B31" s="11" t="s">
        <v>59</v>
      </c>
      <c r="C31" s="32" t="n">
        <f aca="false">IF((C21+D21)&gt;0,輸入與假設!C$175*C21/(C21+D21),輸入與假設!C$175/2)</f>
        <v>64.2662099564625</v>
      </c>
      <c r="D31" s="32" t="n">
        <f aca="false">IF((C21+D21)&gt;0,輸入與假設!C$175*D21/(C21+D21),輸入與假設!C$175/2)</f>
        <v>64.2662099564625</v>
      </c>
      <c r="E31" s="32" t="n">
        <f aca="false">IF((E21+F21+G21+H21)&gt;0,輸入與假設!D$175*E21/(E21+F21+G21+H21),輸入與假設!D$175/4)</f>
        <v>106.7853397314</v>
      </c>
      <c r="F31" s="32" t="n">
        <f aca="false">IF((E21+F21+G21+H21)&gt;0,輸入與假設!D$175*F21/(E21+F21+G21+H21),輸入與假設!D$175/4)</f>
        <v>106.7853397314</v>
      </c>
      <c r="G31" s="32" t="n">
        <f aca="false">IF((E21+F21+G21+H21)&gt;0,輸入與假設!D$175*G21/(E21+F21+G21+H21),輸入與假設!D$175/4)</f>
        <v>106.7853397314</v>
      </c>
      <c r="H31" s="32" t="n">
        <f aca="false">IF((E21+F21+G21+H21)&gt;0,輸入與假設!D$175*H21/(E21+F21+G21+H21),輸入與假設!D$175/4)</f>
        <v>106.7853397314</v>
      </c>
      <c r="J31" s="6" t="s">
        <v>1030</v>
      </c>
    </row>
    <row r="32" customFormat="false" ht="15" hidden="true" customHeight="false" outlineLevel="1" collapsed="false">
      <c r="A32" s="3" t="s">
        <v>1031</v>
      </c>
      <c r="B32" s="11" t="s">
        <v>59</v>
      </c>
      <c r="C32" s="65" t="s">
        <v>995</v>
      </c>
      <c r="D32" s="65" t="s">
        <v>995</v>
      </c>
      <c r="E32" s="65" t="s">
        <v>995</v>
      </c>
      <c r="F32" s="65" t="s">
        <v>995</v>
      </c>
      <c r="G32" s="65" t="s">
        <v>995</v>
      </c>
      <c r="H32" s="65" t="s">
        <v>995</v>
      </c>
      <c r="J32" s="11" t="s">
        <v>1032</v>
      </c>
    </row>
    <row r="33" customFormat="false" ht="15" hidden="true" customHeight="false" outlineLevel="1" collapsed="false">
      <c r="A33" s="3" t="s">
        <v>1033</v>
      </c>
      <c r="B33" s="11" t="s">
        <v>59</v>
      </c>
      <c r="C33" s="65" t="s">
        <v>995</v>
      </c>
      <c r="D33" s="65" t="s">
        <v>995</v>
      </c>
      <c r="E33" s="65" t="s">
        <v>995</v>
      </c>
      <c r="F33" s="65" t="s">
        <v>995</v>
      </c>
      <c r="G33" s="65" t="s">
        <v>995</v>
      </c>
      <c r="H33" s="65" t="s">
        <v>995</v>
      </c>
      <c r="J33" s="11" t="s">
        <v>1032</v>
      </c>
    </row>
    <row r="34" customFormat="false" ht="15" hidden="true" customHeight="false" outlineLevel="1" collapsed="false">
      <c r="A34" s="3" t="s">
        <v>1034</v>
      </c>
      <c r="B34" s="11" t="s">
        <v>42</v>
      </c>
      <c r="C34" s="66" t="s">
        <v>995</v>
      </c>
      <c r="D34" s="66" t="s">
        <v>995</v>
      </c>
      <c r="E34" s="66" t="s">
        <v>995</v>
      </c>
      <c r="F34" s="66" t="s">
        <v>995</v>
      </c>
      <c r="G34" s="66" t="s">
        <v>995</v>
      </c>
      <c r="H34" s="66" t="s">
        <v>995</v>
      </c>
      <c r="J34" s="6" t="s">
        <v>1035</v>
      </c>
    </row>
    <row r="35" customFormat="false" ht="15" hidden="true" customHeight="false" outlineLevel="1" collapsed="false">
      <c r="A35" s="3" t="s">
        <v>1036</v>
      </c>
      <c r="B35" s="11" t="s">
        <v>59</v>
      </c>
      <c r="C35" s="43" t="str">
        <f aca="false">IF(ISNUMBER(輸入與假設!C$376),輸入與假設!C$376,"")</f>
        <v/>
      </c>
      <c r="D35" s="43" t="str">
        <f aca="false">IF(ISNUMBER(輸入與假設!D$376),輸入與假設!D$376,"")</f>
        <v/>
      </c>
      <c r="E35" s="43" t="str">
        <f aca="false">IF(ISNUMBER(輸入與假設!E$376),輸入與假設!E$376,"")</f>
        <v/>
      </c>
      <c r="F35" s="43" t="str">
        <f aca="false">IF(ISNUMBER(輸入與假設!F$376),輸入與假設!F$376,"")</f>
        <v/>
      </c>
      <c r="G35" s="43" t="str">
        <f aca="false">IF(ISNUMBER(輸入與假設!G$376),輸入與假設!G$376,"")</f>
        <v/>
      </c>
      <c r="H35" s="43" t="str">
        <f aca="false">IF(ISNUMBER(輸入與假設!H$376),輸入與假設!H$376,"")</f>
        <v/>
      </c>
    </row>
    <row r="36" customFormat="false" ht="15" hidden="true" customHeight="false" outlineLevel="1" collapsed="false">
      <c r="A36" s="3" t="s">
        <v>1037</v>
      </c>
      <c r="B36" s="11" t="s">
        <v>59</v>
      </c>
      <c r="C36" s="43" t="str">
        <f aca="false">IF(ISNUMBER(輸入與假設!C$377),輸入與假設!C$377,"")</f>
        <v/>
      </c>
      <c r="D36" s="43" t="str">
        <f aca="false">IF(ISNUMBER(輸入與假設!D$377),輸入與假設!D$377,"")</f>
        <v/>
      </c>
      <c r="E36" s="43" t="str">
        <f aca="false">IF(ISNUMBER(輸入與假設!E$377),輸入與假設!E$377,"")</f>
        <v/>
      </c>
      <c r="F36" s="43" t="str">
        <f aca="false">IF(ISNUMBER(輸入與假設!F$377),輸入與假設!F$377,"")</f>
        <v/>
      </c>
      <c r="G36" s="43" t="str">
        <f aca="false">IF(ISNUMBER(輸入與假設!G$377),輸入與假設!G$377,"")</f>
        <v/>
      </c>
      <c r="H36" s="43" t="str">
        <f aca="false">IF(ISNUMBER(輸入與假設!H$377),輸入與假設!H$377,"")</f>
        <v/>
      </c>
    </row>
    <row r="37" customFormat="false" ht="15" hidden="true" customHeight="false" outlineLevel="1" collapsed="false">
      <c r="A37" s="3" t="s">
        <v>1038</v>
      </c>
      <c r="B37" s="11" t="s">
        <v>42</v>
      </c>
      <c r="C37" s="66" t="str">
        <f aca="false">IF(AND(ISNUMBER(輸入與假設!C$377),ISNUMBER(輸入與假設!C$376)),輸入與假設!C$377/輸入與假設!C$376,"")</f>
        <v/>
      </c>
      <c r="D37" s="66" t="str">
        <f aca="false">IF(AND(ISNUMBER(輸入與假設!D$377),ISNUMBER(輸入與假設!D$376)),輸入與假設!D$377/輸入與假設!D$376,"")</f>
        <v/>
      </c>
      <c r="E37" s="66" t="str">
        <f aca="false">IF(AND(ISNUMBER(輸入與假設!E$377),ISNUMBER(輸入與假設!E$376)),輸入與假設!E$377/輸入與假設!E$376,"")</f>
        <v/>
      </c>
      <c r="F37" s="66" t="str">
        <f aca="false">IF(AND(ISNUMBER(輸入與假設!F$377),ISNUMBER(輸入與假設!F$376)),輸入與假設!F$377/輸入與假設!F$376,"")</f>
        <v/>
      </c>
      <c r="G37" s="66" t="str">
        <f aca="false">IF(AND(ISNUMBER(輸入與假設!G$377),ISNUMBER(輸入與假設!G$376)),輸入與假設!G$377/輸入與假設!G$376,"")</f>
        <v/>
      </c>
      <c r="H37" s="66" t="str">
        <f aca="false">IF(AND(ISNUMBER(輸入與假設!H$377),ISNUMBER(輸入與假設!H$376)),輸入與假設!H$377/輸入與假設!H$376,"")</f>
        <v/>
      </c>
      <c r="J37" s="6" t="s">
        <v>1039</v>
      </c>
    </row>
    <row r="38" customFormat="false" ht="15" hidden="true" customHeight="false" outlineLevel="1" collapsed="false">
      <c r="A38" s="3" t="s">
        <v>1040</v>
      </c>
      <c r="B38" s="11" t="s">
        <v>59</v>
      </c>
      <c r="C38" s="43" t="str">
        <f aca="false">IF(ISNUMBER(輸入與假設!C$378),輸入與假設!C$378,"")</f>
        <v/>
      </c>
      <c r="D38" s="43" t="str">
        <f aca="false">IF(ISNUMBER(輸入與假設!D$378),輸入與假設!D$378,"")</f>
        <v/>
      </c>
      <c r="E38" s="43" t="str">
        <f aca="false">IF(ISNUMBER(輸入與假設!E$378),輸入與假設!E$378,"")</f>
        <v/>
      </c>
      <c r="F38" s="43" t="str">
        <f aca="false">IF(ISNUMBER(輸入與假設!F$378),輸入與假設!F$378,"")</f>
        <v/>
      </c>
      <c r="G38" s="43" t="str">
        <f aca="false">IF(ISNUMBER(輸入與假設!G$378),輸入與假設!G$378,"")</f>
        <v/>
      </c>
      <c r="H38" s="43" t="str">
        <f aca="false">IF(ISNUMBER(輸入與假設!H$378),輸入與假設!H$378,"")</f>
        <v/>
      </c>
    </row>
    <row r="39" customFormat="false" ht="15" hidden="true" customHeight="false" outlineLevel="1" collapsed="false">
      <c r="A39" s="3" t="s">
        <v>1041</v>
      </c>
      <c r="B39" s="11" t="s">
        <v>59</v>
      </c>
      <c r="C39" s="43" t="str">
        <f aca="false">IF(ISNUMBER(輸入與假設!C$379),輸入與假設!C$379,"")</f>
        <v/>
      </c>
      <c r="D39" s="43" t="str">
        <f aca="false">IF(ISNUMBER(輸入與假設!D$379),輸入與假設!D$379,"")</f>
        <v/>
      </c>
      <c r="E39" s="43" t="str">
        <f aca="false">IF(ISNUMBER(輸入與假設!E$379),輸入與假設!E$379,"")</f>
        <v/>
      </c>
      <c r="F39" s="43" t="str">
        <f aca="false">IF(ISNUMBER(輸入與假設!F$379),輸入與假設!F$379,"")</f>
        <v/>
      </c>
      <c r="G39" s="43" t="str">
        <f aca="false">IF(ISNUMBER(輸入與假設!G$379),輸入與假設!G$379,"")</f>
        <v/>
      </c>
      <c r="H39" s="43" t="str">
        <f aca="false">IF(ISNUMBER(輸入與假設!H$379),輸入與假設!H$379,"")</f>
        <v/>
      </c>
    </row>
    <row r="40" customFormat="false" ht="15" hidden="true" customHeight="false" outlineLevel="1" collapsed="false">
      <c r="A40" s="3" t="s">
        <v>1042</v>
      </c>
      <c r="B40" s="11" t="s">
        <v>143</v>
      </c>
      <c r="C40" s="43" t="str">
        <f aca="false">IF(ISNUMBER(輸入與假設!C$380),輸入與假設!C$380,"")</f>
        <v/>
      </c>
      <c r="D40" s="43" t="str">
        <f aca="false">IF(ISNUMBER(輸入與假設!D$380),輸入與假設!D$380,"")</f>
        <v/>
      </c>
      <c r="E40" s="43" t="str">
        <f aca="false">IF(ISNUMBER(輸入與假設!E$380),輸入與假設!E$380,"")</f>
        <v/>
      </c>
      <c r="F40" s="43" t="str">
        <f aca="false">IF(ISNUMBER(輸入與假設!F$380),輸入與假設!F$380,"")</f>
        <v/>
      </c>
      <c r="G40" s="43" t="str">
        <f aca="false">IF(ISNUMBER(輸入與假設!G$380),輸入與假設!G$380,"")</f>
        <v/>
      </c>
      <c r="H40" s="43" t="str">
        <f aca="false">IF(ISNUMBER(輸入與假設!H$380),輸入與假設!H$380,"")</f>
        <v/>
      </c>
    </row>
    <row r="41" customFormat="false" ht="15" hidden="true" customHeight="false" outlineLevel="1" collapsed="false">
      <c r="A41" s="3" t="s">
        <v>1043</v>
      </c>
      <c r="B41" s="11" t="s">
        <v>42</v>
      </c>
      <c r="C41" s="66" t="str">
        <f aca="false">IF(AND(ISNUMBER(C22),ISNUMBER(C32),C32&lt;&gt;0),C22/(C32)-1,"不適用")</f>
        <v>不適用</v>
      </c>
      <c r="D41" s="66" t="str">
        <f aca="false">IF(AND(ISNUMBER(D22),ISNUMBER(D32),D32&lt;&gt;0),D22/(D32)-1,"不適用")</f>
        <v>不適用</v>
      </c>
      <c r="E41" s="66" t="str">
        <f aca="false">IF(AND(ISNUMBER(E22),ISNUMBER(E32),E32&lt;&gt;0),E22/(E32)-1,"不適用")</f>
        <v>不適用</v>
      </c>
      <c r="F41" s="66" t="str">
        <f aca="false">IF(AND(ISNUMBER(F22),ISNUMBER(F32),F32&lt;&gt;0),F22/(F32)-1,"不適用")</f>
        <v>不適用</v>
      </c>
      <c r="G41" s="66" t="str">
        <f aca="false">IF(AND(ISNUMBER(G22),ISNUMBER(G32),G32&lt;&gt;0),G22/(G32)-1,"不適用")</f>
        <v>不適用</v>
      </c>
      <c r="H41" s="66" t="str">
        <f aca="false">IF(AND(ISNUMBER(H22),ISNUMBER(H32),H32&lt;&gt;0),H22/(H32)-1,"不適用")</f>
        <v>不適用</v>
      </c>
    </row>
    <row r="42" customFormat="false" ht="15" hidden="true" customHeight="false" outlineLevel="1" collapsed="false">
      <c r="A42" s="3" t="s">
        <v>1044</v>
      </c>
      <c r="B42" s="11" t="s">
        <v>42</v>
      </c>
      <c r="C42" s="66" t="s">
        <v>995</v>
      </c>
      <c r="D42" s="66" t="s">
        <v>995</v>
      </c>
      <c r="E42" s="66" t="s">
        <v>995</v>
      </c>
      <c r="F42" s="66" t="s">
        <v>995</v>
      </c>
      <c r="G42" s="66" t="s">
        <v>995</v>
      </c>
      <c r="H42" s="66" t="s">
        <v>995</v>
      </c>
    </row>
    <row r="43" customFormat="false" ht="15" hidden="true" customHeight="false" outlineLevel="1" collapsed="false">
      <c r="A43" s="3" t="s">
        <v>1045</v>
      </c>
      <c r="B43" s="11" t="s">
        <v>42</v>
      </c>
      <c r="C43" s="66" t="str">
        <f aca="false">IF(ISNUMBER(C35),IF(AND(ISNUMBER(C22),C22&lt;&gt;0),C35/(C22)-1,"不適用"),"")</f>
        <v/>
      </c>
      <c r="D43" s="66" t="str">
        <f aca="false">IF(ISNUMBER(D35),IF(AND(ISNUMBER(D22),D22&lt;&gt;0),D35/(D22)-1,"不適用"),"")</f>
        <v/>
      </c>
      <c r="E43" s="66" t="str">
        <f aca="false">IF(ISNUMBER(E35),IF(AND(ISNUMBER(E22),E22&lt;&gt;0),E35/(E22)-1,"不適用"),"")</f>
        <v/>
      </c>
      <c r="F43" s="66" t="str">
        <f aca="false">IF(ISNUMBER(F35),IF(AND(ISNUMBER(F22),F22&lt;&gt;0),F35/(F22)-1,"不適用"),"")</f>
        <v/>
      </c>
      <c r="G43" s="66" t="str">
        <f aca="false">IF(ISNUMBER(G35),IF(AND(ISNUMBER(G22),G22&lt;&gt;0),G35/(G22)-1,"不適用"),"")</f>
        <v/>
      </c>
      <c r="H43" s="66" t="str">
        <f aca="false">IF(ISNUMBER(H35),IF(AND(ISNUMBER(H22),H22&lt;&gt;0),H35/(H22)-1,"不適用"),"")</f>
        <v/>
      </c>
    </row>
    <row r="44" customFormat="false" ht="15" hidden="true" customHeight="false" outlineLevel="1" collapsed="false">
      <c r="A44" s="3" t="s">
        <v>1046</v>
      </c>
      <c r="B44" s="11" t="s">
        <v>42</v>
      </c>
      <c r="C44" s="66" t="str">
        <f aca="false">IF(ISNUMBER(C35),IF(AND(ISNUMBER(C32),C32&lt;&gt;0),C35/(C32)-1,"不適用"),"")</f>
        <v/>
      </c>
      <c r="D44" s="66" t="str">
        <f aca="false">IF(ISNUMBER(D35),IF(AND(ISNUMBER(D32),D32&lt;&gt;0),D35/(D32)-1,"不適用"),"")</f>
        <v/>
      </c>
      <c r="E44" s="66" t="str">
        <f aca="false">IF(ISNUMBER(E35),IF(AND(ISNUMBER(E32),E32&lt;&gt;0),E35/(E32)-1,"不適用"),"")</f>
        <v/>
      </c>
      <c r="F44" s="66" t="str">
        <f aca="false">IF(ISNUMBER(F35),IF(AND(ISNUMBER(F32),F32&lt;&gt;0),F35/(F32)-1,"不適用"),"")</f>
        <v/>
      </c>
      <c r="G44" s="66" t="str">
        <f aca="false">IF(ISNUMBER(G35),IF(AND(ISNUMBER(G32),G32&lt;&gt;0),G35/(G32)-1,"不適用"),"")</f>
        <v/>
      </c>
      <c r="H44" s="66" t="str">
        <f aca="false">IF(ISNUMBER(H35),IF(AND(ISNUMBER(H32),H32&lt;&gt;0),H35/(H32)-1,"不適用"),"")</f>
        <v/>
      </c>
    </row>
    <row r="45" customFormat="false" ht="15" hidden="true" customHeight="false" outlineLevel="1" collapsed="false">
      <c r="A45" s="3" t="s">
        <v>1047</v>
      </c>
      <c r="B45" s="11" t="s">
        <v>42</v>
      </c>
      <c r="C45" s="66" t="str">
        <f aca="false">IF(ISNUMBER(C35),"不適用","")</f>
        <v/>
      </c>
      <c r="D45" s="66" t="str">
        <f aca="false">IF(ISNUMBER(D35),"不適用","")</f>
        <v/>
      </c>
      <c r="E45" s="66" t="str">
        <f aca="false">IF(ISNUMBER(E35),"不適用","")</f>
        <v/>
      </c>
      <c r="F45" s="66" t="str">
        <f aca="false">IF(ISNUMBER(F35),"不適用","")</f>
        <v/>
      </c>
      <c r="G45" s="66" t="str">
        <f aca="false">IF(ISNUMBER(G35),"不適用","")</f>
        <v/>
      </c>
      <c r="H45" s="66" t="str">
        <f aca="false">IF(ISNUMBER(H35),"不適用","")</f>
        <v/>
      </c>
    </row>
    <row r="46" customFormat="false" ht="15" hidden="true" customHeight="false" outlineLevel="1" collapsed="false">
      <c r="A46" s="3" t="s">
        <v>1048</v>
      </c>
      <c r="B46" s="11" t="s">
        <v>59</v>
      </c>
      <c r="C46" s="65" t="str">
        <f aca="false">IF(AND(ISNUMBER(C28),ISNUMBER(C33)),C28-(C33),"不適用")</f>
        <v>不適用</v>
      </c>
      <c r="D46" s="65" t="str">
        <f aca="false">IF(AND(ISNUMBER(D28),ISNUMBER(D33)),D28-(D33),"不適用")</f>
        <v>不適用</v>
      </c>
      <c r="E46" s="65" t="str">
        <f aca="false">IF(AND(ISNUMBER(E28),ISNUMBER(E33)),E28-(E33),"不適用")</f>
        <v>不適用</v>
      </c>
      <c r="F46" s="65" t="str">
        <f aca="false">IF(AND(ISNUMBER(F28),ISNUMBER(F33)),F28-(F33),"不適用")</f>
        <v>不適用</v>
      </c>
      <c r="G46" s="65" t="str">
        <f aca="false">IF(AND(ISNUMBER(G28),ISNUMBER(G33)),G28-(G33),"不適用")</f>
        <v>不適用</v>
      </c>
      <c r="H46" s="65" t="str">
        <f aca="false">IF(AND(ISNUMBER(H28),ISNUMBER(H33)),H28-(H33),"不適用")</f>
        <v>不適用</v>
      </c>
    </row>
    <row r="47" customFormat="false" ht="15" hidden="true" customHeight="false" outlineLevel="1" collapsed="false">
      <c r="A47" s="3" t="s">
        <v>1049</v>
      </c>
      <c r="B47" s="11" t="s">
        <v>59</v>
      </c>
      <c r="C47" s="65" t="s">
        <v>995</v>
      </c>
      <c r="D47" s="65" t="s">
        <v>995</v>
      </c>
      <c r="E47" s="65" t="s">
        <v>995</v>
      </c>
      <c r="F47" s="65" t="s">
        <v>995</v>
      </c>
      <c r="G47" s="65" t="s">
        <v>995</v>
      </c>
      <c r="H47" s="65" t="s">
        <v>995</v>
      </c>
    </row>
    <row r="48" customFormat="false" ht="15" hidden="true" customHeight="false" outlineLevel="1" collapsed="false">
      <c r="A48" s="3" t="s">
        <v>1050</v>
      </c>
      <c r="B48" s="11" t="s">
        <v>59</v>
      </c>
      <c r="C48" s="65" t="str">
        <f aca="false">IF(ISNUMBER(C36),IF(AND(ISNUMBER(C28)),C36-(C28),"不適用"),"")</f>
        <v/>
      </c>
      <c r="D48" s="65" t="str">
        <f aca="false">IF(ISNUMBER(D36),IF(AND(ISNUMBER(D28)),D36-(D28),"不適用"),"")</f>
        <v/>
      </c>
      <c r="E48" s="65" t="str">
        <f aca="false">IF(ISNUMBER(E36),IF(AND(ISNUMBER(E28)),E36-(E28),"不適用"),"")</f>
        <v/>
      </c>
      <c r="F48" s="65" t="str">
        <f aca="false">IF(ISNUMBER(F36),IF(AND(ISNUMBER(F28)),F36-(F28),"不適用"),"")</f>
        <v/>
      </c>
      <c r="G48" s="65" t="str">
        <f aca="false">IF(ISNUMBER(G36),IF(AND(ISNUMBER(G28)),G36-(G28),"不適用"),"")</f>
        <v/>
      </c>
      <c r="H48" s="65" t="str">
        <f aca="false">IF(ISNUMBER(H36),IF(AND(ISNUMBER(H28)),H36-(H28),"不適用"),"")</f>
        <v/>
      </c>
    </row>
    <row r="49" customFormat="false" ht="15" hidden="true" customHeight="false" outlineLevel="1" collapsed="false">
      <c r="A49" s="3" t="s">
        <v>1051</v>
      </c>
      <c r="B49" s="11" t="s">
        <v>59</v>
      </c>
      <c r="C49" s="65" t="str">
        <f aca="false">IF(ISNUMBER(C36),IF(AND(ISNUMBER(C33)),C36-(C33),"不適用"),"")</f>
        <v/>
      </c>
      <c r="D49" s="65" t="str">
        <f aca="false">IF(ISNUMBER(D36),IF(AND(ISNUMBER(D33)),D36-(D33),"不適用"),"")</f>
        <v/>
      </c>
      <c r="E49" s="65" t="str">
        <f aca="false">IF(ISNUMBER(E36),IF(AND(ISNUMBER(E33)),E36-(E33),"不適用"),"")</f>
        <v/>
      </c>
      <c r="F49" s="65" t="str">
        <f aca="false">IF(ISNUMBER(F36),IF(AND(ISNUMBER(F33)),F36-(F33),"不適用"),"")</f>
        <v/>
      </c>
      <c r="G49" s="65" t="str">
        <f aca="false">IF(ISNUMBER(G36),IF(AND(ISNUMBER(G33)),G36-(G33),"不適用"),"")</f>
        <v/>
      </c>
      <c r="H49" s="65" t="str">
        <f aca="false">IF(ISNUMBER(H36),IF(AND(ISNUMBER(H33)),H36-(H33),"不適用"),"")</f>
        <v/>
      </c>
    </row>
    <row r="50" customFormat="false" ht="15" hidden="true" customHeight="false" outlineLevel="1" collapsed="false">
      <c r="A50" s="3" t="s">
        <v>1052</v>
      </c>
      <c r="B50" s="11" t="s">
        <v>59</v>
      </c>
      <c r="C50" s="65" t="str">
        <f aca="false">IF(ISNUMBER(C36),"不適用","")</f>
        <v/>
      </c>
      <c r="D50" s="65" t="str">
        <f aca="false">IF(ISNUMBER(D36),"不適用","")</f>
        <v/>
      </c>
      <c r="E50" s="65" t="str">
        <f aca="false">IF(ISNUMBER(E36),"不適用","")</f>
        <v/>
      </c>
      <c r="F50" s="65" t="str">
        <f aca="false">IF(ISNUMBER(F36),"不適用","")</f>
        <v/>
      </c>
      <c r="G50" s="65" t="str">
        <f aca="false">IF(ISNUMBER(G36),"不適用","")</f>
        <v/>
      </c>
      <c r="H50" s="65" t="str">
        <f aca="false">IF(ISNUMBER(H36),"不適用","")</f>
        <v/>
      </c>
    </row>
    <row r="51" customFormat="false" ht="15" hidden="true" customHeight="false" outlineLevel="1" collapsed="false">
      <c r="A51" s="3" t="s">
        <v>1053</v>
      </c>
      <c r="B51" s="11" t="s">
        <v>71</v>
      </c>
      <c r="C51" s="66" t="str">
        <f aca="false">IF(AND(ISNUMBER(C28),ISNUMBER(C22),C22&lt;&gt;0,ISNUMBER(C33),ISNUMBER(C32),C32&lt;&gt;0),C28/C22-C33/C32,"不適用")</f>
        <v>不適用</v>
      </c>
      <c r="D51" s="66" t="str">
        <f aca="false">IF(AND(ISNUMBER(D28),ISNUMBER(D22),D22&lt;&gt;0,ISNUMBER(D33),ISNUMBER(D32),D32&lt;&gt;0),D28/D22-D33/D32,"不適用")</f>
        <v>不適用</v>
      </c>
      <c r="E51" s="66" t="str">
        <f aca="false">IF(AND(ISNUMBER(E28),ISNUMBER(E22),E22&lt;&gt;0,ISNUMBER(E33),ISNUMBER(E32),E32&lt;&gt;0),E28/E22-E33/E32,"不適用")</f>
        <v>不適用</v>
      </c>
      <c r="F51" s="66" t="str">
        <f aca="false">IF(AND(ISNUMBER(F28),ISNUMBER(F22),F22&lt;&gt;0,ISNUMBER(F33),ISNUMBER(F32),F32&lt;&gt;0),F28/F22-F33/F32,"不適用")</f>
        <v>不適用</v>
      </c>
      <c r="G51" s="66" t="str">
        <f aca="false">IF(AND(ISNUMBER(G28),ISNUMBER(G22),G22&lt;&gt;0,ISNUMBER(G33),ISNUMBER(G32),G32&lt;&gt;0),G28/G22-G33/G32,"不適用")</f>
        <v>不適用</v>
      </c>
      <c r="H51" s="66" t="str">
        <f aca="false">IF(AND(ISNUMBER(H28),ISNUMBER(H22),H22&lt;&gt;0,ISNUMBER(H33),ISNUMBER(H32),H32&lt;&gt;0),H28/H22-H33/H32,"不適用")</f>
        <v>不適用</v>
      </c>
    </row>
    <row r="52" customFormat="false" ht="15" hidden="true" customHeight="false" outlineLevel="1" collapsed="false">
      <c r="A52" s="3" t="s">
        <v>1054</v>
      </c>
      <c r="B52" s="11" t="s">
        <v>71</v>
      </c>
      <c r="C52" s="66" t="s">
        <v>995</v>
      </c>
      <c r="D52" s="66" t="s">
        <v>995</v>
      </c>
      <c r="E52" s="66" t="s">
        <v>995</v>
      </c>
      <c r="F52" s="66" t="s">
        <v>995</v>
      </c>
      <c r="G52" s="66" t="s">
        <v>995</v>
      </c>
      <c r="H52" s="66" t="s">
        <v>995</v>
      </c>
    </row>
    <row r="53" customFormat="false" ht="15" hidden="true" customHeight="false" outlineLevel="1" collapsed="false">
      <c r="A53" s="3" t="s">
        <v>1055</v>
      </c>
      <c r="B53" s="11" t="s">
        <v>71</v>
      </c>
      <c r="C53" s="66" t="str">
        <f aca="false">IF(ISNUMBER(C36),IF(AND(ISNUMBER(C36),ISNUMBER(C35),C35&lt;&gt;0,ISNUMBER(C28),ISNUMBER(C22),C22&lt;&gt;0),C36/C35-C28/C22,"不適用"),"")</f>
        <v/>
      </c>
      <c r="D53" s="66" t="str">
        <f aca="false">IF(ISNUMBER(D36),IF(AND(ISNUMBER(D36),ISNUMBER(D35),D35&lt;&gt;0,ISNUMBER(D28),ISNUMBER(D22),D22&lt;&gt;0),D36/D35-D28/D22,"不適用"),"")</f>
        <v/>
      </c>
      <c r="E53" s="66" t="str">
        <f aca="false">IF(ISNUMBER(E36),IF(AND(ISNUMBER(E36),ISNUMBER(E35),E35&lt;&gt;0,ISNUMBER(E28),ISNUMBER(E22),E22&lt;&gt;0),E36/E35-E28/E22,"不適用"),"")</f>
        <v/>
      </c>
      <c r="F53" s="66" t="str">
        <f aca="false">IF(ISNUMBER(F36),IF(AND(ISNUMBER(F36),ISNUMBER(F35),F35&lt;&gt;0,ISNUMBER(F28),ISNUMBER(F22),F22&lt;&gt;0),F36/F35-F28/F22,"不適用"),"")</f>
        <v/>
      </c>
      <c r="G53" s="66" t="str">
        <f aca="false">IF(ISNUMBER(G36),IF(AND(ISNUMBER(G36),ISNUMBER(G35),G35&lt;&gt;0,ISNUMBER(G28),ISNUMBER(G22),G22&lt;&gt;0),G36/G35-G28/G22,"不適用"),"")</f>
        <v/>
      </c>
      <c r="H53" s="66" t="str">
        <f aca="false">IF(ISNUMBER(H36),IF(AND(ISNUMBER(H36),ISNUMBER(H35),H35&lt;&gt;0,ISNUMBER(H28),ISNUMBER(H22),H22&lt;&gt;0),H36/H35-H28/H22,"不適用"),"")</f>
        <v/>
      </c>
    </row>
    <row r="54" customFormat="false" ht="15" hidden="true" customHeight="false" outlineLevel="1" collapsed="false">
      <c r="A54" s="3" t="s">
        <v>1056</v>
      </c>
      <c r="B54" s="11" t="s">
        <v>71</v>
      </c>
      <c r="C54" s="66" t="str">
        <f aca="false">IF(ISNUMBER(C36),IF(AND(ISNUMBER(C36),ISNUMBER(C35),C35&lt;&gt;0,ISNUMBER(C33),ISNUMBER(C32),C32&lt;&gt;0),C36/C35-C33/C32,"不適用"),"")</f>
        <v/>
      </c>
      <c r="D54" s="66" t="str">
        <f aca="false">IF(ISNUMBER(D36),IF(AND(ISNUMBER(D36),ISNUMBER(D35),D35&lt;&gt;0,ISNUMBER(D33),ISNUMBER(D32),D32&lt;&gt;0),D36/D35-D33/D32,"不適用"),"")</f>
        <v/>
      </c>
      <c r="E54" s="66" t="str">
        <f aca="false">IF(ISNUMBER(E36),IF(AND(ISNUMBER(E36),ISNUMBER(E35),E35&lt;&gt;0,ISNUMBER(E33),ISNUMBER(E32),E32&lt;&gt;0),E36/E35-E33/E32,"不適用"),"")</f>
        <v/>
      </c>
      <c r="F54" s="66" t="str">
        <f aca="false">IF(ISNUMBER(F36),IF(AND(ISNUMBER(F36),ISNUMBER(F35),F35&lt;&gt;0,ISNUMBER(F33),ISNUMBER(F32),F32&lt;&gt;0),F36/F35-F33/F32,"不適用"),"")</f>
        <v/>
      </c>
      <c r="G54" s="66" t="str">
        <f aca="false">IF(ISNUMBER(G36),IF(AND(ISNUMBER(G36),ISNUMBER(G35),G35&lt;&gt;0,ISNUMBER(G33),ISNUMBER(G32),G32&lt;&gt;0),G36/G35-G33/G32,"不適用"),"")</f>
        <v/>
      </c>
      <c r="H54" s="66" t="str">
        <f aca="false">IF(ISNUMBER(H36),IF(AND(ISNUMBER(H36),ISNUMBER(H35),H35&lt;&gt;0,ISNUMBER(H33),ISNUMBER(H32),H32&lt;&gt;0),H36/H35-H33/H32,"不適用"),"")</f>
        <v/>
      </c>
    </row>
    <row r="55" customFormat="false" ht="15" hidden="true" customHeight="false" outlineLevel="1" collapsed="false">
      <c r="A55" s="3" t="s">
        <v>1057</v>
      </c>
      <c r="B55" s="11" t="s">
        <v>71</v>
      </c>
      <c r="C55" s="66" t="str">
        <f aca="false">IF(ISNUMBER(C36),"不適用","")</f>
        <v/>
      </c>
      <c r="D55" s="66" t="str">
        <f aca="false">IF(ISNUMBER(D36),"不適用","")</f>
        <v/>
      </c>
      <c r="E55" s="66" t="str">
        <f aca="false">IF(ISNUMBER(E36),"不適用","")</f>
        <v/>
      </c>
      <c r="F55" s="66" t="str">
        <f aca="false">IF(ISNUMBER(F36),"不適用","")</f>
        <v/>
      </c>
      <c r="G55" s="66" t="str">
        <f aca="false">IF(ISNUMBER(G36),"不適用","")</f>
        <v/>
      </c>
      <c r="H55" s="66" t="str">
        <f aca="false">IF(ISNUMBER(H36),"不適用","")</f>
        <v/>
      </c>
    </row>
    <row r="56" customFormat="false" ht="15" hidden="true" customHeight="false" outlineLevel="1" collapsed="false">
      <c r="A56" s="3" t="s">
        <v>1058</v>
      </c>
      <c r="B56" s="11" t="s">
        <v>71</v>
      </c>
      <c r="C56" s="66" t="str">
        <f aca="false">IF(AND(ISNUMBER(C27),ISNUMBER(C34)),C27-(C34),"不適用")</f>
        <v>不適用</v>
      </c>
      <c r="D56" s="66" t="str">
        <f aca="false">IF(AND(ISNUMBER(D27),ISNUMBER(D34)),D27-(D34),"不適用")</f>
        <v>不適用</v>
      </c>
      <c r="E56" s="66" t="str">
        <f aca="false">IF(AND(ISNUMBER(E27),ISNUMBER(E34)),E27-(E34),"不適用")</f>
        <v>不適用</v>
      </c>
      <c r="F56" s="66" t="str">
        <f aca="false">IF(AND(ISNUMBER(F27),ISNUMBER(F34)),F27-(F34),"不適用")</f>
        <v>不適用</v>
      </c>
      <c r="G56" s="66" t="str">
        <f aca="false">IF(AND(ISNUMBER(G27),ISNUMBER(G34)),G27-(G34),"不適用")</f>
        <v>不適用</v>
      </c>
      <c r="H56" s="66" t="str">
        <f aca="false">IF(AND(ISNUMBER(H27),ISNUMBER(H34)),H27-(H34),"不適用")</f>
        <v>不適用</v>
      </c>
    </row>
    <row r="57" customFormat="false" ht="15" hidden="true" customHeight="false" outlineLevel="1" collapsed="false">
      <c r="A57" s="3" t="s">
        <v>1059</v>
      </c>
      <c r="B57" s="11" t="s">
        <v>71</v>
      </c>
      <c r="C57" s="66" t="s">
        <v>995</v>
      </c>
      <c r="D57" s="66" t="s">
        <v>995</v>
      </c>
      <c r="E57" s="66" t="s">
        <v>995</v>
      </c>
      <c r="F57" s="66" t="s">
        <v>995</v>
      </c>
      <c r="G57" s="66" t="s">
        <v>995</v>
      </c>
      <c r="H57" s="66" t="s">
        <v>995</v>
      </c>
    </row>
    <row r="58" customFormat="false" ht="15" hidden="true" customHeight="false" outlineLevel="1" collapsed="false">
      <c r="A58" s="3" t="s">
        <v>1060</v>
      </c>
      <c r="B58" s="11" t="s">
        <v>71</v>
      </c>
      <c r="C58" s="66" t="str">
        <f aca="false">IF(ISNUMBER(C37),IF(AND(ISNUMBER(C27)),C37-(C27),"不適用"),"")</f>
        <v/>
      </c>
      <c r="D58" s="66" t="str">
        <f aca="false">IF(ISNUMBER(D37),IF(AND(ISNUMBER(D27)),D37-(D27),"不適用"),"")</f>
        <v/>
      </c>
      <c r="E58" s="66" t="str">
        <f aca="false">IF(ISNUMBER(E37),IF(AND(ISNUMBER(E27)),E37-(E27),"不適用"),"")</f>
        <v/>
      </c>
      <c r="F58" s="66" t="str">
        <f aca="false">IF(ISNUMBER(F37),IF(AND(ISNUMBER(F27)),F37-(F27),"不適用"),"")</f>
        <v/>
      </c>
      <c r="G58" s="66" t="str">
        <f aca="false">IF(ISNUMBER(G37),IF(AND(ISNUMBER(G27)),G37-(G27),"不適用"),"")</f>
        <v/>
      </c>
      <c r="H58" s="66" t="str">
        <f aca="false">IF(ISNUMBER(H37),IF(AND(ISNUMBER(H27)),H37-(H27),"不適用"),"")</f>
        <v/>
      </c>
    </row>
    <row r="59" customFormat="false" ht="15" hidden="true" customHeight="false" outlineLevel="1" collapsed="false">
      <c r="A59" s="3" t="s">
        <v>1061</v>
      </c>
      <c r="B59" s="11" t="s">
        <v>71</v>
      </c>
      <c r="C59" s="66" t="str">
        <f aca="false">IF(ISNUMBER(C37),IF(AND(ISNUMBER(C34)),C37-(C34),"不適用"),"")</f>
        <v/>
      </c>
      <c r="D59" s="66" t="str">
        <f aca="false">IF(ISNUMBER(D37),IF(AND(ISNUMBER(D34)),D37-(D34),"不適用"),"")</f>
        <v/>
      </c>
      <c r="E59" s="66" t="str">
        <f aca="false">IF(ISNUMBER(E37),IF(AND(ISNUMBER(E34)),E37-(E34),"不適用"),"")</f>
        <v/>
      </c>
      <c r="F59" s="66" t="str">
        <f aca="false">IF(ISNUMBER(F37),IF(AND(ISNUMBER(F34)),F37-(F34),"不適用"),"")</f>
        <v/>
      </c>
      <c r="G59" s="66" t="str">
        <f aca="false">IF(ISNUMBER(G37),IF(AND(ISNUMBER(G34)),G37-(G34),"不適用"),"")</f>
        <v/>
      </c>
      <c r="H59" s="66" t="str">
        <f aca="false">IF(ISNUMBER(H37),IF(AND(ISNUMBER(H34)),H37-(H34),"不適用"),"")</f>
        <v/>
      </c>
    </row>
    <row r="60" customFormat="false" ht="15" hidden="true" customHeight="false" outlineLevel="1" collapsed="false">
      <c r="A60" s="3" t="s">
        <v>1062</v>
      </c>
      <c r="B60" s="11" t="s">
        <v>71</v>
      </c>
      <c r="C60" s="66" t="str">
        <f aca="false">IF(ISNUMBER(C37),"不適用","")</f>
        <v/>
      </c>
      <c r="D60" s="66" t="str">
        <f aca="false">IF(ISNUMBER(D37),"不適用","")</f>
        <v/>
      </c>
      <c r="E60" s="66" t="str">
        <f aca="false">IF(ISNUMBER(E37),"不適用","")</f>
        <v/>
      </c>
      <c r="F60" s="66" t="str">
        <f aca="false">IF(ISNUMBER(F37),"不適用","")</f>
        <v/>
      </c>
      <c r="G60" s="66" t="str">
        <f aca="false">IF(ISNUMBER(G37),"不適用","")</f>
        <v/>
      </c>
      <c r="H60" s="66" t="str">
        <f aca="false">IF(ISNUMBER(H37),"不適用","")</f>
        <v/>
      </c>
    </row>
    <row r="61" customFormat="false" ht="15" hidden="true" customHeight="false" outlineLevel="1" collapsed="false">
      <c r="A61" s="3" t="s">
        <v>1063</v>
      </c>
      <c r="B61" s="11" t="s">
        <v>59</v>
      </c>
      <c r="C61" s="65" t="s">
        <v>995</v>
      </c>
      <c r="D61" s="65" t="s">
        <v>995</v>
      </c>
      <c r="E61" s="65" t="s">
        <v>995</v>
      </c>
      <c r="F61" s="65" t="s">
        <v>995</v>
      </c>
      <c r="G61" s="65" t="s">
        <v>995</v>
      </c>
      <c r="H61" s="65" t="s">
        <v>995</v>
      </c>
    </row>
    <row r="62" customFormat="false" ht="15" hidden="true" customHeight="false" outlineLevel="1" collapsed="false">
      <c r="A62" s="3" t="s">
        <v>1064</v>
      </c>
      <c r="B62" s="11" t="s">
        <v>59</v>
      </c>
      <c r="C62" s="65" t="s">
        <v>995</v>
      </c>
      <c r="D62" s="65" t="s">
        <v>995</v>
      </c>
      <c r="E62" s="65" t="s">
        <v>995</v>
      </c>
      <c r="F62" s="65" t="s">
        <v>995</v>
      </c>
      <c r="G62" s="65" t="s">
        <v>995</v>
      </c>
      <c r="H62" s="65" t="s">
        <v>995</v>
      </c>
    </row>
    <row r="63" customFormat="false" ht="15" hidden="true" customHeight="false" outlineLevel="1" collapsed="false">
      <c r="A63" s="3" t="s">
        <v>1065</v>
      </c>
      <c r="B63" s="11" t="s">
        <v>59</v>
      </c>
      <c r="C63" s="65" t="str">
        <f aca="false">IF(ISNUMBER(C38),IF(AND(ISNUMBER(C30)),C38-(C30),"不適用"),"")</f>
        <v/>
      </c>
      <c r="D63" s="65" t="str">
        <f aca="false">IF(ISNUMBER(D38),IF(AND(ISNUMBER(D30)),D38-(D30),"不適用"),"")</f>
        <v/>
      </c>
      <c r="E63" s="65" t="str">
        <f aca="false">IF(ISNUMBER(E38),IF(AND(ISNUMBER(E30)),E38-(E30),"不適用"),"")</f>
        <v/>
      </c>
      <c r="F63" s="65" t="str">
        <f aca="false">IF(ISNUMBER(F38),IF(AND(ISNUMBER(F30)),F38-(F30),"不適用"),"")</f>
        <v/>
      </c>
      <c r="G63" s="65" t="str">
        <f aca="false">IF(ISNUMBER(G38),IF(AND(ISNUMBER(G30)),G38-(G30),"不適用"),"")</f>
        <v/>
      </c>
      <c r="H63" s="65" t="str">
        <f aca="false">IF(ISNUMBER(H38),IF(AND(ISNUMBER(H30)),H38-(H30),"不適用"),"")</f>
        <v/>
      </c>
    </row>
    <row r="64" customFormat="false" ht="15" hidden="true" customHeight="false" outlineLevel="1" collapsed="false">
      <c r="A64" s="3" t="s">
        <v>1066</v>
      </c>
      <c r="B64" s="11" t="s">
        <v>59</v>
      </c>
      <c r="C64" s="65" t="str">
        <f aca="false">IF(ISNUMBER(C38),"不適用","")</f>
        <v/>
      </c>
      <c r="D64" s="65" t="str">
        <f aca="false">IF(ISNUMBER(D38),"不適用","")</f>
        <v/>
      </c>
      <c r="E64" s="65" t="str">
        <f aca="false">IF(ISNUMBER(E38),"不適用","")</f>
        <v/>
      </c>
      <c r="F64" s="65" t="str">
        <f aca="false">IF(ISNUMBER(F38),"不適用","")</f>
        <v/>
      </c>
      <c r="G64" s="65" t="str">
        <f aca="false">IF(ISNUMBER(G38),"不適用","")</f>
        <v/>
      </c>
      <c r="H64" s="65" t="str">
        <f aca="false">IF(ISNUMBER(H38),"不適用","")</f>
        <v/>
      </c>
    </row>
    <row r="65" customFormat="false" ht="15" hidden="true" customHeight="false" outlineLevel="1" collapsed="false">
      <c r="A65" s="3" t="s">
        <v>1067</v>
      </c>
      <c r="B65" s="11" t="s">
        <v>59</v>
      </c>
      <c r="C65" s="65" t="str">
        <f aca="false">IF(ISNUMBER(C38),"不適用","")</f>
        <v/>
      </c>
      <c r="D65" s="65" t="str">
        <f aca="false">IF(ISNUMBER(D38),"不適用","")</f>
        <v/>
      </c>
      <c r="E65" s="65" t="str">
        <f aca="false">IF(ISNUMBER(E38),"不適用","")</f>
        <v/>
      </c>
      <c r="F65" s="65" t="str">
        <f aca="false">IF(ISNUMBER(F38),"不適用","")</f>
        <v/>
      </c>
      <c r="G65" s="65" t="str">
        <f aca="false">IF(ISNUMBER(G38),"不適用","")</f>
        <v/>
      </c>
      <c r="H65" s="65" t="str">
        <f aca="false">IF(ISNUMBER(H38),"不適用","")</f>
        <v/>
      </c>
    </row>
    <row r="66" customFormat="false" ht="15" hidden="true" customHeight="false" outlineLevel="1" collapsed="false">
      <c r="A66" s="3" t="s">
        <v>1068</v>
      </c>
      <c r="B66" s="11" t="s">
        <v>71</v>
      </c>
      <c r="C66" s="66" t="s">
        <v>995</v>
      </c>
      <c r="D66" s="66" t="s">
        <v>995</v>
      </c>
      <c r="E66" s="66" t="s">
        <v>995</v>
      </c>
      <c r="F66" s="66" t="s">
        <v>995</v>
      </c>
      <c r="G66" s="66" t="s">
        <v>995</v>
      </c>
      <c r="H66" s="66" t="s">
        <v>995</v>
      </c>
    </row>
    <row r="67" customFormat="false" ht="15" hidden="true" customHeight="false" outlineLevel="1" collapsed="false">
      <c r="A67" s="3" t="s">
        <v>1069</v>
      </c>
      <c r="B67" s="11" t="s">
        <v>71</v>
      </c>
      <c r="C67" s="66" t="s">
        <v>995</v>
      </c>
      <c r="D67" s="66" t="s">
        <v>995</v>
      </c>
      <c r="E67" s="66" t="s">
        <v>995</v>
      </c>
      <c r="F67" s="66" t="s">
        <v>995</v>
      </c>
      <c r="G67" s="66" t="s">
        <v>995</v>
      </c>
      <c r="H67" s="66" t="s">
        <v>995</v>
      </c>
    </row>
    <row r="68" customFormat="false" ht="15" hidden="true" customHeight="false" outlineLevel="1" collapsed="false">
      <c r="A68" s="3" t="s">
        <v>1070</v>
      </c>
      <c r="B68" s="11" t="s">
        <v>71</v>
      </c>
      <c r="C68" s="66" t="str">
        <f aca="false">IF(ISNUMBER(C38),IF(AND(ISNUMBER(C38),ISNUMBER(C35),C35&lt;&gt;0,ISNUMBER(C30),ISNUMBER(C22),C22&lt;&gt;0),C38/C35-C30/C22,"不適用"),"")</f>
        <v/>
      </c>
      <c r="D68" s="66" t="str">
        <f aca="false">IF(ISNUMBER(D38),IF(AND(ISNUMBER(D38),ISNUMBER(D35),D35&lt;&gt;0,ISNUMBER(D30),ISNUMBER(D22),D22&lt;&gt;0),D38/D35-D30/D22,"不適用"),"")</f>
        <v/>
      </c>
      <c r="E68" s="66" t="str">
        <f aca="false">IF(ISNUMBER(E38),IF(AND(ISNUMBER(E38),ISNUMBER(E35),E35&lt;&gt;0,ISNUMBER(E30),ISNUMBER(E22),E22&lt;&gt;0),E38/E35-E30/E22,"不適用"),"")</f>
        <v/>
      </c>
      <c r="F68" s="66" t="str">
        <f aca="false">IF(ISNUMBER(F38),IF(AND(ISNUMBER(F38),ISNUMBER(F35),F35&lt;&gt;0,ISNUMBER(F30),ISNUMBER(F22),F22&lt;&gt;0),F38/F35-F30/F22,"不適用"),"")</f>
        <v/>
      </c>
      <c r="G68" s="66" t="str">
        <f aca="false">IF(ISNUMBER(G38),IF(AND(ISNUMBER(G38),ISNUMBER(G35),G35&lt;&gt;0,ISNUMBER(G30),ISNUMBER(G22),G22&lt;&gt;0),G38/G35-G30/G22,"不適用"),"")</f>
        <v/>
      </c>
      <c r="H68" s="66" t="str">
        <f aca="false">IF(ISNUMBER(H38),IF(AND(ISNUMBER(H38),ISNUMBER(H35),H35&lt;&gt;0,ISNUMBER(H30),ISNUMBER(H22),H22&lt;&gt;0),H38/H35-H30/H22,"不適用"),"")</f>
        <v/>
      </c>
    </row>
    <row r="69" customFormat="false" ht="15" hidden="true" customHeight="false" outlineLevel="1" collapsed="false">
      <c r="A69" s="3" t="s">
        <v>1071</v>
      </c>
      <c r="B69" s="11" t="s">
        <v>71</v>
      </c>
      <c r="C69" s="66" t="str">
        <f aca="false">IF(ISNUMBER(C38),"不適用","")</f>
        <v/>
      </c>
      <c r="D69" s="66" t="str">
        <f aca="false">IF(ISNUMBER(D38),"不適用","")</f>
        <v/>
      </c>
      <c r="E69" s="66" t="str">
        <f aca="false">IF(ISNUMBER(E38),"不適用","")</f>
        <v/>
      </c>
      <c r="F69" s="66" t="str">
        <f aca="false">IF(ISNUMBER(F38),"不適用","")</f>
        <v/>
      </c>
      <c r="G69" s="66" t="str">
        <f aca="false">IF(ISNUMBER(G38),"不適用","")</f>
        <v/>
      </c>
      <c r="H69" s="66" t="str">
        <f aca="false">IF(ISNUMBER(H38),"不適用","")</f>
        <v/>
      </c>
    </row>
    <row r="70" customFormat="false" ht="15" hidden="true" customHeight="false" outlineLevel="1" collapsed="false">
      <c r="A70" s="3" t="s">
        <v>1072</v>
      </c>
      <c r="B70" s="11" t="s">
        <v>71</v>
      </c>
      <c r="C70" s="66" t="str">
        <f aca="false">IF(ISNUMBER(C38),"不適用","")</f>
        <v/>
      </c>
      <c r="D70" s="66" t="str">
        <f aca="false">IF(ISNUMBER(D38),"不適用","")</f>
        <v/>
      </c>
      <c r="E70" s="66" t="str">
        <f aca="false">IF(ISNUMBER(E38),"不適用","")</f>
        <v/>
      </c>
      <c r="F70" s="66" t="str">
        <f aca="false">IF(ISNUMBER(F38),"不適用","")</f>
        <v/>
      </c>
      <c r="G70" s="66" t="str">
        <f aca="false">IF(ISNUMBER(G38),"不適用","")</f>
        <v/>
      </c>
      <c r="H70" s="66" t="str">
        <f aca="false">IF(ISNUMBER(H38),"不適用","")</f>
        <v/>
      </c>
    </row>
    <row r="71" customFormat="false" ht="15" hidden="true" customHeight="false" outlineLevel="1" collapsed="false">
      <c r="A71" s="3" t="s">
        <v>1073</v>
      </c>
      <c r="B71" s="11" t="s">
        <v>42</v>
      </c>
      <c r="C71" s="66" t="s">
        <v>995</v>
      </c>
      <c r="D71" s="66" t="s">
        <v>995</v>
      </c>
      <c r="E71" s="66" t="s">
        <v>995</v>
      </c>
      <c r="F71" s="66" t="s">
        <v>995</v>
      </c>
      <c r="G71" s="66" t="s">
        <v>995</v>
      </c>
      <c r="H71" s="66" t="s">
        <v>995</v>
      </c>
    </row>
    <row r="72" customFormat="false" ht="15" hidden="true" customHeight="false" outlineLevel="1" collapsed="false">
      <c r="A72" s="3" t="s">
        <v>1074</v>
      </c>
      <c r="B72" s="11" t="s">
        <v>42</v>
      </c>
      <c r="C72" s="66" t="s">
        <v>995</v>
      </c>
      <c r="D72" s="66" t="s">
        <v>995</v>
      </c>
      <c r="E72" s="66" t="s">
        <v>995</v>
      </c>
      <c r="F72" s="66" t="s">
        <v>995</v>
      </c>
      <c r="G72" s="66" t="s">
        <v>995</v>
      </c>
      <c r="H72" s="66" t="s">
        <v>995</v>
      </c>
    </row>
    <row r="73" customFormat="false" ht="15" hidden="true" customHeight="false" outlineLevel="1" collapsed="false">
      <c r="A73" s="3" t="s">
        <v>1075</v>
      </c>
      <c r="B73" s="11" t="s">
        <v>42</v>
      </c>
      <c r="C73" s="66" t="str">
        <f aca="false">IF(ISNUMBER(C39),IF(AND(ISNUMBER(C31),C31&lt;&gt;0),C39/(C31)-1,"不適用"),"")</f>
        <v/>
      </c>
      <c r="D73" s="66" t="str">
        <f aca="false">IF(ISNUMBER(D39),IF(AND(ISNUMBER(D31),D31&lt;&gt;0),D39/(D31)-1,"不適用"),"")</f>
        <v/>
      </c>
      <c r="E73" s="66" t="str">
        <f aca="false">IF(ISNUMBER(E39),IF(AND(ISNUMBER(E31),E31&lt;&gt;0),E39/(E31)-1,"不適用"),"")</f>
        <v/>
      </c>
      <c r="F73" s="66" t="str">
        <f aca="false">IF(ISNUMBER(F39),IF(AND(ISNUMBER(F31),F31&lt;&gt;0),F39/(F31)-1,"不適用"),"")</f>
        <v/>
      </c>
      <c r="G73" s="66" t="str">
        <f aca="false">IF(ISNUMBER(G39),IF(AND(ISNUMBER(G31),G31&lt;&gt;0),G39/(G31)-1,"不適用"),"")</f>
        <v/>
      </c>
      <c r="H73" s="66" t="str">
        <f aca="false">IF(ISNUMBER(H39),IF(AND(ISNUMBER(H31),H31&lt;&gt;0),H39/(H31)-1,"不適用"),"")</f>
        <v/>
      </c>
    </row>
    <row r="74" customFormat="false" ht="15" hidden="true" customHeight="false" outlineLevel="1" collapsed="false">
      <c r="A74" s="3" t="s">
        <v>1076</v>
      </c>
      <c r="B74" s="11" t="s">
        <v>42</v>
      </c>
      <c r="C74" s="66" t="str">
        <f aca="false">IF(ISNUMBER(C39),"不適用","")</f>
        <v/>
      </c>
      <c r="D74" s="66" t="str">
        <f aca="false">IF(ISNUMBER(D39),"不適用","")</f>
        <v/>
      </c>
      <c r="E74" s="66" t="str">
        <f aca="false">IF(ISNUMBER(E39),"不適用","")</f>
        <v/>
      </c>
      <c r="F74" s="66" t="str">
        <f aca="false">IF(ISNUMBER(F39),"不適用","")</f>
        <v/>
      </c>
      <c r="G74" s="66" t="str">
        <f aca="false">IF(ISNUMBER(G39),"不適用","")</f>
        <v/>
      </c>
      <c r="H74" s="66" t="str">
        <f aca="false">IF(ISNUMBER(H39),"不適用","")</f>
        <v/>
      </c>
    </row>
    <row r="75" customFormat="false" ht="15" hidden="true" customHeight="false" outlineLevel="1" collapsed="false">
      <c r="A75" s="3" t="s">
        <v>1077</v>
      </c>
      <c r="B75" s="11" t="s">
        <v>42</v>
      </c>
      <c r="C75" s="66" t="str">
        <f aca="false">IF(ISNUMBER(C39),"不適用","")</f>
        <v/>
      </c>
      <c r="D75" s="66" t="str">
        <f aca="false">IF(ISNUMBER(D39),"不適用","")</f>
        <v/>
      </c>
      <c r="E75" s="66" t="str">
        <f aca="false">IF(ISNUMBER(E39),"不適用","")</f>
        <v/>
      </c>
      <c r="F75" s="66" t="str">
        <f aca="false">IF(ISNUMBER(F39),"不適用","")</f>
        <v/>
      </c>
      <c r="G75" s="66" t="str">
        <f aca="false">IF(ISNUMBER(G39),"不適用","")</f>
        <v/>
      </c>
      <c r="H75" s="66" t="str">
        <f aca="false">IF(ISNUMBER(H39),"不適用","")</f>
        <v/>
      </c>
    </row>
    <row r="76" customFormat="false" ht="15" hidden="true" customHeight="false" outlineLevel="1" collapsed="false">
      <c r="A76" s="3" t="s">
        <v>1078</v>
      </c>
      <c r="B76" s="11" t="s">
        <v>143</v>
      </c>
      <c r="C76" s="67" t="s">
        <v>995</v>
      </c>
      <c r="D76" s="67" t="s">
        <v>995</v>
      </c>
      <c r="E76" s="67" t="s">
        <v>995</v>
      </c>
      <c r="F76" s="67" t="s">
        <v>995</v>
      </c>
      <c r="G76" s="67" t="s">
        <v>995</v>
      </c>
      <c r="H76" s="67" t="s">
        <v>995</v>
      </c>
    </row>
    <row r="77" customFormat="false" ht="15" hidden="true" customHeight="false" outlineLevel="1" collapsed="false">
      <c r="A77" s="3" t="s">
        <v>1079</v>
      </c>
      <c r="B77" s="11" t="s">
        <v>143</v>
      </c>
      <c r="C77" s="67" t="s">
        <v>995</v>
      </c>
      <c r="D77" s="67" t="s">
        <v>995</v>
      </c>
      <c r="E77" s="67" t="s">
        <v>995</v>
      </c>
      <c r="F77" s="67" t="s">
        <v>995</v>
      </c>
      <c r="G77" s="67" t="s">
        <v>995</v>
      </c>
      <c r="H77" s="67" t="s">
        <v>995</v>
      </c>
    </row>
    <row r="78" customFormat="false" ht="15" hidden="true" customHeight="false" outlineLevel="1" collapsed="false">
      <c r="A78" s="3" t="s">
        <v>1080</v>
      </c>
      <c r="B78" s="11" t="s">
        <v>143</v>
      </c>
      <c r="C78" s="67" t="str">
        <f aca="false">IF(ISNUMBER(C40),IF(AND(ISNUMBER(C19)),C40-(C19),"不適用"),"")</f>
        <v/>
      </c>
      <c r="D78" s="67" t="str">
        <f aca="false">IF(ISNUMBER(D40),IF(AND(ISNUMBER(D19)),D40-(D19),"不適用"),"")</f>
        <v/>
      </c>
      <c r="E78" s="67" t="str">
        <f aca="false">IF(ISNUMBER(E40),IF(AND(ISNUMBER(E19)),E40-(E19),"不適用"),"")</f>
        <v/>
      </c>
      <c r="F78" s="67" t="str">
        <f aca="false">IF(ISNUMBER(F40),IF(AND(ISNUMBER(F19)),F40-(F19),"不適用"),"")</f>
        <v/>
      </c>
      <c r="G78" s="67" t="str">
        <f aca="false">IF(ISNUMBER(G40),IF(AND(ISNUMBER(G19)),G40-(G19),"不適用"),"")</f>
        <v/>
      </c>
      <c r="H78" s="67" t="str">
        <f aca="false">IF(ISNUMBER(H40),IF(AND(ISNUMBER(H19)),H40-(H19),"不適用"),"")</f>
        <v/>
      </c>
    </row>
    <row r="79" customFormat="false" ht="15" hidden="true" customHeight="false" outlineLevel="1" collapsed="false">
      <c r="A79" s="3" t="s">
        <v>1081</v>
      </c>
      <c r="B79" s="11" t="s">
        <v>143</v>
      </c>
      <c r="C79" s="67" t="str">
        <f aca="false">IF(ISNUMBER(C40),"不適用","")</f>
        <v/>
      </c>
      <c r="D79" s="67" t="str">
        <f aca="false">IF(ISNUMBER(D40),"不適用","")</f>
        <v/>
      </c>
      <c r="E79" s="67" t="str">
        <f aca="false">IF(ISNUMBER(E40),"不適用","")</f>
        <v/>
      </c>
      <c r="F79" s="67" t="str">
        <f aca="false">IF(ISNUMBER(F40),"不適用","")</f>
        <v/>
      </c>
      <c r="G79" s="67" t="str">
        <f aca="false">IF(ISNUMBER(G40),"不適用","")</f>
        <v/>
      </c>
      <c r="H79" s="67" t="str">
        <f aca="false">IF(ISNUMBER(H40),"不適用","")</f>
        <v/>
      </c>
    </row>
    <row r="80" customFormat="false" ht="15" hidden="true" customHeight="false" outlineLevel="1" collapsed="false">
      <c r="A80" s="3" t="s">
        <v>1082</v>
      </c>
      <c r="B80" s="11" t="s">
        <v>143</v>
      </c>
      <c r="C80" s="67" t="str">
        <f aca="false">IF(ISNUMBER(C40),"不適用","")</f>
        <v/>
      </c>
      <c r="D80" s="67" t="str">
        <f aca="false">IF(ISNUMBER(D40),"不適用","")</f>
        <v/>
      </c>
      <c r="E80" s="67" t="str">
        <f aca="false">IF(ISNUMBER(E40),"不適用","")</f>
        <v/>
      </c>
      <c r="F80" s="67" t="str">
        <f aca="false">IF(ISNUMBER(F40),"不適用","")</f>
        <v/>
      </c>
      <c r="G80" s="67" t="str">
        <f aca="false">IF(ISNUMBER(G40),"不適用","")</f>
        <v/>
      </c>
      <c r="H80" s="67" t="str">
        <f aca="false">IF(ISNUMBER(H40),"不適用","")</f>
        <v/>
      </c>
    </row>
    <row r="81" customFormat="false" ht="15" hidden="true" customHeight="false" outlineLevel="1" collapsed="false">
      <c r="A81" s="3" t="s">
        <v>1083</v>
      </c>
      <c r="B81" s="11" t="s">
        <v>59</v>
      </c>
      <c r="C81" s="65" t="str">
        <f aca="false">IF(COUNT(C32,D32)=2,C32+D32,"不適用")</f>
        <v>不適用</v>
      </c>
      <c r="D81" s="65" t="str">
        <f aca="false">IF(COUNT(C32,D32)=2,C32+D32,"不適用")</f>
        <v>不適用</v>
      </c>
      <c r="E81" s="65" t="str">
        <f aca="false">IF(COUNT(E32,F32,G32,H32)=4,E32+F32+G32+H32,"不適用")</f>
        <v>不適用</v>
      </c>
      <c r="F81" s="65" t="str">
        <f aca="false">IF(COUNT(E32,F32,G32,H32)=4,E32+F32+G32+H32,"不適用")</f>
        <v>不適用</v>
      </c>
      <c r="G81" s="65" t="str">
        <f aca="false">IF(COUNT(E32,F32,G32,H32)=4,E32+F32+G32+H32,"不適用")</f>
        <v>不適用</v>
      </c>
      <c r="H81" s="65" t="str">
        <f aca="false">IF(COUNT(E32,F32,G32,H32)=4,E32+F32+G32+H32,"不適用")</f>
        <v>不適用</v>
      </c>
      <c r="J81" s="6" t="s">
        <v>1084</v>
      </c>
    </row>
    <row r="82" customFormat="false" ht="15" hidden="true" customHeight="false" outlineLevel="1" collapsed="false">
      <c r="A82" s="3" t="s">
        <v>1085</v>
      </c>
      <c r="B82" s="11" t="s">
        <v>59</v>
      </c>
      <c r="C82" s="65" t="str">
        <f aca="false">IF(AND(ISNUMBER(C81),C81&lt;&gt;0,ISNUMBER(C32),ISNUMBER(C22)),(損益!C9-C81)*(C32)/C81,"不適用")</f>
        <v>不適用</v>
      </c>
      <c r="D82" s="65" t="str">
        <f aca="false">IF(AND(ISNUMBER(D81),D81&lt;&gt;0,ISNUMBER(D32),ISNUMBER(D22)),(損益!C9-D81)*(D32)/D81,"不適用")</f>
        <v>不適用</v>
      </c>
      <c r="E82" s="65" t="str">
        <f aca="false">IF(AND(ISNUMBER(E81),E81&lt;&gt;0,ISNUMBER(E32),ISNUMBER(E22)),(損益!D9-E81)*(E32)/E81,"不適用")</f>
        <v>不適用</v>
      </c>
      <c r="F82" s="65" t="str">
        <f aca="false">IF(AND(ISNUMBER(F81),F81&lt;&gt;0,ISNUMBER(F32),ISNUMBER(F22)),(損益!D9-F81)*(F32)/F81,"不適用")</f>
        <v>不適用</v>
      </c>
      <c r="G82" s="65" t="str">
        <f aca="false">IF(AND(ISNUMBER(G81),G81&lt;&gt;0,ISNUMBER(G32),ISNUMBER(G22)),(損益!D9-G81)*(G32)/G81,"不適用")</f>
        <v>不適用</v>
      </c>
      <c r="H82" s="65" t="str">
        <f aca="false">IF(AND(ISNUMBER(H81),H81&lt;&gt;0,ISNUMBER(H32),ISNUMBER(H22)),(損益!D9-H81)*(H32)/H81,"不適用")</f>
        <v>不適用</v>
      </c>
      <c r="J82" s="11" t="s">
        <v>1086</v>
      </c>
    </row>
    <row r="83" customFormat="false" ht="15" hidden="true" customHeight="false" outlineLevel="1" collapsed="false">
      <c r="A83" s="3" t="s">
        <v>1087</v>
      </c>
      <c r="B83" s="11" t="s">
        <v>59</v>
      </c>
      <c r="C83" s="65" t="str">
        <f aca="false">IF(AND(ISNUMBER(C81),C81&lt;&gt;0,ISNUMBER(C32),ISNUMBER(C22)),(C22/損益!C9-(C32)/C81)*損益!C9,"不適用")</f>
        <v>不適用</v>
      </c>
      <c r="D83" s="65" t="str">
        <f aca="false">IF(AND(ISNUMBER(D81),D81&lt;&gt;0,ISNUMBER(D32),ISNUMBER(D22)),(D22/損益!C9-(D32)/D81)*損益!C9,"不適用")</f>
        <v>不適用</v>
      </c>
      <c r="E83" s="65" t="str">
        <f aca="false">IF(AND(ISNUMBER(E81),E81&lt;&gt;0,ISNUMBER(E32),ISNUMBER(E22)),(E22/損益!D9-(E32)/E81)*損益!D9,"不適用")</f>
        <v>不適用</v>
      </c>
      <c r="F83" s="65" t="str">
        <f aca="false">IF(AND(ISNUMBER(F81),F81&lt;&gt;0,ISNUMBER(F32),ISNUMBER(F22)),(F22/損益!D9-(F32)/F81)*損益!D9,"不適用")</f>
        <v>不適用</v>
      </c>
      <c r="G83" s="65" t="str">
        <f aca="false">IF(AND(ISNUMBER(G81),G81&lt;&gt;0,ISNUMBER(G32),ISNUMBER(G22)),(G22/損益!D9-(G32)/G81)*損益!D9,"不適用")</f>
        <v>不適用</v>
      </c>
      <c r="H83" s="65" t="str">
        <f aca="false">IF(AND(ISNUMBER(H81),H81&lt;&gt;0,ISNUMBER(H32),ISNUMBER(H22)),(H22/損益!D9-(H32)/H81)*損益!D9,"不適用")</f>
        <v>不適用</v>
      </c>
      <c r="J83" s="11" t="s">
        <v>1088</v>
      </c>
    </row>
    <row r="84" customFormat="false" ht="15" hidden="true" customHeight="false" outlineLevel="1" collapsed="false">
      <c r="A84" s="3" t="s">
        <v>1089</v>
      </c>
      <c r="C84" s="46" t="str">
        <f aca="false">IF(ISNUMBER(C41),IF(ABS(C41)&gt;輸入與假設!$C$367,IF(ISNUMBER(C82),IF(ABS(C83)&gt;ABS(C82),"營收 vs 共識 "&amp;IF(C41&lt;0,"−","+")&amp;TEXT(ABS(C41)*100,"#,##0.0")&amp;"%"&amp;"：拆法（分配 "&amp;IF(C83&lt;0,"−","+")&amp;IF(ABS(C83)&lt;0,"−","")&amp;"$"&amp;TEXT(ABS(ABS(C83)),"#,##0.0")&amp;"m"&amp;"（Q3 2026 占 2H26 "&amp;TEXT((C22/損益!C9)*100,"#,##0.0")&amp;"%"&amp;"，共識合計 "&amp;TEXT(((C32)/C81)*100,"#,##0.0")&amp;"%"&amp;"）；水準 "&amp;IF(C82&lt;0,"−","+")&amp;IF(ABS(C82)&lt;0,"−","")&amp;"$"&amp;TEXT(ABS(ABS(C82)),"#,##0.0")&amp;"m"&amp;"）","營收 vs 共識 "&amp;IF(C41&lt;0,"−","+")&amp;TEXT(ABS(C41)*100,"#,##0.0")&amp;"%"&amp;"：觀點（水準 "&amp;IF(C82&lt;0,"−","+")&amp;IF(ABS(C82)&lt;0,"−","")&amp;"$"&amp;TEXT(ABS(ABS(C82)),"#,##0.0")&amp;"m"&amp;"（2H26 模型 "&amp;IF(損益!C9&lt;0,"−","")&amp;"$"&amp;TEXT(ABS(損益!C9),"#,##0.0")&amp;"m"&amp;"，共識合計 "&amp;IF(C81&lt;0,"−","")&amp;"$"&amp;TEXT(ABS(C81),"#,##0.0")&amp;"m"&amp;"）；分配 "&amp;IF(C83&lt;0,"−","+")&amp;IF(ABS(C83)&lt;0,"−","")&amp;"$"&amp;TEXT(ABS(ABS(C83)),"#,##0.0")&amp;"m"&amp;"；"&amp;"雲端營收＝在役 MW × 每 MW 年收入（Tokenomics 錨 × 定價倍數 k），期初可計費 MW 以 Q2 經常性雲端營收年化校準；託管營收照已簽約合約排程；共識未揭露 MW 與單價假設"&amp;"）"),"營收 vs 共識 "&amp;IF(C41&lt;0,"−","+")&amp;TEXT(ABS(C41)*100,"#,##0.0")&amp;"%"&amp;"：觀點（"&amp;"雲端營收＝在役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與單價假設"&amp;"）"),""),"")</f>
        <v/>
      </c>
      <c r="D84" s="46" t="str">
        <f aca="false">IF(ISNUMBER(D41),IF(ABS(D41)&gt;輸入與假設!$C$367,IF(ISNUMBER(D82),IF(ABS(D83)&gt;ABS(D82),"營收 vs 共識 "&amp;IF(D41&lt;0,"−","+")&amp;TEXT(ABS(D41)*100,"#,##0.0")&amp;"%"&amp;"：拆法（分配 "&amp;IF(D83&lt;0,"−","+")&amp;IF(ABS(D83)&lt;0,"−","")&amp;"$"&amp;TEXT(ABS(ABS(D83)),"#,##0.0")&amp;"m"&amp;"（Q4 2026 占 2H26 "&amp;TEXT((D22/損益!C9)*100,"#,##0.0")&amp;"%"&amp;"，共識合計 "&amp;TEXT(((D32)/D81)*100,"#,##0.0")&amp;"%"&amp;"）；水準 "&amp;IF(D82&lt;0,"−","+")&amp;IF(ABS(D82)&lt;0,"−","")&amp;"$"&amp;TEXT(ABS(ABS(D82)),"#,##0.0")&amp;"m"&amp;"）","營收 vs 共識 "&amp;IF(D41&lt;0,"−","+")&amp;TEXT(ABS(D41)*100,"#,##0.0")&amp;"%"&amp;"：觀點（水準 "&amp;IF(D82&lt;0,"−","+")&amp;IF(ABS(D82)&lt;0,"−","")&amp;"$"&amp;TEXT(ABS(ABS(D82)),"#,##0.0")&amp;"m"&amp;"（2H26 模型 "&amp;IF(損益!C9&lt;0,"−","")&amp;"$"&amp;TEXT(ABS(損益!C9),"#,##0.0")&amp;"m"&amp;"，共識合計 "&amp;IF(D81&lt;0,"−","")&amp;"$"&amp;TEXT(ABS(D81),"#,##0.0")&amp;"m"&amp;"）；分配 "&amp;IF(D83&lt;0,"−","+")&amp;IF(ABS(D83)&lt;0,"−","")&amp;"$"&amp;TEXT(ABS(ABS(D83)),"#,##0.0")&amp;"m"&amp;"；"&amp;"雲端營收＝在役 MW × 每 MW 年收入（Tokenomics 錨 × 定價倍數 k），期初可計費 MW 以 Q2 經常性雲端營收年化校準；託管營收照已簽約合約排程；共識未揭露 MW 與單價假設"&amp;"）"),"營收 vs 共識 "&amp;IF(D41&lt;0,"−","+")&amp;TEXT(ABS(D41)*100,"#,##0.0")&amp;"%"&amp;"：觀點（"&amp;"雲端營收＝在役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與單價假設"&amp;"）"),""),"")</f>
        <v/>
      </c>
      <c r="E84" s="46" t="str">
        <f aca="false">IF(ISNUMBER(E41),IF(ABS(E41)&gt;輸入與假設!$C$367,IF(ISNUMBER(E82),IF(ABS(E83)&gt;ABS(E82),"營收 vs 共識 "&amp;IF(E41&lt;0,"−","+")&amp;TEXT(ABS(E41)*100,"#,##0.0")&amp;"%"&amp;"：拆法（分配 "&amp;IF(E83&lt;0,"−","+")&amp;IF(ABS(E83)&lt;0,"−","")&amp;"$"&amp;TEXT(ABS(ABS(E83)),"#,##0.0")&amp;"m"&amp;"（Q1 2027 占 FY27 "&amp;TEXT((E22/損益!D9)*100,"#,##0.0")&amp;"%"&amp;"，共識合計 "&amp;TEXT(((E32)/E81)*100,"#,##0.0")&amp;"%"&amp;"）；水準 "&amp;IF(E82&lt;0,"−","+")&amp;IF(ABS(E82)&lt;0,"−","")&amp;"$"&amp;TEXT(ABS(ABS(E82)),"#,##0.0")&amp;"m"&amp;"）","營收 vs 共識 "&amp;IF(E41&lt;0,"−","+")&amp;TEXT(ABS(E41)*100,"#,##0.0")&amp;"%"&amp;"：觀點（水準 "&amp;IF(E82&lt;0,"−","+")&amp;IF(ABS(E82)&lt;0,"−","")&amp;"$"&amp;TEXT(ABS(ABS(E82)),"#,##0.0")&amp;"m"&amp;"（FY27 模型 "&amp;IF(損益!D9&lt;0,"−","")&amp;"$"&amp;TEXT(ABS(損益!D9),"#,##0.0")&amp;"m"&amp;"，共識合計 "&amp;IF(E81&lt;0,"−","")&amp;"$"&amp;TEXT(ABS(E81),"#,##0.0")&amp;"m"&amp;"）；分配 "&amp;IF(E83&lt;0,"−","+")&amp;IF(ABS(E83)&lt;0,"−","")&amp;"$"&amp;TEXT(ABS(ABS(E83)),"#,##0.0")&amp;"m"&amp;"；"&amp;"雲端營收＝在役 MW × 每 MW 年收入（Tokenomics 錨 × 定價倍數 k），期初可計費 MW 以 Q2 經常性雲端營收年化校準；託管營收照已簽約合約排程；共識未揭露 MW 與單價假設"&amp;"）"),"營收 vs 共識 "&amp;IF(E41&lt;0,"−","+")&amp;TEXT(ABS(E41)*100,"#,##0.0")&amp;"%"&amp;"：觀點（"&amp;"雲端營收＝在役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與單價假設"&amp;"）"),""),"")</f>
        <v/>
      </c>
      <c r="F84" s="46" t="str">
        <f aca="false">IF(ISNUMBER(F41),IF(ABS(F41)&gt;輸入與假設!$C$367,IF(ISNUMBER(F82),IF(ABS(F83)&gt;ABS(F82),"營收 vs 共識 "&amp;IF(F41&lt;0,"−","+")&amp;TEXT(ABS(F41)*100,"#,##0.0")&amp;"%"&amp;"：拆法（分配 "&amp;IF(F83&lt;0,"−","+")&amp;IF(ABS(F83)&lt;0,"−","")&amp;"$"&amp;TEXT(ABS(ABS(F83)),"#,##0.0")&amp;"m"&amp;"（Q2 2027 占 FY27 "&amp;TEXT((F22/損益!D9)*100,"#,##0.0")&amp;"%"&amp;"，共識合計 "&amp;TEXT(((F32)/F81)*100,"#,##0.0")&amp;"%"&amp;"）；水準 "&amp;IF(F82&lt;0,"−","+")&amp;IF(ABS(F82)&lt;0,"−","")&amp;"$"&amp;TEXT(ABS(ABS(F82)),"#,##0.0")&amp;"m"&amp;"）","營收 vs 共識 "&amp;IF(F41&lt;0,"−","+")&amp;TEXT(ABS(F41)*100,"#,##0.0")&amp;"%"&amp;"：觀點（水準 "&amp;IF(F82&lt;0,"−","+")&amp;IF(ABS(F82)&lt;0,"−","")&amp;"$"&amp;TEXT(ABS(ABS(F82)),"#,##0.0")&amp;"m"&amp;"（FY27 模型 "&amp;IF(損益!D9&lt;0,"−","")&amp;"$"&amp;TEXT(ABS(損益!D9),"#,##0.0")&amp;"m"&amp;"，共識合計 "&amp;IF(F81&lt;0,"−","")&amp;"$"&amp;TEXT(ABS(F81),"#,##0.0")&amp;"m"&amp;"）；分配 "&amp;IF(F83&lt;0,"−","+")&amp;IF(ABS(F83)&lt;0,"−","")&amp;"$"&amp;TEXT(ABS(ABS(F83)),"#,##0.0")&amp;"m"&amp;"；"&amp;"雲端營收＝在役 MW × 每 MW 年收入（Tokenomics 錨 × 定價倍數 k），期初可計費 MW 以 Q2 經常性雲端營收年化校準；託管營收照已簽約合約排程；共識未揭露 MW 與單價假設"&amp;"）"),"營收 vs 共識 "&amp;IF(F41&lt;0,"−","+")&amp;TEXT(ABS(F41)*100,"#,##0.0")&amp;"%"&amp;"：觀點（"&amp;"雲端營收＝在役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與單價假設"&amp;"）"),""),"")</f>
        <v/>
      </c>
      <c r="G84" s="46" t="str">
        <f aca="false">IF(ISNUMBER(G41),IF(ABS(G41)&gt;輸入與假設!$C$367,IF(ISNUMBER(G82),IF(ABS(G83)&gt;ABS(G82),"營收 vs 共識 "&amp;IF(G41&lt;0,"−","+")&amp;TEXT(ABS(G41)*100,"#,##0.0")&amp;"%"&amp;"：拆法（分配 "&amp;IF(G83&lt;0,"−","+")&amp;IF(ABS(G83)&lt;0,"−","")&amp;"$"&amp;TEXT(ABS(ABS(G83)),"#,##0.0")&amp;"m"&amp;"（Q3 2027 占 FY27 "&amp;TEXT((G22/損益!D9)*100,"#,##0.0")&amp;"%"&amp;"，共識合計 "&amp;TEXT(((G32)/G81)*100,"#,##0.0")&amp;"%"&amp;"）；水準 "&amp;IF(G82&lt;0,"−","+")&amp;IF(ABS(G82)&lt;0,"−","")&amp;"$"&amp;TEXT(ABS(ABS(G82)),"#,##0.0")&amp;"m"&amp;"）","營收 vs 共識 "&amp;IF(G41&lt;0,"−","+")&amp;TEXT(ABS(G41)*100,"#,##0.0")&amp;"%"&amp;"：觀點（水準 "&amp;IF(G82&lt;0,"−","+")&amp;IF(ABS(G82)&lt;0,"−","")&amp;"$"&amp;TEXT(ABS(ABS(G82)),"#,##0.0")&amp;"m"&amp;"（FY27 模型 "&amp;IF(損益!D9&lt;0,"−","")&amp;"$"&amp;TEXT(ABS(損益!D9),"#,##0.0")&amp;"m"&amp;"，共識合計 "&amp;IF(G81&lt;0,"−","")&amp;"$"&amp;TEXT(ABS(G81),"#,##0.0")&amp;"m"&amp;"）；分配 "&amp;IF(G83&lt;0,"−","+")&amp;IF(ABS(G83)&lt;0,"−","")&amp;"$"&amp;TEXT(ABS(ABS(G83)),"#,##0.0")&amp;"m"&amp;"；"&amp;"雲端營收＝在役 MW × 每 MW 年收入（Tokenomics 錨 × 定價倍數 k），期初可計費 MW 以 Q2 經常性雲端營收年化校準；託管營收照已簽約合約排程；共識未揭露 MW 與單價假設"&amp;"）"),"營收 vs 共識 "&amp;IF(G41&lt;0,"−","+")&amp;TEXT(ABS(G41)*100,"#,##0.0")&amp;"%"&amp;"：觀點（"&amp;"雲端營收＝在役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與單價假設"&amp;"）"),""),"")</f>
        <v/>
      </c>
      <c r="H84" s="46" t="str">
        <f aca="false">IF(ISNUMBER(H41),IF(ABS(H41)&gt;輸入與假設!$C$367,IF(ISNUMBER(H82),IF(ABS(H83)&gt;ABS(H82),"營收 vs 共識 "&amp;IF(H41&lt;0,"−","+")&amp;TEXT(ABS(H41)*100,"#,##0.0")&amp;"%"&amp;"：拆法（分配 "&amp;IF(H83&lt;0,"−","+")&amp;IF(ABS(H83)&lt;0,"−","")&amp;"$"&amp;TEXT(ABS(ABS(H83)),"#,##0.0")&amp;"m"&amp;"（Q4 2027 占 FY27 "&amp;TEXT((H22/損益!D9)*100,"#,##0.0")&amp;"%"&amp;"，共識合計 "&amp;TEXT(((H32)/H81)*100,"#,##0.0")&amp;"%"&amp;"）；水準 "&amp;IF(H82&lt;0,"−","+")&amp;IF(ABS(H82)&lt;0,"−","")&amp;"$"&amp;TEXT(ABS(ABS(H82)),"#,##0.0")&amp;"m"&amp;"）","營收 vs 共識 "&amp;IF(H41&lt;0,"−","+")&amp;TEXT(ABS(H41)*100,"#,##0.0")&amp;"%"&amp;"：觀點（水準 "&amp;IF(H82&lt;0,"−","+")&amp;IF(ABS(H82)&lt;0,"−","")&amp;"$"&amp;TEXT(ABS(ABS(H82)),"#,##0.0")&amp;"m"&amp;"（FY27 模型 "&amp;IF(損益!D9&lt;0,"−","")&amp;"$"&amp;TEXT(ABS(損益!D9),"#,##0.0")&amp;"m"&amp;"，共識合計 "&amp;IF(H81&lt;0,"−","")&amp;"$"&amp;TEXT(ABS(H81),"#,##0.0")&amp;"m"&amp;"）；分配 "&amp;IF(H83&lt;0,"−","+")&amp;IF(ABS(H83)&lt;0,"−","")&amp;"$"&amp;TEXT(ABS(ABS(H83)),"#,##0.0")&amp;"m"&amp;"；"&amp;"雲端營收＝在役 MW × 每 MW 年收入（Tokenomics 錨 × 定價倍數 k），期初可計費 MW 以 Q2 經常性雲端營收年化校準；託管營收照已簽約合約排程；共識未揭露 MW 與單價假設"&amp;"）"),"營收 vs 共識 "&amp;IF(H41&lt;0,"−","+")&amp;TEXT(ABS(H41)*100,"#,##0.0")&amp;"%"&amp;"：觀點（"&amp;"雲端營收＝在役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與單價假設"&amp;"）"),""),"")</f>
        <v/>
      </c>
    </row>
    <row r="85" customFormat="false" ht="15" hidden="true" customHeight="false" outlineLevel="1" collapsed="false">
      <c r="A85" s="3" t="s">
        <v>1090</v>
      </c>
      <c r="C85" s="46" t="str">
        <f aca="false">IF(ISNUMBER(C41),IF(ABS(C41)&gt;輸入與假設!$C$367,IF(ISNUMBER(C82),IF(ABS(C83)&gt;ABS(C82),"拆法","觀點"),"觀點"),""),"")</f>
        <v/>
      </c>
      <c r="D85" s="46" t="str">
        <f aca="false">IF(ISNUMBER(D41),IF(ABS(D41)&gt;輸入與假設!$C$367,IF(ISNUMBER(D82),IF(ABS(D83)&gt;ABS(D82),"拆法","觀點"),"觀點"),""),"")</f>
        <v/>
      </c>
      <c r="E85" s="46" t="str">
        <f aca="false">IF(ISNUMBER(E41),IF(ABS(E41)&gt;輸入與假設!$C$367,IF(ISNUMBER(E82),IF(ABS(E83)&gt;ABS(E82),"拆法","觀點"),"觀點"),""),"")</f>
        <v/>
      </c>
      <c r="F85" s="46" t="str">
        <f aca="false">IF(ISNUMBER(F41),IF(ABS(F41)&gt;輸入與假設!$C$367,IF(ISNUMBER(F82),IF(ABS(F83)&gt;ABS(F82),"拆法","觀點"),"觀點"),""),"")</f>
        <v/>
      </c>
      <c r="G85" s="46" t="str">
        <f aca="false">IF(ISNUMBER(G41),IF(ABS(G41)&gt;輸入與假設!$C$367,IF(ISNUMBER(G82),IF(ABS(G83)&gt;ABS(G82),"拆法","觀點"),"觀點"),""),"")</f>
        <v/>
      </c>
      <c r="H85" s="46" t="str">
        <f aca="false">IF(ISNUMBER(H41),IF(ABS(H41)&gt;輸入與假設!$C$367,IF(ISNUMBER(H82),IF(ABS(H83)&gt;ABS(H82),"拆法","觀點"),"觀點"),""),"")</f>
        <v/>
      </c>
    </row>
    <row r="86" customFormat="false" ht="15" hidden="true" customHeight="false" outlineLevel="1" collapsed="false">
      <c r="A86" s="3" t="s">
        <v>1091</v>
      </c>
      <c r="C86" s="46"/>
      <c r="D86" s="46"/>
      <c r="E86" s="46"/>
      <c r="F86" s="46"/>
      <c r="G86" s="46"/>
      <c r="H86" s="46"/>
    </row>
    <row r="87" customFormat="false" ht="15" hidden="true" customHeight="false" outlineLevel="1" collapsed="false">
      <c r="A87" s="3" t="s">
        <v>1092</v>
      </c>
      <c r="C87" s="46"/>
      <c r="D87" s="46"/>
      <c r="E87" s="46"/>
      <c r="F87" s="46"/>
      <c r="G87" s="46"/>
      <c r="H87" s="46"/>
    </row>
    <row r="88" customFormat="false" ht="15" hidden="true" customHeight="false" outlineLevel="1" collapsed="false">
      <c r="A88" s="3" t="s">
        <v>1093</v>
      </c>
      <c r="C88" s="46" t="str">
        <f aca="false">IF(ISNUMBER(C43),IF(ABS(C43)&gt;輸入與假設!$C$367,"營收 實際 vs 模型 "&amp;IF(C43&lt;0,"−","+")&amp;TEXT(ABS(C43)*100,"#,##0.0")&amp;"%"&amp;"：觀點（"&amp;"雲端營收＝在役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與單價假設"&amp;"）",""),"")</f>
        <v/>
      </c>
      <c r="D88" s="46" t="str">
        <f aca="false">IF(ISNUMBER(D43),IF(ABS(D43)&gt;輸入與假設!$C$367,"營收 實際 vs 模型 "&amp;IF(D43&lt;0,"−","+")&amp;TEXT(ABS(D43)*100,"#,##0.0")&amp;"%"&amp;"：觀點（"&amp;"雲端營收＝在役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與單價假設"&amp;"）",""),"")</f>
        <v/>
      </c>
      <c r="E88" s="46" t="str">
        <f aca="false">IF(ISNUMBER(E43),IF(ABS(E43)&gt;輸入與假設!$C$367,"營收 實際 vs 模型 "&amp;IF(E43&lt;0,"−","+")&amp;TEXT(ABS(E43)*100,"#,##0.0")&amp;"%"&amp;"：觀點（"&amp;"雲端營收＝在役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與單價假設"&amp;"）",""),"")</f>
        <v/>
      </c>
      <c r="F88" s="46" t="str">
        <f aca="false">IF(ISNUMBER(F43),IF(ABS(F43)&gt;輸入與假設!$C$367,"營收 實際 vs 模型 "&amp;IF(F43&lt;0,"−","+")&amp;TEXT(ABS(F43)*100,"#,##0.0")&amp;"%"&amp;"：觀點（"&amp;"雲端營收＝在役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與單價假設"&amp;"）",""),"")</f>
        <v/>
      </c>
      <c r="G88" s="46" t="str">
        <f aca="false">IF(ISNUMBER(G43),IF(ABS(G43)&gt;輸入與假設!$C$367,"營收 實際 vs 模型 "&amp;IF(G43&lt;0,"−","+")&amp;TEXT(ABS(G43)*100,"#,##0.0")&amp;"%"&amp;"：觀點（"&amp;"雲端營收＝在役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與單價假設"&amp;"）",""),"")</f>
        <v/>
      </c>
      <c r="H88" s="46" t="str">
        <f aca="false">IF(ISNUMBER(H43),IF(ABS(H43)&gt;輸入與假設!$C$367,"營收 實際 vs 模型 "&amp;IF(H43&lt;0,"−","+")&amp;TEXT(ABS(H43)*100,"#,##0.0")&amp;"%"&amp;"：觀點（"&amp;"雲端營收＝在役 MW × 每 MW 年收入（Tokenomics 錨 × 定價倍數 k），期初可計費 MW 以 Q2 經常性雲端營收年化校準；託管營收照已簽約合約排程；共識未揭露 MW 與單價假設"&amp;"）",""),"")</f>
        <v/>
      </c>
    </row>
    <row r="89" customFormat="false" ht="15" hidden="true" customHeight="false" outlineLevel="1" collapsed="false">
      <c r="A89" s="3" t="s">
        <v>1094</v>
      </c>
      <c r="C89" s="46" t="str">
        <f aca="false">IF(ISNUMBER(C43),IF(ABS(C43)&gt;輸入與假設!$C$367,"觀點",""),"")</f>
        <v/>
      </c>
      <c r="D89" s="46" t="str">
        <f aca="false">IF(ISNUMBER(D43),IF(ABS(D43)&gt;輸入與假設!$C$367,"觀點",""),"")</f>
        <v/>
      </c>
      <c r="E89" s="46" t="str">
        <f aca="false">IF(ISNUMBER(E43),IF(ABS(E43)&gt;輸入與假設!$C$367,"觀點",""),"")</f>
        <v/>
      </c>
      <c r="F89" s="46" t="str">
        <f aca="false">IF(ISNUMBER(F43),IF(ABS(F43)&gt;輸入與假設!$C$367,"觀點",""),"")</f>
        <v/>
      </c>
      <c r="G89" s="46" t="str">
        <f aca="false">IF(ISNUMBER(G43),IF(ABS(G43)&gt;輸入與假設!$C$367,"觀點",""),"")</f>
        <v/>
      </c>
      <c r="H89" s="46" t="str">
        <f aca="false">IF(ISNUMBER(H43),IF(ABS(H43)&gt;輸入與假設!$C$367,"觀點",""),"")</f>
        <v/>
      </c>
    </row>
    <row r="90" customFormat="false" ht="15" hidden="true" customHeight="false" outlineLevel="1" collapsed="false">
      <c r="A90" s="3" t="s">
        <v>1095</v>
      </c>
      <c r="B90" s="11" t="s">
        <v>59</v>
      </c>
      <c r="C90" s="65" t="str">
        <f aca="false">IF(COUNT(C33,D33)=2,C33+D33,"不適用")</f>
        <v>不適用</v>
      </c>
      <c r="D90" s="65" t="str">
        <f aca="false">IF(COUNT(C33,D33)=2,C33+D33,"不適用")</f>
        <v>不適用</v>
      </c>
      <c r="E90" s="65" t="str">
        <f aca="false">IF(COUNT(E33,F33,G33,H33)=4,E33+F33+G33+H33,"不適用")</f>
        <v>不適用</v>
      </c>
      <c r="F90" s="65" t="str">
        <f aca="false">IF(COUNT(E33,F33,G33,H33)=4,E33+F33+G33+H33,"不適用")</f>
        <v>不適用</v>
      </c>
      <c r="G90" s="65" t="str">
        <f aca="false">IF(COUNT(E33,F33,G33,H33)=4,E33+F33+G33+H33,"不適用")</f>
        <v>不適用</v>
      </c>
      <c r="H90" s="65" t="str">
        <f aca="false">IF(COUNT(E33,F33,G33,H33)=4,E33+F33+G33+H33,"不適用")</f>
        <v>不適用</v>
      </c>
      <c r="J90" s="6" t="s">
        <v>1084</v>
      </c>
    </row>
    <row r="91" customFormat="false" ht="15" hidden="true" customHeight="false" outlineLevel="1" collapsed="false">
      <c r="A91" s="3" t="s">
        <v>1096</v>
      </c>
      <c r="B91" s="11" t="s">
        <v>59</v>
      </c>
      <c r="C91" s="65" t="str">
        <f aca="false">IF(AND(ISNUMBER(C90),C90&lt;&gt;0,ISNUMBER(C33),ISNUMBER(C28)),(損益!C22-C90)*(C33)/C90,"不適用")</f>
        <v>不適用</v>
      </c>
      <c r="D91" s="65" t="str">
        <f aca="false">IF(AND(ISNUMBER(D90),D90&lt;&gt;0,ISNUMBER(D33),ISNUMBER(D28)),(損益!C22-D90)*(D33)/D90,"不適用")</f>
        <v>不適用</v>
      </c>
      <c r="E91" s="65" t="str">
        <f aca="false">IF(AND(ISNUMBER(E90),E90&lt;&gt;0,ISNUMBER(E33),ISNUMBER(E28)),(損益!D22-E90)*(E33)/E90,"不適用")</f>
        <v>不適用</v>
      </c>
      <c r="F91" s="65" t="str">
        <f aca="false">IF(AND(ISNUMBER(F90),F90&lt;&gt;0,ISNUMBER(F33),ISNUMBER(F28)),(損益!D22-F90)*(F33)/F90,"不適用")</f>
        <v>不適用</v>
      </c>
      <c r="G91" s="65" t="str">
        <f aca="false">IF(AND(ISNUMBER(G90),G90&lt;&gt;0,ISNUMBER(G33),ISNUMBER(G28)),(損益!D22-G90)*(G33)/G90,"不適用")</f>
        <v>不適用</v>
      </c>
      <c r="H91" s="65" t="str">
        <f aca="false">IF(AND(ISNUMBER(H90),H90&lt;&gt;0,ISNUMBER(H33),ISNUMBER(H28)),(損益!D22-H90)*(H33)/H90,"不適用")</f>
        <v>不適用</v>
      </c>
      <c r="J91" s="11" t="s">
        <v>1086</v>
      </c>
    </row>
    <row r="92" customFormat="false" ht="15" hidden="true" customHeight="false" outlineLevel="1" collapsed="false">
      <c r="A92" s="3" t="s">
        <v>1097</v>
      </c>
      <c r="B92" s="11" t="s">
        <v>59</v>
      </c>
      <c r="C92" s="65" t="str">
        <f aca="false">IF(AND(ISNUMBER(C90),C90&lt;&gt;0,ISNUMBER(C33),ISNUMBER(C28)),(C28/損益!C22-(C33)/C90)*損益!C22,"不適用")</f>
        <v>不適用</v>
      </c>
      <c r="D92" s="65" t="str">
        <f aca="false">IF(AND(ISNUMBER(D90),D90&lt;&gt;0,ISNUMBER(D33),ISNUMBER(D28)),(D28/損益!C22-(D33)/D90)*損益!C22,"不適用")</f>
        <v>不適用</v>
      </c>
      <c r="E92" s="65" t="str">
        <f aca="false">IF(AND(ISNUMBER(E90),E90&lt;&gt;0,ISNUMBER(E33),ISNUMBER(E28)),(E28/損益!D22-(E33)/E90)*損益!D22,"不適用")</f>
        <v>不適用</v>
      </c>
      <c r="F92" s="65" t="str">
        <f aca="false">IF(AND(ISNUMBER(F90),F90&lt;&gt;0,ISNUMBER(F33),ISNUMBER(F28)),(F28/損益!D22-(F33)/F90)*損益!D22,"不適用")</f>
        <v>不適用</v>
      </c>
      <c r="G92" s="65" t="str">
        <f aca="false">IF(AND(ISNUMBER(G90),G90&lt;&gt;0,ISNUMBER(G33),ISNUMBER(G28)),(G28/損益!D22-(G33)/G90)*損益!D22,"不適用")</f>
        <v>不適用</v>
      </c>
      <c r="H92" s="65" t="str">
        <f aca="false">IF(AND(ISNUMBER(H90),H90&lt;&gt;0,ISNUMBER(H33),ISNUMBER(H28)),(H28/損益!D22-(H33)/H90)*損益!D22,"不適用")</f>
        <v>不適用</v>
      </c>
      <c r="J92" s="11" t="s">
        <v>1088</v>
      </c>
    </row>
    <row r="93" customFormat="false" ht="15" hidden="true" customHeight="false" outlineLevel="1" collapsed="false">
      <c r="A93" s="3" t="s">
        <v>1098</v>
      </c>
      <c r="C93" s="46" t="str">
        <f aca="false">IF(ISNUMBER(C46),IF(IF(ISNUMBER(C51),ABS(C51)&gt;輸入與假設!$C$368,OR(AND(C33&lt;&gt;0,ABS(C46)&gt;輸入與假設!$C$367*ABS(C33)),AND(C33=0,C46&lt;&gt;0))),IF(ISNUMBER(C91),IF(ABS(C92)&gt;ABS(C91),"調整後 EBITDA vs 共識 "&amp;IF(C46&lt;0,"−","+")&amp;IF(ABS(C46)&lt;0,"−","")&amp;"$"&amp;TEXT(ABS(ABS(C46)),"#,##0.0")&amp;"m"&amp;IF(ISNUMBER(C51),"／"&amp;IF(C51&lt;0,"−","+")&amp;TEXT(ABS(C51)*100,"#,##0.0")&amp;"pt","")&amp;"：拆法（分配 "&amp;IF(C92&lt;0,"−","+")&amp;IF(ABS(C92)&lt;0,"−","")&amp;"$"&amp;TEXT(ABS(ABS(C92)),"#,##0.0")&amp;"m"&amp;"（Q3 2026 占 2H26 "&amp;TEXT((C28/損益!C22)*100,"#,##0.0")&amp;"%"&amp;"，共識合計 "&amp;TEXT(((C33)/C90)*100,"#,##0.0")&amp;"%"&amp;"）；水準 "&amp;IF(C91&lt;0,"−","+")&amp;IF(ABS(C91)&lt;0,"−","")&amp;"$"&amp;TEXT(ABS(ABS(C91)),"#,##0.0")&amp;"m"&amp;"）","調整後 EBITDA vs 共識 "&amp;IF(C46&lt;0,"−","+")&amp;IF(ABS(C46)&lt;0,"−","")&amp;"$"&amp;TEXT(ABS(ABS(C46)),"#,##0.0")&amp;"m"&amp;IF(ISNUMBER(C51),"／"&amp;IF(C51&lt;0,"−","+")&amp;TEXT(ABS(C51)*100,"#,##0.0")&amp;"pt","")&amp;"：觀點（水準 "&amp;IF(C91&lt;0,"−","+")&amp;IF(ABS(C91)&lt;0,"−","")&amp;"$"&amp;TEXT(ABS(ABS(C91)),"#,##0.0")&amp;"m"&amp;"（2H26 模型 "&amp;IF(損益!C22&lt;0,"−","")&amp;"$"&amp;TEXT(ABS(損益!C22),"#,##0.0")&amp;"m"&amp;"，共識合計 "&amp;IF(C90&lt;0,"−","")&amp;"$"&amp;TEXT(ABS(C90),"#,##0.0")&amp;"m"&amp;"）；分配 "&amp;IF(C92&lt;0,"−","+")&amp;IF(ABS(C92)&lt;0,"−","")&amp;"$"&amp;TEXT(ABS(ABS(C92)),"#,##0.0")&amp;"m"&amp;"；"&amp;"模型 EBITDA 率 "&amp;IF((C27)&lt;0,"−","")&amp;TEXT(ABS((C27))*100,"#,##0.0")&amp;"%"&amp;"（雲端起點以扣一次性後的經常性數字校準）"&amp;"）"),"調整後 EBITDA vs 共識 "&amp;IF(C46&lt;0,"−","+")&amp;IF(ABS(C46)&lt;0,"−","")&amp;"$"&amp;TEXT(ABS(ABS(C46)),"#,##0.0")&amp;"m"&amp;IF(ISNUMBER(C51),"／"&amp;IF(C51&lt;0,"−","+")&amp;TEXT(ABS(C51)*100,"#,##0.0")&amp;"pt","")&amp;"：觀點（"&amp;"模型 EBITDA 率 "&amp;IF((C27)&lt;0,"−","")&amp;TEXT(ABS((C27))*100,"#,##0.0")&amp;"%"&amp;"（雲端起點以扣一次性後的經常性數字校準）"&amp;"）"),""),"")</f>
        <v/>
      </c>
      <c r="D93" s="46" t="str">
        <f aca="false">IF(ISNUMBER(D46),IF(IF(ISNUMBER(D51),ABS(D51)&gt;輸入與假設!$C$368,OR(AND(D33&lt;&gt;0,ABS(D46)&gt;輸入與假設!$C$367*ABS(D33)),AND(D33=0,D46&lt;&gt;0))),IF(ISNUMBER(D91),IF(ABS(D92)&gt;ABS(D91),"調整後 EBITDA vs 共識 "&amp;IF(D46&lt;0,"−","+")&amp;IF(ABS(D46)&lt;0,"−","")&amp;"$"&amp;TEXT(ABS(ABS(D46)),"#,##0.0")&amp;"m"&amp;IF(ISNUMBER(D51),"／"&amp;IF(D51&lt;0,"−","+")&amp;TEXT(ABS(D51)*100,"#,##0.0")&amp;"pt","")&amp;"：拆法（分配 "&amp;IF(D92&lt;0,"−","+")&amp;IF(ABS(D92)&lt;0,"−","")&amp;"$"&amp;TEXT(ABS(ABS(D92)),"#,##0.0")&amp;"m"&amp;"（Q4 2026 占 2H26 "&amp;TEXT((D28/損益!C22)*100,"#,##0.0")&amp;"%"&amp;"，共識合計 "&amp;TEXT(((D33)/D90)*100,"#,##0.0")&amp;"%"&amp;"）；水準 "&amp;IF(D91&lt;0,"−","+")&amp;IF(ABS(D91)&lt;0,"−","")&amp;"$"&amp;TEXT(ABS(ABS(D91)),"#,##0.0")&amp;"m"&amp;"）","調整後 EBITDA vs 共識 "&amp;IF(D46&lt;0,"−","+")&amp;IF(ABS(D46)&lt;0,"−","")&amp;"$"&amp;TEXT(ABS(ABS(D46)),"#,##0.0")&amp;"m"&amp;IF(ISNUMBER(D51),"／"&amp;IF(D51&lt;0,"−","+")&amp;TEXT(ABS(D51)*100,"#,##0.0")&amp;"pt","")&amp;"：觀點（水準 "&amp;IF(D91&lt;0,"−","+")&amp;IF(ABS(D91)&lt;0,"−","")&amp;"$"&amp;TEXT(ABS(ABS(D91)),"#,##0.0")&amp;"m"&amp;"（2H26 模型 "&amp;IF(損益!C22&lt;0,"−","")&amp;"$"&amp;TEXT(ABS(損益!C22),"#,##0.0")&amp;"m"&amp;"，共識合計 "&amp;IF(D90&lt;0,"−","")&amp;"$"&amp;TEXT(ABS(D90),"#,##0.0")&amp;"m"&amp;"）；分配 "&amp;IF(D92&lt;0,"−","+")&amp;IF(ABS(D92)&lt;0,"−","")&amp;"$"&amp;TEXT(ABS(ABS(D92)),"#,##0.0")&amp;"m"&amp;"；"&amp;"模型 EBITDA 率 "&amp;IF((D27)&lt;0,"−","")&amp;TEXT(ABS((D27))*100,"#,##0.0")&amp;"%"&amp;"（雲端起點以扣一次性後的經常性數字校準）"&amp;"）"),"調整後 EBITDA vs 共識 "&amp;IF(D46&lt;0,"−","+")&amp;IF(ABS(D46)&lt;0,"−","")&amp;"$"&amp;TEXT(ABS(ABS(D46)),"#,##0.0")&amp;"m"&amp;IF(ISNUMBER(D51),"／"&amp;IF(D51&lt;0,"−","+")&amp;TEXT(ABS(D51)*100,"#,##0.0")&amp;"pt","")&amp;"：觀點（"&amp;"模型 EBITDA 率 "&amp;IF((D27)&lt;0,"−","")&amp;TEXT(ABS((D27))*100,"#,##0.0")&amp;"%"&amp;"（雲端起點以扣一次性後的經常性數字校準）"&amp;"）"),""),"")</f>
        <v/>
      </c>
      <c r="E93" s="46" t="str">
        <f aca="false">IF(ISNUMBER(E46),IF(IF(ISNUMBER(E51),ABS(E51)&gt;輸入與假設!$C$368,OR(AND(E33&lt;&gt;0,ABS(E46)&gt;輸入與假設!$C$367*ABS(E33)),AND(E33=0,E46&lt;&gt;0))),IF(ISNUMBER(E91),IF(ABS(E92)&gt;ABS(E91),"調整後 EBITDA vs 共識 "&amp;IF(E46&lt;0,"−","+")&amp;IF(ABS(E46)&lt;0,"−","")&amp;"$"&amp;TEXT(ABS(ABS(E46)),"#,##0.0")&amp;"m"&amp;IF(ISNUMBER(E51),"／"&amp;IF(E51&lt;0,"−","+")&amp;TEXT(ABS(E51)*100,"#,##0.0")&amp;"pt","")&amp;"：拆法（分配 "&amp;IF(E92&lt;0,"−","+")&amp;IF(ABS(E92)&lt;0,"−","")&amp;"$"&amp;TEXT(ABS(ABS(E92)),"#,##0.0")&amp;"m"&amp;"（Q1 2027 占 FY27 "&amp;TEXT((E28/損益!D22)*100,"#,##0.0")&amp;"%"&amp;"，共識合計 "&amp;TEXT(((E33)/E90)*100,"#,##0.0")&amp;"%"&amp;"）；水準 "&amp;IF(E91&lt;0,"−","+")&amp;IF(ABS(E91)&lt;0,"−","")&amp;"$"&amp;TEXT(ABS(ABS(E91)),"#,##0.0")&amp;"m"&amp;"）","調整後 EBITDA vs 共識 "&amp;IF(E46&lt;0,"−","+")&amp;IF(ABS(E46)&lt;0,"−","")&amp;"$"&amp;TEXT(ABS(ABS(E46)),"#,##0.0")&amp;"m"&amp;IF(ISNUMBER(E51),"／"&amp;IF(E51&lt;0,"−","+")&amp;TEXT(ABS(E51)*100,"#,##0.0")&amp;"pt","")&amp;"：觀點（水準 "&amp;IF(E91&lt;0,"−","+")&amp;IF(ABS(E91)&lt;0,"−","")&amp;"$"&amp;TEXT(ABS(ABS(E91)),"#,##0.0")&amp;"m"&amp;"（FY27 模型 "&amp;IF(損益!D22&lt;0,"−","")&amp;"$"&amp;TEXT(ABS(損益!D22),"#,##0.0")&amp;"m"&amp;"，共識合計 "&amp;IF(E90&lt;0,"−","")&amp;"$"&amp;TEXT(ABS(E90),"#,##0.0")&amp;"m"&amp;"）；分配 "&amp;IF(E92&lt;0,"−","+")&amp;IF(ABS(E92)&lt;0,"−","")&amp;"$"&amp;TEXT(ABS(ABS(E92)),"#,##0.0")&amp;"m"&amp;"；"&amp;"模型 EBITDA 率 "&amp;IF((E27)&lt;0,"−","")&amp;TEXT(ABS((E27))*100,"#,##0.0")&amp;"%"&amp;"（雲端起點以扣一次性後的經常性數字校準）"&amp;"）"),"調整後 EBITDA vs 共識 "&amp;IF(E46&lt;0,"−","+")&amp;IF(ABS(E46)&lt;0,"−","")&amp;"$"&amp;TEXT(ABS(ABS(E46)),"#,##0.0")&amp;"m"&amp;IF(ISNUMBER(E51),"／"&amp;IF(E51&lt;0,"−","+")&amp;TEXT(ABS(E51)*100,"#,##0.0")&amp;"pt","")&amp;"：觀點（"&amp;"模型 EBITDA 率 "&amp;IF((E27)&lt;0,"−","")&amp;TEXT(ABS((E27))*100,"#,##0.0")&amp;"%"&amp;"（雲端起點以扣一次性後的經常性數字校準）"&amp;"）"),""),"")</f>
        <v/>
      </c>
      <c r="F93" s="46" t="str">
        <f aca="false">IF(ISNUMBER(F46),IF(IF(ISNUMBER(F51),ABS(F51)&gt;輸入與假設!$C$368,OR(AND(F33&lt;&gt;0,ABS(F46)&gt;輸入與假設!$C$367*ABS(F33)),AND(F33=0,F46&lt;&gt;0))),IF(ISNUMBER(F91),IF(ABS(F92)&gt;ABS(F91),"調整後 EBITDA vs 共識 "&amp;IF(F46&lt;0,"−","+")&amp;IF(ABS(F46)&lt;0,"−","")&amp;"$"&amp;TEXT(ABS(ABS(F46)),"#,##0.0")&amp;"m"&amp;IF(ISNUMBER(F51),"／"&amp;IF(F51&lt;0,"−","+")&amp;TEXT(ABS(F51)*100,"#,##0.0")&amp;"pt","")&amp;"：拆法（分配 "&amp;IF(F92&lt;0,"−","+")&amp;IF(ABS(F92)&lt;0,"−","")&amp;"$"&amp;TEXT(ABS(ABS(F92)),"#,##0.0")&amp;"m"&amp;"（Q2 2027 占 FY27 "&amp;TEXT((F28/損益!D22)*100,"#,##0.0")&amp;"%"&amp;"，共識合計 "&amp;TEXT(((F33)/F90)*100,"#,##0.0")&amp;"%"&amp;"）；水準 "&amp;IF(F91&lt;0,"−","+")&amp;IF(ABS(F91)&lt;0,"−","")&amp;"$"&amp;TEXT(ABS(ABS(F91)),"#,##0.0")&amp;"m"&amp;"）","調整後 EBITDA vs 共識 "&amp;IF(F46&lt;0,"−","+")&amp;IF(ABS(F46)&lt;0,"−","")&amp;"$"&amp;TEXT(ABS(ABS(F46)),"#,##0.0")&amp;"m"&amp;IF(ISNUMBER(F51),"／"&amp;IF(F51&lt;0,"−","+")&amp;TEXT(ABS(F51)*100,"#,##0.0")&amp;"pt","")&amp;"：觀點（水準 "&amp;IF(F91&lt;0,"−","+")&amp;IF(ABS(F91)&lt;0,"−","")&amp;"$"&amp;TEXT(ABS(ABS(F91)),"#,##0.0")&amp;"m"&amp;"（FY27 模型 "&amp;IF(損益!D22&lt;0,"−","")&amp;"$"&amp;TEXT(ABS(損益!D22),"#,##0.0")&amp;"m"&amp;"，共識合計 "&amp;IF(F90&lt;0,"−","")&amp;"$"&amp;TEXT(ABS(F90),"#,##0.0")&amp;"m"&amp;"）；分配 "&amp;IF(F92&lt;0,"−","+")&amp;IF(ABS(F92)&lt;0,"−","")&amp;"$"&amp;TEXT(ABS(ABS(F92)),"#,##0.0")&amp;"m"&amp;"；"&amp;"模型 EBITDA 率 "&amp;IF((F27)&lt;0,"−","")&amp;TEXT(ABS((F27))*100,"#,##0.0")&amp;"%"&amp;"（雲端起點以扣一次性後的經常性數字校準）"&amp;"）"),"調整後 EBITDA vs 共識 "&amp;IF(F46&lt;0,"−","+")&amp;IF(ABS(F46)&lt;0,"−","")&amp;"$"&amp;TEXT(ABS(ABS(F46)),"#,##0.0")&amp;"m"&amp;IF(ISNUMBER(F51),"／"&amp;IF(F51&lt;0,"−","+")&amp;TEXT(ABS(F51)*100,"#,##0.0")&amp;"pt","")&amp;"：觀點（"&amp;"模型 EBITDA 率 "&amp;IF((F27)&lt;0,"−","")&amp;TEXT(ABS((F27))*100,"#,##0.0")&amp;"%"&amp;"（雲端起點以扣一次性後的經常性數字校準）"&amp;"）"),""),"")</f>
        <v/>
      </c>
      <c r="G93" s="46" t="str">
        <f aca="false">IF(ISNUMBER(G46),IF(IF(ISNUMBER(G51),ABS(G51)&gt;輸入與假設!$C$368,OR(AND(G33&lt;&gt;0,ABS(G46)&gt;輸入與假設!$C$367*ABS(G33)),AND(G33=0,G46&lt;&gt;0))),IF(ISNUMBER(G91),IF(ABS(G92)&gt;ABS(G91),"調整後 EBITDA vs 共識 "&amp;IF(G46&lt;0,"−","+")&amp;IF(ABS(G46)&lt;0,"−","")&amp;"$"&amp;TEXT(ABS(ABS(G46)),"#,##0.0")&amp;"m"&amp;IF(ISNUMBER(G51),"／"&amp;IF(G51&lt;0,"−","+")&amp;TEXT(ABS(G51)*100,"#,##0.0")&amp;"pt","")&amp;"：拆法（分配 "&amp;IF(G92&lt;0,"−","+")&amp;IF(ABS(G92)&lt;0,"−","")&amp;"$"&amp;TEXT(ABS(ABS(G92)),"#,##0.0")&amp;"m"&amp;"（Q3 2027 占 FY27 "&amp;TEXT((G28/損益!D22)*100,"#,##0.0")&amp;"%"&amp;"，共識合計 "&amp;TEXT(((G33)/G90)*100,"#,##0.0")&amp;"%"&amp;"）；水準 "&amp;IF(G91&lt;0,"−","+")&amp;IF(ABS(G91)&lt;0,"−","")&amp;"$"&amp;TEXT(ABS(ABS(G91)),"#,##0.0")&amp;"m"&amp;"）","調整後 EBITDA vs 共識 "&amp;IF(G46&lt;0,"−","+")&amp;IF(ABS(G46)&lt;0,"−","")&amp;"$"&amp;TEXT(ABS(ABS(G46)),"#,##0.0")&amp;"m"&amp;IF(ISNUMBER(G51),"／"&amp;IF(G51&lt;0,"−","+")&amp;TEXT(ABS(G51)*100,"#,##0.0")&amp;"pt","")&amp;"：觀點（水準 "&amp;IF(G91&lt;0,"−","+")&amp;IF(ABS(G91)&lt;0,"−","")&amp;"$"&amp;TEXT(ABS(ABS(G91)),"#,##0.0")&amp;"m"&amp;"（FY27 模型 "&amp;IF(損益!D22&lt;0,"−","")&amp;"$"&amp;TEXT(ABS(損益!D22),"#,##0.0")&amp;"m"&amp;"，共識合計 "&amp;IF(G90&lt;0,"−","")&amp;"$"&amp;TEXT(ABS(G90),"#,##0.0")&amp;"m"&amp;"）；分配 "&amp;IF(G92&lt;0,"−","+")&amp;IF(ABS(G92)&lt;0,"−","")&amp;"$"&amp;TEXT(ABS(ABS(G92)),"#,##0.0")&amp;"m"&amp;"；"&amp;"模型 EBITDA 率 "&amp;IF((G27)&lt;0,"−","")&amp;TEXT(ABS((G27))*100,"#,##0.0")&amp;"%"&amp;"（雲端起點以扣一次性後的經常性數字校準）"&amp;"）"),"調整後 EBITDA vs 共識 "&amp;IF(G46&lt;0,"−","+")&amp;IF(ABS(G46)&lt;0,"−","")&amp;"$"&amp;TEXT(ABS(ABS(G46)),"#,##0.0")&amp;"m"&amp;IF(ISNUMBER(G51),"／"&amp;IF(G51&lt;0,"−","+")&amp;TEXT(ABS(G51)*100,"#,##0.0")&amp;"pt","")&amp;"：觀點（"&amp;"模型 EBITDA 率 "&amp;IF((G27)&lt;0,"−","")&amp;TEXT(ABS((G27))*100,"#,##0.0")&amp;"%"&amp;"（雲端起點以扣一次性後的經常性數字校準）"&amp;"）"),""),"")</f>
        <v/>
      </c>
      <c r="H93" s="46" t="str">
        <f aca="false">IF(ISNUMBER(H46),IF(IF(ISNUMBER(H51),ABS(H51)&gt;輸入與假設!$C$368,OR(AND(H33&lt;&gt;0,ABS(H46)&gt;輸入與假設!$C$367*ABS(H33)),AND(H33=0,H46&lt;&gt;0))),IF(ISNUMBER(H91),IF(ABS(H92)&gt;ABS(H91),"調整後 EBITDA vs 共識 "&amp;IF(H46&lt;0,"−","+")&amp;IF(ABS(H46)&lt;0,"−","")&amp;"$"&amp;TEXT(ABS(ABS(H46)),"#,##0.0")&amp;"m"&amp;IF(ISNUMBER(H51),"／"&amp;IF(H51&lt;0,"−","+")&amp;TEXT(ABS(H51)*100,"#,##0.0")&amp;"pt","")&amp;"：拆法（分配 "&amp;IF(H92&lt;0,"−","+")&amp;IF(ABS(H92)&lt;0,"−","")&amp;"$"&amp;TEXT(ABS(ABS(H92)),"#,##0.0")&amp;"m"&amp;"（Q4 2027 占 FY27 "&amp;TEXT((H28/損益!D22)*100,"#,##0.0")&amp;"%"&amp;"，共識合計 "&amp;TEXT(((H33)/H90)*100,"#,##0.0")&amp;"%"&amp;"）；水準 "&amp;IF(H91&lt;0,"−","+")&amp;IF(ABS(H91)&lt;0,"−","")&amp;"$"&amp;TEXT(ABS(ABS(H91)),"#,##0.0")&amp;"m"&amp;"）","調整後 EBITDA vs 共識 "&amp;IF(H46&lt;0,"−","+")&amp;IF(ABS(H46)&lt;0,"−","")&amp;"$"&amp;TEXT(ABS(ABS(H46)),"#,##0.0")&amp;"m"&amp;IF(ISNUMBER(H51),"／"&amp;IF(H51&lt;0,"−","+")&amp;TEXT(ABS(H51)*100,"#,##0.0")&amp;"pt","")&amp;"：觀點（水準 "&amp;IF(H91&lt;0,"−","+")&amp;IF(ABS(H91)&lt;0,"−","")&amp;"$"&amp;TEXT(ABS(ABS(H91)),"#,##0.0")&amp;"m"&amp;"（FY27 模型 "&amp;IF(損益!D22&lt;0,"−","")&amp;"$"&amp;TEXT(ABS(損益!D22),"#,##0.0")&amp;"m"&amp;"，共識合計 "&amp;IF(H90&lt;0,"−","")&amp;"$"&amp;TEXT(ABS(H90),"#,##0.0")&amp;"m"&amp;"）；分配 "&amp;IF(H92&lt;0,"−","+")&amp;IF(ABS(H92)&lt;0,"−","")&amp;"$"&amp;TEXT(ABS(ABS(H92)),"#,##0.0")&amp;"m"&amp;"；"&amp;"模型 EBITDA 率 "&amp;IF((H27)&lt;0,"−","")&amp;TEXT(ABS((H27))*100,"#,##0.0")&amp;"%"&amp;"（雲端起點以扣一次性後的經常性數字校準）"&amp;"）"),"調整後 EBITDA vs 共識 "&amp;IF(H46&lt;0,"−","+")&amp;IF(ABS(H46)&lt;0,"−","")&amp;"$"&amp;TEXT(ABS(ABS(H46)),"#,##0.0")&amp;"m"&amp;IF(ISNUMBER(H51),"／"&amp;IF(H51&lt;0,"−","+")&amp;TEXT(ABS(H51)*100,"#,##0.0")&amp;"pt","")&amp;"：觀點（"&amp;"模型 EBITDA 率 "&amp;IF((H27)&lt;0,"−","")&amp;TEXT(ABS((H27))*100,"#,##0.0")&amp;"%"&amp;"（雲端起點以扣一次性後的經常性數字校準）"&amp;"）"),""),"")</f>
        <v/>
      </c>
    </row>
    <row r="94" customFormat="false" ht="15" hidden="true" customHeight="false" outlineLevel="1" collapsed="false">
      <c r="A94" s="3" t="s">
        <v>1099</v>
      </c>
      <c r="C94" s="46" t="str">
        <f aca="false">IF(ISNUMBER(C46),IF(IF(ISNUMBER(C51),ABS(C51)&gt;輸入與假設!$C$368,OR(AND(C33&lt;&gt;0,ABS(C46)&gt;輸入與假設!$C$367*ABS(C33)),AND(C33=0,C46&lt;&gt;0))),IF(ISNUMBER(C91),IF(ABS(C92)&gt;ABS(C91),"拆法","觀點"),"觀點"),""),"")</f>
        <v/>
      </c>
      <c r="D94" s="46" t="str">
        <f aca="false">IF(ISNUMBER(D46),IF(IF(ISNUMBER(D51),ABS(D51)&gt;輸入與假設!$C$368,OR(AND(D33&lt;&gt;0,ABS(D46)&gt;輸入與假設!$C$367*ABS(D33)),AND(D33=0,D46&lt;&gt;0))),IF(ISNUMBER(D91),IF(ABS(D92)&gt;ABS(D91),"拆法","觀點"),"觀點"),""),"")</f>
        <v/>
      </c>
      <c r="E94" s="46" t="str">
        <f aca="false">IF(ISNUMBER(E46),IF(IF(ISNUMBER(E51),ABS(E51)&gt;輸入與假設!$C$368,OR(AND(E33&lt;&gt;0,ABS(E46)&gt;輸入與假設!$C$367*ABS(E33)),AND(E33=0,E46&lt;&gt;0))),IF(ISNUMBER(E91),IF(ABS(E92)&gt;ABS(E91),"拆法","觀點"),"觀點"),""),"")</f>
        <v/>
      </c>
      <c r="F94" s="46" t="str">
        <f aca="false">IF(ISNUMBER(F46),IF(IF(ISNUMBER(F51),ABS(F51)&gt;輸入與假設!$C$368,OR(AND(F33&lt;&gt;0,ABS(F46)&gt;輸入與假設!$C$367*ABS(F33)),AND(F33=0,F46&lt;&gt;0))),IF(ISNUMBER(F91),IF(ABS(F92)&gt;ABS(F91),"拆法","觀點"),"觀點"),""),"")</f>
        <v/>
      </c>
      <c r="G94" s="46" t="str">
        <f aca="false">IF(ISNUMBER(G46),IF(IF(ISNUMBER(G51),ABS(G51)&gt;輸入與假設!$C$368,OR(AND(G33&lt;&gt;0,ABS(G46)&gt;輸入與假設!$C$367*ABS(G33)),AND(G33=0,G46&lt;&gt;0))),IF(ISNUMBER(G91),IF(ABS(G92)&gt;ABS(G91),"拆法","觀點"),"觀點"),""),"")</f>
        <v/>
      </c>
      <c r="H94" s="46" t="str">
        <f aca="false">IF(ISNUMBER(H46),IF(IF(ISNUMBER(H51),ABS(H51)&gt;輸入與假設!$C$368,OR(AND(H33&lt;&gt;0,ABS(H46)&gt;輸入與假設!$C$367*ABS(H33)),AND(H33=0,H46&lt;&gt;0))),IF(ISNUMBER(H91),IF(ABS(H92)&gt;ABS(H91),"拆法","觀點"),"觀點"),""),"")</f>
        <v/>
      </c>
    </row>
    <row r="95" customFormat="false" ht="15" hidden="true" customHeight="false" outlineLevel="1" collapsed="false">
      <c r="A95" s="3" t="s">
        <v>1100</v>
      </c>
      <c r="C95" s="46"/>
      <c r="D95" s="46"/>
      <c r="E95" s="46"/>
      <c r="F95" s="46"/>
      <c r="G95" s="46"/>
      <c r="H95" s="46"/>
    </row>
    <row r="96" customFormat="false" ht="15" hidden="true" customHeight="false" outlineLevel="1" collapsed="false">
      <c r="A96" s="3" t="s">
        <v>1101</v>
      </c>
      <c r="C96" s="46"/>
      <c r="D96" s="46"/>
      <c r="E96" s="46"/>
      <c r="F96" s="46"/>
      <c r="G96" s="46"/>
      <c r="H96" s="46"/>
    </row>
    <row r="97" customFormat="false" ht="15" hidden="true" customHeight="false" outlineLevel="1" collapsed="false">
      <c r="A97" s="3" t="s">
        <v>1102</v>
      </c>
      <c r="C97" s="46" t="str">
        <f aca="false">IF(ISNUMBER(C48),IF(IF(ISNUMBER(C53),ABS(C53)&gt;輸入與假設!$C$368,OR(AND(C28&lt;&gt;0,ABS(C48)&gt;輸入與假設!$C$367*ABS(C28)),AND(C28=0,C48&lt;&gt;0))),"調整後 EBITDA 實際 vs 模型 "&amp;IF(C48&lt;0,"−","+")&amp;IF(ABS(C48)&lt;0,"−","")&amp;"$"&amp;TEXT(ABS(ABS(C48)),"#,##0.0")&amp;"m"&amp;IF(ISNUMBER(C53),"／"&amp;IF(C53&lt;0,"−","+")&amp;TEXT(ABS(C53)*100,"#,##0.0")&amp;"pt","")&amp;"：觀點（"&amp;"模型 EBITDA 率 "&amp;IF((C27)&lt;0,"−","")&amp;TEXT(ABS((C27))*100,"#,##0.0")&amp;"%"&amp;"（雲端起點以扣一次性後的經常性數字校準）"&amp;"）",""),"")</f>
        <v/>
      </c>
      <c r="D97" s="46" t="str">
        <f aca="false">IF(ISNUMBER(D48),IF(IF(ISNUMBER(D53),ABS(D53)&gt;輸入與假設!$C$368,OR(AND(D28&lt;&gt;0,ABS(D48)&gt;輸入與假設!$C$367*ABS(D28)),AND(D28=0,D48&lt;&gt;0))),"調整後 EBITDA 實際 vs 模型 "&amp;IF(D48&lt;0,"−","+")&amp;IF(ABS(D48)&lt;0,"−","")&amp;"$"&amp;TEXT(ABS(ABS(D48)),"#,##0.0")&amp;"m"&amp;IF(ISNUMBER(D53),"／"&amp;IF(D53&lt;0,"−","+")&amp;TEXT(ABS(D53)*100,"#,##0.0")&amp;"pt","")&amp;"：觀點（"&amp;"模型 EBITDA 率 "&amp;IF((D27)&lt;0,"−","")&amp;TEXT(ABS((D27))*100,"#,##0.0")&amp;"%"&amp;"（雲端起點以扣一次性後的經常性數字校準）"&amp;"）",""),"")</f>
        <v/>
      </c>
      <c r="E97" s="46" t="str">
        <f aca="false">IF(ISNUMBER(E48),IF(IF(ISNUMBER(E53),ABS(E53)&gt;輸入與假設!$C$368,OR(AND(E28&lt;&gt;0,ABS(E48)&gt;輸入與假設!$C$367*ABS(E28)),AND(E28=0,E48&lt;&gt;0))),"調整後 EBITDA 實際 vs 模型 "&amp;IF(E48&lt;0,"−","+")&amp;IF(ABS(E48)&lt;0,"−","")&amp;"$"&amp;TEXT(ABS(ABS(E48)),"#,##0.0")&amp;"m"&amp;IF(ISNUMBER(E53),"／"&amp;IF(E53&lt;0,"−","+")&amp;TEXT(ABS(E53)*100,"#,##0.0")&amp;"pt","")&amp;"：觀點（"&amp;"模型 EBITDA 率 "&amp;IF((E27)&lt;0,"−","")&amp;TEXT(ABS((E27))*100,"#,##0.0")&amp;"%"&amp;"（雲端起點以扣一次性後的經常性數字校準）"&amp;"）",""),"")</f>
        <v/>
      </c>
      <c r="F97" s="46" t="str">
        <f aca="false">IF(ISNUMBER(F48),IF(IF(ISNUMBER(F53),ABS(F53)&gt;輸入與假設!$C$368,OR(AND(F28&lt;&gt;0,ABS(F48)&gt;輸入與假設!$C$367*ABS(F28)),AND(F28=0,F48&lt;&gt;0))),"調整後 EBITDA 實際 vs 模型 "&amp;IF(F48&lt;0,"−","+")&amp;IF(ABS(F48)&lt;0,"−","")&amp;"$"&amp;TEXT(ABS(ABS(F48)),"#,##0.0")&amp;"m"&amp;IF(ISNUMBER(F53),"／"&amp;IF(F53&lt;0,"−","+")&amp;TEXT(ABS(F53)*100,"#,##0.0")&amp;"pt","")&amp;"：觀點（"&amp;"模型 EBITDA 率 "&amp;IF((F27)&lt;0,"−","")&amp;TEXT(ABS((F27))*100,"#,##0.0")&amp;"%"&amp;"（雲端起點以扣一次性後的經常性數字校準）"&amp;"）",""),"")</f>
        <v/>
      </c>
      <c r="G97" s="46" t="str">
        <f aca="false">IF(ISNUMBER(G48),IF(IF(ISNUMBER(G53),ABS(G53)&gt;輸入與假設!$C$368,OR(AND(G28&lt;&gt;0,ABS(G48)&gt;輸入與假設!$C$367*ABS(G28)),AND(G28=0,G48&lt;&gt;0))),"調整後 EBITDA 實際 vs 模型 "&amp;IF(G48&lt;0,"−","+")&amp;IF(ABS(G48)&lt;0,"−","")&amp;"$"&amp;TEXT(ABS(ABS(G48)),"#,##0.0")&amp;"m"&amp;IF(ISNUMBER(G53),"／"&amp;IF(G53&lt;0,"−","+")&amp;TEXT(ABS(G53)*100,"#,##0.0")&amp;"pt","")&amp;"：觀點（"&amp;"模型 EBITDA 率 "&amp;IF((G27)&lt;0,"−","")&amp;TEXT(ABS((G27))*100,"#,##0.0")&amp;"%"&amp;"（雲端起點以扣一次性後的經常性數字校準）"&amp;"）",""),"")</f>
        <v/>
      </c>
      <c r="H97" s="46" t="str">
        <f aca="false">IF(ISNUMBER(H48),IF(IF(ISNUMBER(H53),ABS(H53)&gt;輸入與假設!$C$368,OR(AND(H28&lt;&gt;0,ABS(H48)&gt;輸入與假設!$C$367*ABS(H28)),AND(H28=0,H48&lt;&gt;0))),"調整後 EBITDA 實際 vs 模型 "&amp;IF(H48&lt;0,"−","+")&amp;IF(ABS(H48)&lt;0,"−","")&amp;"$"&amp;TEXT(ABS(ABS(H48)),"#,##0.0")&amp;"m"&amp;IF(ISNUMBER(H53),"／"&amp;IF(H53&lt;0,"−","+")&amp;TEXT(ABS(H53)*100,"#,##0.0")&amp;"pt","")&amp;"：觀點（"&amp;"模型 EBITDA 率 "&amp;IF((H27)&lt;0,"−","")&amp;TEXT(ABS((H27))*100,"#,##0.0")&amp;"%"&amp;"（雲端起點以扣一次性後的經常性數字校準）"&amp;"）",""),"")</f>
        <v/>
      </c>
    </row>
    <row r="98" customFormat="false" ht="15" hidden="true" customHeight="false" outlineLevel="1" collapsed="false">
      <c r="A98" s="3" t="s">
        <v>1103</v>
      </c>
      <c r="C98" s="46" t="str">
        <f aca="false">IF(ISNUMBER(C48),IF(IF(ISNUMBER(C53),ABS(C53)&gt;輸入與假設!$C$368,OR(AND(C28&lt;&gt;0,ABS(C48)&gt;輸入與假設!$C$367*ABS(C28)),AND(C28=0,C48&lt;&gt;0))),"觀點",""),"")</f>
        <v/>
      </c>
      <c r="D98" s="46" t="str">
        <f aca="false">IF(ISNUMBER(D48),IF(IF(ISNUMBER(D53),ABS(D53)&gt;輸入與假設!$C$368,OR(AND(D28&lt;&gt;0,ABS(D48)&gt;輸入與假設!$C$367*ABS(D28)),AND(D28=0,D48&lt;&gt;0))),"觀點",""),"")</f>
        <v/>
      </c>
      <c r="E98" s="46" t="str">
        <f aca="false">IF(ISNUMBER(E48),IF(IF(ISNUMBER(E53),ABS(E53)&gt;輸入與假設!$C$368,OR(AND(E28&lt;&gt;0,ABS(E48)&gt;輸入與假設!$C$367*ABS(E28)),AND(E28=0,E48&lt;&gt;0))),"觀點",""),"")</f>
        <v/>
      </c>
      <c r="F98" s="46" t="str">
        <f aca="false">IF(ISNUMBER(F48),IF(IF(ISNUMBER(F53),ABS(F53)&gt;輸入與假設!$C$368,OR(AND(F28&lt;&gt;0,ABS(F48)&gt;輸入與假設!$C$367*ABS(F28)),AND(F28=0,F48&lt;&gt;0))),"觀點",""),"")</f>
        <v/>
      </c>
      <c r="G98" s="46" t="str">
        <f aca="false">IF(ISNUMBER(G48),IF(IF(ISNUMBER(G53),ABS(G53)&gt;輸入與假設!$C$368,OR(AND(G28&lt;&gt;0,ABS(G48)&gt;輸入與假設!$C$367*ABS(G28)),AND(G28=0,G48&lt;&gt;0))),"觀點",""),"")</f>
        <v/>
      </c>
      <c r="H98" s="46" t="str">
        <f aca="false">IF(ISNUMBER(H48),IF(IF(ISNUMBER(H53),ABS(H53)&gt;輸入與假設!$C$368,OR(AND(H28&lt;&gt;0,ABS(H48)&gt;輸入與假設!$C$367*ABS(H28)),AND(H28=0,H48&lt;&gt;0))),"觀點",""),"")</f>
        <v/>
      </c>
    </row>
    <row r="99" customFormat="false" ht="15" hidden="true" customHeight="false" outlineLevel="1" collapsed="false">
      <c r="A99" s="3" t="s">
        <v>1104</v>
      </c>
      <c r="C99" s="46"/>
      <c r="D99" s="46"/>
      <c r="E99" s="46"/>
      <c r="F99" s="46"/>
      <c r="G99" s="46"/>
      <c r="H99" s="46"/>
    </row>
    <row r="100" customFormat="false" ht="15" hidden="true" customHeight="false" outlineLevel="1" collapsed="false">
      <c r="A100" s="3" t="s">
        <v>1105</v>
      </c>
      <c r="C100" s="46"/>
      <c r="D100" s="46"/>
      <c r="E100" s="46"/>
      <c r="F100" s="46"/>
      <c r="G100" s="46"/>
      <c r="H100" s="46"/>
    </row>
    <row r="101" customFormat="false" ht="15" hidden="true" customHeight="false" outlineLevel="1" collapsed="false">
      <c r="A101" s="3" t="s">
        <v>1106</v>
      </c>
      <c r="C101" s="46"/>
      <c r="D101" s="46"/>
      <c r="E101" s="46"/>
      <c r="F101" s="46"/>
      <c r="G101" s="46"/>
      <c r="H101" s="46"/>
    </row>
    <row r="102" customFormat="false" ht="15" hidden="true" customHeight="false" outlineLevel="1" collapsed="false">
      <c r="A102" s="3" t="s">
        <v>1107</v>
      </c>
      <c r="C102" s="46"/>
      <c r="D102" s="46"/>
      <c r="E102" s="46"/>
      <c r="F102" s="46"/>
      <c r="G102" s="46"/>
      <c r="H102" s="46"/>
    </row>
    <row r="103" customFormat="false" ht="15" hidden="true" customHeight="false" outlineLevel="1" collapsed="false">
      <c r="A103" s="3" t="s">
        <v>1108</v>
      </c>
      <c r="C103" s="46" t="str">
        <f aca="false">IF(ISNUMBER(C63),IF(IF(ISNUMBER(C68),ABS(C68)&gt;輸入與假設!$C$368,OR(AND(C30&lt;&gt;0,ABS(C63)&gt;輸入與假設!$C$367*ABS(C30)),AND(C30=0,C63&lt;&gt;0))),"調整後營業利益 實際 vs 模型 "&amp;IF(C63&lt;0,"−","+")&amp;IF(ABS(C63)&lt;0,"−","")&amp;"$"&amp;TEXT(ABS(ABS(C63)),"#,##0.0")&amp;"m"&amp;IF(ISNUMBER(C68),"／"&amp;IF(C68&lt;0,"−","+")&amp;TEXT(ABS(C68)*100,"#,##0.0")&amp;"pt","")&amp;"：已知限制（"&amp;"模型折舊 "&amp;IF((C29)&lt;0,"−","")&amp;TEXT(ABS((C29)),"#,##0.00")&amp;" 以校準後期初 PP&amp;E 與成長型 CapEx 計，未扣 SBC；與公司口徑不同"&amp;"）",""),"")</f>
        <v/>
      </c>
      <c r="D103" s="46" t="str">
        <f aca="false">IF(ISNUMBER(D63),IF(IF(ISNUMBER(D68),ABS(D68)&gt;輸入與假設!$C$368,OR(AND(D30&lt;&gt;0,ABS(D63)&gt;輸入與假設!$C$367*ABS(D30)),AND(D30=0,D63&lt;&gt;0))),"調整後營業利益 實際 vs 模型 "&amp;IF(D63&lt;0,"−","+")&amp;IF(ABS(D63)&lt;0,"−","")&amp;"$"&amp;TEXT(ABS(ABS(D63)),"#,##0.0")&amp;"m"&amp;IF(ISNUMBER(D68),"／"&amp;IF(D68&lt;0,"−","+")&amp;TEXT(ABS(D68)*100,"#,##0.0")&amp;"pt","")&amp;"：已知限制（"&amp;"模型折舊 "&amp;IF((D29)&lt;0,"−","")&amp;TEXT(ABS((D29)),"#,##0.00")&amp;" 以校準後期初 PP&amp;E 與成長型 CapEx 計，未扣 SBC；與公司口徑不同"&amp;"）",""),"")</f>
        <v/>
      </c>
      <c r="E103" s="46" t="str">
        <f aca="false">IF(ISNUMBER(E63),IF(IF(ISNUMBER(E68),ABS(E68)&gt;輸入與假設!$C$368,OR(AND(E30&lt;&gt;0,ABS(E63)&gt;輸入與假設!$C$367*ABS(E30)),AND(E30=0,E63&lt;&gt;0))),"調整後營業利益 實際 vs 模型 "&amp;IF(E63&lt;0,"−","+")&amp;IF(ABS(E63)&lt;0,"−","")&amp;"$"&amp;TEXT(ABS(ABS(E63)),"#,##0.0")&amp;"m"&amp;IF(ISNUMBER(E68),"／"&amp;IF(E68&lt;0,"−","+")&amp;TEXT(ABS(E68)*100,"#,##0.0")&amp;"pt","")&amp;"：已知限制（"&amp;"模型折舊 "&amp;IF((E29)&lt;0,"−","")&amp;TEXT(ABS((E29)),"#,##0.00")&amp;" 以校準後期初 PP&amp;E 與成長型 CapEx 計，未扣 SBC；與公司口徑不同"&amp;"）",""),"")</f>
        <v/>
      </c>
      <c r="F103" s="46" t="str">
        <f aca="false">IF(ISNUMBER(F63),IF(IF(ISNUMBER(F68),ABS(F68)&gt;輸入與假設!$C$368,OR(AND(F30&lt;&gt;0,ABS(F63)&gt;輸入與假設!$C$367*ABS(F30)),AND(F30=0,F63&lt;&gt;0))),"調整後營業利益 實際 vs 模型 "&amp;IF(F63&lt;0,"−","+")&amp;IF(ABS(F63)&lt;0,"−","")&amp;"$"&amp;TEXT(ABS(ABS(F63)),"#,##0.0")&amp;"m"&amp;IF(ISNUMBER(F68),"／"&amp;IF(F68&lt;0,"−","+")&amp;TEXT(ABS(F68)*100,"#,##0.0")&amp;"pt","")&amp;"：已知限制（"&amp;"模型折舊 "&amp;IF((F29)&lt;0,"−","")&amp;TEXT(ABS((F29)),"#,##0.00")&amp;" 以校準後期初 PP&amp;E 與成長型 CapEx 計，未扣 SBC；與公司口徑不同"&amp;"）",""),"")</f>
        <v/>
      </c>
      <c r="G103" s="46" t="str">
        <f aca="false">IF(ISNUMBER(G63),IF(IF(ISNUMBER(G68),ABS(G68)&gt;輸入與假設!$C$368,OR(AND(G30&lt;&gt;0,ABS(G63)&gt;輸入與假設!$C$367*ABS(G30)),AND(G30=0,G63&lt;&gt;0))),"調整後營業利益 實際 vs 模型 "&amp;IF(G63&lt;0,"−","+")&amp;IF(ABS(G63)&lt;0,"−","")&amp;"$"&amp;TEXT(ABS(ABS(G63)),"#,##0.0")&amp;"m"&amp;IF(ISNUMBER(G68),"／"&amp;IF(G68&lt;0,"−","+")&amp;TEXT(ABS(G68)*100,"#,##0.0")&amp;"pt","")&amp;"：已知限制（"&amp;"模型折舊 "&amp;IF((G29)&lt;0,"−","")&amp;TEXT(ABS((G29)),"#,##0.00")&amp;" 以校準後期初 PP&amp;E 與成長型 CapEx 計，未扣 SBC；與公司口徑不同"&amp;"）",""),"")</f>
        <v/>
      </c>
      <c r="H103" s="46" t="str">
        <f aca="false">IF(ISNUMBER(H63),IF(IF(ISNUMBER(H68),ABS(H68)&gt;輸入與假設!$C$368,OR(AND(H30&lt;&gt;0,ABS(H63)&gt;輸入與假設!$C$367*ABS(H30)),AND(H30=0,H63&lt;&gt;0))),"調整後營業利益 實際 vs 模型 "&amp;IF(H63&lt;0,"−","+")&amp;IF(ABS(H63)&lt;0,"−","")&amp;"$"&amp;TEXT(ABS(ABS(H63)),"#,##0.0")&amp;"m"&amp;IF(ISNUMBER(H68),"／"&amp;IF(H68&lt;0,"−","+")&amp;TEXT(ABS(H68)*100,"#,##0.0")&amp;"pt","")&amp;"：已知限制（"&amp;"模型折舊 "&amp;IF((H29)&lt;0,"−","")&amp;TEXT(ABS((H29)),"#,##0.00")&amp;" 以校準後期初 PP&amp;E 與成長型 CapEx 計，未扣 SBC；與公司口徑不同"&amp;"）",""),"")</f>
        <v/>
      </c>
    </row>
    <row r="104" customFormat="false" ht="15" hidden="true" customHeight="false" outlineLevel="1" collapsed="false">
      <c r="A104" s="3" t="s">
        <v>1109</v>
      </c>
      <c r="C104" s="46" t="str">
        <f aca="false">IF(ISNUMBER(C63),IF(IF(ISNUMBER(C68),ABS(C68)&gt;輸入與假設!$C$368,OR(AND(C30&lt;&gt;0,ABS(C63)&gt;輸入與假設!$C$367*ABS(C30)),AND(C30=0,C63&lt;&gt;0))),"已知限制",""),"")</f>
        <v/>
      </c>
      <c r="D104" s="46" t="str">
        <f aca="false">IF(ISNUMBER(D63),IF(IF(ISNUMBER(D68),ABS(D68)&gt;輸入與假設!$C$368,OR(AND(D30&lt;&gt;0,ABS(D63)&gt;輸入與假設!$C$367*ABS(D30)),AND(D30=0,D63&lt;&gt;0))),"已知限制",""),"")</f>
        <v/>
      </c>
      <c r="E104" s="46" t="str">
        <f aca="false">IF(ISNUMBER(E63),IF(IF(ISNUMBER(E68),ABS(E68)&gt;輸入與假設!$C$368,OR(AND(E30&lt;&gt;0,ABS(E63)&gt;輸入與假設!$C$367*ABS(E30)),AND(E30=0,E63&lt;&gt;0))),"已知限制",""),"")</f>
        <v/>
      </c>
      <c r="F104" s="46" t="str">
        <f aca="false">IF(ISNUMBER(F63),IF(IF(ISNUMBER(F68),ABS(F68)&gt;輸入與假設!$C$368,OR(AND(F30&lt;&gt;0,ABS(F63)&gt;輸入與假設!$C$367*ABS(F30)),AND(F30=0,F63&lt;&gt;0))),"已知限制",""),"")</f>
        <v/>
      </c>
      <c r="G104" s="46" t="str">
        <f aca="false">IF(ISNUMBER(G63),IF(IF(ISNUMBER(G68),ABS(G68)&gt;輸入與假設!$C$368,OR(AND(G30&lt;&gt;0,ABS(G63)&gt;輸入與假設!$C$367*ABS(G30)),AND(G30=0,G63&lt;&gt;0))),"已知限制",""),"")</f>
        <v/>
      </c>
      <c r="H104" s="46" t="str">
        <f aca="false">IF(ISNUMBER(H63),IF(IF(ISNUMBER(H68),ABS(H68)&gt;輸入與假設!$C$368,OR(AND(H30&lt;&gt;0,ABS(H63)&gt;輸入與假設!$C$367*ABS(H30)),AND(H30=0,H63&lt;&gt;0))),"已知限制",""),"")</f>
        <v/>
      </c>
    </row>
    <row r="105" customFormat="false" ht="15" hidden="true" customHeight="false" outlineLevel="1" collapsed="false">
      <c r="A105" s="3" t="s">
        <v>1110</v>
      </c>
      <c r="C105" s="46"/>
      <c r="D105" s="46"/>
      <c r="E105" s="46"/>
      <c r="F105" s="46"/>
      <c r="G105" s="46"/>
      <c r="H105" s="46"/>
    </row>
    <row r="106" customFormat="false" ht="15" hidden="true" customHeight="false" outlineLevel="1" collapsed="false">
      <c r="A106" s="3" t="s">
        <v>1111</v>
      </c>
      <c r="C106" s="46"/>
      <c r="D106" s="46"/>
      <c r="E106" s="46"/>
      <c r="F106" s="46"/>
      <c r="G106" s="46"/>
      <c r="H106" s="46"/>
    </row>
    <row r="107" customFormat="false" ht="15" hidden="true" customHeight="false" outlineLevel="1" collapsed="false">
      <c r="A107" s="3" t="s">
        <v>1112</v>
      </c>
      <c r="C107" s="46"/>
      <c r="D107" s="46"/>
      <c r="E107" s="46"/>
      <c r="F107" s="46"/>
      <c r="G107" s="46"/>
      <c r="H107" s="46"/>
    </row>
    <row r="108" customFormat="false" ht="15" hidden="true" customHeight="false" outlineLevel="1" collapsed="false">
      <c r="A108" s="3" t="s">
        <v>1113</v>
      </c>
      <c r="C108" s="46"/>
      <c r="D108" s="46"/>
      <c r="E108" s="46"/>
      <c r="F108" s="46"/>
      <c r="G108" s="46"/>
      <c r="H108" s="46"/>
    </row>
    <row r="109" customFormat="false" ht="15" hidden="true" customHeight="false" outlineLevel="1" collapsed="false">
      <c r="A109" s="3" t="s">
        <v>1114</v>
      </c>
      <c r="C109" s="46" t="str">
        <f aca="false">IF(ISNUMBER(C73),IF(ABS(C73)&gt;輸入與假設!$C$367,"CapEx（毛額） 實際 vs 模型 "&amp;IF(C73&lt;0,"−","+")&amp;TEXT(ABS(C73)*100,"#,##0.0")&amp;"%"&amp;"：觀點（"&amp;"雲端 CapEx 依新增已連網 MW × 每 MW GPU 成本（Tokenomics IF_CapexIT）；託管 CapEx 依站點建置排程"&amp;"）",""),"")</f>
        <v/>
      </c>
      <c r="D109" s="46" t="str">
        <f aca="false">IF(ISNUMBER(D73),IF(ABS(D73)&gt;輸入與假設!$C$367,"CapEx（毛額） 實際 vs 模型 "&amp;IF(D73&lt;0,"−","+")&amp;TEXT(ABS(D73)*100,"#,##0.0")&amp;"%"&amp;"：觀點（"&amp;"雲端 CapEx 依新增已連網 MW × 每 MW GPU 成本（Tokenomics IF_CapexIT）；託管 CapEx 依站點建置排程"&amp;"）",""),"")</f>
        <v/>
      </c>
      <c r="E109" s="46" t="str">
        <f aca="false">IF(ISNUMBER(E73),IF(ABS(E73)&gt;輸入與假設!$C$367,"CapEx（毛額） 實際 vs 模型 "&amp;IF(E73&lt;0,"−","+")&amp;TEXT(ABS(E73)*100,"#,##0.0")&amp;"%"&amp;"：觀點（"&amp;"雲端 CapEx 依新增已連網 MW × 每 MW GPU 成本（Tokenomics IF_CapexIT）；託管 CapEx 依站點建置排程"&amp;"）",""),"")</f>
        <v/>
      </c>
      <c r="F109" s="46" t="str">
        <f aca="false">IF(ISNUMBER(F73),IF(ABS(F73)&gt;輸入與假設!$C$367,"CapEx（毛額） 實際 vs 模型 "&amp;IF(F73&lt;0,"−","+")&amp;TEXT(ABS(F73)*100,"#,##0.0")&amp;"%"&amp;"：觀點（"&amp;"雲端 CapEx 依新增已連網 MW × 每 MW GPU 成本（Tokenomics IF_CapexIT）；託管 CapEx 依站點建置排程"&amp;"）",""),"")</f>
        <v/>
      </c>
      <c r="G109" s="46" t="str">
        <f aca="false">IF(ISNUMBER(G73),IF(ABS(G73)&gt;輸入與假設!$C$367,"CapEx（毛額） 實際 vs 模型 "&amp;IF(G73&lt;0,"−","+")&amp;TEXT(ABS(G73)*100,"#,##0.0")&amp;"%"&amp;"：觀點（"&amp;"雲端 CapEx 依新增已連網 MW × 每 MW GPU 成本（Tokenomics IF_CapexIT）；託管 CapEx 依站點建置排程"&amp;"）",""),"")</f>
        <v/>
      </c>
      <c r="H109" s="46" t="str">
        <f aca="false">IF(ISNUMBER(H73),IF(ABS(H73)&gt;輸入與假設!$C$367,"CapEx（毛額） 實際 vs 模型 "&amp;IF(H73&lt;0,"−","+")&amp;TEXT(ABS(H73)*100,"#,##0.0")&amp;"%"&amp;"：觀點（"&amp;"雲端 CapEx 依新增已連網 MW × 每 MW GPU 成本（Tokenomics IF_CapexIT）；託管 CapEx 依站點建置排程"&amp;"）",""),"")</f>
        <v/>
      </c>
    </row>
    <row r="110" customFormat="false" ht="15" hidden="true" customHeight="false" outlineLevel="1" collapsed="false">
      <c r="A110" s="3" t="s">
        <v>1115</v>
      </c>
      <c r="C110" s="46" t="str">
        <f aca="false">IF(ISNUMBER(C73),IF(ABS(C73)&gt;輸入與假設!$C$367,"觀點",""),"")</f>
        <v/>
      </c>
      <c r="D110" s="46" t="str">
        <f aca="false">IF(ISNUMBER(D73),IF(ABS(D73)&gt;輸入與假設!$C$367,"觀點",""),"")</f>
        <v/>
      </c>
      <c r="E110" s="46" t="str">
        <f aca="false">IF(ISNUMBER(E73),IF(ABS(E73)&gt;輸入與假設!$C$367,"觀點",""),"")</f>
        <v/>
      </c>
      <c r="F110" s="46" t="str">
        <f aca="false">IF(ISNUMBER(F73),IF(ABS(F73)&gt;輸入與假設!$C$367,"觀點",""),"")</f>
        <v/>
      </c>
      <c r="G110" s="46" t="str">
        <f aca="false">IF(ISNUMBER(G73),IF(ABS(G73)&gt;輸入與假設!$C$367,"觀點",""),"")</f>
        <v/>
      </c>
      <c r="H110" s="46" t="str">
        <f aca="false">IF(ISNUMBER(H73),IF(ABS(H73)&gt;輸入與假設!$C$367,"觀點",""),"")</f>
        <v/>
      </c>
    </row>
    <row r="111" customFormat="false" ht="15" hidden="true" customHeight="false" outlineLevel="1" collapsed="false">
      <c r="A111" s="3" t="s">
        <v>1116</v>
      </c>
      <c r="C111" s="46"/>
      <c r="D111" s="46"/>
      <c r="E111" s="46"/>
      <c r="F111" s="46"/>
      <c r="G111" s="46"/>
      <c r="H111" s="46"/>
    </row>
    <row r="112" customFormat="false" ht="15" hidden="true" customHeight="false" outlineLevel="1" collapsed="false">
      <c r="A112" s="3" t="s">
        <v>1117</v>
      </c>
      <c r="C112" s="46"/>
      <c r="D112" s="46"/>
      <c r="E112" s="46"/>
      <c r="F112" s="46"/>
      <c r="G112" s="46"/>
      <c r="H112" s="46"/>
    </row>
    <row r="113" customFormat="false" ht="15" hidden="true" customHeight="false" outlineLevel="1" collapsed="false">
      <c r="A113" s="3" t="s">
        <v>1118</v>
      </c>
      <c r="C113" s="46"/>
      <c r="D113" s="46"/>
      <c r="E113" s="46"/>
      <c r="F113" s="46"/>
      <c r="G113" s="46"/>
      <c r="H113" s="46"/>
    </row>
    <row r="114" customFormat="false" ht="15" hidden="true" customHeight="false" outlineLevel="1" collapsed="false">
      <c r="A114" s="3" t="s">
        <v>1119</v>
      </c>
      <c r="C114" s="46"/>
      <c r="D114" s="46"/>
      <c r="E114" s="46"/>
      <c r="F114" s="46"/>
      <c r="G114" s="46"/>
      <c r="H114" s="46"/>
    </row>
    <row r="115" customFormat="false" ht="15" hidden="true" customHeight="false" outlineLevel="1" collapsed="false">
      <c r="A115" s="3" t="s">
        <v>1120</v>
      </c>
      <c r="C115" s="46"/>
      <c r="D115" s="46"/>
      <c r="E115" s="46"/>
      <c r="F115" s="46"/>
      <c r="G115" s="46"/>
      <c r="H115" s="46"/>
    </row>
    <row r="116" customFormat="false" ht="15" hidden="true" customHeight="false" outlineLevel="1" collapsed="false">
      <c r="A116" s="3" t="s">
        <v>1121</v>
      </c>
      <c r="C116" s="46"/>
      <c r="D116" s="46"/>
      <c r="E116" s="46"/>
      <c r="F116" s="46"/>
      <c r="G116" s="46"/>
      <c r="H116" s="46"/>
    </row>
    <row r="117" customFormat="false" ht="15" hidden="true" customHeight="false" outlineLevel="1" collapsed="false">
      <c r="A117" s="3" t="s">
        <v>1122</v>
      </c>
      <c r="C117" s="46" t="str">
        <f aca="false">MID(IF(C84&lt;&gt;"","；"&amp;C84,"")&amp;IF(C86&lt;&gt;"","；"&amp;C86,"")&amp;IF(C88&lt;&gt;"","；"&amp;C88,"")&amp;IF(C93&lt;&gt;"","；"&amp;C93,"")&amp;IF(C95&lt;&gt;"","；"&amp;C95,"")&amp;IF(C97&lt;&gt;"","；"&amp;C97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,2,9999)</f>
        <v/>
      </c>
      <c r="D117" s="46" t="str">
        <f aca="false">MID(IF(D84&lt;&gt;"","；"&amp;D84,"")&amp;IF(D86&lt;&gt;"","；"&amp;D86,"")&amp;IF(D88&lt;&gt;"","；"&amp;D88,"")&amp;IF(D93&lt;&gt;"","；"&amp;D93,"")&amp;IF(D95&lt;&gt;"","；"&amp;D95,"")&amp;IF(D97&lt;&gt;"","；"&amp;D97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,2,9999)</f>
        <v/>
      </c>
      <c r="E117" s="46" t="str">
        <f aca="false">MID(IF(E84&lt;&gt;"","；"&amp;E84,"")&amp;IF(E86&lt;&gt;"","；"&amp;E86,"")&amp;IF(E88&lt;&gt;"","；"&amp;E88,"")&amp;IF(E93&lt;&gt;"","；"&amp;E93,"")&amp;IF(E95&lt;&gt;"","；"&amp;E95,"")&amp;IF(E97&lt;&gt;"","；"&amp;E97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,2,9999)</f>
        <v/>
      </c>
      <c r="F117" s="46" t="str">
        <f aca="false">MID(IF(F84&lt;&gt;"","；"&amp;F84,"")&amp;IF(F86&lt;&gt;"","；"&amp;F86,"")&amp;IF(F88&lt;&gt;"","；"&amp;F88,"")&amp;IF(F93&lt;&gt;"","；"&amp;F93,"")&amp;IF(F95&lt;&gt;"","；"&amp;F95,"")&amp;IF(F97&lt;&gt;"","；"&amp;F97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,2,9999)</f>
        <v/>
      </c>
      <c r="G117" s="46" t="str">
        <f aca="false">MID(IF(G84&lt;&gt;"","；"&amp;G84,"")&amp;IF(G86&lt;&gt;"","；"&amp;G86,"")&amp;IF(G88&lt;&gt;"","；"&amp;G88,"")&amp;IF(G93&lt;&gt;"","；"&amp;G93,"")&amp;IF(G95&lt;&gt;"","；"&amp;G95,"")&amp;IF(G97&lt;&gt;"","；"&amp;G97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,2,9999)</f>
        <v/>
      </c>
      <c r="H117" s="46" t="str">
        <f aca="false">MID(IF(H84&lt;&gt;"","；"&amp;H84,"")&amp;IF(H86&lt;&gt;"","；"&amp;H86,"")&amp;IF(H88&lt;&gt;"","；"&amp;H88,"")&amp;IF(H93&lt;&gt;"","；"&amp;H93,"")&amp;IF(H95&lt;&gt;"","；"&amp;H95,"")&amp;IF(H97&lt;&gt;"","；"&amp;H97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,2,9999)</f>
        <v/>
      </c>
    </row>
    <row r="118" customFormat="false" ht="15" hidden="true" customHeight="false" outlineLevel="1" collapsed="false">
      <c r="A118" s="3" t="s">
        <v>1123</v>
      </c>
      <c r="C118" s="46" t="str">
        <f aca="false">IF((C85&amp;IF(AND(C87&lt;&gt;"",C87&lt;&gt;C85),IF((C85)&lt;&gt;"","、","")&amp;C87,"")&amp;IF(AND(C89&lt;&gt;"",C89&lt;&gt;C85,C89&lt;&gt;C87),IF((C85&amp;C87)&lt;&gt;"","、","")&amp;C89,""))&lt;&gt;"","〔"&amp;(C85&amp;IF(AND(C87&lt;&gt;"",C87&lt;&gt;C85),IF((C85)&lt;&gt;"","、","")&amp;C87,"")&amp;IF(AND(C89&lt;&gt;"",C89&lt;&gt;C85,C89&lt;&gt;C87),IF((C85&amp;C87)&lt;&gt;"","、","")&amp;C89,""))&amp;"〕","")</f>
        <v/>
      </c>
      <c r="D118" s="46" t="str">
        <f aca="false">IF((D85&amp;IF(AND(D87&lt;&gt;"",D87&lt;&gt;D85),IF((D85)&lt;&gt;"","、","")&amp;D87,"")&amp;IF(AND(D89&lt;&gt;"",D89&lt;&gt;D85,D89&lt;&gt;D87),IF((D85&amp;D87)&lt;&gt;"","、","")&amp;D89,""))&lt;&gt;"","〔"&amp;(D85&amp;IF(AND(D87&lt;&gt;"",D87&lt;&gt;D85),IF((D85)&lt;&gt;"","、","")&amp;D87,"")&amp;IF(AND(D89&lt;&gt;"",D89&lt;&gt;D85,D89&lt;&gt;D87),IF((D85&amp;D87)&lt;&gt;"","、","")&amp;D89,""))&amp;"〕","")</f>
        <v/>
      </c>
      <c r="E118" s="46" t="str">
        <f aca="false">IF((E85&amp;IF(AND(E87&lt;&gt;"",E87&lt;&gt;E85),IF((E85)&lt;&gt;"","、","")&amp;E87,"")&amp;IF(AND(E89&lt;&gt;"",E89&lt;&gt;E85,E89&lt;&gt;E87),IF((E85&amp;E87)&lt;&gt;"","、","")&amp;E89,""))&lt;&gt;"","〔"&amp;(E85&amp;IF(AND(E87&lt;&gt;"",E87&lt;&gt;E85),IF((E85)&lt;&gt;"","、","")&amp;E87,"")&amp;IF(AND(E89&lt;&gt;"",E89&lt;&gt;E85,E89&lt;&gt;E87),IF((E85&amp;E87)&lt;&gt;"","、","")&amp;E89,""))&amp;"〕","")</f>
        <v/>
      </c>
      <c r="F118" s="46" t="str">
        <f aca="false">IF((F85&amp;IF(AND(F87&lt;&gt;"",F87&lt;&gt;F85),IF((F85)&lt;&gt;"","、","")&amp;F87,"")&amp;IF(AND(F89&lt;&gt;"",F89&lt;&gt;F85,F89&lt;&gt;F87),IF((F85&amp;F87)&lt;&gt;"","、","")&amp;F89,""))&lt;&gt;"","〔"&amp;(F85&amp;IF(AND(F87&lt;&gt;"",F87&lt;&gt;F85),IF((F85)&lt;&gt;"","、","")&amp;F87,"")&amp;IF(AND(F89&lt;&gt;"",F89&lt;&gt;F85,F89&lt;&gt;F87),IF((F85&amp;F87)&lt;&gt;"","、","")&amp;F89,""))&amp;"〕","")</f>
        <v/>
      </c>
      <c r="G118" s="46" t="str">
        <f aca="false">IF((G85&amp;IF(AND(G87&lt;&gt;"",G87&lt;&gt;G85),IF((G85)&lt;&gt;"","、","")&amp;G87,"")&amp;IF(AND(G89&lt;&gt;"",G89&lt;&gt;G85,G89&lt;&gt;G87),IF((G85&amp;G87)&lt;&gt;"","、","")&amp;G89,""))&lt;&gt;"","〔"&amp;(G85&amp;IF(AND(G87&lt;&gt;"",G87&lt;&gt;G85),IF((G85)&lt;&gt;"","、","")&amp;G87,"")&amp;IF(AND(G89&lt;&gt;"",G89&lt;&gt;G85,G89&lt;&gt;G87),IF((G85&amp;G87)&lt;&gt;"","、","")&amp;G89,""))&amp;"〕","")</f>
        <v/>
      </c>
      <c r="H118" s="46" t="str">
        <f aca="false">IF((H85&amp;IF(AND(H87&lt;&gt;"",H87&lt;&gt;H85),IF((H85)&lt;&gt;"","、","")&amp;H87,"")&amp;IF(AND(H89&lt;&gt;"",H89&lt;&gt;H85,H89&lt;&gt;H87),IF((H85&amp;H87)&lt;&gt;"","、","")&amp;H89,""))&lt;&gt;"","〔"&amp;(H85&amp;IF(AND(H87&lt;&gt;"",H87&lt;&gt;H85),IF((H85)&lt;&gt;"","、","")&amp;H87,"")&amp;IF(AND(H89&lt;&gt;"",H89&lt;&gt;H85,H89&lt;&gt;H87),IF((H85&amp;H87)&lt;&gt;"","、","")&amp;H89,""))&amp;"〕","")</f>
        <v/>
      </c>
    </row>
    <row r="119" customFormat="false" ht="15" hidden="true" customHeight="false" outlineLevel="1" collapsed="false">
      <c r="A119" s="3" t="s">
        <v>1124</v>
      </c>
      <c r="C119" s="46" t="str">
        <f aca="false">IF((C94&amp;IF(AND(C96&lt;&gt;"",C96&lt;&gt;C94),IF((C94)&lt;&gt;"","、","")&amp;C96,"")&amp;IF(AND(C98&lt;&gt;"",C98&lt;&gt;C94,C98&lt;&gt;C96),IF((C94&amp;C96)&lt;&gt;"","、","")&amp;C98,""))&lt;&gt;"","〔"&amp;(C94&amp;IF(AND(C96&lt;&gt;"",C96&lt;&gt;C94),IF((C94)&lt;&gt;"","、","")&amp;C96,"")&amp;IF(AND(C98&lt;&gt;"",C98&lt;&gt;C94,C98&lt;&gt;C96),IF((C94&amp;C96)&lt;&gt;"","、","")&amp;C98,""))&amp;"〕","")</f>
        <v/>
      </c>
      <c r="D119" s="46" t="str">
        <f aca="false">IF((D94&amp;IF(AND(D96&lt;&gt;"",D96&lt;&gt;D94),IF((D94)&lt;&gt;"","、","")&amp;D96,"")&amp;IF(AND(D98&lt;&gt;"",D98&lt;&gt;D94,D98&lt;&gt;D96),IF((D94&amp;D96)&lt;&gt;"","、","")&amp;D98,""))&lt;&gt;"","〔"&amp;(D94&amp;IF(AND(D96&lt;&gt;"",D96&lt;&gt;D94),IF((D94)&lt;&gt;"","、","")&amp;D96,"")&amp;IF(AND(D98&lt;&gt;"",D98&lt;&gt;D94,D98&lt;&gt;D96),IF((D94&amp;D96)&lt;&gt;"","、","")&amp;D98,""))&amp;"〕","")</f>
        <v/>
      </c>
      <c r="E119" s="46" t="str">
        <f aca="false">IF((E94&amp;IF(AND(E96&lt;&gt;"",E96&lt;&gt;E94),IF((E94)&lt;&gt;"","、","")&amp;E96,"")&amp;IF(AND(E98&lt;&gt;"",E98&lt;&gt;E94,E98&lt;&gt;E96),IF((E94&amp;E96)&lt;&gt;"","、","")&amp;E98,""))&lt;&gt;"","〔"&amp;(E94&amp;IF(AND(E96&lt;&gt;"",E96&lt;&gt;E94),IF((E94)&lt;&gt;"","、","")&amp;E96,"")&amp;IF(AND(E98&lt;&gt;"",E98&lt;&gt;E94,E98&lt;&gt;E96),IF((E94&amp;E96)&lt;&gt;"","、","")&amp;E98,""))&amp;"〕","")</f>
        <v/>
      </c>
      <c r="F119" s="46" t="str">
        <f aca="false">IF((F94&amp;IF(AND(F96&lt;&gt;"",F96&lt;&gt;F94),IF((F94)&lt;&gt;"","、","")&amp;F96,"")&amp;IF(AND(F98&lt;&gt;"",F98&lt;&gt;F94,F98&lt;&gt;F96),IF((F94&amp;F96)&lt;&gt;"","、","")&amp;F98,""))&lt;&gt;"","〔"&amp;(F94&amp;IF(AND(F96&lt;&gt;"",F96&lt;&gt;F94),IF((F94)&lt;&gt;"","、","")&amp;F96,"")&amp;IF(AND(F98&lt;&gt;"",F98&lt;&gt;F94,F98&lt;&gt;F96),IF((F94&amp;F96)&lt;&gt;"","、","")&amp;F98,""))&amp;"〕","")</f>
        <v/>
      </c>
      <c r="G119" s="46" t="str">
        <f aca="false">IF((G94&amp;IF(AND(G96&lt;&gt;"",G96&lt;&gt;G94),IF((G94)&lt;&gt;"","、","")&amp;G96,"")&amp;IF(AND(G98&lt;&gt;"",G98&lt;&gt;G94,G98&lt;&gt;G96),IF((G94&amp;G96)&lt;&gt;"","、","")&amp;G98,""))&lt;&gt;"","〔"&amp;(G94&amp;IF(AND(G96&lt;&gt;"",G96&lt;&gt;G94),IF((G94)&lt;&gt;"","、","")&amp;G96,"")&amp;IF(AND(G98&lt;&gt;"",G98&lt;&gt;G94,G98&lt;&gt;G96),IF((G94&amp;G96)&lt;&gt;"","、","")&amp;G98,""))&amp;"〕","")</f>
        <v/>
      </c>
      <c r="H119" s="46" t="str">
        <f aca="false">IF((H94&amp;IF(AND(H96&lt;&gt;"",H96&lt;&gt;H94),IF((H94)&lt;&gt;"","、","")&amp;H96,"")&amp;IF(AND(H98&lt;&gt;"",H98&lt;&gt;H94,H98&lt;&gt;H96),IF((H94&amp;H96)&lt;&gt;"","、","")&amp;H98,""))&lt;&gt;"","〔"&amp;(H94&amp;IF(AND(H96&lt;&gt;"",H96&lt;&gt;H94),IF((H94)&lt;&gt;"","、","")&amp;H96,"")&amp;IF(AND(H98&lt;&gt;"",H98&lt;&gt;H94,H98&lt;&gt;H96),IF((H94&amp;H96)&lt;&gt;"","、","")&amp;H98,""))&amp;"〕","")</f>
        <v/>
      </c>
    </row>
    <row r="120" customFormat="false" ht="15" hidden="true" customHeight="false" outlineLevel="1" collapsed="false">
      <c r="A120" s="3" t="s">
        <v>1125</v>
      </c>
      <c r="C120" s="46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0" s="46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0" s="46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0" s="46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0" s="46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0" s="46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1" customFormat="false" ht="15" hidden="true" customHeight="false" outlineLevel="1" collapsed="false">
      <c r="A121" s="3" t="s">
        <v>1126</v>
      </c>
      <c r="C121" s="46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/>
      </c>
      <c r="D121" s="46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1" s="46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1" s="46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1" s="46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1" s="46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2" customFormat="false" ht="15" hidden="true" customHeight="false" outlineLevel="1" collapsed="false">
      <c r="A122" s="3" t="s">
        <v>1127</v>
      </c>
      <c r="C122" s="46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2" s="46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2" s="46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2" s="46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2" s="46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2" s="46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3" customFormat="false" ht="15" hidden="true" customHeight="false" outlineLevel="1" collapsed="false">
      <c r="A123" s="3" t="s">
        <v>1128</v>
      </c>
      <c r="C123" s="46" t="str">
        <f aca="false">"營收：模型 "&amp;IF(ISNUMBER(C22),IF(C22&lt;0,"−","")&amp;"$"&amp;TEXT(ABS(C22),"#,##0.0")&amp;"m","不適用")&amp;IF(ISNUMBER(C32),"｜共識 "&amp;IF(C32&lt;0,"−","")&amp;"$"&amp;TEXT(ABS(C32),"#,##0.0")&amp;"m"&amp;"（"&amp;IF(ISNUMBER(C41),IF(C41&lt;0,"−","+")&amp;TEXT(ABS(C41)*100,"#,##0.0")&amp;"%","不適用")&amp;"）","")&amp;IF(ISNUMBER(C35),"｜實際 "&amp;IF(C35&lt;0,"−","")&amp;"$"&amp;TEXT(ABS(C35),"#,##0.0")&amp;"m"&amp;"（較模型 "&amp;IF(ISNUMBER(C43),IF(C43&lt;0,"−","+")&amp;TEXT(ABS(C43)*100,"#,##0.0")&amp;"%","不適用")&amp;IF(ISNUMBER(C32),"、較共識 "&amp;IF(ISNUMBER(C44),IF(C44&lt;0,"−","+")&amp;TEXT(ABS(C44)*100,"#,##0.0")&amp;"%","不適用"),"")&amp;"）","")&amp;C118</f>
        <v>營收：模型 $29.3m</v>
      </c>
      <c r="D123" s="46" t="str">
        <f aca="false">"營收：模型 "&amp;IF(ISNUMBER(D22),IF(D22&lt;0,"−","")&amp;"$"&amp;TEXT(ABS(D22),"#,##0.0")&amp;"m","不適用")&amp;IF(ISNUMBER(D32),"｜共識 "&amp;IF(D32&lt;0,"−","")&amp;"$"&amp;TEXT(ABS(D32),"#,##0.0")&amp;"m"&amp;"（"&amp;IF(ISNUMBER(D41),IF(D41&lt;0,"−","+")&amp;TEXT(ABS(D41)*100,"#,##0.0")&amp;"%","不適用")&amp;"）","")&amp;IF(ISNUMBER(D35),"｜實際 "&amp;IF(D35&lt;0,"−","")&amp;"$"&amp;TEXT(ABS(D35),"#,##0.0")&amp;"m"&amp;"（較模型 "&amp;IF(ISNUMBER(D43),IF(D43&lt;0,"−","+")&amp;TEXT(ABS(D43)*100,"#,##0.0")&amp;"%","不適用")&amp;IF(ISNUMBER(D32),"、較共識 "&amp;IF(ISNUMBER(D44),IF(D44&lt;0,"−","+")&amp;TEXT(ABS(D44)*100,"#,##0.0")&amp;"%","不適用"),"")&amp;"）","")&amp;D118</f>
        <v>營收：模型 $42.0m</v>
      </c>
      <c r="E123" s="46" t="str">
        <f aca="false">"營收：模型 "&amp;IF(ISNUMBER(E22),IF(E22&lt;0,"−","")&amp;"$"&amp;TEXT(ABS(E22),"#,##0.0")&amp;"m","不適用")&amp;IF(ISNUMBER(E32),"｜共識 "&amp;IF(E32&lt;0,"−","")&amp;"$"&amp;TEXT(ABS(E32),"#,##0.0")&amp;"m"&amp;"（"&amp;IF(ISNUMBER(E41),IF(E41&lt;0,"−","+")&amp;TEXT(ABS(E41)*100,"#,##0.0")&amp;"%","不適用")&amp;"）","")&amp;IF(ISNUMBER(E35),"｜實際 "&amp;IF(E35&lt;0,"−","")&amp;"$"&amp;TEXT(ABS(E35),"#,##0.0")&amp;"m"&amp;"（較模型 "&amp;IF(ISNUMBER(E43),IF(E43&lt;0,"−","+")&amp;TEXT(ABS(E43)*100,"#,##0.0")&amp;"%","不適用")&amp;IF(ISNUMBER(E32),"、較共識 "&amp;IF(ISNUMBER(E44),IF(E44&lt;0,"−","+")&amp;TEXT(ABS(E44)*100,"#,##0.0")&amp;"%","不適用"),"")&amp;"）","")&amp;E118</f>
        <v>營收：模型 $44.7m</v>
      </c>
      <c r="F123" s="46" t="str">
        <f aca="false">"營收：模型 "&amp;IF(ISNUMBER(F22),IF(F22&lt;0,"−","")&amp;"$"&amp;TEXT(ABS(F22),"#,##0.0")&amp;"m","不適用")&amp;IF(ISNUMBER(F32),"｜共識 "&amp;IF(F32&lt;0,"−","")&amp;"$"&amp;TEXT(ABS(F32),"#,##0.0")&amp;"m"&amp;"（"&amp;IF(ISNUMBER(F41),IF(F41&lt;0,"−","+")&amp;TEXT(ABS(F41)*100,"#,##0.0")&amp;"%","不適用")&amp;"）","")&amp;IF(ISNUMBER(F35),"｜實際 "&amp;IF(F35&lt;0,"−","")&amp;"$"&amp;TEXT(ABS(F35),"#,##0.0")&amp;"m"&amp;"（較模型 "&amp;IF(ISNUMBER(F43),IF(F43&lt;0,"−","+")&amp;TEXT(ABS(F43)*100,"#,##0.0")&amp;"%","不適用")&amp;IF(ISNUMBER(F32),"、較共識 "&amp;IF(ISNUMBER(F44),IF(F44&lt;0,"−","+")&amp;TEXT(ABS(F44)*100,"#,##0.0")&amp;"%","不適用"),"")&amp;"）","")&amp;F118</f>
        <v>營收：模型 $52.8m</v>
      </c>
      <c r="G123" s="46" t="str">
        <f aca="false">"營收：模型 "&amp;IF(ISNUMBER(G22),IF(G22&lt;0,"−","")&amp;"$"&amp;TEXT(ABS(G22),"#,##0.0")&amp;"m","不適用")&amp;IF(ISNUMBER(G32),"｜共識 "&amp;IF(G32&lt;0,"−","")&amp;"$"&amp;TEXT(ABS(G32),"#,##0.0")&amp;"m"&amp;"（"&amp;IF(ISNUMBER(G41),IF(G41&lt;0,"−","+")&amp;TEXT(ABS(G41)*100,"#,##0.0")&amp;"%","不適用")&amp;"）","")&amp;IF(ISNUMBER(G35),"｜實際 "&amp;IF(G35&lt;0,"−","")&amp;"$"&amp;TEXT(ABS(G35),"#,##0.0")&amp;"m"&amp;"（較模型 "&amp;IF(ISNUMBER(G43),IF(G43&lt;0,"−","+")&amp;TEXT(ABS(G43)*100,"#,##0.0")&amp;"%","不適用")&amp;IF(ISNUMBER(G32),"、較共識 "&amp;IF(ISNUMBER(G44),IF(G44&lt;0,"−","+")&amp;TEXT(ABS(G44)*100,"#,##0.0")&amp;"%","不適用"),"")&amp;"）","")&amp;G118</f>
        <v>營收：模型 $60.8m</v>
      </c>
      <c r="H123" s="46" t="str">
        <f aca="false">"營收：模型 "&amp;IF(ISNUMBER(H22),IF(H22&lt;0,"−","")&amp;"$"&amp;TEXT(ABS(H22),"#,##0.0")&amp;"m","不適用")&amp;IF(ISNUMBER(H32),"｜共識 "&amp;IF(H32&lt;0,"−","")&amp;"$"&amp;TEXT(ABS(H32),"#,##0.0")&amp;"m"&amp;"（"&amp;IF(ISNUMBER(H41),IF(H41&lt;0,"−","+")&amp;TEXT(ABS(H41)*100,"#,##0.0")&amp;"%","不適用")&amp;"）","")&amp;IF(ISNUMBER(H35),"｜實際 "&amp;IF(H35&lt;0,"−","")&amp;"$"&amp;TEXT(ABS(H35),"#,##0.0")&amp;"m"&amp;"（較模型 "&amp;IF(ISNUMBER(H43),IF(H43&lt;0,"−","+")&amp;TEXT(ABS(H43)*100,"#,##0.0")&amp;"%","不適用")&amp;IF(ISNUMBER(H32),"、較共識 "&amp;IF(ISNUMBER(H44),IF(H44&lt;0,"−","+")&amp;TEXT(ABS(H44)*100,"#,##0.0")&amp;"%","不適用"),"")&amp;"）","")&amp;H118</f>
        <v>營收：模型 $68.8m</v>
      </c>
    </row>
    <row r="124" customFormat="false" ht="15" hidden="true" customHeight="false" outlineLevel="1" collapsed="false">
      <c r="A124" s="3" t="s">
        <v>1129</v>
      </c>
      <c r="C124" s="46" t="str">
        <f aca="false">"調整後 EBITDA：模型 "&amp;IF(ISNUMBER(C28),IF(C28&lt;0,"−","")&amp;"$"&amp;TEXT(ABS(C28),"#,##0.0")&amp;"m","不適用")&amp;IF(ISNUMBER(C33),"｜共識 "&amp;IF(C33&lt;0,"−","")&amp;"$"&amp;TEXT(ABS(C33),"#,##0.0")&amp;"m"&amp;"（"&amp;IF(ISNUMBER(C46),IF(C46&lt;0,"−","+")&amp;IF(ABS(C46)&lt;0,"−","")&amp;"$"&amp;TEXT(ABS(ABS(C46)),"#,##0.0")&amp;"m"&amp;IF(ISNUMBER(C51),"／"&amp;IF(C51&lt;0,"−","+")&amp;TEXT(ABS(C51)*100,"#,##0.0")&amp;"pt",""),"不適用")&amp;"）","")&amp;IF(ISNUMBER(C36),"｜實際 "&amp;IF(C36&lt;0,"−","")&amp;"$"&amp;TEXT(ABS(C36),"#,##0.0")&amp;"m"&amp;"（較模型 "&amp;IF(ISNUMBER(C48),IF(C48&lt;0,"−","+")&amp;IF(ABS(C48)&lt;0,"−","")&amp;"$"&amp;TEXT(ABS(ABS(C48)),"#,##0.0")&amp;"m"&amp;IF(ISNUMBER(C53),"／"&amp;IF(C53&lt;0,"−","+")&amp;TEXT(ABS(C53)*100,"#,##0.0")&amp;"pt",""),"不適用")&amp;IF(ISNUMBER(C33),"、較共識 "&amp;IF(ISNUMBER(C49),IF(C49&lt;0,"−","+")&amp;IF(ABS(C49)&lt;0,"−","")&amp;"$"&amp;TEXT(ABS(ABS(C49)),"#,##0.0")&amp;"m"&amp;IF(ISNUMBER(C54),"／"&amp;IF(C54&lt;0,"−","+")&amp;TEXT(ABS(C54)*100,"#,##0.0")&amp;"pt",""),"不適用"),"")&amp;"）","")&amp;C119</f>
        <v>調整後 EBITDA：模型 $3.5m</v>
      </c>
      <c r="D124" s="46" t="str">
        <f aca="false">"調整後 EBITDA：模型 "&amp;IF(ISNUMBER(D28),IF(D28&lt;0,"−","")&amp;"$"&amp;TEXT(ABS(D28),"#,##0.0")&amp;"m","不適用")&amp;IF(ISNUMBER(D33),"｜共識 "&amp;IF(D33&lt;0,"−","")&amp;"$"&amp;TEXT(ABS(D33),"#,##0.0")&amp;"m"&amp;"（"&amp;IF(ISNUMBER(D46),IF(D46&lt;0,"−","+")&amp;IF(ABS(D46)&lt;0,"−","")&amp;"$"&amp;TEXT(ABS(ABS(D46)),"#,##0.0")&amp;"m"&amp;IF(ISNUMBER(D51),"／"&amp;IF(D51&lt;0,"−","+")&amp;TEXT(ABS(D51)*100,"#,##0.0")&amp;"pt",""),"不適用")&amp;"）","")&amp;IF(ISNUMBER(D36),"｜實際 "&amp;IF(D36&lt;0,"−","")&amp;"$"&amp;TEXT(ABS(D36),"#,##0.0")&amp;"m"&amp;"（較模型 "&amp;IF(ISNUMBER(D48),IF(D48&lt;0,"−","+")&amp;IF(ABS(D48)&lt;0,"−","")&amp;"$"&amp;TEXT(ABS(ABS(D48)),"#,##0.0")&amp;"m"&amp;IF(ISNUMBER(D53),"／"&amp;IF(D53&lt;0,"−","+")&amp;TEXT(ABS(D53)*100,"#,##0.0")&amp;"pt",""),"不適用")&amp;IF(ISNUMBER(D33),"、較共識 "&amp;IF(ISNUMBER(D49),IF(D49&lt;0,"−","+")&amp;IF(ABS(D49)&lt;0,"−","")&amp;"$"&amp;TEXT(ABS(ABS(D49)),"#,##0.0")&amp;"m"&amp;IF(ISNUMBER(D54),"／"&amp;IF(D54&lt;0,"−","+")&amp;TEXT(ABS(D54)*100,"#,##0.0")&amp;"pt",""),"不適用"),"")&amp;"）","")&amp;D119</f>
        <v>調整後 EBITDA：模型 $5.1m</v>
      </c>
      <c r="E124" s="46" t="str">
        <f aca="false">"調整後 EBITDA：模型 "&amp;IF(ISNUMBER(E28),IF(E28&lt;0,"−","")&amp;"$"&amp;TEXT(ABS(E28),"#,##0.0")&amp;"m","不適用")&amp;IF(ISNUMBER(E33),"｜共識 "&amp;IF(E33&lt;0,"−","")&amp;"$"&amp;TEXT(ABS(E33),"#,##0.0")&amp;"m"&amp;"（"&amp;IF(ISNUMBER(E46),IF(E46&lt;0,"−","+")&amp;IF(ABS(E46)&lt;0,"−","")&amp;"$"&amp;TEXT(ABS(ABS(E46)),"#,##0.0")&amp;"m"&amp;IF(ISNUMBER(E51),"／"&amp;IF(E51&lt;0,"−","+")&amp;TEXT(ABS(E51)*100,"#,##0.0")&amp;"pt",""),"不適用")&amp;"）","")&amp;IF(ISNUMBER(E36),"｜實際 "&amp;IF(E36&lt;0,"−","")&amp;"$"&amp;TEXT(ABS(E36),"#,##0.0")&amp;"m"&amp;"（較模型 "&amp;IF(ISNUMBER(E48),IF(E48&lt;0,"−","+")&amp;IF(ABS(E48)&lt;0,"−","")&amp;"$"&amp;TEXT(ABS(ABS(E48)),"#,##0.0")&amp;"m"&amp;IF(ISNUMBER(E53),"／"&amp;IF(E53&lt;0,"−","+")&amp;TEXT(ABS(E53)*100,"#,##0.0")&amp;"pt",""),"不適用")&amp;IF(ISNUMBER(E33),"、較共識 "&amp;IF(ISNUMBER(E49),IF(E49&lt;0,"−","+")&amp;IF(ABS(E49)&lt;0,"−","")&amp;"$"&amp;TEXT(ABS(ABS(E49)),"#,##0.0")&amp;"m"&amp;IF(ISNUMBER(E54),"／"&amp;IF(E54&lt;0,"−","+")&amp;TEXT(ABS(E54)*100,"#,##0.0")&amp;"pt",""),"不適用"),"")&amp;"）","")&amp;E119</f>
        <v>調整後 EBITDA：模型 $5.5m</v>
      </c>
      <c r="F124" s="46" t="str">
        <f aca="false">"調整後 EBITDA：模型 "&amp;IF(ISNUMBER(F28),IF(F28&lt;0,"−","")&amp;"$"&amp;TEXT(ABS(F28),"#,##0.0")&amp;"m","不適用")&amp;IF(ISNUMBER(F33),"｜共識 "&amp;IF(F33&lt;0,"−","")&amp;"$"&amp;TEXT(ABS(F33),"#,##0.0")&amp;"m"&amp;"（"&amp;IF(ISNUMBER(F46),IF(F46&lt;0,"−","+")&amp;IF(ABS(F46)&lt;0,"−","")&amp;"$"&amp;TEXT(ABS(ABS(F46)),"#,##0.0")&amp;"m"&amp;IF(ISNUMBER(F51),"／"&amp;IF(F51&lt;0,"−","+")&amp;TEXT(ABS(F51)*100,"#,##0.0")&amp;"pt",""),"不適用")&amp;"）","")&amp;IF(ISNUMBER(F36),"｜實際 "&amp;IF(F36&lt;0,"−","")&amp;"$"&amp;TEXT(ABS(F36),"#,##0.0")&amp;"m"&amp;"（較模型 "&amp;IF(ISNUMBER(F48),IF(F48&lt;0,"−","+")&amp;IF(ABS(F48)&lt;0,"−","")&amp;"$"&amp;TEXT(ABS(ABS(F48)),"#,##0.0")&amp;"m"&amp;IF(ISNUMBER(F53),"／"&amp;IF(F53&lt;0,"−","+")&amp;TEXT(ABS(F53)*100,"#,##0.0")&amp;"pt",""),"不適用")&amp;IF(ISNUMBER(F33),"、較共識 "&amp;IF(ISNUMBER(F49),IF(F49&lt;0,"−","+")&amp;IF(ABS(F49)&lt;0,"−","")&amp;"$"&amp;TEXT(ABS(ABS(F49)),"#,##0.0")&amp;"m"&amp;IF(ISNUMBER(F54),"／"&amp;IF(F54&lt;0,"−","+")&amp;TEXT(ABS(F54)*100,"#,##0.0")&amp;"pt",""),"不適用"),"")&amp;"）","")&amp;F119</f>
        <v>調整後 EBITDA：模型 $6.5m</v>
      </c>
      <c r="G124" s="46" t="str">
        <f aca="false">"調整後 EBITDA：模型 "&amp;IF(ISNUMBER(G28),IF(G28&lt;0,"−","")&amp;"$"&amp;TEXT(ABS(G28),"#,##0.0")&amp;"m","不適用")&amp;IF(ISNUMBER(G33),"｜共識 "&amp;IF(G33&lt;0,"−","")&amp;"$"&amp;TEXT(ABS(G33),"#,##0.0")&amp;"m"&amp;"（"&amp;IF(ISNUMBER(G46),IF(G46&lt;0,"−","+")&amp;IF(ABS(G46)&lt;0,"−","")&amp;"$"&amp;TEXT(ABS(ABS(G46)),"#,##0.0")&amp;"m"&amp;IF(ISNUMBER(G51),"／"&amp;IF(G51&lt;0,"−","+")&amp;TEXT(ABS(G51)*100,"#,##0.0")&amp;"pt",""),"不適用")&amp;"）","")&amp;IF(ISNUMBER(G36),"｜實際 "&amp;IF(G36&lt;0,"−","")&amp;"$"&amp;TEXT(ABS(G36),"#,##0.0")&amp;"m"&amp;"（較模型 "&amp;IF(ISNUMBER(G48),IF(G48&lt;0,"−","+")&amp;IF(ABS(G48)&lt;0,"−","")&amp;"$"&amp;TEXT(ABS(ABS(G48)),"#,##0.0")&amp;"m"&amp;IF(ISNUMBER(G53),"／"&amp;IF(G53&lt;0,"−","+")&amp;TEXT(ABS(G53)*100,"#,##0.0")&amp;"pt",""),"不適用")&amp;IF(ISNUMBER(G33),"、較共識 "&amp;IF(ISNUMBER(G49),IF(G49&lt;0,"−","+")&amp;IF(ABS(G49)&lt;0,"−","")&amp;"$"&amp;TEXT(ABS(ABS(G49)),"#,##0.0")&amp;"m"&amp;IF(ISNUMBER(G54),"／"&amp;IF(G54&lt;0,"−","+")&amp;TEXT(ABS(G54)*100,"#,##0.0")&amp;"pt",""),"不適用"),"")&amp;"）","")&amp;G119</f>
        <v>調整後 EBITDA：模型 $7.6m</v>
      </c>
      <c r="H124" s="46" t="str">
        <f aca="false">"調整後 EBITDA：模型 "&amp;IF(ISNUMBER(H28),IF(H28&lt;0,"−","")&amp;"$"&amp;TEXT(ABS(H28),"#,##0.0")&amp;"m","不適用")&amp;IF(ISNUMBER(H33),"｜共識 "&amp;IF(H33&lt;0,"−","")&amp;"$"&amp;TEXT(ABS(H33),"#,##0.0")&amp;"m"&amp;"（"&amp;IF(ISNUMBER(H46),IF(H46&lt;0,"−","+")&amp;IF(ABS(H46)&lt;0,"−","")&amp;"$"&amp;TEXT(ABS(ABS(H46)),"#,##0.0")&amp;"m"&amp;IF(ISNUMBER(H51),"／"&amp;IF(H51&lt;0,"−","+")&amp;TEXT(ABS(H51)*100,"#,##0.0")&amp;"pt",""),"不適用")&amp;"）","")&amp;IF(ISNUMBER(H36),"｜實際 "&amp;IF(H36&lt;0,"−","")&amp;"$"&amp;TEXT(ABS(H36),"#,##0.0")&amp;"m"&amp;"（較模型 "&amp;IF(ISNUMBER(H48),IF(H48&lt;0,"−","+")&amp;IF(ABS(H48)&lt;0,"−","")&amp;"$"&amp;TEXT(ABS(ABS(H48)),"#,##0.0")&amp;"m"&amp;IF(ISNUMBER(H53),"／"&amp;IF(H53&lt;0,"−","+")&amp;TEXT(ABS(H53)*100,"#,##0.0")&amp;"pt",""),"不適用")&amp;IF(ISNUMBER(H33),"、較共識 "&amp;IF(ISNUMBER(H49),IF(H49&lt;0,"−","+")&amp;IF(ABS(H49)&lt;0,"−","")&amp;"$"&amp;TEXT(ABS(ABS(H49)),"#,##0.0")&amp;"m"&amp;IF(ISNUMBER(H54),"／"&amp;IF(H54&lt;0,"−","+")&amp;TEXT(ABS(H54)*100,"#,##0.0")&amp;"pt",""),"不適用"),"")&amp;"）","")&amp;H119</f>
        <v>調整後 EBITDA：模型 $8.7m</v>
      </c>
    </row>
    <row r="125" customFormat="false" ht="15" hidden="true" customHeight="false" outlineLevel="1" collapsed="false">
      <c r="A125" s="3" t="s">
        <v>1130</v>
      </c>
      <c r="C125" s="46" t="str">
        <f aca="false">"EBITDA 率：模型 "&amp;IF(ISNUMBER(C27),IF(C27&lt;0,"−","")&amp;TEXT(ABS(C27)*100,"#,##0.0")&amp;"%","不適用")&amp;IF(ISNUMBER(C34),"｜共識 "&amp;IF(C34&lt;0,"−","")&amp;TEXT(ABS(C34)*100,"#,##0.0")&amp;"%"&amp;"（"&amp;IF(ISNUMBER(C56),IF(C56&lt;0,"−","+")&amp;TEXT(ABS(C56)*100,"#,##0.0")&amp;"pt","不適用")&amp;"）","")&amp;IF(ISNUMBER(C37),"｜實際 "&amp;IF(C37&lt;0,"−","")&amp;TEXT(ABS(C37)*100,"#,##0.0")&amp;"%"&amp;"（較模型 "&amp;IF(ISNUMBER(C58),IF(C58&lt;0,"−","+")&amp;TEXT(ABS(C58)*100,"#,##0.0")&amp;"pt","不適用")&amp;IF(ISNUMBER(C34),"、較共識 "&amp;IF(ISNUMBER(C59),IF(C59&lt;0,"−","+")&amp;TEXT(ABS(C59)*100,"#,##0.0")&amp;"pt","不適用"),"")&amp;"）","")</f>
        <v>EBITDA 率：模型 12.0%</v>
      </c>
      <c r="D125" s="46" t="str">
        <f aca="false">"EBITDA 率：模型 "&amp;IF(ISNUMBER(D27),IF(D27&lt;0,"−","")&amp;TEXT(ABS(D27)*100,"#,##0.0")&amp;"%","不適用")&amp;IF(ISNUMBER(D34),"｜共識 "&amp;IF(D34&lt;0,"−","")&amp;TEXT(ABS(D34)*100,"#,##0.0")&amp;"%"&amp;"（"&amp;IF(ISNUMBER(D56),IF(D56&lt;0,"−","+")&amp;TEXT(ABS(D56)*100,"#,##0.0")&amp;"pt","不適用")&amp;"）","")&amp;IF(ISNUMBER(D37),"｜實際 "&amp;IF(D37&lt;0,"−","")&amp;TEXT(ABS(D37)*100,"#,##0.0")&amp;"%"&amp;"（較模型 "&amp;IF(ISNUMBER(D58),IF(D58&lt;0,"−","+")&amp;TEXT(ABS(D58)*100,"#,##0.0")&amp;"pt","不適用")&amp;IF(ISNUMBER(D34),"、較共識 "&amp;IF(ISNUMBER(D59),IF(D59&lt;0,"−","+")&amp;TEXT(ABS(D59)*100,"#,##0.0")&amp;"pt","不適用"),"")&amp;"）","")</f>
        <v>EBITDA 率：模型 12.1%</v>
      </c>
      <c r="E125" s="46" t="str">
        <f aca="false">"EBITDA 率：模型 "&amp;IF(ISNUMBER(E27),IF(E27&lt;0,"−","")&amp;TEXT(ABS(E27)*100,"#,##0.0")&amp;"%","不適用")&amp;IF(ISNUMBER(E34),"｜共識 "&amp;IF(E34&lt;0,"−","")&amp;TEXT(ABS(E34)*100,"#,##0.0")&amp;"%"&amp;"（"&amp;IF(ISNUMBER(E56),IF(E56&lt;0,"−","+")&amp;TEXT(ABS(E56)*100,"#,##0.0")&amp;"pt","不適用")&amp;"）","")&amp;IF(ISNUMBER(E37),"｜實際 "&amp;IF(E37&lt;0,"−","")&amp;TEXT(ABS(E37)*100,"#,##0.0")&amp;"%"&amp;"（較模型 "&amp;IF(ISNUMBER(E58),IF(E58&lt;0,"−","+")&amp;TEXT(ABS(E58)*100,"#,##0.0")&amp;"pt","不適用")&amp;IF(ISNUMBER(E34),"、較共識 "&amp;IF(ISNUMBER(E59),IF(E59&lt;0,"−","+")&amp;TEXT(ABS(E59)*100,"#,##0.0")&amp;"pt","不適用"),"")&amp;"）","")</f>
        <v>EBITDA 率：模型 12.2%</v>
      </c>
      <c r="F125" s="46" t="str">
        <f aca="false">"EBITDA 率：模型 "&amp;IF(ISNUMBER(F27),IF(F27&lt;0,"−","")&amp;TEXT(ABS(F27)*100,"#,##0.0")&amp;"%","不適用")&amp;IF(ISNUMBER(F34),"｜共識 "&amp;IF(F34&lt;0,"−","")&amp;TEXT(ABS(F34)*100,"#,##0.0")&amp;"%"&amp;"（"&amp;IF(ISNUMBER(F56),IF(F56&lt;0,"−","+")&amp;TEXT(ABS(F56)*100,"#,##0.0")&amp;"pt","不適用")&amp;"）","")&amp;IF(ISNUMBER(F37),"｜實際 "&amp;IF(F37&lt;0,"−","")&amp;TEXT(ABS(F37)*100,"#,##0.0")&amp;"%"&amp;"（較模型 "&amp;IF(ISNUMBER(F58),IF(F58&lt;0,"−","+")&amp;TEXT(ABS(F58)*100,"#,##0.0")&amp;"pt","不適用")&amp;IF(ISNUMBER(F34),"、較共識 "&amp;IF(ISNUMBER(F59),IF(F59&lt;0,"−","+")&amp;TEXT(ABS(F59)*100,"#,##0.0")&amp;"pt","不適用"),"")&amp;"）","")</f>
        <v>EBITDA 率：模型 12.4%</v>
      </c>
      <c r="G125" s="46" t="str">
        <f aca="false">"EBITDA 率：模型 "&amp;IF(ISNUMBER(G27),IF(G27&lt;0,"−","")&amp;TEXT(ABS(G27)*100,"#,##0.0")&amp;"%","不適用")&amp;IF(ISNUMBER(G34),"｜共識 "&amp;IF(G34&lt;0,"−","")&amp;TEXT(ABS(G34)*100,"#,##0.0")&amp;"%"&amp;"（"&amp;IF(ISNUMBER(G56),IF(G56&lt;0,"−","+")&amp;TEXT(ABS(G56)*100,"#,##0.0")&amp;"pt","不適用")&amp;"）","")&amp;IF(ISNUMBER(G37),"｜實際 "&amp;IF(G37&lt;0,"−","")&amp;TEXT(ABS(G37)*100,"#,##0.0")&amp;"%"&amp;"（較模型 "&amp;IF(ISNUMBER(G58),IF(G58&lt;0,"−","+")&amp;TEXT(ABS(G58)*100,"#,##0.0")&amp;"pt","不適用")&amp;IF(ISNUMBER(G34),"、較共識 "&amp;IF(ISNUMBER(G59),IF(G59&lt;0,"−","+")&amp;TEXT(ABS(G59)*100,"#,##0.0")&amp;"pt","不適用"),"")&amp;"）","")</f>
        <v>EBITDA 率：模型 12.5%</v>
      </c>
      <c r="H125" s="46" t="str">
        <f aca="false">"EBITDA 率：模型 "&amp;IF(ISNUMBER(H27),IF(H27&lt;0,"−","")&amp;TEXT(ABS(H27)*100,"#,##0.0")&amp;"%","不適用")&amp;IF(ISNUMBER(H34),"｜共識 "&amp;IF(H34&lt;0,"−","")&amp;TEXT(ABS(H34)*100,"#,##0.0")&amp;"%"&amp;"（"&amp;IF(ISNUMBER(H56),IF(H56&lt;0,"−","+")&amp;TEXT(ABS(H56)*100,"#,##0.0")&amp;"pt","不適用")&amp;"）","")&amp;IF(ISNUMBER(H37),"｜實際 "&amp;IF(H37&lt;0,"−","")&amp;TEXT(ABS(H37)*100,"#,##0.0")&amp;"%"&amp;"（較模型 "&amp;IF(ISNUMBER(H58),IF(H58&lt;0,"−","+")&amp;TEXT(ABS(H58)*100,"#,##0.0")&amp;"pt","不適用")&amp;IF(ISNUMBER(H34),"、較共識 "&amp;IF(ISNUMBER(H59),IF(H59&lt;0,"−","+")&amp;TEXT(ABS(H59)*100,"#,##0.0")&amp;"pt","不適用"),"")&amp;"）","")</f>
        <v>EBITDA 率：模型 12.6%</v>
      </c>
    </row>
    <row r="126" customFormat="false" ht="15" hidden="true" customHeight="false" outlineLevel="1" collapsed="false">
      <c r="A126" s="3" t="s">
        <v>1131</v>
      </c>
      <c r="C126" s="46" t="str">
        <f aca="false">"調整後營業利益：模型 "&amp;IF(ISNUMBER(C30),IF(C30&lt;0,"−","")&amp;"$"&amp;TEXT(ABS(C30),"#,##0.0")&amp;"m","不適用")&amp;IF(ISNUMBER(C38),"｜實際 "&amp;IF(C38&lt;0,"−","")&amp;"$"&amp;TEXT(ABS(C38),"#,##0.0")&amp;"m"&amp;"（較模型 "&amp;IF(ISNUMBER(C63),IF(C63&lt;0,"−","+")&amp;IF(ABS(C63)&lt;0,"−","")&amp;"$"&amp;TEXT(ABS(ABS(C63)),"#,##0.0")&amp;"m"&amp;IF(ISNUMBER(C68),"／"&amp;IF(C68&lt;0,"−","+")&amp;TEXT(ABS(C68)*100,"#,##0.0")&amp;"pt",""),"不適用")&amp;"）","")&amp;C120</f>
        <v>調整後營業利益：模型 −$8.7m</v>
      </c>
      <c r="D126" s="46" t="str">
        <f aca="false">"調整後營業利益：模型 "&amp;IF(ISNUMBER(D30),IF(D30&lt;0,"−","")&amp;"$"&amp;TEXT(ABS(D30),"#,##0.0")&amp;"m","不適用")&amp;IF(ISNUMBER(D38),"｜實際 "&amp;IF(D38&lt;0,"−","")&amp;"$"&amp;TEXT(ABS(D38),"#,##0.0")&amp;"m"&amp;"（較模型 "&amp;IF(ISNUMBER(D63),IF(D63&lt;0,"−","+")&amp;IF(ABS(D63)&lt;0,"−","")&amp;"$"&amp;TEXT(ABS(ABS(D63)),"#,##0.0")&amp;"m"&amp;IF(ISNUMBER(D68),"／"&amp;IF(D68&lt;0,"−","+")&amp;TEXT(ABS(D68)*100,"#,##0.0")&amp;"pt",""),"不適用")&amp;"）","")&amp;D120</f>
        <v>調整後營業利益：模型 −$8.4m</v>
      </c>
      <c r="E126" s="46" t="str">
        <f aca="false">"調整後營業利益：模型 "&amp;IF(ISNUMBER(E30),IF(E30&lt;0,"−","")&amp;"$"&amp;TEXT(ABS(E30),"#,##0.0")&amp;"m","不適用")&amp;IF(ISNUMBER(E38),"｜實際 "&amp;IF(E38&lt;0,"−","")&amp;"$"&amp;TEXT(ABS(E38),"#,##0.0")&amp;"m"&amp;"（較模型 "&amp;IF(ISNUMBER(E63),IF(E63&lt;0,"−","+")&amp;IF(ABS(E63)&lt;0,"−","")&amp;"$"&amp;TEXT(ABS(ABS(E63)),"#,##0.0")&amp;"m"&amp;IF(ISNUMBER(E68),"／"&amp;IF(E68&lt;0,"−","+")&amp;TEXT(ABS(E68)*100,"#,##0.0")&amp;"pt",""),"不適用")&amp;"）","")&amp;E120</f>
        <v>調整後營業利益：模型 −$9.7m</v>
      </c>
      <c r="F126" s="46" t="str">
        <f aca="false">"調整後營業利益：模型 "&amp;IF(ISNUMBER(F30),IF(F30&lt;0,"−","")&amp;"$"&amp;TEXT(ABS(F30),"#,##0.0")&amp;"m","不適用")&amp;IF(ISNUMBER(F38),"｜實際 "&amp;IF(F38&lt;0,"−","")&amp;"$"&amp;TEXT(ABS(F38),"#,##0.0")&amp;"m"&amp;"（較模型 "&amp;IF(ISNUMBER(F63),IF(F63&lt;0,"−","+")&amp;IF(ABS(F63)&lt;0,"−","")&amp;"$"&amp;TEXT(ABS(ABS(F63)),"#,##0.0")&amp;"m"&amp;IF(ISNUMBER(F68),"／"&amp;IF(F68&lt;0,"−","+")&amp;TEXT(ABS(F68)*100,"#,##0.0")&amp;"pt",""),"不適用")&amp;"）","")&amp;F120</f>
        <v>調整後營業利益：模型 −$10.7m</v>
      </c>
      <c r="G126" s="46" t="str">
        <f aca="false">"調整後營業利益：模型 "&amp;IF(ISNUMBER(G30),IF(G30&lt;0,"−","")&amp;"$"&amp;TEXT(ABS(G30),"#,##0.0")&amp;"m","不適用")&amp;IF(ISNUMBER(G38),"｜實際 "&amp;IF(G38&lt;0,"−","")&amp;"$"&amp;TEXT(ABS(G38),"#,##0.0")&amp;"m"&amp;"（較模型 "&amp;IF(ISNUMBER(G63),IF(G63&lt;0,"−","+")&amp;IF(ABS(G63)&lt;0,"−","")&amp;"$"&amp;TEXT(ABS(ABS(G63)),"#,##0.0")&amp;"m"&amp;IF(ISNUMBER(G68),"／"&amp;IF(G68&lt;0,"−","+")&amp;TEXT(ABS(G68)*100,"#,##0.0")&amp;"pt",""),"不適用")&amp;"）","")&amp;G120</f>
        <v>調整後營業利益：模型 −$11.7m</v>
      </c>
      <c r="H126" s="46" t="str">
        <f aca="false">"調整後營業利益：模型 "&amp;IF(ISNUMBER(H30),IF(H30&lt;0,"−","")&amp;"$"&amp;TEXT(ABS(H30),"#,##0.0")&amp;"m","不適用")&amp;IF(ISNUMBER(H38),"｜實際 "&amp;IF(H38&lt;0,"−","")&amp;"$"&amp;TEXT(ABS(H38),"#,##0.0")&amp;"m"&amp;"（較模型 "&amp;IF(ISNUMBER(H63),IF(H63&lt;0,"−","+")&amp;IF(ABS(H63)&lt;0,"−","")&amp;"$"&amp;TEXT(ABS(ABS(H63)),"#,##0.0")&amp;"m"&amp;IF(ISNUMBER(H68),"／"&amp;IF(H68&lt;0,"−","+")&amp;TEXT(ABS(H68)*100,"#,##0.0")&amp;"pt",""),"不適用")&amp;"）","")&amp;H120</f>
        <v>調整後營業利益：模型 −$12.7m</v>
      </c>
    </row>
    <row r="127" customFormat="false" ht="15" hidden="true" customHeight="false" outlineLevel="1" collapsed="false">
      <c r="A127" s="3" t="s">
        <v>1132</v>
      </c>
      <c r="C127" s="46" t="str">
        <f aca="false">"CapEx（毛額）：模型 "&amp;IF(ISNUMBER(C31),IF(C31&lt;0,"−","")&amp;"$"&amp;TEXT(ABS(C31),"#,##0.0")&amp;"m","不適用")&amp;IF(ISNUMBER(C39),"｜實際 "&amp;IF(C39&lt;0,"−","")&amp;"$"&amp;TEXT(ABS(C39),"#,##0.0")&amp;"m"&amp;"（較模型 "&amp;IF(ISNUMBER(C73),IF(C73&lt;0,"−","+")&amp;TEXT(ABS(C73)*100,"#,##0.0")&amp;"%","不適用")&amp;"）","")&amp;C121</f>
        <v>CapEx（毛額）：模型 $64.3m</v>
      </c>
      <c r="D127" s="46" t="str">
        <f aca="false">"CapEx（毛額）：模型 "&amp;IF(ISNUMBER(D31),IF(D31&lt;0,"−","")&amp;"$"&amp;TEXT(ABS(D31),"#,##0.0")&amp;"m","不適用")&amp;IF(ISNUMBER(D39),"｜實際 "&amp;IF(D39&lt;0,"−","")&amp;"$"&amp;TEXT(ABS(D39),"#,##0.0")&amp;"m"&amp;"（較模型 "&amp;IF(ISNUMBER(D73),IF(D73&lt;0,"−","+")&amp;TEXT(ABS(D73)*100,"#,##0.0")&amp;"%","不適用")&amp;"）","")&amp;D121</f>
        <v>CapEx（毛額）：模型 $64.3m</v>
      </c>
      <c r="E127" s="46" t="str">
        <f aca="false">"CapEx（毛額）：模型 "&amp;IF(ISNUMBER(E31),IF(E31&lt;0,"−","")&amp;"$"&amp;TEXT(ABS(E31),"#,##0.0")&amp;"m","不適用")&amp;IF(ISNUMBER(E39),"｜實際 "&amp;IF(E39&lt;0,"−","")&amp;"$"&amp;TEXT(ABS(E39),"#,##0.0")&amp;"m"&amp;"（較模型 "&amp;IF(ISNUMBER(E73),IF(E73&lt;0,"−","+")&amp;TEXT(ABS(E73)*100,"#,##0.0")&amp;"%","不適用")&amp;"）","")&amp;E121</f>
        <v>CapEx（毛額）：模型 $106.8m</v>
      </c>
      <c r="F127" s="46" t="str">
        <f aca="false">"CapEx（毛額）：模型 "&amp;IF(ISNUMBER(F31),IF(F31&lt;0,"−","")&amp;"$"&amp;TEXT(ABS(F31),"#,##0.0")&amp;"m","不適用")&amp;IF(ISNUMBER(F39),"｜實際 "&amp;IF(F39&lt;0,"−","")&amp;"$"&amp;TEXT(ABS(F39),"#,##0.0")&amp;"m"&amp;"（較模型 "&amp;IF(ISNUMBER(F73),IF(F73&lt;0,"−","+")&amp;TEXT(ABS(F73)*100,"#,##0.0")&amp;"%","不適用")&amp;"）","")&amp;F121</f>
        <v>CapEx（毛額）：模型 $106.8m</v>
      </c>
      <c r="G127" s="46" t="str">
        <f aca="false">"CapEx（毛額）：模型 "&amp;IF(ISNUMBER(G31),IF(G31&lt;0,"−","")&amp;"$"&amp;TEXT(ABS(G31),"#,##0.0")&amp;"m","不適用")&amp;IF(ISNUMBER(G39),"｜實際 "&amp;IF(G39&lt;0,"−","")&amp;"$"&amp;TEXT(ABS(G39),"#,##0.0")&amp;"m"&amp;"（較模型 "&amp;IF(ISNUMBER(G73),IF(G73&lt;0,"−","+")&amp;TEXT(ABS(G73)*100,"#,##0.0")&amp;"%","不適用")&amp;"）","")&amp;G121</f>
        <v>CapEx（毛額）：模型 $106.8m</v>
      </c>
      <c r="H127" s="46" t="str">
        <f aca="false">"CapEx（毛額）：模型 "&amp;IF(ISNUMBER(H31),IF(H31&lt;0,"−","")&amp;"$"&amp;TEXT(ABS(H31),"#,##0.0")&amp;"m","不適用")&amp;IF(ISNUMBER(H39),"｜實際 "&amp;IF(H39&lt;0,"−","")&amp;"$"&amp;TEXT(ABS(H39),"#,##0.0")&amp;"m"&amp;"（較模型 "&amp;IF(ISNUMBER(H73),IF(H73&lt;0,"−","+")&amp;TEXT(ABS(H73)*100,"#,##0.0")&amp;"%","不適用")&amp;"）","")&amp;H121</f>
        <v>CapEx（毛額）：模型 $106.8m</v>
      </c>
    </row>
    <row r="128" customFormat="false" ht="15" hidden="true" customHeight="false" outlineLevel="1" collapsed="false">
      <c r="A128" s="3" t="s">
        <v>1133</v>
      </c>
      <c r="C128" s="46" t="str">
        <f aca="false">"季末雲端已連網 MW-IT：模型 "&amp;IF(ISNUMBER(C19),IF(C19&lt;0,"−","")&amp;TEXT(ABS(C19),"#,##0")&amp;" MW","不適用")&amp;IF(ISNUMBER(C40),"｜實際 "&amp;IF(C40&lt;0,"−","")&amp;TEXT(ABS(C40),"#,##0")&amp;" MW"&amp;"（較模型 "&amp;IF(ISNUMBER(C78),IF(C78&lt;0,"−","+")&amp;IF(ABS(C78)&lt;0,"−","")&amp;TEXT(ABS(ABS(C78)),"#,##0")&amp;" MW","不適用")&amp;"）","")&amp;C122</f>
        <v>季末雲端已連網 MW-IT：模型 10 MW</v>
      </c>
      <c r="D128" s="46" t="str">
        <f aca="false">"季末雲端已連網 MW-IT：模型 "&amp;IF(ISNUMBER(D19),IF(D19&lt;0,"−","")&amp;TEXT(ABS(D19),"#,##0")&amp;" MW","不適用")&amp;IF(ISNUMBER(D40),"｜實際 "&amp;IF(D40&lt;0,"−","")&amp;TEXT(ABS(D40),"#,##0")&amp;" MW"&amp;"（較模型 "&amp;IF(ISNUMBER(D78),IF(D78&lt;0,"−","+")&amp;IF(ABS(D78)&lt;0,"−","")&amp;TEXT(ABS(ABS(D78)),"#,##0")&amp;" MW","不適用")&amp;"）","")&amp;D122</f>
        <v>季末雲端已連網 MW-IT：模型 15 MW</v>
      </c>
      <c r="E128" s="46" t="str">
        <f aca="false">"季末雲端已連網 MW-IT：模型 "&amp;IF(ISNUMBER(E19),IF(E19&lt;0,"−","")&amp;TEXT(ABS(E19),"#,##0")&amp;" MW","不適用")&amp;IF(ISNUMBER(E40),"｜實際 "&amp;IF(E40&lt;0,"−","")&amp;TEXT(ABS(E40),"#,##0")&amp;" MW"&amp;"（較模型 "&amp;IF(ISNUMBER(E78),IF(E78&lt;0,"−","+")&amp;IF(ABS(E78)&lt;0,"−","")&amp;TEXT(ABS(ABS(E78)),"#,##0")&amp;" MW","不適用")&amp;"）","")&amp;E122</f>
        <v>季末雲端已連網 MW-IT：模型 15 MW</v>
      </c>
      <c r="F128" s="46" t="str">
        <f aca="false">"季末雲端已連網 MW-IT：模型 "&amp;IF(ISNUMBER(F19),IF(F19&lt;0,"−","")&amp;TEXT(ABS(F19),"#,##0")&amp;" MW","不適用")&amp;IF(ISNUMBER(F40),"｜實際 "&amp;IF(F40&lt;0,"−","")&amp;TEXT(ABS(F40),"#,##0")&amp;" MW"&amp;"（較模型 "&amp;IF(ISNUMBER(F78),IF(F78&lt;0,"−","+")&amp;IF(ABS(F78)&lt;0,"−","")&amp;TEXT(ABS(ABS(F78)),"#,##0")&amp;" MW","不適用")&amp;"）","")&amp;F122</f>
        <v>季末雲端已連網 MW-IT：模型 16 MW</v>
      </c>
      <c r="G128" s="46" t="str">
        <f aca="false">"季末雲端已連網 MW-IT：模型 "&amp;IF(ISNUMBER(G19),IF(G19&lt;0,"−","")&amp;TEXT(ABS(G19),"#,##0")&amp;" MW","不適用")&amp;IF(ISNUMBER(G40),"｜實際 "&amp;IF(G40&lt;0,"−","")&amp;TEXT(ABS(G40),"#,##0")&amp;" MW"&amp;"（較模型 "&amp;IF(ISNUMBER(G78),IF(G78&lt;0,"−","+")&amp;IF(ABS(G78)&lt;0,"−","")&amp;TEXT(ABS(ABS(G78)),"#,##0")&amp;" MW","不適用")&amp;"）","")&amp;G122</f>
        <v>季末雲端已連網 MW-IT：模型 16 MW</v>
      </c>
      <c r="H128" s="46" t="str">
        <f aca="false">"季末雲端已連網 MW-IT：模型 "&amp;IF(ISNUMBER(H19),IF(H19&lt;0,"−","")&amp;TEXT(ABS(H19),"#,##0")&amp;" MW","不適用")&amp;IF(ISNUMBER(H40),"｜實際 "&amp;IF(H40&lt;0,"−","")&amp;TEXT(ABS(H40),"#,##0")&amp;" MW"&amp;"（較模型 "&amp;IF(ISNUMBER(H78),IF(H78&lt;0,"−","+")&amp;IF(ABS(H78)&lt;0,"−","")&amp;TEXT(ABS(ABS(H78)),"#,##0")&amp;" MW","不適用")&amp;"）","")&amp;H122</f>
        <v>季末雲端已連網 MW-IT：模型 17 MW</v>
      </c>
    </row>
    <row r="129" customFormat="false" ht="15" hidden="true" customHeight="false" outlineLevel="1" collapsed="false"/>
    <row r="130" customFormat="false" ht="15" hidden="true" customHeight="false" outlineLevel="1" collapsed="false">
      <c r="A130" s="2" t="s">
        <v>1134</v>
      </c>
    </row>
    <row r="131" customFormat="false" ht="15" hidden="true" customHeight="false" outlineLevel="1" collapsed="false">
      <c r="A131" s="3" t="s">
        <v>1135</v>
      </c>
      <c r="C131" s="68" t="n">
        <f aca="false">C22+D22-損益!C9</f>
        <v>0</v>
      </c>
      <c r="D131" s="68" t="n">
        <f aca="false">E22+F22+G22+H22-損益!D9</f>
        <v>0</v>
      </c>
    </row>
    <row r="132" customFormat="false" ht="15" hidden="true" customHeight="false" outlineLevel="1" collapsed="false">
      <c r="A132" s="3" t="s">
        <v>1136</v>
      </c>
      <c r="C132" s="68" t="n">
        <f aca="false">C28+D28-損益!C22</f>
        <v>0</v>
      </c>
      <c r="D132" s="68" t="n">
        <f aca="false">E28+F28+G28+H28-損益!D22</f>
        <v>0</v>
      </c>
    </row>
    <row r="133" customFormat="false" ht="15" hidden="true" customHeight="false" outlineLevel="1" collapsed="false">
      <c r="A133" s="3" t="s">
        <v>1137</v>
      </c>
      <c r="C133" s="68" t="n">
        <f aca="false">C30+D30-損益!C12</f>
        <v>0</v>
      </c>
      <c r="D133" s="68" t="n">
        <f aca="false">E30+F30+G30+H30-損益!D12</f>
        <v>0</v>
      </c>
    </row>
    <row r="134" customFormat="false" ht="15" hidden="true" customHeight="false" outlineLevel="1" collapsed="false">
      <c r="A134" s="3" t="s">
        <v>1138</v>
      </c>
      <c r="C134" s="68" t="n">
        <f aca="false">C31+D31-輸入與假設!C$175</f>
        <v>0</v>
      </c>
      <c r="D134" s="68" t="n">
        <f aca="false">E31+F31+G31+H31-輸入與假設!D$175</f>
        <v>0</v>
      </c>
    </row>
    <row r="135" customFormat="false" ht="15" hidden="true" customHeight="false" outlineLevel="1" collapsed="false">
      <c r="A135" s="3" t="s">
        <v>1139</v>
      </c>
      <c r="C135" s="68" t="n">
        <f aca="false">C29+D29-輸入與假設!C$176</f>
        <v>0</v>
      </c>
      <c r="D135" s="68" t="n">
        <f aca="false">E29+F29+G29+H29-輸入與假設!D$176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7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9.4" hidden="false" customHeight="false" outlineLevel="0" collapsed="false">
      <c r="A1" s="5" t="s">
        <v>1140</v>
      </c>
    </row>
    <row r="2" customFormat="false" ht="15" hidden="false" customHeight="false" outlineLevel="0" collapsed="false">
      <c r="A2" s="6" t="s">
        <v>1141</v>
      </c>
    </row>
    <row r="3" customFormat="false" ht="15" hidden="false" customHeight="false" outlineLevel="0" collapsed="false">
      <c r="A3" s="11" t="s">
        <v>1142</v>
      </c>
    </row>
    <row r="5" customFormat="false" ht="15" hidden="false" customHeight="false" outlineLevel="0" collapsed="false">
      <c r="A5" s="14" t="s">
        <v>53</v>
      </c>
      <c r="B5" s="14" t="s">
        <v>54</v>
      </c>
      <c r="C5" s="28" t="s">
        <v>55</v>
      </c>
      <c r="D5" s="28" t="s">
        <v>56</v>
      </c>
      <c r="E5" s="28" t="s">
        <v>57</v>
      </c>
      <c r="F5" s="28" t="s">
        <v>139</v>
      </c>
      <c r="G5" s="28" t="s">
        <v>140</v>
      </c>
      <c r="I5" s="14" t="s">
        <v>808</v>
      </c>
    </row>
    <row r="6" customFormat="false" ht="15" hidden="false" customHeight="false" outlineLevel="0" collapsed="false">
      <c r="A6" s="3" t="s">
        <v>606</v>
      </c>
      <c r="B6" s="6"/>
      <c r="C6" s="65" t="str">
        <f aca="false">"2026-07-01~12-31"</f>
        <v>2026-07-01~12-31</v>
      </c>
      <c r="D6" s="65" t="str">
        <f aca="false">"2027 全年"</f>
        <v>2027 全年</v>
      </c>
      <c r="E6" s="65" t="str">
        <f aca="false">"2028 全年"</f>
        <v>2028 全年</v>
      </c>
      <c r="F6" s="65" t="str">
        <f aca="false">"2029 全年"</f>
        <v>2029 全年</v>
      </c>
      <c r="G6" s="65" t="str">
        <f aca="false">"2030 全年"</f>
        <v>2030 全年</v>
      </c>
      <c r="I6" s="11" t="s">
        <v>1143</v>
      </c>
    </row>
    <row r="7" customFormat="false" ht="15" hidden="false" customHeight="false" outlineLevel="0" collapsed="false">
      <c r="A7" s="3" t="s">
        <v>204</v>
      </c>
      <c r="B7" s="6"/>
      <c r="C7" s="43" t="n">
        <f aca="false">輸入與假設!C$41</f>
        <v>0.5</v>
      </c>
      <c r="D7" s="43" t="n">
        <f aca="false">輸入與假設!D$41</f>
        <v>1</v>
      </c>
      <c r="E7" s="43" t="n">
        <f aca="false">輸入與假設!E$41</f>
        <v>1</v>
      </c>
      <c r="F7" s="43" t="n">
        <f aca="false">輸入與假設!F$41</f>
        <v>1</v>
      </c>
      <c r="G7" s="43" t="n">
        <f aca="false">輸入與假設!G$41</f>
        <v>1</v>
      </c>
      <c r="I7" s="6" t="s">
        <v>1144</v>
      </c>
    </row>
    <row r="8" customFormat="false" ht="15" hidden="false" customHeight="false" outlineLevel="0" collapsed="false">
      <c r="A8" s="50" t="s">
        <v>1145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1146</v>
      </c>
      <c r="B9" s="11" t="s">
        <v>143</v>
      </c>
      <c r="C9" s="67" t="n">
        <f aca="false">MAX(0,輸入與假設!C$43)</f>
        <v>14.574</v>
      </c>
      <c r="D9" s="67" t="n">
        <f aca="false">MAX(輸入與假設!D$43,C9)</f>
        <v>16.548</v>
      </c>
      <c r="E9" s="67" t="n">
        <f aca="false">MAX(輸入與假設!E$43,D9)</f>
        <v>19.548</v>
      </c>
      <c r="F9" s="67" t="n">
        <f aca="false">MAX(輸入與假設!F$43,E9)</f>
        <v>22.548</v>
      </c>
      <c r="G9" s="67" t="n">
        <f aca="false">MAX(輸入與假設!G$43,F9)</f>
        <v>25.548</v>
      </c>
      <c r="I9" s="6" t="s">
        <v>1147</v>
      </c>
    </row>
    <row r="10" customFormat="false" ht="15" hidden="false" customHeight="false" outlineLevel="1" collapsed="false">
      <c r="A10" s="4" t="s">
        <v>1148</v>
      </c>
      <c r="B10" s="11" t="s">
        <v>143</v>
      </c>
      <c r="C10" s="67" t="n">
        <f aca="false">MIN(MAX(0,輸入與假設!C$44),C9)</f>
        <v>11.42</v>
      </c>
      <c r="D10" s="67" t="n">
        <f aca="false">MIN(MAX(0,輸入與假設!D$44),D9)</f>
        <v>14.68</v>
      </c>
      <c r="E10" s="67" t="n">
        <f aca="false">MIN(MAX(0,輸入與假設!E$44),E9)</f>
        <v>18</v>
      </c>
      <c r="F10" s="67" t="n">
        <f aca="false">MIN(MAX(0,輸入與假設!F$44),F9)</f>
        <v>20.7</v>
      </c>
      <c r="G10" s="67" t="n">
        <f aca="false">MIN(MAX(0,輸入與假設!G$44),G9)</f>
        <v>23.4</v>
      </c>
      <c r="I10" s="6" t="s">
        <v>1149</v>
      </c>
    </row>
    <row r="11" customFormat="false" ht="15" hidden="false" customHeight="false" outlineLevel="1" collapsed="false">
      <c r="A11" s="4" t="s">
        <v>1150</v>
      </c>
      <c r="B11" s="11" t="s">
        <v>143</v>
      </c>
      <c r="C11" s="67" t="n">
        <f aca="false">IF($C$62&lt;=0,$C$10,輸入與假設!$C$36+($C$10-輸入與假設!$C$36)*MAX(0,MIN(1,($C$63-$C$62/12-0)/$C$7))+($D$10-$C$10)*MAX(0,MIN(1,($C$63-$C$62/12-$C$63)/$D$7))+($E$10-$D$10)*MAX(0,MIN(1,($C$63-$C$62/12-$D$63)/$E$7))+($F$10-$E$10)*MAX(0,MIN(1,($C$63-$C$62/12-$E$63)/$F$7))+($G$10-$F$10)*MAX(0,MIN(1,($C$63-$C$62/12-$F$63)/$G$7)))</f>
        <v>7.745</v>
      </c>
      <c r="D11" s="67" t="n">
        <f aca="false">IF($C$62&lt;=0,$D$10,輸入與假設!$C$36+($C$10-輸入與假設!$C$36)*MAX(0,MIN(1,($D$63-$C$62/12-0)/$C$7))+($D$10-$C$10)*MAX(0,MIN(1,($D$63-$C$62/12-$C$63)/$D$7))+($E$10-$D$10)*MAX(0,MIN(1,($D$63-$C$62/12-$D$63)/$E$7))+($F$10-$E$10)*MAX(0,MIN(1,($D$63-$C$62/12-$E$63)/$F$7))+($G$10-$F$10)*MAX(0,MIN(1,($D$63-$C$62/12-$F$63)/$G$7)))</f>
        <v>13.865</v>
      </c>
      <c r="E11" s="67" t="n">
        <f aca="false">IF($C$62&lt;=0,$E$10,輸入與假設!$C$36+($C$10-輸入與假設!$C$36)*MAX(0,MIN(1,($E$63-$C$62/12-0)/$C$7))+($D$10-$C$10)*MAX(0,MIN(1,($E$63-$C$62/12-$C$63)/$D$7))+($E$10-$D$10)*MAX(0,MIN(1,($E$63-$C$62/12-$D$63)/$E$7))+($F$10-$E$10)*MAX(0,MIN(1,($E$63-$C$62/12-$E$63)/$F$7))+($G$10-$F$10)*MAX(0,MIN(1,($E$63-$C$62/12-$F$63)/$G$7)))</f>
        <v>17.17</v>
      </c>
      <c r="F11" s="67" t="n">
        <f aca="false">IF($C$62&lt;=0,$F$10,輸入與假設!$C$36+($C$10-輸入與假設!$C$36)*MAX(0,MIN(1,($F$63-$C$62/12-0)/$C$7))+($D$10-$C$10)*MAX(0,MIN(1,($F$63-$C$62/12-$C$63)/$D$7))+($E$10-$D$10)*MAX(0,MIN(1,($F$63-$C$62/12-$D$63)/$E$7))+($F$10-$E$10)*MAX(0,MIN(1,($F$63-$C$62/12-$E$63)/$F$7))+($G$10-$F$10)*MAX(0,MIN(1,($F$63-$C$62/12-$F$63)/$G$7)))</f>
        <v>20.025</v>
      </c>
      <c r="G11" s="67" t="n">
        <f aca="false">IF($C$62&lt;=0,$G$10,輸入與假設!$C$36+($C$10-輸入與假設!$C$36)*MAX(0,MIN(1,($G$63-$C$62/12-0)/$C$7))+($D$10-$C$10)*MAX(0,MIN(1,($G$63-$C$62/12-$C$63)/$D$7))+($E$10-$D$10)*MAX(0,MIN(1,($G$63-$C$62/12-$D$63)/$E$7))+($F$10-$E$10)*MAX(0,MIN(1,($G$63-$C$62/12-$E$63)/$F$7))+($G$10-$F$10)*MAX(0,MIN(1,($G$63-$C$62/12-$F$63)/$G$7)))</f>
        <v>22.725</v>
      </c>
      <c r="I11" s="6" t="s">
        <v>1151</v>
      </c>
    </row>
    <row r="12" customFormat="false" ht="15" hidden="false" customHeight="false" outlineLevel="1" collapsed="false">
      <c r="A12" s="3" t="s">
        <v>1152</v>
      </c>
      <c r="B12" s="11" t="s">
        <v>143</v>
      </c>
      <c r="C12" s="67" t="n">
        <f aca="false">輸入與假設!$C$36</f>
        <v>4.07</v>
      </c>
      <c r="D12" s="67" t="n">
        <f aca="false">C11</f>
        <v>7.745</v>
      </c>
      <c r="E12" s="67" t="n">
        <f aca="false">D11</f>
        <v>13.865</v>
      </c>
      <c r="F12" s="67" t="n">
        <f aca="false">E11</f>
        <v>17.17</v>
      </c>
      <c r="G12" s="67" t="n">
        <f aca="false">F11</f>
        <v>20.025</v>
      </c>
      <c r="I12" s="6" t="s">
        <v>1153</v>
      </c>
    </row>
    <row r="13" customFormat="false" ht="15" hidden="false" customHeight="false" outlineLevel="1" collapsed="false">
      <c r="A13" s="3" t="s">
        <v>1154</v>
      </c>
      <c r="B13" s="11" t="s">
        <v>143</v>
      </c>
      <c r="C13" s="67" t="n">
        <f aca="false">IF(輸入與假設!$C$37=1,(C12+C11)/2,C11)</f>
        <v>5.9075</v>
      </c>
      <c r="D13" s="67" t="n">
        <f aca="false">IF(輸入與假設!$C$37=1,(D12+D11)/2,D11)</f>
        <v>10.805</v>
      </c>
      <c r="E13" s="67" t="n">
        <f aca="false">IF(輸入與假設!$C$37=1,(E12+E11)/2,E11)</f>
        <v>15.5175</v>
      </c>
      <c r="F13" s="67" t="n">
        <f aca="false">IF(輸入與假設!$C$37=1,(F12+F11)/2,F11)</f>
        <v>18.5975</v>
      </c>
      <c r="G13" s="67" t="n">
        <f aca="false">IF(輸入與假設!$C$37=1,(G12+G11)/2,G11)</f>
        <v>21.375</v>
      </c>
      <c r="I13" s="6" t="s">
        <v>1155</v>
      </c>
    </row>
    <row r="14" customFormat="false" ht="15" hidden="false" customHeight="false" outlineLevel="1" collapsed="false">
      <c r="A14" s="3" t="s">
        <v>212</v>
      </c>
      <c r="B14" s="11" t="s">
        <v>42</v>
      </c>
      <c r="C14" s="51" t="n">
        <f aca="false">輸入與假設!C$45</f>
        <v>1</v>
      </c>
      <c r="D14" s="51" t="n">
        <f aca="false">輸入與假設!D$45</f>
        <v>1</v>
      </c>
      <c r="E14" s="51" t="n">
        <f aca="false">輸入與假設!E$45</f>
        <v>1</v>
      </c>
      <c r="F14" s="51" t="n">
        <f aca="false">輸入與假設!F$45</f>
        <v>1</v>
      </c>
      <c r="G14" s="51" t="n">
        <f aca="false">輸入與假設!G$45</f>
        <v>1</v>
      </c>
    </row>
    <row r="15" customFormat="false" ht="15" hidden="false" customHeight="false" outlineLevel="1" collapsed="false">
      <c r="A15" s="3" t="s">
        <v>214</v>
      </c>
      <c r="B15" s="11" t="s">
        <v>161</v>
      </c>
      <c r="C15" s="23" t="n">
        <f aca="false">輸入與假設!C$46</f>
        <v>11.3191096123778</v>
      </c>
      <c r="D15" s="23" t="n">
        <f aca="false">輸入與假設!D$46</f>
        <v>11.7135178513398</v>
      </c>
      <c r="E15" s="23" t="n">
        <f aca="false">輸入與假設!E$46</f>
        <v>11.9325114275991</v>
      </c>
      <c r="F15" s="23" t="n">
        <f aca="false">輸入與假設!F$46</f>
        <v>12.1388872844007</v>
      </c>
      <c r="G15" s="23" t="n">
        <f aca="false">輸入與假設!G$46</f>
        <v>12.3407664644543</v>
      </c>
    </row>
    <row r="16" customFormat="false" ht="15" hidden="false" customHeight="false" outlineLevel="1" collapsed="false">
      <c r="A16" s="3" t="s">
        <v>1156</v>
      </c>
      <c r="B16" s="11" t="s">
        <v>59</v>
      </c>
      <c r="C16" s="39" t="n">
        <f aca="false">C13*輸入與假設!C$46*輸入與假設!$C$39*輸入與假設!C$45*C7</f>
        <v>33.433820017561</v>
      </c>
      <c r="D16" s="39" t="n">
        <f aca="false">D13*輸入與假設!D$46*輸入與假設!$C$39*輸入與假設!D$45*D7</f>
        <v>126.564560383727</v>
      </c>
      <c r="E16" s="39" t="n">
        <f aca="false">E13*輸入與假設!E$46*輸入與假設!$C$39*輸入與假設!E$45*E7</f>
        <v>185.162746077769</v>
      </c>
      <c r="F16" s="39" t="n">
        <f aca="false">F13*輸入與假設!F$46*輸入與假設!$C$39*輸入與假設!F$45*F7</f>
        <v>225.752956271642</v>
      </c>
      <c r="G16" s="39" t="n">
        <f aca="false">G13*輸入與假設!G$46*輸入與假設!$C$39*輸入與假設!G$45*G7</f>
        <v>263.783883177711</v>
      </c>
      <c r="I16" s="6" t="s">
        <v>1157</v>
      </c>
    </row>
    <row r="17" customFormat="false" ht="15" hidden="false" customHeight="false" outlineLevel="0" collapsed="false">
      <c r="A17" s="50" t="s">
        <v>1158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1159</v>
      </c>
      <c r="B18" s="11" t="s">
        <v>59</v>
      </c>
      <c r="C18" s="65" t="n">
        <f aca="false">(輸入與假設!$C$31+輸入與假設!$C$32)*(輸入與假設!C$42/輸入與假設!$C$34)*輸入與假設!$C$33</f>
        <v>21.6270188</v>
      </c>
      <c r="D18" s="65" t="n">
        <f aca="false">(輸入與假設!$C$31+輸入與假設!$C$32)*(輸入與假設!D$42/輸入與假設!$C$34)*輸入與假設!$C$33</f>
        <v>43.253962454</v>
      </c>
      <c r="E18" s="65" t="n">
        <f aca="false">(輸入與假設!$C$31+輸入與假設!$C$32)*(輸入與假設!E$42/輸入與假設!$C$34)*輸入與假設!$C$33</f>
        <v>10.265018746</v>
      </c>
      <c r="F18" s="65" t="n">
        <f aca="false">(輸入與假設!$C$31+輸入與假設!$C$32)*(輸入與假設!F$42/輸入與假設!$C$34)*輸入與假設!$C$33</f>
        <v>0</v>
      </c>
      <c r="G18" s="65" t="n">
        <f aca="false">(輸入與假設!$C$31+輸入與假設!$C$32)*(輸入與假設!G$42/輸入與假設!$C$34)*輸入與假設!$C$33</f>
        <v>0</v>
      </c>
      <c r="I18" s="6" t="s">
        <v>1160</v>
      </c>
    </row>
    <row r="19" customFormat="false" ht="15" hidden="false" customHeight="false" outlineLevel="0" collapsed="false">
      <c r="A19" s="50" t="s">
        <v>1161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1162</v>
      </c>
      <c r="B20" s="11" t="s">
        <v>59</v>
      </c>
      <c r="C20" s="39" t="n">
        <f aca="false">MAX(0,C18-C16)</f>
        <v>0</v>
      </c>
      <c r="D20" s="39" t="n">
        <f aca="false">MAX(0,D18-D16)</f>
        <v>0</v>
      </c>
      <c r="E20" s="39" t="n">
        <f aca="false">MAX(0,E18-E16)</f>
        <v>0</v>
      </c>
      <c r="F20" s="39" t="n">
        <f aca="false">MAX(0,F18-F16)</f>
        <v>0</v>
      </c>
      <c r="G20" s="39" t="n">
        <f aca="false">MAX(0,G18-G16)</f>
        <v>0</v>
      </c>
      <c r="I20" s="6" t="s">
        <v>1163</v>
      </c>
    </row>
    <row r="21" customFormat="false" ht="15" hidden="false" customHeight="false" outlineLevel="1" collapsed="false">
      <c r="A21" s="3" t="s">
        <v>1164</v>
      </c>
      <c r="B21" s="11" t="s">
        <v>59</v>
      </c>
      <c r="C21" s="65" t="n">
        <f aca="false">C18-C20</f>
        <v>21.6270188</v>
      </c>
      <c r="D21" s="65" t="n">
        <f aca="false">D18-D20</f>
        <v>43.253962454</v>
      </c>
      <c r="E21" s="65" t="n">
        <f aca="false">E18-E20</f>
        <v>10.265018746</v>
      </c>
      <c r="F21" s="65" t="n">
        <f aca="false">F18-F20</f>
        <v>0</v>
      </c>
      <c r="G21" s="65" t="n">
        <f aca="false">G18-G20</f>
        <v>0</v>
      </c>
      <c r="I21" s="6" t="s">
        <v>1165</v>
      </c>
    </row>
    <row r="22" customFormat="false" ht="15" hidden="false" customHeight="false" outlineLevel="1" collapsed="false">
      <c r="A22" s="3" t="s">
        <v>1166</v>
      </c>
      <c r="B22" s="11" t="s">
        <v>59</v>
      </c>
      <c r="C22" s="65" t="n">
        <f aca="false">MAX(0,C16-C18)</f>
        <v>11.806801217561</v>
      </c>
      <c r="D22" s="65" t="n">
        <f aca="false">MAX(0,D16-D18)</f>
        <v>83.3105979297267</v>
      </c>
      <c r="E22" s="65" t="n">
        <f aca="false">MAX(0,E16-E18)</f>
        <v>174.897727331769</v>
      </c>
      <c r="F22" s="65" t="n">
        <f aca="false">MAX(0,F16-F18)</f>
        <v>225.752956271642</v>
      </c>
      <c r="G22" s="65" t="n">
        <f aca="false">MAX(0,G16-G18)</f>
        <v>263.783883177711</v>
      </c>
      <c r="I22" s="6" t="s">
        <v>1167</v>
      </c>
    </row>
    <row r="23" customFormat="false" ht="15" hidden="false" customHeight="false" outlineLevel="1" collapsed="false">
      <c r="A23" s="3" t="s">
        <v>216</v>
      </c>
      <c r="B23" s="11" t="s">
        <v>42</v>
      </c>
      <c r="C23" s="51" t="n">
        <f aca="false">IF(輸入與假設!$C$38="mw",1,輸入與假設!C$47)</f>
        <v>1</v>
      </c>
      <c r="D23" s="51" t="n">
        <f aca="false">IF(輸入與假設!$C$38="mw",1,輸入與假設!D$47)</f>
        <v>1</v>
      </c>
      <c r="E23" s="51" t="n">
        <f aca="false">IF(輸入與假設!$C$38="mw",1,輸入與假設!E$47)</f>
        <v>1</v>
      </c>
      <c r="F23" s="51" t="n">
        <f aca="false">IF(輸入與假設!$C$38="mw",1,輸入與假設!F$47)</f>
        <v>1</v>
      </c>
      <c r="G23" s="51" t="n">
        <f aca="false">IF(輸入與假設!$C$38="mw",1,輸入與假設!G$47)</f>
        <v>1</v>
      </c>
      <c r="I23" s="11" t="s">
        <v>1168</v>
      </c>
    </row>
    <row r="24" customFormat="false" ht="15" hidden="false" customHeight="false" outlineLevel="1" collapsed="false">
      <c r="A24" s="3" t="s">
        <v>1169</v>
      </c>
      <c r="B24" s="11" t="s">
        <v>59</v>
      </c>
      <c r="C24" s="65" t="n">
        <f aca="false">C22*C23</f>
        <v>11.806801217561</v>
      </c>
      <c r="D24" s="65" t="n">
        <f aca="false">D22*D23</f>
        <v>83.3105979297267</v>
      </c>
      <c r="E24" s="65" t="n">
        <f aca="false">E22*E23</f>
        <v>174.897727331769</v>
      </c>
      <c r="F24" s="65" t="n">
        <f aca="false">F22*F23</f>
        <v>225.752956271642</v>
      </c>
      <c r="G24" s="65" t="n">
        <f aca="false">G22*G23</f>
        <v>263.783883177711</v>
      </c>
      <c r="I24" s="6" t="s">
        <v>1170</v>
      </c>
    </row>
    <row r="25" customFormat="false" ht="15" hidden="false" customHeight="false" outlineLevel="1" collapsed="false">
      <c r="A25" s="3" t="s">
        <v>1171</v>
      </c>
      <c r="B25" s="11" t="s">
        <v>59</v>
      </c>
      <c r="C25" s="65" t="n">
        <f aca="false">MAX(0,C16-C21-C24)</f>
        <v>0</v>
      </c>
      <c r="D25" s="65" t="n">
        <f aca="false">MAX(0,D16-D21-D24)</f>
        <v>0</v>
      </c>
      <c r="E25" s="65" t="n">
        <f aca="false">MAX(0,E16-E21-E24)</f>
        <v>0</v>
      </c>
      <c r="F25" s="65" t="n">
        <f aca="false">MAX(0,F16-F21-F24)</f>
        <v>0</v>
      </c>
      <c r="G25" s="65" t="n">
        <f aca="false">MAX(0,G16-G21-G24)</f>
        <v>0</v>
      </c>
      <c r="I25" s="6" t="s">
        <v>1172</v>
      </c>
    </row>
    <row r="26" customFormat="false" ht="15" hidden="false" customHeight="false" outlineLevel="1" collapsed="false">
      <c r="A26" s="3" t="s">
        <v>1173</v>
      </c>
      <c r="B26" s="11" t="s">
        <v>59</v>
      </c>
      <c r="C26" s="39" t="n">
        <f aca="false">C21+C24</f>
        <v>33.433820017561</v>
      </c>
      <c r="D26" s="39" t="n">
        <f aca="false">D21+D24</f>
        <v>126.564560383727</v>
      </c>
      <c r="E26" s="39" t="n">
        <f aca="false">E21+E24</f>
        <v>185.162746077769</v>
      </c>
      <c r="F26" s="39" t="n">
        <f aca="false">F21+F24</f>
        <v>225.752956271642</v>
      </c>
      <c r="G26" s="39" t="n">
        <f aca="false">G21+G24</f>
        <v>263.783883177711</v>
      </c>
      <c r="I26" s="6" t="s">
        <v>1174</v>
      </c>
    </row>
    <row r="27" customFormat="false" ht="15" hidden="false" customHeight="false" outlineLevel="1" collapsed="false">
      <c r="A27" s="3" t="s">
        <v>1175</v>
      </c>
      <c r="B27" s="11" t="s">
        <v>59</v>
      </c>
      <c r="C27" s="65" t="n">
        <f aca="false">C26-C13*輸入與假設!C$46*輸入與假設!$C$39*輸入與假設!C$45*C7</f>
        <v>0</v>
      </c>
      <c r="D27" s="65" t="n">
        <f aca="false">D26-D13*輸入與假設!D$46*輸入與假設!$C$39*輸入與假設!D$45*D7</f>
        <v>0</v>
      </c>
      <c r="E27" s="65" t="n">
        <f aca="false">E26-E13*輸入與假設!E$46*輸入與假設!$C$39*輸入與假設!E$45*E7</f>
        <v>0</v>
      </c>
      <c r="F27" s="65" t="n">
        <f aca="false">F26-F13*輸入與假設!F$46*輸入與假設!$C$39*輸入與假設!F$45*F7</f>
        <v>0</v>
      </c>
      <c r="G27" s="65" t="n">
        <f aca="false">G26-G13*輸入與假設!G$46*輸入與假設!$C$39*輸入與假設!G$45*G7</f>
        <v>0</v>
      </c>
      <c r="I27" s="11" t="s">
        <v>1176</v>
      </c>
    </row>
    <row r="28" customFormat="false" ht="15" hidden="false" customHeight="false" outlineLevel="1" collapsed="false">
      <c r="A28" s="3" t="s">
        <v>1177</v>
      </c>
      <c r="B28" s="11" t="s">
        <v>42</v>
      </c>
      <c r="C28" s="66" t="n">
        <v>1</v>
      </c>
      <c r="D28" s="66" t="n">
        <v>1</v>
      </c>
      <c r="E28" s="66" t="n">
        <v>1</v>
      </c>
      <c r="F28" s="66" t="n">
        <v>0.5</v>
      </c>
      <c r="G28" s="66" t="n">
        <v>0</v>
      </c>
      <c r="I28" s="11" t="s">
        <v>1178</v>
      </c>
    </row>
    <row r="29" customFormat="false" ht="15" hidden="false" customHeight="false" outlineLevel="1" collapsed="false">
      <c r="A29" s="3" t="s">
        <v>1179</v>
      </c>
      <c r="B29" s="11" t="s">
        <v>59</v>
      </c>
      <c r="C29" s="65" t="n">
        <f aca="false">C26*C28</f>
        <v>33.433820017561</v>
      </c>
      <c r="D29" s="65" t="n">
        <f aca="false">D26*D28</f>
        <v>126.564560383727</v>
      </c>
      <c r="E29" s="65" t="n">
        <f aca="false">E26*E28</f>
        <v>185.162746077769</v>
      </c>
      <c r="F29" s="65" t="n">
        <f aca="false">F26*F28</f>
        <v>112.876478135821</v>
      </c>
      <c r="G29" s="65" t="n">
        <f aca="false">G26*G28</f>
        <v>0</v>
      </c>
      <c r="I29" s="6" t="s">
        <v>1180</v>
      </c>
    </row>
    <row r="30" customFormat="false" ht="15" hidden="false" customHeight="false" outlineLevel="1" collapsed="false">
      <c r="A30" s="4" t="s">
        <v>1181</v>
      </c>
      <c r="B30" s="11" t="s">
        <v>59</v>
      </c>
      <c r="C30" s="43" t="n">
        <f aca="false">輸入與假設!$C$301</f>
        <v>50.762</v>
      </c>
      <c r="D30" s="43" t="n">
        <f aca="false">0</f>
        <v>0</v>
      </c>
      <c r="E30" s="43" t="n">
        <f aca="false">0</f>
        <v>0</v>
      </c>
      <c r="F30" s="43" t="n">
        <f aca="false">0</f>
        <v>0</v>
      </c>
      <c r="G30" s="43" t="n">
        <f aca="false">0</f>
        <v>0</v>
      </c>
      <c r="I30" s="11" t="s">
        <v>1182</v>
      </c>
    </row>
    <row r="31" customFormat="false" ht="15" hidden="false" customHeight="false" outlineLevel="1" collapsed="false">
      <c r="A31" s="4" t="s">
        <v>1183</v>
      </c>
      <c r="B31" s="11" t="s">
        <v>59</v>
      </c>
      <c r="C31" s="69" t="n">
        <f aca="false">C30+C26+輸入與假設!C$50+輸入與假設!C$115</f>
        <v>122.090001249499</v>
      </c>
      <c r="D31" s="39" t="n">
        <f aca="false">D30+D26+輸入與假設!D$50+輸入與假設!D$115</f>
        <v>227.080143357358</v>
      </c>
      <c r="E31" s="39" t="n">
        <f aca="false">E30+E26+輸入與假設!E$50+輸入與假設!E$115</f>
        <v>336.311668998414</v>
      </c>
      <c r="F31" s="39" t="n">
        <f aca="false">F30+F26+輸入與假設!F$50+輸入與假設!F$115</f>
        <v>396.687361614087</v>
      </c>
      <c r="G31" s="39" t="n">
        <f aca="false">G30+G26+輸入與假設!G$50+輸入與假設!G$115</f>
        <v>439.27962068043</v>
      </c>
      <c r="I31" s="11" t="s">
        <v>1184</v>
      </c>
    </row>
    <row r="32" customFormat="false" ht="15" hidden="false" customHeight="false" outlineLevel="1" collapsed="false"/>
    <row r="33" customFormat="false" ht="15" hidden="false" customHeight="false" outlineLevel="1" collapsed="true">
      <c r="A33" s="19" t="s">
        <v>1185</v>
      </c>
      <c r="B33" s="20"/>
      <c r="C33" s="20"/>
      <c r="D33" s="20"/>
      <c r="E33" s="20"/>
      <c r="F33" s="20"/>
      <c r="G33" s="20"/>
      <c r="H33" s="20"/>
    </row>
    <row r="34" customFormat="false" ht="15" hidden="true" customHeight="false" outlineLevel="2" collapsed="false">
      <c r="A34" s="14" t="s">
        <v>1186</v>
      </c>
      <c r="B34" s="14" t="s">
        <v>54</v>
      </c>
      <c r="C34" s="14" t="s">
        <v>1187</v>
      </c>
      <c r="D34" s="15" t="s">
        <v>1188</v>
      </c>
      <c r="E34" s="14" t="s">
        <v>1189</v>
      </c>
      <c r="I34" s="6" t="s">
        <v>1190</v>
      </c>
    </row>
    <row r="35" customFormat="false" ht="15" hidden="true" customHeight="false" outlineLevel="2" collapsed="false">
      <c r="A35" s="3" t="s">
        <v>1191</v>
      </c>
      <c r="B35" s="11" t="s">
        <v>1192</v>
      </c>
      <c r="C35" s="25" t="n">
        <v>19.27</v>
      </c>
      <c r="D35" s="43" t="n">
        <f aca="false">輸入與假設!C46*輸入與假設!$C$39</f>
        <v>11.3191096123778</v>
      </c>
      <c r="E35" s="66" t="n">
        <f aca="false">C35/D35</f>
        <v>1.7024307264352</v>
      </c>
      <c r="I35" s="11" t="s">
        <v>1193</v>
      </c>
    </row>
    <row r="36" customFormat="false" ht="15" hidden="true" customHeight="false" outlineLevel="2" collapsed="false">
      <c r="A36" s="3" t="s">
        <v>1194</v>
      </c>
      <c r="B36" s="11" t="s">
        <v>1192</v>
      </c>
      <c r="C36" s="25" t="n">
        <v>18.27</v>
      </c>
      <c r="D36" s="43" t="n">
        <f aca="false">輸入與假設!C46*輸入與假設!$C$39</f>
        <v>11.3191096123778</v>
      </c>
      <c r="E36" s="66" t="n">
        <f aca="false">C36/D36</f>
        <v>1.6140845548506</v>
      </c>
      <c r="I36" s="11" t="s">
        <v>1195</v>
      </c>
    </row>
    <row r="37" customFormat="false" ht="15" hidden="true" customHeight="false" outlineLevel="2" collapsed="false">
      <c r="A37" s="3" t="s">
        <v>1196</v>
      </c>
      <c r="B37" s="11" t="s">
        <v>1192</v>
      </c>
      <c r="C37" s="25" t="n">
        <v>14.8</v>
      </c>
      <c r="D37" s="43" t="n">
        <f aca="false">輸入與假設!C46*輸入與假設!$C$39</f>
        <v>11.3191096123778</v>
      </c>
      <c r="E37" s="66" t="n">
        <f aca="false">C37/D37</f>
        <v>1.30752333945205</v>
      </c>
      <c r="I37" s="11" t="s">
        <v>1197</v>
      </c>
    </row>
    <row r="38" customFormat="false" ht="15" hidden="true" customHeight="false" outlineLevel="2" collapsed="false">
      <c r="A38" s="3" t="s">
        <v>1198</v>
      </c>
      <c r="B38" s="11" t="s">
        <v>1192</v>
      </c>
      <c r="C38" s="25" t="n">
        <v>20.29</v>
      </c>
      <c r="D38" s="43" t="n">
        <f aca="false">輸入與假設!C46*輸入與假設!$C$39</f>
        <v>11.3191096123778</v>
      </c>
      <c r="E38" s="66" t="n">
        <f aca="false">C38/D38</f>
        <v>1.79254382145149</v>
      </c>
      <c r="I38" s="11" t="s">
        <v>1199</v>
      </c>
    </row>
    <row r="39" customFormat="false" ht="15" hidden="true" customHeight="false" outlineLevel="2" collapsed="false">
      <c r="A39" s="3" t="s">
        <v>1200</v>
      </c>
      <c r="B39" s="11" t="s">
        <v>1192</v>
      </c>
      <c r="C39" s="25" t="n">
        <v>11.83</v>
      </c>
      <c r="D39" s="43" t="n">
        <f aca="false">輸入與假設!C46*輸入與假設!$C$39</f>
        <v>11.3191096123778</v>
      </c>
      <c r="E39" s="66" t="n">
        <f aca="false">C39/D39</f>
        <v>1.04513520984579</v>
      </c>
      <c r="I39" s="11" t="s">
        <v>1201</v>
      </c>
    </row>
    <row r="40" customFormat="false" ht="15" hidden="true" customHeight="false" outlineLevel="2" collapsed="false">
      <c r="A40" s="3" t="s">
        <v>1202</v>
      </c>
      <c r="B40" s="11" t="s">
        <v>1192</v>
      </c>
      <c r="C40" s="25" t="n">
        <v>15.8</v>
      </c>
      <c r="D40" s="43" t="n">
        <f aca="false">輸入與假設!C46*輸入與假設!$C$39</f>
        <v>11.3191096123778</v>
      </c>
      <c r="E40" s="66" t="n">
        <f aca="false">C40/D40</f>
        <v>1.39586951103664</v>
      </c>
      <c r="I40" s="11" t="s">
        <v>1203</v>
      </c>
    </row>
    <row r="41" customFormat="false" ht="15" hidden="true" customHeight="false" outlineLevel="2" collapsed="false">
      <c r="A41" s="3" t="s">
        <v>1204</v>
      </c>
      <c r="B41" s="11" t="s">
        <v>1192</v>
      </c>
      <c r="C41" s="25" t="n">
        <v>8.8</v>
      </c>
      <c r="D41" s="43" t="n">
        <f aca="false">輸入與假設!C46*輸入與假設!$C$39</f>
        <v>11.3191096123778</v>
      </c>
      <c r="E41" s="66" t="n">
        <f aca="false">C41/D41</f>
        <v>0.777446309944461</v>
      </c>
      <c r="I41" s="11" t="s">
        <v>1205</v>
      </c>
    </row>
    <row r="42" customFormat="false" ht="15" hidden="true" customHeight="false" outlineLevel="2" collapsed="false">
      <c r="A42" s="3" t="s">
        <v>1206</v>
      </c>
      <c r="B42" s="11" t="s">
        <v>1192</v>
      </c>
      <c r="C42" s="25" t="n">
        <v>18.16</v>
      </c>
      <c r="D42" s="43" t="n">
        <f aca="false">輸入與假設!C46*輸入與假設!$C$39</f>
        <v>11.3191096123778</v>
      </c>
      <c r="E42" s="66" t="n">
        <f aca="false">C42/D42</f>
        <v>1.6043664759763</v>
      </c>
      <c r="I42" s="11" t="s">
        <v>1207</v>
      </c>
    </row>
    <row r="43" customFormat="false" ht="15" hidden="true" customHeight="false" outlineLevel="2" collapsed="false">
      <c r="A43" s="3" t="s">
        <v>1208</v>
      </c>
      <c r="B43" s="11" t="s">
        <v>1192</v>
      </c>
      <c r="C43" s="25" t="n">
        <v>8.37</v>
      </c>
      <c r="D43" s="43" t="n">
        <f aca="false">輸入與假設!C46*輸入與假設!$C$39</f>
        <v>11.3191096123778</v>
      </c>
      <c r="E43" s="66" t="n">
        <f aca="false">C43/D43</f>
        <v>0.739457456163083</v>
      </c>
      <c r="I43" s="11" t="s">
        <v>1209</v>
      </c>
    </row>
    <row r="44" customFormat="false" ht="15" hidden="false" customHeight="false" outlineLevel="0" collapsed="false">
      <c r="A44" s="50" t="s">
        <v>1210</v>
      </c>
      <c r="B44" s="8"/>
      <c r="C44" s="8"/>
      <c r="D44" s="8"/>
      <c r="E44" s="8"/>
      <c r="F44" s="8"/>
      <c r="G44" s="8"/>
      <c r="H44" s="8"/>
    </row>
    <row r="45" customFormat="false" ht="15" hidden="false" customHeight="false" outlineLevel="1" collapsed="false">
      <c r="A45" s="3" t="s">
        <v>218</v>
      </c>
      <c r="B45" s="11" t="s">
        <v>42</v>
      </c>
      <c r="C45" s="51" t="n">
        <f aca="false">輸入與假設!C$48</f>
        <v>0.005</v>
      </c>
      <c r="D45" s="51" t="n">
        <f aca="false">輸入與假設!D$48</f>
        <v>0.01</v>
      </c>
      <c r="E45" s="51" t="n">
        <f aca="false">輸入與假設!E$48</f>
        <v>0.015</v>
      </c>
      <c r="F45" s="51" t="n">
        <f aca="false">輸入與假設!F$48</f>
        <v>0.02</v>
      </c>
      <c r="G45" s="51" t="n">
        <f aca="false">輸入與假設!G$48</f>
        <v>0.025</v>
      </c>
    </row>
    <row r="46" customFormat="false" ht="15" hidden="false" customHeight="false" outlineLevel="1" collapsed="false">
      <c r="A46" s="3" t="s">
        <v>220</v>
      </c>
      <c r="B46" s="11" t="s">
        <v>42</v>
      </c>
      <c r="C46" s="51" t="n">
        <f aca="false">輸入與假設!C$49</f>
        <v>0.5</v>
      </c>
      <c r="D46" s="51" t="n">
        <f aca="false">輸入與假設!D$49</f>
        <v>0.5</v>
      </c>
      <c r="E46" s="51" t="n">
        <f aca="false">輸入與假設!E$49</f>
        <v>0.5</v>
      </c>
      <c r="F46" s="51" t="n">
        <f aca="false">輸入與假設!F$49</f>
        <v>0.5</v>
      </c>
      <c r="G46" s="51" t="n">
        <f aca="false">輸入與假設!G$49</f>
        <v>0.5</v>
      </c>
    </row>
    <row r="47" customFormat="false" ht="15" hidden="false" customHeight="false" outlineLevel="1" collapsed="false">
      <c r="A47" s="3" t="s">
        <v>1211</v>
      </c>
      <c r="B47" s="11" t="s">
        <v>59</v>
      </c>
      <c r="C47" s="65" t="n">
        <f aca="false">C21*輸入與假設!C$48*(1-輸入與假設!C$49)</f>
        <v>0.054067547</v>
      </c>
      <c r="D47" s="65" t="n">
        <f aca="false">D21*輸入與假設!D$48*(1-輸入與假設!D$49)</f>
        <v>0.21626981227</v>
      </c>
      <c r="E47" s="65" t="n">
        <f aca="false">E21*輸入與假設!E$48*(1-輸入與假設!E$49)</f>
        <v>0.076987640595</v>
      </c>
      <c r="F47" s="65" t="n">
        <f aca="false">F21*輸入與假設!F$48*(1-輸入與假設!F$49)</f>
        <v>0</v>
      </c>
      <c r="G47" s="65" t="n">
        <f aca="false">G21*輸入與假設!G$48*(1-輸入與假設!G$49)</f>
        <v>0</v>
      </c>
      <c r="I47" s="6" t="s">
        <v>1212</v>
      </c>
    </row>
    <row r="48" customFormat="false" ht="15" hidden="false" customHeight="false" outlineLevel="1" collapsed="false">
      <c r="A48" s="3" t="s">
        <v>1213</v>
      </c>
      <c r="B48" s="11" t="s">
        <v>59</v>
      </c>
      <c r="C48" s="65" t="n">
        <f aca="false">C21-C47</f>
        <v>21.572951253</v>
      </c>
      <c r="D48" s="65" t="n">
        <f aca="false">D21-D47</f>
        <v>43.03769264173</v>
      </c>
      <c r="E48" s="65" t="n">
        <f aca="false">E21-E47</f>
        <v>10.188031105405</v>
      </c>
      <c r="F48" s="65" t="n">
        <f aca="false">F21-F47</f>
        <v>0</v>
      </c>
      <c r="G48" s="65" t="n">
        <f aca="false">G21-G47</f>
        <v>0</v>
      </c>
    </row>
    <row r="49" customFormat="false" ht="15" hidden="false" customHeight="false" outlineLevel="1" collapsed="false">
      <c r="A49" s="4" t="s">
        <v>1214</v>
      </c>
      <c r="B49" s="11" t="s">
        <v>42</v>
      </c>
      <c r="C49" s="51" t="n">
        <f aca="false">輸入與假設!C$127</f>
        <v>-0.334325138359049</v>
      </c>
      <c r="D49" s="51" t="n">
        <f aca="false">輸入與假設!D$127</f>
        <v>-0.216609126914153</v>
      </c>
      <c r="E49" s="51" t="n">
        <f aca="false">輸入與假設!E$127</f>
        <v>-0.043178282144506</v>
      </c>
      <c r="F49" s="51" t="n">
        <f aca="false">輸入與假設!F$127</f>
        <v>0.0731156540798472</v>
      </c>
      <c r="G49" s="51" t="n">
        <f aca="false">輸入與假設!G$127</f>
        <v>0.196899370283186</v>
      </c>
      <c r="I49" s="6" t="s">
        <v>1215</v>
      </c>
    </row>
    <row r="50" customFormat="false" ht="15" hidden="false" customHeight="false" outlineLevel="1" collapsed="false">
      <c r="A50" s="3" t="s">
        <v>1216</v>
      </c>
      <c r="B50" s="11" t="s">
        <v>59</v>
      </c>
      <c r="C50" s="65" t="n">
        <f aca="false">C26+輸入與假設!C$50</f>
        <v>33.433820017561</v>
      </c>
      <c r="D50" s="65" t="n">
        <f aca="false">D26+輸入與假設!D$50</f>
        <v>126.564560383727</v>
      </c>
      <c r="E50" s="65" t="n">
        <f aca="false">E26+輸入與假設!E$50</f>
        <v>185.162746077769</v>
      </c>
      <c r="F50" s="65" t="n">
        <f aca="false">F26+輸入與假設!F$50</f>
        <v>225.752956271642</v>
      </c>
      <c r="G50" s="65" t="n">
        <f aca="false">G26+輸入與假設!G$50</f>
        <v>263.783883177711</v>
      </c>
    </row>
    <row r="51" customFormat="false" ht="15" hidden="false" customHeight="false" outlineLevel="1" collapsed="false">
      <c r="A51" s="4" t="s">
        <v>1217</v>
      </c>
      <c r="B51" s="11" t="s">
        <v>42</v>
      </c>
      <c r="C51" s="70" t="n">
        <f aca="false">輸入與假設!C$127+各期收支!C17/MAX(10,C50)</f>
        <v>-0.016801</v>
      </c>
      <c r="D51" s="70" t="n">
        <f aca="false">輸入與假設!D$127+各期收支!D17/MAX(10,D50)</f>
        <v>0.11085825</v>
      </c>
      <c r="E51" s="70" t="n">
        <f aca="false">輸入與假設!E$127+各期收支!E17/MAX(10,E50)</f>
        <v>0.2385175</v>
      </c>
      <c r="F51" s="70" t="n">
        <f aca="false">輸入與假設!F$127+各期收支!F17/MAX(10,F50)</f>
        <v>0.36617675</v>
      </c>
      <c r="G51" s="70" t="n">
        <f aca="false">輸入與假設!G$127+各期收支!G17/MAX(10,G50)</f>
        <v>0.493836</v>
      </c>
      <c r="I51" s="6" t="s">
        <v>1218</v>
      </c>
    </row>
    <row r="52" customFormat="false" ht="15" hidden="false" customHeight="false" outlineLevel="1" collapsed="false">
      <c r="A52" s="4" t="s">
        <v>1219</v>
      </c>
      <c r="B52" s="11" t="s">
        <v>59</v>
      </c>
      <c r="C52" s="39" t="n">
        <f aca="false">C48*C51</f>
        <v>-0.362447154001653</v>
      </c>
      <c r="D52" s="39" t="n">
        <f aca="false">D48*D51</f>
        <v>4.77108329030006</v>
      </c>
      <c r="E52" s="39" t="n">
        <f aca="false">E48*E51</f>
        <v>2.43002370918344</v>
      </c>
      <c r="F52" s="39" t="n">
        <f aca="false">F48*F51</f>
        <v>0</v>
      </c>
      <c r="G52" s="39" t="n">
        <f aca="false">G48*G51</f>
        <v>0</v>
      </c>
      <c r="I52" s="11" t="s">
        <v>1220</v>
      </c>
    </row>
    <row r="53" customFormat="false" ht="15" hidden="false" customHeight="false" outlineLevel="1" collapsed="false">
      <c r="A53" s="3" t="s">
        <v>1221</v>
      </c>
      <c r="B53" s="11" t="s">
        <v>59</v>
      </c>
      <c r="C53" s="65" t="n">
        <f aca="false">C24*(1-輸入與假設!C$48*(1-輸入與假設!C$49))*C51</f>
        <v>-0.197870152088101</v>
      </c>
      <c r="D53" s="65" t="n">
        <f aca="false">D24*(1-輸入與假設!D$48*(1-輸入與假設!D$49))*D51</f>
        <v>9.1894887574784</v>
      </c>
      <c r="E53" s="65" t="n">
        <f aca="false">E24*(1-輸入與假設!E$48*(1-輸入與假設!E$49))*E51</f>
        <v>41.4032974137638</v>
      </c>
      <c r="F53" s="65" t="n">
        <f aca="false">F24*(1-輸入與假設!F$48*(1-輸入與假設!F$49))*F51</f>
        <v>81.8388289921375</v>
      </c>
      <c r="G53" s="65" t="n">
        <f aca="false">G24*(1-輸入與假設!G$48*(1-輸入與假設!G$49))*G51</f>
        <v>128.637653011286</v>
      </c>
      <c r="I53" s="6" t="s">
        <v>1222</v>
      </c>
    </row>
    <row r="54" customFormat="false" ht="15" hidden="false" customHeight="false" outlineLevel="1" collapsed="false"/>
    <row r="55" customFormat="false" ht="15" hidden="false" customHeight="false" outlineLevel="1" collapsed="false">
      <c r="A55" s="2" t="s">
        <v>1223</v>
      </c>
    </row>
    <row r="56" customFormat="false" ht="15" hidden="false" customHeight="false" outlineLevel="1" collapsed="false">
      <c r="A56" s="6" t="s">
        <v>1224</v>
      </c>
    </row>
    <row r="58" customFormat="false" ht="15" hidden="false" customHeight="false" outlineLevel="0" collapsed="false">
      <c r="A58" s="50" t="s">
        <v>1225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1226</v>
      </c>
      <c r="B59" s="6" t="s">
        <v>594</v>
      </c>
      <c r="C59" s="26" t="n">
        <v>6</v>
      </c>
      <c r="I59" s="11" t="s">
        <v>1227</v>
      </c>
    </row>
    <row r="60" customFormat="false" ht="15" hidden="false" customHeight="false" outlineLevel="1" collapsed="false">
      <c r="A60" s="3" t="s">
        <v>1228</v>
      </c>
      <c r="B60" s="6" t="s">
        <v>594</v>
      </c>
      <c r="C60" s="26" t="n">
        <v>3</v>
      </c>
      <c r="I60" s="11" t="s">
        <v>1227</v>
      </c>
    </row>
    <row r="61" customFormat="false" ht="15" hidden="false" customHeight="false" outlineLevel="1" collapsed="false">
      <c r="A61" s="3" t="s">
        <v>1229</v>
      </c>
      <c r="B61" s="6" t="s">
        <v>594</v>
      </c>
      <c r="C61" s="26" t="n">
        <v>0</v>
      </c>
      <c r="I61" s="11" t="s">
        <v>1227</v>
      </c>
    </row>
    <row r="62" customFormat="false" ht="15" hidden="false" customHeight="false" outlineLevel="1" collapsed="false">
      <c r="A62" s="3" t="s">
        <v>1230</v>
      </c>
      <c r="B62" s="6" t="s">
        <v>594</v>
      </c>
      <c r="C62" s="71" t="n">
        <f aca="false">CHOOSE(輸入與假設!$C$5,運營_產能與收入!$C$59,運營_產能與收入!$C$60,運營_產能與收入!$C$61)</f>
        <v>3</v>
      </c>
      <c r="I62" s="6" t="s">
        <v>1231</v>
      </c>
    </row>
    <row r="63" customFormat="false" ht="15" hidden="false" customHeight="false" outlineLevel="1" collapsed="false">
      <c r="A63" s="3" t="s">
        <v>1232</v>
      </c>
      <c r="B63" s="6" t="s">
        <v>181</v>
      </c>
      <c r="C63" s="65" t="n">
        <f aca="false">SUM($C$7:C7)</f>
        <v>0.5</v>
      </c>
      <c r="D63" s="65" t="n">
        <f aca="false">SUM($C$7:D7)</f>
        <v>1.5</v>
      </c>
      <c r="E63" s="65" t="n">
        <f aca="false">SUM($C$7:E7)</f>
        <v>2.5</v>
      </c>
      <c r="F63" s="65" t="n">
        <f aca="false">SUM($C$7:F7)</f>
        <v>3.5</v>
      </c>
      <c r="G63" s="65" t="n">
        <f aca="false">SUM($C$7:G7)</f>
        <v>4.5</v>
      </c>
      <c r="I63" s="6" t="s">
        <v>1233</v>
      </c>
    </row>
    <row r="64" customFormat="false" ht="15" hidden="false" customHeight="false" outlineLevel="1" collapsed="false">
      <c r="A64" s="3" t="s">
        <v>1234</v>
      </c>
      <c r="B64" s="11" t="s">
        <v>59</v>
      </c>
      <c r="C64" s="65" t="n">
        <f aca="false">SUM(輸入與假設!$C$165:C$165)</f>
        <v>104.932419912925</v>
      </c>
      <c r="D64" s="65" t="n">
        <f aca="false">SUM(輸入與假設!$C$165:D$165)</f>
        <v>148.778778838525</v>
      </c>
      <c r="E64" s="65" t="n">
        <f aca="false">SUM(輸入與假設!$C$165:E$165)</f>
        <v>201.146460838525</v>
      </c>
      <c r="F64" s="65" t="n">
        <f aca="false">SUM(輸入與假設!$C$165:F$165)</f>
        <v>257.525988838525</v>
      </c>
      <c r="G64" s="65" t="n">
        <f aca="false">SUM(輸入與假設!$C$165:G$165)</f>
        <v>294.172682038525</v>
      </c>
      <c r="I64" s="11" t="s">
        <v>1235</v>
      </c>
    </row>
    <row r="65" customFormat="false" ht="15" hidden="false" customHeight="false" outlineLevel="1" collapsed="false">
      <c r="A65" s="3" t="s">
        <v>1236</v>
      </c>
      <c r="B65" s="11" t="s">
        <v>59</v>
      </c>
      <c r="C65" s="65" t="n">
        <f aca="false">IF($C$62&lt;=0,$C$64,0+($C$64-0)*MAX(0,MIN(1,($C$63-$C$62/12-0)/$C$7))+($D$64-$C$64)*MAX(0,MIN(1,($C$63-$C$62/12-$C$63)/$D$7))+($E$64-$D$64)*MAX(0,MIN(1,($C$63-$C$62/12-$D$63)/$E$7))+($F$64-$E$64)*MAX(0,MIN(1,($C$63-$C$62/12-$E$63)/$F$7))+($G$64-$F$64)*MAX(0,MIN(1,($C$63-$C$62/12-$F$63)/$G$7)))</f>
        <v>52.4662099564625</v>
      </c>
      <c r="D65" s="65" t="n">
        <f aca="false">IF($C$62&lt;=0,$D$64,0+($C$64-0)*MAX(0,MIN(1,($D$63-$C$62/12-0)/$C$7))+($D$64-$C$64)*MAX(0,MIN(1,($D$63-$C$62/12-$C$63)/$D$7))+($E$64-$D$64)*MAX(0,MIN(1,($D$63-$C$62/12-$D$63)/$E$7))+($F$64-$E$64)*MAX(0,MIN(1,($D$63-$C$62/12-$E$63)/$F$7))+($G$64-$F$64)*MAX(0,MIN(1,($D$63-$C$62/12-$F$63)/$G$7)))</f>
        <v>137.817189107125</v>
      </c>
      <c r="E65" s="65" t="n">
        <f aca="false">IF($C$62&lt;=0,$E$64,0+($C$64-0)*MAX(0,MIN(1,($E$63-$C$62/12-0)/$C$7))+($D$64-$C$64)*MAX(0,MIN(1,($E$63-$C$62/12-$C$63)/$D$7))+($E$64-$D$64)*MAX(0,MIN(1,($E$63-$C$62/12-$D$63)/$E$7))+($F$64-$E$64)*MAX(0,MIN(1,($E$63-$C$62/12-$E$63)/$F$7))+($G$64-$F$64)*MAX(0,MIN(1,($E$63-$C$62/12-$F$63)/$G$7)))</f>
        <v>188.054540338525</v>
      </c>
      <c r="F65" s="65" t="n">
        <f aca="false">IF($C$62&lt;=0,$F$64,0+($C$64-0)*MAX(0,MIN(1,($F$63-$C$62/12-0)/$C$7))+($D$64-$C$64)*MAX(0,MIN(1,($F$63-$C$62/12-$C$63)/$D$7))+($E$64-$D$64)*MAX(0,MIN(1,($F$63-$C$62/12-$D$63)/$E$7))+($F$64-$E$64)*MAX(0,MIN(1,($F$63-$C$62/12-$E$63)/$F$7))+($G$64-$F$64)*MAX(0,MIN(1,($F$63-$C$62/12-$F$63)/$G$7)))</f>
        <v>243.431106838525</v>
      </c>
      <c r="G65" s="65" t="n">
        <f aca="false">IF($C$62&lt;=0,$G$64,0+($C$64-0)*MAX(0,MIN(1,($G$63-$C$62/12-0)/$C$7))+($D$64-$C$64)*MAX(0,MIN(1,($G$63-$C$62/12-$C$63)/$D$7))+($E$64-$D$64)*MAX(0,MIN(1,($G$63-$C$62/12-$D$63)/$E$7))+($F$64-$E$64)*MAX(0,MIN(1,($G$63-$C$62/12-$E$63)/$F$7))+($G$64-$F$64)*MAX(0,MIN(1,($G$63-$C$62/12-$F$63)/$G$7)))</f>
        <v>285.011008738525</v>
      </c>
      <c r="I65" s="6" t="s">
        <v>1237</v>
      </c>
    </row>
    <row r="66" customFormat="false" ht="15" hidden="false" customHeight="false" outlineLevel="1" collapsed="false">
      <c r="A66" s="3" t="s">
        <v>1238</v>
      </c>
      <c r="B66" s="11" t="s">
        <v>59</v>
      </c>
      <c r="C66" s="65" t="n">
        <f aca="false">C65</f>
        <v>52.4662099564625</v>
      </c>
      <c r="D66" s="65" t="n">
        <f aca="false">D65-C65</f>
        <v>85.3509791506625</v>
      </c>
      <c r="E66" s="65" t="n">
        <f aca="false">E65-D65</f>
        <v>50.2373512314</v>
      </c>
      <c r="F66" s="65" t="n">
        <f aca="false">F65-E65</f>
        <v>55.3765665</v>
      </c>
      <c r="G66" s="65" t="n">
        <f aca="false">G65-F65</f>
        <v>41.5799019</v>
      </c>
      <c r="I66" s="6" t="s">
        <v>1239</v>
      </c>
    </row>
    <row r="67" customFormat="false" ht="15" hidden="false" customHeight="false" outlineLevel="1" collapsed="false">
      <c r="A67" s="3" t="s">
        <v>1240</v>
      </c>
      <c r="B67" s="11" t="s">
        <v>59</v>
      </c>
      <c r="C67" s="39" t="n">
        <f aca="false">C64-C65</f>
        <v>52.4662099564625</v>
      </c>
      <c r="D67" s="39" t="n">
        <f aca="false">D64-D65</f>
        <v>10.9615897314</v>
      </c>
      <c r="E67" s="39" t="n">
        <f aca="false">E64-E65</f>
        <v>13.0919205</v>
      </c>
      <c r="F67" s="39" t="n">
        <f aca="false">F64-F65</f>
        <v>14.094882</v>
      </c>
      <c r="G67" s="39" t="n">
        <f aca="false">G64-G65</f>
        <v>9.16167330000002</v>
      </c>
      <c r="I67" s="6" t="s">
        <v>1241</v>
      </c>
    </row>
    <row r="68" customFormat="false" ht="15" hidden="false" customHeight="false" outlineLevel="1" collapsed="false">
      <c r="A68" s="3" t="s">
        <v>1242</v>
      </c>
      <c r="B68" s="11" t="s">
        <v>42</v>
      </c>
      <c r="C68" s="24" t="n">
        <v>0.5</v>
      </c>
      <c r="I68" s="6" t="s">
        <v>1243</v>
      </c>
    </row>
    <row r="69" customFormat="false" ht="15" hidden="false" customHeight="false" outlineLevel="1" collapsed="false">
      <c r="A69" s="3" t="s">
        <v>1244</v>
      </c>
      <c r="B69" s="11" t="s">
        <v>42</v>
      </c>
      <c r="C69" s="24" t="n">
        <v>0</v>
      </c>
      <c r="I69" s="6" t="s">
        <v>1245</v>
      </c>
    </row>
    <row r="70" customFormat="false" ht="15" hidden="false" customHeight="false" outlineLevel="1" collapsed="false">
      <c r="A70" s="3" t="s">
        <v>1246</v>
      </c>
      <c r="B70" s="11" t="s">
        <v>59</v>
      </c>
      <c r="C70" s="65" t="n">
        <f aca="false">輸入與假設!$C$26/輸入與假設!$C$28/輸入與假設!$C$29/4*((MIN(MAX(0,輸入與假設!C$154-(輸入與假設!$C$27+運營_產能與收入!$C$62/3)),輸入與假設!$C$28)*(MIN(MAX(0,輸入與假設!C$154-(輸入與假設!$C$27+運營_產能與收入!$C$62/3)),輸入與假設!$C$28)+1)/2+輸入與假設!$C$28*MAX(0,MAX(0,輸入與假設!C$154-(輸入與假設!$C$27+運營_產能與收入!$C$62/3))-輸入與假設!$C$28))-(MIN(MAX(0,0-(輸入與假設!$C$27+運營_產能與收入!$C$62/3)),輸入與假設!$C$28)*(MIN(MAX(0,0-(輸入與假設!$C$27+運營_產能與收入!$C$62/3)),輸入與假設!$C$28)+1)/2+輸入與假設!$C$28*MAX(0,MAX(0,0-(輸入與假設!$C$27+運營_產能與收入!$C$62/3))-輸入與假設!$C$28)))</f>
        <v>0</v>
      </c>
      <c r="D70" s="65" t="n">
        <f aca="false">輸入與假設!$C$26/輸入與假設!$C$28/輸入與假設!$C$29/4*((MIN(MAX(0,輸入與假設!D$154-(輸入與假設!$C$27+運營_產能與收入!$C$62/3)),輸入與假設!$C$28)*(MIN(MAX(0,輸入與假設!D$154-(輸入與假設!$C$27+運營_產能與收入!$C$62/3)),輸入與假設!$C$28)+1)/2+輸入與假設!$C$28*MAX(0,MAX(0,輸入與假設!D$154-(輸入與假設!$C$27+運營_產能與收入!$C$62/3))-輸入與假設!$C$28))-(MIN(MAX(0,輸入與假設!C$154-(輸入與假設!$C$27+運營_產能與收入!$C$62/3)),輸入與假設!$C$28)*(MIN(MAX(0,輸入與假設!C$154-(輸入與假設!$C$27+運營_產能與收入!$C$62/3)),輸入與假設!$C$28)+1)/2+輸入與假設!$C$28*MAX(0,MAX(0,輸入與假設!C$154-(輸入與假設!$C$27+運營_產能與收入!$C$62/3))-輸入與假設!$C$28)))</f>
        <v>4.12799972013561</v>
      </c>
      <c r="E70" s="65" t="n">
        <f aca="false">輸入與假設!$C$26/輸入與假設!$C$28/輸入與假設!$C$29/4*((MIN(MAX(0,輸入與假設!E$154-(輸入與假設!$C$27+運營_產能與收入!$C$62/3)),輸入與假設!$C$28)*(MIN(MAX(0,輸入與假設!E$154-(輸入與假設!$C$27+運營_產能與收入!$C$62/3)),輸入與假設!$C$28)+1)/2+輸入與假設!$C$28*MAX(0,MAX(0,輸入與假設!E$154-(輸入與假設!$C$27+運營_產能與收入!$C$62/3))-輸入與假設!$C$28))-(MIN(MAX(0,輸入與假設!D$154-(輸入與假設!$C$27+運營_產能與收入!$C$62/3)),輸入與假設!$C$28)*(MIN(MAX(0,輸入與假設!D$154-(輸入與假設!$C$27+運營_產能與收入!$C$62/3)),輸入與假設!$C$28)+1)/2+輸入與假設!$C$28*MAX(0,MAX(0,輸入與假設!D$154-(輸入與假設!$C$27+運營_產能與收入!$C$62/3))-輸入與假設!$C$28)))</f>
        <v>4.12799972013561</v>
      </c>
      <c r="F70" s="65" t="n">
        <f aca="false">輸入與假設!$C$26/輸入與假設!$C$28/輸入與假設!$C$29/4*((MIN(MAX(0,輸入與假設!F$154-(輸入與假設!$C$27+運營_產能與收入!$C$62/3)),輸入與假設!$C$28)*(MIN(MAX(0,輸入與假設!F$154-(輸入與假設!$C$27+運營_產能與收入!$C$62/3)),輸入與假設!$C$28)+1)/2+輸入與假設!$C$28*MAX(0,MAX(0,輸入與假設!F$154-(輸入與假設!$C$27+運營_產能與收入!$C$62/3))-輸入與假設!$C$28))-(MIN(MAX(0,輸入與假設!E$154-(輸入與假設!$C$27+運營_產能與收入!$C$62/3)),輸入與假設!$C$28)*(MIN(MAX(0,輸入與假設!E$154-(輸入與假設!$C$27+運營_產能與收入!$C$62/3)),輸入與假設!$C$28)+1)/2+輸入與假設!$C$28*MAX(0,MAX(0,輸入與假設!E$154-(輸入與假設!$C$27+運營_產能與收入!$C$62/3))-輸入與假設!$C$28)))</f>
        <v>4.12799972013561</v>
      </c>
      <c r="G70" s="65" t="n">
        <f aca="false">輸入與假設!$C$26/輸入與假設!$C$28/輸入與假設!$C$29/4*((MIN(MAX(0,輸入與假設!G$154-(輸入與假設!$C$27+運營_產能與收入!$C$62/3)),輸入與假設!$C$28)*(MIN(MAX(0,輸入與假設!G$154-(輸入與假設!$C$27+運營_產能與收入!$C$62/3)),輸入與假設!$C$28)+1)/2+輸入與假設!$C$28*MAX(0,MAX(0,輸入與假設!G$154-(輸入與假設!$C$27+運營_產能與收入!$C$62/3))-輸入與假設!$C$28))-(MIN(MAX(0,輸入與假設!F$154-(輸入與假設!$C$27+運營_產能與收入!$C$62/3)),輸入與假設!$C$28)*(MIN(MAX(0,輸入與假設!F$154-(輸入與假設!$C$27+運營_產能與收入!$C$62/3)),輸入與假設!$C$28)+1)/2+輸入與假設!$C$28*MAX(0,MAX(0,輸入與假設!F$154-(輸入與假設!$C$27+運營_產能與收入!$C$62/3))-輸入與假設!$C$28)))</f>
        <v>4.12799972013561</v>
      </c>
      <c r="I70" s="6" t="s">
        <v>1247</v>
      </c>
    </row>
    <row r="71" customFormat="false" ht="15" hidden="false" customHeight="false" outlineLevel="1" collapsed="false">
      <c r="A71" s="3" t="s">
        <v>1248</v>
      </c>
      <c r="B71" s="11" t="s">
        <v>59</v>
      </c>
      <c r="C71" s="39" t="n">
        <f aca="false">IF(OR(運營_產能與收入!$C$62&lt;=0,運營_產能與收入!$C$68&lt;=0),輸入與假設!C$155,(1-運營_產能與收入!$C$68)*輸入與假設!C$155+運營_產能與收入!$C$68*C70)</f>
        <v>0.515999965016951</v>
      </c>
      <c r="D71" s="39" t="n">
        <f aca="false">IF(OR(運營_產能與收入!$C$62&lt;=0,運營_產能與收入!$C$68&lt;=0),輸入與假設!D$155,(1-運營_產能與收入!$C$68)*輸入與假設!D$155+運營_產能與收入!$C$68*D70)</f>
        <v>4.12799972013561</v>
      </c>
      <c r="E71" s="39" t="n">
        <f aca="false">IF(OR(運營_產能與收入!$C$62&lt;=0,運營_產能與收入!$C$68&lt;=0),輸入與假設!E$155,(1-運營_產能與收入!$C$68)*輸入與假設!E$155+運營_產能與收入!$C$68*E70)</f>
        <v>4.12799972013561</v>
      </c>
      <c r="F71" s="39" t="n">
        <f aca="false">IF(OR(運營_產能與收入!$C$62&lt;=0,運營_產能與收入!$C$68&lt;=0),輸入與假設!F$155,(1-運營_產能與收入!$C$68)*輸入與假設!F$155+運營_產能與收入!$C$68*F70)</f>
        <v>4.12799972013561</v>
      </c>
      <c r="G71" s="39" t="n">
        <f aca="false">IF(OR(運營_產能與收入!$C$62&lt;=0,運營_產能與收入!$C$68&lt;=0),輸入與假設!G$155,(1-運營_產能與收入!$C$68)*輸入與假設!G$155+運營_產能與收入!$C$68*G70)</f>
        <v>4.12799972013561</v>
      </c>
      <c r="I71" s="6" t="s">
        <v>1249</v>
      </c>
    </row>
    <row r="72" customFormat="false" ht="15" hidden="false" customHeight="false" outlineLevel="1" collapsed="false">
      <c r="A72" s="3" t="s">
        <v>1250</v>
      </c>
      <c r="B72" s="11" t="s">
        <v>59</v>
      </c>
      <c r="C72" s="65" t="n">
        <f aca="false">IF(輸入與假設!$C$37=1,(輸入與假設!$C$36+C10)/2,C10)*輸入與假設!C$46*輸入與假設!$C$39*輸入與假設!C$45*C7</f>
        <v>43.8332519739331</v>
      </c>
      <c r="D72" s="65" t="n">
        <f aca="false">IF(輸入與假設!$C$37=1,(C10+D10)/2,D10)*輸入與假設!D$46*輸入與假設!$C$39*輸入與假設!D$45*D7</f>
        <v>152.861407959985</v>
      </c>
      <c r="E72" s="65" t="n">
        <f aca="false">IF(輸入與假設!$C$37=1,(D10+E10)/2,E10)*輸入與假設!E$46*輸入與假設!$C$39*輸入與假設!E$45*E7</f>
        <v>194.977236726969</v>
      </c>
      <c r="F72" s="65" t="n">
        <f aca="false">IF(輸入與假設!$C$37=1,(E10+F10)/2,F10)*輸入與假設!F$46*輸入與假設!$C$39*輸入與假設!F$45*F7</f>
        <v>234.887468953153</v>
      </c>
      <c r="G72" s="65" t="n">
        <f aca="false">IF(輸入與假設!$C$37=1,(F10+G10)/2,G10)*輸入與假設!G$46*輸入與假設!$C$39*輸入與假設!G$45*G7</f>
        <v>272.113900541218</v>
      </c>
      <c r="I72" s="6" t="s">
        <v>1251</v>
      </c>
    </row>
    <row r="73" customFormat="false" ht="15" hidden="false" customHeight="false" outlineLevel="1" collapsed="false">
      <c r="A73" s="3" t="s">
        <v>1252</v>
      </c>
      <c r="B73" s="11" t="s">
        <v>59</v>
      </c>
      <c r="C73" s="65" t="n">
        <f aca="false">IF(運營_產能與收入!$C$62&lt;=0,0,MAX(0,C72-C16))</f>
        <v>10.3994319563721</v>
      </c>
      <c r="D73" s="65" t="n">
        <f aca="false">IF(運營_產能與收入!$C$62&lt;=0,0,MAX(0,D72-D16))</f>
        <v>26.2968475762579</v>
      </c>
      <c r="E73" s="65" t="n">
        <f aca="false">IF(運營_產能與收入!$C$62&lt;=0,0,MAX(0,E72-E16))</f>
        <v>9.81449064920022</v>
      </c>
      <c r="F73" s="65" t="n">
        <f aca="false">IF(運營_產能與收入!$C$62&lt;=0,0,MAX(0,F72-F16))</f>
        <v>9.13451268151155</v>
      </c>
      <c r="G73" s="65" t="n">
        <f aca="false">IF(運營_產能與收入!$C$62&lt;=0,0,MAX(0,G72-G16))</f>
        <v>8.33001736350661</v>
      </c>
      <c r="I73" s="6" t="s">
        <v>1253</v>
      </c>
    </row>
    <row r="74" customFormat="false" ht="15" hidden="false" customHeight="false" outlineLevel="1" collapsed="false">
      <c r="A74" s="3" t="s">
        <v>1254</v>
      </c>
      <c r="B74" s="11" t="s">
        <v>59</v>
      </c>
      <c r="C74" s="65" t="n">
        <f aca="false">運營_產能與收入!$C$69*C73</f>
        <v>0</v>
      </c>
      <c r="D74" s="65" t="n">
        <f aca="false">運營_產能與收入!$C$69*D73</f>
        <v>0</v>
      </c>
      <c r="E74" s="65" t="n">
        <f aca="false">運營_產能與收入!$C$69*E73</f>
        <v>0</v>
      </c>
      <c r="F74" s="65" t="n">
        <f aca="false">運營_產能與收入!$C$69*F73</f>
        <v>0</v>
      </c>
      <c r="G74" s="65" t="n">
        <f aca="false">運營_產能與收入!$C$69*G73</f>
        <v>0</v>
      </c>
      <c r="I74" s="6" t="s">
        <v>1255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19.4" hidden="false" customHeight="false" outlineLevel="0" collapsed="false">
      <c r="A1" s="5" t="s">
        <v>1256</v>
      </c>
    </row>
    <row r="2" customFormat="false" ht="15" hidden="false" customHeight="false" outlineLevel="0" collapsed="false">
      <c r="A2" s="6" t="s">
        <v>1257</v>
      </c>
    </row>
    <row r="4" customFormat="false" ht="15" hidden="false" customHeight="false" outlineLevel="0" collapsed="false">
      <c r="A4" s="14" t="s">
        <v>1258</v>
      </c>
      <c r="B4" s="14" t="s">
        <v>1259</v>
      </c>
      <c r="C4" s="14" t="s">
        <v>1260</v>
      </c>
      <c r="D4" s="14" t="s">
        <v>1261</v>
      </c>
      <c r="E4" s="14" t="s">
        <v>1262</v>
      </c>
      <c r="F4" s="14" t="s">
        <v>1263</v>
      </c>
      <c r="G4" s="14" t="s">
        <v>1264</v>
      </c>
      <c r="H4" s="14" t="s">
        <v>1265</v>
      </c>
      <c r="I4" s="14" t="s">
        <v>1266</v>
      </c>
      <c r="J4" s="14" t="s">
        <v>1267</v>
      </c>
      <c r="K4" s="14" t="s">
        <v>428</v>
      </c>
    </row>
    <row r="5" customFormat="false" ht="15" hidden="false" customHeight="false" outlineLevel="0" collapsed="false">
      <c r="A5" s="3" t="s">
        <v>1268</v>
      </c>
      <c r="B5" s="6" t="s">
        <v>1269</v>
      </c>
      <c r="C5" s="21" t="n">
        <v>5.5</v>
      </c>
      <c r="D5" s="21" t="n">
        <v>5.5</v>
      </c>
      <c r="E5" s="72" t="s">
        <v>1270</v>
      </c>
      <c r="F5" s="72" t="s">
        <v>1270</v>
      </c>
      <c r="I5" s="6" t="s">
        <v>1271</v>
      </c>
      <c r="J5" s="11" t="s">
        <v>1272</v>
      </c>
      <c r="K5" s="11" t="s">
        <v>1273</v>
      </c>
    </row>
    <row r="6" customFormat="false" ht="15" hidden="false" customHeight="false" outlineLevel="0" collapsed="false">
      <c r="A6" s="3" t="s">
        <v>1274</v>
      </c>
      <c r="B6" s="6" t="s">
        <v>1275</v>
      </c>
      <c r="C6" s="21" t="n">
        <v>2.858</v>
      </c>
      <c r="D6" s="21" t="n">
        <v>0</v>
      </c>
      <c r="E6" s="72" t="s">
        <v>1270</v>
      </c>
      <c r="F6" s="72" t="s">
        <v>1270</v>
      </c>
      <c r="I6" s="11" t="s">
        <v>1276</v>
      </c>
      <c r="J6" s="11" t="s">
        <v>1272</v>
      </c>
      <c r="K6" s="11" t="s">
        <v>1277</v>
      </c>
    </row>
    <row r="7" customFormat="false" ht="15" hidden="false" customHeight="false" outlineLevel="0" collapsed="false">
      <c r="A7" s="3" t="s">
        <v>1278</v>
      </c>
      <c r="B7" s="6" t="s">
        <v>1279</v>
      </c>
      <c r="C7" s="21" t="n">
        <v>1.84</v>
      </c>
      <c r="D7" s="21" t="n">
        <v>0</v>
      </c>
      <c r="E7" s="72" t="s">
        <v>1270</v>
      </c>
      <c r="F7" s="72" t="s">
        <v>1270</v>
      </c>
      <c r="I7" s="11" t="s">
        <v>1280</v>
      </c>
      <c r="J7" s="11" t="s">
        <v>1272</v>
      </c>
      <c r="K7" s="11" t="s">
        <v>1281</v>
      </c>
    </row>
    <row r="8" customFormat="false" ht="15" hidden="false" customHeight="false" outlineLevel="0" collapsed="false">
      <c r="A8" s="3" t="s">
        <v>1282</v>
      </c>
      <c r="B8" s="6" t="s">
        <v>1283</v>
      </c>
      <c r="C8" s="21" t="n">
        <v>2.5</v>
      </c>
      <c r="D8" s="21" t="n">
        <v>0</v>
      </c>
      <c r="E8" s="72" t="s">
        <v>1270</v>
      </c>
      <c r="F8" s="72" t="s">
        <v>1270</v>
      </c>
      <c r="I8" s="11" t="s">
        <v>1284</v>
      </c>
      <c r="J8" s="11" t="s">
        <v>1272</v>
      </c>
      <c r="K8" s="11" t="s">
        <v>1285</v>
      </c>
    </row>
    <row r="9" customFormat="false" ht="15" hidden="false" customHeight="false" outlineLevel="0" collapsed="false">
      <c r="A9" s="3" t="s">
        <v>1286</v>
      </c>
      <c r="B9" s="6" t="s">
        <v>1287</v>
      </c>
      <c r="C9" s="21" t="n">
        <v>1.974</v>
      </c>
      <c r="D9" s="21" t="n">
        <v>0</v>
      </c>
      <c r="E9" s="72" t="s">
        <v>1270</v>
      </c>
      <c r="F9" s="72" t="s">
        <v>1270</v>
      </c>
      <c r="I9" s="11" t="s">
        <v>1288</v>
      </c>
      <c r="J9" s="11" t="s">
        <v>1272</v>
      </c>
      <c r="K9" s="11" t="s">
        <v>1289</v>
      </c>
    </row>
    <row r="10" customFormat="false" ht="15" hidden="false" customHeight="false" outlineLevel="0" collapsed="false">
      <c r="A10" s="2" t="s">
        <v>1290</v>
      </c>
      <c r="C10" s="73" t="n">
        <f aca="false">SUM(C5:C9)</f>
        <v>14.672</v>
      </c>
      <c r="D10" s="73" t="n">
        <f aca="false">SUM(D5:D9)</f>
        <v>5.5</v>
      </c>
      <c r="E10" s="57" t="n">
        <f aca="false">SUM(E5:E9)</f>
        <v>0</v>
      </c>
      <c r="G10" s="57" t="n">
        <f aca="false">SUM(G5:G9)</f>
        <v>0</v>
      </c>
      <c r="H10" s="74" t="n">
        <f aca="false">IF(I10&gt;0,G10/I10,0)</f>
        <v>0</v>
      </c>
      <c r="I10" s="48" t="n">
        <f aca="false">SUMPRODUCT(ISNUMBER(G5:G9)*C5:C9)</f>
        <v>0</v>
      </c>
      <c r="K10" s="6" t="s">
        <v>1291</v>
      </c>
    </row>
    <row r="12" customFormat="false" ht="15" hidden="false" customHeight="false" outlineLevel="0" collapsed="false">
      <c r="A12" s="50" t="s">
        <v>1292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false" outlineLevel="1" collapsed="false">
      <c r="A13" s="3" t="s">
        <v>1293</v>
      </c>
      <c r="E13" s="25" t="n">
        <v>20.435</v>
      </c>
      <c r="K13" s="11" t="s">
        <v>1294</v>
      </c>
    </row>
    <row r="14" customFormat="false" ht="15" hidden="false" customHeight="false" outlineLevel="1" collapsed="false">
      <c r="A14" s="3" t="s">
        <v>1295</v>
      </c>
      <c r="E14" s="25" t="n">
        <v>20.296</v>
      </c>
      <c r="K14" s="11" t="s">
        <v>1296</v>
      </c>
    </row>
    <row r="15" customFormat="false" ht="15" hidden="false" customHeight="false" outlineLevel="1" collapsed="false">
      <c r="A15" s="3" t="s">
        <v>1297</v>
      </c>
      <c r="E15" s="25" t="n">
        <v>0</v>
      </c>
      <c r="K15" s="11" t="s">
        <v>1298</v>
      </c>
    </row>
    <row r="16" customFormat="false" ht="15" hidden="false" customHeight="false" outlineLevel="1" collapsed="false">
      <c r="A16" s="2" t="s">
        <v>1299</v>
      </c>
      <c r="E16" s="57" t="n">
        <f aca="false">SUM(E13:E15)</f>
        <v>40.731</v>
      </c>
      <c r="K16" s="6" t="s">
        <v>1300</v>
      </c>
    </row>
    <row r="17" customFormat="false" ht="15" hidden="false" customHeight="false" outlineLevel="1" collapsed="false">
      <c r="A17" s="3" t="s">
        <v>1301</v>
      </c>
      <c r="E17" s="56" t="n">
        <f aca="false">-E10</f>
        <v>-0</v>
      </c>
    </row>
    <row r="18" customFormat="false" ht="15" hidden="false" customHeight="false" outlineLevel="1" collapsed="false">
      <c r="A18" s="2" t="s">
        <v>1302</v>
      </c>
      <c r="E18" s="57" t="n">
        <f aca="false">E16+E17</f>
        <v>40.731</v>
      </c>
      <c r="K18" s="6" t="s">
        <v>1303</v>
      </c>
    </row>
    <row r="19" customFormat="false" ht="15" hidden="false" customHeight="false" outlineLevel="1" collapsed="false">
      <c r="A19" s="3" t="s">
        <v>1304</v>
      </c>
      <c r="E19" s="29" t="n">
        <f aca="false">IF(E16&lt;&gt;0,E18/E16,0)</f>
        <v>1</v>
      </c>
    </row>
    <row r="21" customFormat="false" ht="15" hidden="false" customHeight="false" outlineLevel="0" collapsed="false">
      <c r="A21" s="50" t="s">
        <v>1305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false" outlineLevel="1" collapsed="false">
      <c r="A22" s="14" t="s">
        <v>53</v>
      </c>
      <c r="B22" s="14" t="s">
        <v>54</v>
      </c>
      <c r="C22" s="15" t="s">
        <v>55</v>
      </c>
      <c r="D22" s="15" t="s">
        <v>56</v>
      </c>
      <c r="E22" s="15" t="s">
        <v>57</v>
      </c>
      <c r="F22" s="15" t="s">
        <v>139</v>
      </c>
      <c r="G22" s="15" t="s">
        <v>140</v>
      </c>
    </row>
    <row r="23" customFormat="false" ht="15" hidden="false" customHeight="false" outlineLevel="1" collapsed="false">
      <c r="A23" s="3" t="s">
        <v>1306</v>
      </c>
      <c r="B23" s="11" t="s">
        <v>59</v>
      </c>
      <c r="C23" s="65" t="n">
        <f aca="false">各期收支!C17</f>
        <v>10.6160448931276</v>
      </c>
      <c r="D23" s="65" t="n">
        <f aca="false">各期收支!D17</f>
        <v>41.4457645991519</v>
      </c>
      <c r="E23" s="65" t="n">
        <f aca="false">各期收支!E17</f>
        <v>52.1595645804017</v>
      </c>
      <c r="F23" s="65" t="n">
        <f aca="false">各期收支!F17</f>
        <v>66.1594087721817</v>
      </c>
      <c r="G23" s="65" t="n">
        <f aca="false">各期收支!G17</f>
        <v>78.3270972444033</v>
      </c>
    </row>
    <row r="24" customFormat="false" ht="15" hidden="false" customHeight="false" outlineLevel="1" collapsed="false">
      <c r="A24" s="3" t="s">
        <v>1307</v>
      </c>
      <c r="B24" s="11" t="s">
        <v>143</v>
      </c>
      <c r="C24" s="67" t="n">
        <f aca="false">(輸入與假設!C$160+輸入與假設!C$43)/2</f>
        <v>10.037</v>
      </c>
      <c r="D24" s="67" t="n">
        <f aca="false">(輸入與假設!D$160+輸入與假設!D$43)/2</f>
        <v>15.561</v>
      </c>
      <c r="E24" s="67" t="n">
        <f aca="false">(輸入與假設!E$160+輸入與假設!E$43)/2</f>
        <v>18.048</v>
      </c>
      <c r="F24" s="67" t="n">
        <f aca="false">(輸入與假設!F$160+輸入與假設!F$43)/2</f>
        <v>21.048</v>
      </c>
      <c r="G24" s="67" t="n">
        <f aca="false">(輸入與假設!G$160+輸入與假設!G$43)/2</f>
        <v>24.048</v>
      </c>
    </row>
    <row r="25" customFormat="false" ht="15" hidden="false" customHeight="false" outlineLevel="1" collapsed="false">
      <c r="A25" s="3" t="s">
        <v>204</v>
      </c>
      <c r="B25" s="6" t="s">
        <v>181</v>
      </c>
      <c r="C25" s="65" t="n">
        <f aca="false">輸入與假設!C$41</f>
        <v>0.5</v>
      </c>
      <c r="D25" s="65" t="n">
        <f aca="false">輸入與假設!D$41</f>
        <v>1</v>
      </c>
      <c r="E25" s="65" t="n">
        <f aca="false">輸入與假設!E$41</f>
        <v>1</v>
      </c>
      <c r="F25" s="65" t="n">
        <f aca="false">輸入與假設!F$41</f>
        <v>1</v>
      </c>
      <c r="G25" s="65" t="n">
        <f aca="false">輸入與假設!G$41</f>
        <v>1</v>
      </c>
    </row>
    <row r="26" customFormat="false" ht="15" hidden="false" customHeight="false" outlineLevel="1" collapsed="false">
      <c r="A26" s="2" t="s">
        <v>1308</v>
      </c>
      <c r="B26" s="11" t="s">
        <v>161</v>
      </c>
      <c r="C26" s="39" t="n">
        <f aca="false">C23/C25/C24</f>
        <v>2.11538206498507</v>
      </c>
      <c r="D26" s="39" t="n">
        <f aca="false">D23/D25/D24</f>
        <v>2.66343837794177</v>
      </c>
      <c r="E26" s="39" t="n">
        <f aca="false">E23/E25/E24</f>
        <v>2.89004679634318</v>
      </c>
      <c r="F26" s="39" t="n">
        <f aca="false">F23/F25/F24</f>
        <v>3.14326343463425</v>
      </c>
      <c r="G26" s="39" t="n">
        <f aca="false">G23/G25/G24</f>
        <v>3.25711482220573</v>
      </c>
      <c r="K26" s="11" t="s">
        <v>1309</v>
      </c>
    </row>
    <row r="27" customFormat="false" ht="15" hidden="false" customHeight="false" outlineLevel="1" collapsed="false">
      <c r="A27" s="3" t="s">
        <v>1310</v>
      </c>
      <c r="C27" s="24" t="n">
        <v>1</v>
      </c>
      <c r="K27" s="6" t="s">
        <v>1311</v>
      </c>
    </row>
    <row r="28" customFormat="false" ht="15" hidden="false" customHeight="false" outlineLevel="1" collapsed="false">
      <c r="A28" s="3" t="s">
        <v>1312</v>
      </c>
      <c r="B28" s="11" t="s">
        <v>59</v>
      </c>
      <c r="C28" s="65" t="n">
        <f aca="false">C24*運營_站點!$H$10*$C$27*C25</f>
        <v>0</v>
      </c>
      <c r="D28" s="65" t="n">
        <f aca="false">D24*運營_站點!$H$10*$C$27*D25</f>
        <v>0</v>
      </c>
      <c r="E28" s="65" t="n">
        <f aca="false">E24*運營_站點!$H$10*$C$27*E25</f>
        <v>0</v>
      </c>
      <c r="F28" s="65" t="n">
        <f aca="false">F24*運營_站點!$H$10*$C$27*F25</f>
        <v>0</v>
      </c>
      <c r="G28" s="65" t="n">
        <f aca="false">G24*運營_站點!$H$10*$C$27*G25</f>
        <v>0</v>
      </c>
      <c r="K28" s="6" t="s">
        <v>1313</v>
      </c>
    </row>
    <row r="29" customFormat="false" ht="15" hidden="false" customHeight="false" outlineLevel="1" collapsed="false">
      <c r="A29" s="2" t="s">
        <v>1314</v>
      </c>
      <c r="B29" s="11" t="s">
        <v>59</v>
      </c>
      <c r="C29" s="39" t="n">
        <f aca="false">C28-C23</f>
        <v>-10.6160448931276</v>
      </c>
      <c r="D29" s="39" t="n">
        <f aca="false">D28-D23</f>
        <v>-41.4457645991519</v>
      </c>
      <c r="E29" s="39" t="n">
        <f aca="false">E28-E23</f>
        <v>-52.1595645804017</v>
      </c>
      <c r="F29" s="39" t="n">
        <f aca="false">F28-F23</f>
        <v>-66.1594087721817</v>
      </c>
      <c r="G29" s="39" t="n">
        <f aca="false">G28-G23</f>
        <v>-78.3270972444033</v>
      </c>
      <c r="K29" s="6" t="s">
        <v>1315</v>
      </c>
    </row>
    <row r="30" customFormat="false" ht="15" hidden="false" customHeight="false" outlineLevel="1" collapsed="false">
      <c r="A30" s="2" t="s">
        <v>1316</v>
      </c>
      <c r="C30" s="74" t="n">
        <f aca="false">SUM(C29:G29)</f>
        <v>-248.707880089266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3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2"/>
    <col collapsed="false" customWidth="true" hidden="false" outlineLevel="0" max="8" min="8" style="0" width="4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5" t="s">
        <v>1317</v>
      </c>
    </row>
    <row r="2" customFormat="false" ht="15" hidden="false" customHeight="false" outlineLevel="0" collapsed="false">
      <c r="A2" s="6" t="s">
        <v>1318</v>
      </c>
    </row>
    <row r="3" customFormat="false" ht="15" hidden="false" customHeight="false" outlineLevel="0" collapsed="false">
      <c r="A3" s="6" t="s">
        <v>1319</v>
      </c>
    </row>
    <row r="4" customFormat="false" ht="15" hidden="false" customHeight="false" outlineLevel="0" collapsed="false">
      <c r="A4" s="7" t="s">
        <v>1320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14" t="s">
        <v>53</v>
      </c>
      <c r="B5" s="14" t="s">
        <v>54</v>
      </c>
      <c r="C5" s="14" t="s">
        <v>1321</v>
      </c>
      <c r="D5" s="14" t="s">
        <v>1322</v>
      </c>
      <c r="E5" s="14" t="s">
        <v>1323</v>
      </c>
      <c r="I5" s="14" t="s">
        <v>1324</v>
      </c>
    </row>
    <row r="6" customFormat="false" ht="15" hidden="false" customHeight="false" outlineLevel="1" collapsed="false">
      <c r="A6" s="4" t="s">
        <v>1325</v>
      </c>
      <c r="B6" s="6" t="s">
        <v>1326</v>
      </c>
      <c r="C6" s="75" t="n">
        <f aca="false">8.9073/TK_HoldEcon_GB300</f>
        <v>0.81820353817925</v>
      </c>
      <c r="D6" s="75" t="n">
        <f aca="false">9.7/TK_HoldEcon_GB300</f>
        <v>0.891019087752599</v>
      </c>
      <c r="E6" s="75" t="n">
        <f aca="false">12.7247/TK_HoldEcon_GB300</f>
        <v>1.16886088514696</v>
      </c>
      <c r="I6" s="11" t="s">
        <v>1327</v>
      </c>
    </row>
    <row r="7" customFormat="false" ht="15" hidden="false" customHeight="false" outlineLevel="1" collapsed="false">
      <c r="A7" s="4" t="s">
        <v>1328</v>
      </c>
      <c r="B7" s="6" t="s">
        <v>1326</v>
      </c>
      <c r="C7" s="75" t="n">
        <f aca="false">2.4075/TK_GPUhrEcon_H100</f>
        <v>1.56068027206872</v>
      </c>
      <c r="D7" s="75" t="n">
        <f aca="false">2.82/TK_GPUhrEcon_H100</f>
        <v>1.82808654921445</v>
      </c>
      <c r="E7" s="75" t="n">
        <f aca="false">6.82/TK_GPUhrEcon_GB300</f>
        <v>2.67263621959162</v>
      </c>
      <c r="I7" s="11" t="s">
        <v>1329</v>
      </c>
    </row>
    <row r="8" customFormat="false" ht="15" hidden="false" customHeight="false" outlineLevel="1" collapsed="false">
      <c r="A8" s="76" t="s">
        <v>1330</v>
      </c>
      <c r="B8" s="6" t="s">
        <v>1326</v>
      </c>
      <c r="C8" s="77" t="n">
        <f aca="false">CHOOSE(輸入與假設!$F$5,C6,D6,E6)</f>
        <v>0.891019087752599</v>
      </c>
      <c r="I8" s="6" t="s">
        <v>1331</v>
      </c>
    </row>
    <row r="9" customFormat="false" ht="15" hidden="false" customHeight="false" outlineLevel="1" collapsed="false">
      <c r="A9" s="76" t="s">
        <v>1332</v>
      </c>
      <c r="B9" s="6" t="s">
        <v>1326</v>
      </c>
      <c r="C9" s="77" t="n">
        <f aca="false">CHOOSE(輸入與假設!$F$5,C7,D7,E7)</f>
        <v>1.82808654921445</v>
      </c>
      <c r="I9" s="6" t="s">
        <v>1331</v>
      </c>
    </row>
    <row r="10" customFormat="false" ht="15" hidden="false" customHeight="false" outlineLevel="1" collapsed="false">
      <c r="A10" s="2" t="s">
        <v>1333</v>
      </c>
      <c r="B10" s="11" t="s">
        <v>42</v>
      </c>
      <c r="C10" s="24" t="n">
        <v>0.25</v>
      </c>
      <c r="I10" s="6" t="s">
        <v>1334</v>
      </c>
    </row>
    <row r="11" customFormat="false" ht="15" hidden="false" customHeight="false" outlineLevel="1" collapsed="false">
      <c r="A11" s="4" t="s">
        <v>1335</v>
      </c>
      <c r="B11" s="6" t="s">
        <v>1326</v>
      </c>
      <c r="C11" s="75" t="n">
        <f aca="false">165.2/3/2.858/TK_HoldEcon_GB300</f>
        <v>1.76987191312899</v>
      </c>
      <c r="D11" s="75" t="n">
        <f aca="false">87.5/5/1.183/TK_HoldEcon_GB300</f>
        <v>1.35884079752425</v>
      </c>
      <c r="E11" s="75" t="n">
        <f aca="false">108.2/3/1.974/TK_HoldEcon_VR200</f>
        <v>1.49449084082047</v>
      </c>
      <c r="F11" s="75" t="n">
        <f aca="false">50.2/2/2.852/TK_HoldEcon_H100</f>
        <v>0.907014567138924</v>
      </c>
      <c r="I11" s="11" t="s">
        <v>1336</v>
      </c>
    </row>
    <row r="12" customFormat="false" ht="15" hidden="false" customHeight="false" outlineLevel="1" collapsed="false">
      <c r="A12" s="3" t="s">
        <v>1337</v>
      </c>
      <c r="I12" s="6" t="s">
        <v>1338</v>
      </c>
    </row>
    <row r="14" customFormat="false" ht="15" hidden="false" customHeight="false" outlineLevel="0" collapsed="false">
      <c r="A14" s="7" t="s">
        <v>1339</v>
      </c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1" collapsed="false">
      <c r="A15" s="14" t="s">
        <v>1340</v>
      </c>
      <c r="B15" s="14" t="s">
        <v>54</v>
      </c>
      <c r="C15" s="15" t="s">
        <v>1341</v>
      </c>
      <c r="D15" s="15" t="s">
        <v>1342</v>
      </c>
      <c r="E15" s="14" t="s">
        <v>1343</v>
      </c>
      <c r="I15" s="14" t="s">
        <v>1324</v>
      </c>
    </row>
    <row r="16" customFormat="false" ht="15" hidden="false" customHeight="false" outlineLevel="1" collapsed="false">
      <c r="A16" s="3" t="s">
        <v>1344</v>
      </c>
      <c r="B16" s="11" t="s">
        <v>161</v>
      </c>
      <c r="C16" s="78" t="n">
        <f aca="false">TK_HoldEcon_H100</f>
        <v>9.70308728611469</v>
      </c>
      <c r="D16" s="78" t="n">
        <f aca="false">TK_RevGWFleet_H100</f>
        <v>6.68304023377571</v>
      </c>
      <c r="E16" s="24" t="n">
        <v>0.6</v>
      </c>
      <c r="I16" s="11" t="s">
        <v>1345</v>
      </c>
    </row>
    <row r="17" customFormat="false" ht="15" hidden="false" customHeight="false" outlineLevel="1" collapsed="false">
      <c r="A17" s="3" t="s">
        <v>1346</v>
      </c>
      <c r="B17" s="11" t="s">
        <v>161</v>
      </c>
      <c r="C17" s="78" t="n">
        <f aca="false">TK_HoldEcon_GB200</f>
        <v>8.82816556596761</v>
      </c>
      <c r="D17" s="78" t="n">
        <f aca="false">TK_RevGWFleet_GB200</f>
        <v>32.8855044002063</v>
      </c>
      <c r="E17" s="24" t="n">
        <v>0.35</v>
      </c>
      <c r="I17" s="6" t="s">
        <v>1347</v>
      </c>
    </row>
    <row r="18" customFormat="false" ht="15" hidden="false" customHeight="false" outlineLevel="1" collapsed="false">
      <c r="A18" s="3" t="s">
        <v>1348</v>
      </c>
      <c r="B18" s="11" t="s">
        <v>161</v>
      </c>
      <c r="C18" s="78" t="n">
        <f aca="false">TK_HoldEcon_GB300</f>
        <v>10.8864110021101</v>
      </c>
      <c r="D18" s="78" t="n">
        <f aca="false">TK_RevGWFleet_GB300</f>
        <v>40.1114652107936</v>
      </c>
      <c r="E18" s="24" t="n">
        <v>0.05</v>
      </c>
      <c r="I18" s="6" t="s">
        <v>1349</v>
      </c>
    </row>
    <row r="19" customFormat="false" ht="15" hidden="false" customHeight="false" outlineLevel="1" collapsed="false">
      <c r="A19" s="3" t="s">
        <v>1350</v>
      </c>
      <c r="B19" s="11" t="s">
        <v>161</v>
      </c>
      <c r="C19" s="78" t="n">
        <f aca="false">TK_HoldEcon_VR200</f>
        <v>12.2254710045841</v>
      </c>
      <c r="D19" s="78" t="n">
        <f aca="false">TK_RevGWFleet_VR200</f>
        <v>65.9628389770872</v>
      </c>
      <c r="E19" s="24" t="n">
        <v>0</v>
      </c>
      <c r="I19" s="11" t="s">
        <v>1351</v>
      </c>
    </row>
    <row r="20" customFormat="false" ht="15" hidden="false" customHeight="false" outlineLevel="1" collapsed="false">
      <c r="A20" s="3" t="s">
        <v>1352</v>
      </c>
      <c r="E20" s="59" t="n">
        <f aca="false">SUM(E16:E19)</f>
        <v>1</v>
      </c>
      <c r="I20" s="11" t="s">
        <v>1353</v>
      </c>
    </row>
    <row r="21" customFormat="false" ht="15" hidden="false" customHeight="false" outlineLevel="1" collapsed="false">
      <c r="A21" s="3" t="s">
        <v>1354</v>
      </c>
      <c r="B21" s="11" t="s">
        <v>143</v>
      </c>
      <c r="C21" s="21" t="n">
        <v>5.5</v>
      </c>
      <c r="I21" s="6" t="s">
        <v>1355</v>
      </c>
    </row>
    <row r="22" customFormat="false" ht="15" hidden="false" customHeight="false" outlineLevel="1" collapsed="false"/>
    <row r="23" customFormat="false" ht="15" hidden="false" customHeight="false" outlineLevel="1" collapsed="false">
      <c r="A23" s="14" t="s">
        <v>1356</v>
      </c>
      <c r="B23" s="14" t="s">
        <v>54</v>
      </c>
      <c r="C23" s="15" t="s">
        <v>55</v>
      </c>
      <c r="D23" s="15" t="s">
        <v>56</v>
      </c>
      <c r="E23" s="15" t="s">
        <v>57</v>
      </c>
      <c r="F23" s="15" t="s">
        <v>139</v>
      </c>
      <c r="G23" s="15" t="s">
        <v>140</v>
      </c>
      <c r="I23" s="14" t="s">
        <v>1324</v>
      </c>
    </row>
    <row r="24" customFormat="false" ht="15" hidden="false" customHeight="false" outlineLevel="1" collapsed="false">
      <c r="A24" s="3" t="s">
        <v>1357</v>
      </c>
      <c r="B24" s="11" t="s">
        <v>42</v>
      </c>
      <c r="C24" s="24" t="n">
        <v>0</v>
      </c>
      <c r="D24" s="24" t="n">
        <v>0</v>
      </c>
      <c r="E24" s="24" t="n">
        <v>0</v>
      </c>
      <c r="F24" s="24" t="n">
        <v>0</v>
      </c>
      <c r="G24" s="24" t="n">
        <v>0</v>
      </c>
      <c r="I24" s="11" t="s">
        <v>1358</v>
      </c>
    </row>
    <row r="25" customFormat="false" ht="15" hidden="false" customHeight="false" outlineLevel="1" collapsed="false">
      <c r="A25" s="3" t="s">
        <v>1359</v>
      </c>
      <c r="B25" s="11" t="s">
        <v>42</v>
      </c>
      <c r="C25" s="24" t="n">
        <v>0.047</v>
      </c>
      <c r="D25" s="24" t="n">
        <v>0</v>
      </c>
      <c r="E25" s="24" t="n">
        <v>0</v>
      </c>
      <c r="F25" s="24" t="n">
        <v>0</v>
      </c>
      <c r="G25" s="24" t="n">
        <v>0</v>
      </c>
    </row>
    <row r="26" customFormat="false" ht="15" hidden="false" customHeight="false" outlineLevel="1" collapsed="false">
      <c r="A26" s="3" t="s">
        <v>1360</v>
      </c>
      <c r="B26" s="11" t="s">
        <v>42</v>
      </c>
      <c r="C26" s="24" t="n">
        <v>0.953</v>
      </c>
      <c r="D26" s="24" t="n">
        <v>0</v>
      </c>
      <c r="E26" s="24" t="n">
        <v>0.5</v>
      </c>
      <c r="F26" s="24" t="n">
        <v>0</v>
      </c>
      <c r="G26" s="24" t="n">
        <v>0</v>
      </c>
    </row>
    <row r="27" customFormat="false" ht="15" hidden="false" customHeight="false" outlineLevel="1" collapsed="false">
      <c r="A27" s="3" t="s">
        <v>1361</v>
      </c>
      <c r="B27" s="11" t="s">
        <v>42</v>
      </c>
      <c r="C27" s="24" t="n">
        <v>0</v>
      </c>
      <c r="D27" s="24" t="n">
        <v>1</v>
      </c>
      <c r="E27" s="24" t="n">
        <v>0.5</v>
      </c>
      <c r="F27" s="24" t="n">
        <v>1</v>
      </c>
      <c r="G27" s="24" t="n">
        <v>1</v>
      </c>
    </row>
    <row r="29" customFormat="false" ht="15" hidden="false" customHeight="false" outlineLevel="0" collapsed="false">
      <c r="A29" s="7" t="s">
        <v>1362</v>
      </c>
      <c r="B29" s="8"/>
      <c r="C29" s="8"/>
      <c r="D29" s="8"/>
      <c r="E29" s="8"/>
      <c r="F29" s="8"/>
      <c r="G29" s="8"/>
      <c r="H29" s="8"/>
    </row>
    <row r="30" customFormat="false" ht="15" hidden="false" customHeight="false" outlineLevel="1" collapsed="false">
      <c r="A30" s="14" t="s">
        <v>1340</v>
      </c>
      <c r="B30" s="14" t="s">
        <v>54</v>
      </c>
      <c r="C30" s="15" t="s">
        <v>1363</v>
      </c>
      <c r="D30" s="15" t="s">
        <v>1364</v>
      </c>
      <c r="E30" s="15" t="s">
        <v>1365</v>
      </c>
      <c r="F30" s="15" t="s">
        <v>1366</v>
      </c>
      <c r="I30" s="14" t="s">
        <v>1324</v>
      </c>
    </row>
    <row r="31" customFormat="false" ht="15" hidden="false" customHeight="false" outlineLevel="1" collapsed="false">
      <c r="A31" s="3" t="s">
        <v>1367</v>
      </c>
      <c r="B31" s="11" t="s">
        <v>161</v>
      </c>
      <c r="C31" s="78" t="n">
        <f aca="false">TK_RevGWFleet_100_H100</f>
        <v>11.1384003896262</v>
      </c>
      <c r="D31" s="78" t="n">
        <f aca="false">TK_RevGWFleet_Util_H100</f>
        <v>6.68304023377571</v>
      </c>
      <c r="E31" s="78" t="n">
        <f aca="false">TK_RevGWFleet_Prod_H100</f>
        <v>5.01848956376868</v>
      </c>
      <c r="F31" s="78" t="n">
        <f aca="false">TK_RevGWFleet_Life_H100</f>
        <v>5.01848956376868</v>
      </c>
      <c r="I31" s="6" t="s">
        <v>1368</v>
      </c>
    </row>
    <row r="32" customFormat="false" ht="15" hidden="false" customHeight="false" outlineLevel="1" collapsed="false">
      <c r="A32" s="3" t="s">
        <v>1369</v>
      </c>
      <c r="B32" s="11" t="s">
        <v>161</v>
      </c>
      <c r="C32" s="78" t="n">
        <f aca="false">TK_RevGWFleet_100_GB200</f>
        <v>54.8091740003439</v>
      </c>
      <c r="D32" s="78" t="n">
        <f aca="false">TK_RevGWFleet_Util_GB200</f>
        <v>32.8855044002063</v>
      </c>
      <c r="E32" s="78" t="n">
        <f aca="false">TK_RevGWFleet_Prod_GB200</f>
        <v>26.277375674595</v>
      </c>
      <c r="F32" s="78" t="n">
        <f aca="false">TK_RevGWFleet_Life_GB200</f>
        <v>26.277375674595</v>
      </c>
    </row>
    <row r="33" customFormat="false" ht="15" hidden="false" customHeight="false" outlineLevel="1" collapsed="false">
      <c r="A33" s="3" t="s">
        <v>1370</v>
      </c>
      <c r="B33" s="11" t="s">
        <v>161</v>
      </c>
      <c r="C33" s="78" t="n">
        <f aca="false">TK_RevGWFleet_100_GB300</f>
        <v>66.8524420179894</v>
      </c>
      <c r="D33" s="78" t="n">
        <f aca="false">TK_RevGWFleet_Util_GB300</f>
        <v>40.1114652107936</v>
      </c>
      <c r="E33" s="78" t="n">
        <f aca="false">TK_RevGWFleet_Prod_GB300</f>
        <v>31.7743161074204</v>
      </c>
      <c r="F33" s="78" t="n">
        <f aca="false">TK_RevGWFleet_Life_GB300</f>
        <v>31.7743161074204</v>
      </c>
    </row>
    <row r="34" customFormat="false" ht="15" hidden="false" customHeight="false" outlineLevel="1" collapsed="false">
      <c r="A34" s="3" t="s">
        <v>1371</v>
      </c>
      <c r="B34" s="11" t="s">
        <v>161</v>
      </c>
      <c r="C34" s="78" t="n">
        <f aca="false">TK_RevGWFleet_100_VR200</f>
        <v>109.938064961812</v>
      </c>
      <c r="D34" s="78" t="n">
        <f aca="false">TK_RevGWFleet_Util_VR200</f>
        <v>65.9628389770872</v>
      </c>
      <c r="E34" s="78" t="n">
        <f aca="false">TK_RevGWFleet_Prod_VR200</f>
        <v>53.1540686485926</v>
      </c>
      <c r="F34" s="78" t="n">
        <f aca="false">TK_RevGWFleet_Life_VR200</f>
        <v>53.1540686485926</v>
      </c>
    </row>
    <row r="35" customFormat="false" ht="15" hidden="false" customHeight="false" outlineLevel="1" collapsed="false"/>
    <row r="36" customFormat="false" ht="15" hidden="false" customHeight="false" outlineLevel="1" collapsed="false">
      <c r="A36" s="19" t="s">
        <v>1372</v>
      </c>
      <c r="B36" s="20"/>
      <c r="C36" s="20"/>
      <c r="D36" s="20"/>
      <c r="E36" s="20"/>
      <c r="F36" s="20"/>
      <c r="G36" s="20"/>
      <c r="H36" s="20"/>
    </row>
    <row r="37" customFormat="false" ht="15" hidden="false" customHeight="false" outlineLevel="2" collapsed="false">
      <c r="A37" s="14" t="s">
        <v>53</v>
      </c>
      <c r="B37" s="14" t="s">
        <v>54</v>
      </c>
      <c r="C37" s="15" t="s">
        <v>55</v>
      </c>
      <c r="D37" s="15" t="s">
        <v>56</v>
      </c>
      <c r="E37" s="15" t="s">
        <v>57</v>
      </c>
      <c r="F37" s="15" t="s">
        <v>139</v>
      </c>
      <c r="G37" s="15" t="s">
        <v>140</v>
      </c>
      <c r="I37" s="14" t="s">
        <v>1324</v>
      </c>
    </row>
    <row r="38" customFormat="false" ht="15" hidden="false" customHeight="false" outlineLevel="2" collapsed="false">
      <c r="A38" s="3" t="s">
        <v>1373</v>
      </c>
      <c r="B38" s="11" t="s">
        <v>143</v>
      </c>
      <c r="C38" s="37" t="n">
        <f aca="false">輸入與假設!C11</f>
        <v>12.074</v>
      </c>
      <c r="D38" s="37" t="n">
        <f aca="false">輸入與假設!D11</f>
        <v>14.048</v>
      </c>
      <c r="E38" s="37" t="n">
        <f aca="false">輸入與假設!E11</f>
        <v>14.048</v>
      </c>
      <c r="F38" s="37" t="n">
        <f aca="false">輸入與假設!F11</f>
        <v>14.048</v>
      </c>
      <c r="G38" s="37" t="n">
        <f aca="false">輸入與假設!G11</f>
        <v>14.048</v>
      </c>
      <c r="I38" s="6" t="s">
        <v>1374</v>
      </c>
    </row>
    <row r="39" customFormat="false" ht="15" hidden="false" customHeight="false" outlineLevel="2" collapsed="false">
      <c r="A39" s="3" t="s">
        <v>1375</v>
      </c>
      <c r="B39" s="11" t="s">
        <v>143</v>
      </c>
      <c r="C39" s="67" t="n">
        <f aca="false">$C$21</f>
        <v>5.5</v>
      </c>
      <c r="D39" s="67" t="n">
        <f aca="false">C38</f>
        <v>12.074</v>
      </c>
      <c r="E39" s="67" t="n">
        <f aca="false">D38</f>
        <v>14.048</v>
      </c>
      <c r="F39" s="67" t="n">
        <f aca="false">E38</f>
        <v>14.048</v>
      </c>
      <c r="G39" s="67" t="n">
        <f aca="false">F38</f>
        <v>14.048</v>
      </c>
    </row>
    <row r="40" customFormat="false" ht="15" hidden="false" customHeight="false" outlineLevel="2" collapsed="false">
      <c r="A40" s="3" t="s">
        <v>1376</v>
      </c>
      <c r="B40" s="11" t="s">
        <v>143</v>
      </c>
      <c r="C40" s="67" t="n">
        <f aca="false">MAX(0,C38-C39)</f>
        <v>6.574</v>
      </c>
      <c r="D40" s="67" t="n">
        <f aca="false">MAX(0,D38-D39)</f>
        <v>1.974</v>
      </c>
      <c r="E40" s="67" t="n">
        <f aca="false">MAX(0,E38-E39)</f>
        <v>0</v>
      </c>
      <c r="F40" s="67" t="n">
        <f aca="false">MAX(0,F38-F39)</f>
        <v>0</v>
      </c>
      <c r="G40" s="67" t="n">
        <f aca="false">MAX(0,G38-G39)</f>
        <v>0</v>
      </c>
    </row>
    <row r="41" customFormat="false" ht="15" hidden="false" customHeight="false" outlineLevel="2" collapsed="false">
      <c r="A41" s="3" t="s">
        <v>1377</v>
      </c>
      <c r="B41" s="11" t="s">
        <v>143</v>
      </c>
      <c r="C41" s="67" t="n">
        <f aca="false">$C$21*$E$16+C40*C24</f>
        <v>3.3</v>
      </c>
      <c r="D41" s="67" t="n">
        <f aca="false">C41+D40*D24</f>
        <v>3.3</v>
      </c>
      <c r="E41" s="67" t="n">
        <f aca="false">D41+E40*E24</f>
        <v>3.3</v>
      </c>
      <c r="F41" s="67" t="n">
        <f aca="false">E41+F40*F24</f>
        <v>3.3</v>
      </c>
      <c r="G41" s="67" t="n">
        <f aca="false">F41+G40*G24</f>
        <v>3.3</v>
      </c>
    </row>
    <row r="42" customFormat="false" ht="15" hidden="false" customHeight="false" outlineLevel="2" collapsed="false">
      <c r="A42" s="3" t="s">
        <v>1378</v>
      </c>
      <c r="B42" s="11" t="s">
        <v>143</v>
      </c>
      <c r="C42" s="67" t="n">
        <f aca="false">$C$21*$E$17+C40*C25</f>
        <v>2.233978</v>
      </c>
      <c r="D42" s="67" t="n">
        <f aca="false">C42+D40*D25</f>
        <v>2.233978</v>
      </c>
      <c r="E42" s="67" t="n">
        <f aca="false">D42+E40*E25</f>
        <v>2.233978</v>
      </c>
      <c r="F42" s="67" t="n">
        <f aca="false">E42+F40*F25</f>
        <v>2.233978</v>
      </c>
      <c r="G42" s="67" t="n">
        <f aca="false">F42+G40*G25</f>
        <v>2.233978</v>
      </c>
    </row>
    <row r="43" customFormat="false" ht="15" hidden="false" customHeight="false" outlineLevel="2" collapsed="false">
      <c r="A43" s="3" t="s">
        <v>1379</v>
      </c>
      <c r="B43" s="11" t="s">
        <v>143</v>
      </c>
      <c r="C43" s="67" t="n">
        <f aca="false">$C$21*$E$18+C40*C26</f>
        <v>6.540022</v>
      </c>
      <c r="D43" s="67" t="n">
        <f aca="false">C43+D40*D26</f>
        <v>6.540022</v>
      </c>
      <c r="E43" s="67" t="n">
        <f aca="false">D43+E40*E26</f>
        <v>6.540022</v>
      </c>
      <c r="F43" s="67" t="n">
        <f aca="false">E43+F40*F26</f>
        <v>6.540022</v>
      </c>
      <c r="G43" s="67" t="n">
        <f aca="false">F43+G40*G26</f>
        <v>6.540022</v>
      </c>
    </row>
    <row r="44" customFormat="false" ht="15" hidden="false" customHeight="false" outlineLevel="2" collapsed="false">
      <c r="A44" s="3" t="s">
        <v>1380</v>
      </c>
      <c r="B44" s="11" t="s">
        <v>143</v>
      </c>
      <c r="C44" s="67" t="n">
        <f aca="false">$C$21*$E$19+C40*C27</f>
        <v>0</v>
      </c>
      <c r="D44" s="67" t="n">
        <f aca="false">C44+D40*D27</f>
        <v>1.974</v>
      </c>
      <c r="E44" s="67" t="n">
        <f aca="false">D44+E40*E27</f>
        <v>1.974</v>
      </c>
      <c r="F44" s="67" t="n">
        <f aca="false">E44+F40*F27</f>
        <v>1.974</v>
      </c>
      <c r="G44" s="67" t="n">
        <f aca="false">F44+G40*G27</f>
        <v>1.974</v>
      </c>
    </row>
    <row r="45" customFormat="false" ht="15" hidden="false" customHeight="false" outlineLevel="2" collapsed="false">
      <c r="A45" s="3" t="s">
        <v>1381</v>
      </c>
      <c r="B45" s="11" t="s">
        <v>42</v>
      </c>
      <c r="C45" s="66" t="n">
        <f aca="false">($C$21*$E$16+C41)/(C39+C38)</f>
        <v>0.375554796858996</v>
      </c>
      <c r="D45" s="66" t="n">
        <f aca="false">(C41+D41)/(D39+D38)</f>
        <v>0.252660592603935</v>
      </c>
      <c r="E45" s="66" t="n">
        <f aca="false">(D41+E41)/(E39+E38)</f>
        <v>0.234908883826879</v>
      </c>
      <c r="F45" s="66" t="n">
        <f aca="false">(E41+F41)/(F39+F38)</f>
        <v>0.234908883826879</v>
      </c>
      <c r="G45" s="66" t="n">
        <f aca="false">(F41+G41)/(G39+G38)</f>
        <v>0.234908883826879</v>
      </c>
    </row>
    <row r="46" customFormat="false" ht="15" hidden="false" customHeight="false" outlineLevel="2" collapsed="false">
      <c r="A46" s="3" t="s">
        <v>1382</v>
      </c>
      <c r="B46" s="11" t="s">
        <v>42</v>
      </c>
      <c r="C46" s="66" t="n">
        <f aca="false">($C$21*$E$17+C42)/(C39+C38)</f>
        <v>0.236655172413793</v>
      </c>
      <c r="D46" s="66" t="n">
        <f aca="false">(C42+D42)/(D39+D38)</f>
        <v>0.171041880407319</v>
      </c>
      <c r="E46" s="66" t="n">
        <f aca="false">(D42+E42)/(E39+E38)</f>
        <v>0.159024629840547</v>
      </c>
      <c r="F46" s="66" t="n">
        <f aca="false">(E42+F42)/(F39+F38)</f>
        <v>0.159024629840547</v>
      </c>
      <c r="G46" s="66" t="n">
        <f aca="false">(F42+G42)/(G39+G38)</f>
        <v>0.159024629840547</v>
      </c>
    </row>
    <row r="47" customFormat="false" ht="15" hidden="false" customHeight="false" outlineLevel="2" collapsed="false">
      <c r="A47" s="3" t="s">
        <v>1383</v>
      </c>
      <c r="B47" s="11" t="s">
        <v>42</v>
      </c>
      <c r="C47" s="66" t="n">
        <f aca="false">($C$21*$E$18+C43)/(C39+C38)</f>
        <v>0.387790030727211</v>
      </c>
      <c r="D47" s="66" t="n">
        <f aca="false">(C43+D43)/(D39+D38)</f>
        <v>0.500729040655386</v>
      </c>
      <c r="E47" s="66" t="n">
        <f aca="false">(D43+E43)/(E39+E38)</f>
        <v>0.46554826309795</v>
      </c>
      <c r="F47" s="66" t="n">
        <f aca="false">(E43+F43)/(F39+F38)</f>
        <v>0.46554826309795</v>
      </c>
      <c r="G47" s="66" t="n">
        <f aca="false">(F43+G43)/(G39+G38)</f>
        <v>0.46554826309795</v>
      </c>
    </row>
    <row r="48" customFormat="false" ht="15" hidden="false" customHeight="false" outlineLevel="2" collapsed="false">
      <c r="A48" s="3" t="s">
        <v>1384</v>
      </c>
      <c r="B48" s="11" t="s">
        <v>42</v>
      </c>
      <c r="C48" s="66" t="n">
        <f aca="false">($C$21*$E$19+C44)/(C39+C38)</f>
        <v>0</v>
      </c>
      <c r="D48" s="66" t="n">
        <f aca="false">(C44+D44)/(D39+D38)</f>
        <v>0.0755684863333589</v>
      </c>
      <c r="E48" s="66" t="n">
        <f aca="false">(D44+E44)/(E39+E38)</f>
        <v>0.140518223234624</v>
      </c>
      <c r="F48" s="66" t="n">
        <f aca="false">(E44+F44)/(F39+F38)</f>
        <v>0.140518223234624</v>
      </c>
      <c r="G48" s="66" t="n">
        <f aca="false">(F44+G44)/(G39+G38)</f>
        <v>0.140518223234624</v>
      </c>
    </row>
    <row r="49" customFormat="false" ht="15" hidden="false" customHeight="false" outlineLevel="2" collapsed="false">
      <c r="A49" s="2" t="s">
        <v>1385</v>
      </c>
      <c r="B49" s="11" t="s">
        <v>161</v>
      </c>
      <c r="C49" s="55" t="n">
        <f aca="false">C45*$C$16+C46*$C$17+C47*$C$18+C48*$C$19</f>
        <v>9.95491367577081</v>
      </c>
      <c r="D49" s="55" t="n">
        <f aca="false">D45*$C$16+D46*$C$17+D47*$C$18+D48*$C$19</f>
        <v>10.3365762985433</v>
      </c>
      <c r="E49" s="55" t="n">
        <f aca="false">E45*$C$16+E46*$C$17+E47*$C$18+E48*$C$19</f>
        <v>10.4692883625284</v>
      </c>
      <c r="F49" s="55" t="n">
        <f aca="false">F45*$C$16+F46*$C$17+F47*$C$18+F48*$C$19</f>
        <v>10.4692883625284</v>
      </c>
      <c r="G49" s="55" t="n">
        <f aca="false">G45*$C$16+G46*$C$17+G47*$C$18+G48*$C$19</f>
        <v>10.4692883625284</v>
      </c>
      <c r="I49" s="11" t="s">
        <v>1386</v>
      </c>
    </row>
    <row r="50" customFormat="false" ht="15" hidden="false" customHeight="false" outlineLevel="2" collapsed="false">
      <c r="A50" s="2" t="s">
        <v>1387</v>
      </c>
      <c r="B50" s="6" t="s">
        <v>1326</v>
      </c>
      <c r="C50" s="55" t="n">
        <f aca="false">$C$10*$C$9+(1-$C$10)*$C$8</f>
        <v>1.12528595311806</v>
      </c>
      <c r="D50" s="55" t="n">
        <f aca="false">$C$10*$C$9+(1-$C$10)*$C$8</f>
        <v>1.12528595311806</v>
      </c>
      <c r="E50" s="55" t="n">
        <f aca="false">$C$10*$C$9+(1-$C$10)*$C$8</f>
        <v>1.12528595311806</v>
      </c>
      <c r="F50" s="55" t="n">
        <f aca="false">$C$10*$C$9+(1-$C$10)*$C$8</f>
        <v>1.12528595311806</v>
      </c>
      <c r="G50" s="55" t="n">
        <f aca="false">$C$10*$C$9+(1-$C$10)*$C$8</f>
        <v>1.12528595311806</v>
      </c>
    </row>
    <row r="51" customFormat="false" ht="15" hidden="false" customHeight="false" outlineLevel="2" collapsed="false">
      <c r="A51" s="2" t="s">
        <v>1388</v>
      </c>
      <c r="B51" s="11" t="s">
        <v>161</v>
      </c>
      <c r="C51" s="55" t="n">
        <f aca="false">C49*C50</f>
        <v>11.2021245238478</v>
      </c>
      <c r="D51" s="55" t="n">
        <f aca="false">D49*D50</f>
        <v>11.6316041120839</v>
      </c>
      <c r="E51" s="55" t="n">
        <f aca="false">E49*E50</f>
        <v>11.7809431334956</v>
      </c>
      <c r="F51" s="55" t="n">
        <f aca="false">F49*F50</f>
        <v>11.7809431334956</v>
      </c>
      <c r="G51" s="55" t="n">
        <f aca="false">G49*G50</f>
        <v>11.7809431334956</v>
      </c>
      <c r="I51" s="6" t="s">
        <v>1389</v>
      </c>
    </row>
    <row r="52" customFormat="false" ht="15" hidden="false" customHeight="false" outlineLevel="2" collapsed="false">
      <c r="A52" s="3" t="s">
        <v>1390</v>
      </c>
      <c r="B52" s="11" t="s">
        <v>161</v>
      </c>
      <c r="C52" s="54" t="n">
        <f aca="false">C45*$D$16+C46*$D$17+C47*$D$18+C48*$D$19</f>
        <v>25.8471988577486</v>
      </c>
      <c r="D52" s="54" t="n">
        <f aca="false">D45*$D$16+D46*$D$17+D47*$D$18+D48*$D$19</f>
        <v>32.3830268066483</v>
      </c>
      <c r="E52" s="54" t="n">
        <f aca="false">E45*$D$16+E46*$D$17+E47*$D$18+E48*$D$19</f>
        <v>34.7423145780196</v>
      </c>
      <c r="F52" s="54" t="n">
        <f aca="false">F45*$D$16+F46*$D$17+F47*$D$18+F48*$D$19</f>
        <v>34.7423145780196</v>
      </c>
      <c r="G52" s="54" t="n">
        <f aca="false">G45*$D$16+G46*$D$17+G47*$D$18+G48*$D$19</f>
        <v>34.7423145780196</v>
      </c>
    </row>
    <row r="53" customFormat="false" ht="15" hidden="false" customHeight="false" outlineLevel="2" collapsed="false">
      <c r="A53" s="3" t="s">
        <v>1391</v>
      </c>
      <c r="B53" s="11" t="s">
        <v>161</v>
      </c>
      <c r="C53" s="54" t="n">
        <f aca="false">C45*$C$31+C46*$C$32+C47*$C$33+C48*$C$34</f>
        <v>43.0786647629144</v>
      </c>
      <c r="D53" s="54" t="n">
        <f aca="false">D45*$C$31+D46*$C$32+D47*$C$33+D48*$C$34</f>
        <v>53.9717113444139</v>
      </c>
      <c r="E53" s="54" t="n">
        <f aca="false">E45*$C$31+E46*$C$32+E47*$C$33+E48*$C$34</f>
        <v>57.9038576300327</v>
      </c>
      <c r="F53" s="54" t="n">
        <f aca="false">F45*$C$31+F46*$C$32+F47*$C$33+F48*$C$34</f>
        <v>57.9038576300327</v>
      </c>
      <c r="G53" s="54" t="n">
        <f aca="false">G45*$C$31+G46*$C$32+G47*$C$33+G48*$C$34</f>
        <v>57.9038576300327</v>
      </c>
    </row>
    <row r="54" customFormat="false" ht="15" hidden="false" customHeight="false" outlineLevel="2" collapsed="false">
      <c r="A54" s="3" t="s">
        <v>1392</v>
      </c>
      <c r="B54" s="11" t="s">
        <v>161</v>
      </c>
      <c r="C54" s="54" t="n">
        <f aca="false">C45*$D$31+C46*$D$32+C47*$D$33+C48*$D$34</f>
        <v>25.8471988577486</v>
      </c>
      <c r="D54" s="54" t="n">
        <f aca="false">D45*$D$31+D46*$D$32+D47*$D$33+D48*$D$34</f>
        <v>32.3830268066483</v>
      </c>
      <c r="E54" s="54" t="n">
        <f aca="false">E45*$D$31+E46*$D$32+E47*$D$33+E48*$D$34</f>
        <v>34.7423145780196</v>
      </c>
      <c r="F54" s="54" t="n">
        <f aca="false">F45*$D$31+F46*$D$32+F47*$D$33+F48*$D$34</f>
        <v>34.7423145780196</v>
      </c>
      <c r="G54" s="54" t="n">
        <f aca="false">G45*$D$31+G46*$D$32+G47*$D$33+G48*$D$34</f>
        <v>34.7423145780196</v>
      </c>
    </row>
    <row r="55" customFormat="false" ht="15" hidden="false" customHeight="false" outlineLevel="2" collapsed="false">
      <c r="A55" s="3" t="s">
        <v>1393</v>
      </c>
      <c r="B55" s="11" t="s">
        <v>161</v>
      </c>
      <c r="C55" s="54" t="n">
        <f aca="false">C45*$E$31+C46*$E$32+C47*$E$33+C48*$E$34</f>
        <v>20.4251577191461</v>
      </c>
      <c r="D55" s="54" t="n">
        <f aca="false">D45*$E$31+D46*$E$32+D47*$E$33+D48*$E$34</f>
        <v>25.6896016268939</v>
      </c>
      <c r="E55" s="54" t="n">
        <f aca="false">E45*$E$31+E46*$E$32+E47*$E$33+E48*$E$34</f>
        <v>27.6192306808814</v>
      </c>
      <c r="F55" s="54" t="n">
        <f aca="false">F45*$E$31+F46*$E$32+F47*$E$33+F48*$E$34</f>
        <v>27.6192306808814</v>
      </c>
      <c r="G55" s="54" t="n">
        <f aca="false">G45*$E$31+G46*$E$32+G47*$E$33+G48*$E$34</f>
        <v>27.6192306808814</v>
      </c>
    </row>
    <row r="56" customFormat="false" ht="15" hidden="false" customHeight="false" outlineLevel="2" collapsed="false">
      <c r="A56" s="3" t="s">
        <v>1394</v>
      </c>
      <c r="B56" s="11" t="s">
        <v>161</v>
      </c>
      <c r="C56" s="54" t="n">
        <f aca="false">C45*$F$31+C46*$F$32+C47*$F$33+C48*$F$34</f>
        <v>20.4251577191461</v>
      </c>
      <c r="D56" s="54" t="n">
        <f aca="false">D45*$F$31+D46*$F$32+D47*$F$33+D48*$F$34</f>
        <v>25.6896016268939</v>
      </c>
      <c r="E56" s="54" t="n">
        <f aca="false">E45*$F$31+E46*$F$32+E47*$F$33+E48*$F$34</f>
        <v>27.6192306808814</v>
      </c>
      <c r="F56" s="54" t="n">
        <f aca="false">F45*$F$31+F46*$F$32+F47*$F$33+F48*$F$34</f>
        <v>27.6192306808814</v>
      </c>
      <c r="G56" s="54" t="n">
        <f aca="false">G45*$F$31+G46*$F$32+G47*$F$33+G48*$F$34</f>
        <v>27.6192306808814</v>
      </c>
    </row>
    <row r="57" customFormat="false" ht="15" hidden="false" customHeight="false" outlineLevel="2" collapsed="false">
      <c r="A57" s="3" t="s">
        <v>1395</v>
      </c>
      <c r="B57" s="11" t="s">
        <v>42</v>
      </c>
      <c r="C57" s="66" t="n">
        <f aca="false">C51/C53</f>
        <v>0.26003880541561</v>
      </c>
      <c r="D57" s="66" t="n">
        <f aca="false">D51/D53</f>
        <v>0.215512975637519</v>
      </c>
      <c r="E57" s="66" t="n">
        <f aca="false">E51/E53</f>
        <v>0.20345696497059</v>
      </c>
      <c r="F57" s="66" t="n">
        <f aca="false">F51/F53</f>
        <v>0.20345696497059</v>
      </c>
      <c r="G57" s="66" t="n">
        <f aca="false">G51/G53</f>
        <v>0.20345696497059</v>
      </c>
      <c r="I57" s="6" t="s">
        <v>1396</v>
      </c>
    </row>
    <row r="58" customFormat="false" ht="15" hidden="false" customHeight="false" outlineLevel="2" collapsed="false">
      <c r="A58" s="3" t="s">
        <v>1397</v>
      </c>
      <c r="B58" s="11" t="s">
        <v>42</v>
      </c>
      <c r="C58" s="66" t="n">
        <f aca="false">C51/C54</f>
        <v>0.433398009026017</v>
      </c>
      <c r="D58" s="66" t="n">
        <f aca="false">D51/D54</f>
        <v>0.359188292729199</v>
      </c>
      <c r="E58" s="66" t="n">
        <f aca="false">E51/E54</f>
        <v>0.33909494161765</v>
      </c>
      <c r="F58" s="66" t="n">
        <f aca="false">F51/F54</f>
        <v>0.33909494161765</v>
      </c>
      <c r="G58" s="66" t="n">
        <f aca="false">G51/G54</f>
        <v>0.33909494161765</v>
      </c>
      <c r="I58" s="6" t="s">
        <v>1396</v>
      </c>
    </row>
    <row r="59" customFormat="false" ht="15" hidden="false" customHeight="false" outlineLevel="2" collapsed="false">
      <c r="A59" s="3" t="s">
        <v>1398</v>
      </c>
      <c r="B59" s="11" t="s">
        <v>42</v>
      </c>
      <c r="C59" s="66" t="n">
        <f aca="false">C51/C55</f>
        <v>0.548447394036383</v>
      </c>
      <c r="D59" s="66" t="n">
        <f aca="false">D51/D55</f>
        <v>0.452774795071442</v>
      </c>
      <c r="E59" s="66" t="n">
        <f aca="false">E51/E55</f>
        <v>0.42654856210932</v>
      </c>
      <c r="F59" s="66" t="n">
        <f aca="false">F51/F55</f>
        <v>0.42654856210932</v>
      </c>
      <c r="G59" s="66" t="n">
        <f aca="false">G51/G55</f>
        <v>0.42654856210932</v>
      </c>
      <c r="I59" s="6" t="s">
        <v>1399</v>
      </c>
    </row>
    <row r="60" customFormat="false" ht="15" hidden="false" customHeight="false" outlineLevel="2" collapsed="false">
      <c r="A60" s="3" t="s">
        <v>1400</v>
      </c>
      <c r="B60" s="11" t="s">
        <v>42</v>
      </c>
      <c r="C60" s="66" t="n">
        <f aca="false">C51/C56</f>
        <v>0.548447394036383</v>
      </c>
      <c r="D60" s="66" t="n">
        <f aca="false">D51/D56</f>
        <v>0.452774795071442</v>
      </c>
      <c r="E60" s="66" t="n">
        <f aca="false">E51/E56</f>
        <v>0.42654856210932</v>
      </c>
      <c r="F60" s="66" t="n">
        <f aca="false">F51/F56</f>
        <v>0.42654856210932</v>
      </c>
      <c r="G60" s="66" t="n">
        <f aca="false">G51/G56</f>
        <v>0.42654856210932</v>
      </c>
      <c r="I60" s="6" t="s">
        <v>1396</v>
      </c>
    </row>
    <row r="61" customFormat="false" ht="15" hidden="false" customHeight="false" outlineLevel="2" collapsed="false">
      <c r="A61" s="3" t="s">
        <v>1401</v>
      </c>
      <c r="B61" s="11" t="s">
        <v>42</v>
      </c>
      <c r="C61" s="66" t="n">
        <f aca="false">C59</f>
        <v>0.548447394036383</v>
      </c>
      <c r="D61" s="66" t="n">
        <f aca="false">D59</f>
        <v>0.452774795071442</v>
      </c>
      <c r="E61" s="66" t="n">
        <f aca="false">E59</f>
        <v>0.42654856210932</v>
      </c>
      <c r="F61" s="66" t="n">
        <f aca="false">F59</f>
        <v>0.42654856210932</v>
      </c>
      <c r="G61" s="66" t="n">
        <f aca="false">G59</f>
        <v>0.42654856210932</v>
      </c>
      <c r="I61" s="6" t="s">
        <v>1402</v>
      </c>
    </row>
    <row r="62" customFormat="false" ht="15" hidden="false" customHeight="false" outlineLevel="1" collapsed="false"/>
    <row r="63" customFormat="false" ht="15" hidden="false" customHeight="false" outlineLevel="1" collapsed="false">
      <c r="A63" s="19" t="s">
        <v>1403</v>
      </c>
      <c r="B63" s="20"/>
      <c r="C63" s="20"/>
      <c r="D63" s="20"/>
      <c r="E63" s="20"/>
      <c r="F63" s="20"/>
      <c r="G63" s="20"/>
      <c r="H63" s="20"/>
    </row>
    <row r="64" customFormat="false" ht="15" hidden="false" customHeight="false" outlineLevel="2" collapsed="false">
      <c r="A64" s="14" t="s">
        <v>53</v>
      </c>
      <c r="B64" s="14" t="s">
        <v>54</v>
      </c>
      <c r="C64" s="15" t="s">
        <v>55</v>
      </c>
      <c r="D64" s="15" t="s">
        <v>56</v>
      </c>
      <c r="E64" s="15" t="s">
        <v>57</v>
      </c>
      <c r="F64" s="15" t="s">
        <v>139</v>
      </c>
      <c r="G64" s="15" t="s">
        <v>140</v>
      </c>
      <c r="I64" s="14" t="s">
        <v>1324</v>
      </c>
    </row>
    <row r="65" customFormat="false" ht="15" hidden="false" customHeight="false" outlineLevel="2" collapsed="false">
      <c r="A65" s="3" t="s">
        <v>1404</v>
      </c>
      <c r="B65" s="11" t="s">
        <v>143</v>
      </c>
      <c r="C65" s="37" t="n">
        <f aca="false">輸入與假設!C14</f>
        <v>14.574</v>
      </c>
      <c r="D65" s="37" t="n">
        <f aca="false">輸入與假設!D14</f>
        <v>16.548</v>
      </c>
      <c r="E65" s="37" t="n">
        <f aca="false">輸入與假設!E14</f>
        <v>19.548</v>
      </c>
      <c r="F65" s="37" t="n">
        <f aca="false">輸入與假設!F14</f>
        <v>22.548</v>
      </c>
      <c r="G65" s="37" t="n">
        <f aca="false">輸入與假設!G14</f>
        <v>25.548</v>
      </c>
      <c r="I65" s="6" t="s">
        <v>1374</v>
      </c>
    </row>
    <row r="66" customFormat="false" ht="15" hidden="false" customHeight="false" outlineLevel="2" collapsed="false">
      <c r="A66" s="3" t="s">
        <v>1405</v>
      </c>
      <c r="B66" s="11" t="s">
        <v>143</v>
      </c>
      <c r="C66" s="67" t="n">
        <f aca="false">$C$21</f>
        <v>5.5</v>
      </c>
      <c r="D66" s="67" t="n">
        <f aca="false">C65</f>
        <v>14.574</v>
      </c>
      <c r="E66" s="67" t="n">
        <f aca="false">D65</f>
        <v>16.548</v>
      </c>
      <c r="F66" s="67" t="n">
        <f aca="false">E65</f>
        <v>19.548</v>
      </c>
      <c r="G66" s="67" t="n">
        <f aca="false">F65</f>
        <v>22.548</v>
      </c>
    </row>
    <row r="67" customFormat="false" ht="15" hidden="false" customHeight="false" outlineLevel="2" collapsed="false">
      <c r="A67" s="3" t="s">
        <v>1406</v>
      </c>
      <c r="B67" s="11" t="s">
        <v>143</v>
      </c>
      <c r="C67" s="67" t="n">
        <f aca="false">MAX(0,C65-C66)</f>
        <v>9.074</v>
      </c>
      <c r="D67" s="67" t="n">
        <f aca="false">MAX(0,D65-D66)</f>
        <v>1.974</v>
      </c>
      <c r="E67" s="67" t="n">
        <f aca="false">MAX(0,E65-E66)</f>
        <v>3</v>
      </c>
      <c r="F67" s="67" t="n">
        <f aca="false">MAX(0,F65-F66)</f>
        <v>3</v>
      </c>
      <c r="G67" s="67" t="n">
        <f aca="false">MAX(0,G65-G66)</f>
        <v>3</v>
      </c>
    </row>
    <row r="68" customFormat="false" ht="15" hidden="false" customHeight="false" outlineLevel="2" collapsed="false">
      <c r="A68" s="3" t="s">
        <v>1407</v>
      </c>
      <c r="B68" s="11" t="s">
        <v>143</v>
      </c>
      <c r="C68" s="67" t="n">
        <f aca="false">$C$21*$E$16+C67*C24</f>
        <v>3.3</v>
      </c>
      <c r="D68" s="67" t="n">
        <f aca="false">C68+D67*D24</f>
        <v>3.3</v>
      </c>
      <c r="E68" s="67" t="n">
        <f aca="false">D68+E67*E24</f>
        <v>3.3</v>
      </c>
      <c r="F68" s="67" t="n">
        <f aca="false">E68+F67*F24</f>
        <v>3.3</v>
      </c>
      <c r="G68" s="67" t="n">
        <f aca="false">F68+G67*G24</f>
        <v>3.3</v>
      </c>
    </row>
    <row r="69" customFormat="false" ht="15" hidden="false" customHeight="false" outlineLevel="2" collapsed="false">
      <c r="A69" s="3" t="s">
        <v>1408</v>
      </c>
      <c r="B69" s="11" t="s">
        <v>143</v>
      </c>
      <c r="C69" s="67" t="n">
        <f aca="false">$C$21*$E$17+C67*C25</f>
        <v>2.351478</v>
      </c>
      <c r="D69" s="67" t="n">
        <f aca="false">C69+D67*D25</f>
        <v>2.351478</v>
      </c>
      <c r="E69" s="67" t="n">
        <f aca="false">D69+E67*E25</f>
        <v>2.351478</v>
      </c>
      <c r="F69" s="67" t="n">
        <f aca="false">E69+F67*F25</f>
        <v>2.351478</v>
      </c>
      <c r="G69" s="67" t="n">
        <f aca="false">F69+G67*G25</f>
        <v>2.351478</v>
      </c>
    </row>
    <row r="70" customFormat="false" ht="15" hidden="false" customHeight="false" outlineLevel="2" collapsed="false">
      <c r="A70" s="3" t="s">
        <v>1409</v>
      </c>
      <c r="B70" s="11" t="s">
        <v>143</v>
      </c>
      <c r="C70" s="67" t="n">
        <f aca="false">$C$21*$E$18+C67*C26</f>
        <v>8.922522</v>
      </c>
      <c r="D70" s="67" t="n">
        <f aca="false">C70+D67*D26</f>
        <v>8.922522</v>
      </c>
      <c r="E70" s="67" t="n">
        <f aca="false">D70+E67*E26</f>
        <v>10.422522</v>
      </c>
      <c r="F70" s="67" t="n">
        <f aca="false">E70+F67*F26</f>
        <v>10.422522</v>
      </c>
      <c r="G70" s="67" t="n">
        <f aca="false">F70+G67*G26</f>
        <v>10.422522</v>
      </c>
    </row>
    <row r="71" customFormat="false" ht="15" hidden="false" customHeight="false" outlineLevel="2" collapsed="false">
      <c r="A71" s="3" t="s">
        <v>1410</v>
      </c>
      <c r="B71" s="11" t="s">
        <v>143</v>
      </c>
      <c r="C71" s="67" t="n">
        <f aca="false">$C$21*$E$19+C67*C27</f>
        <v>0</v>
      </c>
      <c r="D71" s="67" t="n">
        <f aca="false">C71+D67*D27</f>
        <v>1.974</v>
      </c>
      <c r="E71" s="67" t="n">
        <f aca="false">D71+E67*E27</f>
        <v>3.474</v>
      </c>
      <c r="F71" s="67" t="n">
        <f aca="false">E71+F67*F27</f>
        <v>6.474</v>
      </c>
      <c r="G71" s="67" t="n">
        <f aca="false">F71+G67*G27</f>
        <v>9.474</v>
      </c>
    </row>
    <row r="72" customFormat="false" ht="15" hidden="false" customHeight="false" outlineLevel="2" collapsed="false">
      <c r="A72" s="3" t="s">
        <v>1411</v>
      </c>
      <c r="B72" s="11" t="s">
        <v>42</v>
      </c>
      <c r="C72" s="66" t="n">
        <f aca="false">($C$21*$E$16+C68)/(C66+C65)</f>
        <v>0.328783501046129</v>
      </c>
      <c r="D72" s="66" t="n">
        <f aca="false">(C68+D68)/(D66+D65)</f>
        <v>0.212068633121265</v>
      </c>
      <c r="E72" s="66" t="n">
        <f aca="false">(D68+E68)/(E66+E65)</f>
        <v>0.182845744680851</v>
      </c>
      <c r="F72" s="66" t="n">
        <f aca="false">(E68+F68)/(F66+F65)</f>
        <v>0.156784492588369</v>
      </c>
      <c r="G72" s="66" t="n">
        <f aca="false">(F68+G68)/(G66+G65)</f>
        <v>0.137225548902196</v>
      </c>
    </row>
    <row r="73" customFormat="false" ht="15" hidden="false" customHeight="false" outlineLevel="2" collapsed="false">
      <c r="A73" s="3" t="s">
        <v>1412</v>
      </c>
      <c r="B73" s="11" t="s">
        <v>42</v>
      </c>
      <c r="C73" s="66" t="n">
        <f aca="false">($C$21*$E$17+C69)/(C66+C65)</f>
        <v>0.213035668028295</v>
      </c>
      <c r="D73" s="66" t="n">
        <f aca="false">(C69+D69)/(D66+D65)</f>
        <v>0.151113553113553</v>
      </c>
      <c r="E73" s="66" t="n">
        <f aca="false">(D69+E69)/(E66+E65)</f>
        <v>0.13029022606383</v>
      </c>
      <c r="F73" s="66" t="n">
        <f aca="false">(E69+F69)/(F66+F65)</f>
        <v>0.111719783352338</v>
      </c>
      <c r="G73" s="66" t="n">
        <f aca="false">(F69+G69)/(G66+G65)</f>
        <v>0.0977826846307385</v>
      </c>
    </row>
    <row r="74" customFormat="false" ht="15" hidden="false" customHeight="false" outlineLevel="2" collapsed="false">
      <c r="A74" s="3" t="s">
        <v>1413</v>
      </c>
      <c r="B74" s="11" t="s">
        <v>42</v>
      </c>
      <c r="C74" s="66" t="n">
        <f aca="false">($C$21*$E$18+C70)/(C66+C65)</f>
        <v>0.458180830925575</v>
      </c>
      <c r="D74" s="66" t="n">
        <f aca="false">(C70+D70)/(D66+D65)</f>
        <v>0.573390013495277</v>
      </c>
      <c r="E74" s="66" t="n">
        <f aca="false">(D70+E70)/(E66+E65)</f>
        <v>0.535933178191489</v>
      </c>
      <c r="F74" s="66" t="n">
        <f aca="false">(E70+F70)/(F66+F65)</f>
        <v>0.495178734321551</v>
      </c>
      <c r="G74" s="66" t="n">
        <f aca="false">(F70+G70)/(G66+G65)</f>
        <v>0.43340494011976</v>
      </c>
    </row>
    <row r="75" customFormat="false" ht="15" hidden="false" customHeight="false" outlineLevel="2" collapsed="false">
      <c r="A75" s="3" t="s">
        <v>1414</v>
      </c>
      <c r="B75" s="11" t="s">
        <v>42</v>
      </c>
      <c r="C75" s="66" t="n">
        <f aca="false">($C$21*$E$19+C71)/(C66+C65)</f>
        <v>0</v>
      </c>
      <c r="D75" s="66" t="n">
        <f aca="false">(C71+D71)/(D66+D65)</f>
        <v>0.0634278002699055</v>
      </c>
      <c r="E75" s="66" t="n">
        <f aca="false">(D71+E71)/(E66+E65)</f>
        <v>0.15093085106383</v>
      </c>
      <c r="F75" s="66" t="n">
        <f aca="false">(E71+F71)/(F66+F65)</f>
        <v>0.236316989737742</v>
      </c>
      <c r="G75" s="66" t="n">
        <f aca="false">(F71+G71)/(G66+G65)</f>
        <v>0.331586826347305</v>
      </c>
    </row>
    <row r="76" customFormat="false" ht="15" hidden="false" customHeight="false" outlineLevel="2" collapsed="false">
      <c r="A76" s="2" t="s">
        <v>1415</v>
      </c>
      <c r="B76" s="11" t="s">
        <v>161</v>
      </c>
      <c r="C76" s="55" t="n">
        <f aca="false">C72*$C$16+C73*$C$17+C74*$C$18+C75*$C$19</f>
        <v>10.0588739964394</v>
      </c>
      <c r="D76" s="55" t="n">
        <f aca="false">D72*$C$16+D73*$C$17+D74*$C$18+D75*$C$19</f>
        <v>10.4093700084701</v>
      </c>
      <c r="E76" s="55" t="n">
        <f aca="false">E72*$C$16+E73*$C$17+E74*$C$18+E75*$C$19</f>
        <v>10.6039814986895</v>
      </c>
      <c r="F76" s="55" t="n">
        <f aca="false">F72*$C$16+F73*$C$17+F74*$C$18+F75*$C$19</f>
        <v>10.7873800883811</v>
      </c>
      <c r="G76" s="55" t="n">
        <f aca="false">G72*$C$16+G73*$C$17+G74*$C$18+G75*$C$19</f>
        <v>10.9667826477876</v>
      </c>
    </row>
    <row r="77" customFormat="false" ht="15" hidden="false" customHeight="false" outlineLevel="2" collapsed="false">
      <c r="A77" s="2" t="s">
        <v>1416</v>
      </c>
      <c r="B77" s="6" t="s">
        <v>1326</v>
      </c>
      <c r="C77" s="55" t="n">
        <f aca="false">$C$10*$C$9+(1-$C$10)*$C$8</f>
        <v>1.12528595311806</v>
      </c>
      <c r="D77" s="55" t="n">
        <f aca="false">$C$10*$C$9+(1-$C$10)*$C$8</f>
        <v>1.12528595311806</v>
      </c>
      <c r="E77" s="55" t="n">
        <f aca="false">$C$10*$C$9+(1-$C$10)*$C$8</f>
        <v>1.12528595311806</v>
      </c>
      <c r="F77" s="55" t="n">
        <f aca="false">$C$10*$C$9+(1-$C$10)*$C$8</f>
        <v>1.12528595311806</v>
      </c>
      <c r="G77" s="55" t="n">
        <f aca="false">$C$10*$C$9+(1-$C$10)*$C$8</f>
        <v>1.12528595311806</v>
      </c>
    </row>
    <row r="78" customFormat="false" ht="15" hidden="false" customHeight="false" outlineLevel="2" collapsed="false">
      <c r="A78" s="2" t="s">
        <v>1417</v>
      </c>
      <c r="B78" s="11" t="s">
        <v>161</v>
      </c>
      <c r="C78" s="55" t="n">
        <f aca="false">C76*C77</f>
        <v>11.3191096123778</v>
      </c>
      <c r="D78" s="55" t="n">
        <f aca="false">D76*D77</f>
        <v>11.7135178513398</v>
      </c>
      <c r="E78" s="55" t="n">
        <f aca="false">E76*E77</f>
        <v>11.9325114275991</v>
      </c>
      <c r="F78" s="55" t="n">
        <f aca="false">F76*F77</f>
        <v>12.1388872844007</v>
      </c>
      <c r="G78" s="55" t="n">
        <f aca="false">G76*G77</f>
        <v>12.3407664644543</v>
      </c>
      <c r="I78" s="6" t="s">
        <v>1418</v>
      </c>
    </row>
    <row r="79" customFormat="false" ht="15" hidden="false" customHeight="false" outlineLevel="2" collapsed="false">
      <c r="A79" s="3" t="s">
        <v>1419</v>
      </c>
      <c r="B79" s="11" t="s">
        <v>161</v>
      </c>
      <c r="C79" s="54" t="n">
        <f aca="false">C72*$D$16+C73*$D$17+C74*$D$18+C75*$D$19</f>
        <v>27.581363223962</v>
      </c>
      <c r="D79" s="54" t="n">
        <f aca="false">D72*$D$16+D73*$D$17+D74*$D$18+D75*$D$19</f>
        <v>33.5700999777247</v>
      </c>
      <c r="E79" s="54" t="n">
        <f aca="false">E72*$D$16+E73*$D$17+E74*$D$18+E75*$D$19</f>
        <v>36.9595177285389</v>
      </c>
      <c r="F79" s="54" t="n">
        <f aca="false">F72*$D$16+F73*$D$17+F74*$D$18+F75*$D$19</f>
        <v>40.1722426155079</v>
      </c>
      <c r="G79" s="54" t="n">
        <f aca="false">G72*$D$16+G73*$D$17+G74*$D$18+G75*$D$19</f>
        <v>43.389632381174</v>
      </c>
    </row>
    <row r="80" customFormat="false" ht="15" hidden="false" customHeight="false" outlineLevel="2" collapsed="false">
      <c r="A80" s="3" t="s">
        <v>1420</v>
      </c>
      <c r="B80" s="11" t="s">
        <v>161</v>
      </c>
      <c r="C80" s="54" t="n">
        <f aca="false">C72*$C$31+C73*$C$32+C74*$C$33+C75*$C$34</f>
        <v>45.9689387066034</v>
      </c>
      <c r="D80" s="54" t="n">
        <f aca="false">D72*$C$31+D73*$C$32+D74*$C$33+D75*$C$34</f>
        <v>55.9501666295412</v>
      </c>
      <c r="E80" s="54" t="n">
        <f aca="false">E72*$C$31+E73*$C$32+E74*$C$33+E75*$C$34</f>
        <v>61.5991962142315</v>
      </c>
      <c r="F80" s="54" t="n">
        <f aca="false">F72*$C$31+F73*$C$32+F74*$C$33+F75*$C$34</f>
        <v>66.9537376925133</v>
      </c>
      <c r="G80" s="54" t="n">
        <f aca="false">G72*$C$31+G73*$C$32+G74*$C$33+G75*$C$34</f>
        <v>72.3160539686234</v>
      </c>
    </row>
    <row r="81" customFormat="false" ht="15" hidden="false" customHeight="false" outlineLevel="2" collapsed="false">
      <c r="A81" s="3" t="s">
        <v>1421</v>
      </c>
      <c r="B81" s="11" t="s">
        <v>161</v>
      </c>
      <c r="C81" s="54" t="n">
        <f aca="false">C72*$D$31+C73*$D$32+C74*$D$33+C75*$D$34</f>
        <v>27.581363223962</v>
      </c>
      <c r="D81" s="54" t="n">
        <f aca="false">D72*$D$31+D73*$D$32+D74*$D$33+D75*$D$34</f>
        <v>33.5700999777247</v>
      </c>
      <c r="E81" s="54" t="n">
        <f aca="false">E72*$D$31+E73*$D$32+E74*$D$33+E75*$D$34</f>
        <v>36.9595177285389</v>
      </c>
      <c r="F81" s="54" t="n">
        <f aca="false">F72*$D$31+F73*$D$32+F74*$D$33+F75*$D$34</f>
        <v>40.1722426155079</v>
      </c>
      <c r="G81" s="54" t="n">
        <f aca="false">G72*$D$31+G73*$D$32+G74*$D$33+G75*$D$34</f>
        <v>43.389632381174</v>
      </c>
    </row>
    <row r="82" customFormat="false" ht="15" hidden="false" customHeight="false" outlineLevel="2" collapsed="false">
      <c r="A82" s="3" t="s">
        <v>1422</v>
      </c>
      <c r="B82" s="11" t="s">
        <v>161</v>
      </c>
      <c r="C82" s="54" t="n">
        <f aca="false">C72*$E$31+C73*$E$32+C74*$E$33+C75*$E$34</f>
        <v>21.8063974057969</v>
      </c>
      <c r="D82" s="54" t="n">
        <f aca="false">D72*$E$31+D73*$E$32+D74*$E$33+D75*$E$34</f>
        <v>26.6256530182222</v>
      </c>
      <c r="E82" s="54" t="n">
        <f aca="false">E72*$E$31+E73*$E$32+E74*$E$33+E75*$E$34</f>
        <v>29.3927937134157</v>
      </c>
      <c r="F82" s="54" t="n">
        <f aca="false">F72*$E$31+F73*$E$32+F74*$E$33+F75*$E$34</f>
        <v>32.0176991866032</v>
      </c>
      <c r="G82" s="54" t="n">
        <f aca="false">G72*$E$31+G73*$E$32+G74*$E$33+G75*$E$34</f>
        <v>34.654471824077</v>
      </c>
    </row>
    <row r="83" customFormat="false" ht="15" hidden="false" customHeight="false" outlineLevel="2" collapsed="false">
      <c r="A83" s="3" t="s">
        <v>1423</v>
      </c>
      <c r="B83" s="11" t="s">
        <v>161</v>
      </c>
      <c r="C83" s="54" t="n">
        <f aca="false">C72*$F$31+C73*$F$32+C74*$F$33+C75*$F$34</f>
        <v>21.8063974057969</v>
      </c>
      <c r="D83" s="54" t="n">
        <f aca="false">D72*$F$31+D73*$F$32+D74*$F$33+D75*$F$34</f>
        <v>26.6256530182222</v>
      </c>
      <c r="E83" s="54" t="n">
        <f aca="false">E72*$F$31+E73*$F$32+E74*$F$33+E75*$F$34</f>
        <v>29.3927937134157</v>
      </c>
      <c r="F83" s="54" t="n">
        <f aca="false">F72*$F$31+F73*$F$32+F74*$F$33+F75*$F$34</f>
        <v>32.0176991866032</v>
      </c>
      <c r="G83" s="54" t="n">
        <f aca="false">G72*$F$31+G73*$F$32+G74*$F$33+G75*$F$34</f>
        <v>34.654471824077</v>
      </c>
    </row>
    <row r="84" customFormat="false" ht="15" hidden="false" customHeight="false" outlineLevel="2" collapsed="false">
      <c r="A84" s="3" t="s">
        <v>1424</v>
      </c>
      <c r="B84" s="11" t="s">
        <v>42</v>
      </c>
      <c r="C84" s="66" t="n">
        <f aca="false">C78/C80</f>
        <v>0.246233868582914</v>
      </c>
      <c r="D84" s="66" t="n">
        <f aca="false">D78/D80</f>
        <v>0.209356263921387</v>
      </c>
      <c r="E84" s="66" t="n">
        <f aca="false">E78/E80</f>
        <v>0.19371212874434</v>
      </c>
      <c r="F84" s="66" t="n">
        <f aca="false">F78/F80</f>
        <v>0.181302608379369</v>
      </c>
      <c r="G84" s="66" t="n">
        <f aca="false">G78/G80</f>
        <v>0.170650440492906</v>
      </c>
      <c r="I84" s="6" t="s">
        <v>1396</v>
      </c>
    </row>
    <row r="85" customFormat="false" ht="15" hidden="false" customHeight="false" outlineLevel="2" collapsed="false">
      <c r="A85" s="3" t="s">
        <v>1425</v>
      </c>
      <c r="B85" s="11" t="s">
        <v>42</v>
      </c>
      <c r="C85" s="66" t="n">
        <f aca="false">C78/C81</f>
        <v>0.410389780971523</v>
      </c>
      <c r="D85" s="66" t="n">
        <f aca="false">D78/D81</f>
        <v>0.348927106535646</v>
      </c>
      <c r="E85" s="66" t="n">
        <f aca="false">E78/E81</f>
        <v>0.322853547907234</v>
      </c>
      <c r="F85" s="66" t="n">
        <f aca="false">F78/F81</f>
        <v>0.302171013965614</v>
      </c>
      <c r="G85" s="66" t="n">
        <f aca="false">G78/G81</f>
        <v>0.28441740082151</v>
      </c>
      <c r="I85" s="6" t="s">
        <v>1396</v>
      </c>
    </row>
    <row r="86" customFormat="false" ht="15" hidden="false" customHeight="false" outlineLevel="2" collapsed="false">
      <c r="A86" s="3" t="s">
        <v>1426</v>
      </c>
      <c r="B86" s="11" t="s">
        <v>42</v>
      </c>
      <c r="C86" s="66" t="n">
        <f aca="false">C78/C82</f>
        <v>0.519072884976809</v>
      </c>
      <c r="D86" s="66" t="n">
        <f aca="false">D78/D82</f>
        <v>0.439933542412021</v>
      </c>
      <c r="E86" s="66" t="n">
        <f aca="false">E78/E82</f>
        <v>0.405967242989657</v>
      </c>
      <c r="F86" s="66" t="n">
        <f aca="false">F78/F82</f>
        <v>0.379130530699714</v>
      </c>
      <c r="G86" s="66" t="n">
        <f aca="false">G78/G82</f>
        <v>0.356108917980401</v>
      </c>
      <c r="I86" s="6" t="s">
        <v>1399</v>
      </c>
    </row>
    <row r="87" customFormat="false" ht="15" hidden="false" customHeight="false" outlineLevel="2" collapsed="false">
      <c r="A87" s="3" t="s">
        <v>1427</v>
      </c>
      <c r="B87" s="11" t="s">
        <v>42</v>
      </c>
      <c r="C87" s="66" t="n">
        <f aca="false">C78/C83</f>
        <v>0.519072884976809</v>
      </c>
      <c r="D87" s="66" t="n">
        <f aca="false">D78/D83</f>
        <v>0.439933542412021</v>
      </c>
      <c r="E87" s="66" t="n">
        <f aca="false">E78/E83</f>
        <v>0.405967242989657</v>
      </c>
      <c r="F87" s="66" t="n">
        <f aca="false">F78/F83</f>
        <v>0.379130530699714</v>
      </c>
      <c r="G87" s="66" t="n">
        <f aca="false">G78/G83</f>
        <v>0.356108917980401</v>
      </c>
      <c r="I87" s="6" t="s">
        <v>1396</v>
      </c>
    </row>
    <row r="88" customFormat="false" ht="15" hidden="false" customHeight="false" outlineLevel="2" collapsed="false">
      <c r="A88" s="3" t="s">
        <v>1428</v>
      </c>
      <c r="B88" s="11" t="s">
        <v>42</v>
      </c>
      <c r="C88" s="66" t="n">
        <f aca="false">C86</f>
        <v>0.519072884976809</v>
      </c>
      <c r="D88" s="66" t="n">
        <f aca="false">D86</f>
        <v>0.439933542412021</v>
      </c>
      <c r="E88" s="66" t="n">
        <f aca="false">E86</f>
        <v>0.405967242989657</v>
      </c>
      <c r="F88" s="66" t="n">
        <f aca="false">F86</f>
        <v>0.379130530699714</v>
      </c>
      <c r="G88" s="66" t="n">
        <f aca="false">G86</f>
        <v>0.356108917980401</v>
      </c>
      <c r="I88" s="6" t="s">
        <v>1402</v>
      </c>
    </row>
    <row r="89" customFormat="false" ht="15" hidden="false" customHeight="false" outlineLevel="1" collapsed="false"/>
    <row r="90" customFormat="false" ht="15" hidden="false" customHeight="false" outlineLevel="1" collapsed="false">
      <c r="A90" s="19" t="s">
        <v>1429</v>
      </c>
      <c r="B90" s="20"/>
      <c r="C90" s="20"/>
      <c r="D90" s="20"/>
      <c r="E90" s="20"/>
      <c r="F90" s="20"/>
      <c r="G90" s="20"/>
      <c r="H90" s="20"/>
    </row>
    <row r="91" customFormat="false" ht="15" hidden="false" customHeight="false" outlineLevel="2" collapsed="false">
      <c r="A91" s="14" t="s">
        <v>53</v>
      </c>
      <c r="B91" s="14" t="s">
        <v>54</v>
      </c>
      <c r="C91" s="15" t="s">
        <v>55</v>
      </c>
      <c r="D91" s="15" t="s">
        <v>56</v>
      </c>
      <c r="E91" s="15" t="s">
        <v>57</v>
      </c>
      <c r="F91" s="15" t="s">
        <v>139</v>
      </c>
      <c r="G91" s="15" t="s">
        <v>140</v>
      </c>
      <c r="I91" s="14" t="s">
        <v>1324</v>
      </c>
    </row>
    <row r="92" customFormat="false" ht="15" hidden="false" customHeight="false" outlineLevel="2" collapsed="false">
      <c r="A92" s="3" t="s">
        <v>1430</v>
      </c>
      <c r="B92" s="11" t="s">
        <v>143</v>
      </c>
      <c r="C92" s="37" t="n">
        <f aca="false">輸入與假設!C17</f>
        <v>14.574</v>
      </c>
      <c r="D92" s="37" t="n">
        <f aca="false">輸入與假設!D17</f>
        <v>16.548</v>
      </c>
      <c r="E92" s="37" t="n">
        <f aca="false">輸入與假設!E17</f>
        <v>22.548</v>
      </c>
      <c r="F92" s="37" t="n">
        <f aca="false">輸入與假設!F17</f>
        <v>28.548</v>
      </c>
      <c r="G92" s="37" t="n">
        <f aca="false">輸入與假設!G17</f>
        <v>34.548</v>
      </c>
      <c r="I92" s="6" t="s">
        <v>1374</v>
      </c>
    </row>
    <row r="93" customFormat="false" ht="15" hidden="false" customHeight="false" outlineLevel="2" collapsed="false">
      <c r="A93" s="3" t="s">
        <v>1431</v>
      </c>
      <c r="B93" s="11" t="s">
        <v>143</v>
      </c>
      <c r="C93" s="67" t="n">
        <f aca="false">$C$21</f>
        <v>5.5</v>
      </c>
      <c r="D93" s="67" t="n">
        <f aca="false">C92</f>
        <v>14.574</v>
      </c>
      <c r="E93" s="67" t="n">
        <f aca="false">D92</f>
        <v>16.548</v>
      </c>
      <c r="F93" s="67" t="n">
        <f aca="false">E92</f>
        <v>22.548</v>
      </c>
      <c r="G93" s="67" t="n">
        <f aca="false">F92</f>
        <v>28.548</v>
      </c>
    </row>
    <row r="94" customFormat="false" ht="15" hidden="false" customHeight="false" outlineLevel="2" collapsed="false">
      <c r="A94" s="3" t="s">
        <v>1432</v>
      </c>
      <c r="B94" s="11" t="s">
        <v>143</v>
      </c>
      <c r="C94" s="67" t="n">
        <f aca="false">MAX(0,C92-C93)</f>
        <v>9.074</v>
      </c>
      <c r="D94" s="67" t="n">
        <f aca="false">MAX(0,D92-D93)</f>
        <v>1.974</v>
      </c>
      <c r="E94" s="67" t="n">
        <f aca="false">MAX(0,E92-E93)</f>
        <v>6</v>
      </c>
      <c r="F94" s="67" t="n">
        <f aca="false">MAX(0,F92-F93)</f>
        <v>6</v>
      </c>
      <c r="G94" s="67" t="n">
        <f aca="false">MAX(0,G92-G93)</f>
        <v>6</v>
      </c>
    </row>
    <row r="95" customFormat="false" ht="15" hidden="false" customHeight="false" outlineLevel="2" collapsed="false">
      <c r="A95" s="3" t="s">
        <v>1433</v>
      </c>
      <c r="B95" s="11" t="s">
        <v>143</v>
      </c>
      <c r="C95" s="67" t="n">
        <f aca="false">$C$21*$E$16+C94*C24</f>
        <v>3.3</v>
      </c>
      <c r="D95" s="67" t="n">
        <f aca="false">C95+D94*D24</f>
        <v>3.3</v>
      </c>
      <c r="E95" s="67" t="n">
        <f aca="false">D95+E94*E24</f>
        <v>3.3</v>
      </c>
      <c r="F95" s="67" t="n">
        <f aca="false">E95+F94*F24</f>
        <v>3.3</v>
      </c>
      <c r="G95" s="67" t="n">
        <f aca="false">F95+G94*G24</f>
        <v>3.3</v>
      </c>
    </row>
    <row r="96" customFormat="false" ht="15" hidden="false" customHeight="false" outlineLevel="2" collapsed="false">
      <c r="A96" s="3" t="s">
        <v>1434</v>
      </c>
      <c r="B96" s="11" t="s">
        <v>143</v>
      </c>
      <c r="C96" s="67" t="n">
        <f aca="false">$C$21*$E$17+C94*C25</f>
        <v>2.351478</v>
      </c>
      <c r="D96" s="67" t="n">
        <f aca="false">C96+D94*D25</f>
        <v>2.351478</v>
      </c>
      <c r="E96" s="67" t="n">
        <f aca="false">D96+E94*E25</f>
        <v>2.351478</v>
      </c>
      <c r="F96" s="67" t="n">
        <f aca="false">E96+F94*F25</f>
        <v>2.351478</v>
      </c>
      <c r="G96" s="67" t="n">
        <f aca="false">F96+G94*G25</f>
        <v>2.351478</v>
      </c>
    </row>
    <row r="97" customFormat="false" ht="15" hidden="false" customHeight="false" outlineLevel="2" collapsed="false">
      <c r="A97" s="3" t="s">
        <v>1435</v>
      </c>
      <c r="B97" s="11" t="s">
        <v>143</v>
      </c>
      <c r="C97" s="67" t="n">
        <f aca="false">$C$21*$E$18+C94*C26</f>
        <v>8.922522</v>
      </c>
      <c r="D97" s="67" t="n">
        <f aca="false">C97+D94*D26</f>
        <v>8.922522</v>
      </c>
      <c r="E97" s="67" t="n">
        <f aca="false">D97+E94*E26</f>
        <v>11.922522</v>
      </c>
      <c r="F97" s="67" t="n">
        <f aca="false">E97+F94*F26</f>
        <v>11.922522</v>
      </c>
      <c r="G97" s="67" t="n">
        <f aca="false">F97+G94*G26</f>
        <v>11.922522</v>
      </c>
    </row>
    <row r="98" customFormat="false" ht="15" hidden="false" customHeight="false" outlineLevel="2" collapsed="false">
      <c r="A98" s="3" t="s">
        <v>1436</v>
      </c>
      <c r="B98" s="11" t="s">
        <v>143</v>
      </c>
      <c r="C98" s="67" t="n">
        <f aca="false">$C$21*$E$19+C94*C27</f>
        <v>0</v>
      </c>
      <c r="D98" s="67" t="n">
        <f aca="false">C98+D94*D27</f>
        <v>1.974</v>
      </c>
      <c r="E98" s="67" t="n">
        <f aca="false">D98+E94*E27</f>
        <v>4.974</v>
      </c>
      <c r="F98" s="67" t="n">
        <f aca="false">E98+F94*F27</f>
        <v>10.974</v>
      </c>
      <c r="G98" s="67" t="n">
        <f aca="false">F98+G94*G27</f>
        <v>16.974</v>
      </c>
    </row>
    <row r="99" customFormat="false" ht="15" hidden="false" customHeight="false" outlineLevel="2" collapsed="false">
      <c r="A99" s="3" t="s">
        <v>1437</v>
      </c>
      <c r="B99" s="11" t="s">
        <v>42</v>
      </c>
      <c r="C99" s="66" t="n">
        <f aca="false">($C$21*$E$16+C95)/(C93+C92)</f>
        <v>0.328783501046129</v>
      </c>
      <c r="D99" s="66" t="n">
        <f aca="false">(C95+D95)/(D93+D92)</f>
        <v>0.212068633121265</v>
      </c>
      <c r="E99" s="66" t="n">
        <f aca="false">(D95+E95)/(E93+E92)</f>
        <v>0.168815224063843</v>
      </c>
      <c r="F99" s="66" t="n">
        <f aca="false">(E95+F95)/(F93+F92)</f>
        <v>0.129168623767027</v>
      </c>
      <c r="G99" s="66" t="n">
        <f aca="false">(F95+G95)/(G93+G92)</f>
        <v>0.104602510460251</v>
      </c>
    </row>
    <row r="100" customFormat="false" ht="15" hidden="false" customHeight="false" outlineLevel="2" collapsed="false">
      <c r="A100" s="3" t="s">
        <v>1438</v>
      </c>
      <c r="B100" s="11" t="s">
        <v>42</v>
      </c>
      <c r="C100" s="66" t="n">
        <f aca="false">($C$21*$E$17+C96)/(C93+C92)</f>
        <v>0.213035668028295</v>
      </c>
      <c r="D100" s="66" t="n">
        <f aca="false">(C96+D96)/(D93+D92)</f>
        <v>0.151113553113553</v>
      </c>
      <c r="E100" s="66" t="n">
        <f aca="false">(D96+E96)/(E93+E92)</f>
        <v>0.120292510742787</v>
      </c>
      <c r="F100" s="66" t="n">
        <f aca="false">(E96+F96)/(F93+F92)</f>
        <v>0.0920415688116487</v>
      </c>
      <c r="G100" s="66" t="n">
        <f aca="false">(F96+G96)/(G93+G92)</f>
        <v>0.0745365157854697</v>
      </c>
    </row>
    <row r="101" customFormat="false" ht="15" hidden="false" customHeight="false" outlineLevel="2" collapsed="false">
      <c r="A101" s="3" t="s">
        <v>1439</v>
      </c>
      <c r="B101" s="11" t="s">
        <v>42</v>
      </c>
      <c r="C101" s="66" t="n">
        <f aca="false">($C$21*$E$18+C97)/(C93+C92)</f>
        <v>0.458180830925575</v>
      </c>
      <c r="D101" s="66" t="n">
        <f aca="false">(C97+D97)/(D93+D92)</f>
        <v>0.573390013495277</v>
      </c>
      <c r="E101" s="66" t="n">
        <f aca="false">(D97+E97)/(E93+E92)</f>
        <v>0.533175874769797</v>
      </c>
      <c r="F101" s="66" t="n">
        <f aca="false">(E97+F97)/(F93+F92)</f>
        <v>0.466671441991545</v>
      </c>
      <c r="G101" s="66" t="n">
        <f aca="false">(F97+G97)/(G93+G92)</f>
        <v>0.37791688855078</v>
      </c>
    </row>
    <row r="102" customFormat="false" ht="15" hidden="false" customHeight="false" outlineLevel="2" collapsed="false">
      <c r="A102" s="3" t="s">
        <v>1440</v>
      </c>
      <c r="B102" s="11" t="s">
        <v>42</v>
      </c>
      <c r="C102" s="66" t="n">
        <f aca="false">($C$21*$E$19+C98)/(C93+C92)</f>
        <v>0</v>
      </c>
      <c r="D102" s="66" t="n">
        <f aca="false">(C98+D98)/(D93+D92)</f>
        <v>0.0634278002699055</v>
      </c>
      <c r="E102" s="66" t="n">
        <f aca="false">(D98+E98)/(E93+E92)</f>
        <v>0.177716390423573</v>
      </c>
      <c r="F102" s="66" t="n">
        <f aca="false">(E98+F98)/(F93+F92)</f>
        <v>0.312118365429779</v>
      </c>
      <c r="G102" s="66" t="n">
        <f aca="false">(F98+G98)/(G93+G92)</f>
        <v>0.442944085203499</v>
      </c>
    </row>
    <row r="103" customFormat="false" ht="15" hidden="false" customHeight="false" outlineLevel="2" collapsed="false">
      <c r="A103" s="2" t="s">
        <v>1441</v>
      </c>
      <c r="B103" s="11" t="s">
        <v>161</v>
      </c>
      <c r="C103" s="55" t="n">
        <f aca="false">C99*$C$16+C100*$C$17+C101*$C$18+C102*$C$19</f>
        <v>10.0588739964394</v>
      </c>
      <c r="D103" s="55" t="n">
        <f aca="false">D99*$C$16+D100*$C$17+D101*$C$18+D102*$C$19</f>
        <v>10.4093700084701</v>
      </c>
      <c r="E103" s="55" t="n">
        <f aca="false">E99*$C$16+E100*$C$17+E101*$C$18+E102*$C$19</f>
        <v>10.6770293428161</v>
      </c>
      <c r="F103" s="55" t="n">
        <f aca="false">F99*$C$16+F100*$C$17+F101*$C$18+F102*$C$19</f>
        <v>10.9620637864867</v>
      </c>
      <c r="G103" s="55" t="n">
        <f aca="false">G99*$C$16+G100*$C$17+G101*$C$18+G102*$C$19</f>
        <v>11.2023466351169</v>
      </c>
    </row>
    <row r="104" customFormat="false" ht="15" hidden="false" customHeight="false" outlineLevel="2" collapsed="false">
      <c r="A104" s="2" t="s">
        <v>1442</v>
      </c>
      <c r="B104" s="6" t="s">
        <v>1326</v>
      </c>
      <c r="C104" s="55" t="n">
        <f aca="false">$C$10*$C$9+(1-$C$10)*$C$8</f>
        <v>1.12528595311806</v>
      </c>
      <c r="D104" s="55" t="n">
        <f aca="false">$C$10*$C$9+(1-$C$10)*$C$8</f>
        <v>1.12528595311806</v>
      </c>
      <c r="E104" s="55" t="n">
        <f aca="false">$C$10*$C$9+(1-$C$10)*$C$8</f>
        <v>1.12528595311806</v>
      </c>
      <c r="F104" s="55" t="n">
        <f aca="false">$C$10*$C$9+(1-$C$10)*$C$8</f>
        <v>1.12528595311806</v>
      </c>
      <c r="G104" s="55" t="n">
        <f aca="false">$C$10*$C$9+(1-$C$10)*$C$8</f>
        <v>1.12528595311806</v>
      </c>
    </row>
    <row r="105" customFormat="false" ht="15" hidden="false" customHeight="false" outlineLevel="2" collapsed="false">
      <c r="A105" s="2" t="s">
        <v>1443</v>
      </c>
      <c r="B105" s="11" t="s">
        <v>161</v>
      </c>
      <c r="C105" s="55" t="n">
        <f aca="false">C103*C104</f>
        <v>11.3191096123778</v>
      </c>
      <c r="D105" s="55" t="n">
        <f aca="false">D103*D104</f>
        <v>11.7135178513398</v>
      </c>
      <c r="E105" s="55" t="n">
        <f aca="false">E103*E104</f>
        <v>12.0147111405003</v>
      </c>
      <c r="F105" s="55" t="n">
        <f aca="false">F103*F104</f>
        <v>12.3354563961177</v>
      </c>
      <c r="G105" s="55" t="n">
        <f aca="false">G103*G104</f>
        <v>12.6058433104564</v>
      </c>
      <c r="I105" s="6" t="s">
        <v>1444</v>
      </c>
    </row>
    <row r="106" customFormat="false" ht="15" hidden="false" customHeight="false" outlineLevel="2" collapsed="false">
      <c r="A106" s="3" t="s">
        <v>1445</v>
      </c>
      <c r="B106" s="11" t="s">
        <v>161</v>
      </c>
      <c r="C106" s="54" t="n">
        <f aca="false">C99*$D$16+C100*$D$17+C101*$D$18+C102*$D$19</f>
        <v>27.581363223962</v>
      </c>
      <c r="D106" s="54" t="n">
        <f aca="false">D99*$D$16+D100*$D$17+D101*$D$18+D102*$D$19</f>
        <v>33.5700999777247</v>
      </c>
      <c r="E106" s="54" t="n">
        <f aca="false">E99*$D$16+E100*$D$17+E101*$D$18+E102*$D$19</f>
        <v>38.1932220229988</v>
      </c>
      <c r="F106" s="54" t="n">
        <f aca="false">F99*$D$16+F100*$D$17+F101*$D$18+F102*$D$19</f>
        <v>43.1971613166848</v>
      </c>
      <c r="G106" s="54" t="n">
        <f aca="false">G99*$D$16+G100*$D$17+G101*$D$18+G102*$D$19</f>
        <v>47.5268831996065</v>
      </c>
    </row>
    <row r="107" customFormat="false" ht="15" hidden="false" customHeight="false" outlineLevel="2" collapsed="false">
      <c r="A107" s="3" t="s">
        <v>1446</v>
      </c>
      <c r="B107" s="11" t="s">
        <v>161</v>
      </c>
      <c r="C107" s="54" t="n">
        <f aca="false">C99*$C$31+C100*$C$32+C101*$C$33+C102*$C$34</f>
        <v>45.9689387066034</v>
      </c>
      <c r="D107" s="54" t="n">
        <f aca="false">D99*$C$31+D100*$C$32+D101*$C$33+D102*$C$34</f>
        <v>55.9501666295412</v>
      </c>
      <c r="E107" s="54" t="n">
        <f aca="false">E99*$C$31+E100*$C$32+E101*$C$33+E102*$C$34</f>
        <v>63.6553700383313</v>
      </c>
      <c r="F107" s="54" t="n">
        <f aca="false">F99*$C$31+F100*$C$32+F101*$C$33+F102*$C$34</f>
        <v>71.9952688611413</v>
      </c>
      <c r="G107" s="54" t="n">
        <f aca="false">G99*$C$31+G100*$C$32+G101*$C$33+G102*$C$34</f>
        <v>79.2114719993442</v>
      </c>
    </row>
    <row r="108" customFormat="false" ht="15" hidden="false" customHeight="false" outlineLevel="2" collapsed="false">
      <c r="A108" s="3" t="s">
        <v>1447</v>
      </c>
      <c r="B108" s="11" t="s">
        <v>161</v>
      </c>
      <c r="C108" s="54" t="n">
        <f aca="false">C99*$D$31+C100*$D$32+C101*$D$33+C102*$D$34</f>
        <v>27.581363223962</v>
      </c>
      <c r="D108" s="54" t="n">
        <f aca="false">D99*$D$31+D100*$D$32+D101*$D$33+D102*$D$34</f>
        <v>33.5700999777247</v>
      </c>
      <c r="E108" s="54" t="n">
        <f aca="false">E99*$D$31+E100*$D$32+E101*$D$33+E102*$D$34</f>
        <v>38.1932220229988</v>
      </c>
      <c r="F108" s="54" t="n">
        <f aca="false">F99*$D$31+F100*$D$32+F101*$D$33+F102*$D$34</f>
        <v>43.1971613166848</v>
      </c>
      <c r="G108" s="54" t="n">
        <f aca="false">G99*$D$31+G100*$D$32+G101*$D$33+G102*$D$34</f>
        <v>47.5268831996065</v>
      </c>
    </row>
    <row r="109" customFormat="false" ht="15" hidden="false" customHeight="false" outlineLevel="2" collapsed="false">
      <c r="A109" s="3" t="s">
        <v>1448</v>
      </c>
      <c r="B109" s="11" t="s">
        <v>161</v>
      </c>
      <c r="C109" s="54" t="n">
        <f aca="false">C99*$E$31+C100*$E$32+C101*$E$33+C102*$E$34</f>
        <v>21.8063974057969</v>
      </c>
      <c r="D109" s="54" t="n">
        <f aca="false">D99*$E$31+D100*$E$32+D101*$E$33+D102*$E$34</f>
        <v>26.6256530182222</v>
      </c>
      <c r="E109" s="54" t="n">
        <f aca="false">E99*$E$31+E100*$E$32+E101*$E$33+E102*$E$34</f>
        <v>30.3958169381387</v>
      </c>
      <c r="F109" s="54" t="n">
        <f aca="false">F99*$E$31+F100*$E$32+F101*$E$33+F102*$E$34</f>
        <v>34.48536921037</v>
      </c>
      <c r="G109" s="54" t="n">
        <f aca="false">G99*$E$31+G100*$E$32+G101*$E$33+G102*$E$34</f>
        <v>38.035901625399</v>
      </c>
    </row>
    <row r="110" customFormat="false" ht="15" hidden="false" customHeight="false" outlineLevel="2" collapsed="false">
      <c r="A110" s="3" t="s">
        <v>1449</v>
      </c>
      <c r="B110" s="11" t="s">
        <v>161</v>
      </c>
      <c r="C110" s="54" t="n">
        <f aca="false">C99*$F$31+C100*$F$32+C101*$F$33+C102*$F$34</f>
        <v>21.8063974057969</v>
      </c>
      <c r="D110" s="54" t="n">
        <f aca="false">D99*$F$31+D100*$F$32+D101*$F$33+D102*$F$34</f>
        <v>26.6256530182222</v>
      </c>
      <c r="E110" s="54" t="n">
        <f aca="false">E99*$F$31+E100*$F$32+E101*$F$33+E102*$F$34</f>
        <v>30.3958169381387</v>
      </c>
      <c r="F110" s="54" t="n">
        <f aca="false">F99*$F$31+F100*$F$32+F101*$F$33+F102*$F$34</f>
        <v>34.48536921037</v>
      </c>
      <c r="G110" s="54" t="n">
        <f aca="false">G99*$F$31+G100*$F$32+G101*$F$33+G102*$F$34</f>
        <v>38.035901625399</v>
      </c>
    </row>
    <row r="111" customFormat="false" ht="15" hidden="false" customHeight="false" outlineLevel="2" collapsed="false">
      <c r="A111" s="3" t="s">
        <v>1450</v>
      </c>
      <c r="B111" s="11" t="s">
        <v>42</v>
      </c>
      <c r="C111" s="66" t="n">
        <f aca="false">C105/C107</f>
        <v>0.246233868582914</v>
      </c>
      <c r="D111" s="66" t="n">
        <f aca="false">D105/D107</f>
        <v>0.209356263921387</v>
      </c>
      <c r="E111" s="66" t="n">
        <f aca="false">E105/E107</f>
        <v>0.188746230416466</v>
      </c>
      <c r="F111" s="66" t="n">
        <f aca="false">F105/F107</f>
        <v>0.171337041881312</v>
      </c>
      <c r="G111" s="66" t="n">
        <f aca="false">G105/G107</f>
        <v>0.159141636839684</v>
      </c>
      <c r="I111" s="6" t="s">
        <v>1396</v>
      </c>
    </row>
    <row r="112" customFormat="false" ht="15" hidden="false" customHeight="false" outlineLevel="2" collapsed="false">
      <c r="A112" s="3" t="s">
        <v>1451</v>
      </c>
      <c r="B112" s="11" t="s">
        <v>42</v>
      </c>
      <c r="C112" s="66" t="n">
        <f aca="false">C105/C108</f>
        <v>0.410389780971523</v>
      </c>
      <c r="D112" s="66" t="n">
        <f aca="false">D105/D108</f>
        <v>0.348927106535646</v>
      </c>
      <c r="E112" s="66" t="n">
        <f aca="false">E105/E108</f>
        <v>0.31457705069411</v>
      </c>
      <c r="F112" s="66" t="n">
        <f aca="false">F105/F108</f>
        <v>0.285561736468853</v>
      </c>
      <c r="G112" s="66" t="n">
        <f aca="false">G105/G108</f>
        <v>0.265236061399473</v>
      </c>
      <c r="I112" s="6" t="s">
        <v>1396</v>
      </c>
    </row>
    <row r="113" customFormat="false" ht="15" hidden="false" customHeight="false" outlineLevel="2" collapsed="false">
      <c r="A113" s="3" t="s">
        <v>1452</v>
      </c>
      <c r="B113" s="11" t="s">
        <v>42</v>
      </c>
      <c r="C113" s="66" t="n">
        <f aca="false">C105/C109</f>
        <v>0.519072884976809</v>
      </c>
      <c r="D113" s="66" t="n">
        <f aca="false">D105/D109</f>
        <v>0.439933542412021</v>
      </c>
      <c r="E113" s="66" t="n">
        <f aca="false">E105/E109</f>
        <v>0.395275151345743</v>
      </c>
      <c r="F113" s="66" t="n">
        <f aca="false">F105/F109</f>
        <v>0.357701154970042</v>
      </c>
      <c r="G113" s="66" t="n">
        <f aca="false">G105/G109</f>
        <v>0.331419600213674</v>
      </c>
      <c r="I113" s="6" t="s">
        <v>1399</v>
      </c>
    </row>
    <row r="114" customFormat="false" ht="15" hidden="false" customHeight="false" outlineLevel="2" collapsed="false">
      <c r="A114" s="3" t="s">
        <v>1453</v>
      </c>
      <c r="B114" s="11" t="s">
        <v>42</v>
      </c>
      <c r="C114" s="66" t="n">
        <f aca="false">C105/C110</f>
        <v>0.519072884976809</v>
      </c>
      <c r="D114" s="66" t="n">
        <f aca="false">D105/D110</f>
        <v>0.439933542412021</v>
      </c>
      <c r="E114" s="66" t="n">
        <f aca="false">E105/E110</f>
        <v>0.395275151345743</v>
      </c>
      <c r="F114" s="66" t="n">
        <f aca="false">F105/F110</f>
        <v>0.357701154970042</v>
      </c>
      <c r="G114" s="66" t="n">
        <f aca="false">G105/G110</f>
        <v>0.331419600213674</v>
      </c>
      <c r="I114" s="6" t="s">
        <v>1396</v>
      </c>
    </row>
    <row r="115" customFormat="false" ht="15" hidden="false" customHeight="false" outlineLevel="2" collapsed="false">
      <c r="A115" s="3" t="s">
        <v>1454</v>
      </c>
      <c r="B115" s="11" t="s">
        <v>42</v>
      </c>
      <c r="C115" s="66" t="n">
        <f aca="false">C113</f>
        <v>0.519072884976809</v>
      </c>
      <c r="D115" s="66" t="n">
        <f aca="false">D113</f>
        <v>0.439933542412021</v>
      </c>
      <c r="E115" s="66" t="n">
        <f aca="false">E113</f>
        <v>0.395275151345743</v>
      </c>
      <c r="F115" s="66" t="n">
        <f aca="false">F113</f>
        <v>0.357701154970042</v>
      </c>
      <c r="G115" s="66" t="n">
        <f aca="false">G113</f>
        <v>0.331419600213674</v>
      </c>
      <c r="I115" s="6" t="s">
        <v>1402</v>
      </c>
    </row>
    <row r="117" customFormat="false" ht="15" hidden="false" customHeight="false" outlineLevel="0" collapsed="false">
      <c r="A117" s="50" t="s">
        <v>1455</v>
      </c>
      <c r="B117" s="8"/>
      <c r="C117" s="8"/>
      <c r="D117" s="8"/>
      <c r="E117" s="8"/>
      <c r="F117" s="8"/>
      <c r="G117" s="8"/>
      <c r="H117" s="8"/>
    </row>
    <row r="118" customFormat="false" ht="15" hidden="false" customHeight="false" outlineLevel="1" collapsed="false">
      <c r="A118" s="14" t="s">
        <v>53</v>
      </c>
      <c r="B118" s="14" t="s">
        <v>54</v>
      </c>
      <c r="C118" s="15" t="s">
        <v>55</v>
      </c>
      <c r="D118" s="15" t="s">
        <v>56</v>
      </c>
      <c r="E118" s="15" t="s">
        <v>57</v>
      </c>
      <c r="F118" s="15" t="s">
        <v>139</v>
      </c>
      <c r="G118" s="15" t="s">
        <v>140</v>
      </c>
      <c r="I118" s="14" t="s">
        <v>1324</v>
      </c>
    </row>
    <row r="119" customFormat="false" ht="15" hidden="false" customHeight="false" outlineLevel="1" collapsed="false">
      <c r="A119" s="3" t="s">
        <v>1456</v>
      </c>
      <c r="B119" s="11" t="s">
        <v>161</v>
      </c>
      <c r="C119" s="54" t="n">
        <f aca="false">CHOOSE(輸入與假設!$C$5,C49,C76,C103)</f>
        <v>10.0588739964394</v>
      </c>
      <c r="D119" s="54" t="n">
        <f aca="false">CHOOSE(輸入與假設!$C$5,D49,D76,D103)</f>
        <v>10.4093700084701</v>
      </c>
      <c r="E119" s="54" t="n">
        <f aca="false">CHOOSE(輸入與假設!$C$5,E49,E76,E103)</f>
        <v>10.6039814986895</v>
      </c>
      <c r="F119" s="54" t="n">
        <f aca="false">CHOOSE(輸入與假設!$C$5,F49,F76,F103)</f>
        <v>10.7873800883811</v>
      </c>
      <c r="G119" s="54" t="n">
        <f aca="false">CHOOSE(輸入與假設!$C$5,G49,G76,G103)</f>
        <v>10.9667826477876</v>
      </c>
    </row>
    <row r="120" customFormat="false" ht="15" hidden="false" customHeight="false" outlineLevel="1" collapsed="false">
      <c r="A120" s="3" t="s">
        <v>1457</v>
      </c>
      <c r="B120" s="6" t="s">
        <v>1326</v>
      </c>
      <c r="C120" s="54" t="n">
        <f aca="false">CHOOSE(輸入與假設!$C$5,C50,C77,C104)</f>
        <v>1.12528595311806</v>
      </c>
      <c r="D120" s="54" t="n">
        <f aca="false">CHOOSE(輸入與假設!$C$5,D50,D77,D104)</f>
        <v>1.12528595311806</v>
      </c>
      <c r="E120" s="54" t="n">
        <f aca="false">CHOOSE(輸入與假設!$C$5,E50,E77,E104)</f>
        <v>1.12528595311806</v>
      </c>
      <c r="F120" s="54" t="n">
        <f aca="false">CHOOSE(輸入與假設!$C$5,F50,F77,F104)</f>
        <v>1.12528595311806</v>
      </c>
      <c r="G120" s="54" t="n">
        <f aca="false">CHOOSE(輸入與假設!$C$5,G50,G77,G104)</f>
        <v>1.12528595311806</v>
      </c>
    </row>
    <row r="121" customFormat="false" ht="15" hidden="false" customHeight="false" outlineLevel="1" collapsed="false">
      <c r="A121" s="2" t="s">
        <v>1458</v>
      </c>
      <c r="B121" s="11" t="s">
        <v>161</v>
      </c>
      <c r="C121" s="55" t="n">
        <f aca="false">CHOOSE(輸入與假設!$C$5,C51,C78,C105)</f>
        <v>11.3191096123778</v>
      </c>
      <c r="D121" s="55" t="n">
        <f aca="false">CHOOSE(輸入與假設!$C$5,D51,D78,D105)</f>
        <v>11.7135178513398</v>
      </c>
      <c r="E121" s="55" t="n">
        <f aca="false">CHOOSE(輸入與假設!$C$5,E51,E78,E105)</f>
        <v>11.9325114275991</v>
      </c>
      <c r="F121" s="55" t="n">
        <f aca="false">CHOOSE(輸入與假設!$C$5,F51,F78,F105)</f>
        <v>12.1388872844007</v>
      </c>
      <c r="G121" s="55" t="n">
        <f aca="false">CHOOSE(輸入與假設!$C$5,G51,G78,G105)</f>
        <v>12.3407664644543</v>
      </c>
    </row>
    <row r="122" customFormat="false" ht="15" hidden="false" customHeight="false" outlineLevel="1" collapsed="false">
      <c r="A122" s="3" t="s">
        <v>1459</v>
      </c>
      <c r="B122" s="11" t="s">
        <v>42</v>
      </c>
      <c r="C122" s="66" t="n">
        <f aca="false">CHOOSE(輸入與假設!$C$5,C57,C84,C111)</f>
        <v>0.246233868582914</v>
      </c>
      <c r="D122" s="66" t="n">
        <f aca="false">CHOOSE(輸入與假設!$C$5,D57,D84,D111)</f>
        <v>0.209356263921387</v>
      </c>
      <c r="E122" s="66" t="n">
        <f aca="false">CHOOSE(輸入與假設!$C$5,E57,E84,E111)</f>
        <v>0.19371212874434</v>
      </c>
      <c r="F122" s="66" t="n">
        <f aca="false">CHOOSE(輸入與假設!$C$5,F57,F84,F111)</f>
        <v>0.181302608379369</v>
      </c>
      <c r="G122" s="66" t="n">
        <f aca="false">CHOOSE(輸入與假設!$C$5,G57,G84,G111)</f>
        <v>0.170650440492906</v>
      </c>
    </row>
    <row r="123" customFormat="false" ht="15" hidden="false" customHeight="false" outlineLevel="1" collapsed="false">
      <c r="A123" s="3" t="s">
        <v>1460</v>
      </c>
      <c r="B123" s="11" t="s">
        <v>42</v>
      </c>
      <c r="C123" s="66" t="n">
        <f aca="false">CHOOSE(輸入與假設!$C$5,C58,C85,C112)</f>
        <v>0.410389780971523</v>
      </c>
      <c r="D123" s="66" t="n">
        <f aca="false">CHOOSE(輸入與假設!$C$5,D58,D85,D112)</f>
        <v>0.348927106535646</v>
      </c>
      <c r="E123" s="66" t="n">
        <f aca="false">CHOOSE(輸入與假設!$C$5,E58,E85,E112)</f>
        <v>0.322853547907234</v>
      </c>
      <c r="F123" s="66" t="n">
        <f aca="false">CHOOSE(輸入與假設!$C$5,F58,F85,F112)</f>
        <v>0.302171013965614</v>
      </c>
      <c r="G123" s="66" t="n">
        <f aca="false">CHOOSE(輸入與假設!$C$5,G58,G85,G112)</f>
        <v>0.28441740082151</v>
      </c>
    </row>
    <row r="124" customFormat="false" ht="15" hidden="false" customHeight="false" outlineLevel="1" collapsed="false">
      <c r="A124" s="3" t="s">
        <v>1461</v>
      </c>
      <c r="B124" s="11" t="s">
        <v>42</v>
      </c>
      <c r="C124" s="66" t="n">
        <f aca="false">CHOOSE(輸入與假設!$C$5,C59,C86,C113)</f>
        <v>0.519072884976809</v>
      </c>
      <c r="D124" s="66" t="n">
        <f aca="false">CHOOSE(輸入與假設!$C$5,D59,D86,D113)</f>
        <v>0.439933542412021</v>
      </c>
      <c r="E124" s="66" t="n">
        <f aca="false">CHOOSE(輸入與假設!$C$5,E59,E86,E113)</f>
        <v>0.405967242989657</v>
      </c>
      <c r="F124" s="66" t="n">
        <f aca="false">CHOOSE(輸入與假設!$C$5,F59,F86,F113)</f>
        <v>0.379130530699714</v>
      </c>
      <c r="G124" s="66" t="n">
        <f aca="false">CHOOSE(輸入與假設!$C$5,G59,G86,G113)</f>
        <v>0.356108917980401</v>
      </c>
    </row>
    <row r="125" customFormat="false" ht="15" hidden="false" customHeight="false" outlineLevel="1" collapsed="false">
      <c r="A125" s="3" t="s">
        <v>1462</v>
      </c>
      <c r="B125" s="11" t="s">
        <v>42</v>
      </c>
      <c r="C125" s="66" t="n">
        <f aca="false">CHOOSE(輸入與假設!$C$5,C60,C87,C114)</f>
        <v>0.519072884976809</v>
      </c>
      <c r="D125" s="66" t="n">
        <f aca="false">CHOOSE(輸入與假設!$C$5,D60,D87,D114)</f>
        <v>0.439933542412021</v>
      </c>
      <c r="E125" s="66" t="n">
        <f aca="false">CHOOSE(輸入與假設!$C$5,E60,E87,E114)</f>
        <v>0.405967242989657</v>
      </c>
      <c r="F125" s="66" t="n">
        <f aca="false">CHOOSE(輸入與假設!$C$5,F60,F87,F114)</f>
        <v>0.379130530699714</v>
      </c>
      <c r="G125" s="66" t="n">
        <f aca="false">CHOOSE(輸入與假設!$C$5,G60,G87,G114)</f>
        <v>0.356108917980401</v>
      </c>
    </row>
    <row r="126" customFormat="false" ht="15" hidden="false" customHeight="false" outlineLevel="1" collapsed="false">
      <c r="A126" s="3" t="s">
        <v>1463</v>
      </c>
      <c r="B126" s="11" t="s">
        <v>42</v>
      </c>
      <c r="C126" s="66" t="n">
        <f aca="false">CHOOSE(輸入與假設!$C$5,C61,C88,C115)</f>
        <v>0.519072884976809</v>
      </c>
      <c r="D126" s="66" t="n">
        <f aca="false">CHOOSE(輸入與假設!$C$5,D61,D88,D115)</f>
        <v>0.439933542412021</v>
      </c>
      <c r="E126" s="66" t="n">
        <f aca="false">CHOOSE(輸入與假設!$C$5,E61,E88,E115)</f>
        <v>0.405967242989657</v>
      </c>
      <c r="F126" s="66" t="n">
        <f aca="false">CHOOSE(輸入與假設!$C$5,F61,F88,F115)</f>
        <v>0.379130530699714</v>
      </c>
      <c r="G126" s="66" t="n">
        <f aca="false">CHOOSE(輸入與假設!$C$5,G61,G88,G115)</f>
        <v>0.356108917980401</v>
      </c>
    </row>
    <row r="127" customFormat="false" ht="15" hidden="false" customHeight="false" outlineLevel="1" collapsed="false">
      <c r="A127" s="3" t="s">
        <v>1464</v>
      </c>
      <c r="B127" s="11" t="s">
        <v>42</v>
      </c>
      <c r="C127" s="66" t="n">
        <f aca="false">MAX(C126:G126)</f>
        <v>0.519072884976809</v>
      </c>
      <c r="D127" s="66"/>
      <c r="E127" s="66"/>
      <c r="F127" s="66"/>
      <c r="G127" s="66"/>
    </row>
    <row r="128" customFormat="false" ht="15" hidden="false" customHeight="false" outlineLevel="1" collapsed="false">
      <c r="A128" s="3" t="s">
        <v>1465</v>
      </c>
      <c r="B128" s="11" t="s">
        <v>161</v>
      </c>
      <c r="C128" s="38" t="n">
        <f aca="false">TK_RevGW_PQ_VR200</f>
        <v>48.7876810461932</v>
      </c>
      <c r="D128" s="38" t="n">
        <f aca="false">TK_RevGW_PQ_VR200_Lo</f>
        <v>35.6983032045316</v>
      </c>
      <c r="E128" s="38" t="n">
        <f aca="false">TK_RevGW_PQ_VR200_Hi</f>
        <v>77.3463236098185</v>
      </c>
      <c r="F128" s="38"/>
      <c r="G128" s="38"/>
      <c r="I128" s="11" t="s">
        <v>1466</v>
      </c>
    </row>
    <row r="129" customFormat="false" ht="15" hidden="false" customHeight="false" outlineLevel="1" collapsed="false">
      <c r="A129" s="3" t="s">
        <v>1467</v>
      </c>
      <c r="B129" s="11" t="s">
        <v>42</v>
      </c>
      <c r="C129" s="66" t="n">
        <f aca="false">C121/$C$128</f>
        <v>0.232007534886945</v>
      </c>
      <c r="D129" s="66" t="n">
        <f aca="false">D121/$C$128</f>
        <v>0.240091711681258</v>
      </c>
      <c r="E129" s="66" t="n">
        <f aca="false">E121/$C$128</f>
        <v>0.244580418083433</v>
      </c>
      <c r="F129" s="66" t="n">
        <f aca="false">F121/$C$128</f>
        <v>0.248810499373958</v>
      </c>
      <c r="G129" s="66" t="n">
        <f aca="false">G121/$C$128</f>
        <v>0.252948412382418</v>
      </c>
      <c r="I129" s="6" t="s">
        <v>1468</v>
      </c>
    </row>
    <row r="130" customFormat="false" ht="15" hidden="false" customHeight="false" outlineLevel="1" collapsed="false">
      <c r="A130" s="3" t="s">
        <v>1469</v>
      </c>
      <c r="B130" s="11" t="s">
        <v>42</v>
      </c>
      <c r="C130" s="66" t="n">
        <f aca="false">C121/$E$128</f>
        <v>0.146343214313304</v>
      </c>
      <c r="D130" s="66" t="n">
        <f aca="false">D121/$E$128</f>
        <v>0.151442464291255</v>
      </c>
      <c r="E130" s="66" t="n">
        <f aca="false">E121/$E$128</f>
        <v>0.154273802175704</v>
      </c>
      <c r="F130" s="66" t="n">
        <f aca="false">F121/$E$128</f>
        <v>0.156942007297419</v>
      </c>
      <c r="G130" s="66" t="n">
        <f aca="false">G121/$E$128</f>
        <v>0.159552075502756</v>
      </c>
    </row>
    <row r="131" customFormat="false" ht="15" hidden="false" customHeight="false" outlineLevel="1" collapsed="false">
      <c r="A131" s="3" t="s">
        <v>1470</v>
      </c>
      <c r="B131" s="11" t="s">
        <v>42</v>
      </c>
      <c r="C131" s="66" t="n">
        <f aca="false">C121/$D$128</f>
        <v>0.317076964345492</v>
      </c>
      <c r="D131" s="66" t="n">
        <f aca="false">D121/$D$128</f>
        <v>0.32812533929772</v>
      </c>
      <c r="E131" s="66" t="n">
        <f aca="false">E121/$D$128</f>
        <v>0.334259904714025</v>
      </c>
      <c r="F131" s="66" t="n">
        <f aca="false">F121/$D$128</f>
        <v>0.340041015811076</v>
      </c>
      <c r="G131" s="66" t="n">
        <f aca="false">G121/$D$128</f>
        <v>0.345696163589304</v>
      </c>
    </row>
    <row r="133" customFormat="false" ht="15" hidden="false" customHeight="false" outlineLevel="0" collapsed="false">
      <c r="A133" s="7" t="s">
        <v>1471</v>
      </c>
      <c r="B133" s="8"/>
      <c r="C133" s="8"/>
      <c r="D133" s="8"/>
      <c r="E133" s="8"/>
      <c r="F133" s="8"/>
      <c r="G133" s="8"/>
      <c r="H133" s="8"/>
    </row>
    <row r="134" customFormat="false" ht="15" hidden="false" customHeight="false" outlineLevel="1" collapsed="false">
      <c r="A134" s="14" t="s">
        <v>1472</v>
      </c>
      <c r="B134" s="14" t="s">
        <v>54</v>
      </c>
      <c r="C134" s="14" t="s">
        <v>1473</v>
      </c>
      <c r="D134" s="15" t="s">
        <v>1474</v>
      </c>
      <c r="E134" s="14" t="s">
        <v>1475</v>
      </c>
      <c r="F134" s="14" t="s">
        <v>1476</v>
      </c>
      <c r="I134" s="14" t="s">
        <v>1477</v>
      </c>
    </row>
    <row r="135" customFormat="false" ht="15" hidden="false" customHeight="false" outlineLevel="1" collapsed="false">
      <c r="A135" s="3" t="s">
        <v>1478</v>
      </c>
      <c r="B135" s="11" t="s">
        <v>1479</v>
      </c>
      <c r="C135" s="79" t="n">
        <v>9.7</v>
      </c>
      <c r="D135" s="23" t="n">
        <f aca="false">TK_HoldEcon_GB300</f>
        <v>10.8864110021101</v>
      </c>
      <c r="E135" s="54" t="n">
        <f aca="false">C135/D135</f>
        <v>0.891019087752599</v>
      </c>
      <c r="F135" s="3" t="s">
        <v>1480</v>
      </c>
      <c r="I135" s="11" t="s">
        <v>1481</v>
      </c>
    </row>
    <row r="136" customFormat="false" ht="15" hidden="false" customHeight="false" outlineLevel="1" collapsed="false">
      <c r="A136" s="3" t="s">
        <v>1482</v>
      </c>
      <c r="B136" s="11" t="s">
        <v>1479</v>
      </c>
      <c r="C136" s="79" t="n">
        <v>11.333</v>
      </c>
      <c r="D136" s="23" t="n">
        <f aca="false">TK_HoldEcon_GB300</f>
        <v>10.8864110021101</v>
      </c>
      <c r="E136" s="54" t="n">
        <f aca="false">C136/D136</f>
        <v>1.04102261046394</v>
      </c>
      <c r="F136" s="3" t="s">
        <v>1483</v>
      </c>
      <c r="I136" s="11" t="s">
        <v>1484</v>
      </c>
    </row>
    <row r="137" customFormat="false" ht="15" hidden="false" customHeight="false" outlineLevel="1" collapsed="false">
      <c r="A137" s="3" t="s">
        <v>1485</v>
      </c>
      <c r="B137" s="11" t="s">
        <v>1486</v>
      </c>
      <c r="C137" s="79" t="n">
        <v>2.82</v>
      </c>
      <c r="D137" s="23" t="n">
        <f aca="false">TK_GPUhrEcon_H100</f>
        <v>1.54259654785589</v>
      </c>
      <c r="E137" s="54" t="n">
        <f aca="false">C137/D137</f>
        <v>1.82808654921445</v>
      </c>
      <c r="F137" s="3" t="s">
        <v>1487</v>
      </c>
      <c r="I137" s="11" t="s">
        <v>1488</v>
      </c>
    </row>
    <row r="138" customFormat="false" ht="15" hidden="false" customHeight="false" outlineLevel="1" collapsed="false">
      <c r="A138" s="3" t="s">
        <v>1489</v>
      </c>
      <c r="B138" s="11" t="s">
        <v>1486</v>
      </c>
      <c r="C138" s="79" t="n">
        <v>6.82</v>
      </c>
      <c r="D138" s="23" t="n">
        <f aca="false">TK_GPUhrEcon_GB300</f>
        <v>2.55178761329595</v>
      </c>
      <c r="E138" s="54" t="n">
        <f aca="false">C138/D138</f>
        <v>2.67263621959162</v>
      </c>
      <c r="F138" s="3" t="s">
        <v>1483</v>
      </c>
      <c r="I138" s="11" t="s">
        <v>1490</v>
      </c>
    </row>
    <row r="139" customFormat="false" ht="15" hidden="false" customHeight="false" outlineLevel="1" collapsed="false">
      <c r="A139" s="3" t="s">
        <v>1491</v>
      </c>
      <c r="B139" s="11" t="s">
        <v>1486</v>
      </c>
      <c r="C139" s="79" t="n">
        <v>4.08</v>
      </c>
      <c r="D139" s="23" t="n">
        <f aca="false">TK_GPUhrEcon_GB200</f>
        <v>2.00846099652078</v>
      </c>
      <c r="E139" s="54" t="n">
        <f aca="false">C139/D139</f>
        <v>2.03140613985918</v>
      </c>
      <c r="F139" s="3" t="s">
        <v>1483</v>
      </c>
      <c r="I139" s="11" t="s">
        <v>1492</v>
      </c>
    </row>
    <row r="140" customFormat="false" ht="15" hidden="false" customHeight="false" outlineLevel="1" collapsed="false">
      <c r="A140" s="3" t="s">
        <v>1493</v>
      </c>
      <c r="B140" s="11" t="s">
        <v>1486</v>
      </c>
      <c r="C140" s="79" t="n">
        <v>5.87</v>
      </c>
      <c r="D140" s="23" t="n">
        <f aca="false">TK_GPUhrEcon_GB200</f>
        <v>2.00846099652078</v>
      </c>
      <c r="E140" s="54" t="n">
        <f aca="false">C140/D140</f>
        <v>2.92263579435622</v>
      </c>
      <c r="F140" s="3" t="s">
        <v>1494</v>
      </c>
      <c r="I140" s="11" t="s">
        <v>1495</v>
      </c>
    </row>
    <row r="141" customFormat="false" ht="15" hidden="false" customHeight="false" outlineLevel="1" collapsed="false">
      <c r="A141" s="3" t="s">
        <v>1496</v>
      </c>
      <c r="B141" s="11" t="s">
        <v>1486</v>
      </c>
      <c r="C141" s="79" t="n">
        <v>4.5</v>
      </c>
      <c r="D141" s="23" t="n">
        <f aca="false">TK_GPUhrEcon_H100</f>
        <v>1.54259654785589</v>
      </c>
      <c r="E141" s="54" t="n">
        <f aca="false">C141/D141</f>
        <v>2.91715938704434</v>
      </c>
      <c r="F141" s="3" t="s">
        <v>1494</v>
      </c>
      <c r="I141" s="11" t="s">
        <v>1497</v>
      </c>
    </row>
    <row r="142" customFormat="false" ht="15" hidden="false" customHeight="false" outlineLevel="1" collapsed="false">
      <c r="A142" s="3" t="s">
        <v>1498</v>
      </c>
      <c r="B142" s="11" t="s">
        <v>1486</v>
      </c>
      <c r="C142" s="79" t="n">
        <v>5.4</v>
      </c>
      <c r="D142" s="23" t="n">
        <f aca="false">TK_GPUhrEcon_H100</f>
        <v>1.54259654785589</v>
      </c>
      <c r="E142" s="54" t="n">
        <f aca="false">C142/D142</f>
        <v>3.50059126445321</v>
      </c>
      <c r="F142" s="3" t="s">
        <v>1494</v>
      </c>
      <c r="I142" s="11" t="s">
        <v>1499</v>
      </c>
    </row>
    <row r="143" customFormat="false" ht="15" hidden="false" customHeight="false" outlineLevel="1" collapsed="false">
      <c r="A143" s="3" t="s">
        <v>1500</v>
      </c>
      <c r="B143" s="11" t="s">
        <v>1486</v>
      </c>
      <c r="C143" s="79" t="n">
        <v>9.5</v>
      </c>
      <c r="D143" s="23" t="n">
        <f aca="false">TK_GPUhrEcon_GB300</f>
        <v>2.55178761329595</v>
      </c>
      <c r="E143" s="54" t="n">
        <f aca="false">C143/D143</f>
        <v>3.72288036453378</v>
      </c>
      <c r="F143" s="3" t="s">
        <v>1494</v>
      </c>
      <c r="I143" s="11" t="s">
        <v>1501</v>
      </c>
    </row>
    <row r="144" customFormat="false" ht="15" hidden="false" customHeight="false" outlineLevel="1" collapsed="false">
      <c r="A144" s="3" t="s">
        <v>1502</v>
      </c>
      <c r="B144" s="11" t="s">
        <v>1486</v>
      </c>
      <c r="C144" s="79" t="n">
        <v>3.973</v>
      </c>
      <c r="D144" s="23" t="n">
        <f aca="false">TK_GPUhrEcon_GB300</f>
        <v>2.55178761329595</v>
      </c>
      <c r="E144" s="54" t="n">
        <f aca="false">C144/D144</f>
        <v>1.55694775666239</v>
      </c>
      <c r="F144" s="3" t="s">
        <v>1494</v>
      </c>
      <c r="I144" s="11" t="s">
        <v>1503</v>
      </c>
    </row>
    <row r="145" customFormat="false" ht="15" hidden="false" customHeight="false" outlineLevel="1" collapsed="false">
      <c r="A145" s="3" t="s">
        <v>1504</v>
      </c>
      <c r="B145" s="11" t="s">
        <v>1479</v>
      </c>
      <c r="C145" s="79" t="n">
        <v>19.27</v>
      </c>
      <c r="D145" s="23" t="n">
        <f aca="false">TK_HoldEcon_GB300</f>
        <v>10.8864110021101</v>
      </c>
      <c r="E145" s="54" t="n">
        <f aca="false">C145/D145</f>
        <v>1.77009668257656</v>
      </c>
      <c r="F145" s="3" t="s">
        <v>1494</v>
      </c>
      <c r="I145" s="11" t="s">
        <v>1505</v>
      </c>
    </row>
    <row r="146" customFormat="false" ht="15" hidden="false" customHeight="false" outlineLevel="1" collapsed="false">
      <c r="A146" s="3" t="s">
        <v>1506</v>
      </c>
      <c r="B146" s="11" t="s">
        <v>1479</v>
      </c>
      <c r="C146" s="79" t="n">
        <v>14.8</v>
      </c>
      <c r="D146" s="23" t="n">
        <f aca="false">TK_HoldEcon_GB300</f>
        <v>10.8864110021101</v>
      </c>
      <c r="E146" s="54" t="n">
        <f aca="false">C146/D146</f>
        <v>1.35949304110706</v>
      </c>
      <c r="F146" s="3" t="s">
        <v>1494</v>
      </c>
      <c r="I146" s="11" t="s">
        <v>1507</v>
      </c>
    </row>
    <row r="147" customFormat="false" ht="15" hidden="false" customHeight="false" outlineLevel="1" collapsed="false">
      <c r="A147" s="3" t="s">
        <v>1508</v>
      </c>
      <c r="B147" s="11" t="s">
        <v>1479</v>
      </c>
      <c r="C147" s="79" t="n">
        <v>18.27</v>
      </c>
      <c r="D147" s="23" t="n">
        <f aca="false">TK_HoldEcon_VR200</f>
        <v>12.2254710045841</v>
      </c>
      <c r="E147" s="54" t="n">
        <f aca="false">C147/D147</f>
        <v>1.49442095058337</v>
      </c>
      <c r="F147" s="3" t="s">
        <v>1494</v>
      </c>
      <c r="I147" s="11" t="s">
        <v>1509</v>
      </c>
    </row>
    <row r="148" customFormat="false" ht="15" hidden="false" customHeight="false" outlineLevel="1" collapsed="false">
      <c r="A148" s="3" t="s">
        <v>1510</v>
      </c>
      <c r="B148" s="11" t="s">
        <v>1479</v>
      </c>
      <c r="C148" s="79" t="n">
        <v>8.8</v>
      </c>
      <c r="D148" s="23" t="n">
        <f aca="false">TK_HoldEcon_H100</f>
        <v>9.70308728611469</v>
      </c>
      <c r="E148" s="54" t="n">
        <f aca="false">C148/D148</f>
        <v>0.906927840646448</v>
      </c>
      <c r="F148" s="3" t="s">
        <v>1494</v>
      </c>
      <c r="I148" s="11" t="s">
        <v>1511</v>
      </c>
    </row>
    <row r="149" customFormat="false" ht="15" hidden="false" customHeight="false" outlineLevel="1" collapsed="false">
      <c r="A149" s="3" t="s">
        <v>1512</v>
      </c>
      <c r="B149" s="11" t="s">
        <v>1513</v>
      </c>
      <c r="C149" s="72" t="n">
        <v>55.067</v>
      </c>
      <c r="I149" s="11" t="s">
        <v>1514</v>
      </c>
    </row>
    <row r="150" customFormat="false" ht="15" hidden="false" customHeight="false" outlineLevel="1" collapsed="false">
      <c r="A150" s="3" t="s">
        <v>1515</v>
      </c>
      <c r="B150" s="11" t="s">
        <v>1513</v>
      </c>
      <c r="C150" s="72" t="n">
        <v>36.067</v>
      </c>
      <c r="I150" s="11" t="s">
        <v>1516</v>
      </c>
    </row>
    <row r="151" customFormat="false" ht="15" hidden="false" customHeight="false" outlineLevel="1" collapsed="false">
      <c r="A151" s="3" t="s">
        <v>1517</v>
      </c>
      <c r="B151" s="11" t="s">
        <v>1513</v>
      </c>
      <c r="C151" s="72" t="n">
        <v>17.5</v>
      </c>
      <c r="I151" s="11" t="s">
        <v>1518</v>
      </c>
    </row>
    <row r="152" customFormat="false" ht="15" hidden="false" customHeight="false" outlineLevel="1" collapsed="false">
      <c r="A152" s="3" t="s">
        <v>1519</v>
      </c>
      <c r="B152" s="11" t="s">
        <v>1513</v>
      </c>
      <c r="C152" s="72" t="n">
        <v>5.333</v>
      </c>
      <c r="I152" s="11" t="s">
        <v>1520</v>
      </c>
    </row>
    <row r="153" customFormat="false" ht="15" hidden="false" customHeight="false" outlineLevel="1" collapsed="false">
      <c r="A153" s="3" t="s">
        <v>1521</v>
      </c>
      <c r="B153" s="11" t="s">
        <v>1513</v>
      </c>
      <c r="C153" s="72" t="n">
        <v>32</v>
      </c>
      <c r="I153" s="11" t="s">
        <v>1522</v>
      </c>
    </row>
    <row r="154" customFormat="false" ht="15" hidden="false" customHeight="false" outlineLevel="1" collapsed="false">
      <c r="A154" s="3" t="s">
        <v>1523</v>
      </c>
      <c r="B154" s="11" t="s">
        <v>1513</v>
      </c>
      <c r="C154" s="72" t="n">
        <v>25.1</v>
      </c>
      <c r="I154" s="11" t="s">
        <v>1524</v>
      </c>
    </row>
    <row r="155" customFormat="false" ht="15" hidden="false" customHeight="false" outlineLevel="1" collapsed="false">
      <c r="A155" s="3" t="s">
        <v>1525</v>
      </c>
      <c r="B155" s="11" t="s">
        <v>1513</v>
      </c>
      <c r="C155" s="72" t="n">
        <v>8.5</v>
      </c>
      <c r="I155" s="11" t="s">
        <v>1526</v>
      </c>
    </row>
    <row r="156" customFormat="false" ht="15" hidden="false" customHeight="false" outlineLevel="1" collapsed="false">
      <c r="A156" s="3" t="s">
        <v>1527</v>
      </c>
      <c r="B156" s="11" t="s">
        <v>1513</v>
      </c>
      <c r="C156" s="72" t="n">
        <v>9.05</v>
      </c>
      <c r="I156" s="11" t="s">
        <v>1528</v>
      </c>
    </row>
    <row r="157" customFormat="false" ht="15" hidden="false" customHeight="false" outlineLevel="1" collapsed="false">
      <c r="A157" s="3" t="s">
        <v>1529</v>
      </c>
      <c r="B157" s="11" t="s">
        <v>1513</v>
      </c>
      <c r="C157" s="72" t="n">
        <v>6.8</v>
      </c>
      <c r="I157" s="11" t="s">
        <v>1530</v>
      </c>
    </row>
    <row r="158" customFormat="false" ht="15" hidden="false" customHeight="false" outlineLevel="1" collapsed="false">
      <c r="A158" s="3" t="s">
        <v>1531</v>
      </c>
      <c r="B158" s="6" t="s">
        <v>1532</v>
      </c>
      <c r="C158" s="72" t="n">
        <v>0.747</v>
      </c>
      <c r="I158" s="11" t="s">
        <v>1533</v>
      </c>
    </row>
    <row r="159" customFormat="false" ht="15" hidden="false" customHeight="false" outlineLevel="1" collapsed="false">
      <c r="A159" s="6" t="s">
        <v>1534</v>
      </c>
      <c r="I159" s="11" t="s">
        <v>1535</v>
      </c>
    </row>
    <row r="160" customFormat="false" ht="15" hidden="false" customHeight="false" outlineLevel="1" collapsed="false">
      <c r="A160" s="6" t="s">
        <v>1534</v>
      </c>
      <c r="I160" s="11" t="s">
        <v>1536</v>
      </c>
    </row>
    <row r="161" customFormat="false" ht="15" hidden="false" customHeight="false" outlineLevel="1" collapsed="false">
      <c r="A161" s="6" t="s">
        <v>1534</v>
      </c>
      <c r="I161" s="6" t="s">
        <v>1537</v>
      </c>
    </row>
    <row r="163" customFormat="false" ht="15" hidden="false" customHeight="false" outlineLevel="0" collapsed="false">
      <c r="A163" s="7" t="s">
        <v>1538</v>
      </c>
      <c r="B163" s="8"/>
      <c r="C163" s="8"/>
      <c r="D163" s="8"/>
      <c r="E163" s="8"/>
      <c r="F163" s="8"/>
      <c r="G163" s="8"/>
      <c r="H163" s="8"/>
    </row>
    <row r="164" customFormat="false" ht="15" hidden="false" customHeight="false" outlineLevel="1" collapsed="false">
      <c r="A164" s="14" t="s">
        <v>53</v>
      </c>
      <c r="B164" s="14" t="s">
        <v>54</v>
      </c>
      <c r="C164" s="15" t="s">
        <v>55</v>
      </c>
      <c r="D164" s="15" t="s">
        <v>56</v>
      </c>
      <c r="E164" s="15" t="s">
        <v>57</v>
      </c>
      <c r="F164" s="15" t="s">
        <v>139</v>
      </c>
      <c r="G164" s="15" t="s">
        <v>140</v>
      </c>
      <c r="I164" s="14" t="s">
        <v>1324</v>
      </c>
    </row>
    <row r="165" customFormat="false" ht="15" hidden="false" customHeight="false" outlineLevel="1" collapsed="false">
      <c r="A165" s="3" t="s">
        <v>1539</v>
      </c>
      <c r="B165" s="11" t="s">
        <v>161</v>
      </c>
      <c r="C165" s="79" t="n">
        <v>11.62</v>
      </c>
      <c r="D165" s="79" t="n">
        <v>11.62</v>
      </c>
      <c r="E165" s="79" t="n">
        <v>11.62</v>
      </c>
      <c r="F165" s="79" t="n">
        <v>11.62</v>
      </c>
      <c r="G165" s="79" t="n">
        <v>11.62</v>
      </c>
      <c r="I165" s="11" t="s">
        <v>1540</v>
      </c>
    </row>
    <row r="166" customFormat="false" ht="15" hidden="false" customHeight="false" outlineLevel="1" collapsed="false">
      <c r="A166" s="3" t="s">
        <v>1541</v>
      </c>
      <c r="B166" s="11" t="s">
        <v>161</v>
      </c>
      <c r="C166" s="79" t="n">
        <v>17.4</v>
      </c>
      <c r="D166" s="79" t="n">
        <v>17.4</v>
      </c>
      <c r="E166" s="79" t="n">
        <v>17.4</v>
      </c>
      <c r="F166" s="79" t="n">
        <v>17.4</v>
      </c>
      <c r="G166" s="79" t="n">
        <v>17.4</v>
      </c>
    </row>
    <row r="167" customFormat="false" ht="15" hidden="false" customHeight="false" outlineLevel="1" collapsed="false">
      <c r="A167" s="3" t="s">
        <v>1542</v>
      </c>
      <c r="B167" s="11" t="s">
        <v>161</v>
      </c>
      <c r="C167" s="79" t="n">
        <v>24.2</v>
      </c>
      <c r="D167" s="79" t="n">
        <v>24.2</v>
      </c>
      <c r="E167" s="79" t="n">
        <v>24.2</v>
      </c>
      <c r="F167" s="79" t="n">
        <v>24.2</v>
      </c>
      <c r="G167" s="79" t="n">
        <v>24.2</v>
      </c>
    </row>
    <row r="168" customFormat="false" ht="15" hidden="false" customHeight="false" outlineLevel="1" collapsed="false">
      <c r="A168" s="3" t="s">
        <v>1543</v>
      </c>
      <c r="B168" s="11" t="s">
        <v>42</v>
      </c>
      <c r="C168" s="66" t="n">
        <f aca="false">C121/CHOOSE(輸入與假設!$C$5,C165,C166,C167)-1</f>
        <v>-0.349476459058746</v>
      </c>
      <c r="D168" s="66" t="n">
        <f aca="false">D121/CHOOSE(輸入與假設!$C$5,D165,D166,D167)-1</f>
        <v>-0.326809318888517</v>
      </c>
      <c r="E168" s="66" t="n">
        <f aca="false">E121/CHOOSE(輸入與假設!$C$5,E165,E166,E167)-1</f>
        <v>-0.314223481172465</v>
      </c>
      <c r="F168" s="66" t="n">
        <f aca="false">F121/CHOOSE(輸入與假設!$C$5,F165,F166,F167)-1</f>
        <v>-0.302362799747086</v>
      </c>
      <c r="G168" s="66" t="n">
        <f aca="false">G121/CHOOSE(輸入與假設!$C$5,G165,G166,G167)-1</f>
        <v>-0.290760548019866</v>
      </c>
    </row>
    <row r="169" customFormat="false" ht="15" hidden="false" customHeight="false" outlineLevel="1" collapsed="false">
      <c r="A169" s="3" t="s">
        <v>1544</v>
      </c>
      <c r="B169" s="11" t="s">
        <v>161</v>
      </c>
      <c r="C169" s="54" t="n">
        <f aca="false">C119*(1+0.15)/(1-0.08)</f>
        <v>12.5735924955493</v>
      </c>
      <c r="D169" s="54" t="n">
        <f aca="false">D119*(1+0.15)/(1-0.08)</f>
        <v>13.0117125105876</v>
      </c>
      <c r="E169" s="54" t="n">
        <f aca="false">E119*(1+0.15)/(1-0.08)</f>
        <v>13.2549768733619</v>
      </c>
      <c r="F169" s="54" t="n">
        <f aca="false">F119*(1+0.15)/(1-0.08)</f>
        <v>13.4842251104763</v>
      </c>
      <c r="G169" s="54" t="n">
        <f aca="false">G119*(1+0.15)/(1-0.08)</f>
        <v>13.7084783097345</v>
      </c>
      <c r="I169" s="11" t="s">
        <v>1545</v>
      </c>
    </row>
    <row r="170" customFormat="false" ht="15" hidden="false" customHeight="false" outlineLevel="1" collapsed="false">
      <c r="A170" s="3" t="s">
        <v>1546</v>
      </c>
      <c r="B170" s="11" t="s">
        <v>161</v>
      </c>
      <c r="C170" s="26" t="n">
        <v>37.45</v>
      </c>
      <c r="D170" s="26" t="n">
        <v>37.59</v>
      </c>
      <c r="E170" s="26" t="n">
        <v>37.59</v>
      </c>
      <c r="F170" s="26" t="n">
        <v>37.59</v>
      </c>
      <c r="G170" s="26" t="n">
        <v>37.59</v>
      </c>
      <c r="I170" s="11" t="s">
        <v>1547</v>
      </c>
    </row>
    <row r="171" customFormat="false" ht="15" hidden="false" customHeight="false" outlineLevel="1" collapsed="false">
      <c r="A171" s="3" t="s">
        <v>1548</v>
      </c>
      <c r="B171" s="11" t="s">
        <v>161</v>
      </c>
      <c r="C171" s="54" t="n">
        <f aca="false">46.024/$C$21*1</f>
        <v>8.368</v>
      </c>
      <c r="D171" s="54"/>
      <c r="E171" s="54"/>
      <c r="F171" s="54"/>
      <c r="G171" s="54"/>
      <c r="I171" s="11" t="s">
        <v>1549</v>
      </c>
    </row>
    <row r="172" customFormat="false" ht="15" hidden="false" customHeight="false" outlineLevel="1" collapsed="false">
      <c r="A172" s="3" t="s">
        <v>1550</v>
      </c>
      <c r="B172" s="6" t="s">
        <v>1326</v>
      </c>
      <c r="C172" s="75" t="n">
        <f aca="false">TK_FacilityGW_GB300</f>
        <v>1.2</v>
      </c>
      <c r="D172" s="75"/>
      <c r="E172" s="75"/>
      <c r="F172" s="75"/>
      <c r="G172" s="75"/>
      <c r="I172" s="6" t="s">
        <v>1551</v>
      </c>
    </row>
    <row r="174" customFormat="false" ht="15" hidden="false" customHeight="false" outlineLevel="0" collapsed="false">
      <c r="A174" s="7" t="s">
        <v>1552</v>
      </c>
      <c r="B174" s="8"/>
      <c r="C174" s="8"/>
      <c r="D174" s="8"/>
      <c r="E174" s="8"/>
      <c r="F174" s="8"/>
      <c r="G174" s="8"/>
      <c r="H174" s="8"/>
    </row>
    <row r="175" customFormat="false" ht="15" hidden="false" customHeight="false" outlineLevel="1" collapsed="false">
      <c r="A175" s="14" t="s">
        <v>53</v>
      </c>
      <c r="B175" s="14" t="s">
        <v>54</v>
      </c>
      <c r="C175" s="14" t="s">
        <v>695</v>
      </c>
      <c r="I175" s="14" t="s">
        <v>1553</v>
      </c>
    </row>
    <row r="176" customFormat="false" ht="15" hidden="false" customHeight="false" outlineLevel="1" collapsed="false">
      <c r="A176" s="4" t="s">
        <v>1554</v>
      </c>
      <c r="B176" s="11" t="s">
        <v>59</v>
      </c>
      <c r="C176" s="65" t="n">
        <f aca="false">輸入與假設!$C$22</f>
        <v>46.024</v>
      </c>
      <c r="I176" s="6" t="s">
        <v>1555</v>
      </c>
    </row>
    <row r="177" customFormat="false" ht="15" hidden="false" customHeight="false" outlineLevel="1" collapsed="false">
      <c r="A177" s="4" t="s">
        <v>1556</v>
      </c>
      <c r="B177" s="11" t="s">
        <v>143</v>
      </c>
      <c r="C177" s="65" t="n">
        <f aca="false">$C$21</f>
        <v>5.5</v>
      </c>
      <c r="I177" s="6" t="s">
        <v>1557</v>
      </c>
    </row>
    <row r="178" customFormat="false" ht="15" hidden="false" customHeight="false" outlineLevel="1" collapsed="false">
      <c r="A178" s="4" t="s">
        <v>1558</v>
      </c>
      <c r="B178" s="11" t="s">
        <v>143</v>
      </c>
      <c r="C178" s="65" t="n">
        <f aca="false">輸入與假設!$C$36</f>
        <v>4.07</v>
      </c>
      <c r="I178" s="6" t="s">
        <v>1559</v>
      </c>
    </row>
    <row r="179" customFormat="false" ht="15" hidden="false" customHeight="false" outlineLevel="1" collapsed="false">
      <c r="A179" s="3" t="s">
        <v>1560</v>
      </c>
      <c r="B179" s="11" t="s">
        <v>42</v>
      </c>
      <c r="C179" s="66" t="n">
        <f aca="false">$C$178/$C$177</f>
        <v>0.74</v>
      </c>
      <c r="I179" s="6" t="s">
        <v>1561</v>
      </c>
    </row>
    <row r="180" customFormat="false" ht="15" hidden="false" customHeight="false" outlineLevel="1" collapsed="false">
      <c r="A180" s="4" t="s">
        <v>1562</v>
      </c>
      <c r="B180" s="11" t="s">
        <v>161</v>
      </c>
      <c r="C180" s="54" t="n">
        <f aca="false">$C$176/$C$177*1</f>
        <v>8.368</v>
      </c>
      <c r="I180" s="11" t="s">
        <v>1563</v>
      </c>
    </row>
    <row r="181" customFormat="false" ht="15" hidden="false" customHeight="false" outlineLevel="1" collapsed="false">
      <c r="A181" s="4" t="s">
        <v>1564</v>
      </c>
      <c r="B181" s="11" t="s">
        <v>161</v>
      </c>
      <c r="C181" s="54" t="n">
        <f aca="false">$C$176/$C$178*1</f>
        <v>11.3081081081081</v>
      </c>
      <c r="I181" s="6" t="s">
        <v>1565</v>
      </c>
    </row>
    <row r="182" customFormat="false" ht="15" hidden="false" customHeight="false" outlineLevel="1" collapsed="false">
      <c r="A182" s="3" t="s">
        <v>1566</v>
      </c>
      <c r="B182" s="11" t="s">
        <v>161</v>
      </c>
      <c r="C182" s="54" t="n">
        <f aca="false">$E$16*$C$16+$E$17*$C$17+$E$18*$C$18+$E$19*$C$19</f>
        <v>9.45603086986298</v>
      </c>
      <c r="I182" s="6" t="s">
        <v>1567</v>
      </c>
    </row>
    <row r="183" customFormat="false" ht="15" hidden="false" customHeight="false" outlineLevel="1" collapsed="false">
      <c r="A183" s="3" t="s">
        <v>1568</v>
      </c>
      <c r="B183" s="11" t="s">
        <v>161</v>
      </c>
      <c r="C183" s="54" t="n">
        <f aca="false">C119</f>
        <v>10.0588739964394</v>
      </c>
    </row>
    <row r="184" customFormat="false" ht="15" hidden="false" customHeight="false" outlineLevel="1" collapsed="false">
      <c r="A184" s="3" t="s">
        <v>1569</v>
      </c>
      <c r="B184" s="6" t="s">
        <v>1326</v>
      </c>
      <c r="C184" s="54" t="n">
        <f aca="false">C120</f>
        <v>1.12528595311806</v>
      </c>
    </row>
    <row r="185" customFormat="false" ht="15" hidden="false" customHeight="false" outlineLevel="1" collapsed="false">
      <c r="A185" s="2" t="s">
        <v>1570</v>
      </c>
      <c r="B185" s="11" t="s">
        <v>161</v>
      </c>
      <c r="C185" s="55" t="n">
        <f aca="false">C121</f>
        <v>11.3191096123778</v>
      </c>
    </row>
    <row r="186" customFormat="false" ht="15" hidden="false" customHeight="false" outlineLevel="1" collapsed="false">
      <c r="A186" s="4" t="s">
        <v>1571</v>
      </c>
      <c r="B186" s="6" t="s">
        <v>1326</v>
      </c>
      <c r="C186" s="54" t="n">
        <f aca="false">$C$180/$C$182</f>
        <v>0.884937889391773</v>
      </c>
      <c r="I186" s="6" t="s">
        <v>1572</v>
      </c>
    </row>
    <row r="187" customFormat="false" ht="15" hidden="false" customHeight="false" outlineLevel="1" collapsed="false">
      <c r="A187" s="3" t="s">
        <v>1573</v>
      </c>
      <c r="B187" s="6" t="s">
        <v>1326</v>
      </c>
      <c r="C187" s="54" t="n">
        <f aca="false">F11</f>
        <v>0.907014567138924</v>
      </c>
      <c r="I187" s="11" t="s">
        <v>1574</v>
      </c>
    </row>
    <row r="188" customFormat="false" ht="15" hidden="false" customHeight="false" outlineLevel="1" collapsed="false">
      <c r="A188" s="2" t="s">
        <v>1575</v>
      </c>
      <c r="B188" s="11" t="s">
        <v>161</v>
      </c>
      <c r="C188" s="55" t="n">
        <f aca="false">$C$180-$C$185</f>
        <v>-2.95110961237781</v>
      </c>
    </row>
    <row r="189" customFormat="false" ht="15" hidden="false" customHeight="false" outlineLevel="1" collapsed="false">
      <c r="A189" s="3" t="s">
        <v>1576</v>
      </c>
      <c r="B189" s="11" t="s">
        <v>42</v>
      </c>
      <c r="C189" s="66" t="n">
        <f aca="false">$C$188/$C$185</f>
        <v>-0.260719236180086</v>
      </c>
      <c r="I189" s="11" t="s">
        <v>1577</v>
      </c>
    </row>
    <row r="190" customFormat="false" ht="15" hidden="false" customHeight="false" outlineLevel="1" collapsed="false"/>
    <row r="191" customFormat="false" ht="15" hidden="false" customHeight="false" outlineLevel="1" collapsed="false">
      <c r="A191" s="14" t="s">
        <v>1578</v>
      </c>
      <c r="B191" s="14" t="s">
        <v>54</v>
      </c>
      <c r="C191" s="14" t="s">
        <v>1579</v>
      </c>
      <c r="D191" s="14" t="s">
        <v>1580</v>
      </c>
      <c r="E191" s="14" t="s">
        <v>1581</v>
      </c>
      <c r="F191" s="14" t="s">
        <v>1582</v>
      </c>
      <c r="I191" s="14" t="s">
        <v>1553</v>
      </c>
    </row>
    <row r="192" customFormat="false" ht="15" hidden="false" customHeight="false" outlineLevel="1" collapsed="false">
      <c r="A192" s="3" t="s">
        <v>1583</v>
      </c>
      <c r="B192" s="11" t="s">
        <v>42</v>
      </c>
      <c r="C192" s="24" t="n">
        <v>0</v>
      </c>
      <c r="D192" s="24" t="n">
        <v>0.1</v>
      </c>
      <c r="E192" s="24" t="n">
        <v>0.2</v>
      </c>
      <c r="F192" s="24" t="n">
        <v>0.3</v>
      </c>
      <c r="I192" s="6" t="s">
        <v>1584</v>
      </c>
    </row>
    <row r="193" customFormat="false" ht="15" hidden="false" customHeight="false" outlineLevel="1" collapsed="false">
      <c r="A193" s="3" t="s">
        <v>1585</v>
      </c>
      <c r="B193" s="11" t="s">
        <v>161</v>
      </c>
      <c r="C193" s="54" t="n">
        <f aca="false">$C$185</f>
        <v>11.3191096123778</v>
      </c>
      <c r="D193" s="54" t="n">
        <f aca="false">$C$185</f>
        <v>11.3191096123778</v>
      </c>
      <c r="E193" s="54" t="n">
        <f aca="false">$C$185</f>
        <v>11.3191096123778</v>
      </c>
      <c r="F193" s="54" t="n">
        <f aca="false">$C$185</f>
        <v>11.3191096123778</v>
      </c>
    </row>
    <row r="194" customFormat="false" ht="15" hidden="false" customHeight="false" outlineLevel="1" collapsed="false">
      <c r="A194" s="4" t="s">
        <v>1586</v>
      </c>
      <c r="B194" s="11" t="s">
        <v>161</v>
      </c>
      <c r="C194" s="54" t="n">
        <f aca="false">($C$182-$C$183)*$C$184</f>
        <v>-0.678370902270226</v>
      </c>
      <c r="D194" s="54" t="n">
        <f aca="false">($C$182-$C$183)*$C$184</f>
        <v>-0.678370902270226</v>
      </c>
      <c r="E194" s="54" t="n">
        <f aca="false">($C$182-$C$183)*$C$184</f>
        <v>-0.678370902270226</v>
      </c>
      <c r="F194" s="54" t="n">
        <f aca="false">($C$182-$C$183)*$C$184</f>
        <v>-0.678370902270226</v>
      </c>
      <c r="I194" s="6" t="s">
        <v>1587</v>
      </c>
    </row>
    <row r="195" customFormat="false" ht="15" hidden="false" customHeight="false" outlineLevel="1" collapsed="false">
      <c r="A195" s="4" t="s">
        <v>1588</v>
      </c>
      <c r="B195" s="11" t="s">
        <v>161</v>
      </c>
      <c r="C195" s="54" t="n">
        <f aca="false">($C$187-$C$184)*$C$182</f>
        <v>-2.06398096382651</v>
      </c>
      <c r="D195" s="54" t="n">
        <f aca="false">($C$187-$C$184)*$C$182</f>
        <v>-2.06398096382651</v>
      </c>
      <c r="E195" s="54" t="n">
        <f aca="false">($C$187-$C$184)*$C$182</f>
        <v>-2.06398096382651</v>
      </c>
      <c r="F195" s="54" t="n">
        <f aca="false">($C$187-$C$184)*$C$182</f>
        <v>-2.06398096382651</v>
      </c>
      <c r="I195" s="6" t="s">
        <v>1589</v>
      </c>
    </row>
    <row r="196" customFormat="false" ht="15" hidden="false" customHeight="false" outlineLevel="1" collapsed="false">
      <c r="A196" s="3" t="s">
        <v>1590</v>
      </c>
      <c r="B196" s="11" t="s">
        <v>161</v>
      </c>
      <c r="C196" s="54" t="n">
        <f aca="false">C193+C194+C195</f>
        <v>8.57675774628107</v>
      </c>
      <c r="D196" s="54" t="n">
        <f aca="false">D193+D194+D195</f>
        <v>8.57675774628107</v>
      </c>
      <c r="E196" s="54" t="n">
        <f aca="false">E193+E194+E195</f>
        <v>8.57675774628107</v>
      </c>
      <c r="F196" s="54" t="n">
        <f aca="false">F193+F194+F195</f>
        <v>8.57675774628107</v>
      </c>
      <c r="I196" s="6" t="s">
        <v>1591</v>
      </c>
    </row>
    <row r="197" customFormat="false" ht="15" hidden="false" customHeight="false" outlineLevel="1" collapsed="false">
      <c r="A197" s="4" t="s">
        <v>1592</v>
      </c>
      <c r="B197" s="11" t="s">
        <v>161</v>
      </c>
      <c r="C197" s="54" t="n">
        <f aca="false">$C$180*(1-C192)-C196</f>
        <v>-0.208757746281073</v>
      </c>
      <c r="D197" s="54" t="n">
        <f aca="false">$C$180*(1-D192)-D196</f>
        <v>-1.04555774628107</v>
      </c>
      <c r="E197" s="54" t="n">
        <f aca="false">$C$180*(1-E192)-E196</f>
        <v>-1.88235774628107</v>
      </c>
      <c r="F197" s="54" t="n">
        <f aca="false">$C$180*(1-F192)-F196</f>
        <v>-2.71915774628107</v>
      </c>
      <c r="I197" s="6" t="s">
        <v>1593</v>
      </c>
    </row>
    <row r="198" customFormat="false" ht="15" hidden="false" customHeight="false" outlineLevel="1" collapsed="false">
      <c r="A198" s="4" t="s">
        <v>1594</v>
      </c>
      <c r="B198" s="11" t="s">
        <v>161</v>
      </c>
      <c r="C198" s="54" t="n">
        <f aca="false">$C$180*C192</f>
        <v>0</v>
      </c>
      <c r="D198" s="54" t="n">
        <f aca="false">$C$180*D192</f>
        <v>0.8368</v>
      </c>
      <c r="E198" s="54" t="n">
        <f aca="false">$C$180*E192</f>
        <v>1.6736</v>
      </c>
      <c r="F198" s="54" t="n">
        <f aca="false">$C$180*F192</f>
        <v>2.5104</v>
      </c>
      <c r="I198" s="6" t="s">
        <v>1595</v>
      </c>
    </row>
    <row r="199" customFormat="false" ht="15" hidden="false" customHeight="false" outlineLevel="1" collapsed="false">
      <c r="A199" s="2" t="s">
        <v>1596</v>
      </c>
      <c r="B199" s="11" t="s">
        <v>161</v>
      </c>
      <c r="C199" s="55" t="n">
        <f aca="false">C196+C197+C198</f>
        <v>8.368</v>
      </c>
      <c r="D199" s="55" t="n">
        <f aca="false">D196+D197+D198</f>
        <v>8.368</v>
      </c>
      <c r="E199" s="55" t="n">
        <f aca="false">E196+E197+E198</f>
        <v>8.368</v>
      </c>
      <c r="F199" s="55" t="n">
        <f aca="false">F196+F197+F198</f>
        <v>8.368</v>
      </c>
    </row>
    <row r="200" customFormat="false" ht="15" hidden="false" customHeight="false" outlineLevel="1" collapsed="false">
      <c r="A200" s="3" t="s">
        <v>1597</v>
      </c>
      <c r="B200" s="11" t="s">
        <v>161</v>
      </c>
      <c r="C200" s="80" t="n">
        <f aca="false">C199-$C$180</f>
        <v>0</v>
      </c>
      <c r="D200" s="80" t="n">
        <f aca="false">D199-$C$180</f>
        <v>0</v>
      </c>
      <c r="E200" s="80" t="n">
        <f aca="false">E199-$C$180</f>
        <v>0</v>
      </c>
      <c r="F200" s="80" t="n">
        <f aca="false">F199-$C$180</f>
        <v>0</v>
      </c>
      <c r="I200" s="6" t="s">
        <v>1598</v>
      </c>
    </row>
    <row r="201" customFormat="false" ht="15" hidden="false" customHeight="false" outlineLevel="1" collapsed="false">
      <c r="A201" s="3" t="s">
        <v>1599</v>
      </c>
      <c r="B201" s="11" t="s">
        <v>42</v>
      </c>
      <c r="C201" s="66" t="n">
        <f aca="false">$C$180*(1-C192)/C196</f>
        <v>0.975660062641784</v>
      </c>
      <c r="D201" s="66" t="n">
        <f aca="false">$C$180*(1-D192)/D196</f>
        <v>0.878094056377606</v>
      </c>
      <c r="E201" s="66" t="n">
        <f aca="false">$C$180*(1-E192)/E196</f>
        <v>0.780528050113428</v>
      </c>
      <c r="F201" s="66" t="n">
        <f aca="false">$C$180*(1-F192)/F196</f>
        <v>0.682962043849249</v>
      </c>
      <c r="I201" s="6" t="s">
        <v>1600</v>
      </c>
    </row>
    <row r="202" customFormat="false" ht="15" hidden="false" customHeight="false" outlineLevel="1" collapsed="false">
      <c r="A202" s="3" t="s">
        <v>1601</v>
      </c>
      <c r="B202" s="11" t="s">
        <v>143</v>
      </c>
      <c r="C202" s="65" t="n">
        <f aca="false">C201*$C$177</f>
        <v>5.36613034452981</v>
      </c>
      <c r="D202" s="65" t="n">
        <f aca="false">D201*$C$177</f>
        <v>4.82951731007683</v>
      </c>
      <c r="E202" s="65" t="n">
        <f aca="false">E201*$C$177</f>
        <v>4.29290427562385</v>
      </c>
      <c r="F202" s="65" t="n">
        <f aca="false">F201*$C$177</f>
        <v>3.75629124117087</v>
      </c>
    </row>
    <row r="203" customFormat="false" ht="15" hidden="false" customHeight="false" outlineLevel="1" collapsed="false">
      <c r="A203" s="3" t="s">
        <v>1602</v>
      </c>
      <c r="B203" s="11" t="s">
        <v>42</v>
      </c>
      <c r="C203" s="66" t="n">
        <f aca="false">$C$180*(1-C192)/($C$182*$C$184)</f>
        <v>0.786411566713059</v>
      </c>
      <c r="D203" s="66" t="n">
        <f aca="false">$C$180*(1-D192)/($C$182*$C$184)</f>
        <v>0.707770410041753</v>
      </c>
      <c r="E203" s="66" t="n">
        <f aca="false">$C$180*(1-E192)/($C$182*$C$184)</f>
        <v>0.629129253370447</v>
      </c>
      <c r="F203" s="66" t="n">
        <f aca="false">$C$180*(1-F192)/($C$182*$C$184)</f>
        <v>0.550488096699141</v>
      </c>
      <c r="I203" s="6" t="s">
        <v>1603</v>
      </c>
    </row>
    <row r="204" customFormat="false" ht="15" hidden="false" customHeight="false" outlineLevel="1" collapsed="false">
      <c r="A204" s="3" t="s">
        <v>1604</v>
      </c>
      <c r="B204" s="11" t="s">
        <v>42</v>
      </c>
      <c r="C204" s="59" t="n">
        <f aca="false">MAX(0,1-$C$182*$C$184/$C$180)</f>
        <v>0</v>
      </c>
      <c r="I204" s="6" t="s">
        <v>1605</v>
      </c>
    </row>
    <row r="205" customFormat="false" ht="15" hidden="false" customHeight="false" outlineLevel="1" collapsed="false">
      <c r="A205" s="2" t="s">
        <v>1606</v>
      </c>
      <c r="I205" s="6" t="s">
        <v>1607</v>
      </c>
    </row>
    <row r="207" customFormat="false" ht="15" hidden="false" customHeight="false" outlineLevel="0" collapsed="false">
      <c r="A207" s="7" t="s">
        <v>1608</v>
      </c>
      <c r="B207" s="8"/>
      <c r="C207" s="8"/>
      <c r="D207" s="8"/>
      <c r="E207" s="8"/>
      <c r="F207" s="8"/>
      <c r="G207" s="8"/>
      <c r="H207" s="8"/>
    </row>
    <row r="208" customFormat="false" ht="15" hidden="false" customHeight="false" outlineLevel="1" collapsed="false">
      <c r="A208" s="14" t="s">
        <v>1186</v>
      </c>
      <c r="B208" s="14" t="s">
        <v>54</v>
      </c>
      <c r="C208" s="15" t="s">
        <v>1609</v>
      </c>
      <c r="D208" s="14" t="s">
        <v>1610</v>
      </c>
      <c r="E208" s="15" t="s">
        <v>1611</v>
      </c>
      <c r="F208" s="14" t="s">
        <v>1612</v>
      </c>
      <c r="I208" s="14" t="s">
        <v>428</v>
      </c>
    </row>
    <row r="209" customFormat="false" ht="15" hidden="false" customHeight="false" outlineLevel="1" collapsed="false">
      <c r="A209" s="4" t="s">
        <v>1613</v>
      </c>
      <c r="B209" s="11" t="s">
        <v>143</v>
      </c>
      <c r="C209" s="21" t="n">
        <v>1392</v>
      </c>
      <c r="D209" s="78" t="n">
        <f aca="false">C209/(TK_GPUsPerGW_GB300/1000)</f>
        <v>2.85826926867731</v>
      </c>
      <c r="E209" s="79" t="n">
        <v>2.858</v>
      </c>
      <c r="F209" s="81" t="n">
        <f aca="false">D209-E209</f>
        <v>0.000269268677311363</v>
      </c>
      <c r="I209" s="11" t="s">
        <v>1614</v>
      </c>
    </row>
    <row r="210" customFormat="false" ht="15" hidden="false" customHeight="false" outlineLevel="1" collapsed="false">
      <c r="A210" s="4" t="s">
        <v>1615</v>
      </c>
      <c r="B210" s="11" t="s">
        <v>143</v>
      </c>
      <c r="C210" s="21" t="n">
        <v>128</v>
      </c>
      <c r="D210" s="78" t="n">
        <f aca="false">C210/(TK_GPUsPerGW_GB300/1000)</f>
        <v>0.262829358039293</v>
      </c>
      <c r="E210" s="79" t="n">
        <v>0.263</v>
      </c>
      <c r="F210" s="81" t="n">
        <f aca="false">D210-E210</f>
        <v>-0.000170641960706985</v>
      </c>
    </row>
    <row r="211" customFormat="false" ht="15" hidden="false" customHeight="false" outlineLevel="1" collapsed="false">
      <c r="A211" s="4" t="s">
        <v>1616</v>
      </c>
      <c r="B211" s="11" t="s">
        <v>143</v>
      </c>
      <c r="C211" s="21" t="n">
        <v>216</v>
      </c>
      <c r="D211" s="78" t="n">
        <f aca="false">C211/(TK_GPUsPerGW_GB200/1000)</f>
        <v>0.430477830391735</v>
      </c>
      <c r="E211" s="79" t="n">
        <v>0.43</v>
      </c>
      <c r="F211" s="81" t="n">
        <f aca="false">D211-E211</f>
        <v>0.000477830391734879</v>
      </c>
    </row>
    <row r="212" customFormat="false" ht="15" hidden="false" customHeight="false" outlineLevel="1" collapsed="false">
      <c r="A212" s="4" t="s">
        <v>1617</v>
      </c>
      <c r="B212" s="11" t="s">
        <v>143</v>
      </c>
      <c r="C212" s="21" t="n">
        <v>576</v>
      </c>
      <c r="D212" s="78" t="n">
        <f aca="false">C212/(TK_GPUsPerGW_GB300/1000)</f>
        <v>1.18273211117682</v>
      </c>
      <c r="E212" s="79" t="n">
        <v>1.183</v>
      </c>
      <c r="F212" s="81" t="n">
        <f aca="false">D212-E212</f>
        <v>-0.000267888823181517</v>
      </c>
    </row>
    <row r="213" customFormat="false" ht="15" hidden="false" customHeight="false" outlineLevel="1" collapsed="false">
      <c r="A213" s="4" t="s">
        <v>1618</v>
      </c>
      <c r="B213" s="11" t="s">
        <v>143</v>
      </c>
      <c r="C213" s="21" t="n">
        <v>576</v>
      </c>
      <c r="D213" s="78" t="n">
        <f aca="false">C213/(TK_GPUsPerGW_VR200/1000)</f>
        <v>1.97433366238894</v>
      </c>
      <c r="E213" s="79" t="n">
        <v>1.974</v>
      </c>
      <c r="F213" s="81" t="n">
        <f aca="false">D213-E213</f>
        <v>0.000333662388943612</v>
      </c>
    </row>
    <row r="214" customFormat="false" ht="15" hidden="false" customHeight="false" outlineLevel="1" collapsed="false">
      <c r="A214" s="76" t="s">
        <v>1619</v>
      </c>
      <c r="B214" s="11" t="s">
        <v>143</v>
      </c>
      <c r="F214" s="81" t="n">
        <f aca="false">MAX(ABS(F209),ABS(F210),ABS(F211),ABS(F212),ABS(F213))</f>
        <v>0.000477830391734879</v>
      </c>
    </row>
    <row r="216" customFormat="false" ht="15" hidden="false" customHeight="false" outlineLevel="0" collapsed="false">
      <c r="A216" s="7" t="s">
        <v>1620</v>
      </c>
      <c r="B216" s="8"/>
      <c r="C216" s="8"/>
      <c r="D216" s="8"/>
      <c r="E216" s="8"/>
      <c r="F216" s="8"/>
      <c r="G216" s="8"/>
      <c r="H216" s="8"/>
    </row>
    <row r="217" customFormat="false" ht="15" hidden="false" customHeight="false" outlineLevel="1" collapsed="false">
      <c r="A217" s="14" t="s">
        <v>1621</v>
      </c>
      <c r="B217" s="14" t="s">
        <v>54</v>
      </c>
      <c r="C217" s="14" t="s">
        <v>1622</v>
      </c>
      <c r="D217" s="14" t="s">
        <v>1623</v>
      </c>
      <c r="E217" s="14" t="s">
        <v>1624</v>
      </c>
      <c r="I217" s="14" t="s">
        <v>428</v>
      </c>
    </row>
    <row r="218" customFormat="false" ht="15" hidden="false" customHeight="false" outlineLevel="1" collapsed="false">
      <c r="A218" s="3" t="s">
        <v>1625</v>
      </c>
      <c r="B218" s="11" t="s">
        <v>39</v>
      </c>
      <c r="C218" s="53" t="n">
        <v>10.606391</v>
      </c>
      <c r="D218" s="53" t="n">
        <v>11.479506</v>
      </c>
      <c r="E218" s="53" t="n">
        <v>14.506166</v>
      </c>
      <c r="I218" s="6" t="s">
        <v>1626</v>
      </c>
    </row>
    <row r="219" customFormat="false" ht="15" hidden="false" customHeight="false" outlineLevel="1" collapsed="false">
      <c r="A219" s="3" t="s">
        <v>1627</v>
      </c>
      <c r="B219" s="11" t="s">
        <v>39</v>
      </c>
      <c r="C219" s="53" t="n">
        <v>14.521133</v>
      </c>
      <c r="D219" s="53" t="n">
        <v>15.248118</v>
      </c>
      <c r="E219" s="53" t="n">
        <v>18.060771</v>
      </c>
    </row>
    <row r="220" customFormat="false" ht="15" hidden="false" customHeight="false" outlineLevel="1" collapsed="false">
      <c r="A220" s="3" t="s">
        <v>1628</v>
      </c>
      <c r="B220" s="11" t="s">
        <v>39</v>
      </c>
      <c r="C220" s="53" t="n">
        <v>24.728146</v>
      </c>
      <c r="D220" s="53" t="n">
        <v>25.363782</v>
      </c>
      <c r="E220" s="53" t="n">
        <v>27.559607</v>
      </c>
    </row>
    <row r="221" customFormat="false" ht="15" hidden="false" customHeight="false" outlineLevel="1" collapsed="false">
      <c r="A221" s="3" t="s">
        <v>1629</v>
      </c>
      <c r="B221" s="11" t="s">
        <v>59</v>
      </c>
      <c r="C221" s="65" t="n">
        <v>0</v>
      </c>
      <c r="D221" s="65" t="n">
        <v>0</v>
      </c>
      <c r="E221" s="65" t="n">
        <v>0</v>
      </c>
    </row>
    <row r="222" customFormat="false" ht="15" hidden="false" customHeight="false" outlineLevel="1" collapsed="false">
      <c r="A222" s="3" t="s">
        <v>1630</v>
      </c>
      <c r="B222" s="11" t="s">
        <v>59</v>
      </c>
      <c r="C222" s="65" t="n">
        <v>6.371066</v>
      </c>
      <c r="D222" s="65" t="n">
        <v>1.756897</v>
      </c>
      <c r="E222" s="65" t="n">
        <v>0</v>
      </c>
    </row>
    <row r="223" customFormat="false" ht="15" hidden="false" customHeight="false" outlineLevel="1" collapsed="false">
      <c r="A223" s="3" t="s">
        <v>1631</v>
      </c>
      <c r="B223" s="11" t="s">
        <v>59</v>
      </c>
      <c r="C223" s="65" t="n">
        <v>227.809123</v>
      </c>
      <c r="D223" s="65" t="n">
        <v>227.809123</v>
      </c>
      <c r="E223" s="65" t="n">
        <v>227.809123</v>
      </c>
    </row>
    <row r="224" customFormat="false" ht="15" hidden="false" customHeight="false" outlineLevel="1" collapsed="false">
      <c r="A224" s="3" t="s">
        <v>1632</v>
      </c>
      <c r="B224" s="11" t="s">
        <v>59</v>
      </c>
      <c r="C224" s="65" t="n">
        <v>0</v>
      </c>
      <c r="D224" s="65" t="n">
        <v>0</v>
      </c>
      <c r="E224" s="65" t="n">
        <v>0</v>
      </c>
    </row>
    <row r="225" customFormat="false" ht="15" hidden="false" customHeight="false" outlineLevel="1" collapsed="false">
      <c r="A225" s="3" t="s">
        <v>1633</v>
      </c>
      <c r="B225" s="11" t="s">
        <v>59</v>
      </c>
      <c r="C225" s="65" t="n">
        <v>491.433086</v>
      </c>
      <c r="D225" s="65" t="n">
        <v>466.291419</v>
      </c>
      <c r="E225" s="65" t="n">
        <v>381.449493</v>
      </c>
    </row>
    <row r="226" customFormat="false" ht="15" hidden="false" customHeight="false" outlineLevel="1" collapsed="false">
      <c r="A226" s="3" t="s">
        <v>1634</v>
      </c>
      <c r="B226" s="11" t="s">
        <v>59</v>
      </c>
      <c r="C226" s="65" t="n">
        <v>2622.644822</v>
      </c>
      <c r="D226" s="65" t="n">
        <v>2592.152929</v>
      </c>
      <c r="E226" s="65" t="n">
        <v>2486.838448</v>
      </c>
    </row>
    <row r="227" customFormat="false" ht="15" hidden="false" customHeight="false" outlineLevel="1" collapsed="false">
      <c r="A227" s="3" t="s">
        <v>1635</v>
      </c>
      <c r="B227" s="6" t="s">
        <v>1326</v>
      </c>
      <c r="C227" s="77" t="n">
        <v>12.435289</v>
      </c>
      <c r="D227" s="77" t="n">
        <v>12.435144</v>
      </c>
      <c r="E227" s="77" t="n">
        <v>12.434825</v>
      </c>
    </row>
    <row r="228" customFormat="false" ht="15" hidden="false" customHeight="false" outlineLevel="1" collapsed="false">
      <c r="A228" s="3" t="s">
        <v>1636</v>
      </c>
      <c r="B228" s="6" t="s">
        <v>1326</v>
      </c>
      <c r="C228" s="77" t="n">
        <v>12.531211</v>
      </c>
      <c r="D228" s="77" t="n">
        <v>12.548345</v>
      </c>
      <c r="E228" s="77" t="n">
        <v>12.607368</v>
      </c>
    </row>
    <row r="229" customFormat="false" ht="15" hidden="false" customHeight="false" outlineLevel="1" collapsed="false">
      <c r="A229" s="3" t="s">
        <v>1637</v>
      </c>
      <c r="B229" s="6" t="s">
        <v>1326</v>
      </c>
      <c r="C229" s="77" t="n">
        <v>23.331535</v>
      </c>
      <c r="D229" s="77" t="n">
        <v>22.841624</v>
      </c>
      <c r="E229" s="77" t="n">
        <v>21.29226</v>
      </c>
    </row>
    <row r="230" customFormat="false" ht="15" hidden="false" customHeight="false" outlineLevel="1" collapsed="false">
      <c r="A230" s="3" t="s">
        <v>1638</v>
      </c>
      <c r="B230" s="11" t="s">
        <v>1639</v>
      </c>
      <c r="C230" s="54" t="n">
        <v>0</v>
      </c>
      <c r="D230" s="54" t="n">
        <v>0</v>
      </c>
      <c r="E230" s="54" t="n">
        <v>0</v>
      </c>
    </row>
    <row r="231" customFormat="false" ht="15" hidden="false" customHeight="false" outlineLevel="1" collapsed="false">
      <c r="A231" s="3" t="s">
        <v>1640</v>
      </c>
      <c r="B231" s="11" t="s">
        <v>1639</v>
      </c>
      <c r="C231" s="54" t="n">
        <v>0.420616</v>
      </c>
      <c r="D231" s="54" t="n">
        <v>0.11599</v>
      </c>
      <c r="E231" s="54" t="n">
        <v>0</v>
      </c>
    </row>
    <row r="232" customFormat="false" ht="15" hidden="false" customHeight="false" outlineLevel="1" collapsed="false">
      <c r="A232" s="3" t="s">
        <v>1641</v>
      </c>
      <c r="B232" s="11" t="s">
        <v>1639</v>
      </c>
      <c r="C232" s="54" t="n">
        <v>15.039884</v>
      </c>
      <c r="D232" s="54" t="n">
        <v>15.039884</v>
      </c>
      <c r="E232" s="54" t="n">
        <v>15.039884</v>
      </c>
    </row>
    <row r="233" customFormat="false" ht="15" hidden="false" customHeight="false" outlineLevel="1" collapsed="false">
      <c r="A233" s="2" t="s">
        <v>1642</v>
      </c>
      <c r="B233" s="11" t="s">
        <v>39</v>
      </c>
      <c r="C233" s="81" t="n">
        <f aca="false">INDEX(C218:E220,輸入與假設!$C$5,輸入與假設!$F$5)-評價_DCF與目標價!C51</f>
        <v>-4.88418866240181E-007</v>
      </c>
      <c r="D233" s="2" t="str">
        <f aca="false">IF(ABS(C233)&lt;0.01,"通過","快照已過期")</f>
        <v>通過</v>
      </c>
      <c r="I233" s="6" t="s">
        <v>1643</v>
      </c>
    </row>
    <row r="235" customFormat="false" ht="15" hidden="false" customHeight="false" outlineLevel="0" collapsed="false">
      <c r="A235" s="7" t="s">
        <v>1644</v>
      </c>
      <c r="B235" s="8"/>
      <c r="C235" s="8"/>
      <c r="D235" s="8"/>
      <c r="E235" s="8"/>
      <c r="F235" s="8"/>
      <c r="G235" s="8"/>
      <c r="H235" s="8"/>
    </row>
    <row r="236" customFormat="false" ht="15" hidden="false" customHeight="false" outlineLevel="1" collapsed="false">
      <c r="A236" s="14" t="s">
        <v>1645</v>
      </c>
      <c r="B236" s="14" t="s">
        <v>54</v>
      </c>
      <c r="C236" s="14" t="s">
        <v>1646</v>
      </c>
      <c r="D236" s="14" t="s">
        <v>1322</v>
      </c>
      <c r="E236" s="14" t="s">
        <v>1647</v>
      </c>
    </row>
    <row r="237" customFormat="false" ht="15" hidden="false" customHeight="false" outlineLevel="1" collapsed="false">
      <c r="A237" s="2" t="s">
        <v>1648</v>
      </c>
      <c r="B237" s="11" t="s">
        <v>39</v>
      </c>
      <c r="C237" s="82" t="n">
        <v>11.479506</v>
      </c>
      <c r="D237" s="82" t="n">
        <v>15.248118</v>
      </c>
      <c r="E237" s="82" t="n">
        <v>25.363782</v>
      </c>
    </row>
    <row r="238" customFormat="false" ht="15" hidden="false" customHeight="false" outlineLevel="1" collapsed="false">
      <c r="A238" s="3" t="s">
        <v>1649</v>
      </c>
      <c r="B238" s="11" t="s">
        <v>39</v>
      </c>
      <c r="C238" s="82" t="n">
        <v>11.003392</v>
      </c>
      <c r="D238" s="82" t="n">
        <v>14.839309</v>
      </c>
      <c r="E238" s="82" t="n">
        <v>25.007351</v>
      </c>
    </row>
    <row r="239" customFormat="false" ht="15" hidden="false" customHeight="false" outlineLevel="1" collapsed="false">
      <c r="A239" s="3" t="s">
        <v>1650</v>
      </c>
      <c r="B239" s="11" t="s">
        <v>39</v>
      </c>
      <c r="C239" s="82" t="n">
        <v>12.05315</v>
      </c>
      <c r="D239" s="82" t="n">
        <v>15.71122</v>
      </c>
      <c r="E239" s="82" t="n">
        <v>25.790773</v>
      </c>
    </row>
    <row r="240" customFormat="false" ht="15" hidden="false" customHeight="false" outlineLevel="1" collapsed="false">
      <c r="A240" s="3" t="s">
        <v>1651</v>
      </c>
      <c r="B240" s="11" t="s">
        <v>39</v>
      </c>
      <c r="C240" s="82" t="n">
        <v>11.870717</v>
      </c>
      <c r="D240" s="82" t="n">
        <v>15.576511</v>
      </c>
      <c r="E240" s="82" t="n">
        <v>25.658012</v>
      </c>
    </row>
    <row r="241" customFormat="false" ht="15" hidden="false" customHeight="false" outlineLevel="1" collapsed="false">
      <c r="A241" s="3" t="s">
        <v>1652</v>
      </c>
      <c r="B241" s="11" t="s">
        <v>39</v>
      </c>
      <c r="C241" s="82" t="n">
        <v>16.420376</v>
      </c>
      <c r="D241" s="82" t="n">
        <v>20.944294</v>
      </c>
      <c r="E241" s="82" t="n">
        <v>31.64165</v>
      </c>
    </row>
    <row r="242" customFormat="false" ht="15" hidden="false" customHeight="false" outlineLevel="1" collapsed="false">
      <c r="A242" s="3" t="s">
        <v>1653</v>
      </c>
      <c r="B242" s="11" t="s">
        <v>39</v>
      </c>
      <c r="C242" s="82" t="n">
        <v>13.96238</v>
      </c>
      <c r="D242" s="82" t="n">
        <v>17.264275</v>
      </c>
      <c r="E242" s="82" t="n">
        <v>27.199043</v>
      </c>
    </row>
    <row r="243" customFormat="false" ht="15" hidden="false" customHeight="false" outlineLevel="1" collapsed="false">
      <c r="A243" s="3" t="s">
        <v>1654</v>
      </c>
      <c r="B243" s="11" t="s">
        <v>39</v>
      </c>
      <c r="C243" s="82" t="n">
        <v>14.775559</v>
      </c>
      <c r="D243" s="82" t="n">
        <v>18.440888</v>
      </c>
      <c r="E243" s="82" t="n">
        <v>27.846695</v>
      </c>
    </row>
    <row r="244" customFormat="false" ht="15" hidden="false" customHeight="false" outlineLevel="1" collapsed="false">
      <c r="A244" s="3" t="s">
        <v>1655</v>
      </c>
      <c r="B244" s="11" t="s">
        <v>39</v>
      </c>
      <c r="C244" s="82" t="n">
        <v>11.56515</v>
      </c>
      <c r="D244" s="82" t="n">
        <v>15.321527</v>
      </c>
      <c r="E244" s="82" t="n">
        <v>25.427566</v>
      </c>
    </row>
    <row r="245" customFormat="false" ht="15" hidden="false" customHeight="false" outlineLevel="1" collapsed="false">
      <c r="A245" s="3" t="s">
        <v>1656</v>
      </c>
      <c r="B245" s="11" t="s">
        <v>39</v>
      </c>
      <c r="C245" s="82" t="n">
        <v>11.013726</v>
      </c>
      <c r="D245" s="82" t="n">
        <v>14.847258</v>
      </c>
      <c r="E245" s="82" t="n">
        <v>25.014705</v>
      </c>
    </row>
    <row r="246" customFormat="false" ht="15" hidden="false" customHeight="false" outlineLevel="1" collapsed="false">
      <c r="A246" s="3" t="s">
        <v>1657</v>
      </c>
      <c r="B246" s="11" t="s">
        <v>39</v>
      </c>
      <c r="C246" s="82" t="n">
        <v>12.955657</v>
      </c>
      <c r="D246" s="82" t="n">
        <v>16.402392</v>
      </c>
      <c r="E246" s="82" t="n">
        <v>26.470043</v>
      </c>
    </row>
    <row r="247" customFormat="false" ht="15" hidden="false" customHeight="false" outlineLevel="1" collapsed="false">
      <c r="A247" s="3" t="s">
        <v>1658</v>
      </c>
      <c r="B247" s="11" t="s">
        <v>39</v>
      </c>
      <c r="C247" s="82" t="n">
        <v>10.473401</v>
      </c>
      <c r="D247" s="82" t="n">
        <v>14.407945</v>
      </c>
      <c r="E247" s="82" t="n">
        <v>24.628392</v>
      </c>
    </row>
    <row r="248" customFormat="false" ht="15" hidden="false" customHeight="false" outlineLevel="1" collapsed="false">
      <c r="A248" s="3" t="s">
        <v>1659</v>
      </c>
      <c r="B248" s="11" t="s">
        <v>39</v>
      </c>
      <c r="C248" s="82" t="n">
        <v>11.808828</v>
      </c>
      <c r="D248" s="82" t="n">
        <v>15.525342</v>
      </c>
      <c r="E248" s="82" t="n">
        <v>25.607942</v>
      </c>
    </row>
    <row r="249" customFormat="false" ht="15" hidden="false" customHeight="false" outlineLevel="1" collapsed="false">
      <c r="A249" s="3" t="s">
        <v>1660</v>
      </c>
      <c r="B249" s="11" t="s">
        <v>39</v>
      </c>
      <c r="C249" s="82" t="n">
        <v>13.115664</v>
      </c>
      <c r="D249" s="82" t="n">
        <v>16.524056</v>
      </c>
      <c r="E249" s="82" t="n">
        <v>26.589848</v>
      </c>
    </row>
    <row r="250" customFormat="false" ht="15" hidden="false" customHeight="false" outlineLevel="1" collapsed="false">
      <c r="A250" s="3" t="s">
        <v>1661</v>
      </c>
      <c r="B250" s="11" t="s">
        <v>39</v>
      </c>
      <c r="C250" s="82" t="n">
        <v>12.721987</v>
      </c>
      <c r="D250" s="82" t="n">
        <v>16.26167</v>
      </c>
      <c r="E250" s="82" t="n">
        <v>26.495162</v>
      </c>
    </row>
    <row r="251" customFormat="false" ht="15" hidden="false" customHeight="false" outlineLevel="1" collapsed="false">
      <c r="A251" s="3" t="s">
        <v>1662</v>
      </c>
      <c r="B251" s="11" t="s">
        <v>39</v>
      </c>
      <c r="C251" s="82" t="n">
        <v>10.084085</v>
      </c>
      <c r="D251" s="82" t="n">
        <v>13.563208</v>
      </c>
      <c r="E251" s="82" t="n">
        <v>23.786644</v>
      </c>
    </row>
    <row r="252" customFormat="false" ht="15" hidden="false" customHeight="false" outlineLevel="1" collapsed="false">
      <c r="A252" s="3" t="s">
        <v>1663</v>
      </c>
      <c r="B252" s="11" t="s">
        <v>39</v>
      </c>
      <c r="C252" s="82" t="n">
        <v>11.473887</v>
      </c>
      <c r="D252" s="82" t="n">
        <v>15.218018</v>
      </c>
      <c r="E252" s="82" t="n">
        <v>25.350586</v>
      </c>
    </row>
    <row r="253" customFormat="false" ht="15" hidden="false" customHeight="false" outlineLevel="1" collapsed="false">
      <c r="A253" s="3" t="s">
        <v>1664</v>
      </c>
      <c r="B253" s="11" t="s">
        <v>39</v>
      </c>
      <c r="C253" s="82" t="n">
        <v>11.485161</v>
      </c>
      <c r="D253" s="82" t="n">
        <v>15.278296</v>
      </c>
      <c r="E253" s="82" t="n">
        <v>25.376978</v>
      </c>
    </row>
    <row r="254" customFormat="false" ht="15" hidden="false" customHeight="false" outlineLevel="1" collapsed="false">
      <c r="A254" s="3" t="s">
        <v>1665</v>
      </c>
      <c r="B254" s="11" t="s">
        <v>39</v>
      </c>
      <c r="C254" s="82" t="n">
        <v>10.857746</v>
      </c>
      <c r="D254" s="82" t="n">
        <v>14.658508</v>
      </c>
      <c r="E254" s="82" t="n">
        <v>24.821163</v>
      </c>
    </row>
    <row r="255" customFormat="false" ht="15" hidden="false" customHeight="false" outlineLevel="1" collapsed="false">
      <c r="A255" s="3" t="s">
        <v>1666</v>
      </c>
      <c r="B255" s="11" t="s">
        <v>39</v>
      </c>
      <c r="C255" s="82" t="n">
        <v>12.099186</v>
      </c>
      <c r="D255" s="82" t="n">
        <v>15.805525</v>
      </c>
      <c r="E255" s="82" t="n">
        <v>25.905701</v>
      </c>
    </row>
    <row r="256" customFormat="false" ht="15" hidden="false" customHeight="false" outlineLevel="1" collapsed="false">
      <c r="A256" s="3" t="s">
        <v>1667</v>
      </c>
      <c r="B256" s="11" t="s">
        <v>39</v>
      </c>
      <c r="C256" s="82" t="n">
        <v>11.45131</v>
      </c>
      <c r="D256" s="82" t="n">
        <v>15.227743</v>
      </c>
      <c r="E256" s="82" t="n">
        <v>25.352046</v>
      </c>
    </row>
    <row r="257" customFormat="false" ht="15" hidden="false" customHeight="false" outlineLevel="1" collapsed="false">
      <c r="A257" s="3" t="s">
        <v>1668</v>
      </c>
      <c r="B257" s="11" t="s">
        <v>39</v>
      </c>
      <c r="C257" s="82" t="n">
        <v>11.422352</v>
      </c>
      <c r="D257" s="82" t="n">
        <v>15.208173</v>
      </c>
      <c r="E257" s="82" t="n">
        <v>25.340525</v>
      </c>
    </row>
    <row r="258" customFormat="false" ht="15" hidden="false" customHeight="false" outlineLevel="1" collapsed="false">
      <c r="A258" s="3" t="s">
        <v>1669</v>
      </c>
      <c r="B258" s="11" t="s">
        <v>39</v>
      </c>
      <c r="C258" s="82" t="n">
        <v>11.394155</v>
      </c>
      <c r="D258" s="82" t="n">
        <v>15.188646</v>
      </c>
      <c r="E258" s="82" t="n">
        <v>25.329</v>
      </c>
    </row>
    <row r="259" customFormat="false" ht="15" hidden="false" customHeight="false" outlineLevel="1" collapsed="false"/>
    <row r="260" customFormat="false" ht="15" hidden="false" customHeight="false" outlineLevel="1" collapsed="false">
      <c r="A260" s="14" t="s">
        <v>1670</v>
      </c>
      <c r="B260" s="14" t="s">
        <v>54</v>
      </c>
      <c r="C260" s="14" t="s">
        <v>1646</v>
      </c>
      <c r="D260" s="14" t="s">
        <v>1322</v>
      </c>
      <c r="E260" s="14" t="s">
        <v>1647</v>
      </c>
    </row>
    <row r="261" customFormat="false" ht="15" hidden="false" customHeight="false" outlineLevel="1" collapsed="false">
      <c r="A261" s="2" t="s">
        <v>1671</v>
      </c>
      <c r="B261" s="11" t="s">
        <v>59</v>
      </c>
      <c r="C261" s="58" t="n">
        <v>0</v>
      </c>
      <c r="D261" s="58" t="n">
        <v>1.756897</v>
      </c>
      <c r="E261" s="58" t="n">
        <v>227.809123</v>
      </c>
    </row>
    <row r="262" customFormat="false" ht="15" hidden="false" customHeight="false" outlineLevel="1" collapsed="false">
      <c r="A262" s="3" t="s">
        <v>1672</v>
      </c>
      <c r="B262" s="11" t="s">
        <v>59</v>
      </c>
      <c r="C262" s="58" t="n">
        <v>0</v>
      </c>
      <c r="D262" s="58" t="n">
        <v>4.343314</v>
      </c>
      <c r="E262" s="58" t="n">
        <v>227.809123</v>
      </c>
    </row>
    <row r="263" customFormat="false" ht="15" hidden="false" customHeight="false" outlineLevel="1" collapsed="false">
      <c r="A263" s="3" t="s">
        <v>1673</v>
      </c>
      <c r="B263" s="11" t="s">
        <v>59</v>
      </c>
      <c r="C263" s="58" t="n">
        <v>0</v>
      </c>
      <c r="D263" s="58" t="n">
        <v>0</v>
      </c>
      <c r="E263" s="58" t="n">
        <v>227.809123</v>
      </c>
    </row>
    <row r="264" customFormat="false" ht="15" hidden="false" customHeight="false" outlineLevel="1" collapsed="false">
      <c r="A264" s="3" t="s">
        <v>1674</v>
      </c>
      <c r="B264" s="11" t="s">
        <v>59</v>
      </c>
      <c r="C264" s="58" t="n">
        <v>0</v>
      </c>
      <c r="D264" s="58" t="n">
        <v>0</v>
      </c>
      <c r="E264" s="58" t="n">
        <v>227.809123</v>
      </c>
    </row>
    <row r="265" customFormat="false" ht="15" hidden="false" customHeight="false" outlineLevel="1" collapsed="false">
      <c r="A265" s="3" t="s">
        <v>1675</v>
      </c>
      <c r="B265" s="11" t="s">
        <v>59</v>
      </c>
      <c r="C265" s="58" t="n">
        <v>0</v>
      </c>
      <c r="D265" s="58" t="n">
        <v>0</v>
      </c>
      <c r="E265" s="58" t="n">
        <v>130.250258</v>
      </c>
    </row>
    <row r="266" customFormat="false" ht="15" hidden="false" customHeight="false" outlineLevel="1" collapsed="false">
      <c r="A266" s="3" t="s">
        <v>1676</v>
      </c>
      <c r="B266" s="11" t="s">
        <v>59</v>
      </c>
      <c r="C266" s="58" t="n">
        <v>0</v>
      </c>
      <c r="D266" s="58" t="n">
        <v>0</v>
      </c>
      <c r="E266" s="58" t="n">
        <v>227.809123</v>
      </c>
    </row>
    <row r="267" customFormat="false" ht="15" hidden="false" customHeight="false" outlineLevel="1" collapsed="false">
      <c r="A267" s="3" t="s">
        <v>1677</v>
      </c>
      <c r="B267" s="11" t="s">
        <v>59</v>
      </c>
      <c r="C267" s="58" t="n">
        <v>0</v>
      </c>
      <c r="D267" s="58" t="n">
        <v>0</v>
      </c>
      <c r="E267" s="58" t="n">
        <v>223.191069</v>
      </c>
    </row>
    <row r="268" customFormat="false" ht="15" hidden="false" customHeight="false" outlineLevel="1" collapsed="false">
      <c r="A268" s="3" t="s">
        <v>1678</v>
      </c>
      <c r="B268" s="11" t="s">
        <v>59</v>
      </c>
      <c r="C268" s="58" t="n">
        <v>0</v>
      </c>
      <c r="D268" s="58" t="n">
        <v>1.30109</v>
      </c>
      <c r="E268" s="58" t="n">
        <v>227.809123</v>
      </c>
    </row>
    <row r="269" customFormat="false" ht="15" hidden="false" customHeight="false" outlineLevel="1" collapsed="false">
      <c r="A269" s="3" t="s">
        <v>1679</v>
      </c>
      <c r="B269" s="11" t="s">
        <v>59</v>
      </c>
      <c r="C269" s="58" t="n">
        <v>0</v>
      </c>
      <c r="D269" s="58" t="n">
        <v>4.300893</v>
      </c>
      <c r="E269" s="58" t="n">
        <v>227.809123</v>
      </c>
    </row>
    <row r="270" customFormat="false" ht="15" hidden="false" customHeight="false" outlineLevel="1" collapsed="false">
      <c r="A270" s="3" t="s">
        <v>1680</v>
      </c>
      <c r="B270" s="11" t="s">
        <v>59</v>
      </c>
      <c r="C270" s="58" t="n">
        <v>0</v>
      </c>
      <c r="D270" s="58" t="n">
        <v>0</v>
      </c>
      <c r="E270" s="58" t="n">
        <v>227.809123</v>
      </c>
    </row>
    <row r="271" customFormat="false" ht="15" hidden="false" customHeight="false" outlineLevel="1" collapsed="false">
      <c r="A271" s="3" t="s">
        <v>1681</v>
      </c>
      <c r="B271" s="11" t="s">
        <v>59</v>
      </c>
      <c r="C271" s="58" t="n">
        <v>0</v>
      </c>
      <c r="D271" s="58" t="n">
        <v>7.097792</v>
      </c>
      <c r="E271" s="58" t="n">
        <v>227.809123</v>
      </c>
    </row>
    <row r="272" customFormat="false" ht="15" hidden="false" customHeight="false" outlineLevel="1" collapsed="false">
      <c r="A272" s="3" t="s">
        <v>1682</v>
      </c>
      <c r="B272" s="11" t="s">
        <v>59</v>
      </c>
      <c r="C272" s="58" t="n">
        <v>0</v>
      </c>
      <c r="D272" s="58" t="n">
        <v>0</v>
      </c>
      <c r="E272" s="58" t="n">
        <v>227.809123</v>
      </c>
    </row>
    <row r="273" customFormat="false" ht="15" hidden="false" customHeight="false" outlineLevel="1" collapsed="false">
      <c r="A273" s="3" t="s">
        <v>1683</v>
      </c>
      <c r="B273" s="11" t="s">
        <v>59</v>
      </c>
      <c r="C273" s="58" t="n">
        <v>0</v>
      </c>
      <c r="D273" s="58" t="n">
        <v>0</v>
      </c>
      <c r="E273" s="58" t="n">
        <v>227.809123</v>
      </c>
    </row>
    <row r="274" customFormat="false" ht="15" hidden="false" customHeight="false" outlineLevel="1" collapsed="false">
      <c r="A274" s="3" t="s">
        <v>1684</v>
      </c>
      <c r="B274" s="11" t="s">
        <v>59</v>
      </c>
      <c r="C274" s="58" t="n">
        <v>0</v>
      </c>
      <c r="D274" s="58" t="n">
        <v>0</v>
      </c>
      <c r="E274" s="58" t="n">
        <v>227.809123</v>
      </c>
    </row>
    <row r="275" customFormat="false" ht="15" hidden="false" customHeight="false" outlineLevel="1" collapsed="false">
      <c r="A275" s="3" t="s">
        <v>1685</v>
      </c>
      <c r="B275" s="11" t="s">
        <v>59</v>
      </c>
      <c r="C275" s="58" t="n">
        <v>0</v>
      </c>
      <c r="D275" s="58" t="n">
        <v>20.578683</v>
      </c>
      <c r="E275" s="58" t="n">
        <v>227.809123</v>
      </c>
    </row>
    <row r="276" customFormat="false" ht="15" hidden="false" customHeight="false" outlineLevel="1" collapsed="false">
      <c r="A276" s="3" t="s">
        <v>1686</v>
      </c>
      <c r="B276" s="11" t="s">
        <v>59</v>
      </c>
      <c r="C276" s="58" t="n">
        <v>0</v>
      </c>
      <c r="D276" s="58" t="n">
        <v>2.54933</v>
      </c>
      <c r="E276" s="58" t="n">
        <v>227.809123</v>
      </c>
    </row>
    <row r="277" customFormat="false" ht="15" hidden="false" customHeight="false" outlineLevel="1" collapsed="false">
      <c r="A277" s="3" t="s">
        <v>1687</v>
      </c>
      <c r="B277" s="11" t="s">
        <v>59</v>
      </c>
      <c r="C277" s="58" t="n">
        <v>0</v>
      </c>
      <c r="D277" s="58" t="n">
        <v>0.964465</v>
      </c>
      <c r="E277" s="58" t="n">
        <v>227.809123</v>
      </c>
    </row>
    <row r="278" customFormat="false" ht="15" hidden="false" customHeight="false" outlineLevel="1" collapsed="false">
      <c r="A278" s="3" t="s">
        <v>1688</v>
      </c>
      <c r="B278" s="11" t="s">
        <v>59</v>
      </c>
      <c r="C278" s="58" t="n">
        <v>0</v>
      </c>
      <c r="D278" s="58" t="n">
        <v>5.196149</v>
      </c>
      <c r="E278" s="58" t="n">
        <v>227.809123</v>
      </c>
    </row>
    <row r="279" customFormat="false" ht="15" hidden="false" customHeight="false" outlineLevel="1" collapsed="false">
      <c r="A279" s="3" t="s">
        <v>1689</v>
      </c>
      <c r="B279" s="11" t="s">
        <v>59</v>
      </c>
      <c r="C279" s="58" t="n">
        <v>0</v>
      </c>
      <c r="D279" s="58" t="n">
        <v>0</v>
      </c>
      <c r="E279" s="58" t="n">
        <v>227.809123</v>
      </c>
    </row>
    <row r="280" customFormat="false" ht="15" hidden="false" customHeight="false" outlineLevel="1" collapsed="false">
      <c r="A280" s="3" t="s">
        <v>1690</v>
      </c>
      <c r="B280" s="11" t="s">
        <v>59</v>
      </c>
      <c r="C280" s="58" t="n">
        <v>0</v>
      </c>
      <c r="D280" s="58" t="n">
        <v>1.950638</v>
      </c>
      <c r="E280" s="58" t="n">
        <v>227.809123</v>
      </c>
    </row>
    <row r="281" customFormat="false" ht="15" hidden="false" customHeight="false" outlineLevel="1" collapsed="false">
      <c r="A281" s="3" t="s">
        <v>1691</v>
      </c>
      <c r="B281" s="11" t="s">
        <v>59</v>
      </c>
      <c r="C281" s="58" t="n">
        <v>0</v>
      </c>
      <c r="D281" s="58" t="n">
        <v>2.129999</v>
      </c>
      <c r="E281" s="58" t="n">
        <v>227.809123</v>
      </c>
    </row>
    <row r="282" customFormat="false" ht="15" hidden="false" customHeight="false" outlineLevel="1" collapsed="false">
      <c r="A282" s="3" t="s">
        <v>1692</v>
      </c>
      <c r="B282" s="11" t="s">
        <v>59</v>
      </c>
      <c r="C282" s="58" t="n">
        <v>0</v>
      </c>
      <c r="D282" s="58" t="n">
        <v>2.309229</v>
      </c>
      <c r="E282" s="58" t="n">
        <v>227.809123</v>
      </c>
    </row>
    <row r="283" customFormat="false" ht="15" hidden="false" customHeight="false" outlineLevel="1" collapsed="false"/>
    <row r="284" customFormat="false" ht="15" hidden="false" customHeight="false" outlineLevel="1" collapsed="false">
      <c r="A284" s="14" t="s">
        <v>1693</v>
      </c>
      <c r="B284" s="14" t="s">
        <v>54</v>
      </c>
      <c r="C284" s="14" t="s">
        <v>1646</v>
      </c>
      <c r="D284" s="14" t="s">
        <v>1322</v>
      </c>
      <c r="E284" s="14" t="s">
        <v>1647</v>
      </c>
    </row>
    <row r="285" customFormat="false" ht="15" hidden="false" customHeight="false" outlineLevel="1" collapsed="false">
      <c r="A285" s="2" t="s">
        <v>1694</v>
      </c>
      <c r="B285" s="11" t="s">
        <v>59</v>
      </c>
      <c r="C285" s="58" t="n">
        <v>0</v>
      </c>
      <c r="D285" s="58" t="n">
        <v>466.291419</v>
      </c>
      <c r="E285" s="58" t="n">
        <v>2592.152929</v>
      </c>
    </row>
    <row r="286" customFormat="false" ht="15" hidden="false" customHeight="false" outlineLevel="1" collapsed="false">
      <c r="A286" s="3" t="s">
        <v>1695</v>
      </c>
      <c r="B286" s="11" t="s">
        <v>59</v>
      </c>
      <c r="C286" s="58" t="n">
        <v>0</v>
      </c>
      <c r="D286" s="58" t="n">
        <v>480.385758</v>
      </c>
      <c r="E286" s="58" t="n">
        <v>2609.254252</v>
      </c>
    </row>
    <row r="287" customFormat="false" ht="15" hidden="false" customHeight="false" outlineLevel="1" collapsed="false">
      <c r="A287" s="3" t="s">
        <v>1696</v>
      </c>
      <c r="B287" s="11" t="s">
        <v>59</v>
      </c>
      <c r="C287" s="58" t="n">
        <v>0</v>
      </c>
      <c r="D287" s="58" t="n">
        <v>449.420367</v>
      </c>
      <c r="E287" s="58" t="n">
        <v>2571.676531</v>
      </c>
    </row>
    <row r="288" customFormat="false" ht="15" hidden="false" customHeight="false" outlineLevel="1" collapsed="false">
      <c r="A288" s="3" t="s">
        <v>1697</v>
      </c>
      <c r="B288" s="11" t="s">
        <v>59</v>
      </c>
      <c r="C288" s="58" t="n">
        <v>0</v>
      </c>
      <c r="D288" s="58" t="n">
        <v>454.660335</v>
      </c>
      <c r="E288" s="58" t="n">
        <v>2578.040664</v>
      </c>
    </row>
    <row r="289" customFormat="false" ht="15" hidden="false" customHeight="false" outlineLevel="1" collapsed="false">
      <c r="A289" s="3" t="s">
        <v>1698</v>
      </c>
      <c r="B289" s="11" t="s">
        <v>59</v>
      </c>
      <c r="C289" s="58" t="n">
        <v>0</v>
      </c>
      <c r="D289" s="58" t="n">
        <v>335.469043</v>
      </c>
      <c r="E289" s="58" t="n">
        <v>2427.565459</v>
      </c>
    </row>
    <row r="290" customFormat="false" ht="15" hidden="false" customHeight="false" outlineLevel="1" collapsed="false">
      <c r="A290" s="3" t="s">
        <v>1699</v>
      </c>
      <c r="B290" s="11" t="s">
        <v>59</v>
      </c>
      <c r="C290" s="58" t="n">
        <v>0</v>
      </c>
      <c r="D290" s="58" t="n">
        <v>394.671314</v>
      </c>
      <c r="E290" s="58" t="n">
        <v>2504.12479</v>
      </c>
    </row>
    <row r="291" customFormat="false" ht="15" hidden="false" customHeight="false" outlineLevel="1" collapsed="false">
      <c r="A291" s="3" t="s">
        <v>1700</v>
      </c>
      <c r="B291" s="11" t="s">
        <v>59</v>
      </c>
      <c r="C291" s="58" t="n">
        <v>0</v>
      </c>
      <c r="D291" s="58" t="n">
        <v>375.149982</v>
      </c>
      <c r="E291" s="58" t="n">
        <v>2478.587863</v>
      </c>
    </row>
    <row r="292" customFormat="false" ht="15" hidden="false" customHeight="false" outlineLevel="1" collapsed="false">
      <c r="A292" s="3" t="s">
        <v>1701</v>
      </c>
      <c r="B292" s="11" t="s">
        <v>59</v>
      </c>
      <c r="C292" s="58" t="n">
        <v>0</v>
      </c>
      <c r="D292" s="58" t="n">
        <v>463.774701</v>
      </c>
      <c r="E292" s="58" t="n">
        <v>2589.104152</v>
      </c>
    </row>
    <row r="293" customFormat="false" ht="15" hidden="false" customHeight="false" outlineLevel="1" collapsed="false">
      <c r="A293" s="3" t="s">
        <v>1702</v>
      </c>
      <c r="B293" s="11" t="s">
        <v>59</v>
      </c>
      <c r="C293" s="58" t="n">
        <v>0</v>
      </c>
      <c r="D293" s="58" t="n">
        <v>480.108739</v>
      </c>
      <c r="E293" s="58" t="n">
        <v>2608.910819</v>
      </c>
    </row>
    <row r="294" customFormat="false" ht="15" hidden="false" customHeight="false" outlineLevel="1" collapsed="false">
      <c r="A294" s="3" t="s">
        <v>1703</v>
      </c>
      <c r="B294" s="11" t="s">
        <v>59</v>
      </c>
      <c r="C294" s="58" t="n">
        <v>0</v>
      </c>
      <c r="D294" s="58" t="n">
        <v>422.549962</v>
      </c>
      <c r="E294" s="58" t="n">
        <v>2539.104398</v>
      </c>
    </row>
    <row r="295" customFormat="false" ht="15" hidden="false" customHeight="false" outlineLevel="1" collapsed="false">
      <c r="A295" s="3" t="s">
        <v>1704</v>
      </c>
      <c r="B295" s="11" t="s">
        <v>59</v>
      </c>
      <c r="C295" s="58" t="n">
        <v>0</v>
      </c>
      <c r="D295" s="58" t="n">
        <v>495.380278</v>
      </c>
      <c r="E295" s="58" t="n">
        <v>2627.433308</v>
      </c>
    </row>
    <row r="296" customFormat="false" ht="15" hidden="false" customHeight="false" outlineLevel="1" collapsed="false">
      <c r="A296" s="3" t="s">
        <v>1705</v>
      </c>
      <c r="B296" s="11" t="s">
        <v>59</v>
      </c>
      <c r="C296" s="58" t="n">
        <v>0</v>
      </c>
      <c r="D296" s="58" t="n">
        <v>456.648278</v>
      </c>
      <c r="E296" s="58" t="n">
        <v>2580.441136</v>
      </c>
    </row>
    <row r="297" customFormat="false" ht="15" hidden="false" customHeight="false" outlineLevel="1" collapsed="false">
      <c r="A297" s="3" t="s">
        <v>1706</v>
      </c>
      <c r="B297" s="11" t="s">
        <v>59</v>
      </c>
      <c r="C297" s="58" t="n">
        <v>0</v>
      </c>
      <c r="D297" s="58" t="n">
        <v>417.814138</v>
      </c>
      <c r="E297" s="58" t="n">
        <v>2533.351853</v>
      </c>
    </row>
    <row r="298" customFormat="false" ht="15" hidden="false" customHeight="false" outlineLevel="1" collapsed="false">
      <c r="A298" s="3" t="s">
        <v>1707</v>
      </c>
      <c r="B298" s="11" t="s">
        <v>59</v>
      </c>
      <c r="C298" s="58" t="n">
        <v>0</v>
      </c>
      <c r="D298" s="58" t="n">
        <v>400.386303</v>
      </c>
      <c r="E298" s="58" t="n">
        <v>2501.490927</v>
      </c>
    </row>
    <row r="299" customFormat="false" ht="15" hidden="false" customHeight="false" outlineLevel="1" collapsed="false">
      <c r="A299" s="3" t="s">
        <v>1708</v>
      </c>
      <c r="B299" s="11" t="s">
        <v>59</v>
      </c>
      <c r="C299" s="58" t="n">
        <v>0</v>
      </c>
      <c r="D299" s="58" t="n">
        <v>560.844524</v>
      </c>
      <c r="E299" s="58" t="n">
        <v>2715.824892</v>
      </c>
    </row>
    <row r="300" customFormat="false" ht="15" hidden="false" customHeight="false" outlineLevel="1" collapsed="false">
      <c r="A300" s="3" t="s">
        <v>1709</v>
      </c>
      <c r="B300" s="11" t="s">
        <v>59</v>
      </c>
      <c r="C300" s="58" t="n">
        <v>0</v>
      </c>
      <c r="D300" s="58" t="n">
        <v>468.000612</v>
      </c>
      <c r="E300" s="58" t="n">
        <v>2593.409988</v>
      </c>
    </row>
    <row r="301" customFormat="false" ht="15" hidden="false" customHeight="false" outlineLevel="1" collapsed="false">
      <c r="A301" s="3" t="s">
        <v>1710</v>
      </c>
      <c r="B301" s="11" t="s">
        <v>59</v>
      </c>
      <c r="C301" s="58" t="n">
        <v>0</v>
      </c>
      <c r="D301" s="58" t="n">
        <v>464.582226</v>
      </c>
      <c r="E301" s="58" t="n">
        <v>2590.89587</v>
      </c>
    </row>
    <row r="302" customFormat="false" ht="15" hidden="false" customHeight="false" outlineLevel="1" collapsed="false">
      <c r="A302" s="3" t="s">
        <v>1711</v>
      </c>
      <c r="B302" s="11" t="s">
        <v>59</v>
      </c>
      <c r="C302" s="58" t="n">
        <v>0</v>
      </c>
      <c r="D302" s="58" t="n">
        <v>486.576585</v>
      </c>
      <c r="E302" s="58" t="n">
        <v>2618.254243</v>
      </c>
    </row>
    <row r="303" customFormat="false" ht="15" hidden="false" customHeight="false" outlineLevel="1" collapsed="false">
      <c r="A303" s="3" t="s">
        <v>1712</v>
      </c>
      <c r="B303" s="11" t="s">
        <v>59</v>
      </c>
      <c r="C303" s="58" t="n">
        <v>0</v>
      </c>
      <c r="D303" s="58" t="n">
        <v>446.050019</v>
      </c>
      <c r="E303" s="58" t="n">
        <v>2566.091867</v>
      </c>
    </row>
    <row r="304" customFormat="false" ht="15" hidden="false" customHeight="false" outlineLevel="1" collapsed="false">
      <c r="A304" s="3" t="s">
        <v>1713</v>
      </c>
      <c r="B304" s="11" t="s">
        <v>59</v>
      </c>
      <c r="C304" s="58" t="n">
        <v>0</v>
      </c>
      <c r="D304" s="58" t="n">
        <v>467.049567</v>
      </c>
      <c r="E304" s="58" t="n">
        <v>2592.741505</v>
      </c>
    </row>
    <row r="305" customFormat="false" ht="15" hidden="false" customHeight="false" outlineLevel="1" collapsed="false">
      <c r="A305" s="3" t="s">
        <v>1714</v>
      </c>
      <c r="B305" s="11" t="s">
        <v>59</v>
      </c>
      <c r="C305" s="58" t="n">
        <v>0</v>
      </c>
      <c r="D305" s="58" t="n">
        <v>467.783246</v>
      </c>
      <c r="E305" s="58" t="n">
        <v>2593.309399</v>
      </c>
    </row>
    <row r="306" customFormat="false" ht="15" hidden="false" customHeight="false" outlineLevel="1" collapsed="false">
      <c r="A306" s="3" t="s">
        <v>1715</v>
      </c>
      <c r="B306" s="11" t="s">
        <v>59</v>
      </c>
      <c r="C306" s="58" t="n">
        <v>0</v>
      </c>
      <c r="D306" s="58" t="n">
        <v>468.514405</v>
      </c>
      <c r="E306" s="58" t="n">
        <v>2593.877767</v>
      </c>
    </row>
    <row r="307" customFormat="false" ht="15" hidden="false" customHeight="false" outlineLevel="1" collapsed="false"/>
    <row r="308" customFormat="false" ht="15" hidden="false" customHeight="false" outlineLevel="1" collapsed="false">
      <c r="A308" s="14" t="s">
        <v>1716</v>
      </c>
      <c r="B308" s="14" t="s">
        <v>54</v>
      </c>
      <c r="C308" s="14" t="s">
        <v>1646</v>
      </c>
      <c r="D308" s="14" t="s">
        <v>1322</v>
      </c>
      <c r="E308" s="14" t="s">
        <v>1647</v>
      </c>
    </row>
    <row r="309" customFormat="false" ht="15" hidden="false" customHeight="false" outlineLevel="1" collapsed="false">
      <c r="A309" s="2" t="s">
        <v>1717</v>
      </c>
      <c r="B309" s="6" t="s">
        <v>1326</v>
      </c>
      <c r="C309" s="83" t="n">
        <v>12.435144</v>
      </c>
      <c r="D309" s="83" t="n">
        <v>12.548345</v>
      </c>
      <c r="E309" s="83" t="n">
        <v>22.841624</v>
      </c>
    </row>
    <row r="310" customFormat="false" ht="15" hidden="false" customHeight="false" outlineLevel="1" collapsed="false">
      <c r="A310" s="3" t="s">
        <v>1718</v>
      </c>
      <c r="B310" s="6" t="s">
        <v>1326</v>
      </c>
      <c r="C310" s="83" t="n">
        <v>12.434836</v>
      </c>
      <c r="D310" s="83" t="n">
        <v>12.538642</v>
      </c>
      <c r="E310" s="83" t="n">
        <v>23.11406</v>
      </c>
    </row>
    <row r="311" customFormat="false" ht="15" hidden="false" customHeight="false" outlineLevel="1" collapsed="false">
      <c r="A311" s="3" t="s">
        <v>1719</v>
      </c>
      <c r="B311" s="6" t="s">
        <v>1326</v>
      </c>
      <c r="C311" s="83" t="n">
        <v>12.435035</v>
      </c>
      <c r="D311" s="83" t="n">
        <v>12.559678</v>
      </c>
      <c r="E311" s="83" t="n">
        <v>22.52418</v>
      </c>
    </row>
    <row r="312" customFormat="false" ht="15" hidden="false" customHeight="false" outlineLevel="1" collapsed="false">
      <c r="A312" s="3" t="s">
        <v>1720</v>
      </c>
      <c r="B312" s="6" t="s">
        <v>1326</v>
      </c>
      <c r="C312" s="83" t="n">
        <v>12.43487</v>
      </c>
      <c r="D312" s="83" t="n">
        <v>12.555927</v>
      </c>
      <c r="E312" s="83" t="n">
        <v>22.62198</v>
      </c>
    </row>
    <row r="313" customFormat="false" ht="15" hidden="false" customHeight="false" outlineLevel="1" collapsed="false">
      <c r="A313" s="3" t="s">
        <v>1721</v>
      </c>
      <c r="B313" s="6" t="s">
        <v>1326</v>
      </c>
      <c r="C313" s="83" t="n">
        <v>12.434969</v>
      </c>
      <c r="D313" s="83" t="n">
        <v>12.641288</v>
      </c>
      <c r="E313" s="83" t="n">
        <v>20.494058</v>
      </c>
    </row>
    <row r="314" customFormat="false" ht="15" hidden="false" customHeight="false" outlineLevel="1" collapsed="false">
      <c r="A314" s="3" t="s">
        <v>1722</v>
      </c>
      <c r="B314" s="6" t="s">
        <v>1326</v>
      </c>
      <c r="C314" s="83" t="n">
        <v>12.434899</v>
      </c>
      <c r="D314" s="83" t="n">
        <v>12.597741</v>
      </c>
      <c r="E314" s="83" t="n">
        <v>21.532445</v>
      </c>
    </row>
    <row r="315" customFormat="false" ht="15" hidden="false" customHeight="false" outlineLevel="1" collapsed="false">
      <c r="A315" s="3" t="s">
        <v>1723</v>
      </c>
      <c r="B315" s="6" t="s">
        <v>1326</v>
      </c>
      <c r="C315" s="83" t="n">
        <v>12.435053</v>
      </c>
      <c r="D315" s="83" t="n">
        <v>12.612175</v>
      </c>
      <c r="E315" s="83" t="n">
        <v>21.178979</v>
      </c>
    </row>
    <row r="316" customFormat="false" ht="15" hidden="false" customHeight="false" outlineLevel="1" collapsed="false">
      <c r="A316" s="3" t="s">
        <v>1724</v>
      </c>
      <c r="B316" s="6" t="s">
        <v>1326</v>
      </c>
      <c r="C316" s="83" t="n">
        <v>12.435349</v>
      </c>
      <c r="D316" s="83" t="n">
        <v>12.549745</v>
      </c>
      <c r="E316" s="83" t="n">
        <v>22.794449</v>
      </c>
    </row>
    <row r="317" customFormat="false" ht="15" hidden="false" customHeight="false" outlineLevel="1" collapsed="false">
      <c r="A317" s="3" t="s">
        <v>1725</v>
      </c>
      <c r="B317" s="6" t="s">
        <v>1326</v>
      </c>
      <c r="C317" s="83" t="n">
        <v>12.435168</v>
      </c>
      <c r="D317" s="83" t="n">
        <v>12.538681</v>
      </c>
      <c r="E317" s="83" t="n">
        <v>23.109656</v>
      </c>
    </row>
    <row r="318" customFormat="false" ht="15" hidden="false" customHeight="false" outlineLevel="1" collapsed="false">
      <c r="A318" s="3" t="s">
        <v>1726</v>
      </c>
      <c r="B318" s="6" t="s">
        <v>1326</v>
      </c>
      <c r="C318" s="83" t="n">
        <v>12.435096</v>
      </c>
      <c r="D318" s="83" t="n">
        <v>12.577782</v>
      </c>
      <c r="E318" s="83" t="n">
        <v>22.035769</v>
      </c>
    </row>
    <row r="319" customFormat="false" ht="15" hidden="false" customHeight="false" outlineLevel="1" collapsed="false">
      <c r="A319" s="3" t="s">
        <v>1727</v>
      </c>
      <c r="B319" s="6" t="s">
        <v>1326</v>
      </c>
      <c r="C319" s="83" t="n">
        <v>12.434793</v>
      </c>
      <c r="D319" s="83" t="n">
        <v>12.528642</v>
      </c>
      <c r="E319" s="83" t="n">
        <v>23.410314</v>
      </c>
    </row>
    <row r="320" customFormat="false" ht="15" hidden="false" customHeight="false" outlineLevel="1" collapsed="false">
      <c r="A320" s="3" t="s">
        <v>1728</v>
      </c>
      <c r="B320" s="6" t="s">
        <v>1326</v>
      </c>
      <c r="C320" s="83" t="n">
        <v>12.434785</v>
      </c>
      <c r="D320" s="83" t="n">
        <v>12.554565</v>
      </c>
      <c r="E320" s="83" t="n">
        <v>22.659229</v>
      </c>
    </row>
    <row r="321" customFormat="false" ht="15" hidden="false" customHeight="false" outlineLevel="1" collapsed="false">
      <c r="A321" s="3" t="s">
        <v>1729</v>
      </c>
      <c r="B321" s="6" t="s">
        <v>1326</v>
      </c>
      <c r="C321" s="83" t="n">
        <v>12.435013</v>
      </c>
      <c r="D321" s="83" t="n">
        <v>12.581468</v>
      </c>
      <c r="E321" s="83" t="n">
        <v>21.951542</v>
      </c>
    </row>
    <row r="322" customFormat="false" ht="15" hidden="false" customHeight="false" outlineLevel="1" collapsed="false">
      <c r="A322" s="3" t="s">
        <v>1730</v>
      </c>
      <c r="B322" s="6" t="s">
        <v>1326</v>
      </c>
      <c r="C322" s="83" t="n">
        <v>12.434976</v>
      </c>
      <c r="D322" s="83" t="n">
        <v>12.549243</v>
      </c>
      <c r="E322" s="83" t="n">
        <v>22.477525</v>
      </c>
    </row>
    <row r="323" customFormat="false" ht="15" hidden="false" customHeight="false" outlineLevel="1" collapsed="false">
      <c r="A323" s="3" t="s">
        <v>1731</v>
      </c>
      <c r="B323" s="6" t="s">
        <v>1326</v>
      </c>
      <c r="C323" s="83" t="n">
        <v>12.434995</v>
      </c>
      <c r="D323" s="83" t="n">
        <v>12.546831</v>
      </c>
      <c r="E323" s="83" t="n">
        <v>23.348745</v>
      </c>
    </row>
    <row r="324" customFormat="false" ht="15" hidden="false" customHeight="false" outlineLevel="1" collapsed="false">
      <c r="A324" s="3" t="s">
        <v>1732</v>
      </c>
      <c r="B324" s="6" t="s">
        <v>1326</v>
      </c>
      <c r="C324" s="83" t="n">
        <v>12.435144</v>
      </c>
      <c r="D324" s="83" t="n">
        <v>12.515836</v>
      </c>
      <c r="E324" s="83" t="n">
        <v>23.231778</v>
      </c>
    </row>
    <row r="325" customFormat="false" ht="15" hidden="false" customHeight="false" outlineLevel="1" collapsed="false">
      <c r="A325" s="3" t="s">
        <v>1733</v>
      </c>
      <c r="B325" s="6" t="s">
        <v>1326</v>
      </c>
      <c r="C325" s="83" t="n">
        <v>12.435144</v>
      </c>
      <c r="D325" s="83" t="n">
        <v>12.581023</v>
      </c>
      <c r="E325" s="83" t="n">
        <v>22.46381</v>
      </c>
    </row>
    <row r="326" customFormat="false" ht="15" hidden="false" customHeight="false" outlineLevel="1" collapsed="false">
      <c r="A326" s="3" t="s">
        <v>1734</v>
      </c>
      <c r="B326" s="6" t="s">
        <v>1326</v>
      </c>
      <c r="C326" s="83" t="n">
        <v>12.435144</v>
      </c>
      <c r="D326" s="83" t="n">
        <v>12.548345</v>
      </c>
      <c r="E326" s="83" t="n">
        <v>23.073135</v>
      </c>
    </row>
    <row r="327" customFormat="false" ht="15" hidden="false" customHeight="false" outlineLevel="1" collapsed="false">
      <c r="A327" s="3" t="s">
        <v>1735</v>
      </c>
      <c r="B327" s="6" t="s">
        <v>1326</v>
      </c>
      <c r="C327" s="83" t="n">
        <v>12.435144</v>
      </c>
      <c r="D327" s="83" t="n">
        <v>12.548345</v>
      </c>
      <c r="E327" s="83" t="n">
        <v>22.616299</v>
      </c>
    </row>
    <row r="328" customFormat="false" ht="15" hidden="false" customHeight="false" outlineLevel="1" collapsed="false">
      <c r="A328" s="3" t="s">
        <v>1736</v>
      </c>
      <c r="B328" s="6" t="s">
        <v>1326</v>
      </c>
      <c r="C328" s="83" t="n">
        <v>12.410455</v>
      </c>
      <c r="D328" s="83" t="n">
        <v>12.527427</v>
      </c>
      <c r="E328" s="83" t="n">
        <v>22.87619</v>
      </c>
    </row>
    <row r="329" customFormat="false" ht="15" hidden="false" customHeight="false" outlineLevel="1" collapsed="false">
      <c r="A329" s="3" t="s">
        <v>1737</v>
      </c>
      <c r="B329" s="6" t="s">
        <v>1326</v>
      </c>
      <c r="C329" s="83" t="n">
        <v>12.385863</v>
      </c>
      <c r="D329" s="83" t="n">
        <v>12.506579</v>
      </c>
      <c r="E329" s="83" t="n">
        <v>22.909013</v>
      </c>
    </row>
    <row r="330" customFormat="false" ht="15" hidden="false" customHeight="false" outlineLevel="1" collapsed="false">
      <c r="A330" s="3" t="s">
        <v>1738</v>
      </c>
      <c r="B330" s="6" t="s">
        <v>1326</v>
      </c>
      <c r="C330" s="83" t="n">
        <v>12.361369</v>
      </c>
      <c r="D330" s="83" t="n">
        <v>12.48626</v>
      </c>
      <c r="E330" s="83" t="n">
        <v>22.941933</v>
      </c>
    </row>
    <row r="331" customFormat="false" ht="15" hidden="false" customHeight="false" outlineLevel="1" collapsed="false"/>
    <row r="332" customFormat="false" ht="15" hidden="false" customHeight="false" outlineLevel="1" collapsed="false">
      <c r="A332" s="14" t="s">
        <v>1739</v>
      </c>
      <c r="B332" s="14" t="s">
        <v>54</v>
      </c>
      <c r="C332" s="14" t="s">
        <v>1646</v>
      </c>
      <c r="D332" s="14" t="s">
        <v>1322</v>
      </c>
      <c r="E332" s="14" t="s">
        <v>1647</v>
      </c>
    </row>
    <row r="333" customFormat="false" ht="15" hidden="false" customHeight="false" outlineLevel="1" collapsed="false">
      <c r="A333" s="2" t="s">
        <v>1740</v>
      </c>
      <c r="B333" s="11" t="s">
        <v>1639</v>
      </c>
      <c r="C333" s="84" t="n">
        <v>0</v>
      </c>
      <c r="D333" s="84" t="n">
        <v>0.11599</v>
      </c>
      <c r="E333" s="84" t="n">
        <v>15.039884</v>
      </c>
    </row>
    <row r="334" customFormat="false" ht="15" hidden="false" customHeight="false" outlineLevel="1" collapsed="false">
      <c r="A334" s="3" t="s">
        <v>1741</v>
      </c>
      <c r="B334" s="11" t="s">
        <v>1639</v>
      </c>
      <c r="C334" s="84" t="n">
        <v>0</v>
      </c>
      <c r="D334" s="84" t="n">
        <v>0.286744</v>
      </c>
      <c r="E334" s="84" t="n">
        <v>15.039884</v>
      </c>
    </row>
    <row r="335" customFormat="false" ht="15" hidden="false" customHeight="false" outlineLevel="1" collapsed="false">
      <c r="A335" s="3" t="s">
        <v>1742</v>
      </c>
      <c r="B335" s="11" t="s">
        <v>1639</v>
      </c>
      <c r="C335" s="84" t="n">
        <v>0</v>
      </c>
      <c r="D335" s="84" t="n">
        <v>0</v>
      </c>
      <c r="E335" s="84" t="n">
        <v>15.039884</v>
      </c>
    </row>
    <row r="336" customFormat="false" ht="15" hidden="false" customHeight="false" outlineLevel="1" collapsed="false">
      <c r="A336" s="3" t="s">
        <v>1743</v>
      </c>
      <c r="B336" s="11" t="s">
        <v>1639</v>
      </c>
      <c r="C336" s="84" t="n">
        <v>0</v>
      </c>
      <c r="D336" s="84" t="n">
        <v>0</v>
      </c>
      <c r="E336" s="84" t="n">
        <v>15.039884</v>
      </c>
    </row>
    <row r="337" customFormat="false" ht="15" hidden="false" customHeight="false" outlineLevel="1" collapsed="false">
      <c r="A337" s="3" t="s">
        <v>1744</v>
      </c>
      <c r="B337" s="11" t="s">
        <v>1639</v>
      </c>
      <c r="C337" s="84" t="n">
        <v>0</v>
      </c>
      <c r="D337" s="84" t="n">
        <v>0</v>
      </c>
      <c r="E337" s="84" t="n">
        <v>8.59908</v>
      </c>
    </row>
    <row r="338" customFormat="false" ht="15" hidden="false" customHeight="false" outlineLevel="1" collapsed="false">
      <c r="A338" s="3" t="s">
        <v>1745</v>
      </c>
      <c r="B338" s="11" t="s">
        <v>1639</v>
      </c>
      <c r="C338" s="84" t="n">
        <v>0</v>
      </c>
      <c r="D338" s="84" t="n">
        <v>0</v>
      </c>
      <c r="E338" s="84" t="n">
        <v>15.039884</v>
      </c>
    </row>
    <row r="339" customFormat="false" ht="15" hidden="false" customHeight="false" outlineLevel="1" collapsed="false">
      <c r="A339" s="3" t="s">
        <v>1746</v>
      </c>
      <c r="B339" s="11" t="s">
        <v>1639</v>
      </c>
      <c r="C339" s="84" t="n">
        <v>0</v>
      </c>
      <c r="D339" s="84" t="n">
        <v>0</v>
      </c>
      <c r="E339" s="84" t="n">
        <v>14.735002</v>
      </c>
    </row>
    <row r="340" customFormat="false" ht="15" hidden="false" customHeight="false" outlineLevel="1" collapsed="false">
      <c r="A340" s="3" t="s">
        <v>1747</v>
      </c>
      <c r="B340" s="11" t="s">
        <v>1639</v>
      </c>
      <c r="C340" s="84" t="n">
        <v>0</v>
      </c>
      <c r="D340" s="84" t="n">
        <v>0.085898</v>
      </c>
      <c r="E340" s="84" t="n">
        <v>15.039884</v>
      </c>
    </row>
    <row r="341" customFormat="false" ht="15" hidden="false" customHeight="false" outlineLevel="1" collapsed="false">
      <c r="A341" s="3" t="s">
        <v>1748</v>
      </c>
      <c r="B341" s="11" t="s">
        <v>1639</v>
      </c>
      <c r="C341" s="84" t="n">
        <v>0</v>
      </c>
      <c r="D341" s="84" t="n">
        <v>0.283944</v>
      </c>
      <c r="E341" s="84" t="n">
        <v>15.039884</v>
      </c>
    </row>
    <row r="342" customFormat="false" ht="15" hidden="false" customHeight="false" outlineLevel="1" collapsed="false">
      <c r="A342" s="3" t="s">
        <v>1749</v>
      </c>
      <c r="B342" s="11" t="s">
        <v>1639</v>
      </c>
      <c r="C342" s="84" t="n">
        <v>0</v>
      </c>
      <c r="D342" s="84" t="n">
        <v>0</v>
      </c>
      <c r="E342" s="84" t="n">
        <v>15.039884</v>
      </c>
    </row>
    <row r="343" customFormat="false" ht="15" hidden="false" customHeight="false" outlineLevel="1" collapsed="false">
      <c r="A343" s="3" t="s">
        <v>1750</v>
      </c>
      <c r="B343" s="11" t="s">
        <v>1639</v>
      </c>
      <c r="C343" s="84" t="n">
        <v>0</v>
      </c>
      <c r="D343" s="84" t="n">
        <v>0.468594</v>
      </c>
      <c r="E343" s="84" t="n">
        <v>15.039884</v>
      </c>
    </row>
    <row r="344" customFormat="false" ht="15" hidden="false" customHeight="false" outlineLevel="1" collapsed="false">
      <c r="A344" s="3" t="s">
        <v>1751</v>
      </c>
      <c r="B344" s="11" t="s">
        <v>1639</v>
      </c>
      <c r="C344" s="84" t="n">
        <v>0</v>
      </c>
      <c r="D344" s="84" t="n">
        <v>0</v>
      </c>
      <c r="E344" s="84" t="n">
        <v>15.039884</v>
      </c>
    </row>
    <row r="345" customFormat="false" ht="15" hidden="false" customHeight="false" outlineLevel="1" collapsed="false">
      <c r="A345" s="3" t="s">
        <v>1752</v>
      </c>
      <c r="B345" s="11" t="s">
        <v>1639</v>
      </c>
      <c r="C345" s="84" t="n">
        <v>0</v>
      </c>
      <c r="D345" s="84" t="n">
        <v>0</v>
      </c>
      <c r="E345" s="84" t="n">
        <v>15.039884</v>
      </c>
    </row>
    <row r="346" customFormat="false" ht="15" hidden="false" customHeight="false" outlineLevel="1" collapsed="false">
      <c r="A346" s="3" t="s">
        <v>1753</v>
      </c>
      <c r="B346" s="11" t="s">
        <v>1639</v>
      </c>
      <c r="C346" s="84" t="n">
        <v>0</v>
      </c>
      <c r="D346" s="84" t="n">
        <v>0</v>
      </c>
      <c r="E346" s="84" t="n">
        <v>15.039884</v>
      </c>
    </row>
    <row r="347" customFormat="false" ht="15" hidden="false" customHeight="false" outlineLevel="1" collapsed="false">
      <c r="A347" s="3" t="s">
        <v>1754</v>
      </c>
      <c r="B347" s="11" t="s">
        <v>1639</v>
      </c>
      <c r="C347" s="84" t="n">
        <v>0</v>
      </c>
      <c r="D347" s="84" t="n">
        <v>1.358598</v>
      </c>
      <c r="E347" s="84" t="n">
        <v>15.039884</v>
      </c>
    </row>
    <row r="348" customFormat="false" ht="15" hidden="false" customHeight="false" outlineLevel="1" collapsed="false">
      <c r="A348" s="3" t="s">
        <v>1755</v>
      </c>
      <c r="B348" s="11" t="s">
        <v>1639</v>
      </c>
      <c r="C348" s="84" t="n">
        <v>0</v>
      </c>
      <c r="D348" s="84" t="n">
        <v>0.168306</v>
      </c>
      <c r="E348" s="84" t="n">
        <v>15.039884</v>
      </c>
    </row>
    <row r="349" customFormat="false" ht="15" hidden="false" customHeight="false" outlineLevel="1" collapsed="false">
      <c r="A349" s="3" t="s">
        <v>1756</v>
      </c>
      <c r="B349" s="11" t="s">
        <v>1639</v>
      </c>
      <c r="C349" s="84" t="n">
        <v>0</v>
      </c>
      <c r="D349" s="84" t="n">
        <v>0.063674</v>
      </c>
      <c r="E349" s="84" t="n">
        <v>15.039884</v>
      </c>
    </row>
    <row r="350" customFormat="false" ht="15" hidden="false" customHeight="false" outlineLevel="1" collapsed="false">
      <c r="A350" s="3" t="s">
        <v>1757</v>
      </c>
      <c r="B350" s="11" t="s">
        <v>1639</v>
      </c>
      <c r="C350" s="84" t="n">
        <v>0</v>
      </c>
      <c r="D350" s="84" t="n">
        <v>0.343048</v>
      </c>
      <c r="E350" s="84" t="n">
        <v>15.039884</v>
      </c>
    </row>
    <row r="351" customFormat="false" ht="15" hidden="false" customHeight="false" outlineLevel="1" collapsed="false">
      <c r="A351" s="3" t="s">
        <v>1758</v>
      </c>
      <c r="B351" s="11" t="s">
        <v>1639</v>
      </c>
      <c r="C351" s="84" t="n">
        <v>0</v>
      </c>
      <c r="D351" s="84" t="n">
        <v>0</v>
      </c>
      <c r="E351" s="84" t="n">
        <v>15.039884</v>
      </c>
    </row>
    <row r="352" customFormat="false" ht="15" hidden="false" customHeight="false" outlineLevel="1" collapsed="false">
      <c r="A352" s="3" t="s">
        <v>1759</v>
      </c>
      <c r="B352" s="11" t="s">
        <v>1639</v>
      </c>
      <c r="C352" s="84" t="n">
        <v>0</v>
      </c>
      <c r="D352" s="84" t="n">
        <v>0.12878</v>
      </c>
      <c r="E352" s="84" t="n">
        <v>15.039884</v>
      </c>
    </row>
    <row r="353" customFormat="false" ht="15" hidden="false" customHeight="false" outlineLevel="1" collapsed="false">
      <c r="A353" s="3" t="s">
        <v>1760</v>
      </c>
      <c r="B353" s="11" t="s">
        <v>1639</v>
      </c>
      <c r="C353" s="84" t="n">
        <v>0</v>
      </c>
      <c r="D353" s="84" t="n">
        <v>0.140622</v>
      </c>
      <c r="E353" s="84" t="n">
        <v>15.039884</v>
      </c>
    </row>
    <row r="354" customFormat="false" ht="15" hidden="false" customHeight="false" outlineLevel="1" collapsed="false">
      <c r="A354" s="3" t="s">
        <v>1761</v>
      </c>
      <c r="B354" s="11" t="s">
        <v>1639</v>
      </c>
      <c r="C354" s="84" t="n">
        <v>0</v>
      </c>
      <c r="D354" s="84" t="n">
        <v>0.152455</v>
      </c>
      <c r="E354" s="84" t="n">
        <v>15.039884</v>
      </c>
    </row>
    <row r="355" customFormat="false" ht="15" hidden="false" customHeight="false" outlineLevel="1" collapsed="false"/>
    <row r="356" customFormat="false" ht="15" hidden="false" customHeight="false" outlineLevel="1" collapsed="false">
      <c r="A356" s="6" t="s">
        <v>1762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19.4" hidden="false" customHeight="false" outlineLevel="0" collapsed="false">
      <c r="A1" s="5" t="s">
        <v>1763</v>
      </c>
    </row>
    <row r="2" customFormat="false" ht="15" hidden="false" customHeight="false" outlineLevel="0" collapsed="false">
      <c r="A2" s="6" t="s">
        <v>1764</v>
      </c>
    </row>
    <row r="4" customFormat="false" ht="15" hidden="false" customHeight="false" outlineLevel="0" collapsed="false">
      <c r="A4" s="14" t="s">
        <v>1765</v>
      </c>
      <c r="B4" s="14" t="s">
        <v>1766</v>
      </c>
      <c r="C4" s="14" t="s">
        <v>1767</v>
      </c>
      <c r="D4" s="14" t="s">
        <v>1768</v>
      </c>
      <c r="E4" s="15" t="s">
        <v>1769</v>
      </c>
      <c r="F4" s="14" t="s">
        <v>1770</v>
      </c>
      <c r="I4" s="14" t="s">
        <v>699</v>
      </c>
    </row>
    <row r="5" customFormat="false" ht="15" hidden="false" customHeight="false" outlineLevel="0" collapsed="false">
      <c r="A5" s="4" t="s">
        <v>1771</v>
      </c>
      <c r="B5" s="6" t="s">
        <v>1772</v>
      </c>
      <c r="C5" s="11" t="s">
        <v>1773</v>
      </c>
      <c r="D5" s="24" t="n">
        <v>0.095</v>
      </c>
      <c r="E5" s="25" t="n">
        <v>80</v>
      </c>
      <c r="F5" s="65" t="n">
        <f aca="false">D5*E5</f>
        <v>7.6</v>
      </c>
      <c r="I5" s="6" t="s">
        <v>1774</v>
      </c>
    </row>
    <row r="6" customFormat="false" ht="15" hidden="false" customHeight="false" outlineLevel="0" collapsed="false">
      <c r="A6" s="4" t="s">
        <v>1775</v>
      </c>
      <c r="B6" s="6" t="s">
        <v>1776</v>
      </c>
      <c r="C6" s="11" t="s">
        <v>1777</v>
      </c>
      <c r="D6" s="24" t="n">
        <v>0.0792</v>
      </c>
      <c r="E6" s="25" t="n">
        <v>18</v>
      </c>
      <c r="F6" s="65" t="n">
        <f aca="false">D6*E6</f>
        <v>1.4256</v>
      </c>
      <c r="I6" s="11" t="s">
        <v>1778</v>
      </c>
    </row>
    <row r="7" customFormat="false" ht="15" hidden="false" customHeight="false" outlineLevel="0" collapsed="false">
      <c r="A7" s="4" t="s">
        <v>1779</v>
      </c>
      <c r="B7" s="6" t="s">
        <v>1780</v>
      </c>
      <c r="C7" s="11" t="s">
        <v>1781</v>
      </c>
      <c r="D7" s="24" t="n">
        <v>0.055</v>
      </c>
      <c r="E7" s="25" t="n">
        <v>26.2</v>
      </c>
      <c r="F7" s="65" t="n">
        <f aca="false">D7*E7</f>
        <v>1.441</v>
      </c>
      <c r="I7" s="11" t="s">
        <v>1782</v>
      </c>
    </row>
    <row r="8" customFormat="false" ht="15" hidden="false" customHeight="false" outlineLevel="0" collapsed="false">
      <c r="A8" s="2" t="s">
        <v>1783</v>
      </c>
      <c r="E8" s="57" t="n">
        <f aca="false">SUM(E5:E7)</f>
        <v>124.2</v>
      </c>
      <c r="F8" s="57" t="n">
        <f aca="false">SUM(F5:F7)</f>
        <v>10.4666</v>
      </c>
      <c r="I8" s="6" t="s">
        <v>1784</v>
      </c>
    </row>
    <row r="9" customFormat="false" ht="15" hidden="false" customHeight="false" outlineLevel="0" collapsed="false">
      <c r="A9" s="2" t="s">
        <v>1785</v>
      </c>
      <c r="D9" s="85" t="n">
        <f aca="false">F8/E8</f>
        <v>0.0842721417069243</v>
      </c>
      <c r="I9" s="6" t="s">
        <v>1786</v>
      </c>
    </row>
    <row r="11" customFormat="false" ht="15" hidden="false" customHeight="false" outlineLevel="0" collapsed="false">
      <c r="A11" s="3" t="s">
        <v>1787</v>
      </c>
      <c r="D11" s="86" t="n">
        <v>0</v>
      </c>
      <c r="E11" s="25" t="n">
        <v>0</v>
      </c>
      <c r="F11" s="10" t="n">
        <f aca="false">D11*E11</f>
        <v>0</v>
      </c>
      <c r="I11" s="11" t="s">
        <v>1788</v>
      </c>
    </row>
    <row r="13" customFormat="false" ht="15" hidden="false" customHeight="false" outlineLevel="0" collapsed="false">
      <c r="A13" s="50" t="s">
        <v>1789</v>
      </c>
      <c r="B13" s="8"/>
      <c r="C13" s="8"/>
      <c r="D13" s="8"/>
      <c r="E13" s="8"/>
      <c r="F13" s="8"/>
      <c r="G13" s="8"/>
      <c r="H13" s="8"/>
    </row>
    <row r="14" customFormat="false" ht="15" hidden="false" customHeight="false" outlineLevel="1" collapsed="false">
      <c r="A14" s="14" t="s">
        <v>426</v>
      </c>
      <c r="B14" s="14" t="s">
        <v>1767</v>
      </c>
      <c r="C14" s="14" t="s">
        <v>1790</v>
      </c>
      <c r="D14" s="14" t="s">
        <v>1791</v>
      </c>
      <c r="E14" s="14" t="s">
        <v>1792</v>
      </c>
      <c r="F14" s="14" t="s">
        <v>1793</v>
      </c>
      <c r="G14" s="14" t="s">
        <v>1794</v>
      </c>
      <c r="H14" s="14" t="s">
        <v>1795</v>
      </c>
      <c r="I14" s="14" t="s">
        <v>699</v>
      </c>
    </row>
    <row r="15" customFormat="false" ht="15" hidden="false" customHeight="false" outlineLevel="1" collapsed="false">
      <c r="A15" s="4" t="s">
        <v>1796</v>
      </c>
      <c r="B15" s="11" t="s">
        <v>1797</v>
      </c>
      <c r="C15" s="86" t="n">
        <v>0.045</v>
      </c>
      <c r="D15" s="33" t="n">
        <v>31.85</v>
      </c>
      <c r="E15" s="79" t="n">
        <v>1</v>
      </c>
      <c r="F15" s="42" t="n">
        <v>25.91</v>
      </c>
      <c r="G15" s="67" t="n">
        <v>5</v>
      </c>
      <c r="H15" s="21" t="n">
        <v>0</v>
      </c>
      <c r="I15" s="6" t="s">
        <v>1798</v>
      </c>
    </row>
    <row r="16" customFormat="false" ht="15" hidden="false" customHeight="false" outlineLevel="1" collapsed="false">
      <c r="A16" s="4" t="s">
        <v>1799</v>
      </c>
      <c r="B16" s="11" t="s">
        <v>1800</v>
      </c>
      <c r="C16" s="86" t="n">
        <v>0.05</v>
      </c>
      <c r="D16" s="33" t="n">
        <v>310</v>
      </c>
      <c r="E16" s="79" t="n">
        <v>1</v>
      </c>
      <c r="F16" s="42" t="n">
        <v>33.84</v>
      </c>
      <c r="G16" s="67" t="n">
        <v>5</v>
      </c>
      <c r="H16" s="21" t="n">
        <v>0</v>
      </c>
      <c r="I16" s="11" t="s">
        <v>1801</v>
      </c>
    </row>
    <row r="17" customFormat="false" ht="15" hidden="false" customHeight="false" outlineLevel="1" collapsed="false">
      <c r="I17" s="6" t="s">
        <v>1802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14" t="s">
        <v>1803</v>
      </c>
      <c r="C19" s="14" t="s">
        <v>1804</v>
      </c>
      <c r="D19" s="14" t="s">
        <v>1805</v>
      </c>
      <c r="E19" s="14" t="s">
        <v>1806</v>
      </c>
      <c r="F19" s="14" t="s">
        <v>1807</v>
      </c>
      <c r="G19" s="14" t="s">
        <v>1808</v>
      </c>
      <c r="H19" s="14" t="s">
        <v>1809</v>
      </c>
      <c r="I19" s="14" t="s">
        <v>428</v>
      </c>
    </row>
    <row r="20" customFormat="false" ht="15" hidden="false" customHeight="false" outlineLevel="1" collapsed="false">
      <c r="A20" s="3" t="str">
        <f aca="false">A15</f>
        <v>4.50% 2031 可轉債（交換後剩餘）</v>
      </c>
      <c r="C20" s="30" t="n">
        <f aca="false">D15*E15</f>
        <v>31.85</v>
      </c>
      <c r="D20" s="30" t="n">
        <f aca="false">D15/F15</f>
        <v>1.22925511385565</v>
      </c>
      <c r="E20" s="53" t="n">
        <f aca="false">F15*E15</f>
        <v>25.91</v>
      </c>
      <c r="F20" s="67" t="n">
        <f aca="false">IF(OR(H15=1,E20&lt;輸入與假設!$C$205),1,0)</f>
        <v>0</v>
      </c>
      <c r="G20" s="67" t="n">
        <f aca="false">IF(OR(H15=1,E20&lt;輸入與假設!$C$228),1,0)</f>
        <v>0</v>
      </c>
      <c r="H20" s="67" t="n">
        <f aca="false">IF(OR(H15=1,E20&lt;評價_DCF與目標價!$C$66),1,0)</f>
        <v>0</v>
      </c>
    </row>
    <row r="21" customFormat="false" ht="15" hidden="false" customHeight="false" outlineLevel="1" collapsed="false">
      <c r="A21" s="3" t="str">
        <f aca="false">A16</f>
        <v>5.00% 2032 可轉債（2026-08）</v>
      </c>
      <c r="C21" s="30" t="n">
        <f aca="false">D16*E16</f>
        <v>310</v>
      </c>
      <c r="D21" s="30" t="n">
        <f aca="false">D16/F16</f>
        <v>9.16075650118203</v>
      </c>
      <c r="E21" s="53" t="n">
        <f aca="false">F16*E16</f>
        <v>33.84</v>
      </c>
      <c r="F21" s="67" t="n">
        <f aca="false">IF(OR(H16=1,E21&lt;輸入與假設!$C$205),1,0)</f>
        <v>0</v>
      </c>
      <c r="G21" s="67" t="n">
        <f aca="false">IF(OR(H16=1,E21&lt;輸入與假設!$C$228),1,0)</f>
        <v>0</v>
      </c>
      <c r="H21" s="67" t="n">
        <f aca="false">IF(OR(H16=1,E21&lt;評價_DCF與目標價!$C$66),1,0)</f>
        <v>0</v>
      </c>
    </row>
    <row r="22" customFormat="false" ht="15" hidden="false" customHeight="false" outlineLevel="1" collapsed="false">
      <c r="A22" s="2" t="s">
        <v>1810</v>
      </c>
      <c r="C22" s="87" t="n">
        <f aca="false">SUM(C20:C21)</f>
        <v>341.85</v>
      </c>
      <c r="D22" s="87" t="n">
        <f aca="false">SUM(D20:D21)</f>
        <v>10.3900116150377</v>
      </c>
      <c r="I22" s="6" t="s">
        <v>1811</v>
      </c>
    </row>
    <row r="24" customFormat="false" ht="15" hidden="false" customHeight="false" outlineLevel="0" collapsed="false">
      <c r="A24" s="50" t="s">
        <v>1812</v>
      </c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1" collapsed="false">
      <c r="A25" s="14" t="s">
        <v>53</v>
      </c>
      <c r="B25" s="14" t="s">
        <v>54</v>
      </c>
      <c r="C25" s="28" t="s">
        <v>55</v>
      </c>
      <c r="D25" s="28" t="s">
        <v>56</v>
      </c>
      <c r="E25" s="28" t="s">
        <v>57</v>
      </c>
      <c r="F25" s="28" t="s">
        <v>139</v>
      </c>
      <c r="G25" s="28" t="s">
        <v>140</v>
      </c>
      <c r="I25" s="14" t="s">
        <v>808</v>
      </c>
    </row>
    <row r="26" customFormat="false" ht="15" hidden="false" customHeight="false" outlineLevel="1" collapsed="false">
      <c r="A26" s="3" t="s">
        <v>1813</v>
      </c>
      <c r="B26" s="11" t="s">
        <v>59</v>
      </c>
      <c r="C26" s="65" t="n">
        <f aca="false">E8</f>
        <v>124.2</v>
      </c>
      <c r="D26" s="65" t="n">
        <f aca="false">C28</f>
        <v>118.827</v>
      </c>
      <c r="E26" s="65" t="n">
        <f aca="false">D28</f>
        <v>28.08</v>
      </c>
      <c r="F26" s="65" t="n">
        <f aca="false">E28</f>
        <v>21.833</v>
      </c>
      <c r="G26" s="65" t="n">
        <f aca="false">F28</f>
        <v>0.873999999999999</v>
      </c>
      <c r="I26" s="11" t="s">
        <v>1814</v>
      </c>
    </row>
    <row r="27" customFormat="false" ht="15" hidden="false" customHeight="false" outlineLevel="1" collapsed="false">
      <c r="A27" s="3" t="s">
        <v>1815</v>
      </c>
      <c r="B27" s="11" t="s">
        <v>59</v>
      </c>
      <c r="C27" s="43" t="n">
        <f aca="false">輸入與假設!C$223</f>
        <v>5.373</v>
      </c>
      <c r="D27" s="43" t="n">
        <f aca="false">輸入與假設!D$223</f>
        <v>90.747</v>
      </c>
      <c r="E27" s="43" t="n">
        <f aca="false">輸入與假設!E$223</f>
        <v>6.247</v>
      </c>
      <c r="F27" s="43" t="n">
        <f aca="false">輸入與假設!F$223</f>
        <v>20.959</v>
      </c>
      <c r="G27" s="43" t="n">
        <f aca="false">輸入與假設!G$223</f>
        <v>0</v>
      </c>
      <c r="I27" s="6" t="s">
        <v>1816</v>
      </c>
    </row>
    <row r="28" customFormat="false" ht="15" hidden="false" customHeight="false" outlineLevel="1" collapsed="false">
      <c r="A28" s="3" t="s">
        <v>1817</v>
      </c>
      <c r="B28" s="11" t="s">
        <v>59</v>
      </c>
      <c r="C28" s="65" t="n">
        <f aca="false">C26-C27</f>
        <v>118.827</v>
      </c>
      <c r="D28" s="65" t="n">
        <f aca="false">D26-D27</f>
        <v>28.08</v>
      </c>
      <c r="E28" s="65" t="n">
        <f aca="false">E26-E27</f>
        <v>21.833</v>
      </c>
      <c r="F28" s="65" t="n">
        <f aca="false">F26-F27</f>
        <v>0.873999999999999</v>
      </c>
      <c r="G28" s="65" t="n">
        <f aca="false">G26-G27</f>
        <v>0.873999999999999</v>
      </c>
    </row>
    <row r="29" customFormat="false" ht="15" hidden="false" customHeight="false" outlineLevel="1" collapsed="false">
      <c r="A29" s="3" t="s">
        <v>1818</v>
      </c>
      <c r="B29" s="11" t="s">
        <v>59</v>
      </c>
      <c r="C29" s="65" t="n">
        <f aca="false">(C26+C28)/2</f>
        <v>121.5135</v>
      </c>
      <c r="D29" s="65" t="n">
        <f aca="false">(D26+D28)/2</f>
        <v>73.4535</v>
      </c>
      <c r="E29" s="65" t="n">
        <f aca="false">(E26+E28)/2</f>
        <v>24.9565</v>
      </c>
      <c r="F29" s="65" t="n">
        <f aca="false">(F26+F28)/2</f>
        <v>11.3535</v>
      </c>
      <c r="G29" s="65" t="n">
        <f aca="false">(G26+G28)/2</f>
        <v>0.873999999999999</v>
      </c>
    </row>
    <row r="30" customFormat="false" ht="15" hidden="false" customHeight="false" outlineLevel="1" collapsed="false">
      <c r="A30" s="3" t="s">
        <v>1819</v>
      </c>
      <c r="B30" s="11" t="s">
        <v>59</v>
      </c>
      <c r="C30" s="65" t="n">
        <f aca="false">C29*資產負債_既有債務!$D$9*輸入與假設!C$41</f>
        <v>5.12010144565217</v>
      </c>
      <c r="D30" s="65" t="n">
        <f aca="false">D29*資產負債_既有債務!$D$9*輸入與假設!D$41</f>
        <v>6.19008376086957</v>
      </c>
      <c r="E30" s="65" t="n">
        <f aca="false">E29*資產負債_既有債務!$D$9*輸入與假設!E$41</f>
        <v>2.10313770450886</v>
      </c>
      <c r="F30" s="65" t="n">
        <f aca="false">F29*資產負債_既有債務!$D$9*輸入與假設!F$41</f>
        <v>0.956783760869565</v>
      </c>
      <c r="G30" s="65" t="n">
        <f aca="false">G29*資產負債_既有債務!$D$9*輸入與假設!G$41</f>
        <v>0.0736538518518518</v>
      </c>
      <c r="I30" s="6" t="s">
        <v>1820</v>
      </c>
    </row>
    <row r="31" customFormat="false" ht="15" hidden="false" customHeight="false" outlineLevel="1" collapsed="false">
      <c r="A31" s="3" t="s">
        <v>1821</v>
      </c>
      <c r="B31" s="11" t="s">
        <v>59</v>
      </c>
      <c r="C31" s="65" t="n">
        <f aca="false">資產負債_既有債務!$F$11*輸入與假設!C$41</f>
        <v>0</v>
      </c>
      <c r="D31" s="65" t="n">
        <f aca="false">資產負債_既有債務!$F$11*輸入與假設!D$41</f>
        <v>0</v>
      </c>
      <c r="E31" s="65" t="n">
        <f aca="false">資產負債_既有債務!$F$11*輸入與假設!E$41</f>
        <v>0</v>
      </c>
      <c r="F31" s="65" t="n">
        <f aca="false">資產負債_既有債務!$F$11*輸入與假設!F$41</f>
        <v>0</v>
      </c>
      <c r="G31" s="65" t="n">
        <f aca="false">資產負債_既有債務!$F$11*輸入與假設!G$41</f>
        <v>0</v>
      </c>
    </row>
    <row r="32" customFormat="false" ht="15" hidden="false" customHeight="false" outlineLevel="1" collapsed="false">
      <c r="A32" s="3" t="s">
        <v>1822</v>
      </c>
      <c r="B32" s="11" t="s">
        <v>59</v>
      </c>
      <c r="C32" s="65" t="n">
        <f aca="false">IF(輸入與假設!$C$197=1,SUMPRODUCT((1-資產負債_既有債務!$F$20:$F$21)*資產負債_既有債務!$C$20:$C$21*(資產負債_既有債務!$G$15:$G$16=0)),0)</f>
        <v>0</v>
      </c>
      <c r="D32" s="65" t="n">
        <f aca="false">IF(輸入與假設!$C$197=1,SUMPRODUCT((1-資產負債_既有債務!$F$20:$F$21)*資產負債_既有債務!$C$20:$C$21*(資產負債_既有債務!$G$15:$G$16=1)),0)</f>
        <v>0</v>
      </c>
      <c r="E32" s="65" t="n">
        <f aca="false">IF(輸入與假設!$C$197=1,SUMPRODUCT((1-資產負債_既有債務!$F$20:$F$21)*資產負債_既有債務!$C$20:$C$21*(資產負債_既有債務!$G$15:$G$16=2)),0)</f>
        <v>0</v>
      </c>
      <c r="F32" s="65" t="n">
        <f aca="false">IF(輸入與假設!$C$197=1,SUMPRODUCT((1-資產負債_既有債務!$F$20:$F$21)*資產負債_既有債務!$C$20:$C$21*(資產負債_既有債務!$G$15:$G$16=3)),0)</f>
        <v>0</v>
      </c>
      <c r="G32" s="65" t="n">
        <f aca="false">IF(輸入與假設!$C$197=1,SUMPRODUCT((1-資產負債_既有債務!$F$20:$F$21)*資產負債_既有債務!$C$20:$C$21*(資產負債_既有債務!$G$15:$G$16=4)),0)</f>
        <v>0</v>
      </c>
      <c r="I32" s="6" t="s">
        <v>1823</v>
      </c>
    </row>
    <row r="33" customFormat="false" ht="15" hidden="false" customHeight="false" outlineLevel="1" collapsed="false">
      <c r="A33" s="3" t="s">
        <v>1824</v>
      </c>
      <c r="B33" s="11" t="s">
        <v>59</v>
      </c>
      <c r="C33" s="65" t="n">
        <f aca="false">IF(輸入與假設!$C$197=1,SUMPRODUCT((1-資產負債_既有債務!$F$20:$F$21)*資產負債_既有債務!$C$20:$C$21*(資產負債_既有債務!$G$15:$G$16&gt;0)),SUMPRODUCT((1-資產負債_既有債務!$F$20:$F$21)*資產負債_既有債務!$C$20:$C$21))</f>
        <v>341.85</v>
      </c>
      <c r="D33" s="65" t="n">
        <f aca="false">IF(輸入與假設!$C$197=1,SUMPRODUCT((1-資產負債_既有債務!$F$20:$F$21)*資產負債_既有債務!$C$20:$C$21*(資產負債_既有債務!$G$15:$G$16&gt;1)),SUMPRODUCT((1-資產負債_既有債務!$F$20:$F$21)*資產負債_既有債務!$C$20:$C$21))</f>
        <v>341.85</v>
      </c>
      <c r="E33" s="65" t="n">
        <f aca="false">IF(輸入與假設!$C$197=1,SUMPRODUCT((1-資產負債_既有債務!$F$20:$F$21)*資產負債_既有債務!$C$20:$C$21*(資產負債_既有債務!$G$15:$G$16&gt;2)),SUMPRODUCT((1-資產負債_既有債務!$F$20:$F$21)*資產負債_既有債務!$C$20:$C$21))</f>
        <v>341.85</v>
      </c>
      <c r="F33" s="65" t="n">
        <f aca="false">IF(輸入與假設!$C$197=1,SUMPRODUCT((1-資產負債_既有債務!$F$20:$F$21)*資產負債_既有債務!$C$20:$C$21*(資產負債_既有債務!$G$15:$G$16&gt;3)),SUMPRODUCT((1-資產負債_既有債務!$F$20:$F$21)*資產負債_既有債務!$C$20:$C$21))</f>
        <v>341.85</v>
      </c>
      <c r="G33" s="65" t="n">
        <f aca="false">IF(輸入與假設!$C$197=1,SUMPRODUCT((1-資產負債_既有債務!$F$20:$F$21)*資產負債_既有債務!$C$20:$C$21*(資產負債_既有債務!$G$15:$G$16&gt;4)),SUMPRODUCT((1-資產負債_既有債務!$F$20:$F$21)*資產負債_既有債務!$C$20:$C$21))</f>
        <v>341.85</v>
      </c>
      <c r="I33" s="6" t="s">
        <v>1825</v>
      </c>
    </row>
    <row r="34" customFormat="false" ht="15" hidden="false" customHeight="false" outlineLevel="1" collapsed="false">
      <c r="A34" s="3" t="s">
        <v>1826</v>
      </c>
      <c r="B34" s="11" t="s">
        <v>59</v>
      </c>
      <c r="C34" s="65" t="n">
        <f aca="false">IF(輸入與假設!$C$197=1,SUMPRODUCT((1-資產負債_既有債務!$F$20:$F$21)*資產負債_既有債務!$D$15:$D$16*資產負債_既有債務!$C$15:$C$16*((資產負債_既有債務!$G$15:$G$16&gt;0)+0.5*(資產負債_既有債務!$G$15:$G$16=0))),SUMPRODUCT((1-資產負債_既有債務!$F$20:$F$21)*資產負債_既有債務!$D$15:$D$16*資產負債_既有債務!$C$15:$C$16))*輸入與假設!C$41</f>
        <v>8.466625</v>
      </c>
      <c r="D34" s="65" t="n">
        <f aca="false">IF(輸入與假設!$C$197=1,SUMPRODUCT((1-資產負債_既有債務!$F$20:$F$21)*資產負債_既有債務!$D$15:$D$16*資產負債_既有債務!$C$15:$C$16*((資產負債_既有債務!$G$15:$G$16&gt;1)+0.5*(資產負債_既有債務!$G$15:$G$16=1))),SUMPRODUCT((1-資產負債_既有債務!$F$20:$F$21)*資產負債_既有債務!$D$15:$D$16*資產負債_既有債務!$C$15:$C$16))*輸入與假設!D$41</f>
        <v>16.93325</v>
      </c>
      <c r="E34" s="65" t="n">
        <f aca="false">IF(輸入與假設!$C$197=1,SUMPRODUCT((1-資產負債_既有債務!$F$20:$F$21)*資產負債_既有債務!$D$15:$D$16*資產負債_既有債務!$C$15:$C$16*((資產負債_既有債務!$G$15:$G$16&gt;2)+0.5*(資產負債_既有債務!$G$15:$G$16=2))),SUMPRODUCT((1-資產負債_既有債務!$F$20:$F$21)*資產負債_既有債務!$D$15:$D$16*資產負債_既有債務!$C$15:$C$16))*輸入與假設!E$41</f>
        <v>16.93325</v>
      </c>
      <c r="F34" s="65" t="n">
        <f aca="false">IF(輸入與假設!$C$197=1,SUMPRODUCT((1-資產負債_既有債務!$F$20:$F$21)*資產負債_既有債務!$D$15:$D$16*資產負債_既有債務!$C$15:$C$16*((資產負債_既有債務!$G$15:$G$16&gt;3)+0.5*(資產負債_既有債務!$G$15:$G$16=3))),SUMPRODUCT((1-資產負債_既有債務!$F$20:$F$21)*資產負債_既有債務!$D$15:$D$16*資產負債_既有債務!$C$15:$C$16))*輸入與假設!F$41</f>
        <v>16.93325</v>
      </c>
      <c r="G34" s="65" t="n">
        <f aca="false">IF(輸入與假設!$C$197=1,SUMPRODUCT((1-資產負債_既有債務!$F$20:$F$21)*資產負債_既有債務!$D$15:$D$16*資產負債_既有債務!$C$15:$C$16*((資產負債_既有債務!$G$15:$G$16&gt;4)+0.5*(資產負債_既有債務!$G$15:$G$16=4))),SUMPRODUCT((1-資產負債_既有債務!$F$20:$F$21)*資產負債_既有債務!$D$15:$D$16*資產負債_既有債務!$C$15:$C$16))*輸入與假設!G$41</f>
        <v>16.93325</v>
      </c>
      <c r="I34" s="6" t="s">
        <v>1827</v>
      </c>
    </row>
    <row r="35" customFormat="false" ht="15" hidden="false" customHeight="false" outlineLevel="1" collapsed="false">
      <c r="A35" s="4" t="s">
        <v>1828</v>
      </c>
      <c r="B35" s="11" t="s">
        <v>59</v>
      </c>
      <c r="C35" s="25" t="n">
        <f aca="false">0</f>
        <v>0</v>
      </c>
      <c r="D35" s="25" t="n">
        <f aca="false">0</f>
        <v>0</v>
      </c>
      <c r="E35" s="25" t="n">
        <f aca="false">0</f>
        <v>0</v>
      </c>
      <c r="F35" s="25" t="n">
        <f aca="false">0</f>
        <v>0</v>
      </c>
      <c r="G35" s="25" t="n">
        <f aca="false">0</f>
        <v>0</v>
      </c>
      <c r="I35" s="6" t="s">
        <v>1829</v>
      </c>
    </row>
    <row r="36" customFormat="false" ht="15" hidden="false" customHeight="false" outlineLevel="1" collapsed="false">
      <c r="A36" s="3" t="s">
        <v>1830</v>
      </c>
      <c r="B36" s="11" t="s">
        <v>59</v>
      </c>
      <c r="C36" s="25" t="n">
        <f aca="false">0</f>
        <v>0</v>
      </c>
      <c r="D36" s="25" t="n">
        <f aca="false">1.9</f>
        <v>1.9</v>
      </c>
      <c r="E36" s="25" t="n">
        <f aca="false">0</f>
        <v>0</v>
      </c>
      <c r="F36" s="25" t="n">
        <f aca="false">0</f>
        <v>0</v>
      </c>
      <c r="G36" s="25" t="n">
        <f aca="false">0</f>
        <v>0</v>
      </c>
      <c r="I36" s="11" t="s">
        <v>1831</v>
      </c>
    </row>
    <row r="37" customFormat="false" ht="15" hidden="false" customHeight="false" outlineLevel="1" collapsed="false">
      <c r="A37" s="2" t="s">
        <v>1832</v>
      </c>
      <c r="B37" s="11" t="s">
        <v>59</v>
      </c>
      <c r="C37" s="39" t="n">
        <f aca="false">C30+C31+C34+C35+C36+C45</f>
        <v>13.5867264456522</v>
      </c>
      <c r="D37" s="39" t="n">
        <f aca="false">D30+D31+D34+D35+D36+D45</f>
        <v>51.1289587608696</v>
      </c>
      <c r="E37" s="39" t="n">
        <f aca="false">E30+E31+E34+E35+E36+E45</f>
        <v>43.8367314545089</v>
      </c>
      <c r="F37" s="39" t="n">
        <f aca="false">F30+F31+F34+F35+F36+F45</f>
        <v>40.0798150108696</v>
      </c>
      <c r="G37" s="39" t="n">
        <f aca="false">G30+G31+G34+G35+G36+G45</f>
        <v>36.5861226018519</v>
      </c>
      <c r="I37" s="6" t="s">
        <v>1833</v>
      </c>
    </row>
    <row r="39" customFormat="false" ht="15" hidden="false" customHeight="false" outlineLevel="0" collapsed="false">
      <c r="A39" s="7" t="s">
        <v>1834</v>
      </c>
      <c r="B39" s="8"/>
      <c r="C39" s="8"/>
      <c r="D39" s="8"/>
      <c r="E39" s="8"/>
      <c r="F39" s="8"/>
      <c r="G39" s="8"/>
      <c r="H39" s="8"/>
    </row>
    <row r="40" customFormat="false" ht="15" hidden="false" customHeight="false" outlineLevel="1" collapsed="false">
      <c r="A40" s="14" t="s">
        <v>53</v>
      </c>
      <c r="B40" s="14" t="s">
        <v>54</v>
      </c>
      <c r="C40" s="28" t="s">
        <v>55</v>
      </c>
      <c r="D40" s="28" t="s">
        <v>56</v>
      </c>
      <c r="E40" s="28" t="s">
        <v>57</v>
      </c>
      <c r="F40" s="28" t="s">
        <v>139</v>
      </c>
      <c r="G40" s="28" t="s">
        <v>140</v>
      </c>
      <c r="I40" s="14" t="s">
        <v>808</v>
      </c>
    </row>
    <row r="41" customFormat="false" ht="15" hidden="false" customHeight="false" outlineLevel="1" collapsed="false">
      <c r="A41" s="3" t="s">
        <v>1835</v>
      </c>
      <c r="B41" s="11" t="s">
        <v>59</v>
      </c>
      <c r="C41" s="65" t="n">
        <f aca="false">0</f>
        <v>0</v>
      </c>
      <c r="D41" s="65" t="n">
        <f aca="false">C44</f>
        <v>0</v>
      </c>
      <c r="E41" s="65" t="n">
        <f aca="false">D44</f>
        <v>307.125</v>
      </c>
      <c r="F41" s="65" t="n">
        <f aca="false">E44</f>
        <v>276.4125</v>
      </c>
      <c r="G41" s="65" t="n">
        <f aca="false">F44</f>
        <v>245.7</v>
      </c>
    </row>
    <row r="42" customFormat="false" ht="15" hidden="false" customHeight="false" outlineLevel="1" collapsed="false">
      <c r="A42" s="3" t="s">
        <v>1836</v>
      </c>
      <c r="B42" s="11" t="s">
        <v>59</v>
      </c>
      <c r="C42" s="65" t="n">
        <f aca="false">IF(輸入與假設!$C$194=0,輸入與假設!$C$193,0)</f>
        <v>0</v>
      </c>
      <c r="D42" s="65" t="n">
        <f aca="false">IF(輸入與假設!$C$194=1,輸入與假設!$C$193,0)</f>
        <v>307.125</v>
      </c>
      <c r="E42" s="65" t="n">
        <f aca="false">IF(輸入與假設!$C$194=2,輸入與假設!$C$193,0)</f>
        <v>0</v>
      </c>
      <c r="F42" s="65" t="n">
        <f aca="false">IF(輸入與假設!$C$194=3,輸入與假設!$C$193,0)</f>
        <v>0</v>
      </c>
      <c r="G42" s="65" t="n">
        <f aca="false">IF(輸入與假設!$C$194=4,輸入與假設!$C$193,0)</f>
        <v>0</v>
      </c>
      <c r="I42" s="6" t="s">
        <v>1837</v>
      </c>
    </row>
    <row r="43" customFormat="false" ht="15" hidden="false" customHeight="false" outlineLevel="1" collapsed="false">
      <c r="A43" s="3" t="s">
        <v>1838</v>
      </c>
      <c r="B43" s="11" t="s">
        <v>59</v>
      </c>
      <c r="C43" s="65" t="n">
        <f aca="false">IF(輸入與假設!$C$194&lt;0,MIN(C41,輸入與假設!$C$193/輸入與假設!$C$196*輸入與假設!C$41),0)</f>
        <v>0</v>
      </c>
      <c r="D43" s="65" t="n">
        <f aca="false">IF(輸入與假設!$C$194&lt;1,MIN(D41,輸入與假設!$C$193/輸入與假設!$C$196*輸入與假設!D$41),0)</f>
        <v>0</v>
      </c>
      <c r="E43" s="65" t="n">
        <f aca="false">IF(輸入與假設!$C$194&lt;2,MIN(E41,輸入與假設!$C$193/輸入與假設!$C$196*輸入與假設!E$41),0)</f>
        <v>30.7125</v>
      </c>
      <c r="F43" s="65" t="n">
        <f aca="false">IF(輸入與假設!$C$194&lt;3,MIN(F41,輸入與假設!$C$193/輸入與假設!$C$196*輸入與假設!F$41),0)</f>
        <v>30.7125</v>
      </c>
      <c r="G43" s="65" t="n">
        <f aca="false">IF(輸入與假設!$C$194&lt;4,MIN(G41,輸入與假設!$C$193/輸入與假設!$C$196*輸入與假設!G$41),0)</f>
        <v>30.7125</v>
      </c>
      <c r="I43" s="6" t="s">
        <v>1839</v>
      </c>
    </row>
    <row r="44" customFormat="false" ht="15" hidden="false" customHeight="false" outlineLevel="1" collapsed="false">
      <c r="A44" s="2" t="s">
        <v>1840</v>
      </c>
      <c r="B44" s="11" t="s">
        <v>59</v>
      </c>
      <c r="C44" s="39" t="n">
        <f aca="false">C41+C42-C43</f>
        <v>0</v>
      </c>
      <c r="D44" s="39" t="n">
        <f aca="false">D41+D42-D43</f>
        <v>307.125</v>
      </c>
      <c r="E44" s="39" t="n">
        <f aca="false">E41+E42-E43</f>
        <v>276.4125</v>
      </c>
      <c r="F44" s="39" t="n">
        <f aca="false">F41+F42-F43</f>
        <v>245.7</v>
      </c>
      <c r="G44" s="39" t="n">
        <f aca="false">G41+G42-G43</f>
        <v>214.9875</v>
      </c>
    </row>
    <row r="45" customFormat="false" ht="15" hidden="false" customHeight="false" outlineLevel="1" collapsed="false">
      <c r="A45" s="3" t="s">
        <v>1841</v>
      </c>
      <c r="B45" s="11" t="s">
        <v>59</v>
      </c>
      <c r="C45" s="65" t="n">
        <f aca="false">輸入與假設!$C$195*(C41+C42+C44)/2*輸入與假設!C$41</f>
        <v>0</v>
      </c>
      <c r="D45" s="65" t="n">
        <f aca="false">輸入與假設!$C$195*(D41+D42+D44)/2*輸入與假設!D$41</f>
        <v>26.105625</v>
      </c>
      <c r="E45" s="65" t="n">
        <f aca="false">輸入與假設!$C$195*(E41+E42+E44)/2*輸入與假設!E$41</f>
        <v>24.80034375</v>
      </c>
      <c r="F45" s="65" t="n">
        <f aca="false">輸入與假設!$C$195*(F41+F42+F44)/2*輸入與假設!F$41</f>
        <v>22.18978125</v>
      </c>
      <c r="G45" s="65" t="n">
        <f aca="false">輸入與假設!$C$195*(G41+G42+G44)/2*輸入與假設!G$41</f>
        <v>19.57921875</v>
      </c>
      <c r="I45" s="6" t="s">
        <v>1842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1843</v>
      </c>
    </row>
    <row r="2" customFormat="false" ht="15" hidden="false" customHeight="false" outlineLevel="0" collapsed="false">
      <c r="A2" s="6" t="s">
        <v>1844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139</v>
      </c>
      <c r="G4" s="28" t="s">
        <v>140</v>
      </c>
      <c r="I4" s="14" t="s">
        <v>808</v>
      </c>
    </row>
    <row r="5" customFormat="false" ht="15" hidden="false" customHeight="false" outlineLevel="0" collapsed="false">
      <c r="A5" s="50" t="s">
        <v>424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1845</v>
      </c>
      <c r="B6" s="11" t="s">
        <v>59</v>
      </c>
      <c r="C6" s="65" t="n">
        <f aca="false">輸入與假設!$C$185</f>
        <v>56.056</v>
      </c>
      <c r="D6" s="65" t="n">
        <f aca="false">各期收支!C54</f>
        <v>153.176687226991</v>
      </c>
      <c r="E6" s="65" t="n">
        <f aca="false">各期收支!D54</f>
        <v>30.0000000000001</v>
      </c>
      <c r="F6" s="65" t="n">
        <f aca="false">各期收支!E54</f>
        <v>30.0000000000001</v>
      </c>
      <c r="G6" s="65" t="n">
        <f aca="false">各期收支!F54</f>
        <v>30.0000000000001</v>
      </c>
      <c r="I6" s="11" t="s">
        <v>1846</v>
      </c>
    </row>
    <row r="7" customFormat="false" ht="15" hidden="false" customHeight="false" outlineLevel="1" collapsed="false">
      <c r="A7" s="3" t="s">
        <v>1847</v>
      </c>
      <c r="B7" s="11" t="s">
        <v>59</v>
      </c>
      <c r="C7" s="65" t="n">
        <f aca="false">各期收支!C97-輸入與假設!$C$185</f>
        <v>97.1206872269914</v>
      </c>
      <c r="D7" s="65" t="n">
        <f aca="false">各期收支!D97-各期收支!C97</f>
        <v>-471.26187104379</v>
      </c>
      <c r="E7" s="65" t="n">
        <f aca="false">各期收支!E97-各期收支!D97</f>
        <v>-70.7587297865126</v>
      </c>
      <c r="F7" s="65" t="n">
        <f aca="false">各期收支!F97-各期收支!E97</f>
        <v>-41.5830841220736</v>
      </c>
      <c r="G7" s="65" t="n">
        <f aca="false">各期收支!G97-各期收支!F97</f>
        <v>-35.8644215306221</v>
      </c>
      <c r="I7" s="6" t="s">
        <v>1848</v>
      </c>
    </row>
    <row r="8" customFormat="false" ht="15" hidden="false" customHeight="false" outlineLevel="1" collapsed="false">
      <c r="A8" s="3" t="s">
        <v>1849</v>
      </c>
      <c r="B8" s="11" t="s">
        <v>59</v>
      </c>
      <c r="C8" s="65" t="n">
        <f aca="false">各期收支!C80</f>
        <v>0</v>
      </c>
      <c r="D8" s="65" t="n">
        <f aca="false">各期收支!D80</f>
        <v>20</v>
      </c>
      <c r="E8" s="65" t="n">
        <f aca="false">各期收支!E80</f>
        <v>0</v>
      </c>
      <c r="F8" s="65" t="n">
        <f aca="false">各期收支!F80</f>
        <v>53.5704438578771</v>
      </c>
      <c r="G8" s="65" t="n">
        <f aca="false">各期收支!G80</f>
        <v>52.8748964269896</v>
      </c>
    </row>
    <row r="9" customFormat="false" ht="15" hidden="false" customHeight="false" outlineLevel="1" collapsed="false">
      <c r="A9" s="3" t="s">
        <v>1850</v>
      </c>
      <c r="B9" s="11" t="s">
        <v>59</v>
      </c>
      <c r="C9" s="65" t="n">
        <f aca="false">各期收支!C83</f>
        <v>0</v>
      </c>
      <c r="D9" s="65" t="n">
        <f aca="false">各期收支!D83</f>
        <v>24.0633513861034</v>
      </c>
      <c r="E9" s="65" t="n">
        <f aca="false">各期收支!E83</f>
        <v>75.9</v>
      </c>
      <c r="F9" s="65" t="n">
        <f aca="false">各期收支!F83</f>
        <v>0</v>
      </c>
      <c r="G9" s="65" t="n">
        <f aca="false">各期收支!G83</f>
        <v>0</v>
      </c>
    </row>
    <row r="10" customFormat="false" ht="15" hidden="false" customHeight="false" outlineLevel="1" collapsed="false">
      <c r="A10" s="3" t="s">
        <v>1851</v>
      </c>
      <c r="B10" s="11" t="s">
        <v>59</v>
      </c>
      <c r="C10" s="65" t="n">
        <f aca="false">各期收支!C87</f>
        <v>0</v>
      </c>
      <c r="D10" s="65" t="n">
        <f aca="false">各期收支!D87</f>
        <v>0</v>
      </c>
      <c r="E10" s="65" t="n">
        <f aca="false">各期收支!E87</f>
        <v>0</v>
      </c>
      <c r="F10" s="65" t="n">
        <f aca="false">各期收支!F87</f>
        <v>0</v>
      </c>
      <c r="G10" s="65" t="n">
        <f aca="false">各期收支!G87</f>
        <v>0</v>
      </c>
    </row>
    <row r="11" customFormat="false" ht="15" hidden="false" customHeight="false" outlineLevel="1" collapsed="false">
      <c r="A11" s="3" t="s">
        <v>1852</v>
      </c>
      <c r="B11" s="11" t="s">
        <v>59</v>
      </c>
      <c r="C11" s="65" t="n">
        <f aca="false">各期收支!C86</f>
        <v>0</v>
      </c>
      <c r="D11" s="65" t="n">
        <f aca="false">各期收支!D86</f>
        <v>0</v>
      </c>
      <c r="E11" s="65" t="n">
        <f aca="false">各期收支!E86</f>
        <v>1.7568973558177</v>
      </c>
      <c r="F11" s="65" t="n">
        <f aca="false">各期收支!F86</f>
        <v>0</v>
      </c>
      <c r="G11" s="65" t="n">
        <f aca="false">各期收支!G86</f>
        <v>0</v>
      </c>
    </row>
    <row r="12" customFormat="false" ht="15" hidden="false" customHeight="false" outlineLevel="1" collapsed="false">
      <c r="A12" s="3" t="s">
        <v>1853</v>
      </c>
      <c r="B12" s="11" t="s">
        <v>59</v>
      </c>
      <c r="C12" s="65" t="n">
        <f aca="false">各期收支!C44</f>
        <v>0</v>
      </c>
      <c r="D12" s="65" t="n">
        <f aca="false">各期收支!D44</f>
        <v>307.125</v>
      </c>
      <c r="E12" s="65" t="n">
        <f aca="false">各期收支!E44</f>
        <v>0</v>
      </c>
      <c r="F12" s="65" t="n">
        <f aca="false">各期收支!F44</f>
        <v>0</v>
      </c>
      <c r="G12" s="65" t="n">
        <f aca="false">各期收支!G44</f>
        <v>0</v>
      </c>
    </row>
    <row r="13" customFormat="false" ht="15" hidden="false" customHeight="false" outlineLevel="1" collapsed="false">
      <c r="A13" s="3" t="s">
        <v>1854</v>
      </c>
      <c r="B13" s="11" t="s">
        <v>59</v>
      </c>
      <c r="C13" s="65" t="n">
        <f aca="false">-各期收支!C88</f>
        <v>-0</v>
      </c>
      <c r="D13" s="65" t="n">
        <f aca="false">-各期收支!D88</f>
        <v>-3.10316756930517</v>
      </c>
      <c r="E13" s="65" t="n">
        <f aca="false">-各期收支!E88</f>
        <v>-6.89816756930517</v>
      </c>
      <c r="F13" s="65" t="n">
        <f aca="false">-各期收支!F88</f>
        <v>-11.9873597358035</v>
      </c>
      <c r="G13" s="65" t="n">
        <f aca="false">-各期收支!G88</f>
        <v>-17.0104748963675</v>
      </c>
    </row>
    <row r="14" customFormat="false" ht="15" hidden="false" customHeight="false" outlineLevel="1" collapsed="false">
      <c r="A14" s="2" t="s">
        <v>1855</v>
      </c>
      <c r="B14" s="11" t="s">
        <v>59</v>
      </c>
      <c r="C14" s="39" t="n">
        <f aca="false">SUM(C6:C13)</f>
        <v>153.176687226991</v>
      </c>
      <c r="D14" s="39" t="n">
        <f aca="false">SUM(D6:D13)</f>
        <v>30</v>
      </c>
      <c r="E14" s="39" t="n">
        <f aca="false">SUM(E6:E13)</f>
        <v>30</v>
      </c>
      <c r="F14" s="39" t="n">
        <f aca="false">SUM(F6:F13)</f>
        <v>30</v>
      </c>
      <c r="G14" s="39" t="n">
        <f aca="false">SUM(G6:G13)</f>
        <v>30</v>
      </c>
      <c r="I14" s="6" t="s">
        <v>1856</v>
      </c>
    </row>
    <row r="15" customFormat="false" ht="15" hidden="false" customHeight="false" outlineLevel="1" collapsed="false">
      <c r="A15" s="3" t="s">
        <v>1857</v>
      </c>
      <c r="B15" s="11" t="s">
        <v>59</v>
      </c>
      <c r="C15" s="65" t="n">
        <f aca="false">C14-各期收支!C54</f>
        <v>0</v>
      </c>
      <c r="D15" s="65" t="n">
        <f aca="false">D14-各期收支!D54</f>
        <v>0</v>
      </c>
      <c r="E15" s="65" t="n">
        <f aca="false">E14-各期收支!E54</f>
        <v>0</v>
      </c>
      <c r="F15" s="65" t="n">
        <f aca="false">F14-各期收支!F54</f>
        <v>0</v>
      </c>
      <c r="G15" s="65" t="n">
        <f aca="false">G14-各期收支!G54</f>
        <v>0</v>
      </c>
      <c r="I15" s="6" t="s">
        <v>1858</v>
      </c>
    </row>
    <row r="16" customFormat="false" ht="15" hidden="false" customHeight="false" outlineLevel="0" collapsed="false">
      <c r="A16" s="50" t="s">
        <v>1859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1860</v>
      </c>
      <c r="B17" s="11" t="s">
        <v>59</v>
      </c>
      <c r="C17" s="65" t="n">
        <f aca="false">資產負債_既有債務!$E$8+SUMPRODUCT((1-資產負債_既有債務!$F$20:$F$21)*資產負債_既有債務!$C$20:$C$21)</f>
        <v>466.05</v>
      </c>
      <c r="D17" s="65" t="n">
        <f aca="false">C20</f>
        <v>460.677</v>
      </c>
      <c r="E17" s="65" t="n">
        <f aca="false">D20</f>
        <v>677.055</v>
      </c>
      <c r="F17" s="65" t="n">
        <f aca="false">E20</f>
        <v>640.0955</v>
      </c>
      <c r="G17" s="65" t="n">
        <f aca="false">F20</f>
        <v>588.424</v>
      </c>
      <c r="I17" s="11" t="s">
        <v>1861</v>
      </c>
    </row>
    <row r="18" customFormat="false" ht="15" hidden="false" customHeight="false" outlineLevel="1" collapsed="false">
      <c r="A18" s="3" t="s">
        <v>1862</v>
      </c>
      <c r="B18" s="11" t="s">
        <v>59</v>
      </c>
      <c r="C18" s="65" t="n">
        <f aca="false">-IF(輸入與假設!$C$197=1,輸入與假設!C$223,0)-資產負債_既有債務!C32</f>
        <v>-5.373</v>
      </c>
      <c r="D18" s="65" t="n">
        <f aca="false">-IF(輸入與假設!$C$197=1,輸入與假設!D$223,0)-資產負債_既有債務!D32</f>
        <v>-90.747</v>
      </c>
      <c r="E18" s="65" t="n">
        <f aca="false">-IF(輸入與假設!$C$197=1,輸入與假設!E$223,0)-資產負債_既有債務!E32</f>
        <v>-6.247</v>
      </c>
      <c r="F18" s="65" t="n">
        <f aca="false">-IF(輸入與假設!$C$197=1,輸入與假設!F$223,0)-資產負債_既有債務!F32</f>
        <v>-20.959</v>
      </c>
      <c r="G18" s="65" t="n">
        <f aca="false">-IF(輸入與假設!$C$197=1,輸入與假設!G$223,0)-資產負債_既有債務!G32</f>
        <v>-0</v>
      </c>
    </row>
    <row r="19" customFormat="false" ht="15" hidden="false" customHeight="false" outlineLevel="1" collapsed="false">
      <c r="A19" s="3" t="s">
        <v>1863</v>
      </c>
      <c r="B19" s="11" t="s">
        <v>59</v>
      </c>
      <c r="C19" s="65" t="n">
        <f aca="false">資產負債_既有債務!C42-資產負債_既有債務!C43</f>
        <v>0</v>
      </c>
      <c r="D19" s="65" t="n">
        <f aca="false">資產負債_既有債務!D42-資產負債_既有債務!D43</f>
        <v>307.125</v>
      </c>
      <c r="E19" s="65" t="n">
        <f aca="false">資產負債_既有債務!E42-資產負債_既有債務!E43</f>
        <v>-30.7125</v>
      </c>
      <c r="F19" s="65" t="n">
        <f aca="false">資產負債_既有債務!F42-資產負債_既有債務!F43</f>
        <v>-30.7125</v>
      </c>
      <c r="G19" s="65" t="n">
        <f aca="false">資產負債_既有債務!G42-資產負債_既有債務!G43</f>
        <v>-30.7125</v>
      </c>
      <c r="I19" s="6" t="s">
        <v>1864</v>
      </c>
    </row>
    <row r="20" customFormat="false" ht="15" hidden="false" customHeight="false" outlineLevel="1" collapsed="false">
      <c r="A20" s="3" t="s">
        <v>1865</v>
      </c>
      <c r="B20" s="11" t="s">
        <v>59</v>
      </c>
      <c r="C20" s="65" t="n">
        <f aca="false">各期收支!C76-0</f>
        <v>460.677</v>
      </c>
      <c r="D20" s="65" t="n">
        <f aca="false">各期收支!D76-0</f>
        <v>677.055</v>
      </c>
      <c r="E20" s="65" t="n">
        <f aca="false">各期收支!E76-0</f>
        <v>640.0955</v>
      </c>
      <c r="F20" s="65" t="n">
        <f aca="false">各期收支!F76-0</f>
        <v>588.424</v>
      </c>
      <c r="G20" s="65" t="n">
        <f aca="false">各期收支!G76-0</f>
        <v>557.7115</v>
      </c>
      <c r="I20" s="6" t="s">
        <v>1866</v>
      </c>
    </row>
    <row r="21" customFormat="false" ht="15" hidden="false" customHeight="false" outlineLevel="1" collapsed="false">
      <c r="A21" s="3" t="s">
        <v>1867</v>
      </c>
      <c r="B21" s="11" t="s">
        <v>59</v>
      </c>
      <c r="C21" s="65" t="n">
        <f aca="false">0</f>
        <v>0</v>
      </c>
      <c r="D21" s="65" t="n">
        <f aca="false">0</f>
        <v>0</v>
      </c>
      <c r="E21" s="65" t="n">
        <f aca="false">0</f>
        <v>0</v>
      </c>
      <c r="F21" s="65" t="n">
        <f aca="false">0</f>
        <v>0</v>
      </c>
      <c r="G21" s="65" t="n">
        <f aca="false">0</f>
        <v>0</v>
      </c>
    </row>
    <row r="22" customFormat="false" ht="15" hidden="false" customHeight="false" outlineLevel="1" collapsed="false">
      <c r="A22" s="3" t="s">
        <v>1868</v>
      </c>
      <c r="B22" s="11" t="s">
        <v>59</v>
      </c>
      <c r="C22" s="65" t="n">
        <f aca="false">各期收支!C92</f>
        <v>0</v>
      </c>
      <c r="D22" s="65" t="n">
        <f aca="false">各期收支!D92</f>
        <v>20</v>
      </c>
      <c r="E22" s="65" t="n">
        <f aca="false">各期收支!E92</f>
        <v>20</v>
      </c>
      <c r="F22" s="65" t="n">
        <f aca="false">各期收支!F92</f>
        <v>73.5704438578771</v>
      </c>
      <c r="G22" s="65" t="n">
        <f aca="false">各期收支!G92</f>
        <v>126.445340284867</v>
      </c>
    </row>
    <row r="23" customFormat="false" ht="15" hidden="false" customHeight="false" outlineLevel="1" collapsed="false">
      <c r="A23" s="3" t="s">
        <v>1869</v>
      </c>
      <c r="B23" s="11" t="s">
        <v>59</v>
      </c>
      <c r="C23" s="65" t="n">
        <f aca="false">各期收支!C95</f>
        <v>0</v>
      </c>
      <c r="D23" s="65" t="n">
        <f aca="false">各期收支!D95</f>
        <v>24.0633513861034</v>
      </c>
      <c r="E23" s="65" t="n">
        <f aca="false">各期收支!E95</f>
        <v>99.9633513861034</v>
      </c>
      <c r="F23" s="65" t="n">
        <f aca="false">各期收支!F95</f>
        <v>99.9633513861034</v>
      </c>
      <c r="G23" s="65" t="n">
        <f aca="false">各期收支!G95</f>
        <v>99.9633513861034</v>
      </c>
    </row>
    <row r="24" customFormat="false" ht="15" hidden="false" customHeight="false" outlineLevel="1" collapsed="false">
      <c r="A24" s="3" t="s">
        <v>1870</v>
      </c>
      <c r="B24" s="11" t="s">
        <v>59</v>
      </c>
      <c r="C24" s="65" t="n">
        <f aca="false">各期收支!C94</f>
        <v>0</v>
      </c>
      <c r="D24" s="65" t="n">
        <f aca="false">各期收支!D94</f>
        <v>0</v>
      </c>
      <c r="E24" s="65" t="n">
        <f aca="false">各期收支!E94</f>
        <v>0</v>
      </c>
      <c r="F24" s="65" t="n">
        <f aca="false">各期收支!F94</f>
        <v>0</v>
      </c>
      <c r="G24" s="65" t="n">
        <f aca="false">各期收支!G94</f>
        <v>0</v>
      </c>
    </row>
    <row r="25" customFormat="false" ht="15" hidden="false" customHeight="false" outlineLevel="1" collapsed="false">
      <c r="A25" s="2" t="s">
        <v>1871</v>
      </c>
      <c r="B25" s="11" t="s">
        <v>59</v>
      </c>
      <c r="C25" s="39" t="n">
        <f aca="false">SUM(C20:C24)</f>
        <v>460.677</v>
      </c>
      <c r="D25" s="39" t="n">
        <f aca="false">SUM(D20:D24)</f>
        <v>721.118351386103</v>
      </c>
      <c r="E25" s="39" t="n">
        <f aca="false">SUM(E20:E24)</f>
        <v>760.058851386104</v>
      </c>
      <c r="F25" s="39" t="n">
        <f aca="false">SUM(F20:F24)</f>
        <v>761.957795243981</v>
      </c>
      <c r="G25" s="39" t="n">
        <f aca="false">SUM(G20:G24)</f>
        <v>784.12019167097</v>
      </c>
      <c r="I25" s="6" t="s">
        <v>1872</v>
      </c>
    </row>
    <row r="26" customFormat="false" ht="15" hidden="false" customHeight="false" outlineLevel="1" collapsed="false">
      <c r="A26" s="2" t="s">
        <v>1873</v>
      </c>
      <c r="B26" s="11" t="s">
        <v>59</v>
      </c>
      <c r="C26" s="39" t="n">
        <f aca="false">C25-C14</f>
        <v>307.500312773009</v>
      </c>
      <c r="D26" s="39" t="n">
        <f aca="false">D25-D14</f>
        <v>691.118351386103</v>
      </c>
      <c r="E26" s="39" t="n">
        <f aca="false">E25-E14</f>
        <v>730.058851386104</v>
      </c>
      <c r="F26" s="39" t="n">
        <f aca="false">F25-F14</f>
        <v>731.957795243981</v>
      </c>
      <c r="G26" s="39" t="n">
        <f aca="false">G25-G14</f>
        <v>754.12019167097</v>
      </c>
    </row>
    <row r="27" customFormat="false" ht="15" hidden="false" customHeight="false" outlineLevel="0" collapsed="false">
      <c r="A27" s="50" t="s">
        <v>1874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3" t="s">
        <v>1875</v>
      </c>
      <c r="B28" s="11" t="s">
        <v>476</v>
      </c>
      <c r="C28" s="54" t="n">
        <f aca="false">損益!C23</f>
        <v>39.33849</v>
      </c>
      <c r="D28" s="54" t="n">
        <f aca="false">損益!D23</f>
        <v>39.7318749</v>
      </c>
      <c r="E28" s="54" t="n">
        <f aca="false">損益!E23</f>
        <v>40.129193649</v>
      </c>
      <c r="F28" s="54" t="n">
        <f aca="false">損益!F23</f>
        <v>40.53048558549</v>
      </c>
      <c r="G28" s="54" t="n">
        <f aca="false">損益!G23</f>
        <v>40.9357904413449</v>
      </c>
    </row>
    <row r="29" customFormat="false" ht="15" hidden="false" customHeight="false" outlineLevel="1" collapsed="false">
      <c r="A29" s="3" t="s">
        <v>1876</v>
      </c>
      <c r="B29" s="11" t="s">
        <v>476</v>
      </c>
      <c r="C29" s="54" t="n">
        <f aca="false">各期收支!C90</f>
        <v>0</v>
      </c>
      <c r="D29" s="54" t="n">
        <f aca="false">各期收支!D90</f>
        <v>0</v>
      </c>
      <c r="E29" s="54" t="n">
        <f aca="false">各期收支!E90</f>
        <v>0.11598979044152</v>
      </c>
      <c r="F29" s="54" t="n">
        <f aca="false">各期收支!F90</f>
        <v>0</v>
      </c>
      <c r="G29" s="54" t="n">
        <f aca="false">各期收支!G90</f>
        <v>0</v>
      </c>
    </row>
    <row r="30" customFormat="false" ht="15" hidden="false" customHeight="false" outlineLevel="1" collapsed="false">
      <c r="A30" s="2" t="s">
        <v>1877</v>
      </c>
      <c r="B30" s="11" t="s">
        <v>476</v>
      </c>
      <c r="C30" s="55" t="n">
        <f aca="false">損益!C24</f>
        <v>39.33849</v>
      </c>
      <c r="D30" s="55" t="n">
        <f aca="false">損益!D24</f>
        <v>39.7318749</v>
      </c>
      <c r="E30" s="55" t="n">
        <f aca="false">損益!E24</f>
        <v>40.2451834394415</v>
      </c>
      <c r="F30" s="55" t="n">
        <f aca="false">損益!F24</f>
        <v>40.6464753759315</v>
      </c>
      <c r="G30" s="55" t="n">
        <f aca="false">損益!G24</f>
        <v>41.0517802317864</v>
      </c>
      <c r="I30" s="6" t="s">
        <v>1878</v>
      </c>
    </row>
    <row r="31" customFormat="false" ht="15" hidden="false" customHeight="false" outlineLevel="0" collapsed="false">
      <c r="A31" s="50" t="s">
        <v>1879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3" t="s">
        <v>919</v>
      </c>
      <c r="B32" s="11" t="s">
        <v>59</v>
      </c>
      <c r="C32" s="65" t="n">
        <f aca="false">各期收支!C75</f>
        <v>112.552987287805</v>
      </c>
      <c r="D32" s="65" t="n">
        <f aca="false">各期收支!D75</f>
        <v>165.079413387892</v>
      </c>
      <c r="E32" s="65" t="n">
        <f aca="false">各期收支!E75</f>
        <v>254.67805551625</v>
      </c>
      <c r="F32" s="65" t="n">
        <f aca="false">各期收支!F75</f>
        <v>181.490786064227</v>
      </c>
      <c r="G32" s="65" t="n">
        <f aca="false">各期收支!G75</f>
        <v>31.7996836047241</v>
      </c>
    </row>
    <row r="33" customFormat="false" ht="15" hidden="false" customHeight="false" outlineLevel="1" collapsed="false">
      <c r="A33" s="3" t="s">
        <v>1880</v>
      </c>
      <c r="B33" s="11" t="s">
        <v>59</v>
      </c>
      <c r="C33" s="65" t="n">
        <f aca="false">各期收支!C77</f>
        <v>86.0299609982908</v>
      </c>
      <c r="D33" s="65" t="n">
        <f aca="false">各期收支!D77</f>
        <v>141.352970221995</v>
      </c>
      <c r="E33" s="65" t="n">
        <f aca="false">各期收支!E77</f>
        <v>402.891297693502</v>
      </c>
      <c r="F33" s="65" t="n">
        <f aca="false">各期收支!F77</f>
        <v>610.717687799457</v>
      </c>
      <c r="G33" s="65" t="n">
        <f aca="false">各期收支!G77</f>
        <v>830.055549326561</v>
      </c>
    </row>
    <row r="34" customFormat="false" ht="15" hidden="false" customHeight="false" outlineLevel="1" collapsed="false">
      <c r="A34" s="3" t="s">
        <v>1881</v>
      </c>
      <c r="B34" s="11" t="s">
        <v>96</v>
      </c>
      <c r="C34" s="88" t="n">
        <f aca="false">C25/MAX(10,C32)</f>
        <v>4.09297888133365</v>
      </c>
      <c r="D34" s="88" t="n">
        <f aca="false">D25/MAX(10,D32)</f>
        <v>4.36831181179248</v>
      </c>
      <c r="E34" s="88" t="n">
        <f aca="false">E25/MAX(10,E32)</f>
        <v>2.98439082175891</v>
      </c>
      <c r="F34" s="88" t="n">
        <f aca="false">F25/MAX(10,F32)</f>
        <v>4.19832770449478</v>
      </c>
      <c r="G34" s="88" t="n">
        <f aca="false">G25/MAX(10,G32)</f>
        <v>24.6581129994162</v>
      </c>
      <c r="I34" s="6" t="s">
        <v>1882</v>
      </c>
    </row>
    <row r="35" customFormat="false" ht="15" hidden="false" customHeight="false" outlineLevel="1" collapsed="false">
      <c r="A35" s="3" t="s">
        <v>1883</v>
      </c>
      <c r="B35" s="11" t="s">
        <v>96</v>
      </c>
      <c r="C35" s="45" t="n">
        <f aca="false">C25/MAX(10,損益!C22/輸入與假設!C$41)</f>
        <v>26.7742188101859</v>
      </c>
      <c r="D35" s="45" t="n">
        <f aca="false">D25/MAX(10,損益!D22/輸入與假設!D$41)</f>
        <v>25.5077183823441</v>
      </c>
      <c r="E35" s="45" t="n">
        <f aca="false">E25/MAX(10,損益!E22/輸入與假設!E$41)</f>
        <v>9.43255483225051</v>
      </c>
      <c r="F35" s="45" t="n">
        <f aca="false">F25/MAX(10,損益!F22/輸入與假設!F$41)</f>
        <v>6.23821620419635</v>
      </c>
      <c r="G35" s="45" t="n">
        <f aca="false">G25/MAX(10,損益!G22/輸入與假設!G$41)</f>
        <v>4.72329949668514</v>
      </c>
      <c r="I35" s="11" t="s">
        <v>1884</v>
      </c>
    </row>
    <row r="36" customFormat="false" ht="15" hidden="false" customHeight="false" outlineLevel="1" collapsed="false">
      <c r="A36" s="3" t="s">
        <v>1885</v>
      </c>
      <c r="B36" s="11" t="s">
        <v>59</v>
      </c>
      <c r="C36" s="65" t="n">
        <f aca="false">各期收支!C61</f>
        <v>21.6573135238173</v>
      </c>
      <c r="D36" s="65" t="n">
        <f aca="false">各期收支!D61</f>
        <v>23.7480966450241</v>
      </c>
      <c r="E36" s="65" t="n">
        <f aca="false">各期收支!E61</f>
        <v>18.8995804224211</v>
      </c>
      <c r="F36" s="65" t="n">
        <f aca="false">各期收支!F61</f>
        <v>13.8161856836829</v>
      </c>
      <c r="G36" s="65" t="n">
        <f aca="false">各期收支!G61</f>
        <v>8.25467284722946</v>
      </c>
      <c r="I36" s="6" t="s">
        <v>1886</v>
      </c>
    </row>
    <row r="37" customFormat="false" ht="15" hidden="false" customHeight="false" outlineLevel="1" collapsed="false">
      <c r="A37" s="4" t="s">
        <v>1887</v>
      </c>
      <c r="B37" s="11" t="s">
        <v>59</v>
      </c>
      <c r="C37" s="65" t="n">
        <f aca="false">(損益!C22+各期收支!C17)/輸入與假設!C$41</f>
        <v>38.4380819859133</v>
      </c>
      <c r="D37" s="65" t="n">
        <f aca="false">(損益!D22+各期收支!D17)/輸入與假設!D$41</f>
        <v>69.7163586435509</v>
      </c>
      <c r="E37" s="65" t="n">
        <f aca="false">(損益!E22+各期收支!E17)/輸入與假設!E$41</f>
        <v>132.737824119102</v>
      </c>
      <c r="F37" s="65" t="n">
        <f aca="false">(損益!F22+各期收支!F17)/輸入與假設!F$41</f>
        <v>188.302946332073</v>
      </c>
      <c r="G37" s="65" t="n">
        <f aca="false">(損益!G22+各期收支!G17)/輸入與假設!G$41</f>
        <v>244.338207109715</v>
      </c>
    </row>
    <row r="38" customFormat="false" ht="15" hidden="false" customHeight="false" outlineLevel="1" collapsed="false">
      <c r="A38" s="2" t="s">
        <v>1888</v>
      </c>
      <c r="B38" s="11" t="s">
        <v>96</v>
      </c>
      <c r="C38" s="89" t="n">
        <f aca="false">(C25+C36)/MAX(10,C37)</f>
        <v>12.5483449902777</v>
      </c>
      <c r="D38" s="89" t="n">
        <f aca="false">(D25+D36)/MAX(10,D37)</f>
        <v>10.6842420132629</v>
      </c>
      <c r="E38" s="89" t="n">
        <f aca="false">(E25+E36)/MAX(10,E37)</f>
        <v>5.86839837836717</v>
      </c>
      <c r="F38" s="89" t="n">
        <f aca="false">(F25+F36)/MAX(10,F37)</f>
        <v>4.11981860103019</v>
      </c>
      <c r="G38" s="89" t="n">
        <f aca="false">(G25+G36)/MAX(10,G37)</f>
        <v>3.24294294327206</v>
      </c>
      <c r="I38" s="11" t="s">
        <v>1889</v>
      </c>
    </row>
    <row r="39" customFormat="false" ht="15" hidden="false" customHeight="false" outlineLevel="1" collapsed="false">
      <c r="A39" s="3" t="s">
        <v>1890</v>
      </c>
      <c r="B39" s="11" t="s">
        <v>96</v>
      </c>
      <c r="C39" s="88" t="n">
        <f aca="false">輸入與假設!$C$200-C38</f>
        <v>-7.54834499027766</v>
      </c>
      <c r="D39" s="88" t="n">
        <f aca="false">輸入與假設!$C$200-D38</f>
        <v>-5.68424201326286</v>
      </c>
      <c r="E39" s="88" t="n">
        <f aca="false">輸入與假設!$C$200-E38</f>
        <v>-0.868398378367169</v>
      </c>
      <c r="F39" s="88" t="n">
        <f aca="false">輸入與假設!$C$200-F38</f>
        <v>0.880181398969815</v>
      </c>
      <c r="G39" s="88" t="n">
        <f aca="false">輸入與假設!$C$200-G38</f>
        <v>1.75705705672794</v>
      </c>
      <c r="I39" s="6" t="s">
        <v>1891</v>
      </c>
    </row>
    <row r="40" customFormat="false" ht="15" hidden="false" customHeight="false" outlineLevel="1" collapsed="false">
      <c r="A40" s="3" t="s">
        <v>1883</v>
      </c>
      <c r="B40" s="11" t="s">
        <v>96</v>
      </c>
      <c r="C40" s="88" t="n">
        <f aca="false">C25/MAX(10,C37-各期收支!C17/運營_產能與收入!C7)</f>
        <v>26.7742188101859</v>
      </c>
      <c r="D40" s="88" t="n">
        <f aca="false">D25/MAX(10,D37-各期收支!D17/運營_產能與收入!D7)</f>
        <v>25.5077183823441</v>
      </c>
      <c r="E40" s="88" t="n">
        <f aca="false">E25/MAX(10,E37-各期收支!E17/運營_產能與收入!E7)</f>
        <v>9.43255483225051</v>
      </c>
      <c r="F40" s="88" t="n">
        <f aca="false">F25/MAX(10,F37-各期收支!F17/運營_產能與收入!F7)</f>
        <v>6.23821620419635</v>
      </c>
      <c r="G40" s="88" t="n">
        <f aca="false">G25/MAX(10,G37-各期收支!G17/運營_產能與收入!G7)</f>
        <v>4.72329949668514</v>
      </c>
      <c r="I40" s="6" t="s">
        <v>1892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19.4" hidden="false" customHeight="false" outlineLevel="0" collapsed="false">
      <c r="A1" s="5" t="s">
        <v>1893</v>
      </c>
    </row>
    <row r="2" customFormat="false" ht="15" hidden="false" customHeight="false" outlineLevel="0" collapsed="false">
      <c r="A2" s="6" t="s">
        <v>1894</v>
      </c>
    </row>
    <row r="4" customFormat="false" ht="15" hidden="false" customHeight="false" outlineLevel="0" collapsed="false">
      <c r="A4" s="2" t="s">
        <v>1895</v>
      </c>
    </row>
    <row r="5" customFormat="false" ht="15" hidden="false" customHeight="false" outlineLevel="0" collapsed="false">
      <c r="A5" s="14" t="s">
        <v>53</v>
      </c>
      <c r="B5" s="14" t="s">
        <v>54</v>
      </c>
      <c r="C5" s="15" t="s">
        <v>1896</v>
      </c>
      <c r="D5" s="15" t="s">
        <v>1897</v>
      </c>
      <c r="E5" s="15" t="s">
        <v>1898</v>
      </c>
      <c r="F5" s="15" t="s">
        <v>1899</v>
      </c>
      <c r="G5" s="15" t="s">
        <v>1900</v>
      </c>
      <c r="H5" s="14" t="s">
        <v>1901</v>
      </c>
    </row>
    <row r="6" customFormat="false" ht="15" hidden="false" customHeight="false" outlineLevel="0" collapsed="false">
      <c r="A6" s="3" t="s">
        <v>1902</v>
      </c>
      <c r="B6" s="11" t="s">
        <v>59</v>
      </c>
      <c r="C6" s="25" t="n">
        <v>3.268</v>
      </c>
      <c r="D6" s="25" t="n">
        <v>4.28</v>
      </c>
      <c r="E6" s="25" t="n">
        <v>2.465</v>
      </c>
      <c r="F6" s="25" t="n">
        <v>2.304</v>
      </c>
      <c r="G6" s="25" t="n">
        <v>2.358</v>
      </c>
      <c r="H6" s="25" t="n">
        <v>5.76</v>
      </c>
    </row>
    <row r="7" customFormat="false" ht="15" hidden="false" customHeight="false" outlineLevel="0" collapsed="false">
      <c r="A7" s="3" t="s">
        <v>1903</v>
      </c>
      <c r="B7" s="11" t="s">
        <v>59</v>
      </c>
      <c r="C7" s="25" t="n">
        <v>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</row>
    <row r="8" customFormat="false" ht="15" hidden="false" customHeight="false" outlineLevel="0" collapsed="false">
      <c r="A8" s="2" t="s">
        <v>1904</v>
      </c>
      <c r="C8" s="57" t="n">
        <f aca="false">SUM(C6:C7)</f>
        <v>3.268</v>
      </c>
      <c r="D8" s="57" t="n">
        <f aca="false">SUM(D6:D7)</f>
        <v>4.28</v>
      </c>
      <c r="E8" s="57" t="n">
        <f aca="false">SUM(E6:E7)</f>
        <v>2.465</v>
      </c>
      <c r="F8" s="57" t="n">
        <f aca="false">SUM(F6:F7)</f>
        <v>2.304</v>
      </c>
      <c r="G8" s="57" t="n">
        <f aca="false">SUM(G6:G7)</f>
        <v>2.358</v>
      </c>
      <c r="H8" s="57" t="n">
        <f aca="false">SUM(H6:H7)</f>
        <v>5.76</v>
      </c>
      <c r="I8" s="6" t="s">
        <v>1905</v>
      </c>
    </row>
    <row r="10" customFormat="false" ht="15" hidden="false" customHeight="false" outlineLevel="0" collapsed="false">
      <c r="A10" s="2" t="s">
        <v>1906</v>
      </c>
    </row>
    <row r="11" customFormat="false" ht="15" hidden="false" customHeight="false" outlineLevel="0" collapsed="false">
      <c r="A11" s="14" t="s">
        <v>53</v>
      </c>
      <c r="B11" s="14" t="s">
        <v>54</v>
      </c>
      <c r="C11" s="15" t="s">
        <v>1896</v>
      </c>
      <c r="D11" s="15" t="s">
        <v>1897</v>
      </c>
      <c r="E11" s="15" t="s">
        <v>1898</v>
      </c>
      <c r="F11" s="15" t="s">
        <v>1899</v>
      </c>
      <c r="G11" s="15" t="s">
        <v>1900</v>
      </c>
      <c r="H11" s="14" t="s">
        <v>1901</v>
      </c>
    </row>
    <row r="12" customFormat="false" ht="15" hidden="false" customHeight="false" outlineLevel="0" collapsed="false">
      <c r="A12" s="3" t="s">
        <v>1907</v>
      </c>
      <c r="B12" s="11" t="s">
        <v>59</v>
      </c>
      <c r="C12" s="25" t="n">
        <v>5.373</v>
      </c>
      <c r="D12" s="25" t="n">
        <v>90.747</v>
      </c>
      <c r="E12" s="25" t="n">
        <v>6.247</v>
      </c>
      <c r="F12" s="25" t="n">
        <v>20.959</v>
      </c>
      <c r="G12" s="25" t="n">
        <v>0</v>
      </c>
      <c r="H12" s="25" t="n">
        <v>0</v>
      </c>
      <c r="I12" s="6" t="s">
        <v>1908</v>
      </c>
    </row>
    <row r="13" customFormat="false" ht="15" hidden="false" customHeight="false" outlineLevel="0" collapsed="false">
      <c r="A13" s="2" t="s">
        <v>1810</v>
      </c>
      <c r="C13" s="57" t="n">
        <f aca="false">SUM(C12:H12)</f>
        <v>123.326</v>
      </c>
    </row>
    <row r="15" customFormat="false" ht="15" hidden="false" customHeight="false" outlineLevel="0" collapsed="false">
      <c r="A15" s="2" t="s">
        <v>1909</v>
      </c>
    </row>
    <row r="16" customFormat="false" ht="15" hidden="false" customHeight="false" outlineLevel="0" collapsed="false">
      <c r="A16" s="14" t="s">
        <v>53</v>
      </c>
      <c r="B16" s="14" t="s">
        <v>54</v>
      </c>
      <c r="C16" s="14" t="s">
        <v>1910</v>
      </c>
      <c r="D16" s="14" t="s">
        <v>1266</v>
      </c>
      <c r="E16" s="14" t="s">
        <v>1911</v>
      </c>
      <c r="F16" s="14" t="s">
        <v>1912</v>
      </c>
    </row>
    <row r="17" customFormat="false" ht="15" hidden="false" customHeight="false" outlineLevel="0" collapsed="false">
      <c r="A17" s="3" t="s">
        <v>1913</v>
      </c>
      <c r="B17" s="11" t="s">
        <v>59</v>
      </c>
      <c r="C17" s="90" t="n">
        <v>20.296</v>
      </c>
      <c r="D17" s="6" t="s">
        <v>1914</v>
      </c>
      <c r="E17" s="6" t="s">
        <v>1915</v>
      </c>
      <c r="F17" s="6" t="s">
        <v>1916</v>
      </c>
    </row>
    <row r="18" customFormat="false" ht="15" hidden="false" customHeight="false" outlineLevel="0" collapsed="false">
      <c r="A18" s="3" t="s">
        <v>1917</v>
      </c>
      <c r="B18" s="11" t="s">
        <v>59</v>
      </c>
      <c r="C18" s="90" t="n">
        <v>0</v>
      </c>
      <c r="D18" s="6" t="s">
        <v>1918</v>
      </c>
      <c r="E18" s="6" t="s">
        <v>1915</v>
      </c>
      <c r="F18" s="6" t="s">
        <v>1916</v>
      </c>
    </row>
    <row r="19" customFormat="false" ht="15" hidden="false" customHeight="false" outlineLevel="0" collapsed="false">
      <c r="A19" s="3" t="s">
        <v>446</v>
      </c>
      <c r="B19" s="11" t="s">
        <v>59</v>
      </c>
      <c r="C19" s="90" t="n">
        <v>20</v>
      </c>
      <c r="D19" s="11" t="s">
        <v>1919</v>
      </c>
      <c r="E19" s="6" t="s">
        <v>1920</v>
      </c>
      <c r="F19" s="6" t="s">
        <v>1921</v>
      </c>
    </row>
    <row r="20" customFormat="false" ht="15" hidden="false" customHeight="false" outlineLevel="0" collapsed="false">
      <c r="A20" s="2" t="s">
        <v>1922</v>
      </c>
      <c r="C20" s="57" t="n">
        <f aca="false">C17+C18</f>
        <v>20.296</v>
      </c>
    </row>
    <row r="21" customFormat="false" ht="15" hidden="false" customHeight="false" outlineLevel="0" collapsed="false">
      <c r="A21" s="3" t="s">
        <v>1923</v>
      </c>
      <c r="C21" s="91" t="n">
        <f aca="false">SUM(各期收支!C15:G15)</f>
        <v>17.0279988455594</v>
      </c>
    </row>
    <row r="22" customFormat="false" ht="15" hidden="false" customHeight="false" outlineLevel="0" collapsed="false">
      <c r="A22" s="3" t="s">
        <v>1924</v>
      </c>
      <c r="C22" s="56" t="n">
        <f aca="false">MAX(0,輸入與假設!$C$26-C21)</f>
        <v>3.2680011544406</v>
      </c>
    </row>
    <row r="23" customFormat="false" ht="15" hidden="false" customHeight="false" outlineLevel="0" collapsed="false">
      <c r="A23" s="2" t="s">
        <v>1925</v>
      </c>
      <c r="C23" s="92" t="n">
        <f aca="false">(C21+C22)/C20</f>
        <v>1</v>
      </c>
      <c r="I23" s="6" t="s">
        <v>1926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1927</v>
      </c>
    </row>
    <row r="2" customFormat="false" ht="15" hidden="false" customHeight="false" outlineLevel="0" collapsed="false">
      <c r="A2" s="6" t="s">
        <v>1928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139</v>
      </c>
      <c r="G4" s="28" t="s">
        <v>140</v>
      </c>
      <c r="I4" s="14" t="s">
        <v>808</v>
      </c>
    </row>
    <row r="5" customFormat="false" ht="15" hidden="false" customHeight="false" outlineLevel="0" collapsed="false">
      <c r="A5" s="50" t="s">
        <v>1929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1930</v>
      </c>
      <c r="B6" s="11" t="s">
        <v>59</v>
      </c>
      <c r="C6" s="43" t="n">
        <f aca="false">運營_產能與收入!C26</f>
        <v>33.433820017561</v>
      </c>
      <c r="D6" s="43" t="n">
        <f aca="false">運營_產能與收入!D26</f>
        <v>126.564560383727</v>
      </c>
      <c r="E6" s="43" t="n">
        <f aca="false">運營_產能與收入!E26</f>
        <v>185.162746077769</v>
      </c>
      <c r="F6" s="43" t="n">
        <f aca="false">運營_產能與收入!F26</f>
        <v>225.752956271642</v>
      </c>
      <c r="G6" s="43" t="n">
        <f aca="false">運營_產能與收入!G26</f>
        <v>263.783883177711</v>
      </c>
      <c r="I6" s="6" t="s">
        <v>1931</v>
      </c>
    </row>
    <row r="7" customFormat="false" ht="15" hidden="false" customHeight="false" outlineLevel="1" collapsed="false">
      <c r="A7" s="3" t="s">
        <v>1932</v>
      </c>
      <c r="B7" s="11" t="s">
        <v>59</v>
      </c>
      <c r="C7" s="43" t="n">
        <f aca="false">輸入與假設!C$50</f>
        <v>0</v>
      </c>
      <c r="D7" s="43" t="n">
        <f aca="false">輸入與假設!D$50</f>
        <v>0</v>
      </c>
      <c r="E7" s="43" t="n">
        <f aca="false">輸入與假設!E$50</f>
        <v>0</v>
      </c>
      <c r="F7" s="43" t="n">
        <f aca="false">輸入與假設!F$50</f>
        <v>0</v>
      </c>
      <c r="G7" s="43" t="n">
        <f aca="false">輸入與假設!G$50</f>
        <v>0</v>
      </c>
    </row>
    <row r="8" customFormat="false" ht="15" hidden="false" customHeight="false" outlineLevel="1" collapsed="false">
      <c r="A8" s="3" t="s">
        <v>1933</v>
      </c>
      <c r="B8" s="11" t="s">
        <v>59</v>
      </c>
      <c r="C8" s="43" t="n">
        <f aca="false">輸入與假設!C$115</f>
        <v>37.8941812319381</v>
      </c>
      <c r="D8" s="43" t="n">
        <f aca="false">輸入與假設!D$115</f>
        <v>100.515582973631</v>
      </c>
      <c r="E8" s="43" t="n">
        <f aca="false">輸入與假設!E$115</f>
        <v>151.148922920645</v>
      </c>
      <c r="F8" s="43" t="n">
        <f aca="false">輸入與假設!F$115</f>
        <v>170.934405342445</v>
      </c>
      <c r="G8" s="43" t="n">
        <f aca="false">輸入與假設!G$115</f>
        <v>175.495737502719</v>
      </c>
      <c r="I8" s="11" t="s">
        <v>1934</v>
      </c>
    </row>
    <row r="9" customFormat="false" ht="15" hidden="false" customHeight="false" outlineLevel="1" collapsed="false">
      <c r="A9" s="2" t="s">
        <v>1935</v>
      </c>
      <c r="B9" s="11" t="s">
        <v>59</v>
      </c>
      <c r="C9" s="39" t="n">
        <f aca="false">C6+C7+C8</f>
        <v>71.3280012494991</v>
      </c>
      <c r="D9" s="39" t="n">
        <f aca="false">D6+D7+D8</f>
        <v>227.080143357358</v>
      </c>
      <c r="E9" s="39" t="n">
        <f aca="false">E6+E7+E8</f>
        <v>336.311668998414</v>
      </c>
      <c r="F9" s="39" t="n">
        <f aca="false">F6+F7+F8</f>
        <v>396.687361614087</v>
      </c>
      <c r="G9" s="39" t="n">
        <f aca="false">G6+G7+G8</f>
        <v>439.27962068043</v>
      </c>
    </row>
    <row r="10" customFormat="false" ht="15" hidden="false" customHeight="false" outlineLevel="1" collapsed="false">
      <c r="A10" s="4" t="s">
        <v>333</v>
      </c>
      <c r="B10" s="11" t="s">
        <v>42</v>
      </c>
      <c r="C10" s="51" t="n">
        <f aca="false">輸入與假設!C$127</f>
        <v>-0.334325138359049</v>
      </c>
      <c r="D10" s="51" t="n">
        <f aca="false">輸入與假設!D$127</f>
        <v>-0.216609126914153</v>
      </c>
      <c r="E10" s="51" t="n">
        <f aca="false">輸入與假設!E$127</f>
        <v>-0.043178282144506</v>
      </c>
      <c r="F10" s="51" t="n">
        <f aca="false">輸入與假設!F$127</f>
        <v>0.0731156540798472</v>
      </c>
      <c r="G10" s="51" t="n">
        <f aca="false">輸入與假設!G$127</f>
        <v>0.196899370283186</v>
      </c>
    </row>
    <row r="11" customFormat="false" ht="15" hidden="false" customHeight="false" outlineLevel="1" collapsed="false">
      <c r="A11" s="3" t="s">
        <v>1936</v>
      </c>
      <c r="B11" s="11" t="s">
        <v>59</v>
      </c>
      <c r="C11" s="43" t="n">
        <f aca="false">運營_產能與收入!C74</f>
        <v>0</v>
      </c>
      <c r="D11" s="43" t="n">
        <f aca="false">運營_產能與收入!D74</f>
        <v>0</v>
      </c>
      <c r="E11" s="43" t="n">
        <f aca="false">運營_產能與收入!E74</f>
        <v>0</v>
      </c>
      <c r="F11" s="43" t="n">
        <f aca="false">運營_產能與收入!F74</f>
        <v>0</v>
      </c>
      <c r="G11" s="43" t="n">
        <f aca="false">運營_產能與收入!G74</f>
        <v>0</v>
      </c>
      <c r="I11" s="6" t="s">
        <v>867</v>
      </c>
    </row>
    <row r="12" customFormat="false" ht="15" hidden="false" customHeight="false" outlineLevel="1" collapsed="false">
      <c r="A12" s="3" t="s">
        <v>1937</v>
      </c>
      <c r="B12" s="11" t="s">
        <v>59</v>
      </c>
      <c r="C12" s="65" t="n">
        <f aca="false">(C6+C7)*輸入與假設!C$127+輸入與假設!C$51+輸入與假設!C$117-C11-輸入與假設!C$176</f>
        <v>-17.0855959816902</v>
      </c>
      <c r="D12" s="65" t="n">
        <f aca="false">(D6+D7)*輸入與假設!D$127+輸入與假設!D$51+輸入與假設!D$117-D11-輸入與假設!D$176</f>
        <v>-44.7637308775666</v>
      </c>
      <c r="E12" s="65" t="n">
        <f aca="false">(E6+E7)*輸入與假設!E$127+輸入與假設!E$51+輸入與假設!E$117-E11-輸入與假設!E$176</f>
        <v>-13.3374679151039</v>
      </c>
      <c r="F12" s="65" t="n">
        <f aca="false">(F6+F7)*輸入與假設!F$127+輸入與假設!F$51+輸入與假設!F$117-F11-輸入與假設!F$176</f>
        <v>19.4266502951373</v>
      </c>
      <c r="G12" s="65" t="n">
        <f aca="false">(G6+G7)*輸入與假設!G$127+輸入與假設!G$51+輸入與假設!G$117-G11-輸入與假設!G$176</f>
        <v>55.214516900558</v>
      </c>
      <c r="I12" s="6" t="s">
        <v>1938</v>
      </c>
    </row>
    <row r="13" customFormat="false" ht="15" hidden="false" customHeight="false" outlineLevel="1" collapsed="false">
      <c r="A13" s="3" t="s">
        <v>1939</v>
      </c>
      <c r="B13" s="11" t="s">
        <v>59</v>
      </c>
      <c r="C13" s="43" t="n">
        <f aca="false">各期收支!C22</f>
        <v>13.5867264456522</v>
      </c>
      <c r="D13" s="43" t="n">
        <f aca="false">各期收支!D22</f>
        <v>54.2321263301747</v>
      </c>
      <c r="E13" s="43" t="n">
        <f aca="false">各期收支!E22</f>
        <v>50.734899023814</v>
      </c>
      <c r="F13" s="43" t="n">
        <f aca="false">各期收支!F22</f>
        <v>52.0671747466731</v>
      </c>
      <c r="G13" s="43" t="n">
        <f aca="false">各期收支!G22</f>
        <v>53.5965974982194</v>
      </c>
    </row>
    <row r="14" customFormat="false" ht="15" hidden="false" customHeight="false" outlineLevel="1" collapsed="false">
      <c r="A14" s="3" t="s">
        <v>1940</v>
      </c>
      <c r="B14" s="11" t="s">
        <v>59</v>
      </c>
      <c r="C14" s="43" t="n">
        <f aca="false">各期收支!C10</f>
        <v>0</v>
      </c>
      <c r="D14" s="43" t="n">
        <f aca="false">各期收支!D10</f>
        <v>0</v>
      </c>
      <c r="E14" s="43" t="n">
        <f aca="false">各期收支!E10</f>
        <v>0</v>
      </c>
      <c r="F14" s="43" t="n">
        <f aca="false">各期收支!F10</f>
        <v>0</v>
      </c>
      <c r="G14" s="43" t="n">
        <f aca="false">各期收支!G10</f>
        <v>0</v>
      </c>
      <c r="I14" s="6" t="s">
        <v>1941</v>
      </c>
    </row>
    <row r="15" customFormat="false" ht="15" hidden="false" customHeight="false" outlineLevel="1" collapsed="false">
      <c r="A15" s="3" t="s">
        <v>1942</v>
      </c>
      <c r="B15" s="11" t="s">
        <v>59</v>
      </c>
      <c r="C15" s="65" t="n">
        <f aca="false">C12-C13-C14</f>
        <v>-30.6723224273424</v>
      </c>
      <c r="D15" s="65" t="n">
        <f aca="false">D12-D13-D14</f>
        <v>-98.9958572077414</v>
      </c>
      <c r="E15" s="65" t="n">
        <f aca="false">E12-E13-E14</f>
        <v>-64.0723669389179</v>
      </c>
      <c r="F15" s="65" t="n">
        <f aca="false">F12-F13-F14</f>
        <v>-32.6405244515358</v>
      </c>
      <c r="G15" s="65" t="n">
        <f aca="false">G12-G13-G14</f>
        <v>1.6179194023386</v>
      </c>
    </row>
    <row r="16" customFormat="false" ht="15" hidden="false" customHeight="false" outlineLevel="1" collapsed="false">
      <c r="A16" s="4" t="s">
        <v>1943</v>
      </c>
      <c r="B16" s="11" t="s">
        <v>59</v>
      </c>
      <c r="C16" s="65" t="n">
        <f aca="false">輸入與假設!$C$246</f>
        <v>0</v>
      </c>
      <c r="D16" s="65" t="n">
        <f aca="false">C18</f>
        <v>30.6723224273424</v>
      </c>
      <c r="E16" s="65" t="n">
        <f aca="false">D18</f>
        <v>129.668179635084</v>
      </c>
      <c r="F16" s="65" t="n">
        <f aca="false">E18</f>
        <v>193.740546574002</v>
      </c>
      <c r="G16" s="65" t="n">
        <f aca="false">F18</f>
        <v>226.381071025537</v>
      </c>
      <c r="I16" s="11" t="s">
        <v>1944</v>
      </c>
    </row>
    <row r="17" customFormat="false" ht="15" hidden="false" customHeight="false" outlineLevel="1" collapsed="false">
      <c r="A17" s="3" t="s">
        <v>1945</v>
      </c>
      <c r="B17" s="11" t="s">
        <v>59</v>
      </c>
      <c r="C17" s="65" t="n">
        <f aca="false">MIN(C16,MAX(0,C15)*輸入與假設!$C$247)</f>
        <v>0</v>
      </c>
      <c r="D17" s="65" t="n">
        <f aca="false">MIN(D16,MAX(0,D15)*輸入與假設!$C$247)</f>
        <v>0</v>
      </c>
      <c r="E17" s="65" t="n">
        <f aca="false">MIN(E16,MAX(0,E15)*輸入與假設!$C$247)</f>
        <v>0</v>
      </c>
      <c r="F17" s="65" t="n">
        <f aca="false">MIN(F16,MAX(0,F15)*輸入與假設!$C$247)</f>
        <v>0</v>
      </c>
      <c r="G17" s="65" t="n">
        <f aca="false">MIN(G16,MAX(0,G15)*輸入與假設!$C$247)</f>
        <v>1.29433552187088</v>
      </c>
      <c r="I17" s="6" t="s">
        <v>1946</v>
      </c>
    </row>
    <row r="18" customFormat="false" ht="15" hidden="false" customHeight="false" outlineLevel="1" collapsed="false">
      <c r="A18" s="4" t="s">
        <v>1947</v>
      </c>
      <c r="B18" s="11" t="s">
        <v>59</v>
      </c>
      <c r="C18" s="65" t="n">
        <f aca="false">C16-C17+MAX(0,-C15)</f>
        <v>30.6723224273424</v>
      </c>
      <c r="D18" s="65" t="n">
        <f aca="false">D16-D17+MAX(0,-D15)</f>
        <v>129.668179635084</v>
      </c>
      <c r="E18" s="65" t="n">
        <f aca="false">E16-E17+MAX(0,-E15)</f>
        <v>193.740546574002</v>
      </c>
      <c r="F18" s="65" t="n">
        <f aca="false">F16-F17+MAX(0,-F15)</f>
        <v>226.381071025537</v>
      </c>
      <c r="G18" s="65" t="n">
        <f aca="false">G16-G17+MAX(0,-G15)</f>
        <v>225.086735503667</v>
      </c>
    </row>
    <row r="19" customFormat="false" ht="15" hidden="false" customHeight="false" outlineLevel="1" collapsed="false">
      <c r="A19" s="3" t="s">
        <v>1948</v>
      </c>
      <c r="B19" s="11" t="s">
        <v>59</v>
      </c>
      <c r="C19" s="65" t="n">
        <f aca="false">MAX(0,C15-C17)*輸入與假設!$C$233</f>
        <v>0</v>
      </c>
      <c r="D19" s="65" t="n">
        <f aca="false">MAX(0,D15-D17)*輸入與假設!$C$233</f>
        <v>0</v>
      </c>
      <c r="E19" s="65" t="n">
        <f aca="false">MAX(0,E15-E17)*輸入與假設!$C$233</f>
        <v>0</v>
      </c>
      <c r="F19" s="65" t="n">
        <f aca="false">MAX(0,F15-F17)*輸入與假設!$C$233</f>
        <v>0</v>
      </c>
      <c r="G19" s="65" t="n">
        <f aca="false">MAX(0,G15-G17)*輸入與假設!$C$233</f>
        <v>0.0679526148982212</v>
      </c>
      <c r="I19" s="6" t="s">
        <v>1949</v>
      </c>
    </row>
    <row r="20" customFormat="false" ht="15" hidden="false" customHeight="false" outlineLevel="1" collapsed="false">
      <c r="A20" s="2" t="s">
        <v>1950</v>
      </c>
      <c r="B20" s="11" t="s">
        <v>59</v>
      </c>
      <c r="C20" s="39" t="n">
        <f aca="false">C15-C19</f>
        <v>-30.6723224273424</v>
      </c>
      <c r="D20" s="39" t="n">
        <f aca="false">D15-D19</f>
        <v>-98.9958572077414</v>
      </c>
      <c r="E20" s="39" t="n">
        <f aca="false">E15-E19</f>
        <v>-64.0723669389179</v>
      </c>
      <c r="F20" s="39" t="n">
        <f aca="false">F15-F19</f>
        <v>-32.6405244515358</v>
      </c>
      <c r="G20" s="39" t="n">
        <f aca="false">G15-G19</f>
        <v>1.54996678744038</v>
      </c>
    </row>
    <row r="21" customFormat="false" ht="15" hidden="false" customHeight="false" outlineLevel="1" collapsed="false">
      <c r="A21" s="4" t="s">
        <v>673</v>
      </c>
      <c r="B21" s="11" t="s">
        <v>59</v>
      </c>
      <c r="C21" s="43" t="n">
        <f aca="false">輸入與假設!C$176</f>
        <v>25.6885920815193</v>
      </c>
      <c r="D21" s="43" t="n">
        <f aca="false">輸入與假設!D$176</f>
        <v>73.0343249219656</v>
      </c>
      <c r="E21" s="43" t="n">
        <f aca="false">輸入與假設!E$176</f>
        <v>93.9157274538042</v>
      </c>
      <c r="F21" s="43" t="n">
        <f aca="false">輸入與假設!F$176</f>
        <v>102.716887264754</v>
      </c>
      <c r="G21" s="43" t="n">
        <f aca="false">輸入與假設!G$176</f>
        <v>110.796592964754</v>
      </c>
      <c r="I21" s="6" t="s">
        <v>1951</v>
      </c>
    </row>
    <row r="22" customFormat="false" ht="15" hidden="false" customHeight="false" outlineLevel="1" collapsed="false">
      <c r="A22" s="76" t="s">
        <v>1952</v>
      </c>
      <c r="B22" s="11" t="s">
        <v>59</v>
      </c>
      <c r="C22" s="39" t="n">
        <f aca="false">C12+C21</f>
        <v>8.60299609982908</v>
      </c>
      <c r="D22" s="39" t="n">
        <f aca="false">D12+D21</f>
        <v>28.270594044399</v>
      </c>
      <c r="E22" s="39" t="n">
        <f aca="false">E12+E21</f>
        <v>80.5782595387003</v>
      </c>
      <c r="F22" s="39" t="n">
        <f aca="false">F12+F21</f>
        <v>122.143537559891</v>
      </c>
      <c r="G22" s="39" t="n">
        <f aca="false">G12+G21</f>
        <v>166.011109865312</v>
      </c>
    </row>
    <row r="23" customFormat="false" ht="15" hidden="false" customHeight="false" outlineLevel="1" collapsed="false">
      <c r="A23" s="3" t="s">
        <v>1953</v>
      </c>
      <c r="B23" s="11" t="s">
        <v>476</v>
      </c>
      <c r="C23" s="30" t="n">
        <f aca="false">評價_DCF與目標價!$C$69</f>
        <v>39.33849</v>
      </c>
      <c r="D23" s="30" t="n">
        <f aca="false">C23*(1+輸入與假設!$C$260)</f>
        <v>39.7318749</v>
      </c>
      <c r="E23" s="30" t="n">
        <f aca="false">D23*(1+輸入與假設!$C$260)</f>
        <v>40.129193649</v>
      </c>
      <c r="F23" s="30" t="n">
        <f aca="false">E23*(1+輸入與假設!$C$260)</f>
        <v>40.53048558549</v>
      </c>
      <c r="G23" s="30" t="n">
        <f aca="false">F23*(1+輸入與假設!$C$260)</f>
        <v>40.9357904413449</v>
      </c>
      <c r="I23" s="11" t="s">
        <v>1954</v>
      </c>
    </row>
    <row r="24" customFormat="false" ht="15" hidden="false" customHeight="false" outlineLevel="1" collapsed="false">
      <c r="A24" s="3" t="s">
        <v>1955</v>
      </c>
      <c r="B24" s="11" t="s">
        <v>476</v>
      </c>
      <c r="C24" s="30" t="n">
        <f aca="false">C23+各期收支!C91</f>
        <v>39.33849</v>
      </c>
      <c r="D24" s="30" t="n">
        <f aca="false">D23+各期收支!D91</f>
        <v>39.7318749</v>
      </c>
      <c r="E24" s="30" t="n">
        <f aca="false">E23+各期收支!E91</f>
        <v>40.2451834394415</v>
      </c>
      <c r="F24" s="30" t="n">
        <f aca="false">F23+各期收支!F91</f>
        <v>40.6464753759315</v>
      </c>
      <c r="G24" s="30" t="n">
        <f aca="false">G23+各期收支!G91</f>
        <v>41.0517802317864</v>
      </c>
      <c r="I24" s="6" t="s">
        <v>1956</v>
      </c>
    </row>
    <row r="25" customFormat="false" ht="15" hidden="false" customHeight="false" outlineLevel="1" collapsed="false">
      <c r="A25" s="3" t="s">
        <v>1957</v>
      </c>
      <c r="B25" s="11" t="s">
        <v>39</v>
      </c>
      <c r="C25" s="53" t="n">
        <f aca="false">C20/C24</f>
        <v>-0.779702587144102</v>
      </c>
      <c r="D25" s="53" t="n">
        <f aca="false">D20/D24</f>
        <v>-2.49159792878894</v>
      </c>
      <c r="E25" s="53" t="n">
        <f aca="false">E20/E24</f>
        <v>-1.59205056265503</v>
      </c>
      <c r="F25" s="53" t="n">
        <f aca="false">F20/F24</f>
        <v>-0.803034559568813</v>
      </c>
      <c r="G25" s="53" t="n">
        <f aca="false">G20/G24</f>
        <v>0.037756384222291</v>
      </c>
      <c r="I25" s="11" t="s">
        <v>1958</v>
      </c>
    </row>
    <row r="27" customFormat="false" ht="15" hidden="false" customHeight="false" outlineLevel="0" collapsed="false">
      <c r="A27" s="50" t="s">
        <v>1959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1960</v>
      </c>
      <c r="B28" s="11" t="s">
        <v>59</v>
      </c>
      <c r="C28" s="43" t="n">
        <f aca="false">輸入與假設!$C$301</f>
        <v>50.762</v>
      </c>
      <c r="D28" s="43" t="n">
        <f aca="false">0</f>
        <v>0</v>
      </c>
      <c r="E28" s="43" t="n">
        <f aca="false">0</f>
        <v>0</v>
      </c>
      <c r="F28" s="43" t="n">
        <f aca="false">0</f>
        <v>0</v>
      </c>
      <c r="G28" s="43" t="n">
        <f aca="false">0</f>
        <v>0</v>
      </c>
    </row>
    <row r="29" customFormat="false" ht="15" hidden="false" customHeight="false" outlineLevel="1" collapsed="false">
      <c r="A29" s="2" t="s">
        <v>1961</v>
      </c>
      <c r="B29" s="11" t="s">
        <v>59</v>
      </c>
      <c r="C29" s="39" t="n">
        <f aca="false">C28+C9</f>
        <v>122.090001249499</v>
      </c>
      <c r="D29" s="39" t="n">
        <f aca="false">D28+D9</f>
        <v>227.080143357358</v>
      </c>
      <c r="E29" s="39" t="n">
        <f aca="false">E28+E9</f>
        <v>336.311668998414</v>
      </c>
      <c r="F29" s="39" t="n">
        <f aca="false">F28+F9</f>
        <v>396.687361614087</v>
      </c>
      <c r="G29" s="39" t="n">
        <f aca="false">G28+G9</f>
        <v>439.27962068043</v>
      </c>
      <c r="I29" s="11" t="s">
        <v>1962</v>
      </c>
    </row>
    <row r="30" customFormat="false" ht="15" hidden="false" customHeight="false" outlineLevel="1" collapsed="false">
      <c r="A30" s="3" t="s">
        <v>1963</v>
      </c>
      <c r="B30" s="11" t="s">
        <v>42</v>
      </c>
      <c r="C30" s="66" t="n">
        <f aca="false">C29/79.164-1</f>
        <v>0.542241438652659</v>
      </c>
      <c r="D30" s="66" t="n">
        <f aca="false">D29/C29-1</f>
        <v>0.859940544134358</v>
      </c>
      <c r="E30" s="66" t="n">
        <f aca="false">E29/D29-1</f>
        <v>0.481026319721656</v>
      </c>
      <c r="F30" s="66" t="n">
        <f aca="false">F29/E29-1</f>
        <v>0.179523038244499</v>
      </c>
      <c r="G30" s="66" t="n">
        <f aca="false">G29/F29-1</f>
        <v>0.107369841310392</v>
      </c>
      <c r="I30" s="11" t="s">
        <v>1964</v>
      </c>
    </row>
    <row r="31" customFormat="false" ht="15" hidden="false" customHeight="false" outlineLevel="1" collapsed="false">
      <c r="A31" s="3" t="s">
        <v>1965</v>
      </c>
      <c r="B31" s="11" t="s">
        <v>59</v>
      </c>
      <c r="C31" s="65" t="n">
        <f aca="false">輸入與假設!$C$302+C12</f>
        <v>-37.3605959816902</v>
      </c>
      <c r="D31" s="65" t="n">
        <f aca="false">D12</f>
        <v>-44.7637308775666</v>
      </c>
      <c r="E31" s="65" t="n">
        <f aca="false">E12</f>
        <v>-13.3374679151039</v>
      </c>
      <c r="F31" s="65" t="n">
        <f aca="false">F12</f>
        <v>19.4266502951373</v>
      </c>
      <c r="G31" s="65" t="n">
        <f aca="false">G12</f>
        <v>55.214516900558</v>
      </c>
    </row>
    <row r="32" customFormat="false" ht="15" hidden="false" customHeight="false" outlineLevel="1" collapsed="false">
      <c r="A32" s="3" t="s">
        <v>1966</v>
      </c>
      <c r="B32" s="11" t="s">
        <v>42</v>
      </c>
      <c r="C32" s="66" t="n">
        <f aca="false">C31/C29</f>
        <v>-0.306008646075294</v>
      </c>
      <c r="D32" s="66" t="n">
        <f aca="false">D31/D29</f>
        <v>-0.19712745560109</v>
      </c>
      <c r="E32" s="66" t="n">
        <f aca="false">E31/E29</f>
        <v>-0.0396580587132906</v>
      </c>
      <c r="F32" s="66" t="n">
        <f aca="false">F31/F29</f>
        <v>0.0489721936592381</v>
      </c>
      <c r="G32" s="66" t="n">
        <f aca="false">G31/G29</f>
        <v>0.125693326758552</v>
      </c>
    </row>
    <row r="33" customFormat="false" ht="15" hidden="false" customHeight="false" outlineLevel="1" collapsed="false">
      <c r="A33" s="3" t="s">
        <v>1967</v>
      </c>
      <c r="B33" s="11" t="s">
        <v>59</v>
      </c>
      <c r="C33" s="65" t="n">
        <f aca="false">輸入與假設!$C$305+C21</f>
        <v>38.6965920815193</v>
      </c>
      <c r="D33" s="65" t="n">
        <f aca="false">D21</f>
        <v>73.0343249219656</v>
      </c>
      <c r="E33" s="65" t="n">
        <f aca="false">E21</f>
        <v>93.9157274538042</v>
      </c>
      <c r="F33" s="65" t="n">
        <f aca="false">F21</f>
        <v>102.716887264754</v>
      </c>
      <c r="G33" s="65" t="n">
        <f aca="false">G21</f>
        <v>110.796592964754</v>
      </c>
      <c r="I33" s="11" t="s">
        <v>1968</v>
      </c>
    </row>
    <row r="34" customFormat="false" ht="15" hidden="false" customHeight="false" outlineLevel="1" collapsed="false">
      <c r="A34" s="2" t="s">
        <v>1969</v>
      </c>
      <c r="B34" s="11" t="s">
        <v>59</v>
      </c>
      <c r="C34" s="39" t="n">
        <f aca="false">C31+C33</f>
        <v>1.33599609982908</v>
      </c>
      <c r="D34" s="39" t="n">
        <f aca="false">D31+D33</f>
        <v>28.270594044399</v>
      </c>
      <c r="E34" s="39" t="n">
        <f aca="false">E31+E33</f>
        <v>80.5782595387003</v>
      </c>
      <c r="F34" s="39" t="n">
        <f aca="false">F31+F33</f>
        <v>122.143537559891</v>
      </c>
      <c r="G34" s="39" t="n">
        <f aca="false">G31+G33</f>
        <v>166.011109865312</v>
      </c>
    </row>
    <row r="35" customFormat="false" ht="15" hidden="false" customHeight="false" outlineLevel="1" collapsed="false">
      <c r="A35" s="3" t="s">
        <v>1970</v>
      </c>
      <c r="B35" s="11" t="s">
        <v>59</v>
      </c>
      <c r="C35" s="65" t="n">
        <f aca="false">輸入與假設!$C$299+C13</f>
        <v>21.5977264456522</v>
      </c>
      <c r="D35" s="65" t="n">
        <f aca="false">D13</f>
        <v>54.2321263301747</v>
      </c>
      <c r="E35" s="65" t="n">
        <f aca="false">E13</f>
        <v>50.734899023814</v>
      </c>
      <c r="F35" s="65" t="n">
        <f aca="false">F13</f>
        <v>52.0671747466731</v>
      </c>
      <c r="G35" s="65" t="n">
        <f aca="false">G13</f>
        <v>53.5965974982194</v>
      </c>
      <c r="I35" s="11" t="s">
        <v>1971</v>
      </c>
    </row>
    <row r="36" customFormat="false" ht="15" hidden="false" customHeight="false" outlineLevel="1" collapsed="false">
      <c r="A36" s="2" t="s">
        <v>1972</v>
      </c>
      <c r="B36" s="11" t="s">
        <v>59</v>
      </c>
      <c r="C36" s="39" t="n">
        <f aca="false">輸入與假設!$C$303+C20</f>
        <v>-57.6903224273424</v>
      </c>
      <c r="D36" s="39" t="n">
        <f aca="false">D20</f>
        <v>-98.9958572077414</v>
      </c>
      <c r="E36" s="39" t="n">
        <f aca="false">E20</f>
        <v>-64.0723669389179</v>
      </c>
      <c r="F36" s="39" t="n">
        <f aca="false">F20</f>
        <v>-32.6405244515358</v>
      </c>
      <c r="G36" s="39" t="n">
        <f aca="false">G20</f>
        <v>1.54996678744038</v>
      </c>
    </row>
    <row r="37" customFormat="false" ht="15" hidden="false" customHeight="false" outlineLevel="1" collapsed="false">
      <c r="A37" s="3" t="s">
        <v>1973</v>
      </c>
      <c r="B37" s="11" t="s">
        <v>42</v>
      </c>
      <c r="C37" s="66" t="n">
        <f aca="false">C36/C29</f>
        <v>-0.472522907993492</v>
      </c>
      <c r="D37" s="66" t="n">
        <f aca="false">D36/D29</f>
        <v>-0.435951183331564</v>
      </c>
      <c r="E37" s="66" t="n">
        <f aca="false">E36/E29</f>
        <v>-0.190514849305512</v>
      </c>
      <c r="F37" s="66" t="n">
        <f aca="false">F36/F29</f>
        <v>-0.0822827435659261</v>
      </c>
      <c r="G37" s="66" t="n">
        <f aca="false">G36/G29</f>
        <v>0.00352842862375343</v>
      </c>
    </row>
    <row r="38" customFormat="false" ht="15" hidden="false" customHeight="false" outlineLevel="1" collapsed="false">
      <c r="A38" s="2" t="s">
        <v>1974</v>
      </c>
      <c r="B38" s="11" t="s">
        <v>39</v>
      </c>
      <c r="C38" s="93" t="n">
        <f aca="false">輸入與假設!$C$307+C20/C24</f>
        <v>-1.4797025871441</v>
      </c>
      <c r="D38" s="93" t="n">
        <f aca="false">D20/D24</f>
        <v>-2.49159792878894</v>
      </c>
      <c r="E38" s="93" t="n">
        <f aca="false">E20/E24</f>
        <v>-1.59205056265503</v>
      </c>
      <c r="F38" s="93" t="n">
        <f aca="false">F20/F24</f>
        <v>-0.803034559568813</v>
      </c>
      <c r="G38" s="93" t="n">
        <f aca="false">G20/G24</f>
        <v>0.037756384222291</v>
      </c>
      <c r="I38" s="11" t="s">
        <v>1975</v>
      </c>
    </row>
    <row r="39" customFormat="false" ht="15" hidden="false" customHeight="false" outlineLevel="1" collapsed="false">
      <c r="A39" s="3" t="s">
        <v>1976</v>
      </c>
      <c r="B39" s="11" t="s">
        <v>39</v>
      </c>
      <c r="C39" s="53" t="n">
        <f aca="false">輸入與假設!$C$308+(C20+輸入與假設!$C$261*輸入與假設!C$41)/C24</f>
        <v>-0.909646082687525</v>
      </c>
      <c r="D39" s="53" t="n">
        <f aca="false">(D20+輸入與假設!$C$261*輸入與假設!D$41)/D24</f>
        <v>-1.93703059323137</v>
      </c>
      <c r="E39" s="53" t="n">
        <f aca="false">(E20+輸入與假設!$C$261*輸入與假設!E$41)/E24</f>
        <v>-1.04455647474373</v>
      </c>
      <c r="F39" s="53" t="n">
        <f aca="false">(F20+輸入與假設!$C$261*輸入與假設!F$41)/F24</f>
        <v>-0.260945736461477</v>
      </c>
      <c r="G39" s="53" t="n">
        <f aca="false">(G20+輸入與假設!$C$261*輸入與假設!G$41)/G24</f>
        <v>0.574493156064869</v>
      </c>
      <c r="I39" s="6" t="s">
        <v>1977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9.4" hidden="false" customHeight="false" outlineLevel="0" collapsed="false">
      <c r="A1" s="5" t="s">
        <v>1978</v>
      </c>
    </row>
    <row r="2" customFormat="false" ht="15" hidden="false" customHeight="false" outlineLevel="0" collapsed="false">
      <c r="A2" s="6" t="s">
        <v>1979</v>
      </c>
    </row>
    <row r="4" customFormat="false" ht="15" hidden="false" customHeight="false" outlineLevel="0" collapsed="false">
      <c r="A4" s="14" t="s">
        <v>53</v>
      </c>
      <c r="B4" s="14" t="s">
        <v>54</v>
      </c>
      <c r="C4" s="28" t="s">
        <v>55</v>
      </c>
      <c r="D4" s="28" t="s">
        <v>56</v>
      </c>
      <c r="E4" s="28" t="s">
        <v>57</v>
      </c>
      <c r="F4" s="28" t="s">
        <v>139</v>
      </c>
      <c r="G4" s="28" t="s">
        <v>140</v>
      </c>
      <c r="I4" s="14" t="s">
        <v>808</v>
      </c>
    </row>
    <row r="5" customFormat="false" ht="15" hidden="false" customHeight="false" outlineLevel="0" collapsed="false">
      <c r="A5" s="7" t="s">
        <v>1980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1981</v>
      </c>
      <c r="B6" s="11" t="s">
        <v>59</v>
      </c>
      <c r="C6" s="65" t="n">
        <f aca="false">輸入與假設!C$175-各期收支!C8</f>
        <v>101.540611731211</v>
      </c>
      <c r="D6" s="65" t="n">
        <f aca="false">輸入與假設!D$175-各期收支!D8</f>
        <v>337.441673551224</v>
      </c>
      <c r="E6" s="65" t="n">
        <f aca="false">輸入與假設!E$175-各期收支!E8</f>
        <v>41.37046878</v>
      </c>
      <c r="F6" s="65" t="n">
        <f aca="false">輸入與假設!F$175-各期收支!F8</f>
        <v>44.53982712</v>
      </c>
      <c r="G6" s="65" t="n">
        <f aca="false">輸入與假設!G$175-各期收支!G8</f>
        <v>104.273937036</v>
      </c>
      <c r="I6" s="11" t="s">
        <v>1982</v>
      </c>
    </row>
    <row r="7" customFormat="false" ht="15" hidden="false" customHeight="false" outlineLevel="1" collapsed="false">
      <c r="A7" s="3" t="s">
        <v>1983</v>
      </c>
      <c r="B7" s="11" t="s">
        <v>59</v>
      </c>
      <c r="C7" s="65" t="n">
        <f aca="false">79.164</f>
        <v>79.164</v>
      </c>
      <c r="D7" s="65" t="n">
        <f aca="false">50.762+損益!C9</f>
        <v>122.090001249499</v>
      </c>
      <c r="E7" s="65" t="n">
        <f aca="false">損益!D9</f>
        <v>227.080143357358</v>
      </c>
      <c r="F7" s="65" t="n">
        <f aca="false">損益!E9</f>
        <v>336.311668998414</v>
      </c>
      <c r="G7" s="65" t="n">
        <f aca="false">損益!F9</f>
        <v>396.687361614087</v>
      </c>
      <c r="I7" s="11" t="s">
        <v>1984</v>
      </c>
    </row>
    <row r="8" customFormat="false" ht="15" hidden="false" customHeight="false" outlineLevel="1" collapsed="false">
      <c r="A8" s="3" t="s">
        <v>1985</v>
      </c>
      <c r="B8" s="11" t="s">
        <v>59</v>
      </c>
      <c r="C8" s="43" t="n">
        <f aca="false">各期收支!C11</f>
        <v>8.944375</v>
      </c>
      <c r="D8" s="43" t="n">
        <f aca="false">各期收支!D11</f>
        <v>20.1446791477143</v>
      </c>
      <c r="E8" s="43" t="n">
        <f aca="false">各期收支!E11</f>
        <v>28.839054926047</v>
      </c>
      <c r="F8" s="43" t="n">
        <f aca="false">各期收支!F11</f>
        <v>26.6088247127911</v>
      </c>
      <c r="G8" s="43" t="n">
        <f aca="false">各期收支!G11</f>
        <v>24.7626842336922</v>
      </c>
      <c r="I8" s="6" t="s">
        <v>1986</v>
      </c>
    </row>
    <row r="9" customFormat="false" ht="15" hidden="false" customHeight="false" outlineLevel="1" collapsed="false">
      <c r="A9" s="3" t="s">
        <v>1987</v>
      </c>
      <c r="B9" s="11" t="s">
        <v>59</v>
      </c>
      <c r="C9" s="65" t="n">
        <f aca="false">輸入與假設!$C$248*MAX(0,損益!C9-C7)</f>
        <v>0</v>
      </c>
      <c r="D9" s="65" t="n">
        <f aca="false">輸入與假設!$C$248*MAX(0,損益!D9-D7)</f>
        <v>2.09980284215717</v>
      </c>
      <c r="E9" s="65" t="n">
        <f aca="false">輸入與假設!$C$248*MAX(0,損益!E9-E7)</f>
        <v>2.18463051282112</v>
      </c>
      <c r="F9" s="65" t="n">
        <f aca="false">輸入與假設!$C$248*MAX(0,損益!F9-F7)</f>
        <v>1.20751385231347</v>
      </c>
      <c r="G9" s="65" t="n">
        <f aca="false">輸入與假設!$C$248*MAX(0,損益!G9-G7)</f>
        <v>0.851845181326855</v>
      </c>
      <c r="I9" s="6" t="s">
        <v>1988</v>
      </c>
    </row>
    <row r="10" customFormat="false" ht="15" hidden="false" customHeight="false" outlineLevel="1" collapsed="false">
      <c r="A10" s="3" t="s">
        <v>1989</v>
      </c>
      <c r="B10" s="11" t="s">
        <v>59</v>
      </c>
      <c r="C10" s="65" t="n">
        <f aca="false">輸入與假設!$C$246</f>
        <v>0</v>
      </c>
      <c r="D10" s="65" t="n">
        <f aca="false">C12</f>
        <v>17.0855959816902</v>
      </c>
      <c r="E10" s="65" t="n">
        <f aca="false">D12</f>
        <v>61.8493268592568</v>
      </c>
      <c r="F10" s="65" t="n">
        <f aca="false">E12</f>
        <v>75.1867947743607</v>
      </c>
      <c r="G10" s="65" t="n">
        <f aca="false">F12</f>
        <v>59.6454745382508</v>
      </c>
      <c r="I10" s="11" t="s">
        <v>1990</v>
      </c>
    </row>
    <row r="11" customFormat="false" ht="15" hidden="false" customHeight="false" outlineLevel="1" collapsed="false">
      <c r="A11" s="3" t="s">
        <v>1991</v>
      </c>
      <c r="B11" s="11" t="s">
        <v>59</v>
      </c>
      <c r="C11" s="65" t="n">
        <f aca="false">MIN(C10,MAX(0,損益!C12)*輸入與假設!$C$247)</f>
        <v>0</v>
      </c>
      <c r="D11" s="65" t="n">
        <f aca="false">MIN(D10,MAX(0,損益!D12)*輸入與假設!$C$247)</f>
        <v>0</v>
      </c>
      <c r="E11" s="65" t="n">
        <f aca="false">MIN(E10,MAX(0,損益!E12)*輸入與假設!$C$247)</f>
        <v>0</v>
      </c>
      <c r="F11" s="65" t="n">
        <f aca="false">MIN(F10,MAX(0,損益!F12)*輸入與假設!$C$247)</f>
        <v>15.5413202361098</v>
      </c>
      <c r="G11" s="65" t="n">
        <f aca="false">MIN(G10,MAX(0,損益!G12)*輸入與假設!$C$247)</f>
        <v>44.1716135204464</v>
      </c>
    </row>
    <row r="12" customFormat="false" ht="15" hidden="false" customHeight="false" outlineLevel="1" collapsed="false">
      <c r="A12" s="3" t="s">
        <v>1992</v>
      </c>
      <c r="B12" s="11" t="s">
        <v>59</v>
      </c>
      <c r="C12" s="65" t="n">
        <f aca="false">C10-C11+MAX(0,-損益!C12)</f>
        <v>17.0855959816902</v>
      </c>
      <c r="D12" s="65" t="n">
        <f aca="false">D10-D11+MAX(0,-損益!D12)</f>
        <v>61.8493268592568</v>
      </c>
      <c r="E12" s="65" t="n">
        <f aca="false">E10-E11+MAX(0,-損益!E12)</f>
        <v>75.1867947743607</v>
      </c>
      <c r="F12" s="65" t="n">
        <f aca="false">F10-F11+MAX(0,-損益!F12)</f>
        <v>59.6454745382508</v>
      </c>
      <c r="G12" s="65" t="n">
        <f aca="false">G10-G11+MAX(0,-損益!G12)</f>
        <v>15.4738610178045</v>
      </c>
    </row>
    <row r="13" customFormat="false" ht="15" hidden="false" customHeight="false" outlineLevel="1" collapsed="false">
      <c r="A13" s="3" t="s">
        <v>1993</v>
      </c>
      <c r="B13" s="11" t="s">
        <v>59</v>
      </c>
      <c r="C13" s="65" t="n">
        <f aca="false">MAX(0,損益!C12-C11)*輸入與假設!$C$233</f>
        <v>0</v>
      </c>
      <c r="D13" s="65" t="n">
        <f aca="false">MAX(0,損益!D12-D11)*輸入與假設!$C$233</f>
        <v>0</v>
      </c>
      <c r="E13" s="65" t="n">
        <f aca="false">MAX(0,損益!E12-E11)*輸入與假設!$C$233</f>
        <v>0</v>
      </c>
      <c r="F13" s="65" t="n">
        <f aca="false">MAX(0,損益!F12-F11)*輸入與假設!$C$233</f>
        <v>0.815919312395767</v>
      </c>
      <c r="G13" s="65" t="n">
        <f aca="false">MAX(0,損益!G12-G11)*輸入與假設!$C$233</f>
        <v>2.31900970982343</v>
      </c>
      <c r="I13" s="6" t="s">
        <v>1994</v>
      </c>
    </row>
    <row r="14" customFormat="false" ht="15" hidden="false" customHeight="false" outlineLevel="1" collapsed="false">
      <c r="A14" s="76" t="s">
        <v>1995</v>
      </c>
      <c r="B14" s="11" t="s">
        <v>59</v>
      </c>
      <c r="C14" s="39" t="n">
        <f aca="false">損益!C12-C13+損益!C21-C6-C9-C8</f>
        <v>-101.881990631382</v>
      </c>
      <c r="D14" s="39" t="n">
        <f aca="false">損益!D12-D13+損益!D21-D6-D9-D8</f>
        <v>-331.415561496696</v>
      </c>
      <c r="E14" s="39" t="n">
        <f aca="false">損益!E12-E13+損益!E21-E6-E9-E8</f>
        <v>8.18410531983218</v>
      </c>
      <c r="F14" s="39" t="n">
        <f aca="false">損益!F12-F13+損益!F21-F6-F9-F8</f>
        <v>48.9714525623911</v>
      </c>
      <c r="G14" s="39" t="n">
        <f aca="false">損益!G12-G13+損益!G21-G6-G9-G8</f>
        <v>33.8036337044696</v>
      </c>
      <c r="I14" s="6" t="s">
        <v>1996</v>
      </c>
    </row>
    <row r="15" customFormat="false" ht="15" hidden="false" customHeight="false" outlineLevel="1" collapsed="false">
      <c r="A15" s="3" t="s">
        <v>1997</v>
      </c>
      <c r="B15" s="6" t="s">
        <v>181</v>
      </c>
      <c r="C15" s="94" t="n">
        <f aca="false">輸入與假設!$C$278</f>
        <v>0.5</v>
      </c>
      <c r="D15" s="94" t="n">
        <f aca="false">輸入與假設!$D$278</f>
        <v>1.5</v>
      </c>
      <c r="E15" s="94" t="n">
        <f aca="false">輸入與假設!$E$278</f>
        <v>2.5</v>
      </c>
      <c r="F15" s="94" t="n">
        <f aca="false">輸入與假設!$F$278</f>
        <v>3.5</v>
      </c>
      <c r="G15" s="94" t="n">
        <f aca="false">輸入與假設!$G$278</f>
        <v>4.5</v>
      </c>
      <c r="I15" s="6" t="s">
        <v>1998</v>
      </c>
    </row>
    <row r="16" customFormat="false" ht="15" hidden="false" customHeight="false" outlineLevel="1" collapsed="false">
      <c r="A16" s="3" t="s">
        <v>1999</v>
      </c>
      <c r="B16" s="6"/>
      <c r="C16" s="54" t="n">
        <f aca="false">1/(1+輸入與假設!$C$243)^C15</f>
        <v>0.937136706569682</v>
      </c>
      <c r="D16" s="54" t="n">
        <f aca="false">1/(1+輸入與假設!$C$243)^D15</f>
        <v>0.823017077927284</v>
      </c>
      <c r="E16" s="54" t="n">
        <f aca="false">1/(1+輸入與假設!$C$243)^E15</f>
        <v>0.722794343462843</v>
      </c>
      <c r="F16" s="54" t="n">
        <f aca="false">1/(1+輸入與假設!$C$243)^F15</f>
        <v>0.634776211761721</v>
      </c>
      <c r="G16" s="54" t="n">
        <f aca="false">1/(1+輸入與假設!$C$243)^G15</f>
        <v>0.55747646984633</v>
      </c>
    </row>
    <row r="17" customFormat="false" ht="15" hidden="false" customHeight="false" outlineLevel="1" collapsed="false">
      <c r="A17" s="4" t="s">
        <v>2000</v>
      </c>
      <c r="B17" s="11" t="s">
        <v>59</v>
      </c>
      <c r="C17" s="65" t="n">
        <f aca="false">C14*C16</f>
        <v>-95.4773531590562</v>
      </c>
      <c r="D17" s="65" t="n">
        <f aca="false">D14*D16</f>
        <v>-272.760667002641</v>
      </c>
      <c r="E17" s="65" t="n">
        <f aca="false">E14*E16</f>
        <v>5.91542503147886</v>
      </c>
      <c r="F17" s="65" t="n">
        <f aca="false">F14*F16</f>
        <v>31.0859131420235</v>
      </c>
      <c r="G17" s="65" t="n">
        <f aca="false">G14*G16</f>
        <v>18.8447303855461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2001</v>
      </c>
      <c r="C19" s="10" t="n">
        <f aca="false">SUM(C17:G17)</f>
        <v>-312.391951602649</v>
      </c>
      <c r="I19" s="6" t="s">
        <v>2002</v>
      </c>
    </row>
    <row r="20" customFormat="false" ht="15" hidden="false" customHeight="false" outlineLevel="1" collapsed="false">
      <c r="A20" s="3" t="s">
        <v>2003</v>
      </c>
      <c r="C20" s="10" t="n">
        <f aca="false">G14+輸入與假設!G165*(1-各期收支!G7)+輸入與假設!G107*(1-各期收支!G7)</f>
        <v>62.7545213324696</v>
      </c>
      <c r="I20" s="11" t="s">
        <v>2004</v>
      </c>
    </row>
    <row r="21" customFormat="false" ht="15" hidden="false" customHeight="false" outlineLevel="1" collapsed="false">
      <c r="A21" s="3" t="s">
        <v>2005</v>
      </c>
      <c r="C21" s="56" t="n">
        <f aca="false">IF(C30=1,0,C20*(1+輸入與假設!$C$244)/(輸入與假設!$C$243-輸入與假設!$C$244))</f>
        <v>594.85642098717</v>
      </c>
      <c r="I21" s="6" t="s">
        <v>2006</v>
      </c>
    </row>
    <row r="22" customFormat="false" ht="15" hidden="false" customHeight="false" outlineLevel="1" collapsed="false">
      <c r="A22" s="3" t="s">
        <v>2007</v>
      </c>
      <c r="C22" s="56" t="n">
        <f aca="false">C21*G16</f>
        <v>331.61845763735</v>
      </c>
    </row>
    <row r="23" customFormat="false" ht="15" hidden="false" customHeight="false" outlineLevel="1" collapsed="false">
      <c r="A23" s="3" t="s">
        <v>2008</v>
      </c>
      <c r="C23" s="56" t="n">
        <f aca="false">C19+C22</f>
        <v>19.2265060347011</v>
      </c>
    </row>
    <row r="24" customFormat="false" ht="15" hidden="false" customHeight="false" outlineLevel="1" collapsed="false">
      <c r="A24" s="3" t="s">
        <v>2009</v>
      </c>
      <c r="C24" s="10" t="n">
        <f aca="false">-評價_DCF與目標價!$C$70</f>
        <v>-192.033</v>
      </c>
      <c r="I24" s="6" t="s">
        <v>2010</v>
      </c>
    </row>
    <row r="25" customFormat="false" ht="15" hidden="false" customHeight="false" outlineLevel="1" collapsed="false">
      <c r="A25" s="3" t="s">
        <v>2011</v>
      </c>
      <c r="C25" s="56" t="n">
        <f aca="false">C23+C24</f>
        <v>-172.806493965299</v>
      </c>
    </row>
    <row r="26" customFormat="false" ht="15" hidden="false" customHeight="false" outlineLevel="1" collapsed="false">
      <c r="A26" s="76" t="s">
        <v>2012</v>
      </c>
      <c r="C26" s="95" t="n">
        <f aca="false">IF(C30=1,0,IF(輸入與假設!$C$263=2,C32,C31))</f>
        <v>0</v>
      </c>
      <c r="I26" s="6" t="s">
        <v>2013</v>
      </c>
    </row>
    <row r="27" customFormat="false" ht="15" hidden="false" customHeight="false" outlineLevel="1" collapsed="false">
      <c r="A27" s="3" t="s">
        <v>2014</v>
      </c>
      <c r="C27" s="29" t="n">
        <f aca="false">C22/C23</f>
        <v>17.2479834369711</v>
      </c>
      <c r="I27" s="6" t="str">
        <f aca="false">"超過 "&amp;IF(ROUND(ABS(輸入與假設!$C$287)*100,4)=INT(ROUND(ABS(輸入與假設!$C$287)*100,4)),TEXT(ROUND(ABS(輸入與假設!$C$287)*100,4),"0"),TEXT(ROUND(ABS(輸入與假設!$C$287)*100,4),"0.0"))&amp;"%"&amp;"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2015</v>
      </c>
      <c r="C28" s="56" t="n">
        <f aca="false">各期收支!C86/(1+輸入與假設!$C$243)^輸入與假設!$C$279+各期收支!D86/(1+輸入與假設!$C$243)^輸入與假設!$D$279+各期收支!E86/(1+輸入與假設!$C$243)^輸入與假設!$E$279+各期收支!F86/(1+輸入與假設!$C$243)^輸入與假設!$F$279+各期收支!G86/(1+輸入與假設!$C$243)^輸入與假設!$G$279</f>
        <v>1.44595652800325</v>
      </c>
      <c r="I28" s="6" t="s">
        <v>2016</v>
      </c>
    </row>
    <row r="29" customFormat="false" ht="15" hidden="false" customHeight="false" outlineLevel="1" collapsed="false">
      <c r="A29" s="3" t="s">
        <v>2017</v>
      </c>
      <c r="C29" s="96" t="n">
        <f aca="false">評價_DCF與目標價!$C$69+各期收支!G91</f>
        <v>39.4544797904415</v>
      </c>
    </row>
    <row r="30" customFormat="false" ht="15" hidden="false" customHeight="false" outlineLevel="1" collapsed="false">
      <c r="A30" s="4" t="s">
        <v>2018</v>
      </c>
      <c r="C30" s="48" t="n">
        <f aca="false">IF(OR(輸入與假設!$C$243&lt;=輸入與假設!$C$244,C20&lt;=0),1,0)</f>
        <v>0</v>
      </c>
      <c r="I30" s="11" t="s">
        <v>2019</v>
      </c>
    </row>
    <row r="31" customFormat="false" ht="15" hidden="false" customHeight="false" outlineLevel="1" collapsed="false">
      <c r="A31" s="76" t="s">
        <v>2020</v>
      </c>
      <c r="C31" s="47" t="n">
        <f aca="false">MAX(0,(C25+C28)/C29)</f>
        <v>0</v>
      </c>
    </row>
    <row r="32" customFormat="false" ht="15" hidden="false" customHeight="false" outlineLevel="1" collapsed="false">
      <c r="A32" s="76" t="s">
        <v>2021</v>
      </c>
      <c r="C32" s="47" t="n">
        <f aca="false">IF((C23+C28)&lt;=0,0,IF(評價_DCF與目標價!$C$70&lt;=0,(C23+C28),(C23+C28)*NORMSDIST(C33)-評價_DCF與目標價!$C$70*EXP(-輸入與假設!$C$234*輸入與假設!$C$265)*NORMSDIST(C34))/C29)</f>
        <v>0.0158043713801943</v>
      </c>
      <c r="I32" s="11" t="s">
        <v>2022</v>
      </c>
    </row>
    <row r="33" customFormat="false" ht="15" hidden="false" customHeight="false" outlineLevel="1" collapsed="false">
      <c r="A33" s="3" t="s">
        <v>2023</v>
      </c>
      <c r="C33" s="96" t="n">
        <f aca="false">IF(OR((C23+C28)&lt;=0,評價_DCF與目標價!$C$70&lt;=0),0,(LN((C23+C28)/評價_DCF與目標價!$C$70)+(輸入與假設!$C$234+輸入與假設!$C$264^2/2)*輸入與假設!$C$265)/(輸入與假設!$C$264*SQRT(輸入與假設!$C$265)))</f>
        <v>-1.34747656850265</v>
      </c>
    </row>
    <row r="34" customFormat="false" ht="15" hidden="false" customHeight="false" outlineLevel="1" collapsed="false">
      <c r="A34" s="3" t="s">
        <v>2024</v>
      </c>
      <c r="C34" s="96" t="n">
        <f aca="false">C33-輸入與假設!$C$264*SQRT(輸入與假設!$C$265)</f>
        <v>-2.40813674028247</v>
      </c>
    </row>
    <row r="36" customFormat="false" ht="15" hidden="false" customHeight="false" outlineLevel="0" collapsed="false">
      <c r="A36" s="50" t="s">
        <v>2025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2026</v>
      </c>
      <c r="C37" s="97" t="str">
        <f aca="false">CHOOSE(輸入與假設!$C$255,"FY27","FY28","FY29","FY30")</f>
        <v>FY29</v>
      </c>
      <c r="I37" s="6" t="s">
        <v>2027</v>
      </c>
    </row>
    <row r="38" customFormat="false" ht="15" hidden="false" customHeight="false" outlineLevel="1" collapsed="false">
      <c r="A38" s="3" t="s">
        <v>2028</v>
      </c>
      <c r="C38" s="10" t="n">
        <f aca="false">INDEX(損益!$D$22:$G$22,1,輸入與假設!$C$255)</f>
        <v>122.143537559891</v>
      </c>
    </row>
    <row r="39" customFormat="false" ht="15" hidden="false" customHeight="false" outlineLevel="1" collapsed="false">
      <c r="A39" s="3" t="s">
        <v>2029</v>
      </c>
      <c r="C39" s="56" t="n">
        <f aca="false">C45*輸入與假設!$C$249+C44*輸入與假設!$C$254</f>
        <v>2291.01379725841</v>
      </c>
      <c r="I39" s="6" t="s">
        <v>2030</v>
      </c>
    </row>
    <row r="40" customFormat="false" ht="15" hidden="false" customHeight="false" outlineLevel="1" collapsed="false">
      <c r="A40" s="3" t="s">
        <v>2031</v>
      </c>
      <c r="C40" s="10" t="n">
        <f aca="false">INDEX(各期收支!$D$96:$G$96,1,輸入與假設!$C$255)-INDEX(各期收支!$D$54:$G$54,1,輸入與假設!$C$255)+評價_DCF與目標價!$C$71</f>
        <v>731.957795243981</v>
      </c>
      <c r="I40" s="6" t="s">
        <v>2032</v>
      </c>
    </row>
    <row r="41" customFormat="false" ht="15" hidden="false" customHeight="false" outlineLevel="1" collapsed="false">
      <c r="A41" s="3" t="s">
        <v>2033</v>
      </c>
      <c r="C41" s="98" t="n">
        <f aca="false">INDEX(損益!$D$24:$G$24,1,輸入與假設!$C$255)</f>
        <v>40.6464753759315</v>
      </c>
      <c r="I41" s="6" t="s">
        <v>2034</v>
      </c>
    </row>
    <row r="42" customFormat="false" ht="15" hidden="false" customHeight="false" outlineLevel="1" collapsed="false">
      <c r="A42" s="3" t="s">
        <v>2035</v>
      </c>
      <c r="C42" s="98" t="n">
        <f aca="false">1/(1+輸入與假設!$C$243)^(輸入與假設!$C$255-輸入與假設!$C$275)</f>
        <v>0.722794343462843</v>
      </c>
      <c r="I42" s="6" t="s">
        <v>2036</v>
      </c>
    </row>
    <row r="43" customFormat="false" ht="15" hidden="false" customHeight="false" outlineLevel="1" collapsed="false">
      <c r="A43" s="4" t="s">
        <v>2037</v>
      </c>
      <c r="C43" s="47" t="n">
        <f aca="false">MAX(0,(C39-C40)/C41)*C42</f>
        <v>27.7238517971252</v>
      </c>
      <c r="I43" s="6" t="s">
        <v>2038</v>
      </c>
    </row>
    <row r="44" customFormat="false" ht="15" hidden="false" customHeight="false" outlineLevel="1" collapsed="false">
      <c r="A44" s="3" t="s">
        <v>2039</v>
      </c>
      <c r="C44" s="10" t="n">
        <f aca="false">INDEX(輸入與假設!$D$117:$G$117,1,輸入與假設!$C$255)</f>
        <v>105.637462501631</v>
      </c>
      <c r="I44" s="11" t="s">
        <v>2040</v>
      </c>
    </row>
    <row r="45" customFormat="false" ht="15" hidden="false" customHeight="false" outlineLevel="1" collapsed="false">
      <c r="A45" s="3" t="s">
        <v>2041</v>
      </c>
      <c r="C45" s="56" t="n">
        <f aca="false">C38-C44</f>
        <v>16.5060750582602</v>
      </c>
      <c r="I45" s="6" t="s">
        <v>2042</v>
      </c>
    </row>
    <row r="47" customFormat="false" ht="15" hidden="false" customHeight="false" outlineLevel="0" collapsed="false">
      <c r="A47" s="50" t="s">
        <v>2043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2044</v>
      </c>
      <c r="C48" s="12" t="n">
        <f aca="false">C26*(1+輸入與假設!$C$243)^輸入與假設!$C$271</f>
        <v>0</v>
      </c>
      <c r="I48" s="6" t="s">
        <v>2045</v>
      </c>
    </row>
    <row r="49" customFormat="false" ht="15" hidden="false" customHeight="false" outlineLevel="1" collapsed="false">
      <c r="A49" s="4" t="s">
        <v>2046</v>
      </c>
      <c r="C49" s="12" t="n">
        <f aca="false">C48*IF(C30=1,0,輸入與假設!$C$256)</f>
        <v>0</v>
      </c>
    </row>
    <row r="50" customFormat="false" ht="15" hidden="false" customHeight="false" outlineLevel="1" collapsed="false">
      <c r="A50" s="4" t="s">
        <v>2047</v>
      </c>
      <c r="C50" s="12" t="n">
        <f aca="false">C43*IF(C30=1,1,1-輸入與假設!$C$256)</f>
        <v>15.2481184884189</v>
      </c>
    </row>
    <row r="51" customFormat="false" ht="15" hidden="false" customHeight="false" outlineLevel="1" collapsed="false">
      <c r="A51" s="2" t="s">
        <v>2043</v>
      </c>
      <c r="C51" s="99" t="n">
        <f aca="false">SUM(C49:C50)</f>
        <v>15.2481184884189</v>
      </c>
      <c r="I51" s="6" t="s">
        <v>2048</v>
      </c>
    </row>
    <row r="52" customFormat="false" ht="15" hidden="false" customHeight="false" outlineLevel="1" collapsed="false">
      <c r="A52" s="3" t="s">
        <v>2049</v>
      </c>
      <c r="C52" s="12" t="n">
        <f aca="false">輸入與假設!$C$228</f>
        <v>16.83</v>
      </c>
    </row>
    <row r="53" customFormat="false" ht="15" hidden="false" customHeight="false" outlineLevel="1" collapsed="false">
      <c r="A53" s="3" t="s">
        <v>2050</v>
      </c>
      <c r="C53" s="29" t="n">
        <f aca="false">C51/C52-1</f>
        <v>-0.0939917713357773</v>
      </c>
    </row>
    <row r="55" customFormat="false" ht="15" hidden="false" customHeight="false" outlineLevel="0" collapsed="false">
      <c r="A55" s="50" t="s">
        <v>2051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2052</v>
      </c>
      <c r="C56" s="100" t="n">
        <f aca="false">SUMPRODUCT(資產負債_既有債務!$D$20:$D$21*資產負債_既有債務!$G$20:$G$21)</f>
        <v>0</v>
      </c>
      <c r="I56" s="6" t="s">
        <v>2053</v>
      </c>
    </row>
    <row r="57" customFormat="false" ht="15" hidden="false" customHeight="false" outlineLevel="1" collapsed="false">
      <c r="A57" s="3" t="s">
        <v>2054</v>
      </c>
      <c r="C57" s="100" t="n">
        <f aca="false">輸入與假設!$C$229+C56</f>
        <v>39.33849</v>
      </c>
    </row>
    <row r="58" customFormat="false" ht="15" hidden="false" customHeight="false" outlineLevel="1" collapsed="false">
      <c r="A58" s="3" t="s">
        <v>2055</v>
      </c>
      <c r="C58" s="10" t="n">
        <f aca="false">輸入與假設!$C$230+SUMPRODUCT(資產負債_既有債務!$C$20:$C$21*(1-資產負債_既有債務!$G$20:$G$21))+輸入與假設!$C$232</f>
        <v>192.033</v>
      </c>
      <c r="I58" s="6" t="s">
        <v>2056</v>
      </c>
    </row>
    <row r="59" customFormat="false" ht="15" hidden="false" customHeight="false" outlineLevel="1" collapsed="false">
      <c r="A59" s="3" t="s">
        <v>2057</v>
      </c>
      <c r="C59" s="98" t="n">
        <f aca="false">C57+各期收支!G91</f>
        <v>39.4544797904415</v>
      </c>
    </row>
    <row r="60" customFormat="false" ht="15" hidden="false" customHeight="false" outlineLevel="1" collapsed="false">
      <c r="A60" s="3" t="s">
        <v>2058</v>
      </c>
      <c r="C60" s="98" t="n">
        <f aca="false">IF(OR((C23+C28)&lt;=0,C58&lt;=0),0,(LN((C23+C28)/C58)+(輸入與假設!$C$234+輸入與假設!$C$264^2/2)*輸入與假設!$C$265)/(輸入與假設!$C$264*SQRT(輸入與假設!$C$265)))</f>
        <v>-1.34747656850265</v>
      </c>
    </row>
    <row r="61" customFormat="false" ht="15" hidden="false" customHeight="false" outlineLevel="1" collapsed="false">
      <c r="A61" s="3" t="s">
        <v>2059</v>
      </c>
      <c r="C61" s="12" t="n">
        <f aca="false">IF(C30=1,0,IF(輸入與假設!$C$263=2,IF((C23+C28)&lt;=0,0,IF(C58&lt;=0,(C23+C28),(C23+C28)*NORMSDIST(C60)-C58*EXP(-輸入與假設!$C$234*輸入與假設!$C$265)*NORMSDIST(C60-輸入與假設!$C$264*SQRT(輸入與假設!$C$265)))/C59),MAX(0,(C23-C58+C28)/C59)))</f>
        <v>0</v>
      </c>
      <c r="I61" s="6" t="s">
        <v>2060</v>
      </c>
    </row>
    <row r="62" customFormat="false" ht="15" hidden="false" customHeight="false" outlineLevel="1" collapsed="false">
      <c r="A62" s="3" t="s">
        <v>2061</v>
      </c>
      <c r="C62" s="10" t="n">
        <f aca="false">INDEX(各期收支!$D$96:$G$96,1,輸入與假設!$C$255)-INDEX(各期收支!$D$54:$G$54,1,輸入與假設!$C$255)+SUMPRODUCT(資產負債_既有債務!$C$20:$C$21*(資產負債_既有債務!$F$20:$F$21-資產負債_既有債務!$G$20:$G$21))+輸入與假設!$C$232</f>
        <v>731.957795243981</v>
      </c>
      <c r="I62" s="6" t="s">
        <v>2062</v>
      </c>
    </row>
    <row r="63" customFormat="false" ht="15" hidden="false" customHeight="false" outlineLevel="1" collapsed="false">
      <c r="A63" s="3" t="s">
        <v>2063</v>
      </c>
      <c r="C63" s="98" t="n">
        <f aca="false">C57*(1+輸入與假設!$C$260)^輸入與假設!$C$255+INDEX(各期收支!$D$91:$G$91,1,輸入與假設!$C$255)</f>
        <v>40.6464753759315</v>
      </c>
    </row>
    <row r="64" customFormat="false" ht="15" hidden="false" customHeight="false" outlineLevel="1" collapsed="false">
      <c r="A64" s="3" t="s">
        <v>2064</v>
      </c>
      <c r="C64" s="12" t="n">
        <f aca="false">MAX(0,(C39-C62)/C63)*C42</f>
        <v>27.7238517971252</v>
      </c>
    </row>
    <row r="65" customFormat="false" ht="15" hidden="false" customHeight="false" outlineLevel="1" collapsed="false">
      <c r="A65" s="2" t="s">
        <v>2065</v>
      </c>
      <c r="C65" s="95" t="n">
        <f aca="false">C61*(1+輸入與假設!$C$243)^輸入與假設!$C$271*IF(C30=1,0,輸入與假設!$C$256)+C64*IF(C30=1,1,1-輸入與假設!$C$256)</f>
        <v>15.2481184884189</v>
      </c>
    </row>
    <row r="66" customFormat="false" ht="15" hidden="false" customHeight="false" outlineLevel="1" collapsed="false">
      <c r="A66" s="2" t="s">
        <v>2066</v>
      </c>
      <c r="C66" s="95" t="n">
        <f aca="false">MIN(輸入與假設!$C$228,C65)</f>
        <v>15.2481184884189</v>
      </c>
      <c r="I66" s="6" t="s">
        <v>2067</v>
      </c>
    </row>
    <row r="67" customFormat="false" ht="15" hidden="false" customHeight="false" outlineLevel="1" collapsed="false">
      <c r="A67" s="3" t="s">
        <v>2068</v>
      </c>
      <c r="C67" s="100" t="n">
        <f aca="false">SUMPRODUCT(資產負債_既有債務!$D$20:$D$21*資產負債_既有債務!$H$20:$H$21)</f>
        <v>0</v>
      </c>
      <c r="I67" s="6" t="s">
        <v>2069</v>
      </c>
    </row>
    <row r="68" customFormat="false" ht="15" hidden="false" customHeight="false" outlineLevel="1" collapsed="false">
      <c r="A68" s="3" t="s">
        <v>2070</v>
      </c>
      <c r="C68" s="10" t="n">
        <f aca="false">SUMPRODUCT(資產負債_既有債務!$C$20:$C$21*(1-資產負債_既有債務!$H$20:$H$21))</f>
        <v>341.85</v>
      </c>
    </row>
    <row r="69" customFormat="false" ht="15" hidden="false" customHeight="false" outlineLevel="1" collapsed="false">
      <c r="A69" s="2" t="s">
        <v>2071</v>
      </c>
      <c r="C69" s="87" t="n">
        <f aca="false">輸入與假設!$C$229+C67</f>
        <v>39.33849</v>
      </c>
      <c r="I69" s="11" t="s">
        <v>2072</v>
      </c>
    </row>
    <row r="70" customFormat="false" ht="15" hidden="false" customHeight="false" outlineLevel="1" collapsed="false">
      <c r="A70" s="2" t="s">
        <v>2073</v>
      </c>
      <c r="C70" s="57" t="n">
        <f aca="false">輸入與假設!$C$230+C68+輸入與假設!$C$232</f>
        <v>192.033</v>
      </c>
      <c r="I70" s="11" t="s">
        <v>2074</v>
      </c>
    </row>
    <row r="71" customFormat="false" ht="15" hidden="false" customHeight="false" outlineLevel="1" collapsed="false">
      <c r="A71" s="3" t="s">
        <v>2075</v>
      </c>
      <c r="C71" s="10" t="n">
        <f aca="false">SUMPRODUCT(資產負債_既有債務!$C$20:$C$21*(資產負債_既有債務!$F$20:$F$21-資產負債_既有債務!$H$20:$H$21))+輸入與假設!$C$232</f>
        <v>0</v>
      </c>
      <c r="I71" s="6" t="s">
        <v>2076</v>
      </c>
    </row>
    <row r="72" customFormat="false" ht="15" hidden="false" customHeight="false" outlineLevel="1" collapsed="false">
      <c r="A72" s="4" t="s">
        <v>2077</v>
      </c>
      <c r="C72" s="3" t="str">
        <f aca="false">IF(C30=1,"DCF 失效，已以 EV/EBITDA 100% 計。",IF(AND(輸入與假設!$C$263&lt;&gt;2,C87&lt;0),"DCF 為 $0 仍計 "&amp;TEXT(輸入與假設!$C$256,"0%")&amp;" 權重的原因：DCF 沒有失效，而是算出的股權價值為負（每股約 −$"&amp;TEXT(ABS(C87),"0.0")&amp;"），代表自由現金流折現後的企業價值不足以償還淨負債。EV/EBITDA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$"&amp;TEXT(C43,"0.0")&amp;"（"&amp;CHOOSE(D86+2,"賣出","中立","買進")&amp;"）；"&amp;TEXT(輸入與假設!$C$256,"0%")&amp;"／"&amp;TEXT(1-輸入與假設!$C$256,"0%")&amp;" 為判斷值。",""))</f>
        <v>DCF 為 $0 仍計 45% 權重的原因：DCF 沒有失效，而是算出的股權價值為負（每股約 −$4.3），代表自由現金流折現後的企業價值不足以償還淨負債。EV/EBITDA 沒有扣除 GPU 汰換與擴張支出，保留 DCF 權重，是為了讓目標價反映「EBITDA 付不起資本成本」。若不計 DCF，目標價為 $27.7（中立）；45%／55% 為判斷值。</v>
      </c>
      <c r="I72" s="6" t="s">
        <v>2078</v>
      </c>
    </row>
    <row r="74" customFormat="false" ht="15" hidden="false" customHeight="false" outlineLevel="0" collapsed="false">
      <c r="A74" s="50" t="s">
        <v>2079</v>
      </c>
      <c r="B74" s="8"/>
      <c r="C74" s="8"/>
      <c r="D74" s="8"/>
      <c r="E74" s="8"/>
      <c r="F74" s="8"/>
      <c r="G74" s="8"/>
      <c r="H74" s="8"/>
    </row>
    <row r="75" customFormat="false" ht="15" hidden="false" customHeight="false" outlineLevel="1" collapsed="false">
      <c r="A75" s="3" t="s">
        <v>2080</v>
      </c>
      <c r="C75" s="12" t="n">
        <f aca="false">C51</f>
        <v>15.2481184884189</v>
      </c>
      <c r="I75" s="6" t="str">
        <f aca="false">"評等規則不變：空間 ≥"&amp;IF(ROUND(ABS(輸入與假設!$C$281)*100,4)=INT(ROUND(ABS(輸入與假設!$C$281)*100,4)),TEXT(ROUND(ABS(輸入與假設!$C$281)*100,4),"0"),TEXT(ROUND(ABS(輸入與假設!$C$281)*100,4),"0.0"))&amp;"%"&amp;" 且終值占比 &lt;"&amp;IF(ROUND(ABS(輸入與假設!$C$282)*100,4)=INT(ROUND(ABS(輸入與假設!$C$282)*100,4)),TEXT(ROUND(ABS(輸入與假設!$C$282)*100,4),"0"),TEXT(ROUND(ABS(輸入與假設!$C$282)*100,4),"0.0"))&amp;"%"&amp;"、股權募資 ≤"&amp;IF(輸入與假設!$C$284=INT(輸入與假設!$C$284),TEXT(輸入與假設!$C$284,"0"),TEXT(輸入與假設!$C$284,"0.0"))&amp;" 倍現市值 → 買進；空間 ≤−"&amp;IF(ROUND(ABS(輸入與假設!$C$283)*100,4)=INT(ROUND(ABS(輸入與假設!$C$283)*100,4)),TEXT(ROUND(ABS(輸入與假設!$C$283)*100,4),"0"),TEXT(ROUND(ABS(輸入與假設!$C$283)*100,4),"0.0"))&amp;"%"&amp;"，或股權募資 &gt;"&amp;IF(輸入與假設!$C$284=INT(輸入與假設!$C$284),TEXT(輸入與假設!$C$284,"0"),TEXT(輸入與假設!$C$284,"0.0"))&amp;" 倍且空間 ≤−"&amp;IF(ROUND(ABS(輸入與假設!$C$285)*100,4)=INT(ROUND(ABS(輸入與假設!$C$285)*100,4)),TEXT(ROUND(ABS(輸入與假設!$C$285)*100,4),"0"),TEXT(ROUND(ABS(輸入與假設!$C$285)*100,4),"0.0"))&amp;"%"&amp;"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76" customFormat="false" ht="15" hidden="false" customHeight="false" outlineLevel="1" collapsed="false">
      <c r="A76" s="3" t="s">
        <v>2081</v>
      </c>
      <c r="C76" s="13" t="n">
        <f aca="false">C22/MAX(ABS(C23),1)*IF(C23=0,1,SIGN(C23))</f>
        <v>17.2479834369711</v>
      </c>
    </row>
    <row r="77" customFormat="false" ht="15" hidden="false" customHeight="false" outlineLevel="1" collapsed="false">
      <c r="A77" s="3" t="s">
        <v>2082</v>
      </c>
      <c r="C77" s="16" t="n">
        <f aca="false">SUM(各期收支!C86:G86)/(輸入與假設!$C$228*輸入與假設!$C$229)</f>
        <v>0.00265365578082351</v>
      </c>
    </row>
    <row r="78" customFormat="false" ht="15" hidden="false" customHeight="false" outlineLevel="1" collapsed="false">
      <c r="A78" s="3" t="s">
        <v>2083</v>
      </c>
      <c r="C78" s="9" t="n">
        <f aca="false">IF(AND((C51/MAX(輸入與假設!$C$228,0.01)-1)&gt;=輸入與假設!$C$281,$C$76&lt;輸入與假設!$C$282,$C$77&lt;=輸入與假設!$C$284),1,IF(OR((C51/MAX(輸入與假設!$C$228,0.01)-1)&lt;=輸入與假設!$C$283,AND($C$77&gt;輸入與假設!$C$284,(C51/MAX(輸入與假設!$C$228,0.01)-1)&lt;=輸入與假設!$C$285)),-1,0))</f>
        <v>0</v>
      </c>
      <c r="D78" s="9" t="str">
        <f aca="false">CHOOSE(C78+2,"賣出","中立","買進")</f>
        <v>中立</v>
      </c>
    </row>
    <row r="79" customFormat="false" ht="15" hidden="false" customHeight="false" outlineLevel="1" collapsed="false">
      <c r="A79" s="3" t="s">
        <v>2084</v>
      </c>
      <c r="C79" s="12" t="n">
        <f aca="false">輸入與假設!$C$228*(1+輸入與假設!$C$283)</f>
        <v>14.3055</v>
      </c>
    </row>
    <row r="80" customFormat="false" ht="15" hidden="false" customHeight="false" outlineLevel="1" collapsed="false">
      <c r="A80" s="3" t="s">
        <v>2085</v>
      </c>
      <c r="C80" s="12" t="n">
        <f aca="false">輸入與假設!D315</f>
        <v>11.4795061690524</v>
      </c>
      <c r="D80" s="9" t="n">
        <f aca="false">輸入與假設!E315</f>
        <v>-1</v>
      </c>
      <c r="E80" s="12" t="n">
        <f aca="false">C80-$C$79</f>
        <v>-2.82599383094764</v>
      </c>
      <c r="I80" s="6" t="s">
        <v>2086</v>
      </c>
    </row>
    <row r="81" customFormat="false" ht="15" hidden="false" customHeight="false" outlineLevel="1" collapsed="false">
      <c r="A81" s="3" t="s">
        <v>2087</v>
      </c>
      <c r="C81" s="12" t="n">
        <f aca="false">輸入與假設!D316</f>
        <v>15.2481184884189</v>
      </c>
      <c r="D81" s="9" t="n">
        <f aca="false">輸入與假設!E316</f>
        <v>0</v>
      </c>
      <c r="E81" s="12" t="n">
        <f aca="false">C81-$C$79</f>
        <v>0.942618488418868</v>
      </c>
    </row>
    <row r="82" customFormat="false" ht="15" hidden="false" customHeight="false" outlineLevel="1" collapsed="false">
      <c r="A82" s="3" t="s">
        <v>2088</v>
      </c>
      <c r="C82" s="12" t="n">
        <f aca="false">輸入與假設!D317</f>
        <v>25.3637818713434</v>
      </c>
      <c r="D82" s="9" t="n">
        <f aca="false">輸入與假設!E317</f>
        <v>1</v>
      </c>
      <c r="E82" s="12" t="n">
        <f aca="false">C82-$C$79</f>
        <v>11.0582818713434</v>
      </c>
    </row>
    <row r="83" customFormat="false" ht="15" hidden="false" customHeight="false" outlineLevel="1" collapsed="false">
      <c r="A83" s="3" t="s">
        <v>2089</v>
      </c>
      <c r="C83" s="12" t="n">
        <f aca="false">MIN(C80,C82)</f>
        <v>11.4795061690524</v>
      </c>
      <c r="D83" s="12" t="n">
        <f aca="false">MAX(C80,C82)</f>
        <v>25.3637818713434</v>
      </c>
    </row>
    <row r="84" customFormat="false" ht="15" hidden="false" customHeight="false" outlineLevel="1" collapsed="false">
      <c r="A84" s="3" t="s">
        <v>2090</v>
      </c>
      <c r="C84" s="16" t="n">
        <f aca="false">MIN(輸入與假設!$C$258,輸入與假設!$C$259)</f>
        <v>5</v>
      </c>
      <c r="D84" s="16" t="n">
        <f aca="false">MAX(輸入與假設!$C$258,輸入與假設!$C$259)</f>
        <v>6</v>
      </c>
    </row>
    <row r="85" customFormat="false" ht="15" hidden="false" customHeight="false" outlineLevel="1" collapsed="false">
      <c r="A85" s="3" t="s">
        <v>2091</v>
      </c>
      <c r="C85" s="12" t="n">
        <f aca="false">MIN(C48*IF(C30=1,0,輸入與假設!$C$256)+MAX(0,(C45*C84+C44*輸入與假設!$C$254-C40)/C41)*C42*IF(C30=1,1,1-輸入與假設!$C$256),C48*IF(C30=1,0,輸入與假設!$C$256)+MAX(0,(C45*D84+C44*輸入與假設!$C$254-C40)/C41)*C42*IF(C30=1,1,1-輸入與假設!$C$256))</f>
        <v>15.0866832430256</v>
      </c>
      <c r="D85" s="12" t="n">
        <f aca="false">MAX(C48*IF(C30=1,0,輸入與假設!$C$256)+MAX(0,(C45*C84+C44*輸入與假設!$C$254-C40)/C41)*C42*IF(C30=1,1,1-輸入與假設!$C$256),C48*IF(C30=1,0,輸入與假設!$C$256)+MAX(0,(C45*D84+C44*輸入與假設!$C$254-C40)/C41)*C42*IF(C30=1,1,1-輸入與假設!$C$256))</f>
        <v>15.2481184884189</v>
      </c>
      <c r="I85" s="6" t="s">
        <v>2092</v>
      </c>
    </row>
    <row r="86" customFormat="false" ht="15" hidden="false" customHeight="false" outlineLevel="1" collapsed="false">
      <c r="A86" s="3" t="s">
        <v>2093</v>
      </c>
      <c r="C86" s="12" t="n">
        <f aca="false">C43</f>
        <v>27.7238517971252</v>
      </c>
      <c r="D86" s="9" t="n">
        <f aca="false">IF(AND((C43/MAX(輸入與假設!$C$228,0.01)-1)&gt;=輸入與假設!$C$281,$C$76&lt;輸入與假設!$C$282,$C$77&lt;=輸入與假設!$C$284),1,IF(OR((C43/MAX(輸入與假設!$C$228,0.01)-1)&lt;=輸入與假設!$C$283,AND($C$77&gt;輸入與假設!$C$284,(C43/MAX(輸入與假設!$C$228,0.01)-1)&lt;=輸入與假設!$C$285)),-1,0))</f>
        <v>0</v>
      </c>
      <c r="E86" s="12" t="str">
        <f aca="false">CHOOSE(D86+2,"賣出","中立","買進")</f>
        <v>中立</v>
      </c>
    </row>
    <row r="87" customFormat="false" ht="15" hidden="false" customHeight="false" outlineLevel="1" collapsed="false">
      <c r="A87" s="3" t="s">
        <v>2094</v>
      </c>
      <c r="C87" s="12" t="n">
        <f aca="false">(C25+C28)/C29</f>
        <v>-4.34324665658906</v>
      </c>
    </row>
    <row r="88" customFormat="false" ht="15" hidden="false" customHeight="false" outlineLevel="1" collapsed="false">
      <c r="A88" s="3" t="s">
        <v>2095</v>
      </c>
      <c r="C88" s="3" t="str">
        <f aca="false">"目標價 $"&amp;TEXT(C51,"0.0")&amp;"（情境區間 $"&amp;TEXT(C83,"0.0")&amp;"–$"&amp;TEXT(D83,"0.0")&amp;"）"</f>
        <v>目標價 $15.2（情境區間 $11.5–$25.4）</v>
      </c>
    </row>
    <row r="89" customFormat="false" ht="15" hidden="false" customHeight="false" outlineLevel="1" collapsed="false">
      <c r="A89" s="3" t="s">
        <v>2096</v>
      </c>
      <c r="C89" s="3" t="str">
        <f aca="false">"方法區間（目前情境，"&amp;IF(C84=INT(C84),TEXT(C84,"0"),TEXT(C84,"0.0"))&amp;"–"&amp;IF(D84=INT(D84),TEXT(D84,"0"),TEXT(D84,"0.0"))&amp;"x）"</f>
        <v>方法區間（目前情境，5–6x）</v>
      </c>
    </row>
    <row r="90" customFormat="false" ht="15" hidden="false" customHeight="false" outlineLevel="1" collapsed="false">
      <c r="A90" s="3" t="s">
        <v>2097</v>
      </c>
      <c r="C90" s="3" t="str">
        <f aca="false">IF(ABS(輸入與假設!$C$249-D84)&lt;0.000000001,"目前點位位於方法區間上緣（"&amp;IF(D84=INT(D84),TEXT(D84,"0"),TEXT(D84,"0.0"))&amp;"x 為穩態倍數上緣）",IF(ABS(輸入與假設!$C$249-C84)&lt;0.000000001,"目前點位位於方法區間下緣（"&amp;IF(C84=INT(C84),TEXT(C84,"0"),TEXT(C84,"0.0"))&amp;"x）","目前點位"&amp;IF(AND(輸入與假設!$C$249&gt;C84,輸入與假設!$C$249&lt;D84),"位於方法區間內",IF(輸入與假設!$C$249&gt;D84,"高於方法區間上緣","低於方法區間下緣"))&amp;"（目前倍數 "&amp;IF(輸入與假設!$C$249=INT(輸入與假設!$C$249),TEXT(輸入與假設!$C$249,"0"),TEXT(輸入與假設!$C$249,"0.0"))&amp;"x）"))</f>
        <v>目前點位位於方法區間上緣（6x 為穩態倍數上緣）</v>
      </c>
    </row>
    <row r="91" customFormat="false" ht="15" hidden="false" customHeight="false" outlineLevel="1" collapsed="false">
      <c r="A91" s="2" t="s">
        <v>2098</v>
      </c>
      <c r="C91" s="3" t="str">
        <f aca="false">IF(D83&lt;輸入與假設!$C$228,"情境區間上緣 $"&amp;TEXT(D83,"0.0")&amp;" 低於現價 $"&amp;TEXT(輸入與假設!$C$228,"0.00")&amp;IF((D80&lt;&gt;-1)+(D81&lt;&gt;-1)+(D82&lt;&gt;-1)&gt;0,"，但"&amp;SUBSTITUTE(TRIM(IF(D80&lt;&gt;-1,"保守","")&amp;" "&amp;IF(D81&lt;&gt;-1,"基準","")&amp;" "&amp;IF(D82&lt;&gt;-1,"積極",""))," ","、")&amp;"情境未達賣出門檻 $"&amp;TEXT($C$79,"0.0"),"：賣出在三個擴張情境下都成立"),"情境區間上緣 $"&amp;TEXT(D83,"0.0")&amp;" 不低於現價 $"&amp;TEXT(輸入與假設!$C$228,"0.00")&amp;"：賣出並非在三個擴張情境下都成立")&amp;"。"&amp;IF(ABS(E80)&lt;輸入與假設!$C$286*輸入與假設!$C$228,"保守情境 $"&amp;TEXT(C80,"0.0")&amp;"，"&amp;IF(E80&lt;0,"距賣出門檻","高於賣出門檻")&amp;" $"&amp;TEXT($C$79,"0.0")&amp;" 僅 $"&amp;TEXT(ABS(E80),"0.0")&amp;"。","")&amp;IF(ABS(E81)&lt;輸入與假設!$C$286*輸入與假設!$C$228,"基準情境 $"&amp;TEXT(C81,"0.0")&amp;"，"&amp;IF(E81&lt;0,"距賣出門檻","高於賣出門檻")&amp;" $"&amp;TEXT($C$79,"0.0")&amp;" 僅 $"&amp;TEXT(ABS(E81),"0.0")&amp;"。","")&amp;IF(ABS(E82)&lt;輸入與假設!$C$286*輸入與假設!$C$228,"積極情境 $"&amp;TEXT(C82,"0.0")&amp;"，"&amp;IF(E82&lt;0,"距賣出門檻","高於賣出門檻")&amp;" $"&amp;TEXT($C$79,"0.0")&amp;" 僅 $"&amp;TEXT(ABS(E82),"0.0")&amp;"。","")</f>
        <v>情境區間上緣 $25.4 不低於現價 $16.83：賣出並非在三個擴張情境下都成立。</v>
      </c>
    </row>
    <row r="93" customFormat="false" ht="15" hidden="false" customHeight="false" outlineLevel="0" collapsed="false">
      <c r="A93" s="50" t="s">
        <v>2099</v>
      </c>
      <c r="B93" s="8"/>
      <c r="C93" s="8"/>
      <c r="D93" s="8"/>
      <c r="E93" s="8"/>
      <c r="F93" s="8"/>
      <c r="G93" s="8"/>
      <c r="H93" s="8"/>
    </row>
    <row r="94" customFormat="false" ht="15" hidden="false" customHeight="false" outlineLevel="1" collapsed="false">
      <c r="A94" s="14" t="s">
        <v>2100</v>
      </c>
      <c r="B94" s="14" t="s">
        <v>2101</v>
      </c>
      <c r="C94" s="15" t="s">
        <v>56</v>
      </c>
      <c r="D94" s="15" t="s">
        <v>57</v>
      </c>
      <c r="E94" s="15" t="s">
        <v>139</v>
      </c>
      <c r="F94" s="15" t="s">
        <v>140</v>
      </c>
      <c r="I94" s="11" t="s">
        <v>2102</v>
      </c>
    </row>
    <row r="95" customFormat="false" ht="15" hidden="false" customHeight="false" outlineLevel="1" collapsed="false">
      <c r="A95" s="3" t="s">
        <v>2103</v>
      </c>
      <c r="B95" s="101" t="n">
        <v>3.4</v>
      </c>
      <c r="C95" s="12" t="n">
        <f aca="false">MAX(0,((INDEX(損益!$D$22:$G$22,1,1)-INDEX(輸入與假設!$D$117:$G$117,1,1))*$B95+INDEX(輸入與假設!$D$117:$G$117,1,1)*輸入與假設!$C$254-(INDEX(各期收支!$D$96:$G$96,1,1)-INDEX(各期收支!$D$54:$G$54,1,1)+評價_DCF與目標價!$C$71))/INDEX(損益!$D$24:$G$24,1,1))/(1+輸入與假設!$C$243)^(1-輸入與假設!$C$275)</f>
        <v>8.75407599793517</v>
      </c>
      <c r="D95" s="12" t="n">
        <f aca="false">MAX(0,((INDEX(損益!$D$22:$G$22,1,2)-INDEX(輸入與假設!$D$117:$G$117,1,2))*$B95+INDEX(輸入與假設!$D$117:$G$117,1,2)*輸入與假設!$C$254-(INDEX(各期收支!$D$96:$G$96,1,2)-INDEX(各期收支!$D$54:$G$54,1,2)+評價_DCF與目標價!$C$71))/INDEX(損益!$D$24:$G$24,1,2))/(1+輸入與假設!$C$243)^(2-輸入與假設!$C$275)</f>
        <v>22.0994455676439</v>
      </c>
      <c r="E95" s="12" t="n">
        <f aca="false">MAX(0,((INDEX(損益!$D$22:$G$22,1,3)-INDEX(輸入與假設!$D$117:$G$117,1,3))*$B95+INDEX(輸入與假設!$D$117:$G$117,1,3)*輸入與假設!$C$254-(INDEX(各期收支!$D$96:$G$96,1,3)-INDEX(各期收支!$D$54:$G$54,1,3)+評價_DCF與目標價!$C$71))/INDEX(損益!$D$24:$G$24,1,3))/(1+輸入與假設!$C$243)^(3-輸入與假設!$C$275)</f>
        <v>26.9607033643569</v>
      </c>
      <c r="F95" s="12" t="n">
        <f aca="false">MAX(0,((INDEX(損益!$D$22:$G$22,1,4)-INDEX(輸入與假設!$D$117:$G$117,1,4))*$B95+INDEX(輸入與假設!$D$117:$G$117,1,4)*輸入與假設!$C$254-(INDEX(各期收支!$D$96:$G$96,1,4)-INDEX(各期收支!$D$54:$G$54,1,4)+評價_DCF與目標價!$C$71))/INDEX(損益!$D$24:$G$24,1,4))/(1+輸入與假設!$C$243)^(4-輸入與假設!$C$275)</f>
        <v>27.6702609403675</v>
      </c>
    </row>
    <row r="96" customFormat="false" ht="15" hidden="false" customHeight="false" outlineLevel="1" collapsed="false">
      <c r="A96" s="3" t="s">
        <v>2104</v>
      </c>
      <c r="B96" s="101" t="n">
        <v>4.5</v>
      </c>
      <c r="C96" s="12" t="n">
        <f aca="false">MAX(0,((INDEX(損益!$D$22:$G$22,1,1)-INDEX(輸入與假設!$D$117:$G$117,1,1))*$B96+INDEX(輸入與假設!$D$117:$G$117,1,1)*輸入與假設!$C$254-(INDEX(各期收支!$D$96:$G$96,1,1)-INDEX(各期收支!$D$54:$G$54,1,1)+評價_DCF與目標價!$C$71))/INDEX(損益!$D$24:$G$24,1,1))/(1+輸入與假設!$C$243)^(1-輸入與假設!$C$275)</f>
        <v>8.04278806383745</v>
      </c>
      <c r="D96" s="12" t="n">
        <f aca="false">MAX(0,((INDEX(損益!$D$22:$G$22,1,2)-INDEX(輸入與假設!$D$117:$G$117,1,2))*$B96+INDEX(輸入與假設!$D$117:$G$117,1,2)*輸入與假設!$C$254-(INDEX(各期收支!$D$96:$G$96,1,2)-INDEX(各期收支!$D$54:$G$54,1,2)+評價_DCF與目標價!$C$71))/INDEX(損益!$D$24:$G$24,1,2))/(1+輸入與假設!$C$243)^(2-輸入與假設!$C$275)</f>
        <v>21.9195971612957</v>
      </c>
      <c r="E96" s="12" t="n">
        <f aca="false">MAX(0,((INDEX(損益!$D$22:$G$22,1,3)-INDEX(輸入與假設!$D$117:$G$117,1,3))*$B96+INDEX(輸入與假設!$D$117:$G$117,1,3)*輸入與假設!$C$254-(INDEX(各期收支!$D$96:$G$96,1,3)-INDEX(各期收支!$D$54:$G$54,1,3)+評價_DCF與目標價!$C$71))/INDEX(損益!$D$24:$G$24,1,3))/(1+輸入與假設!$C$243)^(3-輸入與假設!$C$275)</f>
        <v>27.2835738551435</v>
      </c>
      <c r="F96" s="12" t="n">
        <f aca="false">MAX(0,((INDEX(損益!$D$22:$G$22,1,4)-INDEX(輸入與假設!$D$117:$G$117,1,4))*$B96+INDEX(輸入與假設!$D$117:$G$117,1,4)*輸入與假設!$C$254-(INDEX(各期收支!$D$96:$G$96,1,4)-INDEX(各期收支!$D$54:$G$54,1,4)+評價_DCF與目標價!$C$71))/INDEX(損益!$D$24:$G$24,1,4))/(1+輸入與假設!$C$243)^(4-輸入與假設!$C$275)</f>
        <v>28.5536945496985</v>
      </c>
    </row>
    <row r="97" customFormat="false" ht="15" hidden="false" customHeight="false" outlineLevel="1" collapsed="false">
      <c r="A97" s="3" t="s">
        <v>2105</v>
      </c>
      <c r="B97" s="101" t="n">
        <v>5</v>
      </c>
      <c r="C97" s="12" t="n">
        <f aca="false">MAX(0,((INDEX(損益!$D$22:$G$22,1,1)-INDEX(輸入與假設!$D$117:$G$117,1,1))*$B97+INDEX(輸入與假設!$D$117:$G$117,1,1)*輸入與假設!$C$254-(INDEX(各期收支!$D$96:$G$96,1,1)-INDEX(各期收支!$D$54:$G$54,1,1)+評價_DCF與目標價!$C$71))/INDEX(損益!$D$24:$G$24,1,1))/(1+輸入與假設!$C$243)^(1-輸入與假設!$C$275)</f>
        <v>7.7194753665203</v>
      </c>
      <c r="D97" s="12" t="n">
        <f aca="false">MAX(0,((INDEX(損益!$D$22:$G$22,1,2)-INDEX(輸入與假設!$D$117:$G$117,1,2))*$B97+INDEX(輸入與假設!$D$117:$G$117,1,2)*輸入與假設!$C$254-(INDEX(各期收支!$D$96:$G$96,1,2)-INDEX(各期收支!$D$54:$G$54,1,2)+評價_DCF與目標價!$C$71))/INDEX(損益!$D$24:$G$24,1,2))/(1+輸入與假設!$C$243)^(2-輸入與假設!$C$275)</f>
        <v>21.8378478856829</v>
      </c>
      <c r="E97" s="12" t="n">
        <f aca="false">MAX(0,((INDEX(損益!$D$22:$G$22,1,3)-INDEX(輸入與假設!$D$117:$G$117,1,3))*$B97+INDEX(輸入與假設!$D$117:$G$117,1,3)*輸入與假設!$C$254-(INDEX(各期收支!$D$96:$G$96,1,3)-INDEX(各期收支!$D$54:$G$54,1,3)+評價_DCF與目標價!$C$71))/INDEX(損益!$D$24:$G$24,1,3))/(1+輸入與假設!$C$243)^(3-輸入與假設!$C$275)</f>
        <v>27.4303331691374</v>
      </c>
      <c r="F97" s="12" t="n">
        <f aca="false">MAX(0,((INDEX(損益!$D$22:$G$22,1,4)-INDEX(輸入與假設!$D$117:$G$117,1,4))*$B97+INDEX(輸入與假設!$D$117:$G$117,1,4)*輸入與假設!$C$254-(INDEX(各期收支!$D$96:$G$96,1,4)-INDEX(各期收支!$D$54:$G$54,1,4)+評價_DCF與目標價!$C$71))/INDEX(損益!$D$24:$G$24,1,4))/(1+輸入與假設!$C$243)^(4-輸入與假設!$C$275)</f>
        <v>28.9552552812126</v>
      </c>
    </row>
    <row r="98" customFormat="false" ht="15" hidden="false" customHeight="false" outlineLevel="1" collapsed="false">
      <c r="A98" s="3" t="s">
        <v>2106</v>
      </c>
      <c r="B98" s="101" t="n">
        <v>6</v>
      </c>
      <c r="C98" s="12" t="n">
        <f aca="false">MAX(0,((INDEX(損益!$D$22:$G$22,1,1)-INDEX(輸入與假設!$D$117:$G$117,1,1))*$B98+INDEX(輸入與假設!$D$117:$G$117,1,1)*輸入與假設!$C$254-(INDEX(各期收支!$D$96:$G$96,1,1)-INDEX(各期收支!$D$54:$G$54,1,1)+評價_DCF與目標價!$C$71))/INDEX(損益!$D$24:$G$24,1,1))/(1+輸入與假設!$C$243)^(1-輸入與假設!$C$275)</f>
        <v>7.072849971886</v>
      </c>
      <c r="D98" s="12" t="n">
        <f aca="false">MAX(0,((INDEX(損益!$D$22:$G$22,1,2)-INDEX(輸入與假設!$D$117:$G$117,1,2))*$B98+INDEX(輸入與假設!$D$117:$G$117,1,2)*輸入與假設!$C$254-(INDEX(各期收支!$D$96:$G$96,1,2)-INDEX(各期收支!$D$54:$G$54,1,2)+評價_DCF與目標價!$C$71))/INDEX(損益!$D$24:$G$24,1,2))/(1+輸入與假設!$C$243)^(2-輸入與假設!$C$275)</f>
        <v>21.6743493344572</v>
      </c>
      <c r="E98" s="12" t="n">
        <f aca="false">MAX(0,((INDEX(損益!$D$22:$G$22,1,3)-INDEX(輸入與假設!$D$117:$G$117,1,3))*$B98+INDEX(輸入與假設!$D$117:$G$117,1,3)*輸入與假設!$C$254-(INDEX(各期收支!$D$96:$G$96,1,3)-INDEX(各期收支!$D$54:$G$54,1,3)+評價_DCF與目標價!$C$71))/INDEX(損益!$D$24:$G$24,1,3))/(1+輸入與假設!$C$243)^(3-輸入與假設!$C$275)</f>
        <v>27.7238517971252</v>
      </c>
      <c r="F98" s="12" t="n">
        <f aca="false">MAX(0,((INDEX(損益!$D$22:$G$22,1,4)-INDEX(輸入與假設!$D$117:$G$117,1,4))*$B98+INDEX(輸入與假設!$D$117:$G$117,1,4)*輸入與假設!$C$254-(INDEX(各期收支!$D$96:$G$96,1,4)-INDEX(各期收支!$D$54:$G$54,1,4)+評價_DCF與目標價!$C$71))/INDEX(損益!$D$24:$G$24,1,4))/(1+輸入與假設!$C$243)^(4-輸入與假設!$C$275)</f>
        <v>29.7583767442408</v>
      </c>
    </row>
    <row r="99" customFormat="false" ht="15" hidden="false" customHeight="false" outlineLevel="1" collapsed="false">
      <c r="A99" s="3" t="s">
        <v>2107</v>
      </c>
      <c r="B99" s="101" t="n">
        <v>7</v>
      </c>
      <c r="C99" s="12" t="n">
        <f aca="false">MAX(0,((INDEX(損益!$D$22:$G$22,1,1)-INDEX(輸入與假設!$D$117:$G$117,1,1))*$B99+INDEX(輸入與假設!$D$117:$G$117,1,1)*輸入與假設!$C$254-(INDEX(各期收支!$D$96:$G$96,1,1)-INDEX(各期收支!$D$54:$G$54,1,1)+評價_DCF與目標價!$C$71))/INDEX(損益!$D$24:$G$24,1,1))/(1+輸入與假設!$C$243)^(1-輸入與假設!$C$275)</f>
        <v>6.42622457725171</v>
      </c>
      <c r="D99" s="12" t="n">
        <f aca="false">MAX(0,((INDEX(損益!$D$22:$G$22,1,2)-INDEX(輸入與假設!$D$117:$G$117,1,2))*$B99+INDEX(輸入與假設!$D$117:$G$117,1,2)*輸入與假設!$C$254-(INDEX(各期收支!$D$96:$G$96,1,2)-INDEX(各期收支!$D$54:$G$54,1,2)+評價_DCF與目標價!$C$71))/INDEX(損益!$D$24:$G$24,1,2))/(1+輸入與假設!$C$243)^(2-輸入與假設!$C$275)</f>
        <v>21.5108507832316</v>
      </c>
      <c r="E99" s="12" t="n">
        <f aca="false">MAX(0,((INDEX(損益!$D$22:$G$22,1,3)-INDEX(輸入與假設!$D$117:$G$117,1,3))*$B99+INDEX(輸入與假設!$D$117:$G$117,1,3)*輸入與假設!$C$254-(INDEX(各期收支!$D$96:$G$96,1,3)-INDEX(各期收支!$D$54:$G$54,1,3)+評價_DCF與目標價!$C$71))/INDEX(損益!$D$24:$G$24,1,3))/(1+輸入與假設!$C$243)^(3-輸入與假設!$C$275)</f>
        <v>28.017370425113</v>
      </c>
      <c r="F99" s="12" t="n">
        <f aca="false">MAX(0,((INDEX(損益!$D$22:$G$22,1,4)-INDEX(輸入與假設!$D$117:$G$117,1,4))*$B99+INDEX(輸入與假設!$D$117:$G$117,1,4)*輸入與假設!$C$254-(INDEX(各期收支!$D$96:$G$96,1,4)-INDEX(各期收支!$D$54:$G$54,1,4)+評價_DCF與目標價!$C$71))/INDEX(損益!$D$24:$G$24,1,4))/(1+輸入與假設!$C$243)^(4-輸入與假設!$C$275)</f>
        <v>30.5614982072689</v>
      </c>
    </row>
    <row r="100" customFormat="false" ht="15" hidden="false" customHeight="false" outlineLevel="1" collapsed="false"/>
    <row r="101" customFormat="false" ht="15" hidden="false" customHeight="false" outlineLevel="1" collapsed="false">
      <c r="A101" s="14" t="s">
        <v>2108</v>
      </c>
      <c r="B101" s="14" t="s">
        <v>2101</v>
      </c>
      <c r="C101" s="15" t="s">
        <v>56</v>
      </c>
      <c r="D101" s="15" t="s">
        <v>57</v>
      </c>
      <c r="E101" s="15" t="s">
        <v>139</v>
      </c>
      <c r="F101" s="15" t="s">
        <v>140</v>
      </c>
    </row>
    <row r="102" customFormat="false" ht="15" hidden="false" customHeight="false" outlineLevel="1" collapsed="false">
      <c r="A102" s="3" t="s">
        <v>2109</v>
      </c>
      <c r="B102" s="101" t="n">
        <v>3.4</v>
      </c>
      <c r="C102" s="12" t="n">
        <f aca="false">C48*IF(C30=1,0,輸入與假設!$C$256)+C95*IF(C30=1,1,1-輸入與假設!$C$256)</f>
        <v>4.81474179886434</v>
      </c>
      <c r="D102" s="12" t="n">
        <f aca="false">C48*IF(C30=1,0,輸入與假設!$C$256)+D95*IF(C30=1,1,1-輸入與假設!$C$256)</f>
        <v>12.1546950622042</v>
      </c>
      <c r="E102" s="12" t="n">
        <f aca="false">C48*IF(C30=1,0,輸入與假設!$C$256)+E95*IF(C30=1,1,1-輸入與假設!$C$256)</f>
        <v>14.8283868503963</v>
      </c>
      <c r="F102" s="12" t="n">
        <f aca="false">C48*IF(C30=1,0,輸入與假設!$C$256)+F95*IF(C30=1,1,1-輸入與假設!$C$256)</f>
        <v>15.2186435172021</v>
      </c>
    </row>
    <row r="103" customFormat="false" ht="15" hidden="false" customHeight="false" outlineLevel="1" collapsed="false">
      <c r="A103" s="3" t="s">
        <v>2110</v>
      </c>
      <c r="B103" s="101" t="n">
        <v>4.5</v>
      </c>
      <c r="C103" s="12" t="n">
        <f aca="false">C48*IF(C30=1,0,輸入與假設!$C$256)+C96*IF(C30=1,1,1-輸入與假設!$C$256)</f>
        <v>4.4235334351106</v>
      </c>
      <c r="D103" s="12" t="n">
        <f aca="false">C48*IF(C30=1,0,輸入與假設!$C$256)+D96*IF(C30=1,1,1-輸入與假設!$C$256)</f>
        <v>12.0557784387126</v>
      </c>
      <c r="E103" s="12" t="n">
        <f aca="false">C48*IF(C30=1,0,輸入與假設!$C$256)+E96*IF(C30=1,1,1-輸入與假設!$C$256)</f>
        <v>15.0059656203289</v>
      </c>
      <c r="F103" s="12" t="n">
        <f aca="false">C48*IF(C30=1,0,輸入與假設!$C$256)+F96*IF(C30=1,1,1-輸入與假設!$C$256)</f>
        <v>15.7045320023342</v>
      </c>
    </row>
    <row r="104" customFormat="false" ht="15" hidden="false" customHeight="false" outlineLevel="1" collapsed="false">
      <c r="A104" s="3" t="s">
        <v>2111</v>
      </c>
      <c r="B104" s="101" t="n">
        <v>5</v>
      </c>
      <c r="C104" s="12" t="n">
        <f aca="false">C48*IF(C30=1,0,輸入與假設!$C$256)+C97*IF(C30=1,1,1-輸入與假設!$C$256)</f>
        <v>4.24571145158616</v>
      </c>
      <c r="D104" s="12" t="n">
        <f aca="false">C48*IF(C30=1,0,輸入與假設!$C$256)+D97*IF(C30=1,1,1-輸入與假設!$C$256)</f>
        <v>12.0108163371256</v>
      </c>
      <c r="E104" s="12" t="n">
        <f aca="false">C48*IF(C30=1,0,輸入與假設!$C$256)+E97*IF(C30=1,1,1-輸入與假設!$C$256)</f>
        <v>15.0866832430256</v>
      </c>
      <c r="F104" s="12" t="n">
        <f aca="false">C48*IF(C30=1,0,輸入與假設!$C$256)+F97*IF(C30=1,1,1-輸入與假設!$C$256)</f>
        <v>15.9253904046669</v>
      </c>
    </row>
    <row r="105" customFormat="false" ht="15" hidden="false" customHeight="false" outlineLevel="1" collapsed="false">
      <c r="A105" s="3" t="s">
        <v>2112</v>
      </c>
      <c r="B105" s="101" t="n">
        <v>6</v>
      </c>
      <c r="C105" s="12" t="n">
        <f aca="false">C48*IF(C30=1,0,輸入與假設!$C$256)+C98*IF(C30=1,1,1-輸入與假設!$C$256)</f>
        <v>3.8900674845373</v>
      </c>
      <c r="D105" s="12" t="n">
        <f aca="false">C48*IF(C30=1,0,輸入與假設!$C$256)+D98*IF(C30=1,1,1-輸入與假設!$C$256)</f>
        <v>11.9208921339515</v>
      </c>
      <c r="E105" s="12" t="n">
        <f aca="false">C48*IF(C30=1,0,輸入與假設!$C$256)+E98*IF(C30=1,1,1-輸入與假設!$C$256)</f>
        <v>15.2481184884189</v>
      </c>
      <c r="F105" s="12" t="n">
        <f aca="false">C48*IF(C30=1,0,輸入與假設!$C$256)+F98*IF(C30=1,1,1-輸入與假設!$C$256)</f>
        <v>16.3671072093324</v>
      </c>
    </row>
    <row r="106" customFormat="false" ht="15" hidden="false" customHeight="false" outlineLevel="1" collapsed="false">
      <c r="A106" s="3" t="s">
        <v>2113</v>
      </c>
      <c r="B106" s="101" t="n">
        <v>7</v>
      </c>
      <c r="C106" s="12" t="n">
        <f aca="false">C48*IF(C30=1,0,輸入與假設!$C$256)+C99*IF(C30=1,1,1-輸入與假設!$C$256)</f>
        <v>3.53442351748844</v>
      </c>
      <c r="D106" s="12" t="n">
        <f aca="false">C48*IF(C30=1,0,輸入與假設!$C$256)+D99*IF(C30=1,1,1-輸入與假設!$C$256)</f>
        <v>11.8309679307774</v>
      </c>
      <c r="E106" s="12" t="n">
        <f aca="false">C48*IF(C30=1,0,輸入與假設!$C$256)+E99*IF(C30=1,1,1-輸入與假設!$C$256)</f>
        <v>15.4095537338122</v>
      </c>
      <c r="F106" s="12" t="n">
        <f aca="false">C48*IF(C30=1,0,輸入與假設!$C$256)+F99*IF(C30=1,1,1-輸入與假設!$C$256)</f>
        <v>16.8088240139979</v>
      </c>
    </row>
  </sheetData>
  <conditionalFormatting sqref="C95:F99">
    <cfRule type="cellIs" priority="2" operator="greaterThanOrEqual" aboveAverage="0" equalAverage="0" bottom="0" percent="0" rank="0" text="" dxfId="0">
      <formula>輸入與假設!$C$228</formula>
    </cfRule>
  </conditionalFormatting>
  <conditionalFormatting sqref="C102:F106">
    <cfRule type="cellIs" priority="3" operator="greaterThanOrEqual" aboveAverage="0" equalAverage="0" bottom="0" percent="0" rank="0" text="" dxfId="0">
      <formula>輸入與假設!$C$228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19.4" hidden="false" customHeight="false" outlineLevel="0" collapsed="false">
      <c r="A1" s="5" t="s">
        <v>2114</v>
      </c>
    </row>
    <row r="2" customFormat="false" ht="15" hidden="false" customHeight="false" outlineLevel="0" collapsed="false">
      <c r="A2" s="6" t="s">
        <v>2115</v>
      </c>
    </row>
    <row r="4" customFormat="false" ht="15" hidden="false" customHeight="false" outlineLevel="0" collapsed="false">
      <c r="A4" s="50" t="s">
        <v>2116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2049</v>
      </c>
      <c r="B5" s="102" t="n">
        <f aca="false">輸入與假設!$C$228</f>
        <v>16.83</v>
      </c>
    </row>
    <row r="6" customFormat="false" ht="15" hidden="false" customHeight="false" outlineLevel="1" collapsed="false">
      <c r="A6" s="3" t="s">
        <v>2117</v>
      </c>
      <c r="B6" s="102" t="n">
        <f aca="false">評價_DCF與目標價!C26</f>
        <v>0</v>
      </c>
    </row>
    <row r="7" customFormat="false" ht="15" hidden="false" customHeight="false" outlineLevel="1" collapsed="false">
      <c r="A7" s="2" t="s">
        <v>2118</v>
      </c>
      <c r="B7" s="99" t="n">
        <f aca="false">B6-B5</f>
        <v>-16.83</v>
      </c>
    </row>
    <row r="8" customFormat="false" ht="15" hidden="false" customHeight="false" outlineLevel="1" collapsed="false">
      <c r="A8" s="3" t="s">
        <v>2119</v>
      </c>
      <c r="B8" s="103" t="n">
        <f aca="false">輸入與假設!$C$39</f>
        <v>1</v>
      </c>
      <c r="C8" s="103" t="n">
        <f aca="false">輸入與假設!$C$141</f>
        <v>1</v>
      </c>
    </row>
    <row r="10" customFormat="false" ht="15" hidden="false" customHeight="false" outlineLevel="0" collapsed="false">
      <c r="A10" s="50" t="s">
        <v>2120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2121</v>
      </c>
    </row>
    <row r="12" customFormat="false" ht="15" hidden="false" customHeight="false" outlineLevel="1" collapsed="false">
      <c r="A12" s="6" t="s">
        <v>2122</v>
      </c>
    </row>
    <row r="13" customFormat="false" ht="15" hidden="false" customHeight="false" outlineLevel="1" collapsed="false">
      <c r="A13" s="6" t="s">
        <v>2123</v>
      </c>
    </row>
    <row r="14" customFormat="false" ht="15" hidden="false" customHeight="false" outlineLevel="1" collapsed="false">
      <c r="A14" s="6" t="s">
        <v>2124</v>
      </c>
    </row>
    <row r="16" customFormat="false" ht="15" hidden="false" customHeight="false" outlineLevel="0" collapsed="false">
      <c r="A16" s="50" t="s">
        <v>2125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2126</v>
      </c>
      <c r="B17" s="14" t="s">
        <v>2127</v>
      </c>
      <c r="C17" s="14" t="s">
        <v>2128</v>
      </c>
      <c r="D17" s="14" t="s">
        <v>2129</v>
      </c>
      <c r="G17" s="14" t="s">
        <v>2130</v>
      </c>
    </row>
    <row r="18" customFormat="false" ht="15" hidden="false" customHeight="false" outlineLevel="1" collapsed="false">
      <c r="A18" s="4" t="s">
        <v>2131</v>
      </c>
      <c r="B18" s="104" t="n">
        <v>12.3408</v>
      </c>
      <c r="C18" s="104" t="n">
        <v>28.5719</v>
      </c>
      <c r="D18" s="59" t="n">
        <v>1.3152</v>
      </c>
      <c r="G18" s="11" t="s">
        <v>2132</v>
      </c>
    </row>
    <row r="19" customFormat="false" ht="15" hidden="false" customHeight="false" outlineLevel="1" collapsed="false">
      <c r="A19" s="3" t="s">
        <v>2133</v>
      </c>
      <c r="B19" s="104" t="n">
        <v>37.5864</v>
      </c>
      <c r="C19" s="104" t="n">
        <v>4.8226</v>
      </c>
      <c r="D19" s="59" t="n">
        <v>-0.8717</v>
      </c>
      <c r="G19" s="11" t="s">
        <v>2134</v>
      </c>
    </row>
    <row r="20" customFormat="false" ht="15" hidden="false" customHeight="false" outlineLevel="1" collapsed="false">
      <c r="A20" s="3" t="s">
        <v>325</v>
      </c>
      <c r="B20" s="59" t="n">
        <v>0.47</v>
      </c>
      <c r="C20" s="61" t="s">
        <v>2135</v>
      </c>
      <c r="D20" s="61" t="s">
        <v>2135</v>
      </c>
      <c r="G20" s="6" t="s">
        <v>2136</v>
      </c>
    </row>
    <row r="21" customFormat="false" ht="15" hidden="false" customHeight="false" outlineLevel="1" collapsed="false">
      <c r="A21" s="3" t="s">
        <v>2137</v>
      </c>
      <c r="B21" s="104" t="n">
        <v>12.3408</v>
      </c>
      <c r="C21" s="104" t="n">
        <v>15.4556</v>
      </c>
      <c r="D21" s="59" t="n">
        <v>0.2524</v>
      </c>
      <c r="G21" s="6" t="s">
        <v>2138</v>
      </c>
    </row>
    <row r="23" customFormat="false" ht="15" hidden="false" customHeight="false" outlineLevel="0" collapsed="false">
      <c r="A23" s="50" t="s">
        <v>2139</v>
      </c>
      <c r="B23" s="8"/>
      <c r="C23" s="8"/>
      <c r="D23" s="8"/>
      <c r="E23" s="8"/>
      <c r="F23" s="8"/>
      <c r="G23" s="8"/>
    </row>
    <row r="24" customFormat="false" ht="15" hidden="false" customHeight="false" outlineLevel="1" collapsed="false">
      <c r="A24" s="14" t="s">
        <v>2140</v>
      </c>
      <c r="B24" s="105" t="n">
        <v>0.35</v>
      </c>
      <c r="C24" s="105" t="n">
        <v>0.47</v>
      </c>
      <c r="D24" s="105" t="n">
        <v>0.59</v>
      </c>
      <c r="E24" s="105" t="n">
        <v>0.7</v>
      </c>
      <c r="I24" s="6" t="s">
        <v>2141</v>
      </c>
    </row>
    <row r="25" customFormat="false" ht="15" hidden="false" customHeight="false" outlineLevel="1" collapsed="false">
      <c r="A25" s="4" t="s">
        <v>2142</v>
      </c>
      <c r="B25" s="104" t="n">
        <v>30.52</v>
      </c>
      <c r="C25" s="104" t="n">
        <v>22.98</v>
      </c>
      <c r="D25" s="104" t="n">
        <v>18.43</v>
      </c>
      <c r="E25" s="104" t="n">
        <v>15.6</v>
      </c>
    </row>
    <row r="26" customFormat="false" ht="15" hidden="false" customHeight="false" outlineLevel="1" collapsed="false">
      <c r="A26" s="4" t="s">
        <v>2143</v>
      </c>
      <c r="B26" s="104" t="n">
        <v>32.99</v>
      </c>
      <c r="C26" s="104" t="n">
        <v>24.85</v>
      </c>
      <c r="D26" s="104" t="n">
        <v>19.92</v>
      </c>
      <c r="E26" s="104" t="n">
        <v>16.86</v>
      </c>
    </row>
    <row r="27" customFormat="false" ht="15" hidden="false" customHeight="false" outlineLevel="1" collapsed="false">
      <c r="A27" s="4" t="s">
        <v>2144</v>
      </c>
      <c r="B27" s="104" t="n">
        <v>35.47</v>
      </c>
      <c r="C27" s="104" t="n">
        <v>26.71</v>
      </c>
      <c r="D27" s="104" t="n">
        <v>21.42</v>
      </c>
      <c r="E27" s="104" t="n">
        <v>18.13</v>
      </c>
    </row>
    <row r="28" customFormat="false" ht="15" hidden="false" customHeight="false" outlineLevel="1" collapsed="false">
      <c r="A28" s="4" t="s">
        <v>2145</v>
      </c>
      <c r="B28" s="104" t="n">
        <v>37.94</v>
      </c>
      <c r="C28" s="106" t="n">
        <v>28.57</v>
      </c>
      <c r="D28" s="104" t="n">
        <v>22.91</v>
      </c>
      <c r="E28" s="104" t="n">
        <v>19.39</v>
      </c>
    </row>
    <row r="29" customFormat="false" ht="15" hidden="false" customHeight="false" outlineLevel="1" collapsed="false">
      <c r="A29" s="4" t="s">
        <v>2146</v>
      </c>
      <c r="B29" s="104" t="n">
        <v>40.42</v>
      </c>
      <c r="C29" s="104" t="n">
        <v>30.44</v>
      </c>
      <c r="D29" s="104" t="n">
        <v>24.41</v>
      </c>
      <c r="E29" s="104" t="n">
        <v>20.66</v>
      </c>
    </row>
    <row r="30" customFormat="false" ht="15" hidden="false" customHeight="false" outlineLevel="1" collapsed="false">
      <c r="A30" s="6" t="s">
        <v>2147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19.4" hidden="false" customHeight="false" outlineLevel="0" collapsed="false">
      <c r="A1" s="5" t="s">
        <v>2148</v>
      </c>
    </row>
    <row r="2" customFormat="false" ht="15" hidden="false" customHeight="false" outlineLevel="0" collapsed="false">
      <c r="A2" s="11" t="s">
        <v>2149</v>
      </c>
    </row>
    <row r="4" customFormat="false" ht="15" hidden="false" customHeight="false" outlineLevel="0" collapsed="false">
      <c r="A4" s="14" t="s">
        <v>2150</v>
      </c>
      <c r="B4" s="14" t="s">
        <v>2151</v>
      </c>
      <c r="C4" s="14" t="s">
        <v>2152</v>
      </c>
      <c r="D4" s="15" t="s">
        <v>2153</v>
      </c>
      <c r="E4" s="15" t="s">
        <v>2154</v>
      </c>
      <c r="F4" s="107" t="s">
        <v>2155</v>
      </c>
      <c r="G4" s="14" t="s">
        <v>2156</v>
      </c>
      <c r="H4" s="15" t="s">
        <v>2157</v>
      </c>
      <c r="I4" s="15" t="s">
        <v>2158</v>
      </c>
      <c r="J4" s="14" t="s">
        <v>2159</v>
      </c>
      <c r="K4" s="14" t="s">
        <v>699</v>
      </c>
    </row>
    <row r="5" customFormat="false" ht="15" hidden="false" customHeight="false" outlineLevel="0" collapsed="false">
      <c r="A5" s="4" t="s">
        <v>2160</v>
      </c>
      <c r="B5" s="25" t="n">
        <v>49110</v>
      </c>
      <c r="C5" s="25" t="n">
        <v>46030</v>
      </c>
      <c r="D5" s="58" t="n">
        <f aca="false">B5+C5</f>
        <v>95140</v>
      </c>
      <c r="E5" s="25" t="n">
        <v>7590</v>
      </c>
      <c r="F5" s="108" t="n">
        <f aca="false">D5/E5</f>
        <v>12.5349143610013</v>
      </c>
      <c r="G5" s="109" t="n">
        <f aca="false">(D5+16540)/E5</f>
        <v>14.7140974967062</v>
      </c>
      <c r="H5" s="25" t="n">
        <f aca="false">-231+3991</f>
        <v>3760</v>
      </c>
      <c r="I5" s="109" t="n">
        <f aca="false">IF(H5&gt;0,D5/H5,"n/m")</f>
        <v>25.3031914893617</v>
      </c>
      <c r="J5" s="11" t="s">
        <v>2161</v>
      </c>
      <c r="K5" s="6" t="s">
        <v>2162</v>
      </c>
    </row>
    <row r="6" customFormat="false" ht="15" hidden="false" customHeight="false" outlineLevel="0" collapsed="false">
      <c r="A6" s="4" t="s">
        <v>2163</v>
      </c>
      <c r="B6" s="25" t="n">
        <v>68490</v>
      </c>
      <c r="C6" s="25" t="n">
        <v>2150</v>
      </c>
      <c r="D6" s="58" t="n">
        <f aca="false">B6+C6</f>
        <v>70640</v>
      </c>
      <c r="E6" s="25" t="n">
        <v>1360</v>
      </c>
      <c r="F6" s="108" t="n">
        <f aca="false">D6/E6</f>
        <v>51.9411764705882</v>
      </c>
      <c r="G6" s="109" t="n">
        <f aca="false">(D6+1625.3)/E6</f>
        <v>53.13625</v>
      </c>
      <c r="H6" s="25" t="n">
        <f aca="false">-612+418</f>
        <v>-194</v>
      </c>
      <c r="I6" s="109" t="str">
        <f aca="false">IF(H6&gt;0,D6/H6,"n/m")</f>
        <v>n/m</v>
      </c>
      <c r="J6" s="6" t="s">
        <v>2164</v>
      </c>
      <c r="K6" s="6" t="s">
        <v>2165</v>
      </c>
    </row>
    <row r="7" customFormat="false" ht="15" hidden="false" customHeight="false" outlineLevel="0" collapsed="false">
      <c r="A7" s="4" t="s">
        <v>2166</v>
      </c>
      <c r="B7" s="25" t="n">
        <v>18610</v>
      </c>
      <c r="C7" s="25" t="n">
        <v>1700</v>
      </c>
      <c r="D7" s="58" t="n">
        <f aca="false">B7+C7</f>
        <v>20310</v>
      </c>
      <c r="E7" s="25" t="n">
        <v>707</v>
      </c>
      <c r="F7" s="108" t="n">
        <f aca="false">D7/E7</f>
        <v>28.7270155586987</v>
      </c>
      <c r="G7" s="109" t="n">
        <f aca="false">(D7+3)/E7</f>
        <v>28.7312588401697</v>
      </c>
      <c r="H7" s="25" t="n">
        <f aca="false">-1047+418</f>
        <v>-629</v>
      </c>
      <c r="I7" s="109" t="str">
        <f aca="false">IF(H7&gt;0,D7/H7,"n/m")</f>
        <v>n/m</v>
      </c>
      <c r="J7" s="11" t="s">
        <v>2167</v>
      </c>
      <c r="K7" s="6" t="s">
        <v>2168</v>
      </c>
    </row>
    <row r="8" customFormat="false" ht="15" hidden="false" customHeight="false" outlineLevel="0" collapsed="false">
      <c r="A8" s="4" t="s">
        <v>2169</v>
      </c>
      <c r="B8" s="25" t="n">
        <v>6940</v>
      </c>
      <c r="C8" s="25" t="n">
        <v>7870</v>
      </c>
      <c r="D8" s="58" t="n">
        <f aca="false">B8+C8</f>
        <v>14810</v>
      </c>
      <c r="E8" s="25" t="n">
        <v>611.3</v>
      </c>
      <c r="F8" s="108" t="n">
        <f aca="false">D8/E8</f>
        <v>24.2270570914445</v>
      </c>
      <c r="G8" s="109" t="n">
        <f aca="false">(D8+66)/E8</f>
        <v>24.3350237199411</v>
      </c>
      <c r="H8" s="25" t="n">
        <f aca="false">-236+67</f>
        <v>-169</v>
      </c>
      <c r="I8" s="109" t="str">
        <f aca="false">IF(H8&gt;0,D8/H8,"n/m")</f>
        <v>n/m</v>
      </c>
      <c r="J8" s="6" t="s">
        <v>2170</v>
      </c>
      <c r="K8" s="6" t="s">
        <v>2171</v>
      </c>
    </row>
    <row r="9" customFormat="false" ht="15" hidden="false" customHeight="false" outlineLevel="0" collapsed="false">
      <c r="A9" s="4" t="s">
        <v>2172</v>
      </c>
      <c r="B9" s="25" t="n">
        <v>5750</v>
      </c>
      <c r="C9" s="25" t="n">
        <v>3680</v>
      </c>
      <c r="D9" s="58" t="n">
        <f aca="false">B9+C9</f>
        <v>9430</v>
      </c>
      <c r="E9" s="25" t="n">
        <v>440.3</v>
      </c>
      <c r="F9" s="108" t="n">
        <f aca="false">D9/E9</f>
        <v>21.4172155348626</v>
      </c>
      <c r="G9" s="109" t="n">
        <f aca="false">(D9+109)/E9</f>
        <v>21.6647740177152</v>
      </c>
      <c r="H9" s="25" t="n">
        <f aca="false">-561+63</f>
        <v>-498</v>
      </c>
      <c r="I9" s="109" t="str">
        <f aca="false">IF(H9&gt;0,D9/H9,"n/m")</f>
        <v>n/m</v>
      </c>
      <c r="J9" s="6" t="s">
        <v>2173</v>
      </c>
      <c r="K9" s="6" t="s">
        <v>2174</v>
      </c>
    </row>
    <row r="10" customFormat="false" ht="15" hidden="false" customHeight="false" outlineLevel="0" collapsed="false">
      <c r="A10" s="2" t="s">
        <v>2175</v>
      </c>
      <c r="F10" s="92" t="n">
        <f aca="false">MEDIAN(F5:F9)</f>
        <v>24.2270570914445</v>
      </c>
      <c r="G10" s="110" t="n">
        <f aca="false">MEDIAN(G5:G9)</f>
        <v>24.3350237199411</v>
      </c>
    </row>
    <row r="11" customFormat="false" ht="15" hidden="false" customHeight="false" outlineLevel="0" collapsed="false">
      <c r="A11" s="76" t="s">
        <v>2176</v>
      </c>
      <c r="B11" s="90" t="n">
        <v>759.364</v>
      </c>
      <c r="C11" s="91" t="n">
        <f aca="false">輸入與假設!$C$230+SUMPRODUCT(資產負債_既有債務!$C$20:$C$21*(1-資產負債_既有債務!$H$15:$H$16))+輸入與假設!$C$232</f>
        <v>192.033</v>
      </c>
      <c r="D11" s="56" t="n">
        <f aca="false">B11+C11</f>
        <v>951.397</v>
      </c>
      <c r="E11" s="90" t="n">
        <v>94.503</v>
      </c>
      <c r="F11" s="92" t="n">
        <f aca="false">D11/E11</f>
        <v>10.0673735225337</v>
      </c>
      <c r="G11" s="110" t="n">
        <f aca="false">(D11+15.376)/E11</f>
        <v>10.2300773520417</v>
      </c>
      <c r="H11" s="90" t="n">
        <f aca="false">-39.975+27.478</f>
        <v>-12.497</v>
      </c>
      <c r="I11" s="110" t="str">
        <f aca="false">IF(H11&gt;0,D11/H11,"n/m")</f>
        <v>n/m</v>
      </c>
      <c r="J11" s="11" t="s">
        <v>2177</v>
      </c>
      <c r="K11" s="11" t="s">
        <v>2178</v>
      </c>
    </row>
    <row r="12" customFormat="false" ht="15" hidden="false" customHeight="false" outlineLevel="0" collapsed="false">
      <c r="A12" s="4" t="s">
        <v>2179</v>
      </c>
      <c r="B12" s="56" t="n">
        <f aca="false">輸入與假設!$C$228*評價_DCF與目標價!$C$69</f>
        <v>662.0667867</v>
      </c>
      <c r="C12" s="56" t="n">
        <f aca="false">評價_DCF與目標價!$C$70</f>
        <v>192.033</v>
      </c>
      <c r="D12" s="56" t="n">
        <f aca="false">B12+C12</f>
        <v>854.0997867</v>
      </c>
      <c r="E12" s="91" t="n">
        <f aca="false">損益!D9</f>
        <v>227.080143357358</v>
      </c>
      <c r="F12" s="110" t="n">
        <f aca="false">D12/E12</f>
        <v>3.7612262088275</v>
      </c>
      <c r="G12" s="110" t="n">
        <f aca="false">(D12+15.376)/E12</f>
        <v>3.82893798570357</v>
      </c>
      <c r="H12" s="91" t="n">
        <f aca="false">損益!D22</f>
        <v>28.270594044399</v>
      </c>
      <c r="I12" s="110" t="n">
        <f aca="false">D12/H12</f>
        <v>30.2115967339999</v>
      </c>
      <c r="K12" s="6" t="s">
        <v>2180</v>
      </c>
    </row>
    <row r="14" customFormat="false" ht="15" hidden="false" customHeight="false" outlineLevel="0" collapsed="false">
      <c r="A14" s="6" t="s">
        <v>2181</v>
      </c>
    </row>
    <row r="15" customFormat="false" ht="15" hidden="false" customHeight="false" outlineLevel="0" collapsed="false">
      <c r="A15" s="11" t="s">
        <v>2182</v>
      </c>
    </row>
    <row r="16" customFormat="false" ht="15" hidden="false" customHeight="false" outlineLevel="0" collapsed="false">
      <c r="A16" s="6" t="s">
        <v>2183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2184</v>
      </c>
    </row>
    <row r="3" customFormat="false" ht="15" hidden="false" customHeight="false" outlineLevel="0" collapsed="false">
      <c r="A3" s="14" t="s">
        <v>2185</v>
      </c>
      <c r="B3" s="14" t="s">
        <v>2186</v>
      </c>
      <c r="C3" s="14" t="s">
        <v>2187</v>
      </c>
      <c r="D3" s="14" t="s">
        <v>2188</v>
      </c>
      <c r="E3" s="14" t="s">
        <v>428</v>
      </c>
    </row>
    <row r="4" customFormat="false" ht="15" hidden="false" customHeight="false" outlineLevel="0" collapsed="false">
      <c r="A4" s="4" t="s">
        <v>190</v>
      </c>
      <c r="B4" s="13" t="n">
        <f aca="false">SUM(輸入與假設!C42:G42)</f>
        <v>1</v>
      </c>
      <c r="C4" s="111" t="n">
        <f aca="false">輸入與假設!$C$34</f>
        <v>1</v>
      </c>
      <c r="D4" s="2" t="str">
        <f aca="false">IF(ABS(B4-C4)&lt;0.0001,"通過","不一致")</f>
        <v>通過</v>
      </c>
      <c r="E4" s="6" t="s">
        <v>2189</v>
      </c>
    </row>
    <row r="5" customFormat="false" ht="15" hidden="false" customHeight="false" outlineLevel="0" collapsed="false">
      <c r="A5" s="3" t="s">
        <v>2190</v>
      </c>
      <c r="B5" s="10" t="n">
        <f aca="false">各期收支!C110</f>
        <v>-1.13686837721616E-013</v>
      </c>
      <c r="C5" s="6" t="n">
        <f aca="false">0</f>
        <v>0</v>
      </c>
      <c r="D5" s="2" t="str">
        <f aca="false">IF(ABS(B5)&lt;10,"通過","不一致")</f>
        <v>通過</v>
      </c>
      <c r="E5" s="6" t="s">
        <v>2191</v>
      </c>
    </row>
    <row r="6" customFormat="false" ht="15" hidden="false" customHeight="false" outlineLevel="0" collapsed="false">
      <c r="A6" s="4" t="s">
        <v>2192</v>
      </c>
      <c r="B6" s="9" t="n">
        <f aca="false">運營_產能與收入!G9-運營_產能與收入!G10</f>
        <v>2.148</v>
      </c>
      <c r="C6" s="11" t="s">
        <v>2193</v>
      </c>
      <c r="D6" s="2" t="str">
        <f aca="false">IF(B6&gt;=0,"通過","不一致")</f>
        <v>通過</v>
      </c>
      <c r="E6" s="6" t="s">
        <v>2194</v>
      </c>
    </row>
    <row r="7" customFormat="false" ht="15" hidden="false" customHeight="false" outlineLevel="0" collapsed="false">
      <c r="A7" s="4" t="s">
        <v>2195</v>
      </c>
      <c r="B7" s="10" t="n">
        <f aca="false">各期收支!C114</f>
        <v>473.244419912925</v>
      </c>
      <c r="C7" s="6" t="s">
        <v>2196</v>
      </c>
      <c r="D7" s="2" t="str">
        <f aca="false">"不適用"</f>
        <v>不適用</v>
      </c>
      <c r="E7" s="11" t="s">
        <v>2197</v>
      </c>
    </row>
    <row r="8" customFormat="false" ht="15" hidden="false" customHeight="false" outlineLevel="0" collapsed="false">
      <c r="A8" s="4" t="s">
        <v>2198</v>
      </c>
      <c r="B8" s="10" t="n">
        <f aca="false">各期收支!C113</f>
        <v>122.090001249499</v>
      </c>
      <c r="C8" s="6" t="s">
        <v>2196</v>
      </c>
      <c r="D8" s="2" t="str">
        <f aca="false">"不適用"</f>
        <v>不適用</v>
      </c>
      <c r="E8" s="11" t="s">
        <v>2199</v>
      </c>
    </row>
    <row r="9" customFormat="false" ht="15" hidden="false" customHeight="false" outlineLevel="0" collapsed="false">
      <c r="A9" s="4" t="s">
        <v>2200</v>
      </c>
      <c r="B9" s="48" t="n">
        <f aca="false">SUM(各期收支!C6:G6)/((運營_產能與收入!G9-輸入與假設!$C$36)/1000)/1000</f>
        <v>52.1977247158267</v>
      </c>
      <c r="C9" s="11" t="s">
        <v>2201</v>
      </c>
      <c r="D9" s="2" t="str">
        <f aca="false">IF(AND(B9&gt;=TK_CapexIT_GB300_Lo,B9&lt;=TK_CapexIT_GB300_Hi),"通過","觀察")</f>
        <v>觀察</v>
      </c>
      <c r="E9" s="11" t="s">
        <v>2202</v>
      </c>
    </row>
    <row r="10" customFormat="false" ht="15" hidden="false" customHeight="false" outlineLevel="0" collapsed="false">
      <c r="A10" s="3" t="s">
        <v>2203</v>
      </c>
      <c r="B10" s="16" t="n">
        <f aca="false">資產負債_租賃承諾!C23</f>
        <v>1</v>
      </c>
      <c r="C10" s="11" t="s">
        <v>2204</v>
      </c>
      <c r="D10" s="2" t="str">
        <f aca="false">IF(B10&gt;=0.8,"通過","不一致")</f>
        <v>通過</v>
      </c>
      <c r="E10" s="6" t="s">
        <v>2205</v>
      </c>
    </row>
    <row r="11" customFormat="false" ht="15" hidden="false" customHeight="false" outlineLevel="0" collapsed="false">
      <c r="A11" s="4" t="s">
        <v>2206</v>
      </c>
      <c r="B11" s="10" t="n">
        <f aca="false">各期收支!C115</f>
        <v>21.5977264456522</v>
      </c>
      <c r="C11" s="11" t="s">
        <v>2207</v>
      </c>
      <c r="D11" s="2" t="str">
        <f aca="false">IF(B11&gt;=8,"通過","觀察")</f>
        <v>通過</v>
      </c>
      <c r="E11" s="6" t="str">
        <f aca="false">"1H 實際 8.011＋2H 模型 "&amp;TEXT(各期收支!C18,"0.0")&amp;"；公司未提供季度利息指引（不適用）"</f>
        <v>1H 實際 8.011＋2H 模型 13.6；公司未提供季度利息指引（不適用）</v>
      </c>
    </row>
    <row r="12" customFormat="false" ht="15" hidden="false" customHeight="false" outlineLevel="0" collapsed="false">
      <c r="A12" s="4" t="s">
        <v>2208</v>
      </c>
      <c r="B12" s="29" t="n">
        <f aca="false">SUM(運營_產能與收入!E24:G24)/SUM(運營_產能與收入!E26:G26)</f>
        <v>0.984785793609195</v>
      </c>
      <c r="C12" s="11" t="s">
        <v>2209</v>
      </c>
      <c r="D12" s="2" t="str">
        <f aca="false">IF(B12&lt;0.5,"通過","觀察")</f>
        <v>觀察</v>
      </c>
      <c r="E12" s="11" t="s">
        <v>2210</v>
      </c>
    </row>
    <row r="13" customFormat="false" ht="15" hidden="false" customHeight="false" outlineLevel="0" collapsed="false">
      <c r="A13" s="3" t="s">
        <v>2211</v>
      </c>
      <c r="B13" s="56" t="n">
        <f aca="false">損益!D6-運營_產能與收入!D26</f>
        <v>0</v>
      </c>
      <c r="C13" s="6" t="n">
        <f aca="false">0</f>
        <v>0</v>
      </c>
      <c r="D13" s="2" t="str">
        <f aca="false">IF(ABS(B13)&lt;1,"通過","不一致")</f>
        <v>通過</v>
      </c>
      <c r="E13" s="11" t="s">
        <v>2212</v>
      </c>
    </row>
    <row r="14" customFormat="false" ht="15" hidden="false" customHeight="false" outlineLevel="0" collapsed="false">
      <c r="A14" s="3" t="s">
        <v>2014</v>
      </c>
      <c r="B14" s="13" t="n">
        <f aca="false">評價_DCF與目標價!C27</f>
        <v>17.2479834369711</v>
      </c>
      <c r="C14" s="6" t="str">
        <f aca="false">"&lt;"&amp;IF(ROUND(ABS(輸入與假設!$C$287)*100,4)=INT(ROUND(ABS(輸入與假設!$C$287)*100,4)),TEXT(ROUND(ABS(輸入與假設!$C$287)*100,4),"0"),TEXT(ROUND(ABS(輸入與假設!$C$287)*100,4),"0.0"))&amp;"%"</f>
        <v>&lt;85%</v>
      </c>
      <c r="D14" s="2" t="str">
        <f aca="false">IF(B14&lt;輸入與假設!$C$287,"通過","觀察")</f>
        <v>觀察</v>
      </c>
      <c r="E14" s="6" t="s">
        <v>2213</v>
      </c>
    </row>
    <row r="15" customFormat="false" ht="15" hidden="false" customHeight="false" outlineLevel="0" collapsed="false">
      <c r="A15" s="4" t="s">
        <v>2214</v>
      </c>
      <c r="B15" s="112" t="n">
        <f aca="false">(損益!D22+損益!D11-輸入與假設!D117-輸入與假設!D51)/(損益!D6+損益!D7)-輸入與假設!D127</f>
        <v>0</v>
      </c>
      <c r="C15" s="6" t="n">
        <f aca="false">0</f>
        <v>0</v>
      </c>
      <c r="D15" s="2" t="str">
        <f aca="false">IF(ABS(B15)&lt;0.0001,"通過","不一致")</f>
        <v>通過</v>
      </c>
      <c r="E15" s="6" t="s">
        <v>2215</v>
      </c>
    </row>
    <row r="16" customFormat="false" ht="15" hidden="false" customHeight="false" outlineLevel="0" collapsed="false">
      <c r="A16" s="3" t="s">
        <v>2216</v>
      </c>
      <c r="B16" s="56" t="n">
        <f aca="false">(運營_產能與收入!D52+運營_產能與收入!D53+輸入與假設!D128+輸入與假設!D51+輸入與假設!D117-運營_產能與收入!D74-各期收支!D17)+(運營_產能與收入!D47+運營_產能與收入!D24*輸入與假設!D48*(1-輸入與假設!D49))*運營_產能與收入!D51-損益!D22</f>
        <v>0</v>
      </c>
      <c r="C16" s="6" t="n">
        <f aca="false">0</f>
        <v>0</v>
      </c>
      <c r="D16" s="2" t="str">
        <f aca="false">IF(ABS(B16)&lt;1,"通過","不一致")</f>
        <v>通過</v>
      </c>
      <c r="E16" s="6" t="s">
        <v>2217</v>
      </c>
    </row>
    <row r="17" customFormat="false" ht="15" hidden="false" customHeight="false" outlineLevel="0" collapsed="false">
      <c r="A17" s="4" t="s">
        <v>2218</v>
      </c>
      <c r="B17" s="48" t="n">
        <f aca="false">評價_DCF與目標價!C30</f>
        <v>0</v>
      </c>
      <c r="C17" s="11" t="s">
        <v>2219</v>
      </c>
      <c r="D17" s="2" t="str">
        <f aca="false">IF(B17=0,"通過","觀察")</f>
        <v>通過</v>
      </c>
      <c r="E17" s="6" t="s">
        <v>2220</v>
      </c>
    </row>
    <row r="18" customFormat="false" ht="15" hidden="false" customHeight="false" outlineLevel="0" collapsed="false">
      <c r="A18" s="3" t="s">
        <v>2221</v>
      </c>
      <c r="B18" s="56" t="n">
        <f aca="false">MIN(各期收支!C54:G54)</f>
        <v>30.0000000000001</v>
      </c>
      <c r="C18" s="11" t="s">
        <v>2222</v>
      </c>
      <c r="D18" s="2" t="str">
        <f aca="false">IF(B18&gt;=29,"通過","不一致")</f>
        <v>通過</v>
      </c>
      <c r="E18" s="6" t="s">
        <v>2223</v>
      </c>
    </row>
    <row r="19" customFormat="false" ht="15" hidden="false" customHeight="false" outlineLevel="0" collapsed="false">
      <c r="A19" s="3" t="s">
        <v>2224</v>
      </c>
      <c r="B19" s="110" t="n">
        <f aca="false">SUM(各期收支!C86:G86)/(輸入與假設!$C$228*輸入與假設!$C$229)</f>
        <v>0.00265365578082351</v>
      </c>
      <c r="C19" s="6" t="str">
        <f aca="false">"≤"&amp;IF(輸入與假設!$C$284=INT(輸入與假設!$C$284),TEXT(輸入與假設!$C$284,"0"),TEXT(輸入與假設!$C$284,"0.0"))&amp;"x"</f>
        <v>≤1.5x</v>
      </c>
      <c r="D19" s="2" t="str">
        <f aca="false">IF(B19&lt;=輸入與假設!$C$284,"通過","觀察")</f>
        <v>通過</v>
      </c>
      <c r="E19" s="6" t="str">
        <f aca="false">"超過 "&amp;IF(輸入與假設!$C$284=INT(輸入與假設!$C$284),TEXT(輸入與假設!$C$284,"0"),TEXT(輸入與假設!$C$284,"0.0"))&amp;" 倍：市場吸收能力存疑，結論不得為買進"</f>
        <v>超過 1.5 倍：市場吸收能力存疑，結論不得為買進</v>
      </c>
    </row>
    <row r="20" customFormat="false" ht="15" hidden="false" customHeight="false" outlineLevel="0" collapsed="false">
      <c r="A20" s="3" t="s">
        <v>2225</v>
      </c>
      <c r="B20" s="56" t="n">
        <f aca="false">資產負債_既有債務!E8+SUMPRODUCT(資產負債_既有債務!$C$20:$C$21*(1-資產負債_既有債務!$H$15:$H$16))</f>
        <v>466.05</v>
      </c>
      <c r="C20" s="11" t="s">
        <v>2226</v>
      </c>
      <c r="D20" s="2" t="str">
        <f aca="false">IF(ABS(B20-466.05)&lt;10,"通過","不一致")</f>
        <v>通過</v>
      </c>
      <c r="E20" s="6" t="s">
        <v>2227</v>
      </c>
    </row>
    <row r="21" customFormat="false" ht="15" hidden="false" customHeight="false" outlineLevel="0" collapsed="false">
      <c r="A21" s="4" t="s">
        <v>2228</v>
      </c>
      <c r="B21" s="56" t="n">
        <f aca="false">輸入與假設!C163</f>
        <v>209.86483982585</v>
      </c>
      <c r="C21" s="6" t="s">
        <v>2196</v>
      </c>
      <c r="D21" s="2" t="str">
        <f aca="false">"不適用"</f>
        <v>不適用</v>
      </c>
      <c r="E21" s="6" t="s">
        <v>2229</v>
      </c>
    </row>
    <row r="22" customFormat="false" ht="15" hidden="false" customHeight="false" outlineLevel="0" collapsed="false">
      <c r="A22" s="4" t="s">
        <v>2230</v>
      </c>
      <c r="B22" s="56" t="n">
        <f aca="false">SUM(輸入與假設!C156:G156)</f>
        <v>0</v>
      </c>
      <c r="C22" s="6" t="n">
        <f aca="false">0</f>
        <v>0</v>
      </c>
      <c r="D22" s="2" t="str">
        <f aca="false">IF(ABS(B22-0)&lt;10,"通過","不一致")</f>
        <v>通過</v>
      </c>
      <c r="E22" s="6" t="s">
        <v>383</v>
      </c>
    </row>
    <row r="23" customFormat="false" ht="15" hidden="false" customHeight="false" outlineLevel="0" collapsed="false">
      <c r="A23" s="3" t="s">
        <v>2231</v>
      </c>
      <c r="B23" s="56" t="n">
        <f aca="false">運營_站點!G26</f>
        <v>3.25711482220573</v>
      </c>
      <c r="C23" s="6" t="s">
        <v>2232</v>
      </c>
      <c r="D23" s="2" t="str">
        <f aca="false">IF(B23&gt;=運營_站點!$H$10*運營_站點!$C$27*0.8,"通過","觀察")</f>
        <v>通過</v>
      </c>
      <c r="E23" s="6" t="s">
        <v>2233</v>
      </c>
    </row>
    <row r="24" customFormat="false" ht="15" hidden="false" customHeight="false" outlineLevel="0" collapsed="false">
      <c r="A24" s="3" t="s">
        <v>2234</v>
      </c>
      <c r="B24" s="56" t="n">
        <f aca="false">運營_站點!$C$30</f>
        <v>-248.707880089266</v>
      </c>
      <c r="C24" s="11" t="s">
        <v>2235</v>
      </c>
      <c r="D24" s="2" t="str">
        <f aca="false">IF(B24&lt;10,"通過","觀察")</f>
        <v>通過</v>
      </c>
      <c r="E24" s="6" t="s">
        <v>2236</v>
      </c>
    </row>
    <row r="25" customFormat="false" ht="15" hidden="false" customHeight="false" outlineLevel="0" collapsed="false">
      <c r="A25" s="3" t="s">
        <v>2237</v>
      </c>
      <c r="B25" s="10" t="n">
        <f aca="false">75.146*1-SUM(運營_產能與收入!C29:G29)</f>
        <v>-382.891604614878</v>
      </c>
      <c r="C25" s="6" t="s">
        <v>2238</v>
      </c>
      <c r="D25" s="2" t="str">
        <f aca="false">"對照"</f>
        <v>對照</v>
      </c>
      <c r="E25" s="11" t="s">
        <v>2239</v>
      </c>
    </row>
    <row r="26" customFormat="false" ht="15" hidden="false" customHeight="false" outlineLevel="0" collapsed="false">
      <c r="A26" s="3" t="s">
        <v>2240</v>
      </c>
      <c r="B26" s="10" t="n">
        <f aca="false">輸入與假設!$C$118</f>
        <v>0</v>
      </c>
      <c r="C26" s="6" t="n">
        <f aca="false">0</f>
        <v>0</v>
      </c>
      <c r="D26" s="2" t="str">
        <f aca="false">IF(ABS(B26)&lt;0.000001,"通過","不一致")</f>
        <v>通過</v>
      </c>
      <c r="E26" s="6" t="s">
        <v>2241</v>
      </c>
    </row>
    <row r="27" customFormat="false" ht="15" hidden="false" customHeight="false" outlineLevel="0" collapsed="false">
      <c r="A27" s="3" t="s">
        <v>2242</v>
      </c>
      <c r="B27" s="10" t="n">
        <f aca="false">SUM(運營_產能與收入!C27:G27)</f>
        <v>0</v>
      </c>
      <c r="C27" s="6" t="n">
        <f aca="false">0</f>
        <v>0</v>
      </c>
      <c r="D27" s="2" t="str">
        <f aca="false">IF(ABS(B27)&lt;0.000001,"通過","不一致")</f>
        <v>通過</v>
      </c>
      <c r="E27" s="11" t="s">
        <v>2243</v>
      </c>
    </row>
    <row r="28" customFormat="false" ht="15" hidden="false" customHeight="false" outlineLevel="0" collapsed="false">
      <c r="A28" s="4" t="s">
        <v>2244</v>
      </c>
      <c r="B28" s="100" t="n">
        <f aca="false">每MW收入_錨定!F214</f>
        <v>0.000477830391734879</v>
      </c>
      <c r="C28" s="11" t="s">
        <v>2245</v>
      </c>
      <c r="D28" s="2" t="str">
        <f aca="false">IF(B28&lt;0.001,"通過","不一致")</f>
        <v>通過</v>
      </c>
      <c r="E28" s="11" t="s">
        <v>2246</v>
      </c>
    </row>
    <row r="29" customFormat="false" ht="15" hidden="false" customHeight="false" outlineLevel="0" collapsed="false">
      <c r="A29" s="3" t="s">
        <v>2247</v>
      </c>
      <c r="B29" s="13" t="n">
        <f aca="false">每MW收入_錨定!C127</f>
        <v>0.519072884976809</v>
      </c>
      <c r="C29" s="11" t="s">
        <v>2248</v>
      </c>
      <c r="D29" s="2" t="str">
        <f aca="false">IF(B29&lt;=0.5,"通過","警示")</f>
        <v>警示</v>
      </c>
      <c r="E29" s="6" t="s">
        <v>2249</v>
      </c>
    </row>
    <row r="31" customFormat="false" ht="15" hidden="false" customHeight="false" outlineLevel="0" collapsed="false">
      <c r="A31" s="2" t="s">
        <v>2250</v>
      </c>
    </row>
    <row r="32" customFormat="false" ht="15" hidden="false" customHeight="false" outlineLevel="0" collapsed="false">
      <c r="A32" s="3" t="s">
        <v>2251</v>
      </c>
      <c r="B32" s="10" t="n">
        <f aca="false">SUM(運營_產能與收入!C18:G18)</f>
        <v>75.146</v>
      </c>
    </row>
    <row r="33" customFormat="false" ht="15" hidden="false" customHeight="false" outlineLevel="0" collapsed="false">
      <c r="A33" s="3" t="s">
        <v>2252</v>
      </c>
      <c r="B33" s="10" t="n">
        <f aca="false">SUM(運營_產能與收入!C20:G20)</f>
        <v>0</v>
      </c>
    </row>
    <row r="34" customFormat="false" ht="15" hidden="false" customHeight="false" outlineLevel="0" collapsed="false">
      <c r="A34" s="3" t="s">
        <v>2253</v>
      </c>
      <c r="B34" s="10" t="n">
        <f aca="false">SUM(運營_產能與收入!C24:G24)</f>
        <v>759.55196592841</v>
      </c>
    </row>
    <row r="35" customFormat="false" ht="15" hidden="false" customHeight="false" outlineLevel="0" collapsed="false">
      <c r="A35" s="3" t="s">
        <v>2254</v>
      </c>
      <c r="B35" s="10" t="n">
        <f aca="false">SUM(輸入與假設!C175:G175)</f>
        <v>776.390731446525</v>
      </c>
    </row>
    <row r="36" customFormat="false" ht="15" hidden="false" customHeight="false" outlineLevel="0" collapsed="false">
      <c r="A36" s="3" t="s">
        <v>2255</v>
      </c>
      <c r="B36" s="10" t="n">
        <f aca="false">SUM(各期收支!C17:G17)</f>
        <v>248.707880089266</v>
      </c>
    </row>
    <row r="37" customFormat="false" ht="15" hidden="false" customHeight="false" outlineLevel="0" collapsed="false">
      <c r="A37" s="3" t="s">
        <v>2256</v>
      </c>
      <c r="B37" s="10" t="n">
        <f aca="false">SUM(各期收支!C22:G22)</f>
        <v>224.217524044533</v>
      </c>
    </row>
    <row r="38" customFormat="false" ht="15" hidden="false" customHeight="false" outlineLevel="0" collapsed="false">
      <c r="A38" s="3" t="s">
        <v>2257</v>
      </c>
      <c r="B38" s="10" t="n">
        <f aca="false">SUM(輸入與假設!C223:G223)*輸入與假設!$C$197+SUM(資產負債_既有債務!C32:G32)</f>
        <v>123.326</v>
      </c>
    </row>
    <row r="39" customFormat="false" ht="15" hidden="false" customHeight="false" outlineLevel="0" collapsed="false">
      <c r="A39" s="3" t="s">
        <v>2258</v>
      </c>
      <c r="B39" s="10" t="n">
        <f aca="false">SUM(各期收支!C52:G52)-(輸入與假設!$C$291-輸入與假設!$C$292-輸入與假設!$C$294-輸入與假設!$C$309)</f>
        <v>-563.844089026788</v>
      </c>
    </row>
    <row r="40" customFormat="false" ht="15" hidden="false" customHeight="false" outlineLevel="0" collapsed="false">
      <c r="A40" s="4" t="s">
        <v>2259</v>
      </c>
      <c r="B40" s="10" t="n">
        <f aca="false">SUM(各期收支!C52:G52)</f>
        <v>-819.451089026788</v>
      </c>
    </row>
    <row r="41" customFormat="false" ht="15" hidden="false" customHeight="false" outlineLevel="0" collapsed="false">
      <c r="A41" s="3" t="s">
        <v>1855</v>
      </c>
      <c r="B41" s="10" t="n">
        <f aca="false">各期收支!G54</f>
        <v>30.0000000000001</v>
      </c>
    </row>
    <row r="42" customFormat="false" ht="15" hidden="false" customHeight="false" outlineLevel="0" collapsed="false">
      <c r="A42" s="4" t="s">
        <v>2260</v>
      </c>
      <c r="B42" s="12" t="n">
        <f aca="false">評價_DCF與目標價!C26</f>
        <v>0</v>
      </c>
    </row>
    <row r="43" customFormat="false" ht="15" hidden="false" customHeight="false" outlineLevel="0" collapsed="false">
      <c r="A43" s="3" t="s">
        <v>2043</v>
      </c>
      <c r="B43" s="12" t="n">
        <f aca="false">評價_DCF與目標價!C51</f>
        <v>15.2481184884189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2261</v>
      </c>
    </row>
    <row r="2" customFormat="false" ht="15" hidden="false" customHeight="false" outlineLevel="0" collapsed="false">
      <c r="A2" s="11" t="s">
        <v>2262</v>
      </c>
    </row>
    <row r="4" customFormat="false" ht="15" hidden="false" customHeight="false" outlineLevel="0" collapsed="false">
      <c r="A4" s="14" t="s">
        <v>2263</v>
      </c>
      <c r="B4" s="14" t="s">
        <v>423</v>
      </c>
      <c r="C4" s="14" t="s">
        <v>2264</v>
      </c>
      <c r="D4" s="14" t="s">
        <v>2265</v>
      </c>
      <c r="E4" s="14" t="s">
        <v>2266</v>
      </c>
    </row>
    <row r="5" customFormat="false" ht="77.6" hidden="false" customHeight="false" outlineLevel="0" collapsed="false">
      <c r="A5" s="113" t="s">
        <v>2267</v>
      </c>
      <c r="B5" s="113" t="s">
        <v>2268</v>
      </c>
      <c r="C5" s="114" t="s">
        <v>2269</v>
      </c>
      <c r="D5" s="115" t="s">
        <v>2270</v>
      </c>
      <c r="E5" s="114" t="s">
        <v>2271</v>
      </c>
    </row>
    <row r="6" customFormat="false" ht="64.9" hidden="false" customHeight="false" outlineLevel="0" collapsed="false">
      <c r="A6" s="113" t="s">
        <v>2272</v>
      </c>
      <c r="B6" s="113" t="s">
        <v>2273</v>
      </c>
      <c r="C6" s="114" t="s">
        <v>2274</v>
      </c>
      <c r="D6" s="115" t="s">
        <v>2275</v>
      </c>
      <c r="E6" s="114" t="s">
        <v>2276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2277</v>
      </c>
    </row>
    <row r="3" customFormat="false" ht="15" hidden="false" customHeight="false" outlineLevel="0" collapsed="false">
      <c r="A3" s="14" t="s">
        <v>2278</v>
      </c>
      <c r="B3" s="14" t="s">
        <v>2279</v>
      </c>
    </row>
    <row r="4" customFormat="false" ht="45.75" hidden="false" customHeight="true" outlineLevel="0" collapsed="false">
      <c r="A4" s="76" t="s">
        <v>706</v>
      </c>
      <c r="B4" s="116" t="s">
        <v>2280</v>
      </c>
    </row>
    <row r="5" customFormat="false" ht="45.75" hidden="false" customHeight="true" outlineLevel="0" collapsed="false">
      <c r="A5" s="76" t="s">
        <v>706</v>
      </c>
      <c r="B5" s="114" t="s">
        <v>2281</v>
      </c>
    </row>
    <row r="6" customFormat="false" ht="45.75" hidden="false" customHeight="true" outlineLevel="0" collapsed="false">
      <c r="A6" s="76" t="s">
        <v>706</v>
      </c>
      <c r="B6" s="114" t="s">
        <v>2282</v>
      </c>
    </row>
    <row r="7" customFormat="false" ht="45.75" hidden="false" customHeight="true" outlineLevel="0" collapsed="false">
      <c r="A7" s="76" t="s">
        <v>706</v>
      </c>
      <c r="B7" s="114" t="s">
        <v>2283</v>
      </c>
    </row>
    <row r="8" customFormat="false" ht="45.75" hidden="false" customHeight="true" outlineLevel="0" collapsed="false">
      <c r="A8" s="76" t="s">
        <v>701</v>
      </c>
      <c r="B8" s="116" t="s">
        <v>2284</v>
      </c>
    </row>
    <row r="9" customFormat="false" ht="45.75" hidden="false" customHeight="true" outlineLevel="0" collapsed="false">
      <c r="A9" s="76" t="s">
        <v>706</v>
      </c>
      <c r="B9" s="114" t="s">
        <v>2285</v>
      </c>
    </row>
    <row r="10" customFormat="false" ht="45.75" hidden="false" customHeight="true" outlineLevel="0" collapsed="false">
      <c r="A10" s="76" t="s">
        <v>2286</v>
      </c>
      <c r="B10" s="114" t="s">
        <v>2287</v>
      </c>
    </row>
    <row r="11" customFormat="false" ht="45.75" hidden="false" customHeight="true" outlineLevel="0" collapsed="false">
      <c r="A11" s="76" t="s">
        <v>701</v>
      </c>
      <c r="B11" s="114" t="s">
        <v>2288</v>
      </c>
    </row>
    <row r="12" customFormat="false" ht="45.75" hidden="false" customHeight="true" outlineLevel="0" collapsed="false">
      <c r="A12" s="76" t="s">
        <v>701</v>
      </c>
      <c r="B12" s="114" t="s">
        <v>2289</v>
      </c>
    </row>
    <row r="13" customFormat="false" ht="45.75" hidden="false" customHeight="true" outlineLevel="0" collapsed="false">
      <c r="A13" s="76" t="s">
        <v>706</v>
      </c>
      <c r="B13" s="114" t="s">
        <v>2290</v>
      </c>
    </row>
    <row r="14" customFormat="false" ht="45.75" hidden="false" customHeight="true" outlineLevel="0" collapsed="false">
      <c r="A14" s="2" t="s">
        <v>2291</v>
      </c>
      <c r="B14" s="114" t="s">
        <v>2292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J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19.4" hidden="false" customHeight="false" outlineLevel="0" collapsed="false">
      <c r="A1" s="1" t="s">
        <v>2293</v>
      </c>
    </row>
    <row r="2" customFormat="false" ht="15" hidden="false" customHeight="false" outlineLevel="0" collapsed="false">
      <c r="A2" s="6" t="s">
        <v>2294</v>
      </c>
    </row>
    <row r="3" customFormat="false" ht="15" hidden="false" customHeight="false" outlineLevel="0" collapsed="false">
      <c r="A3" s="6" t="s">
        <v>2295</v>
      </c>
    </row>
    <row r="4" customFormat="false" ht="15" hidden="false" customHeight="false" outlineLevel="0" collapsed="false">
      <c r="A4" s="14" t="s">
        <v>2296</v>
      </c>
      <c r="B4" s="14" t="s">
        <v>2297</v>
      </c>
      <c r="C4" s="14" t="s">
        <v>2298</v>
      </c>
      <c r="D4" s="14" t="s">
        <v>54</v>
      </c>
      <c r="E4" s="14" t="s">
        <v>1340</v>
      </c>
      <c r="F4" s="14" t="s">
        <v>2299</v>
      </c>
      <c r="G4" s="14" t="s">
        <v>1322</v>
      </c>
      <c r="H4" s="14" t="s">
        <v>2300</v>
      </c>
      <c r="I4" s="15" t="s">
        <v>2301</v>
      </c>
      <c r="J4" s="14" t="s">
        <v>2302</v>
      </c>
    </row>
    <row r="5" customFormat="false" ht="15" hidden="false" customHeight="false" outlineLevel="0" collapsed="false">
      <c r="A5" s="4" t="s">
        <v>2303</v>
      </c>
      <c r="B5" s="4" t="s">
        <v>2304</v>
      </c>
      <c r="C5" s="3" t="s">
        <v>2305</v>
      </c>
      <c r="D5" s="6" t="s">
        <v>2306</v>
      </c>
      <c r="E5" s="4" t="s">
        <v>2307</v>
      </c>
      <c r="F5" s="21" t="n">
        <v>22439</v>
      </c>
      <c r="G5" s="21" t="n">
        <v>22439</v>
      </c>
      <c r="H5" s="21" t="n">
        <v>22439</v>
      </c>
      <c r="I5" s="11" t="s">
        <v>2308</v>
      </c>
      <c r="J5" s="11" t="s">
        <v>2309</v>
      </c>
    </row>
    <row r="6" customFormat="false" ht="15" hidden="false" customHeight="false" outlineLevel="0" collapsed="false">
      <c r="A6" s="4" t="s">
        <v>2310</v>
      </c>
      <c r="B6" s="4" t="s">
        <v>2304</v>
      </c>
      <c r="C6" s="3" t="s">
        <v>2305</v>
      </c>
      <c r="D6" s="6" t="s">
        <v>2306</v>
      </c>
      <c r="E6" s="4" t="s">
        <v>2311</v>
      </c>
      <c r="F6" s="21" t="n">
        <v>6969</v>
      </c>
      <c r="G6" s="21" t="n">
        <v>6969</v>
      </c>
      <c r="H6" s="21" t="n">
        <v>6969</v>
      </c>
      <c r="I6" s="11" t="s">
        <v>2312</v>
      </c>
      <c r="J6" s="11" t="s">
        <v>2309</v>
      </c>
    </row>
    <row r="7" customFormat="false" ht="15" hidden="false" customHeight="false" outlineLevel="0" collapsed="false">
      <c r="A7" s="4" t="s">
        <v>2313</v>
      </c>
      <c r="B7" s="4" t="s">
        <v>2304</v>
      </c>
      <c r="C7" s="3" t="s">
        <v>2305</v>
      </c>
      <c r="D7" s="6" t="s">
        <v>2306</v>
      </c>
      <c r="E7" s="4" t="s">
        <v>2314</v>
      </c>
      <c r="F7" s="21" t="n">
        <v>6764</v>
      </c>
      <c r="G7" s="21" t="n">
        <v>6764</v>
      </c>
      <c r="H7" s="21" t="n">
        <v>6764</v>
      </c>
      <c r="I7" s="11" t="s">
        <v>2315</v>
      </c>
      <c r="J7" s="11" t="s">
        <v>2309</v>
      </c>
    </row>
    <row r="8" customFormat="false" ht="15" hidden="false" customHeight="false" outlineLevel="0" collapsed="false">
      <c r="A8" s="4" t="s">
        <v>2316</v>
      </c>
      <c r="B8" s="4" t="s">
        <v>2304</v>
      </c>
      <c r="C8" s="3" t="s">
        <v>2305</v>
      </c>
      <c r="D8" s="6" t="s">
        <v>2306</v>
      </c>
      <c r="E8" s="4" t="s">
        <v>2317</v>
      </c>
      <c r="F8" s="21" t="n">
        <v>4052</v>
      </c>
      <c r="G8" s="21" t="n">
        <v>4052</v>
      </c>
      <c r="H8" s="21" t="n">
        <v>4052</v>
      </c>
      <c r="I8" s="11" t="s">
        <v>2318</v>
      </c>
      <c r="J8" s="11" t="s">
        <v>2309</v>
      </c>
    </row>
    <row r="9" customFormat="false" ht="15" hidden="false" customHeight="false" outlineLevel="0" collapsed="false">
      <c r="A9" s="4" t="s">
        <v>2319</v>
      </c>
      <c r="B9" s="4" t="s">
        <v>2304</v>
      </c>
      <c r="C9" s="3" t="s">
        <v>2305</v>
      </c>
      <c r="D9" s="6" t="s">
        <v>2306</v>
      </c>
      <c r="E9" s="4" t="s">
        <v>2320</v>
      </c>
      <c r="F9" s="21" t="n">
        <v>2705</v>
      </c>
      <c r="G9" s="21" t="n">
        <v>2705</v>
      </c>
      <c r="H9" s="21" t="n">
        <v>2705</v>
      </c>
      <c r="I9" s="11" t="s">
        <v>2321</v>
      </c>
      <c r="J9" s="11" t="s">
        <v>2309</v>
      </c>
    </row>
    <row r="10" customFormat="false" ht="15" hidden="false" customHeight="false" outlineLevel="0" collapsed="false">
      <c r="A10" s="4" t="s">
        <v>2322</v>
      </c>
      <c r="B10" s="4" t="s">
        <v>2323</v>
      </c>
      <c r="C10" s="3" t="s">
        <v>2324</v>
      </c>
      <c r="D10" s="6" t="s">
        <v>2325</v>
      </c>
      <c r="E10" s="4" t="s">
        <v>2307</v>
      </c>
      <c r="F10" s="21" t="n">
        <v>718048</v>
      </c>
      <c r="G10" s="21" t="n">
        <v>718048</v>
      </c>
      <c r="H10" s="21" t="n">
        <v>718048</v>
      </c>
      <c r="I10" s="11" t="s">
        <v>2326</v>
      </c>
      <c r="J10" s="11" t="s">
        <v>2309</v>
      </c>
    </row>
    <row r="11" customFormat="false" ht="15" hidden="false" customHeight="false" outlineLevel="0" collapsed="false">
      <c r="A11" s="4" t="s">
        <v>2327</v>
      </c>
      <c r="B11" s="4" t="s">
        <v>2323</v>
      </c>
      <c r="C11" s="3" t="s">
        <v>2324</v>
      </c>
      <c r="D11" s="6" t="s">
        <v>2325</v>
      </c>
      <c r="E11" s="4" t="s">
        <v>2311</v>
      </c>
      <c r="F11" s="21" t="n">
        <v>501768</v>
      </c>
      <c r="G11" s="21" t="n">
        <v>501768</v>
      </c>
      <c r="H11" s="21" t="n">
        <v>501768</v>
      </c>
      <c r="I11" s="11" t="s">
        <v>2328</v>
      </c>
      <c r="J11" s="11" t="s">
        <v>2309</v>
      </c>
    </row>
    <row r="12" customFormat="false" ht="15" hidden="false" customHeight="false" outlineLevel="0" collapsed="false">
      <c r="A12" s="4" t="s">
        <v>2329</v>
      </c>
      <c r="B12" s="4" t="s">
        <v>2323</v>
      </c>
      <c r="C12" s="3" t="s">
        <v>2324</v>
      </c>
      <c r="D12" s="6" t="s">
        <v>2325</v>
      </c>
      <c r="E12" s="4" t="s">
        <v>2314</v>
      </c>
      <c r="F12" s="21" t="n">
        <v>487008</v>
      </c>
      <c r="G12" s="21" t="n">
        <v>487008</v>
      </c>
      <c r="H12" s="21" t="n">
        <v>487008</v>
      </c>
      <c r="I12" s="11" t="s">
        <v>2330</v>
      </c>
      <c r="J12" s="11" t="s">
        <v>2309</v>
      </c>
    </row>
    <row r="13" customFormat="false" ht="15" hidden="false" customHeight="false" outlineLevel="0" collapsed="false">
      <c r="A13" s="4" t="s">
        <v>2331</v>
      </c>
      <c r="B13" s="4" t="s">
        <v>2323</v>
      </c>
      <c r="C13" s="3" t="s">
        <v>2324</v>
      </c>
      <c r="D13" s="6" t="s">
        <v>2325</v>
      </c>
      <c r="E13" s="4" t="s">
        <v>2317</v>
      </c>
      <c r="F13" s="21" t="n">
        <v>291744</v>
      </c>
      <c r="G13" s="21" t="n">
        <v>291744</v>
      </c>
      <c r="H13" s="21" t="n">
        <v>291744</v>
      </c>
      <c r="I13" s="11" t="s">
        <v>2332</v>
      </c>
      <c r="J13" s="11" t="s">
        <v>2309</v>
      </c>
    </row>
    <row r="14" customFormat="false" ht="15" hidden="false" customHeight="false" outlineLevel="0" collapsed="false">
      <c r="A14" s="4" t="s">
        <v>2333</v>
      </c>
      <c r="B14" s="4" t="s">
        <v>2323</v>
      </c>
      <c r="C14" s="3" t="s">
        <v>2324</v>
      </c>
      <c r="D14" s="6" t="s">
        <v>2325</v>
      </c>
      <c r="E14" s="4" t="s">
        <v>2320</v>
      </c>
      <c r="F14" s="21" t="n">
        <v>194760</v>
      </c>
      <c r="G14" s="21" t="n">
        <v>194760</v>
      </c>
      <c r="H14" s="21" t="n">
        <v>194760</v>
      </c>
      <c r="I14" s="11" t="s">
        <v>2334</v>
      </c>
      <c r="J14" s="11" t="s">
        <v>2309</v>
      </c>
    </row>
    <row r="15" customFormat="false" ht="15" hidden="false" customHeight="false" outlineLevel="0" collapsed="false">
      <c r="A15" s="4" t="s">
        <v>2335</v>
      </c>
      <c r="B15" s="4" t="s">
        <v>2336</v>
      </c>
      <c r="C15" s="3" t="s">
        <v>2337</v>
      </c>
      <c r="D15" s="11" t="s">
        <v>2338</v>
      </c>
      <c r="E15" s="4" t="s">
        <v>2307</v>
      </c>
      <c r="F15" s="117" t="n">
        <v>1.1</v>
      </c>
      <c r="G15" s="117" t="n">
        <v>1.2</v>
      </c>
      <c r="H15" s="117" t="n">
        <v>1.3</v>
      </c>
      <c r="I15" s="11" t="s">
        <v>2339</v>
      </c>
      <c r="J15" s="11" t="s">
        <v>2309</v>
      </c>
    </row>
    <row r="16" customFormat="false" ht="15" hidden="false" customHeight="false" outlineLevel="0" collapsed="false">
      <c r="A16" s="4" t="s">
        <v>2340</v>
      </c>
      <c r="B16" s="4" t="s">
        <v>2336</v>
      </c>
      <c r="C16" s="3" t="s">
        <v>2337</v>
      </c>
      <c r="D16" s="11" t="s">
        <v>2338</v>
      </c>
      <c r="E16" s="4" t="s">
        <v>2311</v>
      </c>
      <c r="F16" s="117" t="n">
        <v>1.1</v>
      </c>
      <c r="G16" s="117" t="n">
        <v>1.2</v>
      </c>
      <c r="H16" s="117" t="n">
        <v>1.3</v>
      </c>
      <c r="I16" s="11" t="s">
        <v>2341</v>
      </c>
      <c r="J16" s="11" t="s">
        <v>2309</v>
      </c>
    </row>
    <row r="17" customFormat="false" ht="15" hidden="false" customHeight="false" outlineLevel="0" collapsed="false">
      <c r="A17" s="4" t="s">
        <v>2342</v>
      </c>
      <c r="B17" s="4" t="s">
        <v>2336</v>
      </c>
      <c r="C17" s="3" t="s">
        <v>2337</v>
      </c>
      <c r="D17" s="11" t="s">
        <v>2338</v>
      </c>
      <c r="E17" s="4" t="s">
        <v>2314</v>
      </c>
      <c r="F17" s="117" t="n">
        <v>1.1</v>
      </c>
      <c r="G17" s="117" t="n">
        <v>1.2</v>
      </c>
      <c r="H17" s="117" t="n">
        <v>1.3</v>
      </c>
      <c r="I17" s="11" t="s">
        <v>2343</v>
      </c>
      <c r="J17" s="11" t="s">
        <v>2309</v>
      </c>
    </row>
    <row r="18" customFormat="false" ht="15" hidden="false" customHeight="false" outlineLevel="0" collapsed="false">
      <c r="A18" s="4" t="s">
        <v>2344</v>
      </c>
      <c r="B18" s="4" t="s">
        <v>2336</v>
      </c>
      <c r="C18" s="3" t="s">
        <v>2337</v>
      </c>
      <c r="D18" s="11" t="s">
        <v>2338</v>
      </c>
      <c r="E18" s="4" t="s">
        <v>2317</v>
      </c>
      <c r="F18" s="117" t="n">
        <v>1.1</v>
      </c>
      <c r="G18" s="117" t="n">
        <v>1.2</v>
      </c>
      <c r="H18" s="117" t="n">
        <v>1.3</v>
      </c>
      <c r="I18" s="11" t="s">
        <v>2345</v>
      </c>
      <c r="J18" s="11" t="s">
        <v>2309</v>
      </c>
    </row>
    <row r="19" customFormat="false" ht="15" hidden="false" customHeight="false" outlineLevel="0" collapsed="false">
      <c r="A19" s="4" t="s">
        <v>2346</v>
      </c>
      <c r="B19" s="4" t="s">
        <v>2336</v>
      </c>
      <c r="C19" s="3" t="s">
        <v>2337</v>
      </c>
      <c r="D19" s="11" t="s">
        <v>2338</v>
      </c>
      <c r="E19" s="4" t="s">
        <v>2320</v>
      </c>
      <c r="F19" s="117" t="n">
        <v>1.1</v>
      </c>
      <c r="G19" s="117" t="n">
        <v>1.2</v>
      </c>
      <c r="H19" s="117" t="n">
        <v>1.3</v>
      </c>
      <c r="I19" s="11" t="s">
        <v>2347</v>
      </c>
      <c r="J19" s="11" t="s">
        <v>2309</v>
      </c>
    </row>
    <row r="20" customFormat="false" ht="15" hidden="false" customHeight="false" outlineLevel="0" collapsed="false">
      <c r="A20" s="4" t="s">
        <v>2348</v>
      </c>
      <c r="B20" s="4" t="s">
        <v>2349</v>
      </c>
      <c r="C20" s="3" t="s">
        <v>2350</v>
      </c>
      <c r="D20" s="11" t="s">
        <v>2351</v>
      </c>
      <c r="E20" s="4" t="s">
        <v>2307</v>
      </c>
      <c r="F20" s="117" t="n">
        <v>21.4202694</v>
      </c>
      <c r="G20" s="117" t="n">
        <v>27.510214</v>
      </c>
      <c r="H20" s="117" t="n">
        <v>34.1207434</v>
      </c>
      <c r="I20" s="11" t="s">
        <v>2352</v>
      </c>
      <c r="J20" s="11" t="s">
        <v>2309</v>
      </c>
    </row>
    <row r="21" customFormat="false" ht="15" hidden="false" customHeight="false" outlineLevel="0" collapsed="false">
      <c r="A21" s="4" t="s">
        <v>2353</v>
      </c>
      <c r="B21" s="4" t="s">
        <v>2349</v>
      </c>
      <c r="C21" s="3" t="s">
        <v>2350</v>
      </c>
      <c r="D21" s="11" t="s">
        <v>2351</v>
      </c>
      <c r="E21" s="4" t="s">
        <v>2311</v>
      </c>
      <c r="F21" s="117" t="n">
        <v>20.6393904</v>
      </c>
      <c r="G21" s="117" t="n">
        <v>24.015174</v>
      </c>
      <c r="H21" s="117" t="n">
        <v>27.6502044</v>
      </c>
      <c r="I21" s="11" t="s">
        <v>2354</v>
      </c>
      <c r="J21" s="11" t="s">
        <v>2309</v>
      </c>
    </row>
    <row r="22" customFormat="false" ht="15" hidden="false" customHeight="false" outlineLevel="0" collapsed="false">
      <c r="A22" s="4" t="s">
        <v>2355</v>
      </c>
      <c r="B22" s="4" t="s">
        <v>2349</v>
      </c>
      <c r="C22" s="3" t="s">
        <v>2350</v>
      </c>
      <c r="D22" s="11" t="s">
        <v>2351</v>
      </c>
      <c r="E22" s="4" t="s">
        <v>2314</v>
      </c>
      <c r="F22" s="117" t="n">
        <v>28.5549024</v>
      </c>
      <c r="G22" s="117" t="n">
        <v>32.237224</v>
      </c>
      <c r="H22" s="117" t="n">
        <v>39.2826064</v>
      </c>
      <c r="I22" s="11" t="s">
        <v>2356</v>
      </c>
      <c r="J22" s="11" t="s">
        <v>2309</v>
      </c>
    </row>
    <row r="23" customFormat="false" ht="15" hidden="false" customHeight="false" outlineLevel="0" collapsed="false">
      <c r="A23" s="4" t="s">
        <v>2357</v>
      </c>
      <c r="B23" s="4" t="s">
        <v>2349</v>
      </c>
      <c r="C23" s="3" t="s">
        <v>2350</v>
      </c>
      <c r="D23" s="11" t="s">
        <v>2351</v>
      </c>
      <c r="E23" s="4" t="s">
        <v>2317</v>
      </c>
      <c r="F23" s="117" t="n">
        <v>33.2734032</v>
      </c>
      <c r="G23" s="117" t="n">
        <v>37.586352</v>
      </c>
      <c r="H23" s="117" t="n">
        <v>42.6375752</v>
      </c>
      <c r="I23" s="11" t="s">
        <v>2358</v>
      </c>
      <c r="J23" s="11" t="s">
        <v>2309</v>
      </c>
    </row>
    <row r="24" customFormat="false" ht="15" hidden="false" customHeight="false" outlineLevel="0" collapsed="false">
      <c r="A24" s="4" t="s">
        <v>2359</v>
      </c>
      <c r="B24" s="4" t="s">
        <v>2349</v>
      </c>
      <c r="C24" s="3" t="s">
        <v>2350</v>
      </c>
      <c r="D24" s="11" t="s">
        <v>2351</v>
      </c>
      <c r="E24" s="4" t="s">
        <v>2320</v>
      </c>
      <c r="F24" s="117" t="n">
        <v>35.845578</v>
      </c>
      <c r="G24" s="117" t="n">
        <v>50.08578</v>
      </c>
      <c r="H24" s="117" t="n">
        <v>65.481558</v>
      </c>
      <c r="I24" s="11" t="s">
        <v>2360</v>
      </c>
      <c r="J24" s="11" t="s">
        <v>2309</v>
      </c>
    </row>
    <row r="25" customFormat="false" ht="15" hidden="false" customHeight="false" outlineLevel="0" collapsed="false">
      <c r="A25" s="4" t="s">
        <v>2361</v>
      </c>
      <c r="B25" s="4" t="s">
        <v>2362</v>
      </c>
      <c r="C25" s="3" t="s">
        <v>2363</v>
      </c>
      <c r="D25" s="11" t="s">
        <v>2351</v>
      </c>
      <c r="E25" s="4" t="s">
        <v>2307</v>
      </c>
      <c r="F25" s="117" t="n">
        <v>10.212</v>
      </c>
      <c r="G25" s="117" t="n">
        <v>12.67</v>
      </c>
      <c r="H25" s="117" t="n">
        <v>16.186</v>
      </c>
      <c r="I25" s="11" t="s">
        <v>2364</v>
      </c>
      <c r="J25" s="11" t="s">
        <v>2309</v>
      </c>
    </row>
    <row r="26" customFormat="false" ht="15" hidden="false" customHeight="false" outlineLevel="0" collapsed="false">
      <c r="A26" s="4" t="s">
        <v>2365</v>
      </c>
      <c r="B26" s="4" t="s">
        <v>2362</v>
      </c>
      <c r="C26" s="3" t="s">
        <v>2363</v>
      </c>
      <c r="D26" s="11" t="s">
        <v>2351</v>
      </c>
      <c r="E26" s="4" t="s">
        <v>2311</v>
      </c>
      <c r="F26" s="117" t="n">
        <v>10.212</v>
      </c>
      <c r="G26" s="117" t="n">
        <v>12.67</v>
      </c>
      <c r="H26" s="117" t="n">
        <v>16.186</v>
      </c>
      <c r="I26" s="11" t="s">
        <v>2366</v>
      </c>
      <c r="J26" s="11" t="s">
        <v>2309</v>
      </c>
    </row>
    <row r="27" customFormat="false" ht="15" hidden="false" customHeight="false" outlineLevel="0" collapsed="false">
      <c r="A27" s="4" t="s">
        <v>2367</v>
      </c>
      <c r="B27" s="4" t="s">
        <v>2362</v>
      </c>
      <c r="C27" s="3" t="s">
        <v>2363</v>
      </c>
      <c r="D27" s="11" t="s">
        <v>2351</v>
      </c>
      <c r="E27" s="4" t="s">
        <v>2314</v>
      </c>
      <c r="F27" s="117" t="n">
        <v>10.212</v>
      </c>
      <c r="G27" s="117" t="n">
        <v>12.67</v>
      </c>
      <c r="H27" s="117" t="n">
        <v>16.186</v>
      </c>
      <c r="I27" s="11" t="s">
        <v>2368</v>
      </c>
      <c r="J27" s="11" t="s">
        <v>2309</v>
      </c>
    </row>
    <row r="28" customFormat="false" ht="15" hidden="false" customHeight="false" outlineLevel="0" collapsed="false">
      <c r="A28" s="4" t="s">
        <v>2369</v>
      </c>
      <c r="B28" s="4" t="s">
        <v>2362</v>
      </c>
      <c r="C28" s="3" t="s">
        <v>2363</v>
      </c>
      <c r="D28" s="11" t="s">
        <v>2351</v>
      </c>
      <c r="E28" s="4" t="s">
        <v>2317</v>
      </c>
      <c r="F28" s="117" t="n">
        <v>10.212</v>
      </c>
      <c r="G28" s="117" t="n">
        <v>12.67</v>
      </c>
      <c r="H28" s="117" t="n">
        <v>16.186</v>
      </c>
      <c r="I28" s="11" t="s">
        <v>2370</v>
      </c>
      <c r="J28" s="11" t="s">
        <v>2309</v>
      </c>
    </row>
    <row r="29" customFormat="false" ht="15" hidden="false" customHeight="false" outlineLevel="0" collapsed="false">
      <c r="A29" s="4" t="s">
        <v>2371</v>
      </c>
      <c r="B29" s="4" t="s">
        <v>2362</v>
      </c>
      <c r="C29" s="3" t="s">
        <v>2363</v>
      </c>
      <c r="D29" s="11" t="s">
        <v>2351</v>
      </c>
      <c r="E29" s="4" t="s">
        <v>2320</v>
      </c>
      <c r="F29" s="117" t="n">
        <v>10.212</v>
      </c>
      <c r="G29" s="117" t="n">
        <v>12.67</v>
      </c>
      <c r="H29" s="117" t="n">
        <v>16.186</v>
      </c>
      <c r="I29" s="11" t="s">
        <v>2372</v>
      </c>
      <c r="J29" s="11" t="s">
        <v>2309</v>
      </c>
    </row>
    <row r="30" customFormat="false" ht="15" hidden="false" customHeight="false" outlineLevel="0" collapsed="false">
      <c r="A30" s="4" t="s">
        <v>2373</v>
      </c>
      <c r="B30" s="4" t="s">
        <v>2374</v>
      </c>
      <c r="C30" s="3" t="s">
        <v>2375</v>
      </c>
      <c r="D30" s="11" t="s">
        <v>2351</v>
      </c>
      <c r="E30" s="4" t="s">
        <v>2307</v>
      </c>
      <c r="F30" s="117" t="n">
        <v>31.6322694</v>
      </c>
      <c r="G30" s="117" t="n">
        <v>40.180214</v>
      </c>
      <c r="H30" s="117" t="n">
        <v>50.3067434</v>
      </c>
      <c r="I30" s="11" t="s">
        <v>2376</v>
      </c>
      <c r="J30" s="11" t="s">
        <v>2309</v>
      </c>
    </row>
    <row r="31" customFormat="false" ht="15" hidden="false" customHeight="false" outlineLevel="0" collapsed="false">
      <c r="A31" s="4" t="s">
        <v>2377</v>
      </c>
      <c r="B31" s="4" t="s">
        <v>2374</v>
      </c>
      <c r="C31" s="3" t="s">
        <v>2375</v>
      </c>
      <c r="D31" s="11" t="s">
        <v>2351</v>
      </c>
      <c r="E31" s="4" t="s">
        <v>2311</v>
      </c>
      <c r="F31" s="117" t="n">
        <v>30.8513904</v>
      </c>
      <c r="G31" s="117" t="n">
        <v>36.685174</v>
      </c>
      <c r="H31" s="117" t="n">
        <v>43.8362044</v>
      </c>
      <c r="I31" s="11" t="s">
        <v>2378</v>
      </c>
      <c r="J31" s="11" t="s">
        <v>2309</v>
      </c>
    </row>
    <row r="32" customFormat="false" ht="15" hidden="false" customHeight="false" outlineLevel="0" collapsed="false">
      <c r="A32" s="4" t="s">
        <v>2379</v>
      </c>
      <c r="B32" s="4" t="s">
        <v>2374</v>
      </c>
      <c r="C32" s="3" t="s">
        <v>2375</v>
      </c>
      <c r="D32" s="11" t="s">
        <v>2351</v>
      </c>
      <c r="E32" s="4" t="s">
        <v>2314</v>
      </c>
      <c r="F32" s="117" t="n">
        <v>38.7669024</v>
      </c>
      <c r="G32" s="117" t="n">
        <v>44.907224</v>
      </c>
      <c r="H32" s="117" t="n">
        <v>55.4686064</v>
      </c>
      <c r="I32" s="11" t="s">
        <v>2380</v>
      </c>
      <c r="J32" s="11" t="s">
        <v>2309</v>
      </c>
    </row>
    <row r="33" customFormat="false" ht="15" hidden="false" customHeight="false" outlineLevel="0" collapsed="false">
      <c r="A33" s="4" t="s">
        <v>2381</v>
      </c>
      <c r="B33" s="4" t="s">
        <v>2374</v>
      </c>
      <c r="C33" s="3" t="s">
        <v>2375</v>
      </c>
      <c r="D33" s="11" t="s">
        <v>2351</v>
      </c>
      <c r="E33" s="4" t="s">
        <v>2317</v>
      </c>
      <c r="F33" s="117" t="n">
        <v>43.4854032</v>
      </c>
      <c r="G33" s="117" t="n">
        <v>50.256352</v>
      </c>
      <c r="H33" s="117" t="n">
        <v>58.8235752</v>
      </c>
      <c r="I33" s="11" t="s">
        <v>2382</v>
      </c>
      <c r="J33" s="11" t="s">
        <v>2309</v>
      </c>
    </row>
    <row r="34" customFormat="false" ht="15" hidden="false" customHeight="false" outlineLevel="0" collapsed="false">
      <c r="A34" s="4" t="s">
        <v>2383</v>
      </c>
      <c r="B34" s="4" t="s">
        <v>2374</v>
      </c>
      <c r="C34" s="3" t="s">
        <v>2375</v>
      </c>
      <c r="D34" s="11" t="s">
        <v>2351</v>
      </c>
      <c r="E34" s="4" t="s">
        <v>2320</v>
      </c>
      <c r="F34" s="117" t="n">
        <v>46.057578</v>
      </c>
      <c r="G34" s="117" t="n">
        <v>62.75578</v>
      </c>
      <c r="H34" s="117" t="n">
        <v>81.667558</v>
      </c>
      <c r="I34" s="11" t="s">
        <v>2384</v>
      </c>
      <c r="J34" s="11" t="s">
        <v>2309</v>
      </c>
    </row>
    <row r="35" customFormat="false" ht="15" hidden="false" customHeight="false" outlineLevel="0" collapsed="false">
      <c r="A35" s="4" t="s">
        <v>2385</v>
      </c>
      <c r="B35" s="4" t="s">
        <v>2386</v>
      </c>
      <c r="C35" s="3" t="s">
        <v>2387</v>
      </c>
      <c r="D35" s="11" t="s">
        <v>2388</v>
      </c>
      <c r="E35" s="4" t="s">
        <v>2307</v>
      </c>
      <c r="F35" s="117" t="n">
        <v>5.19000377241587</v>
      </c>
      <c r="G35" s="117" t="n">
        <v>7.10411981353067</v>
      </c>
      <c r="H35" s="117" t="n">
        <v>12.2070705365445</v>
      </c>
      <c r="I35" s="11" t="s">
        <v>2389</v>
      </c>
      <c r="J35" s="11" t="s">
        <v>2309</v>
      </c>
    </row>
    <row r="36" customFormat="false" ht="15" hidden="false" customHeight="false" outlineLevel="0" collapsed="false">
      <c r="A36" s="4" t="s">
        <v>2390</v>
      </c>
      <c r="B36" s="4" t="s">
        <v>2386</v>
      </c>
      <c r="C36" s="3" t="s">
        <v>2387</v>
      </c>
      <c r="D36" s="11" t="s">
        <v>2388</v>
      </c>
      <c r="E36" s="4" t="s">
        <v>2311</v>
      </c>
      <c r="F36" s="117" t="n">
        <v>5.04951503784896</v>
      </c>
      <c r="G36" s="117" t="n">
        <v>6.44917840537967</v>
      </c>
      <c r="H36" s="117" t="n">
        <v>10.4195985807088</v>
      </c>
      <c r="I36" s="11" t="s">
        <v>2391</v>
      </c>
      <c r="J36" s="11" t="s">
        <v>2309</v>
      </c>
    </row>
    <row r="37" customFormat="false" ht="15" hidden="false" customHeight="false" outlineLevel="0" collapsed="false">
      <c r="A37" s="4" t="s">
        <v>2392</v>
      </c>
      <c r="B37" s="4" t="s">
        <v>2386</v>
      </c>
      <c r="C37" s="3" t="s">
        <v>2387</v>
      </c>
      <c r="D37" s="11" t="s">
        <v>2388</v>
      </c>
      <c r="E37" s="4" t="s">
        <v>2314</v>
      </c>
      <c r="F37" s="117" t="n">
        <v>6.47360284700915</v>
      </c>
      <c r="G37" s="117" t="n">
        <v>7.98992214647791</v>
      </c>
      <c r="H37" s="117" t="n">
        <v>13.6330236684808</v>
      </c>
      <c r="I37" s="11" t="s">
        <v>2393</v>
      </c>
      <c r="J37" s="11" t="s">
        <v>2309</v>
      </c>
    </row>
    <row r="38" customFormat="false" ht="15" hidden="false" customHeight="false" outlineLevel="0" collapsed="false">
      <c r="A38" s="4" t="s">
        <v>2394</v>
      </c>
      <c r="B38" s="4" t="s">
        <v>2386</v>
      </c>
      <c r="C38" s="3" t="s">
        <v>2387</v>
      </c>
      <c r="D38" s="11" t="s">
        <v>2388</v>
      </c>
      <c r="E38" s="4" t="s">
        <v>2317</v>
      </c>
      <c r="F38" s="117" t="n">
        <v>7.32251312176997</v>
      </c>
      <c r="G38" s="117" t="n">
        <v>8.9923042149807</v>
      </c>
      <c r="H38" s="117" t="n">
        <v>14.5598263108425</v>
      </c>
      <c r="I38" s="11" t="s">
        <v>2395</v>
      </c>
      <c r="J38" s="11" t="s">
        <v>2309</v>
      </c>
    </row>
    <row r="39" customFormat="false" ht="15" hidden="false" customHeight="false" outlineLevel="0" collapsed="false">
      <c r="A39" s="4" t="s">
        <v>2396</v>
      </c>
      <c r="B39" s="4" t="s">
        <v>2386</v>
      </c>
      <c r="C39" s="3" t="s">
        <v>2387</v>
      </c>
      <c r="D39" s="11" t="s">
        <v>2388</v>
      </c>
      <c r="E39" s="4" t="s">
        <v>2320</v>
      </c>
      <c r="F39" s="117" t="n">
        <v>7.78527570436843</v>
      </c>
      <c r="G39" s="117" t="n">
        <v>11.3345929943372</v>
      </c>
      <c r="H39" s="117" t="n">
        <v>20.8704255692031</v>
      </c>
      <c r="I39" s="11" t="s">
        <v>2397</v>
      </c>
      <c r="J39" s="11" t="s">
        <v>2309</v>
      </c>
    </row>
    <row r="40" customFormat="false" ht="15" hidden="false" customHeight="false" outlineLevel="0" collapsed="false">
      <c r="A40" s="4" t="s">
        <v>2398</v>
      </c>
      <c r="B40" s="4" t="s">
        <v>1341</v>
      </c>
      <c r="C40" s="3" t="s">
        <v>2399</v>
      </c>
      <c r="D40" s="11" t="s">
        <v>2388</v>
      </c>
      <c r="E40" s="4" t="s">
        <v>2307</v>
      </c>
      <c r="F40" s="117" t="n">
        <v>6.79107465326444</v>
      </c>
      <c r="G40" s="117" t="n">
        <v>9.70308728611469</v>
      </c>
      <c r="H40" s="117" t="n">
        <v>16.6637697337026</v>
      </c>
      <c r="I40" s="11" t="s">
        <v>2400</v>
      </c>
      <c r="J40" s="11" t="s">
        <v>2309</v>
      </c>
    </row>
    <row r="41" customFormat="false" ht="15" hidden="false" customHeight="false" outlineLevel="0" collapsed="false">
      <c r="A41" s="4" t="s">
        <v>2401</v>
      </c>
      <c r="B41" s="4" t="s">
        <v>1341</v>
      </c>
      <c r="C41" s="3" t="s">
        <v>2399</v>
      </c>
      <c r="D41" s="11" t="s">
        <v>2388</v>
      </c>
      <c r="E41" s="4" t="s">
        <v>2311</v>
      </c>
      <c r="F41" s="117" t="n">
        <v>6.6118162762144</v>
      </c>
      <c r="G41" s="117" t="n">
        <v>8.82816556596761</v>
      </c>
      <c r="H41" s="117" t="n">
        <v>14.3185748619737</v>
      </c>
      <c r="I41" s="11" t="s">
        <v>2402</v>
      </c>
      <c r="J41" s="11" t="s">
        <v>2309</v>
      </c>
    </row>
    <row r="42" customFormat="false" ht="15" hidden="false" customHeight="false" outlineLevel="0" collapsed="false">
      <c r="A42" s="4" t="s">
        <v>2403</v>
      </c>
      <c r="B42" s="4" t="s">
        <v>1341</v>
      </c>
      <c r="C42" s="3" t="s">
        <v>2399</v>
      </c>
      <c r="D42" s="11" t="s">
        <v>2388</v>
      </c>
      <c r="E42" s="4" t="s">
        <v>2314</v>
      </c>
      <c r="F42" s="117" t="n">
        <v>8.42889912085495</v>
      </c>
      <c r="G42" s="117" t="n">
        <v>10.8864110021101</v>
      </c>
      <c r="H42" s="117" t="n">
        <v>18.5346455040469</v>
      </c>
      <c r="I42" s="11" t="s">
        <v>2404</v>
      </c>
      <c r="J42" s="11" t="s">
        <v>2309</v>
      </c>
    </row>
    <row r="43" customFormat="false" ht="15" hidden="false" customHeight="false" outlineLevel="0" collapsed="false">
      <c r="A43" s="4" t="s">
        <v>2405</v>
      </c>
      <c r="B43" s="4" t="s">
        <v>1341</v>
      </c>
      <c r="C43" s="3" t="s">
        <v>2399</v>
      </c>
      <c r="D43" s="11" t="s">
        <v>2388</v>
      </c>
      <c r="E43" s="4" t="s">
        <v>2317</v>
      </c>
      <c r="F43" s="117" t="n">
        <v>9.51207691858967</v>
      </c>
      <c r="G43" s="117" t="n">
        <v>12.2254710045841</v>
      </c>
      <c r="H43" s="117" t="n">
        <v>19.7506269894487</v>
      </c>
      <c r="I43" s="11" t="s">
        <v>2406</v>
      </c>
      <c r="J43" s="11" t="s">
        <v>2309</v>
      </c>
    </row>
    <row r="44" customFormat="false" ht="15" hidden="false" customHeight="false" outlineLevel="0" collapsed="false">
      <c r="A44" s="4" t="s">
        <v>2407</v>
      </c>
      <c r="B44" s="4" t="s">
        <v>1341</v>
      </c>
      <c r="C44" s="3" t="s">
        <v>2399</v>
      </c>
      <c r="D44" s="11" t="s">
        <v>2388</v>
      </c>
      <c r="E44" s="4" t="s">
        <v>2320</v>
      </c>
      <c r="F44" s="117" t="n">
        <v>10.1025446864987</v>
      </c>
      <c r="G44" s="117" t="n">
        <v>15.3544827030524</v>
      </c>
      <c r="H44" s="117" t="n">
        <v>28.0302450108258</v>
      </c>
      <c r="I44" s="11" t="s">
        <v>2408</v>
      </c>
      <c r="J44" s="11" t="s">
        <v>2309</v>
      </c>
    </row>
    <row r="45" customFormat="false" ht="15" hidden="false" customHeight="false" outlineLevel="0" collapsed="false">
      <c r="A45" s="4" t="s">
        <v>2409</v>
      </c>
      <c r="B45" s="4" t="s">
        <v>2410</v>
      </c>
      <c r="C45" s="3" t="s">
        <v>2411</v>
      </c>
      <c r="D45" s="11" t="s">
        <v>2412</v>
      </c>
      <c r="E45" s="4" t="s">
        <v>2307</v>
      </c>
      <c r="F45" s="117" t="n">
        <v>1.07964486018265</v>
      </c>
      <c r="G45" s="117" t="n">
        <v>1.54259654785589</v>
      </c>
      <c r="H45" s="117" t="n">
        <v>2.64920565047995</v>
      </c>
      <c r="I45" s="11" t="s">
        <v>2413</v>
      </c>
      <c r="J45" s="11" t="s">
        <v>2309</v>
      </c>
    </row>
    <row r="46" customFormat="false" ht="15" hidden="false" customHeight="false" outlineLevel="0" collapsed="false">
      <c r="A46" s="4" t="s">
        <v>2414</v>
      </c>
      <c r="B46" s="4" t="s">
        <v>2410</v>
      </c>
      <c r="C46" s="3" t="s">
        <v>2411</v>
      </c>
      <c r="D46" s="11" t="s">
        <v>2412</v>
      </c>
      <c r="E46" s="4" t="s">
        <v>2311</v>
      </c>
      <c r="F46" s="117" t="n">
        <v>1.50422814430785</v>
      </c>
      <c r="G46" s="117" t="n">
        <v>2.00846099652078</v>
      </c>
      <c r="H46" s="117" t="n">
        <v>3.25756227849869</v>
      </c>
      <c r="I46" s="11" t="s">
        <v>2415</v>
      </c>
      <c r="J46" s="11" t="s">
        <v>2309</v>
      </c>
    </row>
    <row r="47" customFormat="false" ht="15" hidden="false" customHeight="false" outlineLevel="0" collapsed="false">
      <c r="A47" s="4" t="s">
        <v>2416</v>
      </c>
      <c r="B47" s="4" t="s">
        <v>2410</v>
      </c>
      <c r="C47" s="3" t="s">
        <v>2411</v>
      </c>
      <c r="D47" s="11" t="s">
        <v>2412</v>
      </c>
      <c r="E47" s="4" t="s">
        <v>2314</v>
      </c>
      <c r="F47" s="117" t="n">
        <v>1.97574392204647</v>
      </c>
      <c r="G47" s="117" t="n">
        <v>2.55178761329595</v>
      </c>
      <c r="H47" s="117" t="n">
        <v>4.34454282544458</v>
      </c>
      <c r="I47" s="11" t="s">
        <v>2417</v>
      </c>
      <c r="J47" s="11" t="s">
        <v>2309</v>
      </c>
    </row>
    <row r="48" customFormat="false" ht="15" hidden="false" customHeight="false" outlineLevel="0" collapsed="false">
      <c r="A48" s="4" t="s">
        <v>2418</v>
      </c>
      <c r="B48" s="4" t="s">
        <v>2410</v>
      </c>
      <c r="C48" s="3" t="s">
        <v>2411</v>
      </c>
      <c r="D48" s="11" t="s">
        <v>2412</v>
      </c>
      <c r="E48" s="4" t="s">
        <v>2317</v>
      </c>
      <c r="F48" s="117" t="n">
        <v>3.72193954123947</v>
      </c>
      <c r="G48" s="117" t="n">
        <v>4.78365180724219</v>
      </c>
      <c r="H48" s="117" t="n">
        <v>7.72813762813851</v>
      </c>
      <c r="I48" s="11" t="s">
        <v>2419</v>
      </c>
      <c r="J48" s="11" t="s">
        <v>2309</v>
      </c>
    </row>
    <row r="49" customFormat="false" ht="15" hidden="false" customHeight="false" outlineLevel="0" collapsed="false">
      <c r="A49" s="4" t="s">
        <v>2420</v>
      </c>
      <c r="B49" s="4" t="s">
        <v>2410</v>
      </c>
      <c r="C49" s="3" t="s">
        <v>2411</v>
      </c>
      <c r="D49" s="11" t="s">
        <v>2412</v>
      </c>
      <c r="E49" s="4" t="s">
        <v>2320</v>
      </c>
      <c r="F49" s="117" t="n">
        <v>5.92143420546319</v>
      </c>
      <c r="G49" s="117" t="n">
        <v>8.99976806898525</v>
      </c>
      <c r="H49" s="117" t="n">
        <v>16.4294498807254</v>
      </c>
      <c r="I49" s="11" t="s">
        <v>2421</v>
      </c>
      <c r="J49" s="11" t="s">
        <v>2309</v>
      </c>
    </row>
    <row r="50" customFormat="false" ht="15" hidden="false" customHeight="false" outlineLevel="0" collapsed="false">
      <c r="A50" s="4" t="s">
        <v>2422</v>
      </c>
      <c r="B50" s="4" t="s">
        <v>2423</v>
      </c>
      <c r="C50" s="3" t="s">
        <v>2424</v>
      </c>
      <c r="D50" s="11" t="s">
        <v>2388</v>
      </c>
      <c r="E50" s="4" t="s">
        <v>2307</v>
      </c>
      <c r="F50" s="117" t="n">
        <v>0.404712</v>
      </c>
      <c r="G50" s="117" t="n">
        <v>0.672768</v>
      </c>
      <c r="H50" s="117" t="n">
        <v>1.02492</v>
      </c>
      <c r="I50" s="11" t="s">
        <v>2425</v>
      </c>
      <c r="J50" s="11" t="s">
        <v>2309</v>
      </c>
    </row>
    <row r="51" customFormat="false" ht="15" hidden="false" customHeight="false" outlineLevel="0" collapsed="false">
      <c r="A51" s="4" t="s">
        <v>2426</v>
      </c>
      <c r="B51" s="4" t="s">
        <v>2423</v>
      </c>
      <c r="C51" s="3" t="s">
        <v>2424</v>
      </c>
      <c r="D51" s="11" t="s">
        <v>2388</v>
      </c>
      <c r="E51" s="4" t="s">
        <v>2311</v>
      </c>
      <c r="F51" s="117" t="n">
        <v>0.404712</v>
      </c>
      <c r="G51" s="117" t="n">
        <v>0.672768</v>
      </c>
      <c r="H51" s="117" t="n">
        <v>1.02492</v>
      </c>
      <c r="I51" s="11" t="s">
        <v>2427</v>
      </c>
      <c r="J51" s="11" t="s">
        <v>2309</v>
      </c>
    </row>
    <row r="52" customFormat="false" ht="15" hidden="false" customHeight="false" outlineLevel="0" collapsed="false">
      <c r="A52" s="4" t="s">
        <v>2428</v>
      </c>
      <c r="B52" s="4" t="s">
        <v>2423</v>
      </c>
      <c r="C52" s="3" t="s">
        <v>2424</v>
      </c>
      <c r="D52" s="11" t="s">
        <v>2388</v>
      </c>
      <c r="E52" s="4" t="s">
        <v>2314</v>
      </c>
      <c r="F52" s="117" t="n">
        <v>0.404712</v>
      </c>
      <c r="G52" s="117" t="n">
        <v>0.672768</v>
      </c>
      <c r="H52" s="117" t="n">
        <v>1.02492</v>
      </c>
      <c r="I52" s="11" t="s">
        <v>2429</v>
      </c>
      <c r="J52" s="11" t="s">
        <v>2309</v>
      </c>
    </row>
    <row r="53" customFormat="false" ht="15" hidden="false" customHeight="false" outlineLevel="0" collapsed="false">
      <c r="A53" s="4" t="s">
        <v>2430</v>
      </c>
      <c r="B53" s="4" t="s">
        <v>2423</v>
      </c>
      <c r="C53" s="3" t="s">
        <v>2424</v>
      </c>
      <c r="D53" s="11" t="s">
        <v>2388</v>
      </c>
      <c r="E53" s="4" t="s">
        <v>2317</v>
      </c>
      <c r="F53" s="117" t="n">
        <v>0.404712</v>
      </c>
      <c r="G53" s="117" t="n">
        <v>0.672768</v>
      </c>
      <c r="H53" s="117" t="n">
        <v>1.02492</v>
      </c>
      <c r="I53" s="11" t="s">
        <v>2431</v>
      </c>
      <c r="J53" s="11" t="s">
        <v>2309</v>
      </c>
    </row>
    <row r="54" customFormat="false" ht="15" hidden="false" customHeight="false" outlineLevel="0" collapsed="false">
      <c r="A54" s="4" t="s">
        <v>2432</v>
      </c>
      <c r="B54" s="4" t="s">
        <v>2423</v>
      </c>
      <c r="C54" s="3" t="s">
        <v>2424</v>
      </c>
      <c r="D54" s="11" t="s">
        <v>2388</v>
      </c>
      <c r="E54" s="4" t="s">
        <v>2320</v>
      </c>
      <c r="F54" s="117" t="n">
        <v>0.404712</v>
      </c>
      <c r="G54" s="117" t="n">
        <v>0.672768</v>
      </c>
      <c r="H54" s="117" t="n">
        <v>1.02492</v>
      </c>
      <c r="I54" s="11" t="s">
        <v>2433</v>
      </c>
      <c r="J54" s="11" t="s">
        <v>2309</v>
      </c>
    </row>
    <row r="55" customFormat="false" ht="15" hidden="false" customHeight="false" outlineLevel="0" collapsed="false">
      <c r="A55" s="4" t="s">
        <v>2434</v>
      </c>
      <c r="B55" s="4" t="s">
        <v>2435</v>
      </c>
      <c r="C55" s="3" t="s">
        <v>2436</v>
      </c>
      <c r="D55" s="11" t="s">
        <v>42</v>
      </c>
      <c r="E55" s="4" t="s">
        <v>1272</v>
      </c>
      <c r="F55" s="118"/>
      <c r="G55" s="24" t="n">
        <v>0.6</v>
      </c>
      <c r="H55" s="118"/>
      <c r="I55" s="11" t="s">
        <v>2437</v>
      </c>
      <c r="J55" s="11" t="s">
        <v>2309</v>
      </c>
    </row>
    <row r="56" customFormat="false" ht="15" hidden="false" customHeight="false" outlineLevel="0" collapsed="false">
      <c r="A56" s="4" t="s">
        <v>2438</v>
      </c>
      <c r="B56" s="4" t="s">
        <v>2439</v>
      </c>
      <c r="C56" s="3" t="s">
        <v>2440</v>
      </c>
      <c r="D56" s="11" t="s">
        <v>2441</v>
      </c>
      <c r="E56" s="4" t="s">
        <v>1272</v>
      </c>
      <c r="F56" s="117" t="n">
        <v>10.212</v>
      </c>
      <c r="G56" s="117" t="n">
        <v>12.67</v>
      </c>
      <c r="H56" s="117" t="n">
        <v>16.186</v>
      </c>
      <c r="I56" s="11" t="s">
        <v>2442</v>
      </c>
      <c r="J56" s="11" t="s">
        <v>2309</v>
      </c>
    </row>
    <row r="57" customFormat="false" ht="15" hidden="false" customHeight="false" outlineLevel="0" collapsed="false">
      <c r="A57" s="4" t="s">
        <v>2443</v>
      </c>
      <c r="B57" s="4" t="s">
        <v>2444</v>
      </c>
      <c r="C57" s="3" t="s">
        <v>2445</v>
      </c>
      <c r="D57" s="11" t="s">
        <v>2412</v>
      </c>
      <c r="E57" s="4" t="s">
        <v>1272</v>
      </c>
      <c r="F57" s="117" t="n">
        <v>1.50422814430785</v>
      </c>
      <c r="G57" s="117" t="n">
        <v>2.00846099652078</v>
      </c>
      <c r="H57" s="117" t="n">
        <v>3.25756227849869</v>
      </c>
      <c r="I57" s="11" t="s">
        <v>2446</v>
      </c>
      <c r="J57" s="11" t="s">
        <v>2309</v>
      </c>
    </row>
    <row r="58" customFormat="false" ht="15" hidden="false" customHeight="false" outlineLevel="0" collapsed="false">
      <c r="A58" s="4" t="s">
        <v>2447</v>
      </c>
      <c r="B58" s="4" t="s">
        <v>2448</v>
      </c>
      <c r="C58" s="3" t="s">
        <v>2449</v>
      </c>
      <c r="D58" s="11" t="s">
        <v>2412</v>
      </c>
      <c r="E58" s="4" t="s">
        <v>1272</v>
      </c>
      <c r="F58" s="117" t="n">
        <v>1.97574392204647</v>
      </c>
      <c r="G58" s="117" t="n">
        <v>2.55178761329595</v>
      </c>
      <c r="H58" s="117" t="n">
        <v>4.34454282544458</v>
      </c>
      <c r="I58" s="11" t="s">
        <v>2450</v>
      </c>
      <c r="J58" s="11" t="s">
        <v>2309</v>
      </c>
    </row>
    <row r="59" customFormat="false" ht="15" hidden="false" customHeight="false" outlineLevel="0" collapsed="false">
      <c r="A59" s="4" t="s">
        <v>2451</v>
      </c>
      <c r="B59" s="4" t="s">
        <v>2452</v>
      </c>
      <c r="C59" s="4" t="s">
        <v>2453</v>
      </c>
      <c r="D59" s="11" t="s">
        <v>2454</v>
      </c>
      <c r="E59" s="4" t="s">
        <v>1272</v>
      </c>
      <c r="F59" s="117" t="n">
        <v>43.9752259847248</v>
      </c>
      <c r="G59" s="117" t="n">
        <v>65.9628389770872</v>
      </c>
      <c r="H59" s="117" t="n">
        <v>87.9504519694495</v>
      </c>
      <c r="I59" s="11" t="s">
        <v>2455</v>
      </c>
      <c r="J59" s="11" t="s">
        <v>2309</v>
      </c>
    </row>
    <row r="60" customFormat="false" ht="15" hidden="false" customHeight="false" outlineLevel="0" collapsed="false">
      <c r="A60" s="4" t="s">
        <v>2456</v>
      </c>
      <c r="B60" s="4" t="s">
        <v>2457</v>
      </c>
      <c r="C60" s="4" t="s">
        <v>2458</v>
      </c>
      <c r="D60" s="6" t="s">
        <v>181</v>
      </c>
      <c r="E60" s="4" t="s">
        <v>2307</v>
      </c>
      <c r="F60" s="117" t="n">
        <v>6</v>
      </c>
      <c r="G60" s="117" t="n">
        <v>6</v>
      </c>
      <c r="H60" s="117" t="n">
        <v>4</v>
      </c>
      <c r="I60" s="11" t="s">
        <v>2459</v>
      </c>
      <c r="J60" s="11" t="s">
        <v>2309</v>
      </c>
    </row>
    <row r="61" customFormat="false" ht="15" hidden="false" customHeight="false" outlineLevel="0" collapsed="false">
      <c r="A61" s="4" t="s">
        <v>2460</v>
      </c>
      <c r="B61" s="4" t="s">
        <v>2457</v>
      </c>
      <c r="C61" s="4" t="s">
        <v>2458</v>
      </c>
      <c r="D61" s="6" t="s">
        <v>181</v>
      </c>
      <c r="E61" s="4" t="s">
        <v>2311</v>
      </c>
      <c r="F61" s="117" t="n">
        <v>6</v>
      </c>
      <c r="G61" s="117" t="n">
        <v>6</v>
      </c>
      <c r="H61" s="117" t="n">
        <v>4</v>
      </c>
      <c r="I61" s="11" t="s">
        <v>2461</v>
      </c>
      <c r="J61" s="11" t="s">
        <v>2309</v>
      </c>
    </row>
    <row r="62" customFormat="false" ht="15" hidden="false" customHeight="false" outlineLevel="0" collapsed="false">
      <c r="A62" s="4" t="s">
        <v>2462</v>
      </c>
      <c r="B62" s="4" t="s">
        <v>2457</v>
      </c>
      <c r="C62" s="4" t="s">
        <v>2458</v>
      </c>
      <c r="D62" s="6" t="s">
        <v>181</v>
      </c>
      <c r="E62" s="4" t="s">
        <v>2314</v>
      </c>
      <c r="F62" s="117" t="n">
        <v>6</v>
      </c>
      <c r="G62" s="117" t="n">
        <v>6</v>
      </c>
      <c r="H62" s="117" t="n">
        <v>4</v>
      </c>
      <c r="I62" s="11" t="s">
        <v>2463</v>
      </c>
      <c r="J62" s="11" t="s">
        <v>2309</v>
      </c>
    </row>
    <row r="63" customFormat="false" ht="15" hidden="false" customHeight="false" outlineLevel="0" collapsed="false">
      <c r="A63" s="4" t="s">
        <v>2464</v>
      </c>
      <c r="B63" s="4" t="s">
        <v>2457</v>
      </c>
      <c r="C63" s="4" t="s">
        <v>2458</v>
      </c>
      <c r="D63" s="6" t="s">
        <v>181</v>
      </c>
      <c r="E63" s="4" t="s">
        <v>2317</v>
      </c>
      <c r="F63" s="117" t="n">
        <v>6</v>
      </c>
      <c r="G63" s="117" t="n">
        <v>6</v>
      </c>
      <c r="H63" s="117" t="n">
        <v>4</v>
      </c>
      <c r="I63" s="11" t="s">
        <v>2465</v>
      </c>
      <c r="J63" s="11" t="s">
        <v>2309</v>
      </c>
    </row>
    <row r="64" customFormat="false" ht="15" hidden="false" customHeight="false" outlineLevel="0" collapsed="false">
      <c r="A64" s="4" t="s">
        <v>2466</v>
      </c>
      <c r="B64" s="4" t="s">
        <v>2457</v>
      </c>
      <c r="C64" s="4" t="s">
        <v>2458</v>
      </c>
      <c r="D64" s="6" t="s">
        <v>181</v>
      </c>
      <c r="E64" s="4" t="s">
        <v>2320</v>
      </c>
      <c r="F64" s="117" t="n">
        <v>6</v>
      </c>
      <c r="G64" s="117" t="n">
        <v>6</v>
      </c>
      <c r="H64" s="117" t="n">
        <v>4</v>
      </c>
      <c r="I64" s="11" t="s">
        <v>2467</v>
      </c>
      <c r="J64" s="11" t="s">
        <v>2309</v>
      </c>
    </row>
    <row r="65" customFormat="false" ht="15" hidden="false" customHeight="false" outlineLevel="0" collapsed="false">
      <c r="A65" s="4" t="s">
        <v>2468</v>
      </c>
      <c r="B65" s="4" t="s">
        <v>2469</v>
      </c>
      <c r="C65" s="3" t="s">
        <v>2470</v>
      </c>
      <c r="D65" s="11" t="s">
        <v>2388</v>
      </c>
      <c r="E65" s="4" t="s">
        <v>2307</v>
      </c>
      <c r="F65" s="117" t="n">
        <v>3.5700449</v>
      </c>
      <c r="G65" s="117" t="n">
        <v>4.58503566666667</v>
      </c>
      <c r="H65" s="117" t="n">
        <v>8.53018585</v>
      </c>
      <c r="I65" s="11" t="s">
        <v>2471</v>
      </c>
      <c r="J65" s="11" t="s">
        <v>2309</v>
      </c>
    </row>
    <row r="66" customFormat="false" ht="15" hidden="false" customHeight="false" outlineLevel="0" collapsed="false">
      <c r="A66" s="4" t="s">
        <v>2472</v>
      </c>
      <c r="B66" s="4" t="s">
        <v>2469</v>
      </c>
      <c r="C66" s="3" t="s">
        <v>2470</v>
      </c>
      <c r="D66" s="11" t="s">
        <v>2388</v>
      </c>
      <c r="E66" s="4" t="s">
        <v>2311</v>
      </c>
      <c r="F66" s="117" t="n">
        <v>3.4398984</v>
      </c>
      <c r="G66" s="117" t="n">
        <v>4.002529</v>
      </c>
      <c r="H66" s="117" t="n">
        <v>6.9125511</v>
      </c>
      <c r="I66" s="11" t="s">
        <v>2473</v>
      </c>
      <c r="J66" s="11" t="s">
        <v>2309</v>
      </c>
    </row>
    <row r="67" customFormat="false" ht="15" hidden="false" customHeight="false" outlineLevel="0" collapsed="false">
      <c r="A67" s="4" t="s">
        <v>2474</v>
      </c>
      <c r="B67" s="4" t="s">
        <v>2469</v>
      </c>
      <c r="C67" s="3" t="s">
        <v>2470</v>
      </c>
      <c r="D67" s="11" t="s">
        <v>2388</v>
      </c>
      <c r="E67" s="4" t="s">
        <v>2314</v>
      </c>
      <c r="F67" s="117" t="n">
        <v>4.7591504</v>
      </c>
      <c r="G67" s="117" t="n">
        <v>5.37287066666667</v>
      </c>
      <c r="H67" s="117" t="n">
        <v>9.8206516</v>
      </c>
      <c r="I67" s="11" t="s">
        <v>2475</v>
      </c>
      <c r="J67" s="11" t="s">
        <v>2309</v>
      </c>
    </row>
    <row r="68" customFormat="false" ht="15" hidden="false" customHeight="false" outlineLevel="0" collapsed="false">
      <c r="A68" s="4" t="s">
        <v>2476</v>
      </c>
      <c r="B68" s="4" t="s">
        <v>2469</v>
      </c>
      <c r="C68" s="3" t="s">
        <v>2470</v>
      </c>
      <c r="D68" s="11" t="s">
        <v>2388</v>
      </c>
      <c r="E68" s="4" t="s">
        <v>2317</v>
      </c>
      <c r="F68" s="117" t="n">
        <v>5.5455672</v>
      </c>
      <c r="G68" s="117" t="n">
        <v>6.264392</v>
      </c>
      <c r="H68" s="117" t="n">
        <v>10.6593938</v>
      </c>
      <c r="I68" s="11" t="s">
        <v>2477</v>
      </c>
      <c r="J68" s="11" t="s">
        <v>2309</v>
      </c>
    </row>
    <row r="69" customFormat="false" ht="15" hidden="false" customHeight="false" outlineLevel="0" collapsed="false">
      <c r="A69" s="4" t="s">
        <v>2478</v>
      </c>
      <c r="B69" s="4" t="s">
        <v>2469</v>
      </c>
      <c r="C69" s="3" t="s">
        <v>2470</v>
      </c>
      <c r="D69" s="11" t="s">
        <v>2388</v>
      </c>
      <c r="E69" s="4" t="s">
        <v>2320</v>
      </c>
      <c r="F69" s="117" t="n">
        <v>5.974263</v>
      </c>
      <c r="G69" s="117" t="n">
        <v>8.34763</v>
      </c>
      <c r="H69" s="117" t="n">
        <v>16.3703895</v>
      </c>
      <c r="I69" s="11" t="s">
        <v>2479</v>
      </c>
      <c r="J69" s="11" t="s">
        <v>2309</v>
      </c>
    </row>
    <row r="70" customFormat="false" ht="15" hidden="false" customHeight="false" outlineLevel="0" collapsed="false">
      <c r="A70" s="4" t="s">
        <v>2480</v>
      </c>
      <c r="B70" s="4" t="s">
        <v>2481</v>
      </c>
      <c r="C70" s="3" t="s">
        <v>2482</v>
      </c>
      <c r="D70" s="11" t="s">
        <v>2388</v>
      </c>
      <c r="E70" s="4" t="s">
        <v>2307</v>
      </c>
      <c r="F70" s="117" t="n">
        <v>0.507733333333333</v>
      </c>
      <c r="G70" s="117" t="n">
        <v>0.634416666666667</v>
      </c>
      <c r="H70" s="117" t="n">
        <v>0.812233333333334</v>
      </c>
      <c r="I70" s="11" t="s">
        <v>2483</v>
      </c>
      <c r="J70" s="11" t="s">
        <v>2309</v>
      </c>
    </row>
    <row r="71" customFormat="false" ht="15" hidden="false" customHeight="false" outlineLevel="0" collapsed="false">
      <c r="A71" s="4" t="s">
        <v>2484</v>
      </c>
      <c r="B71" s="4" t="s">
        <v>2481</v>
      </c>
      <c r="C71" s="3" t="s">
        <v>2482</v>
      </c>
      <c r="D71" s="11" t="s">
        <v>2388</v>
      </c>
      <c r="E71" s="4" t="s">
        <v>2311</v>
      </c>
      <c r="F71" s="117" t="n">
        <v>0.507733333333333</v>
      </c>
      <c r="G71" s="117" t="n">
        <v>0.634416666666667</v>
      </c>
      <c r="H71" s="117" t="n">
        <v>0.812233333333334</v>
      </c>
      <c r="I71" s="11" t="s">
        <v>2485</v>
      </c>
      <c r="J71" s="11" t="s">
        <v>2309</v>
      </c>
    </row>
    <row r="72" customFormat="false" ht="15" hidden="false" customHeight="false" outlineLevel="0" collapsed="false">
      <c r="A72" s="4" t="s">
        <v>2486</v>
      </c>
      <c r="B72" s="4" t="s">
        <v>2481</v>
      </c>
      <c r="C72" s="3" t="s">
        <v>2482</v>
      </c>
      <c r="D72" s="11" t="s">
        <v>2388</v>
      </c>
      <c r="E72" s="4" t="s">
        <v>2314</v>
      </c>
      <c r="F72" s="117" t="n">
        <v>0.507733333333333</v>
      </c>
      <c r="G72" s="117" t="n">
        <v>0.634416666666667</v>
      </c>
      <c r="H72" s="117" t="n">
        <v>0.812233333333334</v>
      </c>
      <c r="I72" s="11" t="s">
        <v>2487</v>
      </c>
      <c r="J72" s="11" t="s">
        <v>2309</v>
      </c>
    </row>
    <row r="73" customFormat="false" ht="15" hidden="false" customHeight="false" outlineLevel="0" collapsed="false">
      <c r="A73" s="4" t="s">
        <v>2488</v>
      </c>
      <c r="B73" s="4" t="s">
        <v>2481</v>
      </c>
      <c r="C73" s="3" t="s">
        <v>2482</v>
      </c>
      <c r="D73" s="11" t="s">
        <v>2388</v>
      </c>
      <c r="E73" s="4" t="s">
        <v>2317</v>
      </c>
      <c r="F73" s="117" t="n">
        <v>0.507733333333333</v>
      </c>
      <c r="G73" s="117" t="n">
        <v>0.634416666666667</v>
      </c>
      <c r="H73" s="117" t="n">
        <v>0.812233333333334</v>
      </c>
      <c r="I73" s="11" t="s">
        <v>2489</v>
      </c>
      <c r="J73" s="11" t="s">
        <v>2309</v>
      </c>
    </row>
    <row r="74" customFormat="false" ht="15" hidden="false" customHeight="false" outlineLevel="0" collapsed="false">
      <c r="A74" s="4" t="s">
        <v>2490</v>
      </c>
      <c r="B74" s="4" t="s">
        <v>2481</v>
      </c>
      <c r="C74" s="3" t="s">
        <v>2482</v>
      </c>
      <c r="D74" s="11" t="s">
        <v>2388</v>
      </c>
      <c r="E74" s="4" t="s">
        <v>2320</v>
      </c>
      <c r="F74" s="117" t="n">
        <v>0.507733333333333</v>
      </c>
      <c r="G74" s="117" t="n">
        <v>0.634416666666667</v>
      </c>
      <c r="H74" s="117" t="n">
        <v>0.812233333333334</v>
      </c>
      <c r="I74" s="11" t="s">
        <v>2491</v>
      </c>
      <c r="J74" s="11" t="s">
        <v>2309</v>
      </c>
    </row>
    <row r="75" customFormat="false" ht="15" hidden="false" customHeight="false" outlineLevel="0" collapsed="false">
      <c r="A75" s="4" t="s">
        <v>2492</v>
      </c>
      <c r="B75" s="4" t="s">
        <v>2493</v>
      </c>
      <c r="C75" s="3" t="s">
        <v>2494</v>
      </c>
      <c r="D75" s="11" t="s">
        <v>42</v>
      </c>
      <c r="E75" s="4" t="s">
        <v>2307</v>
      </c>
      <c r="F75" s="24" t="n">
        <v>0.7</v>
      </c>
      <c r="G75" s="24" t="n">
        <v>0.8</v>
      </c>
      <c r="H75" s="24" t="n">
        <v>0.9</v>
      </c>
      <c r="I75" s="11" t="s">
        <v>2495</v>
      </c>
      <c r="J75" s="11" t="s">
        <v>2309</v>
      </c>
    </row>
    <row r="76" customFormat="false" ht="15" hidden="false" customHeight="false" outlineLevel="0" collapsed="false">
      <c r="A76" s="4" t="s">
        <v>2496</v>
      </c>
      <c r="B76" s="4" t="s">
        <v>2493</v>
      </c>
      <c r="C76" s="3" t="s">
        <v>2494</v>
      </c>
      <c r="D76" s="11" t="s">
        <v>42</v>
      </c>
      <c r="E76" s="4" t="s">
        <v>2311</v>
      </c>
      <c r="F76" s="24" t="n">
        <v>0.7</v>
      </c>
      <c r="G76" s="24" t="n">
        <v>0.8</v>
      </c>
      <c r="H76" s="24" t="n">
        <v>0.9</v>
      </c>
      <c r="I76" s="11" t="s">
        <v>2497</v>
      </c>
      <c r="J76" s="11" t="s">
        <v>2309</v>
      </c>
    </row>
    <row r="77" customFormat="false" ht="15" hidden="false" customHeight="false" outlineLevel="0" collapsed="false">
      <c r="A77" s="4" t="s">
        <v>2498</v>
      </c>
      <c r="B77" s="4" t="s">
        <v>2493</v>
      </c>
      <c r="C77" s="3" t="s">
        <v>2494</v>
      </c>
      <c r="D77" s="11" t="s">
        <v>42</v>
      </c>
      <c r="E77" s="4" t="s">
        <v>2314</v>
      </c>
      <c r="F77" s="24" t="n">
        <v>0.7</v>
      </c>
      <c r="G77" s="24" t="n">
        <v>0.8</v>
      </c>
      <c r="H77" s="24" t="n">
        <v>0.9</v>
      </c>
      <c r="I77" s="11" t="s">
        <v>2499</v>
      </c>
      <c r="J77" s="11" t="s">
        <v>2309</v>
      </c>
    </row>
    <row r="78" customFormat="false" ht="15" hidden="false" customHeight="false" outlineLevel="0" collapsed="false">
      <c r="A78" s="4" t="s">
        <v>2500</v>
      </c>
      <c r="B78" s="4" t="s">
        <v>2493</v>
      </c>
      <c r="C78" s="3" t="s">
        <v>2494</v>
      </c>
      <c r="D78" s="11" t="s">
        <v>42</v>
      </c>
      <c r="E78" s="4" t="s">
        <v>2317</v>
      </c>
      <c r="F78" s="24" t="n">
        <v>0.7</v>
      </c>
      <c r="G78" s="24" t="n">
        <v>0.8</v>
      </c>
      <c r="H78" s="24" t="n">
        <v>0.9</v>
      </c>
      <c r="I78" s="11" t="s">
        <v>2501</v>
      </c>
      <c r="J78" s="11" t="s">
        <v>2309</v>
      </c>
    </row>
    <row r="79" customFormat="false" ht="15" hidden="false" customHeight="false" outlineLevel="0" collapsed="false">
      <c r="A79" s="4" t="s">
        <v>2502</v>
      </c>
      <c r="B79" s="4" t="s">
        <v>2493</v>
      </c>
      <c r="C79" s="3" t="s">
        <v>2494</v>
      </c>
      <c r="D79" s="11" t="s">
        <v>42</v>
      </c>
      <c r="E79" s="4" t="s">
        <v>2320</v>
      </c>
      <c r="F79" s="24" t="n">
        <v>0.7</v>
      </c>
      <c r="G79" s="24" t="n">
        <v>0.8</v>
      </c>
      <c r="H79" s="24" t="n">
        <v>0.9</v>
      </c>
      <c r="I79" s="11" t="s">
        <v>2503</v>
      </c>
      <c r="J79" s="11" t="s">
        <v>2309</v>
      </c>
    </row>
    <row r="80" customFormat="false" ht="15" hidden="false" customHeight="false" outlineLevel="0" collapsed="false">
      <c r="A80" s="4" t="s">
        <v>2504</v>
      </c>
      <c r="B80" s="4" t="s">
        <v>2505</v>
      </c>
      <c r="C80" s="3" t="s">
        <v>340</v>
      </c>
      <c r="D80" s="11" t="s">
        <v>2506</v>
      </c>
      <c r="E80" s="4" t="s">
        <v>2307</v>
      </c>
      <c r="F80" s="117" t="n">
        <v>0.06</v>
      </c>
      <c r="G80" s="117" t="n">
        <v>0.08</v>
      </c>
      <c r="H80" s="117" t="n">
        <v>0.1</v>
      </c>
      <c r="I80" s="11" t="s">
        <v>2507</v>
      </c>
      <c r="J80" s="11" t="s">
        <v>2309</v>
      </c>
    </row>
    <row r="81" customFormat="false" ht="15" hidden="false" customHeight="false" outlineLevel="0" collapsed="false">
      <c r="A81" s="4" t="s">
        <v>2508</v>
      </c>
      <c r="B81" s="4" t="s">
        <v>2505</v>
      </c>
      <c r="C81" s="3" t="s">
        <v>340</v>
      </c>
      <c r="D81" s="11" t="s">
        <v>2506</v>
      </c>
      <c r="E81" s="4" t="s">
        <v>2311</v>
      </c>
      <c r="F81" s="117" t="n">
        <v>0.06</v>
      </c>
      <c r="G81" s="117" t="n">
        <v>0.08</v>
      </c>
      <c r="H81" s="117" t="n">
        <v>0.1</v>
      </c>
      <c r="I81" s="11" t="s">
        <v>2509</v>
      </c>
      <c r="J81" s="11" t="s">
        <v>2309</v>
      </c>
    </row>
    <row r="82" customFormat="false" ht="15" hidden="false" customHeight="false" outlineLevel="0" collapsed="false">
      <c r="A82" s="4" t="s">
        <v>2510</v>
      </c>
      <c r="B82" s="4" t="s">
        <v>2505</v>
      </c>
      <c r="C82" s="3" t="s">
        <v>340</v>
      </c>
      <c r="D82" s="11" t="s">
        <v>2506</v>
      </c>
      <c r="E82" s="4" t="s">
        <v>2314</v>
      </c>
      <c r="F82" s="117" t="n">
        <v>0.06</v>
      </c>
      <c r="G82" s="117" t="n">
        <v>0.08</v>
      </c>
      <c r="H82" s="117" t="n">
        <v>0.1</v>
      </c>
      <c r="I82" s="11" t="s">
        <v>2511</v>
      </c>
      <c r="J82" s="11" t="s">
        <v>2309</v>
      </c>
    </row>
    <row r="83" customFormat="false" ht="15" hidden="false" customHeight="false" outlineLevel="0" collapsed="false">
      <c r="A83" s="4" t="s">
        <v>2512</v>
      </c>
      <c r="B83" s="4" t="s">
        <v>2505</v>
      </c>
      <c r="C83" s="3" t="s">
        <v>340</v>
      </c>
      <c r="D83" s="11" t="s">
        <v>2506</v>
      </c>
      <c r="E83" s="4" t="s">
        <v>2317</v>
      </c>
      <c r="F83" s="117" t="n">
        <v>0.06</v>
      </c>
      <c r="G83" s="117" t="n">
        <v>0.08</v>
      </c>
      <c r="H83" s="117" t="n">
        <v>0.1</v>
      </c>
      <c r="I83" s="11" t="s">
        <v>2513</v>
      </c>
      <c r="J83" s="11" t="s">
        <v>2309</v>
      </c>
    </row>
    <row r="84" customFormat="false" ht="15" hidden="false" customHeight="false" outlineLevel="0" collapsed="false">
      <c r="A84" s="4" t="s">
        <v>2514</v>
      </c>
      <c r="B84" s="4" t="s">
        <v>2505</v>
      </c>
      <c r="C84" s="3" t="s">
        <v>340</v>
      </c>
      <c r="D84" s="11" t="s">
        <v>2506</v>
      </c>
      <c r="E84" s="4" t="s">
        <v>2320</v>
      </c>
      <c r="F84" s="117" t="n">
        <v>0.06</v>
      </c>
      <c r="G84" s="117" t="n">
        <v>0.08</v>
      </c>
      <c r="H84" s="117" t="n">
        <v>0.1</v>
      </c>
      <c r="I84" s="11" t="s">
        <v>2515</v>
      </c>
      <c r="J84" s="11" t="s">
        <v>2309</v>
      </c>
    </row>
    <row r="85" customFormat="false" ht="15" hidden="false" customHeight="false" outlineLevel="0" collapsed="false">
      <c r="A85" s="4" t="s">
        <v>2516</v>
      </c>
      <c r="B85" s="4" t="s">
        <v>2517</v>
      </c>
      <c r="C85" s="3" t="s">
        <v>2518</v>
      </c>
      <c r="D85" s="11" t="s">
        <v>2388</v>
      </c>
      <c r="E85" s="4" t="s">
        <v>2307</v>
      </c>
      <c r="F85" s="117" t="n">
        <v>0.219436730882534</v>
      </c>
      <c r="G85" s="117" t="n">
        <v>0.43259841019734</v>
      </c>
      <c r="H85" s="117" t="n">
        <v>0.6226274060112</v>
      </c>
      <c r="I85" s="11" t="s">
        <v>2519</v>
      </c>
      <c r="J85" s="11" t="s">
        <v>2309</v>
      </c>
    </row>
    <row r="86" customFormat="false" ht="15" hidden="false" customHeight="false" outlineLevel="0" collapsed="false">
      <c r="A86" s="4" t="s">
        <v>2520</v>
      </c>
      <c r="B86" s="4" t="s">
        <v>2517</v>
      </c>
      <c r="C86" s="3" t="s">
        <v>2518</v>
      </c>
      <c r="D86" s="11" t="s">
        <v>2388</v>
      </c>
      <c r="E86" s="4" t="s">
        <v>2311</v>
      </c>
      <c r="F86" s="117" t="n">
        <v>0.211437133315623</v>
      </c>
      <c r="G86" s="117" t="n">
        <v>0.377638868712999</v>
      </c>
      <c r="H86" s="117" t="n">
        <v>0.504554512175472</v>
      </c>
      <c r="I86" s="11" t="s">
        <v>2521</v>
      </c>
      <c r="J86" s="11" t="s">
        <v>2309</v>
      </c>
    </row>
    <row r="87" customFormat="false" ht="15" hidden="false" customHeight="false" outlineLevel="0" collapsed="false">
      <c r="A87" s="4" t="s">
        <v>2522</v>
      </c>
      <c r="B87" s="4" t="s">
        <v>2517</v>
      </c>
      <c r="C87" s="3" t="s">
        <v>2518</v>
      </c>
      <c r="D87" s="11" t="s">
        <v>2388</v>
      </c>
      <c r="E87" s="4" t="s">
        <v>2314</v>
      </c>
      <c r="F87" s="117" t="n">
        <v>0.292526406475813</v>
      </c>
      <c r="G87" s="117" t="n">
        <v>0.506930693144573</v>
      </c>
      <c r="H87" s="117" t="n">
        <v>0.716819883947515</v>
      </c>
      <c r="I87" s="11" t="s">
        <v>2523</v>
      </c>
      <c r="J87" s="11" t="s">
        <v>2309</v>
      </c>
    </row>
    <row r="88" customFormat="false" ht="15" hidden="false" customHeight="false" outlineLevel="0" collapsed="false">
      <c r="A88" s="4" t="s">
        <v>2524</v>
      </c>
      <c r="B88" s="4" t="s">
        <v>2517</v>
      </c>
      <c r="C88" s="3" t="s">
        <v>2518</v>
      </c>
      <c r="D88" s="11" t="s">
        <v>2388</v>
      </c>
      <c r="E88" s="4" t="s">
        <v>2317</v>
      </c>
      <c r="F88" s="117" t="n">
        <v>0.340864378836638</v>
      </c>
      <c r="G88" s="117" t="n">
        <v>0.591045788314028</v>
      </c>
      <c r="H88" s="117" t="n">
        <v>0.778040575909124</v>
      </c>
      <c r="I88" s="11" t="s">
        <v>2525</v>
      </c>
      <c r="J88" s="11" t="s">
        <v>2309</v>
      </c>
    </row>
    <row r="89" customFormat="false" ht="15" hidden="false" customHeight="false" outlineLevel="0" collapsed="false">
      <c r="A89" s="4" t="s">
        <v>2526</v>
      </c>
      <c r="B89" s="4" t="s">
        <v>2517</v>
      </c>
      <c r="C89" s="3" t="s">
        <v>2518</v>
      </c>
      <c r="D89" s="11" t="s">
        <v>2388</v>
      </c>
      <c r="E89" s="4" t="s">
        <v>2320</v>
      </c>
      <c r="F89" s="117" t="n">
        <v>0.367214637035091</v>
      </c>
      <c r="G89" s="117" t="n">
        <v>0.787599427670528</v>
      </c>
      <c r="H89" s="117" t="n">
        <v>1.19489227186978</v>
      </c>
      <c r="I89" s="11" t="s">
        <v>2527</v>
      </c>
      <c r="J89" s="11" t="s">
        <v>2309</v>
      </c>
    </row>
    <row r="90" customFormat="false" ht="15" hidden="false" customHeight="false" outlineLevel="0" collapsed="false">
      <c r="A90" s="4" t="s">
        <v>2528</v>
      </c>
      <c r="B90" s="4" t="s">
        <v>2529</v>
      </c>
      <c r="C90" s="3" t="s">
        <v>2530</v>
      </c>
      <c r="D90" s="11" t="s">
        <v>2388</v>
      </c>
      <c r="E90" s="4" t="s">
        <v>2307</v>
      </c>
      <c r="F90" s="117" t="n">
        <v>0.15318</v>
      </c>
      <c r="G90" s="117" t="n">
        <v>0.2534</v>
      </c>
      <c r="H90" s="117" t="n">
        <v>0.40465</v>
      </c>
      <c r="I90" s="11" t="s">
        <v>2531</v>
      </c>
      <c r="J90" s="11" t="s">
        <v>2309</v>
      </c>
    </row>
    <row r="91" customFormat="false" ht="15" hidden="false" customHeight="false" outlineLevel="0" collapsed="false">
      <c r="A91" s="4" t="s">
        <v>2532</v>
      </c>
      <c r="B91" s="4" t="s">
        <v>2529</v>
      </c>
      <c r="C91" s="3" t="s">
        <v>2530</v>
      </c>
      <c r="D91" s="11" t="s">
        <v>2388</v>
      </c>
      <c r="E91" s="4" t="s">
        <v>2311</v>
      </c>
      <c r="F91" s="117" t="n">
        <v>0.15318</v>
      </c>
      <c r="G91" s="117" t="n">
        <v>0.2534</v>
      </c>
      <c r="H91" s="117" t="n">
        <v>0.40465</v>
      </c>
      <c r="I91" s="11" t="s">
        <v>2533</v>
      </c>
      <c r="J91" s="11" t="s">
        <v>2309</v>
      </c>
    </row>
    <row r="92" customFormat="false" ht="15" hidden="false" customHeight="false" outlineLevel="0" collapsed="false">
      <c r="A92" s="4" t="s">
        <v>2534</v>
      </c>
      <c r="B92" s="4" t="s">
        <v>2529</v>
      </c>
      <c r="C92" s="3" t="s">
        <v>2530</v>
      </c>
      <c r="D92" s="11" t="s">
        <v>2388</v>
      </c>
      <c r="E92" s="4" t="s">
        <v>2314</v>
      </c>
      <c r="F92" s="117" t="n">
        <v>0.15318</v>
      </c>
      <c r="G92" s="117" t="n">
        <v>0.2534</v>
      </c>
      <c r="H92" s="117" t="n">
        <v>0.40465</v>
      </c>
      <c r="I92" s="11" t="s">
        <v>2535</v>
      </c>
      <c r="J92" s="11" t="s">
        <v>2309</v>
      </c>
    </row>
    <row r="93" customFormat="false" ht="15" hidden="false" customHeight="false" outlineLevel="0" collapsed="false">
      <c r="A93" s="4" t="s">
        <v>2536</v>
      </c>
      <c r="B93" s="4" t="s">
        <v>2529</v>
      </c>
      <c r="C93" s="3" t="s">
        <v>2530</v>
      </c>
      <c r="D93" s="11" t="s">
        <v>2388</v>
      </c>
      <c r="E93" s="4" t="s">
        <v>2317</v>
      </c>
      <c r="F93" s="117" t="n">
        <v>0.15318</v>
      </c>
      <c r="G93" s="117" t="n">
        <v>0.2534</v>
      </c>
      <c r="H93" s="117" t="n">
        <v>0.40465</v>
      </c>
      <c r="I93" s="11" t="s">
        <v>2537</v>
      </c>
      <c r="J93" s="11" t="s">
        <v>2309</v>
      </c>
    </row>
    <row r="94" customFormat="false" ht="15" hidden="false" customHeight="false" outlineLevel="0" collapsed="false">
      <c r="A94" s="4" t="s">
        <v>2538</v>
      </c>
      <c r="B94" s="4" t="s">
        <v>2529</v>
      </c>
      <c r="C94" s="3" t="s">
        <v>2530</v>
      </c>
      <c r="D94" s="11" t="s">
        <v>2388</v>
      </c>
      <c r="E94" s="4" t="s">
        <v>2320</v>
      </c>
      <c r="F94" s="117" t="n">
        <v>0.15318</v>
      </c>
      <c r="G94" s="117" t="n">
        <v>0.2534</v>
      </c>
      <c r="H94" s="117" t="n">
        <v>0.40465</v>
      </c>
      <c r="I94" s="11" t="s">
        <v>2539</v>
      </c>
      <c r="J94" s="11" t="s">
        <v>2309</v>
      </c>
    </row>
    <row r="95" customFormat="false" ht="15" hidden="false" customHeight="false" outlineLevel="0" collapsed="false">
      <c r="A95" s="4" t="s">
        <v>2540</v>
      </c>
      <c r="B95" s="4" t="s">
        <v>2541</v>
      </c>
      <c r="C95" s="3" t="s">
        <v>2542</v>
      </c>
      <c r="D95" s="11" t="s">
        <v>2388</v>
      </c>
      <c r="E95" s="4" t="s">
        <v>2307</v>
      </c>
      <c r="F95" s="117" t="n">
        <v>0.24</v>
      </c>
      <c r="G95" s="117" t="n">
        <v>0.325</v>
      </c>
      <c r="H95" s="117" t="n">
        <v>0.41</v>
      </c>
      <c r="I95" s="11" t="s">
        <v>2543</v>
      </c>
      <c r="J95" s="11" t="s">
        <v>2309</v>
      </c>
    </row>
    <row r="96" customFormat="false" ht="15" hidden="false" customHeight="false" outlineLevel="0" collapsed="false">
      <c r="A96" s="4" t="s">
        <v>2544</v>
      </c>
      <c r="B96" s="4" t="s">
        <v>2541</v>
      </c>
      <c r="C96" s="3" t="s">
        <v>2542</v>
      </c>
      <c r="D96" s="11" t="s">
        <v>2388</v>
      </c>
      <c r="E96" s="4" t="s">
        <v>2311</v>
      </c>
      <c r="F96" s="117" t="n">
        <v>0.24</v>
      </c>
      <c r="G96" s="117" t="n">
        <v>0.325</v>
      </c>
      <c r="H96" s="117" t="n">
        <v>0.41</v>
      </c>
      <c r="I96" s="11" t="s">
        <v>2545</v>
      </c>
      <c r="J96" s="11" t="s">
        <v>2309</v>
      </c>
    </row>
    <row r="97" customFormat="false" ht="15" hidden="false" customHeight="false" outlineLevel="0" collapsed="false">
      <c r="A97" s="4" t="s">
        <v>2546</v>
      </c>
      <c r="B97" s="4" t="s">
        <v>2541</v>
      </c>
      <c r="C97" s="3" t="s">
        <v>2542</v>
      </c>
      <c r="D97" s="11" t="s">
        <v>2388</v>
      </c>
      <c r="E97" s="4" t="s">
        <v>2314</v>
      </c>
      <c r="F97" s="117" t="n">
        <v>0.24</v>
      </c>
      <c r="G97" s="117" t="n">
        <v>0.325</v>
      </c>
      <c r="H97" s="117" t="n">
        <v>0.41</v>
      </c>
      <c r="I97" s="11" t="s">
        <v>2547</v>
      </c>
      <c r="J97" s="11" t="s">
        <v>2309</v>
      </c>
    </row>
    <row r="98" customFormat="false" ht="15" hidden="false" customHeight="false" outlineLevel="0" collapsed="false">
      <c r="A98" s="4" t="s">
        <v>2548</v>
      </c>
      <c r="B98" s="4" t="s">
        <v>2541</v>
      </c>
      <c r="C98" s="3" t="s">
        <v>2542</v>
      </c>
      <c r="D98" s="11" t="s">
        <v>2388</v>
      </c>
      <c r="E98" s="4" t="s">
        <v>2317</v>
      </c>
      <c r="F98" s="117" t="n">
        <v>0.24</v>
      </c>
      <c r="G98" s="117" t="n">
        <v>0.325</v>
      </c>
      <c r="H98" s="117" t="n">
        <v>0.41</v>
      </c>
      <c r="I98" s="11" t="s">
        <v>2549</v>
      </c>
      <c r="J98" s="11" t="s">
        <v>2309</v>
      </c>
    </row>
    <row r="99" customFormat="false" ht="15" hidden="false" customHeight="false" outlineLevel="0" collapsed="false">
      <c r="A99" s="4" t="s">
        <v>2550</v>
      </c>
      <c r="B99" s="4" t="s">
        <v>2541</v>
      </c>
      <c r="C99" s="3" t="s">
        <v>2542</v>
      </c>
      <c r="D99" s="11" t="s">
        <v>2388</v>
      </c>
      <c r="E99" s="4" t="s">
        <v>2320</v>
      </c>
      <c r="F99" s="117" t="n">
        <v>0.24</v>
      </c>
      <c r="G99" s="117" t="n">
        <v>0.325</v>
      </c>
      <c r="H99" s="117" t="n">
        <v>0.41</v>
      </c>
      <c r="I99" s="11" t="s">
        <v>2551</v>
      </c>
      <c r="J99" s="11" t="s">
        <v>2309</v>
      </c>
    </row>
    <row r="100" customFormat="false" ht="15" hidden="false" customHeight="false" outlineLevel="0" collapsed="false">
      <c r="A100" s="4" t="s">
        <v>2552</v>
      </c>
      <c r="B100" s="4" t="s">
        <v>2553</v>
      </c>
      <c r="C100" s="3" t="s">
        <v>2554</v>
      </c>
      <c r="D100" s="11" t="s">
        <v>2388</v>
      </c>
      <c r="E100" s="4" t="s">
        <v>2307</v>
      </c>
      <c r="F100" s="117" t="n">
        <v>0.0948968082</v>
      </c>
      <c r="G100" s="117" t="n">
        <v>0.20090107</v>
      </c>
      <c r="H100" s="117" t="n">
        <v>0.4024539472</v>
      </c>
      <c r="I100" s="11" t="s">
        <v>2555</v>
      </c>
      <c r="J100" s="11" t="s">
        <v>2309</v>
      </c>
    </row>
    <row r="101" customFormat="false" ht="15" hidden="false" customHeight="false" outlineLevel="0" collapsed="false">
      <c r="A101" s="4" t="s">
        <v>2556</v>
      </c>
      <c r="B101" s="4" t="s">
        <v>2553</v>
      </c>
      <c r="C101" s="3" t="s">
        <v>2554</v>
      </c>
      <c r="D101" s="11" t="s">
        <v>2388</v>
      </c>
      <c r="E101" s="4" t="s">
        <v>2311</v>
      </c>
      <c r="F101" s="117" t="n">
        <v>0.0925541712</v>
      </c>
      <c r="G101" s="117" t="n">
        <v>0.18342587</v>
      </c>
      <c r="H101" s="117" t="n">
        <v>0.3506896352</v>
      </c>
      <c r="I101" s="11" t="s">
        <v>2557</v>
      </c>
      <c r="J101" s="11" t="s">
        <v>2309</v>
      </c>
    </row>
    <row r="102" customFormat="false" ht="15" hidden="false" customHeight="false" outlineLevel="0" collapsed="false">
      <c r="A102" s="4" t="s">
        <v>2558</v>
      </c>
      <c r="B102" s="4" t="s">
        <v>2553</v>
      </c>
      <c r="C102" s="3" t="s">
        <v>2554</v>
      </c>
      <c r="D102" s="11" t="s">
        <v>2388</v>
      </c>
      <c r="E102" s="4" t="s">
        <v>2314</v>
      </c>
      <c r="F102" s="117" t="n">
        <v>0.1163007072</v>
      </c>
      <c r="G102" s="117" t="n">
        <v>0.22453612</v>
      </c>
      <c r="H102" s="117" t="n">
        <v>0.4437488512</v>
      </c>
      <c r="I102" s="11" t="s">
        <v>2559</v>
      </c>
      <c r="J102" s="11" t="s">
        <v>2309</v>
      </c>
    </row>
    <row r="103" customFormat="false" ht="15" hidden="false" customHeight="false" outlineLevel="0" collapsed="false">
      <c r="A103" s="4" t="s">
        <v>2560</v>
      </c>
      <c r="B103" s="4" t="s">
        <v>2553</v>
      </c>
      <c r="C103" s="3" t="s">
        <v>2554</v>
      </c>
      <c r="D103" s="11" t="s">
        <v>2388</v>
      </c>
      <c r="E103" s="4" t="s">
        <v>2317</v>
      </c>
      <c r="F103" s="117" t="n">
        <v>0.1304562096</v>
      </c>
      <c r="G103" s="117" t="n">
        <v>0.25128176</v>
      </c>
      <c r="H103" s="117" t="n">
        <v>0.4705886016</v>
      </c>
      <c r="I103" s="11" t="s">
        <v>2561</v>
      </c>
      <c r="J103" s="11" t="s">
        <v>2309</v>
      </c>
    </row>
    <row r="104" customFormat="false" ht="15" hidden="false" customHeight="false" outlineLevel="0" collapsed="false">
      <c r="A104" s="4" t="s">
        <v>2562</v>
      </c>
      <c r="B104" s="4" t="s">
        <v>2553</v>
      </c>
      <c r="C104" s="3" t="s">
        <v>2554</v>
      </c>
      <c r="D104" s="11" t="s">
        <v>2388</v>
      </c>
      <c r="E104" s="4" t="s">
        <v>2320</v>
      </c>
      <c r="F104" s="117" t="n">
        <v>0.138172734</v>
      </c>
      <c r="G104" s="117" t="n">
        <v>0.3137789</v>
      </c>
      <c r="H104" s="117" t="n">
        <v>0.653340464</v>
      </c>
      <c r="I104" s="11" t="s">
        <v>2563</v>
      </c>
      <c r="J104" s="11" t="s">
        <v>2309</v>
      </c>
    </row>
    <row r="105" customFormat="false" ht="15" hidden="false" customHeight="false" outlineLevel="0" collapsed="false">
      <c r="A105" s="4" t="s">
        <v>2564</v>
      </c>
      <c r="B105" s="4" t="s">
        <v>2565</v>
      </c>
      <c r="C105" s="3" t="s">
        <v>2566</v>
      </c>
      <c r="D105" s="11" t="s">
        <v>2388</v>
      </c>
      <c r="E105" s="4" t="s">
        <v>2307</v>
      </c>
      <c r="F105" s="117" t="n">
        <v>1.11222553908253</v>
      </c>
      <c r="G105" s="117" t="n">
        <v>1.88466748019734</v>
      </c>
      <c r="H105" s="117" t="n">
        <v>2.8646513532112</v>
      </c>
      <c r="I105" s="11" t="s">
        <v>2567</v>
      </c>
      <c r="J105" s="11" t="s">
        <v>2309</v>
      </c>
    </row>
    <row r="106" customFormat="false" ht="15" hidden="false" customHeight="false" outlineLevel="0" collapsed="false">
      <c r="A106" s="4" t="s">
        <v>2568</v>
      </c>
      <c r="B106" s="4" t="s">
        <v>2565</v>
      </c>
      <c r="C106" s="3" t="s">
        <v>2566</v>
      </c>
      <c r="D106" s="11" t="s">
        <v>2388</v>
      </c>
      <c r="E106" s="4" t="s">
        <v>2311</v>
      </c>
      <c r="F106" s="117" t="n">
        <v>1.10188330451562</v>
      </c>
      <c r="G106" s="117" t="n">
        <v>1.812232738713</v>
      </c>
      <c r="H106" s="117" t="n">
        <v>2.69481414737547</v>
      </c>
      <c r="I106" s="11" t="s">
        <v>2569</v>
      </c>
      <c r="J106" s="11" t="s">
        <v>2309</v>
      </c>
    </row>
    <row r="107" customFormat="false" ht="15" hidden="false" customHeight="false" outlineLevel="0" collapsed="false">
      <c r="A107" s="4" t="s">
        <v>2570</v>
      </c>
      <c r="B107" s="4" t="s">
        <v>2565</v>
      </c>
      <c r="C107" s="3" t="s">
        <v>2566</v>
      </c>
      <c r="D107" s="11" t="s">
        <v>2388</v>
      </c>
      <c r="E107" s="4" t="s">
        <v>2314</v>
      </c>
      <c r="F107" s="117" t="n">
        <v>1.20671911367581</v>
      </c>
      <c r="G107" s="117" t="n">
        <v>1.98263481314457</v>
      </c>
      <c r="H107" s="117" t="n">
        <v>3.00013873514752</v>
      </c>
      <c r="I107" s="11" t="s">
        <v>2571</v>
      </c>
      <c r="J107" s="11" t="s">
        <v>2309</v>
      </c>
    </row>
    <row r="108" customFormat="false" ht="15" hidden="false" customHeight="false" outlineLevel="0" collapsed="false">
      <c r="A108" s="4" t="s">
        <v>2572</v>
      </c>
      <c r="B108" s="4" t="s">
        <v>2565</v>
      </c>
      <c r="C108" s="3" t="s">
        <v>2566</v>
      </c>
      <c r="D108" s="11" t="s">
        <v>2388</v>
      </c>
      <c r="E108" s="4" t="s">
        <v>2317</v>
      </c>
      <c r="F108" s="117" t="n">
        <v>1.26921258843664</v>
      </c>
      <c r="G108" s="117" t="n">
        <v>2.09349554831403</v>
      </c>
      <c r="H108" s="117" t="n">
        <v>3.08819917750912</v>
      </c>
      <c r="I108" s="11" t="s">
        <v>2573</v>
      </c>
      <c r="J108" s="11" t="s">
        <v>2309</v>
      </c>
    </row>
    <row r="109" customFormat="false" ht="15" hidden="false" customHeight="false" outlineLevel="0" collapsed="false">
      <c r="A109" s="4" t="s">
        <v>2574</v>
      </c>
      <c r="B109" s="4" t="s">
        <v>2565</v>
      </c>
      <c r="C109" s="3" t="s">
        <v>2566</v>
      </c>
      <c r="D109" s="11" t="s">
        <v>2388</v>
      </c>
      <c r="E109" s="4" t="s">
        <v>2320</v>
      </c>
      <c r="F109" s="117" t="n">
        <v>1.30327937103509</v>
      </c>
      <c r="G109" s="117" t="n">
        <v>2.35254632767053</v>
      </c>
      <c r="H109" s="117" t="n">
        <v>3.68780273586978</v>
      </c>
      <c r="I109" s="11" t="s">
        <v>2575</v>
      </c>
      <c r="J109" s="11" t="s">
        <v>2309</v>
      </c>
    </row>
    <row r="110" customFormat="false" ht="15" hidden="false" customHeight="false" outlineLevel="0" collapsed="false">
      <c r="A110" s="4" t="s">
        <v>2576</v>
      </c>
      <c r="B110" s="4" t="s">
        <v>1342</v>
      </c>
      <c r="C110" s="3" t="s">
        <v>2577</v>
      </c>
      <c r="D110" s="11" t="s">
        <v>2388</v>
      </c>
      <c r="E110" s="4" t="s">
        <v>2307</v>
      </c>
      <c r="F110" s="117" t="n">
        <v>6.68304023377571</v>
      </c>
      <c r="G110" s="117" t="n">
        <v>6.68304023377571</v>
      </c>
      <c r="H110" s="117" t="n">
        <v>6.68304023377571</v>
      </c>
      <c r="I110" s="11" t="s">
        <v>2578</v>
      </c>
      <c r="J110" s="11" t="s">
        <v>2309</v>
      </c>
    </row>
    <row r="111" customFormat="false" ht="15" hidden="false" customHeight="false" outlineLevel="0" collapsed="false">
      <c r="A111" s="4" t="s">
        <v>2579</v>
      </c>
      <c r="B111" s="4" t="s">
        <v>1342</v>
      </c>
      <c r="C111" s="3" t="s">
        <v>2577</v>
      </c>
      <c r="D111" s="11" t="s">
        <v>2388</v>
      </c>
      <c r="E111" s="4" t="s">
        <v>2311</v>
      </c>
      <c r="F111" s="117" t="n">
        <v>32.8855044002063</v>
      </c>
      <c r="G111" s="117" t="n">
        <v>32.8855044002063</v>
      </c>
      <c r="H111" s="117" t="n">
        <v>32.8855044002063</v>
      </c>
      <c r="I111" s="11" t="s">
        <v>2580</v>
      </c>
      <c r="J111" s="11" t="s">
        <v>2309</v>
      </c>
    </row>
    <row r="112" customFormat="false" ht="15" hidden="false" customHeight="false" outlineLevel="0" collapsed="false">
      <c r="A112" s="4" t="s">
        <v>2581</v>
      </c>
      <c r="B112" s="4" t="s">
        <v>1342</v>
      </c>
      <c r="C112" s="3" t="s">
        <v>2577</v>
      </c>
      <c r="D112" s="11" t="s">
        <v>2388</v>
      </c>
      <c r="E112" s="4" t="s">
        <v>2314</v>
      </c>
      <c r="F112" s="117" t="n">
        <v>40.1114652107936</v>
      </c>
      <c r="G112" s="117" t="n">
        <v>40.1114652107936</v>
      </c>
      <c r="H112" s="117" t="n">
        <v>40.1114652107936</v>
      </c>
      <c r="I112" s="11" t="s">
        <v>2582</v>
      </c>
      <c r="J112" s="11" t="s">
        <v>2309</v>
      </c>
    </row>
    <row r="113" customFormat="false" ht="15" hidden="false" customHeight="false" outlineLevel="0" collapsed="false">
      <c r="A113" s="4" t="s">
        <v>2583</v>
      </c>
      <c r="B113" s="4" t="s">
        <v>1342</v>
      </c>
      <c r="C113" s="3" t="s">
        <v>2577</v>
      </c>
      <c r="D113" s="11" t="s">
        <v>2388</v>
      </c>
      <c r="E113" s="4" t="s">
        <v>2317</v>
      </c>
      <c r="F113" s="117" t="n">
        <v>65.9628389770872</v>
      </c>
      <c r="G113" s="117" t="n">
        <v>65.9628389770872</v>
      </c>
      <c r="H113" s="117" t="n">
        <v>65.9628389770872</v>
      </c>
      <c r="I113" s="11" t="s">
        <v>2584</v>
      </c>
      <c r="J113" s="11" t="s">
        <v>2309</v>
      </c>
    </row>
    <row r="114" customFormat="false" ht="15" hidden="false" customHeight="false" outlineLevel="0" collapsed="false">
      <c r="A114" s="4" t="s">
        <v>2585</v>
      </c>
      <c r="B114" s="4" t="s">
        <v>1342</v>
      </c>
      <c r="C114" s="3" t="s">
        <v>2577</v>
      </c>
      <c r="D114" s="11" t="s">
        <v>2388</v>
      </c>
      <c r="E114" s="4" t="s">
        <v>2320</v>
      </c>
      <c r="F114" s="117" t="n">
        <v>91.6051270761894</v>
      </c>
      <c r="G114" s="117" t="n">
        <v>91.6051270761894</v>
      </c>
      <c r="H114" s="117" t="n">
        <v>91.6051270761894</v>
      </c>
      <c r="I114" s="11" t="s">
        <v>2586</v>
      </c>
      <c r="J114" s="11" t="s">
        <v>2309</v>
      </c>
    </row>
    <row r="115" customFormat="false" ht="15" hidden="false" customHeight="false" outlineLevel="0" collapsed="false">
      <c r="A115" s="4" t="s">
        <v>2587</v>
      </c>
      <c r="B115" s="4" t="s">
        <v>2588</v>
      </c>
      <c r="C115" s="3" t="s">
        <v>2589</v>
      </c>
      <c r="D115" s="11" t="s">
        <v>2388</v>
      </c>
      <c r="E115" s="4" t="s">
        <v>2307</v>
      </c>
      <c r="F115" s="117" t="n">
        <v>11.1384003896262</v>
      </c>
      <c r="G115" s="117" t="n">
        <v>11.1384003896262</v>
      </c>
      <c r="H115" s="117" t="n">
        <v>11.1384003896262</v>
      </c>
      <c r="I115" s="11" t="s">
        <v>2590</v>
      </c>
      <c r="J115" s="11" t="s">
        <v>2309</v>
      </c>
    </row>
    <row r="116" customFormat="false" ht="15" hidden="false" customHeight="false" outlineLevel="0" collapsed="false">
      <c r="A116" s="4" t="s">
        <v>2591</v>
      </c>
      <c r="B116" s="4" t="s">
        <v>2588</v>
      </c>
      <c r="C116" s="3" t="s">
        <v>2589</v>
      </c>
      <c r="D116" s="11" t="s">
        <v>2388</v>
      </c>
      <c r="E116" s="4" t="s">
        <v>2311</v>
      </c>
      <c r="F116" s="117" t="n">
        <v>54.8091740003439</v>
      </c>
      <c r="G116" s="117" t="n">
        <v>54.8091740003439</v>
      </c>
      <c r="H116" s="117" t="n">
        <v>54.8091740003439</v>
      </c>
      <c r="I116" s="11" t="s">
        <v>2592</v>
      </c>
      <c r="J116" s="11" t="s">
        <v>2309</v>
      </c>
    </row>
    <row r="117" customFormat="false" ht="15" hidden="false" customHeight="false" outlineLevel="0" collapsed="false">
      <c r="A117" s="4" t="s">
        <v>2593</v>
      </c>
      <c r="B117" s="4" t="s">
        <v>2588</v>
      </c>
      <c r="C117" s="3" t="s">
        <v>2589</v>
      </c>
      <c r="D117" s="11" t="s">
        <v>2388</v>
      </c>
      <c r="E117" s="4" t="s">
        <v>2314</v>
      </c>
      <c r="F117" s="117" t="n">
        <v>66.8524420179894</v>
      </c>
      <c r="G117" s="117" t="n">
        <v>66.8524420179894</v>
      </c>
      <c r="H117" s="117" t="n">
        <v>66.8524420179894</v>
      </c>
      <c r="I117" s="11" t="s">
        <v>2594</v>
      </c>
      <c r="J117" s="11" t="s">
        <v>2309</v>
      </c>
    </row>
    <row r="118" customFormat="false" ht="15" hidden="false" customHeight="false" outlineLevel="0" collapsed="false">
      <c r="A118" s="4" t="s">
        <v>2595</v>
      </c>
      <c r="B118" s="4" t="s">
        <v>2588</v>
      </c>
      <c r="C118" s="3" t="s">
        <v>2589</v>
      </c>
      <c r="D118" s="11" t="s">
        <v>2388</v>
      </c>
      <c r="E118" s="4" t="s">
        <v>2317</v>
      </c>
      <c r="F118" s="117" t="n">
        <v>109.938064961812</v>
      </c>
      <c r="G118" s="117" t="n">
        <v>109.938064961812</v>
      </c>
      <c r="H118" s="117" t="n">
        <v>109.938064961812</v>
      </c>
      <c r="I118" s="11" t="s">
        <v>2596</v>
      </c>
      <c r="J118" s="11" t="s">
        <v>2309</v>
      </c>
    </row>
    <row r="119" customFormat="false" ht="15" hidden="false" customHeight="false" outlineLevel="0" collapsed="false">
      <c r="A119" s="4" t="s">
        <v>2597</v>
      </c>
      <c r="B119" s="4" t="s">
        <v>2588</v>
      </c>
      <c r="C119" s="3" t="s">
        <v>2589</v>
      </c>
      <c r="D119" s="11" t="s">
        <v>2388</v>
      </c>
      <c r="E119" s="4" t="s">
        <v>2320</v>
      </c>
      <c r="F119" s="117" t="n">
        <v>152.675211793649</v>
      </c>
      <c r="G119" s="117" t="n">
        <v>152.675211793649</v>
      </c>
      <c r="H119" s="117" t="n">
        <v>152.675211793649</v>
      </c>
      <c r="I119" s="11" t="s">
        <v>2598</v>
      </c>
      <c r="J119" s="11" t="s">
        <v>2309</v>
      </c>
    </row>
    <row r="120" customFormat="false" ht="15" hidden="false" customHeight="false" outlineLevel="0" collapsed="false">
      <c r="A120" s="4" t="s">
        <v>2599</v>
      </c>
      <c r="B120" s="4" t="s">
        <v>2600</v>
      </c>
      <c r="C120" s="3" t="s">
        <v>2601</v>
      </c>
      <c r="D120" s="11" t="s">
        <v>2388</v>
      </c>
      <c r="E120" s="4" t="s">
        <v>2307</v>
      </c>
      <c r="F120" s="117" t="n">
        <v>6.68304023377571</v>
      </c>
      <c r="G120" s="117" t="n">
        <v>6.68304023377571</v>
      </c>
      <c r="H120" s="117" t="n">
        <v>6.68304023377571</v>
      </c>
      <c r="I120" s="11" t="s">
        <v>2602</v>
      </c>
      <c r="J120" s="11" t="s">
        <v>2309</v>
      </c>
    </row>
    <row r="121" customFormat="false" ht="15" hidden="false" customHeight="false" outlineLevel="0" collapsed="false">
      <c r="A121" s="4" t="s">
        <v>2603</v>
      </c>
      <c r="B121" s="4" t="s">
        <v>2600</v>
      </c>
      <c r="C121" s="3" t="s">
        <v>2601</v>
      </c>
      <c r="D121" s="11" t="s">
        <v>2388</v>
      </c>
      <c r="E121" s="4" t="s">
        <v>2311</v>
      </c>
      <c r="F121" s="117" t="n">
        <v>32.8855044002063</v>
      </c>
      <c r="G121" s="117" t="n">
        <v>32.8855044002063</v>
      </c>
      <c r="H121" s="117" t="n">
        <v>32.8855044002063</v>
      </c>
      <c r="I121" s="11" t="s">
        <v>2604</v>
      </c>
      <c r="J121" s="11" t="s">
        <v>2309</v>
      </c>
    </row>
    <row r="122" customFormat="false" ht="15" hidden="false" customHeight="false" outlineLevel="0" collapsed="false">
      <c r="A122" s="4" t="s">
        <v>2605</v>
      </c>
      <c r="B122" s="4" t="s">
        <v>2600</v>
      </c>
      <c r="C122" s="3" t="s">
        <v>2601</v>
      </c>
      <c r="D122" s="11" t="s">
        <v>2388</v>
      </c>
      <c r="E122" s="4" t="s">
        <v>2314</v>
      </c>
      <c r="F122" s="117" t="n">
        <v>40.1114652107936</v>
      </c>
      <c r="G122" s="117" t="n">
        <v>40.1114652107936</v>
      </c>
      <c r="H122" s="117" t="n">
        <v>40.1114652107936</v>
      </c>
      <c r="I122" s="11" t="s">
        <v>2606</v>
      </c>
      <c r="J122" s="11" t="s">
        <v>2309</v>
      </c>
    </row>
    <row r="123" customFormat="false" ht="15" hidden="false" customHeight="false" outlineLevel="0" collapsed="false">
      <c r="A123" s="4" t="s">
        <v>2607</v>
      </c>
      <c r="B123" s="4" t="s">
        <v>2600</v>
      </c>
      <c r="C123" s="3" t="s">
        <v>2601</v>
      </c>
      <c r="D123" s="11" t="s">
        <v>2388</v>
      </c>
      <c r="E123" s="4" t="s">
        <v>2317</v>
      </c>
      <c r="F123" s="117" t="n">
        <v>65.9628389770872</v>
      </c>
      <c r="G123" s="117" t="n">
        <v>65.9628389770872</v>
      </c>
      <c r="H123" s="117" t="n">
        <v>65.9628389770872</v>
      </c>
      <c r="I123" s="11" t="s">
        <v>2608</v>
      </c>
      <c r="J123" s="11" t="s">
        <v>2309</v>
      </c>
    </row>
    <row r="124" customFormat="false" ht="15" hidden="false" customHeight="false" outlineLevel="0" collapsed="false">
      <c r="A124" s="4" t="s">
        <v>2609</v>
      </c>
      <c r="B124" s="4" t="s">
        <v>2600</v>
      </c>
      <c r="C124" s="3" t="s">
        <v>2601</v>
      </c>
      <c r="D124" s="11" t="s">
        <v>2388</v>
      </c>
      <c r="E124" s="4" t="s">
        <v>2320</v>
      </c>
      <c r="F124" s="117" t="n">
        <v>91.6051270761894</v>
      </c>
      <c r="G124" s="117" t="n">
        <v>91.6051270761894</v>
      </c>
      <c r="H124" s="117" t="n">
        <v>91.6051270761894</v>
      </c>
      <c r="I124" s="11" t="s">
        <v>2610</v>
      </c>
      <c r="J124" s="11" t="s">
        <v>2309</v>
      </c>
    </row>
    <row r="125" customFormat="false" ht="15" hidden="false" customHeight="false" outlineLevel="0" collapsed="false">
      <c r="A125" s="4" t="s">
        <v>2611</v>
      </c>
      <c r="B125" s="4" t="s">
        <v>2612</v>
      </c>
      <c r="C125" s="3" t="s">
        <v>2613</v>
      </c>
      <c r="D125" s="11" t="s">
        <v>2388</v>
      </c>
      <c r="E125" s="4" t="s">
        <v>2307</v>
      </c>
      <c r="F125" s="117" t="n">
        <v>5.01848956376868</v>
      </c>
      <c r="G125" s="117" t="n">
        <v>5.01848956376868</v>
      </c>
      <c r="H125" s="117" t="n">
        <v>5.01848956376868</v>
      </c>
      <c r="I125" s="11" t="s">
        <v>2614</v>
      </c>
      <c r="J125" s="11" t="s">
        <v>2309</v>
      </c>
    </row>
    <row r="126" customFormat="false" ht="15" hidden="false" customHeight="false" outlineLevel="0" collapsed="false">
      <c r="A126" s="4" t="s">
        <v>2615</v>
      </c>
      <c r="B126" s="4" t="s">
        <v>2612</v>
      </c>
      <c r="C126" s="3" t="s">
        <v>2613</v>
      </c>
      <c r="D126" s="11" t="s">
        <v>2388</v>
      </c>
      <c r="E126" s="4" t="s">
        <v>2311</v>
      </c>
      <c r="F126" s="117" t="n">
        <v>26.277375674595</v>
      </c>
      <c r="G126" s="117" t="n">
        <v>26.277375674595</v>
      </c>
      <c r="H126" s="117" t="n">
        <v>26.277375674595</v>
      </c>
      <c r="I126" s="11" t="s">
        <v>2616</v>
      </c>
      <c r="J126" s="11" t="s">
        <v>2309</v>
      </c>
    </row>
    <row r="127" customFormat="false" ht="15" hidden="false" customHeight="false" outlineLevel="0" collapsed="false">
      <c r="A127" s="4" t="s">
        <v>2617</v>
      </c>
      <c r="B127" s="4" t="s">
        <v>2612</v>
      </c>
      <c r="C127" s="3" t="s">
        <v>2613</v>
      </c>
      <c r="D127" s="11" t="s">
        <v>2388</v>
      </c>
      <c r="E127" s="4" t="s">
        <v>2314</v>
      </c>
      <c r="F127" s="117" t="n">
        <v>31.7743161074204</v>
      </c>
      <c r="G127" s="117" t="n">
        <v>31.7743161074204</v>
      </c>
      <c r="H127" s="117" t="n">
        <v>31.7743161074204</v>
      </c>
      <c r="I127" s="11" t="s">
        <v>2618</v>
      </c>
      <c r="J127" s="11" t="s">
        <v>2309</v>
      </c>
    </row>
    <row r="128" customFormat="false" ht="15" hidden="false" customHeight="false" outlineLevel="0" collapsed="false">
      <c r="A128" s="4" t="s">
        <v>2619</v>
      </c>
      <c r="B128" s="4" t="s">
        <v>2612</v>
      </c>
      <c r="C128" s="3" t="s">
        <v>2613</v>
      </c>
      <c r="D128" s="11" t="s">
        <v>2388</v>
      </c>
      <c r="E128" s="4" t="s">
        <v>2317</v>
      </c>
      <c r="F128" s="117" t="n">
        <v>53.1540686485926</v>
      </c>
      <c r="G128" s="117" t="n">
        <v>53.1540686485926</v>
      </c>
      <c r="H128" s="117" t="n">
        <v>53.1540686485926</v>
      </c>
      <c r="I128" s="11" t="s">
        <v>2620</v>
      </c>
      <c r="J128" s="11" t="s">
        <v>2309</v>
      </c>
    </row>
    <row r="129" customFormat="false" ht="15" hidden="false" customHeight="false" outlineLevel="0" collapsed="false">
      <c r="A129" s="4" t="s">
        <v>2621</v>
      </c>
      <c r="B129" s="4" t="s">
        <v>2612</v>
      </c>
      <c r="C129" s="3" t="s">
        <v>2613</v>
      </c>
      <c r="D129" s="11" t="s">
        <v>2388</v>
      </c>
      <c r="E129" s="4" t="s">
        <v>2320</v>
      </c>
      <c r="F129" s="117" t="n">
        <v>74.0683951910804</v>
      </c>
      <c r="G129" s="117" t="n">
        <v>74.0683951910804</v>
      </c>
      <c r="H129" s="117" t="n">
        <v>74.0683951910804</v>
      </c>
      <c r="I129" s="11" t="s">
        <v>2622</v>
      </c>
      <c r="J129" s="11" t="s">
        <v>2309</v>
      </c>
    </row>
    <row r="130" customFormat="false" ht="15" hidden="false" customHeight="false" outlineLevel="0" collapsed="false">
      <c r="A130" s="4" t="s">
        <v>2623</v>
      </c>
      <c r="B130" s="4" t="s">
        <v>2624</v>
      </c>
      <c r="C130" s="3" t="s">
        <v>2625</v>
      </c>
      <c r="D130" s="11" t="s">
        <v>2388</v>
      </c>
      <c r="E130" s="4" t="s">
        <v>2307</v>
      </c>
      <c r="F130" s="117" t="n">
        <v>5.01848956376868</v>
      </c>
      <c r="G130" s="117" t="n">
        <v>5.01848956376868</v>
      </c>
      <c r="H130" s="117" t="n">
        <v>5.01848956376868</v>
      </c>
      <c r="I130" s="11" t="s">
        <v>2626</v>
      </c>
      <c r="J130" s="11" t="s">
        <v>2309</v>
      </c>
    </row>
    <row r="131" customFormat="false" ht="15" hidden="false" customHeight="false" outlineLevel="0" collapsed="false">
      <c r="A131" s="4" t="s">
        <v>2627</v>
      </c>
      <c r="B131" s="4" t="s">
        <v>2624</v>
      </c>
      <c r="C131" s="3" t="s">
        <v>2625</v>
      </c>
      <c r="D131" s="11" t="s">
        <v>2388</v>
      </c>
      <c r="E131" s="4" t="s">
        <v>2311</v>
      </c>
      <c r="F131" s="117" t="n">
        <v>26.277375674595</v>
      </c>
      <c r="G131" s="117" t="n">
        <v>26.277375674595</v>
      </c>
      <c r="H131" s="117" t="n">
        <v>26.277375674595</v>
      </c>
      <c r="I131" s="11" t="s">
        <v>2628</v>
      </c>
      <c r="J131" s="11" t="s">
        <v>2309</v>
      </c>
    </row>
    <row r="132" customFormat="false" ht="15" hidden="false" customHeight="false" outlineLevel="0" collapsed="false">
      <c r="A132" s="4" t="s">
        <v>2629</v>
      </c>
      <c r="B132" s="4" t="s">
        <v>2624</v>
      </c>
      <c r="C132" s="3" t="s">
        <v>2625</v>
      </c>
      <c r="D132" s="11" t="s">
        <v>2388</v>
      </c>
      <c r="E132" s="4" t="s">
        <v>2314</v>
      </c>
      <c r="F132" s="117" t="n">
        <v>31.7743161074204</v>
      </c>
      <c r="G132" s="117" t="n">
        <v>31.7743161074204</v>
      </c>
      <c r="H132" s="117" t="n">
        <v>31.7743161074204</v>
      </c>
      <c r="I132" s="11" t="s">
        <v>2630</v>
      </c>
      <c r="J132" s="11" t="s">
        <v>2309</v>
      </c>
    </row>
    <row r="133" customFormat="false" ht="15" hidden="false" customHeight="false" outlineLevel="0" collapsed="false">
      <c r="A133" s="4" t="s">
        <v>2631</v>
      </c>
      <c r="B133" s="4" t="s">
        <v>2624</v>
      </c>
      <c r="C133" s="3" t="s">
        <v>2625</v>
      </c>
      <c r="D133" s="11" t="s">
        <v>2388</v>
      </c>
      <c r="E133" s="4" t="s">
        <v>2317</v>
      </c>
      <c r="F133" s="117" t="n">
        <v>53.1540686485926</v>
      </c>
      <c r="G133" s="117" t="n">
        <v>53.1540686485926</v>
      </c>
      <c r="H133" s="117" t="n">
        <v>53.1540686485926</v>
      </c>
      <c r="I133" s="11" t="s">
        <v>2632</v>
      </c>
      <c r="J133" s="11" t="s">
        <v>2309</v>
      </c>
    </row>
    <row r="134" customFormat="false" ht="15" hidden="false" customHeight="false" outlineLevel="0" collapsed="false">
      <c r="A134" s="4" t="s">
        <v>2633</v>
      </c>
      <c r="B134" s="4" t="s">
        <v>2624</v>
      </c>
      <c r="C134" s="3" t="s">
        <v>2625</v>
      </c>
      <c r="D134" s="11" t="s">
        <v>2388</v>
      </c>
      <c r="E134" s="4" t="s">
        <v>2320</v>
      </c>
      <c r="F134" s="117" t="n">
        <v>74.0683951910804</v>
      </c>
      <c r="G134" s="117" t="n">
        <v>74.0683951910804</v>
      </c>
      <c r="H134" s="117" t="n">
        <v>74.0683951910804</v>
      </c>
      <c r="I134" s="11" t="s">
        <v>2634</v>
      </c>
      <c r="J134" s="11" t="s">
        <v>2309</v>
      </c>
    </row>
    <row r="135" customFormat="false" ht="15" hidden="false" customHeight="false" outlineLevel="0" collapsed="false">
      <c r="A135" s="4" t="s">
        <v>2635</v>
      </c>
      <c r="B135" s="4" t="s">
        <v>2636</v>
      </c>
      <c r="C135" s="3" t="s">
        <v>2637</v>
      </c>
      <c r="D135" s="11" t="s">
        <v>2638</v>
      </c>
      <c r="E135" s="4" t="s">
        <v>1272</v>
      </c>
      <c r="F135" s="117" t="n">
        <v>6.79107465326444</v>
      </c>
      <c r="G135" s="117" t="n">
        <v>9.70308728611469</v>
      </c>
      <c r="H135" s="117" t="n">
        <v>16.6637697337026</v>
      </c>
      <c r="I135" s="11" t="s">
        <v>2639</v>
      </c>
      <c r="J135" s="11" t="s">
        <v>2309</v>
      </c>
    </row>
    <row r="136" customFormat="false" ht="15" hidden="false" customHeight="false" outlineLevel="0" collapsed="false">
      <c r="A136" s="4" t="s">
        <v>2640</v>
      </c>
      <c r="B136" s="4" t="s">
        <v>2641</v>
      </c>
      <c r="C136" s="3" t="s">
        <v>2642</v>
      </c>
      <c r="D136" s="11" t="s">
        <v>2638</v>
      </c>
      <c r="E136" s="4" t="s">
        <v>1272</v>
      </c>
      <c r="F136" s="117" t="n">
        <v>6.6118162762144</v>
      </c>
      <c r="G136" s="117" t="n">
        <v>8.82816556596761</v>
      </c>
      <c r="H136" s="117" t="n">
        <v>14.3185748619737</v>
      </c>
      <c r="I136" s="11" t="s">
        <v>2643</v>
      </c>
      <c r="J136" s="11" t="s">
        <v>2309</v>
      </c>
    </row>
    <row r="137" customFormat="false" ht="15" hidden="false" customHeight="false" outlineLevel="0" collapsed="false">
      <c r="A137" s="4" t="s">
        <v>2644</v>
      </c>
      <c r="B137" s="4" t="s">
        <v>2645</v>
      </c>
      <c r="C137" s="3" t="s">
        <v>2646</v>
      </c>
      <c r="D137" s="11" t="s">
        <v>2638</v>
      </c>
      <c r="E137" s="4" t="s">
        <v>1272</v>
      </c>
      <c r="F137" s="117" t="n">
        <v>8.42889912085495</v>
      </c>
      <c r="G137" s="117" t="n">
        <v>10.8864110021101</v>
      </c>
      <c r="H137" s="117" t="n">
        <v>18.5346455040469</v>
      </c>
      <c r="I137" s="11" t="s">
        <v>2647</v>
      </c>
      <c r="J137" s="11" t="s">
        <v>2309</v>
      </c>
    </row>
    <row r="138" customFormat="false" ht="15" hidden="false" customHeight="false" outlineLevel="0" collapsed="false">
      <c r="A138" s="4" t="s">
        <v>2648</v>
      </c>
      <c r="B138" s="4" t="s">
        <v>2649</v>
      </c>
      <c r="C138" s="3" t="s">
        <v>2650</v>
      </c>
      <c r="D138" s="11" t="s">
        <v>2638</v>
      </c>
      <c r="E138" s="4" t="s">
        <v>1272</v>
      </c>
      <c r="F138" s="117" t="n">
        <v>9.51207691858967</v>
      </c>
      <c r="G138" s="117" t="n">
        <v>12.2254710045841</v>
      </c>
      <c r="H138" s="117" t="n">
        <v>19.7506269894487</v>
      </c>
      <c r="I138" s="11" t="s">
        <v>2651</v>
      </c>
      <c r="J138" s="11" t="s">
        <v>2309</v>
      </c>
    </row>
    <row r="139" customFormat="false" ht="15" hidden="false" customHeight="false" outlineLevel="0" collapsed="false">
      <c r="A139" s="4" t="s">
        <v>2652</v>
      </c>
      <c r="B139" s="4" t="s">
        <v>2653</v>
      </c>
      <c r="C139" s="3" t="s">
        <v>2654</v>
      </c>
      <c r="D139" s="11" t="s">
        <v>96</v>
      </c>
      <c r="E139" s="4" t="s">
        <v>1272</v>
      </c>
      <c r="F139" s="117" t="n">
        <v>0.823341041860226</v>
      </c>
      <c r="G139" s="117" t="n">
        <v>1.50227667238619</v>
      </c>
      <c r="H139" s="117" t="n">
        <v>2.07173470422836</v>
      </c>
      <c r="I139" s="11" t="s">
        <v>2655</v>
      </c>
      <c r="J139" s="11" t="s">
        <v>2309</v>
      </c>
    </row>
    <row r="140" customFormat="false" ht="15" hidden="false" customHeight="false" outlineLevel="0" collapsed="false">
      <c r="A140" s="4" t="s">
        <v>2656</v>
      </c>
      <c r="B140" s="4" t="s">
        <v>2657</v>
      </c>
      <c r="C140" s="3" t="s">
        <v>2654</v>
      </c>
      <c r="D140" s="11" t="s">
        <v>96</v>
      </c>
      <c r="E140" s="4" t="s">
        <v>1272</v>
      </c>
      <c r="F140" s="117" t="n">
        <v>0.823341041860226</v>
      </c>
      <c r="G140" s="117" t="n">
        <v>0.823341041860226</v>
      </c>
      <c r="H140" s="117" t="n">
        <v>2.07173470422836</v>
      </c>
      <c r="I140" s="11" t="s">
        <v>2658</v>
      </c>
      <c r="J140" s="11" t="s">
        <v>2309</v>
      </c>
    </row>
    <row r="141" customFormat="false" ht="15" hidden="false" customHeight="false" outlineLevel="0" collapsed="false">
      <c r="A141" s="4" t="s">
        <v>2659</v>
      </c>
      <c r="B141" s="4" t="s">
        <v>2660</v>
      </c>
      <c r="C141" s="3" t="s">
        <v>2654</v>
      </c>
      <c r="D141" s="11" t="s">
        <v>96</v>
      </c>
      <c r="E141" s="4" t="s">
        <v>1272</v>
      </c>
      <c r="F141" s="117" t="n">
        <v>0.823341041860226</v>
      </c>
      <c r="G141" s="117" t="n">
        <v>2.07173470422836</v>
      </c>
      <c r="H141" s="117" t="n">
        <v>2.07173470422836</v>
      </c>
      <c r="I141" s="11" t="s">
        <v>2661</v>
      </c>
      <c r="J141" s="11" t="s">
        <v>2309</v>
      </c>
    </row>
    <row r="142" customFormat="false" ht="15" hidden="false" customHeight="false" outlineLevel="0" collapsed="false">
      <c r="A142" s="4" t="s">
        <v>2662</v>
      </c>
      <c r="B142" s="4" t="s">
        <v>2663</v>
      </c>
      <c r="C142" s="4" t="s">
        <v>2664</v>
      </c>
      <c r="D142" s="11" t="s">
        <v>2454</v>
      </c>
      <c r="E142" s="4" t="s">
        <v>1272</v>
      </c>
      <c r="F142" s="117" t="n">
        <v>35.6983032045316</v>
      </c>
      <c r="G142" s="117" t="n">
        <v>48.7876810461932</v>
      </c>
      <c r="H142" s="117" t="n">
        <v>77.3463236098185</v>
      </c>
      <c r="I142" s="11" t="s">
        <v>2665</v>
      </c>
      <c r="J142" s="11" t="s">
        <v>2309</v>
      </c>
    </row>
    <row r="143" customFormat="false" ht="15" hidden="false" customHeight="false" outlineLevel="0" collapsed="false">
      <c r="A143" s="4" t="s">
        <v>2666</v>
      </c>
      <c r="B143" s="4" t="s">
        <v>2667</v>
      </c>
      <c r="C143" s="4" t="s">
        <v>2664</v>
      </c>
      <c r="D143" s="11" t="s">
        <v>2454</v>
      </c>
      <c r="E143" s="4" t="s">
        <v>1272</v>
      </c>
      <c r="F143" s="117" t="n">
        <v>35.6983032045316</v>
      </c>
      <c r="G143" s="117" t="n">
        <v>35.6983032045316</v>
      </c>
      <c r="H143" s="117" t="n">
        <v>77.3463236098185</v>
      </c>
      <c r="I143" s="11" t="s">
        <v>2668</v>
      </c>
      <c r="J143" s="11" t="s">
        <v>2309</v>
      </c>
    </row>
    <row r="144" customFormat="false" ht="15" hidden="false" customHeight="false" outlineLevel="0" collapsed="false">
      <c r="A144" s="4" t="s">
        <v>2669</v>
      </c>
      <c r="B144" s="4" t="s">
        <v>2670</v>
      </c>
      <c r="C144" s="4" t="s">
        <v>2664</v>
      </c>
      <c r="D144" s="11" t="s">
        <v>2454</v>
      </c>
      <c r="E144" s="4" t="s">
        <v>1272</v>
      </c>
      <c r="F144" s="117" t="n">
        <v>35.6983032045316</v>
      </c>
      <c r="G144" s="117" t="n">
        <v>77.3463236098185</v>
      </c>
      <c r="H144" s="117" t="n">
        <v>77.3463236098185</v>
      </c>
      <c r="I144" s="11" t="s">
        <v>2671</v>
      </c>
      <c r="J144" s="11" t="s">
        <v>2309</v>
      </c>
    </row>
    <row r="145" customFormat="false" ht="15" hidden="false" customHeight="false" outlineLevel="0" collapsed="false">
      <c r="A145" s="4" t="s">
        <v>2672</v>
      </c>
      <c r="B145" s="4" t="s">
        <v>2673</v>
      </c>
      <c r="C145" s="3" t="s">
        <v>2674</v>
      </c>
      <c r="D145" s="11" t="s">
        <v>96</v>
      </c>
      <c r="E145" s="4" t="s">
        <v>1272</v>
      </c>
      <c r="F145" s="117" t="n">
        <v>4.86743742405845</v>
      </c>
      <c r="G145" s="117" t="n">
        <v>4.86743742405845</v>
      </c>
      <c r="H145" s="117" t="n">
        <v>4.86743742405845</v>
      </c>
      <c r="I145" s="11" t="s">
        <v>2675</v>
      </c>
      <c r="J145" s="11" t="s">
        <v>2309</v>
      </c>
    </row>
    <row r="146" customFormat="false" ht="15" hidden="false" customHeight="false" outlineLevel="0" collapsed="false">
      <c r="A146" s="4" t="s">
        <v>2676</v>
      </c>
      <c r="B146" s="4" t="s">
        <v>2677</v>
      </c>
      <c r="C146" s="3" t="s">
        <v>2678</v>
      </c>
      <c r="D146" s="11" t="s">
        <v>96</v>
      </c>
      <c r="E146" s="4" t="s">
        <v>1272</v>
      </c>
      <c r="F146" s="117" t="n">
        <v>1.29696862462975</v>
      </c>
      <c r="G146" s="117" t="n">
        <v>1.29696862462975</v>
      </c>
      <c r="H146" s="117" t="n">
        <v>1.29696862462975</v>
      </c>
      <c r="I146" s="11" t="s">
        <v>2679</v>
      </c>
      <c r="J146" s="11" t="s">
        <v>2309</v>
      </c>
    </row>
    <row r="147" customFormat="false" ht="15" hidden="false" customHeight="false" outlineLevel="0" collapsed="false">
      <c r="A147" s="4" t="s">
        <v>2680</v>
      </c>
      <c r="B147" s="4" t="s">
        <v>2681</v>
      </c>
      <c r="C147" s="3" t="s">
        <v>2682</v>
      </c>
      <c r="D147" s="11" t="s">
        <v>2412</v>
      </c>
      <c r="E147" s="4" t="s">
        <v>1272</v>
      </c>
      <c r="F147" s="117" t="n">
        <v>1.97574392204647</v>
      </c>
      <c r="G147" s="117" t="n">
        <v>2.55178761329595</v>
      </c>
      <c r="H147" s="117" t="n">
        <v>4.34454282544458</v>
      </c>
      <c r="I147" s="11" t="s">
        <v>2683</v>
      </c>
      <c r="J147" s="11" t="s">
        <v>2309</v>
      </c>
    </row>
    <row r="148" customFormat="false" ht="15" hidden="false" customHeight="false" outlineLevel="0" collapsed="false">
      <c r="A148" s="4" t="s">
        <v>2684</v>
      </c>
      <c r="B148" s="4" t="s">
        <v>2685</v>
      </c>
      <c r="C148" s="3" t="s">
        <v>2686</v>
      </c>
      <c r="D148" s="11" t="s">
        <v>2412</v>
      </c>
      <c r="E148" s="4" t="s">
        <v>1272</v>
      </c>
      <c r="F148" s="117" t="n">
        <v>3.72193954123947</v>
      </c>
      <c r="G148" s="117" t="n">
        <v>4.78365180724219</v>
      </c>
      <c r="H148" s="117" t="n">
        <v>7.72813762813851</v>
      </c>
      <c r="I148" s="11" t="s">
        <v>2687</v>
      </c>
      <c r="J148" s="11" t="s">
        <v>2309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2026-10-22T06:30:39Z</dcterms:created>
  <dc:creator>openpyxl</dc:creator>
  <dc:description/>
  <dc:language>en-US</dc:language>
  <cp:lastModifiedBy/>
  <dcterms:modified xsi:type="dcterms:W3CDTF">2026-10-22T06:30:39Z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