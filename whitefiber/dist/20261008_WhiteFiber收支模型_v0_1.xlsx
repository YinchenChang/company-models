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導覽" sheetId="1" state="visible" r:id="rId3"/>
    <sheet name="摘要" sheetId="2" state="visible" r:id="rId4"/>
    <sheet name="輸入與假設" sheetId="3" state="visible" r:id="rId5"/>
    <sheet name="各期收支" sheetId="4" state="visible" r:id="rId6"/>
    <sheet name="季度追蹤" sheetId="5" state="visible" r:id="rId7"/>
    <sheet name="運營_產能與收入" sheetId="6" state="visible" r:id="rId8"/>
    <sheet name="運營_站點" sheetId="7" state="visible" r:id="rId9"/>
    <sheet name="資產負債_既有債務" sheetId="8" state="visible" r:id="rId10"/>
    <sheet name="資產負債_新債與新股" sheetId="9" state="visible" r:id="rId11"/>
    <sheet name="資產負債_租賃承諾" sheetId="10" state="visible" r:id="rId12"/>
    <sheet name="損益" sheetId="11" state="visible" r:id="rId13"/>
    <sheet name="評價_DCF與目標價" sheetId="12" state="visible" r:id="rId14"/>
    <sheet name="評價_反向DCF" sheetId="13" state="visible" r:id="rId15"/>
    <sheet name="評價_可比公司" sheetId="14" state="visible" r:id="rId16"/>
    <sheet name="檢查_連動" sheetId="15" state="visible" r:id="rId17"/>
    <sheet name="檢查_版本紀錄" sheetId="16" state="visible" r:id="rId18"/>
    <sheet name="來源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<sst xmlns="http://schemas.openxmlformats.org/spreadsheetml/2006/main" count="2945" uniqueCount="1833">
  <si>
    <r>
      <rPr>
        <b val="true"/>
        <sz val="14"/>
        <rFont val="Arial"/>
        <family val="0"/>
        <charset val="1"/>
      </rPr>
      <t xml:space="preserve">WhiteFiber </t>
    </r>
    <r>
      <rPr>
        <b val="true"/>
        <sz val="14"/>
        <rFont val="Noto Sans CJK SC"/>
        <family val="2"/>
      </rPr>
      <t xml:space="preserve">收支與評價模型 — </t>
    </r>
    <r>
      <rPr>
        <b val="true"/>
        <sz val="14"/>
        <rFont val="Arial"/>
        <family val="0"/>
        <charset val="1"/>
      </rPr>
      <t xml:space="preserve">Excel </t>
    </r>
    <r>
      <rPr>
        <b val="true"/>
        <sz val="14"/>
        <rFont val="Noto Sans CJK SC"/>
        <family val="2"/>
      </rPr>
      <t xml:space="preserve">版 </t>
    </r>
    <r>
      <rPr>
        <b val="true"/>
        <sz val="14"/>
        <rFont val="Arial"/>
        <family val="0"/>
        <charset val="1"/>
      </rPr>
      <t xml:space="preserve">v0.1</t>
    </r>
    <r>
      <rPr>
        <b val="true"/>
        <sz val="14"/>
        <rFont val="Noto Sans CJK SC"/>
        <family val="2"/>
      </rPr>
      <t xml:space="preserve">（更新 </t>
    </r>
    <r>
      <rPr>
        <b val="true"/>
        <sz val="14"/>
        <rFont val="Arial"/>
        <family val="0"/>
        <charset val="1"/>
      </rPr>
      <t xml:space="preserve">2026-10-08</t>
    </r>
    <r>
      <rPr>
        <b val="true"/>
        <sz val="14"/>
        <rFont val="Noto Sans CJK SC"/>
        <family val="2"/>
      </rPr>
      <t xml:space="preserve">；與 </t>
    </r>
    <r>
      <rPr>
        <b val="true"/>
        <sz val="14"/>
        <rFont val="Arial"/>
        <family val="0"/>
        <charset val="1"/>
      </rPr>
      <t xml:space="preserve">HTML v0.1 </t>
    </r>
    <r>
      <rPr>
        <b val="true"/>
        <sz val="14"/>
        <rFont val="Noto Sans CJK SC"/>
        <family val="2"/>
      </rPr>
      <t xml:space="preserve">同步；市價截至 </t>
    </r>
    <r>
      <rPr>
        <b val="true"/>
        <sz val="14"/>
        <rFont val="Arial"/>
        <family val="0"/>
        <charset val="1"/>
      </rPr>
      <t xml:space="preserve">2026-10-07 </t>
    </r>
    <r>
      <rPr>
        <b val="true"/>
        <sz val="14"/>
        <rFont val="Noto Sans CJK SC"/>
        <family val="2"/>
      </rPr>
      <t xml:space="preserve">收盤）</t>
    </r>
  </si>
  <si>
    <t xml:space="preserve">這個活頁簿在回答什麼</t>
  </si>
  <si>
    <r>
      <rPr>
        <sz val="10"/>
        <rFont val="Noto Sans CJK SC"/>
        <family val="2"/>
      </rPr>
      <t xml:space="preserve">一句話：長約託管能否成為可融資的現金流底座，撐住雲端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擴張而不反覆稀釋——</t>
    </r>
    <r>
      <rPr>
        <sz val="10"/>
        <rFont val="Arial"/>
        <family val="0"/>
        <charset val="1"/>
      </rPr>
      <t xml:space="preserve">WhiteFiber </t>
    </r>
    <r>
      <rPr>
        <sz val="10"/>
        <rFont val="Noto Sans CJK SC"/>
        <family val="2"/>
      </rPr>
      <t xml:space="preserve">用客戶預付款支應多少擴張資本支出，剩下的缺口要靠多少債務與新股。</t>
    </r>
  </si>
  <si>
    <t xml:space="preserve">所有分頁用同一組數字，改任何一個輸入，後面全部會跟著動。</t>
  </si>
  <si>
    <t xml:space="preserve">分頁結構（依模組分組，分頁標籤顏色相同者為同一模組）</t>
  </si>
  <si>
    <t xml:space="preserve">摘要            一頁摘要：結論、與市場共識的差異、現價隱含什麼、驗證點（全部活公式）。</t>
  </si>
  <si>
    <r>
      <rPr>
        <sz val="10"/>
        <rFont val="Noto Sans CJK SC"/>
        <family val="2"/>
      </rPr>
      <t xml:space="preserve">輸入與假設      所有可調參數（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情境 →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產能與收入 → </t>
    </r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利潤率 →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支出 → </t>
    </r>
    <r>
      <rPr>
        <sz val="10"/>
        <rFont val="Arial"/>
        <family val="0"/>
        <charset val="1"/>
      </rPr>
      <t xml:space="preserve">E </t>
    </r>
    <r>
      <rPr>
        <sz val="10"/>
        <rFont val="Noto Sans CJK SC"/>
        <family val="2"/>
      </rPr>
      <t xml:space="preserve">融資 → </t>
    </r>
    <r>
      <rPr>
        <sz val="10"/>
        <rFont val="Arial"/>
        <family val="0"/>
        <charset val="1"/>
      </rPr>
      <t xml:space="preserve">F </t>
    </r>
    <r>
      <rPr>
        <sz val="10"/>
        <rFont val="Noto Sans CJK SC"/>
        <family val="2"/>
      </rPr>
      <t xml:space="preserve">評價 → </t>
    </r>
    <r>
      <rPr>
        <sz val="10"/>
        <rFont val="Arial"/>
        <family val="0"/>
        <charset val="1"/>
      </rPr>
      <t xml:space="preserve">G 1H </t>
    </r>
    <r>
      <rPr>
        <sz val="10"/>
        <rFont val="Noto Sans CJK SC"/>
        <family val="2"/>
      </rPr>
      <t xml:space="preserve">實際 → </t>
    </r>
    <r>
      <rPr>
        <sz val="10"/>
        <rFont val="Arial"/>
        <family val="0"/>
        <charset val="1"/>
      </rPr>
      <t xml:space="preserve">H </t>
    </r>
    <r>
      <rPr>
        <sz val="10"/>
        <rFont val="Noto Sans CJK SC"/>
        <family val="2"/>
      </rPr>
      <t xml:space="preserve">情境區間運算表 → 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市場共識 →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季度追蹤輸入）。</t>
    </r>
  </si>
  <si>
    <t xml:space="preserve">各期收支        類現金流量：來源（含客戶預付）、用途、融資前缺口、期前融資瀑布。</t>
  </si>
  <si>
    <r>
      <rPr>
        <sz val="10"/>
        <rFont val="Noto Sans CJK SC"/>
        <family val="2"/>
      </rPr>
      <t xml:space="preserve">季度追蹤        焦點季的模型／共識／指引／實際與差距（由年度模型拆分，只用於追蹤；實際數填在輸入與假設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區）。</t>
    </r>
  </si>
  <si>
    <r>
      <rPr>
        <sz val="10"/>
        <rFont val="Noto Sans CJK SC"/>
        <family val="2"/>
      </rPr>
      <t xml:space="preserve">運營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產能與收入  已連網 </t>
    </r>
    <r>
      <rPr>
        <sz val="10"/>
        <rFont val="Arial"/>
        <family val="0"/>
        <charset val="1"/>
      </rPr>
      <t xml:space="preserve">MW → </t>
    </r>
    <r>
      <rPr>
        <sz val="10"/>
        <rFont val="Noto Sans CJK SC"/>
        <family val="2"/>
      </rPr>
      <t xml:space="preserve">在役 </t>
    </r>
    <r>
      <rPr>
        <sz val="10"/>
        <rFont val="Arial"/>
        <family val="0"/>
        <charset val="1"/>
      </rPr>
      <t xml:space="preserve">MW →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利用率）；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排程只作對照與產能瓶頸旗標。</t>
    </r>
  </si>
  <si>
    <r>
      <rPr>
        <sz val="10"/>
        <rFont val="Noto Sans CJK SC"/>
        <family val="2"/>
      </rPr>
      <t xml:space="preserve">資產負債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既有債務／新債與新股／租賃承諾  類資產負債表：季報債務明細、每期現金與總債務與股數、租賃承諾。</t>
    </r>
  </si>
  <si>
    <r>
      <rPr>
        <sz val="10"/>
        <rFont val="Noto Sans CJK SC"/>
        <family val="2"/>
      </rPr>
      <t xml:space="preserve">損益            類損益表（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實際＋下半年模型）。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</si>
  <si>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_DCF</t>
    </r>
    <r>
      <rPr>
        <sz val="10"/>
        <rFont val="Noto Sans CJK SC"/>
        <family val="2"/>
      </rPr>
      <t xml:space="preserve">與目標價／評價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可比公司 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、加權目標價；同業 </t>
    </r>
    <r>
      <rPr>
        <sz val="10"/>
        <rFont val="Arial"/>
        <family val="0"/>
        <charset val="1"/>
      </rPr>
      <t xml:space="preserve">EV/Sales </t>
    </r>
    <r>
      <rPr>
        <sz val="10"/>
        <rFont val="Noto Sans CJK SC"/>
        <family val="2"/>
      </rPr>
      <t xml:space="preserve">比較。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</si>
  <si>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反向</t>
    </r>
    <r>
      <rPr>
        <sz val="10"/>
        <rFont val="Arial"/>
        <family val="0"/>
        <charset val="1"/>
      </rPr>
      <t xml:space="preserve">DCF    </t>
    </r>
    <r>
      <rPr>
        <sz val="10"/>
        <rFont val="Noto Sans CJK SC"/>
        <family val="2"/>
      </rPr>
      <t xml:space="preserve">現價隱含的收入與成本。</t>
    </r>
  </si>
  <si>
    <r>
      <rPr>
        <sz val="10"/>
        <rFont val="Noto Sans CJK SC"/>
        <family val="2"/>
      </rPr>
      <t xml:space="preserve">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連動／檢查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版本紀錄  恆等式與口徑檢查；版本紀錄；來源：每個硬編碼數字的出處。</t>
    </r>
  </si>
  <si>
    <t xml:space="preserve">註：『各期收支』『資產與負債』『損益』並非會計準則的正式三表，而是對應公司實際運營的類三表呈現。</t>
  </si>
  <si>
    <t xml:space="preserve">顏色規則</t>
  </si>
  <si>
    <r>
      <rPr>
        <sz val="10"/>
        <rFont val="Noto Sans CJK SC"/>
        <family val="2"/>
      </rPr>
      <t xml:space="preserve">藍字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手動輸入值（可改）｜黑字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本頁公式｜綠字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跨頁連結｜黃底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關鍵假設｜灰字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說明與來源</t>
    </r>
  </si>
  <si>
    <r>
      <rPr>
        <b val="true"/>
        <sz val="10"/>
        <rFont val="Noto Sans CJK SC"/>
        <family val="2"/>
      </rPr>
      <t xml:space="preserve">■ 營收主軸：</t>
    </r>
    <r>
      <rPr>
        <b val="true"/>
        <sz val="10"/>
        <rFont val="Arial"/>
        <family val="0"/>
        <charset val="1"/>
      </rPr>
      <t xml:space="preserve">MW ×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利用率</t>
    </r>
  </si>
  <si>
    <r>
      <rPr>
        <sz val="10"/>
        <rFont val="Noto Sans CJK SC"/>
        <family val="2"/>
      </rPr>
      <t xml:space="preserve">  已連網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（情境路徑，</t>
    </r>
    <r>
      <rPr>
        <sz val="10"/>
        <rFont val="Arial"/>
        <family val="0"/>
        <charset val="1"/>
      </rPr>
      <t xml:space="preserve">MW-IT </t>
    </r>
    <r>
      <rPr>
        <sz val="10"/>
        <rFont val="Noto Sans CJK SC"/>
        <family val="2"/>
      </rPr>
      <t xml:space="preserve">口徑，推導見 </t>
    </r>
    <r>
      <rPr>
        <sz val="10"/>
        <rFont val="Arial"/>
        <family val="0"/>
        <charset val="1"/>
      </rPr>
      <t xml:space="preserve">company.json → scenarios.mwPath.note</t>
    </r>
    <r>
      <rPr>
        <sz val="10"/>
        <rFont val="Noto Sans CJK SC"/>
        <family val="2"/>
      </rPr>
      <t xml:space="preserve">）→ 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在役比例）→ 平均在役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期間長度＝營收。</t>
    </r>
  </si>
  <si>
    <r>
      <rPr>
        <sz val="10"/>
        <rFont val="Noto Sans CJK SC"/>
        <family val="2"/>
      </rPr>
      <t xml:space="preserve">  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年收入取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正向推導的三情境值（</t>
    </r>
    <r>
      <rPr>
        <sz val="10"/>
        <rFont val="Arial"/>
        <family val="0"/>
        <charset val="1"/>
      </rPr>
      <t xml:space="preserve">data/permw_tokenomics_20261008.json</t>
    </r>
    <r>
      <rPr>
        <sz val="10"/>
        <rFont val="Noto Sans CJK SC"/>
        <family val="2"/>
      </rPr>
      <t xml:space="preserve">），不用公司 </t>
    </r>
    <r>
      <rPr>
        <sz val="10"/>
        <rFont val="Arial"/>
        <family val="0"/>
        <charset val="1"/>
      </rPr>
      <t xml:space="preserve">ACV</t>
    </r>
    <r>
      <rPr>
        <sz val="10"/>
        <rFont val="Noto Sans CJK SC"/>
        <family val="2"/>
      </rPr>
      <t xml:space="preserve">（只作對照）；利用率預設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，因推導值已含可計費利用率。</t>
    </r>
  </si>
  <si>
    <r>
      <rPr>
        <sz val="10"/>
        <rFont val="Arial"/>
        <family val="0"/>
        <charset val="1"/>
      </rPr>
      <t xml:space="preserve">  RPO </t>
    </r>
    <r>
      <rPr>
        <sz val="10"/>
        <rFont val="Noto Sans CJK SC"/>
        <family val="2"/>
      </rPr>
      <t xml:space="preserve">排程（季報桶分攤）只作對照：排程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容量的部分顯示為『產能瓶頸』旗標。</t>
    </r>
  </si>
  <si>
    <t xml:space="preserve">■ 收入之後的折扣</t>
  </si>
  <si>
    <r>
      <rPr>
        <sz val="10"/>
        <rFont val="Noto Sans CJK SC"/>
        <family val="2"/>
      </rPr>
      <t xml:space="preserve">  收入 → 扣信用損失（違約率 </t>
    </r>
    <r>
      <rPr>
        <sz val="10"/>
        <rFont val="Arial"/>
        <family val="0"/>
        <charset val="1"/>
      </rPr>
      <t xml:space="preserve">× (1−</t>
    </r>
    <r>
      <rPr>
        <sz val="10"/>
        <rFont val="Noto Sans CJK SC"/>
        <family val="2"/>
      </rPr>
      <t xml:space="preserve">回收率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）→ 乘『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率』→ 營運現金；客戶預付另列為來源。</t>
    </r>
  </si>
  <si>
    <r>
      <rPr>
        <sz val="10"/>
        <rFont val="Arial"/>
        <family val="0"/>
        <charset val="1"/>
      </rPr>
      <t xml:space="preserve">  EBITDA </t>
    </r>
    <r>
      <rPr>
        <sz val="10"/>
        <rFont val="Noto Sans CJK SC"/>
        <family val="2"/>
      </rPr>
      <t xml:space="preserve">率路徑取可觀察 </t>
    </r>
    <r>
      <rPr>
        <sz val="10"/>
        <rFont val="Arial"/>
        <family val="0"/>
        <charset val="1"/>
      </rPr>
      <t xml:space="preserve">neocloud </t>
    </r>
    <r>
      <rPr>
        <sz val="10"/>
        <rFont val="Noto Sans CJK SC"/>
        <family val="2"/>
      </rPr>
      <t xml:space="preserve">區間（</t>
    </r>
    <r>
      <rPr>
        <sz val="10"/>
        <rFont val="Arial"/>
        <family val="0"/>
        <charset val="1"/>
      </rPr>
      <t xml:space="preserve">IREN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35%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），不取自每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推導的加成。</t>
    </r>
  </si>
  <si>
    <r>
      <rPr>
        <b val="true"/>
        <sz val="10"/>
        <rFont val="Noto Sans CJK SC"/>
        <family val="2"/>
      </rPr>
      <t xml:space="preserve">■ 期別口徑：</t>
    </r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Noto Sans CJK SC"/>
        <family val="2"/>
      </rPr>
      <t xml:space="preserve">實際 ＋ </t>
    </r>
    <r>
      <rPr>
        <b val="true"/>
        <sz val="10"/>
        <rFont val="Arial"/>
        <family val="0"/>
        <charset val="1"/>
      </rPr>
      <t xml:space="preserve">2H </t>
    </r>
    <r>
      <rPr>
        <b val="true"/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</si>
  <si>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  支出與資金頁與損益頁的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欄，年初至今部分直接採用季報現金流量表的實際值，模型期才是模型推算，因此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欄可直接對照公司全年指引。</t>
    </r>
  </si>
  <si>
    <r>
      <rPr>
        <sz val="10"/>
        <rFont val="Noto Sans CJK SC"/>
        <family val="2"/>
      </rPr>
      <t xml:space="preserve">  年初至今的利息與租金已包含在實際 </t>
    </r>
    <r>
      <rPr>
        <sz val="10"/>
        <rFont val="Arial"/>
        <family val="0"/>
        <charset val="1"/>
      </rPr>
      <t xml:space="preserve">CFO </t>
    </r>
    <r>
      <rPr>
        <sz val="10"/>
        <rFont val="Noto Sans CJK SC"/>
        <family val="2"/>
      </rPr>
      <t xml:space="preserve">內，所以支出頁那兩列的 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欄只有模型期金額；全年數字見「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全年備忘」區。</t>
    </r>
  </si>
  <si>
    <t xml:space="preserve">■ 現金橋（支出與資金頁最下方）</t>
  </si>
  <si>
    <t xml:space="preserve">  上年底現金 ＋ 營運缺口 ＋ 股權／可轉債 ＋ 年初至今實際借款 − 排程還本 ＋ 調節 ＋ 瀑布融資 ＝ 期末現金</t>
  </si>
  <si>
    <t xml:space="preserve">  營運缺口＝營運來源 −（用途 − 排程還本）。股權、可轉債、資產擔保融資都不算營運來源，這是刻意的：它們回答的是「誰來補」，不是「本業能不能自給」。</t>
  </si>
  <si>
    <t xml:space="preserve">■ 期前融資瀑布</t>
  </si>
  <si>
    <r>
      <rPr>
        <sz val="10"/>
        <rFont val="Noto Sans CJK SC"/>
        <family val="2"/>
      </rPr>
      <t xml:space="preserve">  缺口在需要前一期先融好，使每期末現金不低於最低現金。順序：客戶預付（營運來源）→ 現金（高於最低現金的部分）→ 未動用額度（資產擔保融資）→ 新債（總債務 ≤ 債務／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上限）→ 股權（現價折價發行、每年上限）→ 高息債（溢出）。</t>
    </r>
  </si>
  <si>
    <r>
      <rPr>
        <sz val="10"/>
        <rFont val="Arial"/>
        <family val="0"/>
        <charset val="1"/>
      </rPr>
      <t xml:space="preserve">  DCF </t>
    </r>
    <r>
      <rPr>
        <sz val="10"/>
        <rFont val="Noto Sans CJK SC"/>
        <family val="2"/>
      </rPr>
      <t xml:space="preserve">以融資後股數計每股，並加回新股募得現金的現值；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用錨定年末淨負債與錨定年末股數。</t>
    </r>
  </si>
  <si>
    <t xml:space="preserve">一頁摘要 — 結論、與市場的差異、現價隱含什麼、驗證點（全部依輸入連動）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</si>
  <si>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｜結論</t>
    </r>
  </si>
  <si>
    <r>
      <rPr>
        <sz val="10"/>
        <rFont val="Noto Sans CJK SC"/>
        <family val="2"/>
      </rPr>
      <t xml:space="preserve">結論｜評等代碼（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＝賣出）</t>
    </r>
  </si>
  <si>
    <t xml:space="preserve">結論｜評等</t>
  </si>
  <si>
    <t xml:space="preserve">結論｜點位（加權目標價）</t>
  </si>
  <si>
    <t xml:space="preserve">US$</t>
  </si>
  <si>
    <t xml:space="preserve">結論｜現價</t>
  </si>
  <si>
    <t xml:space="preserve">結論｜空間</t>
  </si>
  <si>
    <t xml:space="preserve">%</t>
  </si>
  <si>
    <t xml:space="preserve">結論｜情境區間（下緣／上緣）</t>
  </si>
  <si>
    <t xml:space="preserve">結論｜方法區間（下緣／上緣）</t>
  </si>
  <si>
    <t xml:space="preserve">結論｜賣出門檻價</t>
  </si>
  <si>
    <t xml:space="preserve">結論｜點位 − 賣出門檻</t>
  </si>
  <si>
    <t xml:space="preserve">結論｜結論句</t>
  </si>
  <si>
    <t xml:space="preserve">結論｜情境判斷句</t>
  </si>
  <si>
    <t xml:space="preserve">結論｜融資上限句</t>
  </si>
  <si>
    <t xml:space="preserve">結論｜調整後槓桿句</t>
  </si>
  <si>
    <t xml:space="preserve">結論｜延誤句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</si>
  <si>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｜與市場的差異（模型：目前情境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共識；</t>
    </r>
    <r>
      <rPr>
        <b val="true"/>
        <sz val="10"/>
        <rFont val="Arial"/>
        <family val="0"/>
        <charset val="1"/>
      </rPr>
      <t xml:space="preserve">FY26–FY28</t>
    </r>
    <r>
      <rPr>
        <b val="true"/>
        <sz val="10"/>
        <rFont val="Noto Sans CJK SC"/>
        <family val="2"/>
      </rPr>
      <t xml:space="preserve">）</t>
    </r>
  </si>
  <si>
    <t xml:space="preserve">項目</t>
  </si>
  <si>
    <t xml:space="preserve">單位</t>
  </si>
  <si>
    <t xml:space="preserve">FY26</t>
  </si>
  <si>
    <t xml:space="preserve">FY27</t>
  </si>
  <si>
    <t xml:space="preserve">FY28</t>
  </si>
  <si>
    <t xml:space="preserve">差異｜營收｜模型</t>
  </si>
  <si>
    <t xml:space="preserve">US$m</t>
  </si>
  <si>
    <t xml:space="preserve">差異｜營收｜共識</t>
  </si>
  <si>
    <t xml:space="preserve">差異｜營收｜差距</t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</si>
  <si>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</si>
  <si>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｜共識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</si>
  <si>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｜差距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</si>
  <si>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（輸入與假設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區，報導轉述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</si>
  <si>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｜差距（金額）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</si>
  <si>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一頁摘要、市場共識分頁同一呈現；判斷門檻仍用上一列比例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</si>
  <si>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</si>
  <si>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率｜共識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</si>
  <si>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率｜差距（百分點）</t>
    </r>
  </si>
  <si>
    <t xml:space="preserve">pt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</si>
  <si>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率以百分點列差距，不納入判斷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</si>
  <si>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</si>
  <si>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（毛額）｜共識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</si>
  <si>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（毛額）｜差距</t>
    </r>
  </si>
  <si>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口徑未揭露；</t>
    </r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實際毛額＋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模型毛額</t>
    </r>
  </si>
  <si>
    <t xml:space="preserve">差異｜淨負債｜模型</t>
  </si>
  <si>
    <t xml:space="preserve">差異｜淨負債｜共識</t>
  </si>
  <si>
    <t xml:space="preserve">差異｜淨負債｜差距</t>
  </si>
  <si>
    <t xml:space="preserve">共識淨負債不含租賃、口徑未揭露：只列不判斷</t>
  </si>
  <si>
    <t xml:space="preserve">差異｜淨負債｜差距（金額）</t>
  </si>
  <si>
    <t xml:space="preserve">差異｜分歧項目（超過門檻者）</t>
  </si>
  <si>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任一項差距絕對值超過門檻即列出（與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判斷句同一規則）</t>
    </r>
  </si>
  <si>
    <r>
      <rPr>
        <sz val="10"/>
        <rFont val="Noto Sans CJK SC"/>
        <family val="2"/>
      </rPr>
      <t xml:space="preserve">差異｜分歧起始年（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FY26…3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＝無）</t>
    </r>
  </si>
  <si>
    <t xml:space="preserve">差異｜判斷句</t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</si>
  <si>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｜營收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</si>
  <si>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＝類型、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＝原因（需附原因時顯示；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以利潤率差、其餘以比例門檻判斷）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</si>
  <si>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｜營收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</si>
  <si>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｜營收</t>
    </r>
  </si>
  <si>
    <t xml:space="preserve">差異｜需附原因項數</t>
  </si>
  <si>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（利潤率差）、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、淨負債 </t>
    </r>
    <r>
      <rPr>
        <sz val="9"/>
        <color rgb="FF595959"/>
        <rFont val="Arial"/>
        <family val="0"/>
        <charset val="1"/>
      </rPr>
      <t xml:space="preserve">× FY26–FY28</t>
    </r>
  </si>
  <si>
    <t xml:space="preserve">差異｜差異原因摘要</t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</si>
  <si>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一頁摘要同一句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</si>
  <si>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｜現價隱含什麼</t>
    </r>
  </si>
  <si>
    <r>
      <rPr>
        <sz val="10"/>
        <rFont val="Noto Sans CJK SC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FY28 EV/EBITDA</t>
    </r>
  </si>
  <si>
    <t xml:space="preserve">x</t>
  </si>
  <si>
    <r>
      <rPr>
        <sz val="9"/>
        <color rgb="FF595959"/>
        <rFont val="Noto Sans CJK SC"/>
        <family val="2"/>
      </rPr>
      <t xml:space="preserve">＝（共識平均目標價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股數＋共識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淨負債）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調整後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</si>
  <si>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隱含｜現價隱含 </t>
    </r>
    <r>
      <rPr>
        <sz val="10"/>
        <rFont val="Arial"/>
        <family val="0"/>
        <charset val="1"/>
      </rPr>
      <t xml:space="preserve">FY28 EV/EBITDA</t>
    </r>
  </si>
  <si>
    <r>
      <rPr>
        <sz val="9"/>
        <color rgb="FF595959"/>
        <rFont val="Noto Sans CJK SC"/>
        <family val="2"/>
      </rPr>
      <t xml:space="preserve">同一共識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數字，價格換成現價</t>
    </r>
  </si>
  <si>
    <t xml:space="preserve">隱含｜模型方法區間上緣</t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</si>
  <si>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腿（雲端 倍數）錨定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並折回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Noto Sans CJK SC"/>
        <family val="2"/>
      </rPr>
      <t xml:space="preserve">，錨定年度與此不同</t>
    </r>
  </si>
  <si>
    <r>
      <rPr>
        <sz val="10"/>
        <rFont val="Noto Sans CJK SC"/>
        <family val="2"/>
      </rPr>
      <t xml:space="preserve">隱含｜模型 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託管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</si>
  <si>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託管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倍數，自共識隱含 </t>
    </r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Noto Sans CJK SC"/>
        <family val="2"/>
      </rPr>
      <t xml:space="preserve">扣除</t>
    </r>
  </si>
  <si>
    <r>
      <rPr>
        <sz val="10"/>
        <rFont val="Noto Sans CJK SC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EV/EBITDA</t>
    </r>
  </si>
  <si>
    <r>
      <rPr>
        <sz val="9"/>
        <color rgb="FF595959"/>
        <rFont val="Noto Sans CJK SC"/>
        <family val="2"/>
      </rPr>
      <t xml:space="preserve">＝（隱含 </t>
    </r>
    <r>
      <rPr>
        <sz val="9"/>
        <color rgb="FF595959"/>
        <rFont val="Arial"/>
        <family val="0"/>
        <charset val="1"/>
      </rPr>
      <t xml:space="preserve">EV − </t>
    </r>
    <r>
      <rPr>
        <sz val="9"/>
        <color rgb="FF595959"/>
        <rFont val="Noto Sans CJK SC"/>
        <family val="2"/>
      </rPr>
      <t xml:space="preserve">託管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託管倍數）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（共識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託管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</si>
  <si>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隱含｜現價隱含 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EV/EBITDA</t>
    </r>
  </si>
  <si>
    <t xml:space="preserve">同上，價格換成現價</t>
  </si>
  <si>
    <t xml:space="preserve">隱含｜隱含倍數句</t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</si>
  <si>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年收入（目前／隱含／變動）</t>
    </r>
  </si>
  <si>
    <r>
      <rPr>
        <sz val="9"/>
        <color rgb="FF595959"/>
        <rFont val="Noto Sans CJK SC"/>
        <family val="2"/>
      </rPr>
      <t xml:space="preserve">快照（預設輸入）：見『評價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反向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』；改輸入後請以目標搜尋重算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</si>
  <si>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建置成本（目前／隱含／變動）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</si>
  <si>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率（目前／隱含／變動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</si>
  <si>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年收入（目前／隱含／變動）</t>
    </r>
  </si>
  <si>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｜驗證點與市場看法（賣方與管理層數字標記 </t>
    </r>
    <r>
      <rPr>
        <b val="true"/>
        <sz val="10"/>
        <rFont val="Arial"/>
        <family val="0"/>
        <charset val="1"/>
      </rPr>
      <t xml:space="preserve">Interested-party</t>
    </r>
    <r>
      <rPr>
        <b val="true"/>
        <sz val="10"/>
        <rFont val="Noto Sans CJK SC"/>
        <family val="2"/>
      </rPr>
      <t xml:space="preserve">）</t>
    </r>
  </si>
  <si>
    <t xml:space="preserve">驗證｜焦點季</t>
  </si>
  <si>
    <r>
      <rPr>
        <sz val="9"/>
        <color rgb="FF595959"/>
        <rFont val="Noto Sans CJK SC"/>
        <family val="2"/>
      </rPr>
      <t xml:space="preserve">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區選擇；季度層由年度模型拆分，只用於追蹤</t>
    </r>
  </si>
  <si>
    <t xml:space="preserve">驗證｜營收（模型／共識／指引低／指引高／實際）</t>
  </si>
  <si>
    <r>
      <rPr>
        <sz val="9"/>
        <color rgb="FF595959"/>
        <rFont val="Noto Sans CJK SC"/>
        <family val="2"/>
      </rPr>
      <t xml:space="preserve">共識、指引為 </t>
    </r>
    <r>
      <rPr>
        <sz val="9"/>
        <color rgb="FF595959"/>
        <rFont val="Arial"/>
        <family val="0"/>
        <charset val="1"/>
      </rPr>
      <t xml:space="preserve">Interested-party</t>
    </r>
  </si>
  <si>
    <t xml:space="preserve">驗證｜營收｜句</t>
  </si>
  <si>
    <r>
      <rPr>
        <sz val="10"/>
        <rFont val="Noto Sans CJK SC"/>
        <family val="2"/>
      </rPr>
      <t xml:space="preserve">驗證｜調整後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（模型／共識／指引低／指引高／實際）</t>
    </r>
  </si>
  <si>
    <r>
      <rPr>
        <b val="true"/>
        <sz val="10"/>
        <rFont val="Noto Sans CJK SC"/>
        <family val="2"/>
      </rPr>
      <t xml:space="preserve">驗證｜調整後 </t>
    </r>
    <r>
      <rPr>
        <b val="true"/>
        <sz val="10"/>
        <rFont val="Arial"/>
        <family val="0"/>
        <charset val="1"/>
      </rPr>
      <t xml:space="preserve">EBITDA</t>
    </r>
    <r>
      <rPr>
        <b val="true"/>
        <sz val="10"/>
        <rFont val="Noto Sans CJK SC"/>
        <family val="2"/>
      </rPr>
      <t xml:space="preserve">｜句</t>
    </r>
  </si>
  <si>
    <r>
      <rPr>
        <sz val="10"/>
        <rFont val="Noto Sans CJK SC"/>
        <family val="2"/>
      </rPr>
      <t xml:space="preserve">驗證｜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（毛額）（模型／共識／指引低／指引高／實際）</t>
    </r>
  </si>
  <si>
    <r>
      <rPr>
        <b val="true"/>
        <sz val="10"/>
        <rFont val="Noto Sans CJK SC"/>
        <family val="2"/>
      </rPr>
      <t xml:space="preserve">驗證｜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Noto Sans CJK SC"/>
        <family val="2"/>
      </rPr>
      <t xml:space="preserve">（毛額）｜句</t>
    </r>
  </si>
  <si>
    <t xml:space="preserve">驗證｜評等分布（強力買進／買進／持有／賣出／強力賣出）</t>
  </si>
  <si>
    <t xml:space="preserve">家</t>
  </si>
  <si>
    <r>
      <rPr>
        <sz val="9"/>
        <color rgb="FF595959"/>
        <rFont val="Arial"/>
        <family val="0"/>
        <charset val="1"/>
      </rPr>
      <t xml:space="preserve">2026-10</t>
    </r>
    <r>
      <rPr>
        <sz val="9"/>
        <color rgb="FF595959"/>
        <rFont val="Noto Sans CJK SC"/>
        <family val="2"/>
      </rPr>
      <t xml:space="preserve">，合計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家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</si>
  <si>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驗證｜目標價（平均／中位數／最低／最高）</t>
  </si>
  <si>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家；</t>
    </r>
    <r>
      <rPr>
        <sz val="9"/>
        <color rgb="FF595959"/>
        <rFont val="Arial"/>
        <family val="0"/>
        <charset val="1"/>
      </rPr>
      <t xml:space="preserve">MarketBeat</t>
    </r>
    <r>
      <rPr>
        <sz val="9"/>
        <color rgb="FF595959"/>
        <rFont val="Noto Sans CJK SC"/>
        <family val="2"/>
      </rPr>
      <t xml:space="preserve">（自行彙整），擷取 </t>
    </r>
    <r>
      <rPr>
        <sz val="9"/>
        <color rgb="FF595959"/>
        <rFont val="Arial"/>
        <family val="0"/>
        <charset val="1"/>
      </rPr>
      <t xml:space="preserve">2026-10-08 [Interested-party]</t>
    </r>
  </si>
  <si>
    <r>
      <rPr>
        <sz val="9"/>
        <color rgb="FF595959"/>
        <rFont val="Noto Sans CJK SC"/>
        <family val="2"/>
      </rPr>
      <t xml:space="preserve">來源獨立性：</t>
    </r>
    <r>
      <rPr>
        <sz val="9"/>
        <color rgb="FF595959"/>
        <rFont val="Arial"/>
        <family val="0"/>
        <charset val="1"/>
      </rPr>
      <t xml:space="preserve">Simply Wall St </t>
    </r>
    <r>
      <rPr>
        <sz val="9"/>
        <color rgb="FF595959"/>
        <rFont val="Noto Sans CJK SC"/>
        <family val="2"/>
      </rPr>
      <t xml:space="preserve">的預估來自 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MarketBeat </t>
    </r>
    <r>
      <rPr>
        <sz val="9"/>
        <color rgb="FF595959"/>
        <rFont val="Noto Sans CJK SC"/>
        <family val="2"/>
      </rPr>
      <t xml:space="preserve">目標價與評等為自行彙整（獨立於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Investing.com </t>
    </r>
    <r>
      <rPr>
        <sz val="9"/>
        <color rgb="FF595959"/>
        <rFont val="Noto Sans CJK SC"/>
        <family val="2"/>
      </rPr>
      <t xml:space="preserve">自行彙整；</t>
    </r>
    <r>
      <rPr>
        <sz val="9"/>
        <color rgb="FF595959"/>
        <rFont val="Arial"/>
        <family val="0"/>
        <charset val="1"/>
      </rPr>
      <t xml:space="preserve">Yahoo 1 </t>
    </r>
    <r>
      <rPr>
        <sz val="9"/>
        <color rgb="FF595959"/>
        <rFont val="Noto Sans CJK SC"/>
        <family val="2"/>
      </rPr>
      <t xml:space="preserve">年目標價屬 </t>
    </r>
    <r>
      <rPr>
        <sz val="9"/>
        <color rgb="FF595959"/>
        <rFont val="Arial"/>
        <family val="0"/>
        <charset val="1"/>
      </rPr>
      <t xml:space="preserve">LSEG </t>
    </r>
    <r>
      <rPr>
        <sz val="9"/>
        <color rgb="FF595959"/>
        <rFont val="Noto Sans CJK SC"/>
        <family val="2"/>
      </rPr>
      <t xml:space="preserve">系；</t>
    </r>
    <r>
      <rPr>
        <sz val="9"/>
        <color rgb="FF595959"/>
        <rFont val="Arial"/>
        <family val="0"/>
        <charset val="1"/>
      </rPr>
      <t xml:space="preserve">Tickflow </t>
    </r>
    <r>
      <rPr>
        <sz val="9"/>
        <color rgb="FF595959"/>
        <rFont val="Noto Sans CJK SC"/>
        <family val="2"/>
      </rPr>
      <t xml:space="preserve">未具名來源。目標價四個呈現（</t>
    </r>
    <r>
      <rPr>
        <sz val="9"/>
        <color rgb="FF595959"/>
        <rFont val="Arial"/>
        <family val="0"/>
        <charset val="1"/>
      </rPr>
      <t xml:space="preserve">MarketBeat 38.00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Investing 40.50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Yahoo 40.45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S&amp;P 40.89</t>
    </r>
    <r>
      <rPr>
        <sz val="9"/>
        <color rgb="FF595959"/>
        <rFont val="Noto Sans CJK SC"/>
        <family val="2"/>
      </rPr>
      <t xml:space="preserve">）可視為至少三個獨立來源；營收預估只有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Simply Wall St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Tickflow </t>
    </r>
    <r>
      <rPr>
        <sz val="9"/>
        <color rgb="FF595959"/>
        <rFont val="Noto Sans CJK SC"/>
        <family val="2"/>
      </rPr>
      <t xml:space="preserve">兩個呈現，</t>
    </r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Noto Sans CJK SC"/>
        <family val="2"/>
      </rPr>
      <t xml:space="preserve">一致（</t>
    </r>
    <r>
      <rPr>
        <sz val="9"/>
        <color rgb="FF595959"/>
        <rFont val="Arial"/>
        <family val="0"/>
        <charset val="1"/>
      </rPr>
      <t xml:space="preserve">137 vs 138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FY2027–28 </t>
    </r>
    <r>
      <rPr>
        <sz val="9"/>
        <color rgb="FF595959"/>
        <rFont val="Noto Sans CJK SC"/>
        <family val="2"/>
      </rPr>
      <t xml:space="preserve">差距大（</t>
    </r>
    <r>
      <rPr>
        <sz val="9"/>
        <color rgb="FF595959"/>
        <rFont val="Arial"/>
        <family val="0"/>
        <charset val="1"/>
      </rPr>
      <t xml:space="preserve">296 vs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261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530 vs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381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Tickflow </t>
    </r>
    <r>
      <rPr>
        <sz val="9"/>
        <color rgb="FF595959"/>
        <rFont val="Noto Sans CJK SC"/>
        <family val="2"/>
      </rPr>
      <t xml:space="preserve">為季度預估加總、家數 </t>
    </r>
    <r>
      <rPr>
        <sz val="9"/>
        <color rgb="FF595959"/>
        <rFont val="Arial"/>
        <family val="0"/>
        <charset val="1"/>
      </rPr>
      <t xml:space="preserve">2–3</t>
    </r>
    <r>
      <rPr>
        <sz val="9"/>
        <color rgb="FF595959"/>
        <rFont val="Noto Sans CJK SC"/>
        <family val="2"/>
      </rPr>
      <t xml:space="preserve">），不算一致。</t>
    </r>
  </si>
  <si>
    <r>
      <rPr>
        <sz val="9"/>
        <color rgb="FF595959"/>
        <rFont val="Noto Sans CJK SC"/>
        <family val="2"/>
      </rPr>
      <t xml:space="preserve">共識來源：</t>
    </r>
    <r>
      <rPr>
        <sz val="9"/>
        <color rgb="FF595959"/>
        <rFont val="Arial"/>
        <family val="0"/>
        <charset val="1"/>
      </rPr>
      <t xml:space="preserve">Simply Wall St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MarketBeat</t>
    </r>
    <r>
      <rPr>
        <sz val="9"/>
        <color rgb="FF595959"/>
        <rFont val="Noto Sans CJK SC"/>
        <family val="2"/>
      </rPr>
      <t xml:space="preserve">（自行彙整）；擷取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。逐筆來源、日期與標記見『輸入與假設』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區。</t>
    </r>
  </si>
  <si>
    <t xml:space="preserve">輸入（依類別排序；點左側 ＋／− 展開或收合。藍字可改；黃底為最關鍵假設）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</si>
  <si>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情境 →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產能與收入 →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利潤率 →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支出（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／折舊／租賃／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融資 →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評價 →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參考：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實際 →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情境區間運算表 →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市場共識 →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季度追蹤輸入。灰底『▸』為明細子區，預設收合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</si>
  <si>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｜情境與規模（管理層擴張力道）</t>
    </r>
  </si>
  <si>
    <r>
      <rPr>
        <b val="true"/>
        <sz val="10"/>
        <rFont val="Noto Sans CJK SC"/>
        <family val="2"/>
      </rPr>
      <t xml:space="preserve">情境選擇（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＝保守 只有已簽約、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＝基準 加 </t>
    </r>
    <r>
      <rPr>
        <b val="true"/>
        <sz val="10"/>
        <rFont val="Arial"/>
        <family val="0"/>
        <charset val="1"/>
      </rPr>
      <t xml:space="preserve">NC-1 </t>
    </r>
    <r>
      <rPr>
        <b val="true"/>
        <sz val="10"/>
        <rFont val="Noto Sans CJK SC"/>
        <family val="2"/>
      </rPr>
      <t xml:space="preserve">下一批、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＝積極 </t>
    </r>
    <r>
      <rPr>
        <b val="true"/>
        <sz val="10"/>
        <rFont val="Arial"/>
        <family val="0"/>
        <charset val="1"/>
      </rPr>
      <t xml:space="preserve">NC-2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Krambu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</si>
  <si>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三情境改變擴張力道（已連網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路徑）與每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正向推導三情境值）；其餘假設相同（對照表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條）</t>
    </r>
  </si>
  <si>
    <r>
      <rPr>
        <b val="true"/>
        <sz val="10"/>
        <color rgb="FF1F3864"/>
        <rFont val="Noto Sans CJK SC"/>
        <family val="2"/>
      </rPr>
      <t xml:space="preserve">▸ 情境路徑明細（已連網 </t>
    </r>
    <r>
      <rPr>
        <b val="true"/>
        <sz val="10"/>
        <color rgb="FF1F3864"/>
        <rFont val="Arial"/>
        <family val="0"/>
        <charset val="1"/>
      </rPr>
      <t xml:space="preserve">MW</t>
    </r>
    <r>
      <rPr>
        <b val="true"/>
        <sz val="10"/>
        <color rgb="FF1F3864"/>
        <rFont val="Noto Sans CJK SC"/>
        <family val="2"/>
      </rPr>
      <t xml:space="preserve">、在役比例、表外租金基準）</t>
    </r>
  </si>
  <si>
    <r>
      <rPr>
        <b val="true"/>
        <sz val="11"/>
        <color rgb="FFFFFFFF"/>
        <rFont val="Noto Sans CJK SC"/>
        <family val="2"/>
      </rPr>
      <t xml:space="preserve">已連網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路徑</t>
    </r>
  </si>
  <si>
    <t xml:space="preserve">FY29</t>
  </si>
  <si>
    <t xml:space="preserve">FY30</t>
  </si>
  <si>
    <r>
      <rPr>
        <b val="true"/>
        <sz val="11"/>
        <color rgb="FFFFFFFF"/>
        <rFont val="Arial"/>
        <family val="0"/>
        <charset val="1"/>
      </rPr>
      <t xml:space="preserve">FY31 </t>
    </r>
    <r>
      <rPr>
        <b val="true"/>
        <sz val="11"/>
        <color rgb="FFFFFFFF"/>
        <rFont val="Noto Sans CJK SC"/>
        <family val="2"/>
      </rPr>
      <t xml:space="preserve">新增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</si>
  <si>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首期期末已連網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（三情境共用）</t>
    </r>
  </si>
  <si>
    <t xml:space="preserve">MW</t>
  </si>
  <si>
    <r>
      <rPr>
        <sz val="9"/>
        <color rgb="FF595959"/>
        <rFont val="Noto Sans CJK SC"/>
        <family val="2"/>
      </rPr>
      <t xml:space="preserve">首期期末＝評價日已連網＋首期剩餘季度依最新季交付速度；推導與來源見 </t>
    </r>
    <r>
      <rPr>
        <sz val="9"/>
        <color rgb="FF595959"/>
        <rFont val="Arial"/>
        <family val="0"/>
        <charset val="1"/>
      </rPr>
      <t xml:space="preserve">company.json → scenarios.mwPath.note [Derived]</t>
    </r>
  </si>
  <si>
    <r>
      <rPr>
        <sz val="10"/>
        <rFont val="Noto Sans CJK SC"/>
        <family val="2"/>
      </rPr>
      <t xml:space="preserve">保守 只有已簽約｜合約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</si>
  <si>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t xml:space="preserve">company.json → scenarios.mwPath.contracted</t>
  </si>
  <si>
    <t xml:space="preserve">保守 只有已簽約｜併網速度</t>
  </si>
  <si>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／年</t>
    </r>
  </si>
  <si>
    <t xml:space="preserve">company.json → scenarios.mwPath.pace</t>
  </si>
  <si>
    <t xml:space="preserve">保守 只有已簽約</t>
  </si>
  <si>
    <r>
      <rPr>
        <sz val="9"/>
        <color rgb="FF595959"/>
        <rFont val="Noto Sans CJK SC"/>
        <family val="2"/>
      </rPr>
      <t xml:space="preserve">雲端只計已簽約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合約（不含尚無客戶的雪梨 </t>
    </r>
    <r>
      <rPr>
        <sz val="9"/>
        <color rgb="FF595959"/>
        <rFont val="Arial"/>
        <family val="0"/>
        <charset val="1"/>
      </rPr>
      <t xml:space="preserve">2.5 MW</t>
    </r>
    <r>
      <rPr>
        <sz val="9"/>
        <color rgb="FF595959"/>
        <rFont val="Noto Sans CJK SC"/>
        <family val="2"/>
      </rPr>
      <t xml:space="preserve">）、合約到期以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續作；託管只有 </t>
    </r>
    <r>
      <rPr>
        <sz val="9"/>
        <color rgb="FF595959"/>
        <rFont val="Arial"/>
        <family val="0"/>
        <charset val="1"/>
      </rPr>
      <t xml:space="preserve">NC-1 40 MW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MTL </t>
    </r>
    <r>
      <rPr>
        <sz val="9"/>
        <color rgb="FF595959"/>
        <rFont val="Noto Sans CJK SC"/>
        <family val="2"/>
      </rPr>
      <t xml:space="preserve">現有站點；</t>
    </r>
    <r>
      <rPr>
        <sz val="9"/>
        <color rgb="FF595959"/>
        <rFont val="Arial"/>
        <family val="0"/>
        <charset val="1"/>
      </rPr>
      <t xml:space="preserve">NC-1 </t>
    </r>
    <r>
      <rPr>
        <sz val="9"/>
        <color rgb="FF595959"/>
        <rFont val="Noto Sans CJK SC"/>
        <family val="2"/>
      </rPr>
      <t xml:space="preserve">專案融資未完成；延誤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個月；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FY31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</si>
  <si>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基準 加 </t>
    </r>
    <r>
      <rPr>
        <sz val="10"/>
        <rFont val="Arial"/>
        <family val="0"/>
        <charset val="1"/>
      </rPr>
      <t xml:space="preserve">NC-1 </t>
    </r>
    <r>
      <rPr>
        <sz val="10"/>
        <rFont val="Noto Sans CJK SC"/>
        <family val="2"/>
      </rPr>
      <t xml:space="preserve">下一批｜合約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</si>
  <si>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r>
      <rPr>
        <sz val="10"/>
        <rFont val="Noto Sans CJK SC"/>
        <family val="2"/>
      </rPr>
      <t xml:space="preserve">基準 加 </t>
    </r>
    <r>
      <rPr>
        <sz val="10"/>
        <rFont val="Arial"/>
        <family val="0"/>
        <charset val="1"/>
      </rPr>
      <t xml:space="preserve">NC-1 </t>
    </r>
    <r>
      <rPr>
        <sz val="10"/>
        <rFont val="Noto Sans CJK SC"/>
        <family val="2"/>
      </rPr>
      <t xml:space="preserve">下一批｜併網速度</t>
    </r>
  </si>
  <si>
    <r>
      <rPr>
        <sz val="10"/>
        <rFont val="Noto Sans CJK SC"/>
        <family val="2"/>
      </rPr>
      <t xml:space="preserve">基準 加 </t>
    </r>
    <r>
      <rPr>
        <sz val="10"/>
        <rFont val="Arial"/>
        <family val="0"/>
        <charset val="1"/>
      </rPr>
      <t xml:space="preserve">NC-1 </t>
    </r>
    <r>
      <rPr>
        <sz val="10"/>
        <rFont val="Noto Sans CJK SC"/>
        <family val="2"/>
      </rPr>
      <t xml:space="preserve">下一批</t>
    </r>
  </si>
  <si>
    <r>
      <rPr>
        <sz val="9"/>
        <color rgb="FF595959"/>
        <rFont val="Noto Sans CJK SC"/>
        <family val="2"/>
      </rPr>
      <t xml:space="preserve">雲端加雪梨 </t>
    </r>
    <r>
      <rPr>
        <sz val="9"/>
        <color rgb="FF595959"/>
        <rFont val="Arial"/>
        <family val="0"/>
        <charset val="1"/>
      </rPr>
      <t xml:space="preserve">2.5 MW </t>
    </r>
    <r>
      <rPr>
        <sz val="9"/>
        <color rgb="FF595959"/>
        <rFont val="Noto Sans CJK SC"/>
        <family val="2"/>
      </rPr>
      <t xml:space="preserve">與每年新增 </t>
    </r>
    <r>
      <rPr>
        <sz val="9"/>
        <color rgb="FF595959"/>
        <rFont val="Arial"/>
        <family val="0"/>
        <charset val="1"/>
      </rPr>
      <t xml:space="preserve">3 MW-IT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年新簽約約 </t>
    </r>
    <r>
      <rPr>
        <sz val="9"/>
        <color rgb="FF595959"/>
        <rFont val="Arial"/>
        <family val="0"/>
        <charset val="1"/>
      </rPr>
      <t xml:space="preserve">8.6 MW-IT </t>
    </r>
    <r>
      <rPr>
        <sz val="9"/>
        <color rgb="FF595959"/>
        <rFont val="Noto Sans CJK SC"/>
        <family val="2"/>
      </rPr>
      <t xml:space="preserve">的四分之一強）；託管加 </t>
    </r>
    <r>
      <rPr>
        <sz val="9"/>
        <color rgb="FF595959"/>
        <rFont val="Arial"/>
        <family val="0"/>
        <charset val="1"/>
      </rPr>
      <t xml:space="preserve">NC-1 </t>
    </r>
    <r>
      <rPr>
        <sz val="9"/>
        <color rgb="FF595959"/>
        <rFont val="Noto Sans CJK SC"/>
        <family val="2"/>
      </rPr>
      <t xml:space="preserve">下一批 </t>
    </r>
    <r>
      <rPr>
        <sz val="9"/>
        <color rgb="FF595959"/>
        <rFont val="Arial"/>
        <family val="0"/>
        <charset val="1"/>
      </rPr>
      <t xml:space="preserve">45 </t>
    </r>
    <r>
      <rPr>
        <sz val="9"/>
        <color rgb="FF595959"/>
        <rFont val="Noto Sans CJK SC"/>
        <family val="2"/>
      </rPr>
      <t xml:space="preserve">毛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÷1.35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33 MW-IT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NC-1 </t>
    </r>
    <r>
      <rPr>
        <sz val="9"/>
        <color rgb="FF595959"/>
        <rFont val="Noto Sans CJK SC"/>
        <family val="2"/>
      </rPr>
      <t xml:space="preserve">專案融資完成；延誤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個月；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FY31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</si>
  <si>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積極 </t>
    </r>
    <r>
      <rPr>
        <sz val="10"/>
        <rFont val="Arial"/>
        <family val="0"/>
        <charset val="1"/>
      </rPr>
      <t xml:space="preserve">NC-2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Krambu</t>
    </r>
    <r>
      <rPr>
        <sz val="10"/>
        <rFont val="Noto Sans CJK SC"/>
        <family val="2"/>
      </rPr>
      <t xml:space="preserve">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</si>
  <si>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r>
      <rPr>
        <sz val="10"/>
        <rFont val="Noto Sans CJK SC"/>
        <family val="2"/>
      </rPr>
      <t xml:space="preserve">積極 </t>
    </r>
    <r>
      <rPr>
        <sz val="10"/>
        <rFont val="Arial"/>
        <family val="0"/>
        <charset val="1"/>
      </rPr>
      <t xml:space="preserve">NC-2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Krambu</t>
    </r>
    <r>
      <rPr>
        <sz val="10"/>
        <rFont val="Noto Sans CJK SC"/>
        <family val="2"/>
      </rPr>
      <t xml:space="preserve">｜併網速度</t>
    </r>
  </si>
  <si>
    <r>
      <rPr>
        <sz val="10"/>
        <rFont val="Noto Sans CJK SC"/>
        <family val="2"/>
      </rPr>
      <t xml:space="preserve">積極 </t>
    </r>
    <r>
      <rPr>
        <sz val="10"/>
        <rFont val="Arial"/>
        <family val="0"/>
        <charset val="1"/>
      </rPr>
      <t xml:space="preserve">NC-2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Krambu</t>
    </r>
  </si>
  <si>
    <r>
      <rPr>
        <sz val="9"/>
        <color rgb="FF595959"/>
        <rFont val="Noto Sans CJK SC"/>
        <family val="2"/>
      </rPr>
      <t xml:space="preserve">雲端每年新增 </t>
    </r>
    <r>
      <rPr>
        <sz val="9"/>
        <color rgb="FF595959"/>
        <rFont val="Arial"/>
        <family val="0"/>
        <charset val="1"/>
      </rPr>
      <t xml:space="preserve">6 MW-IT</t>
    </r>
    <r>
      <rPr>
        <sz val="9"/>
        <color rgb="FF595959"/>
        <rFont val="Noto Sans CJK SC"/>
        <family val="2"/>
      </rPr>
      <t xml:space="preserve">；託管再加 </t>
    </r>
    <r>
      <rPr>
        <sz val="9"/>
        <color rgb="FF595959"/>
        <rFont val="Arial"/>
        <family val="0"/>
        <charset val="1"/>
      </rPr>
      <t xml:space="preserve">NC-2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毛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起，</t>
    </r>
    <r>
      <rPr>
        <sz val="9"/>
        <color rgb="FF595959"/>
        <rFont val="Arial"/>
        <family val="0"/>
        <charset val="1"/>
      </rPr>
      <t xml:space="preserve">2027 Q3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NC-1 </t>
    </r>
    <r>
      <rPr>
        <sz val="9"/>
        <color rgb="FF595959"/>
        <rFont val="Noto Sans CJK SC"/>
        <family val="2"/>
      </rPr>
      <t xml:space="preserve">擴至長期毛容量、</t>
    </r>
    <r>
      <rPr>
        <sz val="9"/>
        <color rgb="FF595959"/>
        <rFont val="Arial"/>
        <family val="0"/>
        <charset val="1"/>
      </rPr>
      <t xml:space="preserve">Krambu 100 MW</t>
    </r>
    <r>
      <rPr>
        <sz val="9"/>
        <color rgb="FF595959"/>
        <rFont val="Noto Sans CJK SC"/>
        <family val="2"/>
      </rPr>
      <t xml:space="preserve">（二手、口徑不明）；</t>
    </r>
    <r>
      <rPr>
        <sz val="9"/>
        <color rgb="FF595959"/>
        <rFont val="Arial"/>
        <family val="0"/>
        <charset val="1"/>
      </rPr>
      <t xml:space="preserve">NC-1 </t>
    </r>
    <r>
      <rPr>
        <sz val="9"/>
        <color rgb="FF595959"/>
        <rFont val="Noto Sans CJK SC"/>
        <family val="2"/>
      </rPr>
      <t xml:space="preserve">專案融資完成；延誤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FY31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</si>
  <si>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年收入｜保守 只有已簽約</t>
    </r>
  </si>
  <si>
    <t xml:space="preserve">US$m/MW</t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</si>
  <si>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正向推導三情境（</t>
    </r>
    <r>
      <rPr>
        <sz val="9"/>
        <color rgb="FF595959"/>
        <rFont val="Arial"/>
        <family val="0"/>
        <charset val="1"/>
      </rPr>
      <t xml:space="preserve">data/permw_tokenomics_20261008.json</t>
    </r>
    <r>
      <rPr>
        <sz val="9"/>
        <color rgb="FF595959"/>
        <rFont val="Noto Sans CJK SC"/>
        <family val="2"/>
      </rPr>
      <t xml:space="preserve">）；不用公司 </t>
    </r>
    <r>
      <rPr>
        <sz val="9"/>
        <color rgb="FF595959"/>
        <rFont val="Arial"/>
        <family val="0"/>
        <charset val="1"/>
      </rPr>
      <t xml:space="preserve">ACV [Derived]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</si>
  <si>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年收入｜基準 加 </t>
    </r>
    <r>
      <rPr>
        <sz val="10"/>
        <rFont val="Arial"/>
        <family val="0"/>
        <charset val="1"/>
      </rPr>
      <t xml:space="preserve">NC-1 </t>
    </r>
    <r>
      <rPr>
        <sz val="10"/>
        <rFont val="Noto Sans CJK SC"/>
        <family val="2"/>
      </rPr>
      <t xml:space="preserve">下一批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</si>
  <si>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年收入｜積極 </t>
    </r>
    <r>
      <rPr>
        <sz val="10"/>
        <rFont val="Arial"/>
        <family val="0"/>
        <charset val="1"/>
      </rPr>
      <t xml:space="preserve">NC-2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Krambu</t>
    </r>
  </si>
  <si>
    <r>
      <rPr>
        <sz val="10"/>
        <rFont val="Noto Sans CJK SC"/>
        <family val="2"/>
      </rPr>
      <t xml:space="preserve">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收斂比例（期初校準值 → 已連網）</t>
    </r>
  </si>
  <si>
    <r>
      <rPr>
        <sz val="9"/>
        <color rgb="FF595959"/>
        <rFont val="Noto Sans CJK SC"/>
        <family val="2"/>
      </rPr>
      <t xml:space="preserve">期初可計費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經常性雲端營收 </t>
    </r>
    <r>
      <rPr>
        <sz val="9"/>
        <color rgb="FF595959"/>
        <rFont val="Arial"/>
        <family val="0"/>
        <charset val="1"/>
      </rPr>
      <t xml:space="preserve">11.506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23.806 </t>
    </r>
    <r>
      <rPr>
        <sz val="9"/>
        <color rgb="FF595959"/>
        <rFont val="Noto Sans CJK SC"/>
        <family val="2"/>
      </rPr>
      <t xml:space="preserve">扣終止費 </t>
    </r>
    <r>
      <rPr>
        <sz val="9"/>
        <color rgb="FF595959"/>
        <rFont val="Arial"/>
        <family val="0"/>
        <charset val="1"/>
      </rPr>
      <t xml:space="preserve">12.3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46.02 ÷ </t>
    </r>
    <r>
      <rPr>
        <sz val="9"/>
        <color rgb="FF595959"/>
        <rFont val="Noto Sans CJK SC"/>
        <family val="2"/>
      </rPr>
      <t xml:space="preserve">各情境每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年收入（保守 </t>
    </r>
    <r>
      <rPr>
        <sz val="9"/>
        <color rgb="FF595959"/>
        <rFont val="Arial"/>
        <family val="0"/>
        <charset val="1"/>
      </rPr>
      <t xml:space="preserve">3.96</t>
    </r>
    <r>
      <rPr>
        <sz val="9"/>
        <color rgb="FF595959"/>
        <rFont val="Noto Sans CJK SC"/>
        <family val="2"/>
      </rPr>
      <t xml:space="preserve">／基準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Noto Sans CJK SC"/>
        <family val="2"/>
      </rPr>
      <t xml:space="preserve">／積極 </t>
    </r>
    <r>
      <rPr>
        <sz val="9"/>
        <color rgb="FF595959"/>
        <rFont val="Arial"/>
        <family val="0"/>
        <charset val="1"/>
      </rPr>
      <t xml:space="preserve">1.9 MW-IT</t>
    </r>
    <r>
      <rPr>
        <sz val="9"/>
        <color rgb="FF595959"/>
        <rFont val="Noto Sans CJK SC"/>
        <family val="2"/>
      </rPr>
      <t xml:space="preserve">），是對齊已實現實際數的校準，不是以公司目標反推（評價日已連網 </t>
    </r>
    <r>
      <rPr>
        <sz val="9"/>
        <color rgb="FF595959"/>
        <rFont val="Arial"/>
        <family val="0"/>
        <charset val="1"/>
      </rPr>
      <t xml:space="preserve">5.5 MW </t>
    </r>
    <r>
      <rPr>
        <sz val="9"/>
        <color rgb="FF595959"/>
        <rFont val="Noto Sans CJK SC"/>
        <family val="2"/>
      </rPr>
      <t xml:space="preserve">中實際計費當量較低：舊世代 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機隊單價低於 </t>
    </r>
    <r>
      <rPr>
        <sz val="9"/>
        <color rgb="FF595959"/>
        <rFont val="Arial"/>
        <family val="0"/>
        <charset val="1"/>
      </rPr>
      <t xml:space="preserve">Tokenomics</t>
    </r>
    <r>
      <rPr>
        <sz val="9"/>
        <color rgb="FF595959"/>
        <rFont val="Noto Sans CJK SC"/>
        <family val="2"/>
      </rPr>
      <t xml:space="preserve">）。各期末可計費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＝期初校準值＋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已連網 − 期初校準值</t>
    </r>
    <r>
      <rPr>
        <sz val="9"/>
        <color rgb="FF595959"/>
        <rFont val="Arial"/>
        <family val="0"/>
        <charset val="1"/>
      </rPr>
      <t xml:space="preserve">)× </t>
    </r>
    <r>
      <rPr>
        <sz val="9"/>
        <color rgb="FF595959"/>
        <rFont val="Noto Sans CJK SC"/>
        <family val="2"/>
      </rPr>
      <t xml:space="preserve">收斂比例 </t>
    </r>
    <r>
      <rPr>
        <sz val="9"/>
        <color rgb="FF595959"/>
        <rFont val="Arial"/>
        <family val="0"/>
        <charset val="1"/>
      </rPr>
      <t xml:space="preserve">70%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90%</t>
    </r>
    <r>
      <rPr>
        <sz val="9"/>
        <color rgb="FF595959"/>
        <rFont val="Noto Sans CJK SC"/>
        <family val="2"/>
      </rPr>
      <t xml:space="preserve">（新合約 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2027 Q2 </t>
    </r>
    <r>
      <rPr>
        <sz val="9"/>
        <color rgb="FF595959"/>
        <rFont val="Noto Sans CJK SC"/>
        <family val="2"/>
      </rPr>
      <t xml:space="preserve">陸續起算，首期 </t>
    </r>
    <r>
      <rPr>
        <sz val="9"/>
        <color rgb="FF595959"/>
        <rFont val="Arial"/>
        <family val="0"/>
        <charset val="1"/>
      </rPr>
      <t xml:space="preserve">70% [Assumed]</t>
    </r>
    <r>
      <rPr>
        <sz val="9"/>
        <color rgb="FF595959"/>
        <rFont val="Noto Sans CJK SC"/>
        <family val="2"/>
      </rPr>
      <t xml:space="preserve">）；小數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位（</t>
    </r>
    <r>
      <rPr>
        <sz val="9"/>
        <color rgb="FF595959"/>
        <rFont val="Arial"/>
        <family val="0"/>
        <charset val="1"/>
      </rPr>
      <t xml:space="preserve">roundDp</t>
    </r>
    <r>
      <rPr>
        <sz val="9"/>
        <color rgb="FF595959"/>
        <rFont val="Noto Sans CJK SC"/>
        <family val="2"/>
      </rPr>
      <t xml:space="preserve">）。</t>
    </r>
  </si>
  <si>
    <r>
      <rPr>
        <sz val="10"/>
        <rFont val="Noto Sans CJK SC"/>
        <family val="2"/>
      </rPr>
      <t xml:space="preserve">期初可計費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校準：</t>
    </r>
    <r>
      <rPr>
        <sz val="10"/>
        <rFont val="Arial"/>
        <family val="0"/>
        <charset val="1"/>
      </rPr>
      <t xml:space="preserve">Q2 2026 </t>
    </r>
    <r>
      <rPr>
        <sz val="10"/>
        <rFont val="Noto Sans CJK SC"/>
        <family val="2"/>
      </rPr>
      <t xml:space="preserve">實際營收年化</t>
    </r>
  </si>
  <si>
    <r>
      <rPr>
        <sz val="9"/>
        <color rgb="FF595959"/>
        <rFont val="Noto Sans CJK SC"/>
        <family val="2"/>
      </rPr>
      <t xml:space="preserve">最新季實際營收 </t>
    </r>
    <r>
      <rPr>
        <sz val="9"/>
        <color rgb="FF595959"/>
        <rFont val="Arial"/>
        <family val="0"/>
        <charset val="1"/>
      </rPr>
      <t xml:space="preserve">×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scenarios.billableRatio.openAnnualRevenue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</si>
  <si>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期初可計費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｜保守 只有已簽約</t>
    </r>
  </si>
  <si>
    <r>
      <rPr>
        <sz val="9"/>
        <color rgb="FF595959"/>
        <rFont val="Noto Sans CJK SC"/>
        <family val="2"/>
      </rPr>
      <t xml:space="preserve">＝實際營收年化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該情境每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年收入（對齊已實現實際數的校準）</t>
    </r>
  </si>
  <si>
    <r>
      <rPr>
        <sz val="10"/>
        <rFont val="Noto Sans CJK SC"/>
        <family val="2"/>
      </rPr>
      <t xml:space="preserve">期初可計費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｜基準 加 </t>
    </r>
    <r>
      <rPr>
        <sz val="10"/>
        <rFont val="Arial"/>
        <family val="0"/>
        <charset val="1"/>
      </rPr>
      <t xml:space="preserve">NC-1 </t>
    </r>
    <r>
      <rPr>
        <sz val="10"/>
        <rFont val="Noto Sans CJK SC"/>
        <family val="2"/>
      </rPr>
      <t xml:space="preserve">下一批</t>
    </r>
  </si>
  <si>
    <r>
      <rPr>
        <sz val="10"/>
        <rFont val="Noto Sans CJK SC"/>
        <family val="2"/>
      </rPr>
      <t xml:space="preserve">期初可計費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｜積極 </t>
    </r>
    <r>
      <rPr>
        <sz val="10"/>
        <rFont val="Arial"/>
        <family val="0"/>
        <charset val="1"/>
      </rPr>
      <t xml:space="preserve">NC-2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Krambu</t>
    </r>
  </si>
  <si>
    <t xml:space="preserve">未起租租賃總額（未折現）</t>
  </si>
  <si>
    <r>
      <rPr>
        <sz val="9"/>
        <color rgb="FF595959"/>
        <rFont val="Noto Sans CJK SC"/>
        <family val="2"/>
      </rPr>
      <t xml:space="preserve">季報附註已簽約未起租租賃（</t>
    </r>
    <r>
      <rPr>
        <sz val="9"/>
        <color rgb="FF595959"/>
        <rFont val="Arial"/>
        <family val="0"/>
        <charset val="1"/>
      </rPr>
      <t xml:space="preserve">company.json → leases.facts.notCommenced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</si>
  <si>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未起租：評價日後第幾季開始起租（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＝首期第一季）</t>
    </r>
  </si>
  <si>
    <t xml:space="preserve">季</t>
  </si>
  <si>
    <t xml:space="preserve">company.json → leases.uncommenced.startQ</t>
  </si>
  <si>
    <t xml:space="preserve">未起租：平均分攤起租的季數</t>
  </si>
  <si>
    <r>
      <rPr>
        <sz val="9"/>
        <color rgb="FF595959"/>
        <rFont val="Noto Sans CJK SC"/>
        <family val="2"/>
      </rPr>
      <t xml:space="preserve">季報：</t>
    </r>
    <r>
      <rPr>
        <sz val="9"/>
        <color rgb="FF595959"/>
        <rFont val="Arial"/>
        <family val="0"/>
        <charset val="1"/>
      </rPr>
      <t xml:space="preserve">FY27Q2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FY2029 </t>
    </r>
    <r>
      <rPr>
        <sz val="9"/>
        <color rgb="FF595959"/>
        <rFont val="Noto Sans CJK SC"/>
        <family val="2"/>
      </rPr>
      <t xml:space="preserve">起租 →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季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</si>
  <si>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未起租：每筆租期</t>
  </si>
  <si>
    <t xml:space="preserve">年</t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</si>
  <si>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15–19 </t>
    </r>
    <r>
      <rPr>
        <sz val="9"/>
        <color rgb="FF595959"/>
        <rFont val="Noto Sans CJK SC"/>
        <family val="2"/>
      </rPr>
      <t xml:space="preserve">年取中點；敏感度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年見報告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</si>
  <si>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｜產能與收入（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Noto Sans CJK SC"/>
        <family val="2"/>
      </rPr>
      <t xml:space="preserve">、每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年收入、利用率、信用；</t>
    </r>
    <r>
      <rPr>
        <b val="true"/>
        <sz val="10"/>
        <rFont val="Arial"/>
        <family val="0"/>
        <charset val="1"/>
      </rPr>
      <t xml:space="preserve">RPO </t>
    </r>
    <r>
      <rPr>
        <b val="true"/>
        <sz val="10"/>
        <rFont val="Noto Sans CJK SC"/>
        <family val="2"/>
      </rPr>
      <t xml:space="preserve">只作對照）</t>
    </r>
  </si>
  <si>
    <t xml:space="preserve">6/30 RPO</t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</si>
  <si>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75.146</t>
    </r>
    <r>
      <rPr>
        <sz val="9"/>
        <color rgb="FF595959"/>
        <rFont val="Noto Sans CJK SC"/>
        <family val="2"/>
      </rPr>
      <t xml:space="preserve">（只作對照與債務上限的 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</si>
  <si>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評價日後新增承諾</t>
  </si>
  <si>
    <r>
      <rPr>
        <sz val="9"/>
        <color rgb="FF595959"/>
        <rFont val="Noto Sans CJK SC"/>
        <family val="2"/>
      </rPr>
      <t xml:space="preserve">評價日後新簽、尚未進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的承諾；未揭露，取 </t>
    </r>
    <r>
      <rPr>
        <sz val="9"/>
        <color rgb="FF595959"/>
        <rFont val="Arial"/>
        <family val="0"/>
        <charset val="1"/>
      </rPr>
      <t xml:space="preserve">0 [Assumed]</t>
    </r>
  </si>
  <si>
    <r>
      <rPr>
        <sz val="10"/>
        <rFont val="Noto Sans CJK SC"/>
        <family val="2"/>
      </rPr>
      <t xml:space="preserve">五期認列比例（至 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末）</t>
    </r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</si>
  <si>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桶線性分攤後五期合計 </t>
    </r>
    <r>
      <rPr>
        <sz val="9"/>
        <color rgb="FF595959"/>
        <rFont val="Arial"/>
        <family val="0"/>
        <charset val="1"/>
      </rPr>
      <t xml:space="preserve">100% 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</si>
  <si>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桶權重合計</t>
    </r>
  </si>
  <si>
    <t xml:space="preserve">下方權重列的合計，用於歸一化</t>
  </si>
  <si>
    <r>
      <rPr>
        <sz val="10"/>
        <rFont val="Arial"/>
        <family val="0"/>
        <charset val="1"/>
      </rPr>
      <t xml:space="preserve">2025-12-31 </t>
    </r>
    <r>
      <rPr>
        <sz val="10"/>
        <rFont val="Noto Sans CJK SC"/>
        <family val="2"/>
      </rPr>
      <t xml:space="preserve">主動電力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</si>
  <si>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年底雲端已連網 </t>
    </r>
    <r>
      <rPr>
        <sz val="9"/>
        <color rgb="FF595959"/>
        <rFont val="Arial"/>
        <family val="0"/>
        <charset val="1"/>
      </rPr>
      <t xml:space="preserve">MW-IT</t>
    </r>
    <r>
      <rPr>
        <sz val="9"/>
        <color rgb="FF595959"/>
        <rFont val="Noto Sans CJK SC"/>
        <family val="2"/>
      </rPr>
      <t xml:space="preserve">：冰島第三方機房 </t>
    </r>
    <r>
      <rPr>
        <sz val="9"/>
        <color rgb="FF595959"/>
        <rFont val="Arial"/>
        <family val="0"/>
        <charset val="1"/>
      </rPr>
      <t xml:space="preserve">5.5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；亞特蘭大 </t>
    </r>
    <r>
      <rPr>
        <sz val="9"/>
        <color rgb="FF595959"/>
        <rFont val="Arial"/>
        <family val="0"/>
        <charset val="1"/>
      </rPr>
      <t xml:space="preserve">2026-02 </t>
    </r>
    <r>
      <rPr>
        <sz val="9"/>
        <color rgb="FF595959"/>
        <rFont val="Noto Sans CJK SC"/>
        <family val="2"/>
      </rPr>
      <t xml:space="preserve">起承租、加拿大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未揭露）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</si>
  <si>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6/30 Billable MW</t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</si>
  <si>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區情境選擇器（以實際營收校準）</t>
    </r>
  </si>
  <si>
    <r>
      <rPr>
        <sz val="10"/>
        <rFont val="Noto Sans CJK SC"/>
        <family val="2"/>
      </rPr>
      <t xml:space="preserve">收入用平均在役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</si>
  <si>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＝用期末存量全期化；建議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</si>
  <si>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營收驅動（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年收入；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排程）</t>
    </r>
  </si>
  <si>
    <t xml:space="preserve">mw</t>
  </si>
  <si>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：新產能簽約率固定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，營收＝容量上限；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只作對照與產能瓶頸旗標（</t>
    </r>
    <r>
      <rPr>
        <sz val="9"/>
        <color rgb="FF595959"/>
        <rFont val="Arial"/>
        <family val="0"/>
        <charset val="1"/>
      </rPr>
      <t xml:space="preserve">company.json → defaults.revenueDriver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</si>
  <si>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年收入倍數（整體）</t>
    </r>
  </si>
  <si>
    <r>
      <rPr>
        <sz val="9"/>
        <color rgb="FF595959"/>
        <rFont val="Noto Sans CJK SC"/>
        <family val="2"/>
      </rPr>
      <t xml:space="preserve">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與壓力測試用；預設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。以『目標搜尋』調整此格即可反解市價隱含單價</t>
    </r>
  </si>
  <si>
    <t xml:space="preserve">來源／標籤</t>
  </si>
  <si>
    <t xml:space="preserve">模型期長度（年）</t>
  </si>
  <si>
    <r>
      <rPr>
        <sz val="9"/>
        <color rgb="FF595959"/>
        <rFont val="Noto Sans CJK SC"/>
        <family val="2"/>
      </rPr>
      <t xml:space="preserve">勿改。由 </t>
    </r>
    <r>
      <rPr>
        <sz val="9"/>
        <color rgb="FF595959"/>
        <rFont val="Arial"/>
        <family val="0"/>
        <charset val="1"/>
      </rPr>
      <t xml:space="preserve">calendar_q.py </t>
    </r>
    <r>
      <rPr>
        <sz val="9"/>
        <color rgb="FF595959"/>
        <rFont val="Noto Sans CJK SC"/>
        <family val="2"/>
      </rPr>
      <t xml:space="preserve">推算；只用於容量上限、電力、維護等年率換算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</si>
  <si>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</t>
    </r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</si>
  <si>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桶（雲端 </t>
    </r>
    <r>
      <rPr>
        <sz val="9"/>
        <color rgb="FF595959"/>
        <rFont val="Arial"/>
        <family val="0"/>
        <charset val="1"/>
      </rPr>
      <t xml:space="preserve">RPO 75.1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下半年 </t>
    </r>
    <r>
      <rPr>
        <sz val="9"/>
        <color rgb="FF595959"/>
        <rFont val="Arial"/>
        <family val="0"/>
        <charset val="1"/>
      </rPr>
      <t xml:space="preserve">21.6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2027 43.3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2028 10.3</t>
    </r>
    <r>
      <rPr>
        <sz val="9"/>
        <color rgb="FF595959"/>
        <rFont val="Noto Sans CJK SC"/>
        <family val="2"/>
      </rPr>
      <t xml:space="preserve">（不含 </t>
    </r>
    <r>
      <rPr>
        <sz val="9"/>
        <color rgb="FF595959"/>
        <rFont val="Arial"/>
        <family val="0"/>
        <charset val="1"/>
      </rPr>
      <t xml:space="preserve">7–8 </t>
    </r>
    <r>
      <rPr>
        <sz val="9"/>
        <color rgb="FF595959"/>
        <rFont val="Noto Sans CJK SC"/>
        <family val="2"/>
      </rPr>
      <t xml:space="preserve">月簽約的 </t>
    </r>
    <r>
      <rPr>
        <sz val="9"/>
        <color rgb="FF595959"/>
        <rFont val="Arial"/>
        <family val="0"/>
        <charset val="1"/>
      </rPr>
      <t xml:space="preserve">Baseten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Prime VR200</t>
    </r>
    <r>
      <rPr>
        <sz val="9"/>
        <color rgb="FF595959"/>
        <rFont val="Noto Sans CJK SC"/>
        <family val="2"/>
      </rPr>
      <t xml:space="preserve">、冰島 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與巴黎）；託管 </t>
    </r>
    <r>
      <rPr>
        <sz val="9"/>
        <color rgb="FF595959"/>
        <rFont val="Arial"/>
        <family val="0"/>
        <charset val="1"/>
      </rPr>
      <t xml:space="preserve">RPO 932.9 </t>
    </r>
    <r>
      <rPr>
        <sz val="9"/>
        <color rgb="FF595959"/>
        <rFont val="Noto Sans CJK SC"/>
        <family val="2"/>
      </rPr>
      <t xml:space="preserve">另列於託管分部；只作對照）桶內線性分攤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</si>
  <si>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（期末主動電力）</t>
    </r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</si>
  <si>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區情境選擇器（已連網 </t>
    </r>
    <r>
      <rPr>
        <sz val="9"/>
        <color rgb="FF595959"/>
        <rFont val="Arial"/>
        <family val="0"/>
        <charset val="1"/>
      </rPr>
      <t xml:space="preserve">MW-IT</t>
    </r>
    <r>
      <rPr>
        <sz val="9"/>
        <color rgb="FF595959"/>
        <rFont val="Noto Sans CJK SC"/>
        <family val="2"/>
      </rPr>
      <t xml:space="preserve">）</t>
    </r>
  </si>
  <si>
    <t xml:space="preserve">Billable MW</t>
  </si>
  <si>
    <r>
      <rPr>
        <sz val="9"/>
        <color rgb="FF595959"/>
        <rFont val="Noto Sans CJK SC"/>
        <family val="2"/>
      </rPr>
      <t xml:space="preserve">＝期初校準值＋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已連網 − 期初校準值</t>
    </r>
    <r>
      <rPr>
        <sz val="9"/>
        <color rgb="FF595959"/>
        <rFont val="Arial"/>
        <family val="0"/>
        <charset val="1"/>
      </rPr>
      <t xml:space="preserve">)× </t>
    </r>
    <r>
      <rPr>
        <sz val="9"/>
        <color rgb="FF595959"/>
        <rFont val="Noto Sans CJK SC"/>
        <family val="2"/>
      </rPr>
      <t xml:space="preserve">收斂比例（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</t>
    </r>
  </si>
  <si>
    <t xml:space="preserve">利用率</t>
  </si>
  <si>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：每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年收入已含可計費利用率（路徑 </t>
    </r>
    <r>
      <rPr>
        <sz val="9"/>
        <color rgb="FF595959"/>
        <rFont val="Arial"/>
        <family val="0"/>
        <charset val="1"/>
      </rPr>
      <t xml:space="preserve">B 80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90%</t>
    </r>
    <r>
      <rPr>
        <sz val="9"/>
        <color rgb="FF595959"/>
        <rFont val="Noto Sans CJK SC"/>
        <family val="2"/>
      </rPr>
      <t xml:space="preserve">），不重複扣除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</si>
  <si>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</si>
  <si>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正向推導三情境）</t>
    </r>
  </si>
  <si>
    <t xml:space="preserve">新產能簽約率</t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</si>
  <si>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驅動：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只作對照）</t>
    </r>
  </si>
  <si>
    <t xml:space="preserve">客戶違約率</t>
  </si>
  <si>
    <r>
      <rPr>
        <sz val="9"/>
        <color rgb="FF595959"/>
        <rFont val="Noto Sans CJK SC"/>
        <family val="2"/>
      </rPr>
      <t xml:space="preserve">客戶集中度的定價（</t>
    </r>
    <r>
      <rPr>
        <sz val="9"/>
        <color rgb="FF595959"/>
        <rFont val="Arial"/>
        <family val="0"/>
        <charset val="1"/>
      </rPr>
      <t xml:space="preserve">company.json → texts.concentration</t>
    </r>
    <r>
      <rPr>
        <sz val="9"/>
        <color rgb="FF595959"/>
        <rFont val="Noto Sans CJK SC"/>
        <family val="2"/>
      </rPr>
      <t xml:space="preserve">），非預測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</si>
  <si>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回收率</t>
  </si>
  <si>
    <t xml:space="preserve">[Assumed]</t>
  </si>
  <si>
    <t xml:space="preserve">非算力服務營收</t>
  </si>
  <si>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AI cloud </t>
    </r>
    <r>
      <rPr>
        <sz val="9"/>
        <color rgb="FF595959"/>
        <rFont val="Noto Sans CJK SC"/>
        <family val="2"/>
      </rPr>
      <t xml:space="preserve">軟體已含在每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年收入；其他事業另列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</si>
  <si>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</si>
  <si>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Noto Sans CJK SC"/>
        <family val="2"/>
      </rPr>
      <t xml:space="preserve">不適用（其他營收＝設備銷售型租賃利息，每季約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，未建模；託管另列於託管分部）</t>
    </r>
  </si>
  <si>
    <r>
      <rPr>
        <b val="true"/>
        <sz val="10"/>
        <color rgb="FF1F3864"/>
        <rFont val="Arial"/>
        <family val="0"/>
        <charset val="1"/>
      </rPr>
      <t xml:space="preserve">▸ B2</t>
    </r>
    <r>
      <rPr>
        <b val="true"/>
        <sz val="10"/>
        <color rgb="FF1F3864"/>
        <rFont val="Noto Sans CJK SC"/>
        <family val="2"/>
      </rPr>
      <t xml:space="preserve">｜託管（各線全年營收＝上一財年 </t>
    </r>
    <r>
      <rPr>
        <b val="true"/>
        <sz val="10"/>
        <color rgb="FF1F3864"/>
        <rFont val="Arial"/>
        <family val="0"/>
        <charset val="1"/>
      </rPr>
      <t xml:space="preserve">×(1</t>
    </r>
    <r>
      <rPr>
        <b val="true"/>
        <sz val="10"/>
        <color rgb="FF1F3864"/>
        <rFont val="Noto Sans CJK SC"/>
        <family val="2"/>
      </rPr>
      <t xml:space="preserve">＋年增率</t>
    </r>
    <r>
      <rPr>
        <b val="true"/>
        <sz val="10"/>
        <color rgb="FF1F3864"/>
        <rFont val="Arial"/>
        <family val="0"/>
        <charset val="1"/>
      </rPr>
      <t xml:space="preserve">)</t>
    </r>
    <r>
      <rPr>
        <b val="true"/>
        <sz val="10"/>
        <color rgb="FF1F3864"/>
        <rFont val="Noto Sans CJK SC"/>
        <family val="2"/>
      </rPr>
      <t xml:space="preserve">，年增率自起點線性收斂到長期值；</t>
    </r>
    <r>
      <rPr>
        <b val="true"/>
        <sz val="10"/>
        <color rgb="FF1F3864"/>
        <rFont val="Arial"/>
        <family val="0"/>
        <charset val="1"/>
      </rPr>
      <t xml:space="preserve">FY26 </t>
    </r>
    <r>
      <rPr>
        <b val="true"/>
        <sz val="10"/>
        <color rgb="FF1F3864"/>
        <rFont val="Noto Sans CJK SC"/>
        <family val="2"/>
      </rPr>
      <t xml:space="preserve">模型期＝全年 − </t>
    </r>
    <r>
      <rPr>
        <b val="true"/>
        <sz val="10"/>
        <color rgb="FF1F3864"/>
        <rFont val="Arial"/>
        <family val="0"/>
        <charset val="1"/>
      </rPr>
      <t xml:space="preserve">1H </t>
    </r>
    <r>
      <rPr>
        <b val="true"/>
        <sz val="10"/>
        <color rgb="FF1F3864"/>
        <rFont val="Noto Sans CJK SC"/>
        <family val="2"/>
      </rPr>
      <t xml:space="preserve">實際）</t>
    </r>
  </si>
  <si>
    <r>
      <rPr>
        <b val="true"/>
        <sz val="10"/>
        <color rgb="FF1F3864"/>
        <rFont val="Noto Sans CJK SC"/>
        <family val="2"/>
      </rPr>
      <t xml:space="preserve">▸ 託管站點（</t>
    </r>
    <r>
      <rPr>
        <b val="true"/>
        <sz val="10"/>
        <color rgb="FF1F3864"/>
        <rFont val="Arial"/>
        <family val="0"/>
        <charset val="1"/>
      </rPr>
      <t xml:space="preserve">MW </t>
    </r>
    <r>
      <rPr>
        <b val="true"/>
        <sz val="10"/>
        <color rgb="FF1F3864"/>
        <rFont val="Noto Sans CJK SC"/>
        <family val="2"/>
      </rPr>
      <t xml:space="preserve">驅動：</t>
    </r>
    <r>
      <rPr>
        <b val="true"/>
        <sz val="10"/>
        <color rgb="FF1F3864"/>
        <rFont val="Arial"/>
        <family val="0"/>
        <charset val="1"/>
      </rPr>
      <t xml:space="preserve">IT MW × </t>
    </r>
    <r>
      <rPr>
        <b val="true"/>
        <sz val="10"/>
        <color rgb="FF1F3864"/>
        <rFont val="Noto Sans CJK SC"/>
        <family val="2"/>
      </rPr>
      <t xml:space="preserve">第一年租金 </t>
    </r>
    <r>
      <rPr>
        <b val="true"/>
        <sz val="10"/>
        <color rgb="FF1F3864"/>
        <rFont val="Arial"/>
        <family val="0"/>
        <charset val="1"/>
      </rPr>
      <t xml:space="preserve">×(1</t>
    </r>
    <r>
      <rPr>
        <b val="true"/>
        <sz val="10"/>
        <color rgb="FF1F3864"/>
        <rFont val="Noto Sans CJK SC"/>
        <family val="2"/>
      </rPr>
      <t xml:space="preserve">＋年調</t>
    </r>
    <r>
      <rPr>
        <b val="true"/>
        <sz val="10"/>
        <color rgb="FF1F3864"/>
        <rFont val="Arial"/>
        <family val="0"/>
        <charset val="1"/>
      </rPr>
      <t xml:space="preserve">)^(</t>
    </r>
    <r>
      <rPr>
        <b val="true"/>
        <sz val="10"/>
        <color rgb="FF1F3864"/>
        <rFont val="Noto Sans CJK SC"/>
        <family val="2"/>
      </rPr>
      <t xml:space="preserve">期中點 − 起租</t>
    </r>
    <r>
      <rPr>
        <b val="true"/>
        <sz val="10"/>
        <color rgb="FF1F3864"/>
        <rFont val="Arial"/>
        <family val="0"/>
        <charset val="1"/>
      </rPr>
      <t xml:space="preserve">) × </t>
    </r>
    <r>
      <rPr>
        <b val="true"/>
        <sz val="10"/>
        <color rgb="FF1F3864"/>
        <rFont val="Noto Sans CJK SC"/>
        <family val="2"/>
      </rPr>
      <t xml:space="preserve">在租年數；建置 </t>
    </r>
    <r>
      <rPr>
        <b val="true"/>
        <sz val="10"/>
        <color rgb="FF1F3864"/>
        <rFont val="Arial"/>
        <family val="0"/>
        <charset val="1"/>
      </rPr>
      <t xml:space="preserve">CapEx </t>
    </r>
    <r>
      <rPr>
        <b val="true"/>
        <sz val="10"/>
        <color rgb="FF1F3864"/>
        <rFont val="Noto Sans CJK SC"/>
        <family val="2"/>
      </rPr>
      <t xml:space="preserve">依建置起訖分攤；建物 </t>
    </r>
    <r>
      <rPr>
        <b val="true"/>
        <sz val="10"/>
        <color rgb="FF1F3864"/>
        <rFont val="Arial"/>
        <family val="0"/>
        <charset val="1"/>
      </rPr>
      <t xml:space="preserve">D&amp;A </t>
    </r>
    <r>
      <rPr>
        <b val="true"/>
        <sz val="10"/>
        <color rgb="FF1F3864"/>
        <rFont val="Noto Sans CJK SC"/>
        <family val="2"/>
      </rPr>
      <t xml:space="preserve">另列）</t>
    </r>
  </si>
  <si>
    <r>
      <rPr>
        <sz val="9"/>
        <color rgb="FF595959"/>
        <rFont val="Noto Sans CJK SC"/>
        <family val="2"/>
      </rPr>
      <t xml:space="preserve">託管分部（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Noto Sans CJK SC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；另建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驅動區塊，營收與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經由第二分部〔模板「託管」〕列進入損益、營運來源與分部 </t>
    </r>
    <r>
      <rPr>
        <sz val="9"/>
        <color rgb="FF595959"/>
        <rFont val="Arial"/>
        <family val="0"/>
        <charset val="1"/>
      </rPr>
      <t xml:space="preserve">EV/EBITDA</t>
    </r>
    <r>
      <rPr>
        <sz val="9"/>
        <color rgb="FF595959"/>
        <rFont val="Noto Sans CJK SC"/>
        <family val="2"/>
      </rPr>
      <t xml:space="preserve">）：各站點營收＝</t>
    </r>
    <r>
      <rPr>
        <sz val="9"/>
        <color rgb="FF595959"/>
        <rFont val="Arial"/>
        <family val="0"/>
        <charset val="1"/>
      </rPr>
      <t xml:space="preserve">IT MW × </t>
    </r>
    <r>
      <rPr>
        <sz val="9"/>
        <color rgb="FF595959"/>
        <rFont val="Noto Sans CJK SC"/>
        <family val="2"/>
      </rPr>
      <t xml:space="preserve">第一年租金（</t>
    </r>
    <r>
      <rPr>
        <sz val="9"/>
        <color rgb="FF595959"/>
        <rFont val="Arial"/>
        <family val="0"/>
        <charset val="1"/>
      </rPr>
      <t xml:space="preserve">US$m/MW-IT·</t>
    </r>
    <r>
      <rPr>
        <sz val="9"/>
        <color rgb="FF595959"/>
        <rFont val="Noto Sans CJK SC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＋年調</t>
    </r>
    <r>
      <rPr>
        <sz val="9"/>
        <color rgb="FF595959"/>
        <rFont val="Arial"/>
        <family val="0"/>
        <charset val="1"/>
      </rPr>
      <t xml:space="preserve">)^(</t>
    </r>
    <r>
      <rPr>
        <sz val="9"/>
        <color rgb="FF595959"/>
        <rFont val="Noto Sans CJK SC"/>
        <family val="2"/>
      </rPr>
      <t xml:space="preserve">期中點 − 起租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期間內在租年數；未簽約站點的起租時點隨建設延誤月數後移（</t>
    </r>
    <r>
      <rPr>
        <sz val="9"/>
        <color rgb="FF595959"/>
        <rFont val="Arial"/>
        <family val="0"/>
        <charset val="1"/>
      </rPr>
      <t xml:space="preserve">delay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）；建置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在建置起訖期間平均分攤（不隨延誤後移），進類現金流量與託管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Noto Sans CJK SC"/>
        <family val="2"/>
      </rPr>
      <t xml:space="preserve">；建物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期初託管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Noto Sans CJK SC"/>
        <family val="2"/>
      </rPr>
      <t xml:space="preserve">＋本期建置 </t>
    </r>
    <r>
      <rPr>
        <sz val="9"/>
        <color rgb="FF595959"/>
        <rFont val="Arial"/>
        <family val="0"/>
        <charset val="1"/>
      </rPr>
      <t xml:space="preserve">× ½) ÷ </t>
    </r>
    <r>
      <rPr>
        <sz val="9"/>
        <color rgb="FF595959"/>
        <rFont val="Noto Sans CJK SC"/>
        <family val="2"/>
      </rPr>
      <t xml:space="preserve">年限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期間長度，與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折舊分列。轉嫁電費以淨額處理（</t>
    </r>
    <r>
      <rPr>
        <sz val="9"/>
        <color rgb="FF595959"/>
        <rFont val="Arial"/>
        <family val="0"/>
        <charset val="1"/>
      </rPr>
      <t xml:space="preserve">Nscale </t>
    </r>
    <r>
      <rPr>
        <sz val="9"/>
        <color rgb="FF595959"/>
        <rFont val="Noto Sans CJK SC"/>
        <family val="2"/>
      </rPr>
      <t xml:space="preserve">合約 </t>
    </r>
    <r>
      <rPr>
        <sz val="9"/>
        <color rgb="FF595959"/>
        <rFont val="Arial"/>
        <family val="0"/>
        <charset val="1"/>
      </rPr>
      <t xml:space="preserve">TCV </t>
    </r>
    <r>
      <rPr>
        <sz val="9"/>
        <color rgb="FF595959"/>
        <rFont val="Noto Sans CJK SC"/>
        <family val="2"/>
      </rPr>
      <t xml:space="preserve">不含電費，不計入營收與成本；對照表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條）。期初託管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託管設備帳面淨額（含 </t>
    </r>
    <r>
      <rPr>
        <sz val="9"/>
        <color rgb="FF595959"/>
        <rFont val="Arial"/>
        <family val="0"/>
        <charset val="1"/>
      </rPr>
      <t xml:space="preserve">NC-1 </t>
    </r>
    <r>
      <rPr>
        <sz val="9"/>
        <color rgb="FF595959"/>
        <rFont val="Noto Sans CJK SC"/>
        <family val="2"/>
      </rPr>
      <t xml:space="preserve">在建）</t>
    </r>
    <r>
      <rPr>
        <sz val="9"/>
        <color rgb="FF595959"/>
        <rFont val="Arial"/>
        <family val="0"/>
        <charset val="1"/>
      </rPr>
      <t xml:space="preserve">556.3</t>
    </r>
    <r>
      <rPr>
        <sz val="9"/>
        <color rgb="FF595959"/>
        <rFont val="Noto Sans CJK SC"/>
        <family val="2"/>
      </rPr>
      <t xml:space="preserve">；建物折舊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年（區間 </t>
    </r>
    <r>
      <rPr>
        <sz val="9"/>
        <color rgb="FF595959"/>
        <rFont val="Arial"/>
        <family val="0"/>
        <charset val="1"/>
      </rPr>
      <t xml:space="preserve">15–30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10-K 30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vs 10-Q 20–25 </t>
    </r>
    <r>
      <rPr>
        <sz val="9"/>
        <color rgb="FF595959"/>
        <rFont val="Noto Sans CJK SC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。客戶預付覆蓋比同樣適用於託管建置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coverPrepay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預付 </t>
    </r>
    <r>
      <rPr>
        <sz val="9"/>
        <color rgb="FF595959"/>
        <rFont val="Arial"/>
        <family val="0"/>
        <charset val="1"/>
      </rPr>
      <t xml:space="preserve">72.6 ÷ </t>
    </r>
    <r>
      <rPr>
        <sz val="9"/>
        <color rgb="FF595959"/>
        <rFont val="Noto Sans CJK SC"/>
        <family val="2"/>
      </rPr>
      <t xml:space="preserve">資本支出 </t>
    </r>
    <r>
      <rPr>
        <sz val="9"/>
        <color rgb="FF595959"/>
        <rFont val="Arial"/>
        <family val="0"/>
        <charset val="1"/>
      </rPr>
      <t xml:space="preserve">344.7 </t>
    </r>
    <r>
      <rPr>
        <sz val="9"/>
        <color rgb="FF595959"/>
        <rFont val="Noto Sans CJK SC"/>
        <family val="2"/>
      </rPr>
      <t xml:space="preserve">的口徑含託管）。</t>
    </r>
  </si>
  <si>
    <t xml:space="preserve">託管｜期初時點（評價日起，年）</t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</si>
  <si>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calendar_q.py </t>
    </r>
    <r>
      <rPr>
        <sz val="9"/>
        <color rgb="FF595959"/>
        <rFont val="Noto Sans CJK SC"/>
        <family val="2"/>
      </rPr>
      <t xml:space="preserve">推算（勿改）</t>
    </r>
  </si>
  <si>
    <t xml:space="preserve">託管｜期末時點（評價日起，年）</t>
  </si>
  <si>
    <r>
      <rPr>
        <sz val="10"/>
        <rFont val="Noto Sans CJK SC"/>
        <family val="2"/>
      </rPr>
      <t xml:space="preserve">託管｜</t>
    </r>
    <r>
      <rPr>
        <sz val="10"/>
        <rFont val="Arial"/>
        <family val="0"/>
        <charset val="1"/>
      </rPr>
      <t xml:space="preserve">NC-1 </t>
    </r>
    <r>
      <rPr>
        <sz val="10"/>
        <rFont val="Noto Sans CJK SC"/>
        <family val="2"/>
      </rPr>
      <t xml:space="preserve">第一期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Nscale 20 MW</t>
    </r>
    <r>
      <rPr>
        <sz val="10"/>
        <rFont val="Noto Sans CJK SC"/>
        <family val="2"/>
      </rPr>
      <t xml:space="preserve">）｜</t>
    </r>
    <r>
      <rPr>
        <sz val="10"/>
        <rFont val="Arial"/>
        <family val="0"/>
        <charset val="1"/>
      </rPr>
      <t xml:space="preserve">IT MW</t>
    </r>
    <r>
      <rPr>
        <sz val="10"/>
        <rFont val="Noto Sans CJK SC"/>
        <family val="2"/>
      </rPr>
      <t xml:space="preserve">／起租（年）／第一年租金（</t>
    </r>
    <r>
      <rPr>
        <sz val="10"/>
        <rFont val="Arial"/>
        <family val="0"/>
        <charset val="1"/>
      </rPr>
      <t xml:space="preserve">US$m/MW</t>
    </r>
    <r>
      <rPr>
        <sz val="10"/>
        <rFont val="Noto Sans CJK SC"/>
        <family val="2"/>
      </rPr>
      <t xml:space="preserve">）／年調／建置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</si>
  <si>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Nscale 10 </t>
    </r>
    <r>
      <rPr>
        <sz val="9"/>
        <color rgb="FF595959"/>
        <rFont val="Noto Sans CJK SC"/>
        <family val="2"/>
      </rPr>
      <t xml:space="preserve">年約 </t>
    </r>
    <r>
      <rPr>
        <sz val="9"/>
        <color rgb="FF595959"/>
        <rFont val="Arial"/>
        <family val="0"/>
        <charset val="1"/>
      </rPr>
      <t xml:space="preserve">865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 MW-IT</t>
    </r>
    <r>
      <rPr>
        <sz val="9"/>
        <color rgb="FF595959"/>
        <rFont val="Noto Sans CJK SC"/>
        <family val="2"/>
      </rPr>
      <t xml:space="preserve">／年調 </t>
    </r>
    <r>
      <rPr>
        <sz val="9"/>
        <color rgb="FF595959"/>
        <rFont val="Arial"/>
        <family val="0"/>
        <charset val="1"/>
      </rPr>
      <t xml:space="preserve">3%</t>
    </r>
    <r>
      <rPr>
        <sz val="9"/>
        <color rgb="FF595959"/>
        <rFont val="Noto Sans CJK SC"/>
        <family val="2"/>
      </rPr>
      <t xml:space="preserve">：第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年等值 </t>
    </r>
    <r>
      <rPr>
        <sz val="9"/>
        <color rgb="FF595959"/>
        <rFont val="Arial"/>
        <family val="0"/>
        <charset val="1"/>
      </rPr>
      <t xml:space="preserve">1.886 US$m/MW-IT·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865 ÷ (40 × Σ1.03^t) 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NRC </t>
    </r>
    <r>
      <rPr>
        <sz val="9"/>
        <color rgb="FF595959"/>
        <rFont val="Noto Sans CJK SC"/>
        <family val="2"/>
      </rPr>
      <t xml:space="preserve">未揭露，若 </t>
    </r>
    <r>
      <rPr>
        <sz val="9"/>
        <color rgb="FF595959"/>
        <rFont val="Arial"/>
        <family val="0"/>
        <charset val="1"/>
      </rPr>
      <t xml:space="preserve">NRC&gt;0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年更低）；</t>
    </r>
    <r>
      <rPr>
        <sz val="9"/>
        <color rgb="FF595959"/>
        <rFont val="Arial"/>
        <family val="0"/>
        <charset val="1"/>
      </rPr>
      <t xml:space="preserve">2026 Q3 </t>
    </r>
    <r>
      <rPr>
        <sz val="9"/>
        <color rgb="FF595959"/>
        <rFont val="Noto Sans CJK SC"/>
        <family val="2"/>
      </rPr>
      <t xml:space="preserve">開始計費，前 </t>
    </r>
    <r>
      <rPr>
        <sz val="9"/>
        <color rgb="FF595959"/>
        <rFont val="Arial"/>
        <family val="0"/>
        <charset val="1"/>
      </rPr>
      <t xml:space="preserve">20 MW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2026-08-01 </t>
    </r>
    <r>
      <rPr>
        <sz val="9"/>
        <color rgb="FF595959"/>
        <rFont val="Noto Sans CJK SC"/>
        <family val="2"/>
      </rPr>
      <t xml:space="preserve">起算（評價日後 </t>
    </r>
    <r>
      <rPr>
        <sz val="9"/>
        <color rgb="FF595959"/>
        <rFont val="Arial"/>
        <family val="0"/>
        <charset val="1"/>
      </rPr>
      <t xml:space="preserve">0.083 </t>
    </r>
    <r>
      <rPr>
        <sz val="9"/>
        <color rgb="FF595959"/>
        <rFont val="Noto Sans CJK SC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  <r>
      <rPr>
        <sz val="9"/>
        <color rgb="FF595959"/>
        <rFont val="Noto Sans CJK SC"/>
        <family val="2"/>
      </rPr>
      <t xml:space="preserve">；建置已完成（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在建工程 </t>
    </r>
    <r>
      <rPr>
        <sz val="9"/>
        <color rgb="FF595959"/>
        <rFont val="Arial"/>
        <family val="0"/>
        <charset val="1"/>
      </rPr>
      <t xml:space="preserve">484.6 </t>
    </r>
    <r>
      <rPr>
        <sz val="9"/>
        <color rgb="FF595959"/>
        <rFont val="Noto Sans CJK SC"/>
        <family val="2"/>
      </rPr>
      <t xml:space="preserve">含於託管期初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</si>
  <si>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託管｜</t>
    </r>
    <r>
      <rPr>
        <sz val="10"/>
        <rFont val="Arial"/>
        <family val="0"/>
        <charset val="1"/>
      </rPr>
      <t xml:space="preserve">NC-1 </t>
    </r>
    <r>
      <rPr>
        <sz val="10"/>
        <rFont val="Noto Sans CJK SC"/>
        <family val="2"/>
      </rPr>
      <t xml:space="preserve">第一期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Nscale 20 MW</t>
    </r>
    <r>
      <rPr>
        <sz val="10"/>
        <rFont val="Noto Sans CJK SC"/>
        <family val="2"/>
      </rPr>
      <t xml:space="preserve">）｜建置起（年）／建置訖（年）／隨延誤後移／已簽約</t>
    </r>
  </si>
  <si>
    <r>
      <rPr>
        <sz val="9"/>
        <color rgb="FF595959"/>
        <rFont val="Noto Sans CJK SC"/>
        <family val="2"/>
      </rPr>
      <t xml:space="preserve">時點為評價日起的年數；隨延誤後移＝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時起租加上建設延誤月數 </t>
    </r>
    <r>
      <rPr>
        <sz val="9"/>
        <color rgb="FF595959"/>
        <rFont val="Arial"/>
        <family val="0"/>
        <charset val="1"/>
      </rPr>
      <t xml:space="preserve">÷ 12</t>
    </r>
    <r>
      <rPr>
        <sz val="9"/>
        <color rgb="FF595959"/>
        <rFont val="Noto Sans CJK SC"/>
        <family val="2"/>
      </rPr>
      <t xml:space="preserve">（建置不後移）</t>
    </r>
  </si>
  <si>
    <r>
      <rPr>
        <sz val="10"/>
        <rFont val="Noto Sans CJK SC"/>
        <family val="2"/>
      </rPr>
      <t xml:space="preserve">託管｜</t>
    </r>
    <r>
      <rPr>
        <sz val="10"/>
        <rFont val="Arial"/>
        <family val="0"/>
        <charset val="1"/>
      </rPr>
      <t xml:space="preserve">NC-1 </t>
    </r>
    <r>
      <rPr>
        <sz val="10"/>
        <rFont val="Noto Sans CJK SC"/>
        <family val="2"/>
      </rPr>
      <t xml:space="preserve">第一期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Nscale 20 MW</t>
    </r>
    <r>
      <rPr>
        <sz val="10"/>
        <rFont val="Noto Sans CJK SC"/>
        <family val="2"/>
      </rPr>
      <t xml:space="preserve">）｜情境（保守／基準／積極；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＝納入）</t>
    </r>
  </si>
  <si>
    <r>
      <rPr>
        <sz val="9"/>
        <color rgb="FF595959"/>
        <rFont val="Noto Sans CJK SC"/>
        <family val="2"/>
      </rPr>
      <t xml:space="preserve">依『輸入與假設』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</t>
    </r>
  </si>
  <si>
    <r>
      <rPr>
        <sz val="10"/>
        <rFont val="Noto Sans CJK SC"/>
        <family val="2"/>
      </rPr>
      <t xml:space="preserve">託管｜</t>
    </r>
    <r>
      <rPr>
        <sz val="10"/>
        <rFont val="Arial"/>
        <family val="0"/>
        <charset val="1"/>
      </rPr>
      <t xml:space="preserve">NC-1 </t>
    </r>
    <r>
      <rPr>
        <sz val="10"/>
        <rFont val="Noto Sans CJK SC"/>
        <family val="2"/>
      </rPr>
      <t xml:space="preserve">第一期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Nscale 20 MW</t>
    </r>
    <r>
      <rPr>
        <sz val="10"/>
        <rFont val="Noto Sans CJK SC"/>
        <family val="2"/>
      </rPr>
      <t xml:space="preserve">）｜營收（模型期）</t>
    </r>
  </si>
  <si>
    <r>
      <rPr>
        <sz val="9"/>
        <color rgb="FF595959"/>
        <rFont val="Noto Sans CJK SC"/>
        <family val="2"/>
      </rPr>
      <t xml:space="preserve">＝情境旗標 </t>
    </r>
    <r>
      <rPr>
        <sz val="9"/>
        <color rgb="FF595959"/>
        <rFont val="Arial"/>
        <family val="0"/>
        <charset val="1"/>
      </rPr>
      <t xml:space="preserve">× MW × </t>
    </r>
    <r>
      <rPr>
        <sz val="9"/>
        <color rgb="FF595959"/>
        <rFont val="Noto Sans CJK SC"/>
        <family val="2"/>
      </rPr>
      <t xml:space="preserve">第一年租金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＋年調</t>
    </r>
    <r>
      <rPr>
        <sz val="9"/>
        <color rgb="FF595959"/>
        <rFont val="Arial"/>
        <family val="0"/>
        <charset val="1"/>
      </rPr>
      <t xml:space="preserve">)^(</t>
    </r>
    <r>
      <rPr>
        <sz val="9"/>
        <color rgb="FF595959"/>
        <rFont val="Noto Sans CJK SC"/>
        <family val="2"/>
      </rPr>
      <t xml:space="preserve">期中點 − 起租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期間內在租年數</t>
    </r>
  </si>
  <si>
    <r>
      <rPr>
        <sz val="10"/>
        <rFont val="Noto Sans CJK SC"/>
        <family val="2"/>
      </rPr>
      <t xml:space="preserve">託管｜</t>
    </r>
    <r>
      <rPr>
        <sz val="10"/>
        <rFont val="Arial"/>
        <family val="0"/>
        <charset val="1"/>
      </rPr>
      <t xml:space="preserve">NC-1 </t>
    </r>
    <r>
      <rPr>
        <sz val="10"/>
        <rFont val="Noto Sans CJK SC"/>
        <family val="2"/>
      </rPr>
      <t xml:space="preserve">第一期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Nscale 20 MW</t>
    </r>
    <r>
      <rPr>
        <sz val="10"/>
        <rFont val="Noto Sans CJK SC"/>
        <family val="2"/>
      </rPr>
      <t xml:space="preserve">）｜建置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</si>
  <si>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Noto Sans CJK SC"/>
        <family val="2"/>
      </rPr>
      <t xml:space="preserve">＝建置總額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建置期間落在本期的比例（不隨延誤後移）</t>
    </r>
  </si>
  <si>
    <r>
      <rPr>
        <sz val="10"/>
        <rFont val="Noto Sans CJK SC"/>
        <family val="2"/>
      </rPr>
      <t xml:space="preserve">託管｜</t>
    </r>
    <r>
      <rPr>
        <sz val="10"/>
        <rFont val="Arial"/>
        <family val="0"/>
        <charset val="1"/>
      </rPr>
      <t xml:space="preserve">NC-1 </t>
    </r>
    <r>
      <rPr>
        <sz val="10"/>
        <rFont val="Noto Sans CJK SC"/>
        <family val="2"/>
      </rPr>
      <t xml:space="preserve">第一期 </t>
    </r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Nscale 20 MW</t>
    </r>
    <r>
      <rPr>
        <sz val="10"/>
        <rFont val="Noto Sans CJK SC"/>
        <family val="2"/>
      </rPr>
      <t xml:space="preserve">）｜</t>
    </r>
    <r>
      <rPr>
        <sz val="10"/>
        <rFont val="Arial"/>
        <family val="0"/>
        <charset val="1"/>
      </rPr>
      <t xml:space="preserve">IT MW</t>
    </r>
    <r>
      <rPr>
        <sz val="10"/>
        <rFont val="Noto Sans CJK SC"/>
        <family val="2"/>
      </rPr>
      <t xml:space="preserve">／起租（年）／第一年租金（</t>
    </r>
    <r>
      <rPr>
        <sz val="10"/>
        <rFont val="Arial"/>
        <family val="0"/>
        <charset val="1"/>
      </rPr>
      <t xml:space="preserve">US$m/MW</t>
    </r>
    <r>
      <rPr>
        <sz val="10"/>
        <rFont val="Noto Sans CJK SC"/>
        <family val="2"/>
      </rPr>
      <t xml:space="preserve">）／年調／建置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</si>
  <si>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同上；後 </t>
    </r>
    <r>
      <rPr>
        <sz val="9"/>
        <color rgb="FF595959"/>
        <rFont val="Arial"/>
        <family val="0"/>
        <charset val="1"/>
      </rPr>
      <t xml:space="preserve">20 MW </t>
    </r>
    <r>
      <rPr>
        <sz val="9"/>
        <color rgb="FF595959"/>
        <rFont val="Noto Sans CJK SC"/>
        <family val="2"/>
      </rPr>
      <t xml:space="preserve">於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月底全額計費（</t>
    </r>
    <r>
      <rPr>
        <sz val="9"/>
        <color rgb="FF595959"/>
        <rFont val="Arial"/>
        <family val="0"/>
        <charset val="1"/>
      </rPr>
      <t xml:space="preserve">2026-09-01 </t>
    </r>
    <r>
      <rPr>
        <sz val="9"/>
        <color rgb="FF595959"/>
        <rFont val="Noto Sans CJK SC"/>
        <family val="2"/>
      </rPr>
      <t xml:space="preserve">起算，評價日後 </t>
    </r>
    <r>
      <rPr>
        <sz val="9"/>
        <color rgb="FF595959"/>
        <rFont val="Arial"/>
        <family val="0"/>
        <charset val="1"/>
      </rPr>
      <t xml:space="preserve">0.167 </t>
    </r>
    <r>
      <rPr>
        <sz val="9"/>
        <color rgb="FF595959"/>
        <rFont val="Noto Sans CJK SC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</si>
  <si>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託管｜</t>
    </r>
    <r>
      <rPr>
        <sz val="10"/>
        <rFont val="Arial"/>
        <family val="0"/>
        <charset val="1"/>
      </rPr>
      <t xml:space="preserve">NC-1 </t>
    </r>
    <r>
      <rPr>
        <sz val="10"/>
        <rFont val="Noto Sans CJK SC"/>
        <family val="2"/>
      </rPr>
      <t xml:space="preserve">第一期 </t>
    </r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Nscale 20 MW</t>
    </r>
    <r>
      <rPr>
        <sz val="10"/>
        <rFont val="Noto Sans CJK SC"/>
        <family val="2"/>
      </rPr>
      <t xml:space="preserve">）｜建置起（年）／建置訖（年）／隨延誤後移／已簽約</t>
    </r>
  </si>
  <si>
    <r>
      <rPr>
        <sz val="10"/>
        <rFont val="Noto Sans CJK SC"/>
        <family val="2"/>
      </rPr>
      <t xml:space="preserve">託管｜</t>
    </r>
    <r>
      <rPr>
        <sz val="10"/>
        <rFont val="Arial"/>
        <family val="0"/>
        <charset val="1"/>
      </rPr>
      <t xml:space="preserve">NC-1 </t>
    </r>
    <r>
      <rPr>
        <sz val="10"/>
        <rFont val="Noto Sans CJK SC"/>
        <family val="2"/>
      </rPr>
      <t xml:space="preserve">第一期 </t>
    </r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Nscale 20 MW</t>
    </r>
    <r>
      <rPr>
        <sz val="10"/>
        <rFont val="Noto Sans CJK SC"/>
        <family val="2"/>
      </rPr>
      <t xml:space="preserve">）｜情境（保守／基準／積極；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＝納入）</t>
    </r>
  </si>
  <si>
    <r>
      <rPr>
        <sz val="10"/>
        <rFont val="Noto Sans CJK SC"/>
        <family val="2"/>
      </rPr>
      <t xml:space="preserve">託管｜</t>
    </r>
    <r>
      <rPr>
        <sz val="10"/>
        <rFont val="Arial"/>
        <family val="0"/>
        <charset val="1"/>
      </rPr>
      <t xml:space="preserve">NC-1 </t>
    </r>
    <r>
      <rPr>
        <sz val="10"/>
        <rFont val="Noto Sans CJK SC"/>
        <family val="2"/>
      </rPr>
      <t xml:space="preserve">第一期 </t>
    </r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Nscale 20 MW</t>
    </r>
    <r>
      <rPr>
        <sz val="10"/>
        <rFont val="Noto Sans CJK SC"/>
        <family val="2"/>
      </rPr>
      <t xml:space="preserve">）｜營收（模型期）</t>
    </r>
  </si>
  <si>
    <r>
      <rPr>
        <sz val="10"/>
        <rFont val="Noto Sans CJK SC"/>
        <family val="2"/>
      </rPr>
      <t xml:space="preserve">託管｜</t>
    </r>
    <r>
      <rPr>
        <sz val="10"/>
        <rFont val="Arial"/>
        <family val="0"/>
        <charset val="1"/>
      </rPr>
      <t xml:space="preserve">NC-1 </t>
    </r>
    <r>
      <rPr>
        <sz val="10"/>
        <rFont val="Noto Sans CJK SC"/>
        <family val="2"/>
      </rPr>
      <t xml:space="preserve">第一期 </t>
    </r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Nscale 20 MW</t>
    </r>
    <r>
      <rPr>
        <sz val="10"/>
        <rFont val="Noto Sans CJK SC"/>
        <family val="2"/>
      </rPr>
      <t xml:space="preserve">）｜建置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（模型期）</t>
    </r>
  </si>
  <si>
    <r>
      <rPr>
        <sz val="10"/>
        <rFont val="Noto Sans CJK SC"/>
        <family val="2"/>
      </rPr>
      <t xml:space="preserve">託管｜</t>
    </r>
    <r>
      <rPr>
        <sz val="10"/>
        <rFont val="Arial"/>
        <family val="0"/>
        <charset val="1"/>
      </rPr>
      <t xml:space="preserve">MTL-3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Cerebras 5 MW</t>
    </r>
    <r>
      <rPr>
        <sz val="10"/>
        <rFont val="Noto Sans CJK SC"/>
        <family val="2"/>
      </rPr>
      <t xml:space="preserve">）｜</t>
    </r>
    <r>
      <rPr>
        <sz val="10"/>
        <rFont val="Arial"/>
        <family val="0"/>
        <charset val="1"/>
      </rPr>
      <t xml:space="preserve">IT MW</t>
    </r>
    <r>
      <rPr>
        <sz val="10"/>
        <rFont val="Noto Sans CJK SC"/>
        <family val="2"/>
      </rPr>
      <t xml:space="preserve">／起租（年）／第一年租金（</t>
    </r>
    <r>
      <rPr>
        <sz val="10"/>
        <rFont val="Arial"/>
        <family val="0"/>
        <charset val="1"/>
      </rPr>
      <t xml:space="preserve">US$m/MW</t>
    </r>
    <r>
      <rPr>
        <sz val="10"/>
        <rFont val="Noto Sans CJK SC"/>
        <family val="2"/>
      </rPr>
      <t xml:space="preserve">）／年調／建置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</si>
  <si>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Cerebras 5 </t>
    </r>
    <r>
      <rPr>
        <sz val="9"/>
        <color rgb="FF595959"/>
        <rFont val="Noto Sans CJK SC"/>
        <family val="2"/>
      </rPr>
      <t xml:space="preserve">年約、每月 </t>
    </r>
    <r>
      <rPr>
        <sz val="9"/>
        <color rgb="FF595959"/>
        <rFont val="Arial"/>
        <family val="0"/>
        <charset val="1"/>
      </rPr>
      <t xml:space="preserve">CAD 1.4</t>
    </r>
    <r>
      <rPr>
        <sz val="9"/>
        <color rgb="FF595959"/>
        <rFont val="Noto Sans CJK SC"/>
        <family val="2"/>
      </rPr>
      <t xml:space="preserve">（約 </t>
    </r>
    <r>
      <rPr>
        <sz val="9"/>
        <color rgb="FF595959"/>
        <rFont val="Arial"/>
        <family val="0"/>
        <charset val="1"/>
      </rPr>
      <t xml:space="preserve">USD 0.979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11.75</t>
    </r>
    <r>
      <rPr>
        <sz val="9"/>
        <color rgb="FF595959"/>
        <rFont val="Noto Sans CJK SC"/>
        <family val="2"/>
      </rPr>
      <t xml:space="preserve">／年 </t>
    </r>
    <r>
      <rPr>
        <sz val="9"/>
        <color rgb="FF595959"/>
        <rFont val="Arial"/>
        <family val="0"/>
        <charset val="1"/>
      </rPr>
      <t xml:space="preserve">÷ 5 MW-IT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2.35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2025-11 </t>
    </r>
    <r>
      <rPr>
        <sz val="9"/>
        <color rgb="FF595959"/>
        <rFont val="Noto Sans CJK SC"/>
        <family val="2"/>
      </rPr>
      <t xml:space="preserve">起計費；年調未揭露，取 </t>
    </r>
    <r>
      <rPr>
        <sz val="9"/>
        <color rgb="FF595959"/>
        <rFont val="Arial"/>
        <family val="0"/>
        <charset val="1"/>
      </rPr>
      <t xml:space="preserve">0 [Interested-party]</t>
    </r>
  </si>
  <si>
    <r>
      <rPr>
        <sz val="10"/>
        <rFont val="Noto Sans CJK SC"/>
        <family val="2"/>
      </rPr>
      <t xml:space="preserve">託管｜</t>
    </r>
    <r>
      <rPr>
        <sz val="10"/>
        <rFont val="Arial"/>
        <family val="0"/>
        <charset val="1"/>
      </rPr>
      <t xml:space="preserve">MTL-3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Cerebras 5 MW</t>
    </r>
    <r>
      <rPr>
        <sz val="10"/>
        <rFont val="Noto Sans CJK SC"/>
        <family val="2"/>
      </rPr>
      <t xml:space="preserve">）｜建置起（年）／建置訖（年）／隨延誤後移／已簽約</t>
    </r>
  </si>
  <si>
    <r>
      <rPr>
        <sz val="10"/>
        <rFont val="Noto Sans CJK SC"/>
        <family val="2"/>
      </rPr>
      <t xml:space="preserve">託管｜</t>
    </r>
    <r>
      <rPr>
        <sz val="10"/>
        <rFont val="Arial"/>
        <family val="0"/>
        <charset val="1"/>
      </rPr>
      <t xml:space="preserve">MTL-3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Cerebras 5 MW</t>
    </r>
    <r>
      <rPr>
        <sz val="10"/>
        <rFont val="Noto Sans CJK SC"/>
        <family val="2"/>
      </rPr>
      <t xml:space="preserve">）｜情境（保守／基準／積極；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＝納入）</t>
    </r>
  </si>
  <si>
    <r>
      <rPr>
        <sz val="10"/>
        <rFont val="Noto Sans CJK SC"/>
        <family val="2"/>
      </rPr>
      <t xml:space="preserve">託管｜</t>
    </r>
    <r>
      <rPr>
        <sz val="10"/>
        <rFont val="Arial"/>
        <family val="0"/>
        <charset val="1"/>
      </rPr>
      <t xml:space="preserve">MTL-3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Cerebras 5 MW</t>
    </r>
    <r>
      <rPr>
        <sz val="10"/>
        <rFont val="Noto Sans CJK SC"/>
        <family val="2"/>
      </rPr>
      <t xml:space="preserve">）｜營收（模型期）</t>
    </r>
  </si>
  <si>
    <r>
      <rPr>
        <sz val="10"/>
        <rFont val="Noto Sans CJK SC"/>
        <family val="2"/>
      </rPr>
      <t xml:space="preserve">託管｜</t>
    </r>
    <r>
      <rPr>
        <sz val="10"/>
        <rFont val="Arial"/>
        <family val="0"/>
        <charset val="1"/>
      </rPr>
      <t xml:space="preserve">MTL-3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Cerebras 5 MW</t>
    </r>
    <r>
      <rPr>
        <sz val="10"/>
        <rFont val="Noto Sans CJK SC"/>
        <family val="2"/>
      </rPr>
      <t xml:space="preserve">）｜建置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（模型期）</t>
    </r>
  </si>
  <si>
    <r>
      <rPr>
        <sz val="10"/>
        <rFont val="Noto Sans CJK SC"/>
        <family val="2"/>
      </rPr>
      <t xml:space="preserve">託管｜</t>
    </r>
    <r>
      <rPr>
        <sz val="10"/>
        <rFont val="Arial"/>
        <family val="0"/>
        <charset val="1"/>
      </rPr>
      <t xml:space="preserve">MTL-1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3 MW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14 </t>
    </r>
    <r>
      <rPr>
        <sz val="10"/>
        <rFont val="Noto Sans CJK SC"/>
        <family val="2"/>
      </rPr>
      <t xml:space="preserve">家客戶）｜</t>
    </r>
    <r>
      <rPr>
        <sz val="10"/>
        <rFont val="Arial"/>
        <family val="0"/>
        <charset val="1"/>
      </rPr>
      <t xml:space="preserve">IT MW</t>
    </r>
    <r>
      <rPr>
        <sz val="10"/>
        <rFont val="Noto Sans CJK SC"/>
        <family val="2"/>
      </rPr>
      <t xml:space="preserve">／起租（年）／第一年租金（</t>
    </r>
    <r>
      <rPr>
        <sz val="10"/>
        <rFont val="Arial"/>
        <family val="0"/>
        <charset val="1"/>
      </rPr>
      <t xml:space="preserve">US$m/MW</t>
    </r>
    <r>
      <rPr>
        <sz val="10"/>
        <rFont val="Noto Sans CJK SC"/>
        <family val="2"/>
      </rPr>
      <t xml:space="preserve">）／年調／建置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</si>
  <si>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已簽約、平均合約約 </t>
    </r>
    <r>
      <rPr>
        <sz val="9"/>
        <color rgb="FF595959"/>
        <rFont val="Arial"/>
        <family val="0"/>
        <charset val="1"/>
      </rPr>
      <t xml:space="preserve">2.5 </t>
    </r>
    <r>
      <rPr>
        <sz val="9"/>
        <color rgb="FF595959"/>
        <rFont val="Noto Sans CJK SC"/>
        <family val="2"/>
      </rPr>
      <t xml:space="preserve">年；每 </t>
    </r>
    <r>
      <rPr>
        <sz val="9"/>
        <color rgb="FF595959"/>
        <rFont val="Arial"/>
        <family val="0"/>
        <charset val="1"/>
      </rPr>
      <t xml:space="preserve">MW 2.38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(Q2 </t>
    </r>
    <r>
      <rPr>
        <sz val="9"/>
        <color rgb="FF595959"/>
        <rFont val="Noto Sans CJK SC"/>
        <family val="2"/>
      </rPr>
      <t xml:space="preserve">託管營收 </t>
    </r>
    <r>
      <rPr>
        <sz val="9"/>
        <color rgb="FF595959"/>
        <rFont val="Arial"/>
        <family val="0"/>
        <charset val="1"/>
      </rPr>
      <t xml:space="preserve">4.726 − MTL-3 2.94) × 4 ÷ 3 [Derived]</t>
    </r>
    <r>
      <rPr>
        <sz val="9"/>
        <color rgb="FF595959"/>
        <rFont val="Noto Sans CJK SC"/>
        <family val="2"/>
      </rPr>
      <t xml:space="preserve">；到期以同價續約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</si>
  <si>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託管｜</t>
    </r>
    <r>
      <rPr>
        <sz val="10"/>
        <rFont val="Arial"/>
        <family val="0"/>
        <charset val="1"/>
      </rPr>
      <t xml:space="preserve">MTL-1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3 MW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14 </t>
    </r>
    <r>
      <rPr>
        <sz val="10"/>
        <rFont val="Noto Sans CJK SC"/>
        <family val="2"/>
      </rPr>
      <t xml:space="preserve">家客戶）｜建置起（年）／建置訖（年）／隨延誤後移／已簽約</t>
    </r>
  </si>
  <si>
    <r>
      <rPr>
        <sz val="10"/>
        <rFont val="Noto Sans CJK SC"/>
        <family val="2"/>
      </rPr>
      <t xml:space="preserve">託管｜</t>
    </r>
    <r>
      <rPr>
        <sz val="10"/>
        <rFont val="Arial"/>
        <family val="0"/>
        <charset val="1"/>
      </rPr>
      <t xml:space="preserve">MTL-1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3 MW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14 </t>
    </r>
    <r>
      <rPr>
        <sz val="10"/>
        <rFont val="Noto Sans CJK SC"/>
        <family val="2"/>
      </rPr>
      <t xml:space="preserve">家客戶）｜情境（保守／基準／積極；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＝納入）</t>
    </r>
  </si>
  <si>
    <r>
      <rPr>
        <sz val="10"/>
        <rFont val="Noto Sans CJK SC"/>
        <family val="2"/>
      </rPr>
      <t xml:space="preserve">託管｜</t>
    </r>
    <r>
      <rPr>
        <sz val="10"/>
        <rFont val="Arial"/>
        <family val="0"/>
        <charset val="1"/>
      </rPr>
      <t xml:space="preserve">MTL-1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3 MW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14 </t>
    </r>
    <r>
      <rPr>
        <sz val="10"/>
        <rFont val="Noto Sans CJK SC"/>
        <family val="2"/>
      </rPr>
      <t xml:space="preserve">家客戶）｜營收（模型期）</t>
    </r>
  </si>
  <si>
    <r>
      <rPr>
        <sz val="10"/>
        <rFont val="Noto Sans CJK SC"/>
        <family val="2"/>
      </rPr>
      <t xml:space="preserve">託管｜</t>
    </r>
    <r>
      <rPr>
        <sz val="10"/>
        <rFont val="Arial"/>
        <family val="0"/>
        <charset val="1"/>
      </rPr>
      <t xml:space="preserve">MTL-1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3 MW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14 </t>
    </r>
    <r>
      <rPr>
        <sz val="10"/>
        <rFont val="Noto Sans CJK SC"/>
        <family val="2"/>
      </rPr>
      <t xml:space="preserve">家客戶）｜建置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（模型期）</t>
    </r>
  </si>
  <si>
    <r>
      <rPr>
        <sz val="10"/>
        <rFont val="Noto Sans CJK SC"/>
        <family val="2"/>
      </rPr>
      <t xml:space="preserve">託管｜</t>
    </r>
    <r>
      <rPr>
        <sz val="10"/>
        <rFont val="Arial"/>
        <family val="0"/>
        <charset val="1"/>
      </rPr>
      <t xml:space="preserve">MTL-2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3 MW-IT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年底）｜</t>
    </r>
    <r>
      <rPr>
        <sz val="10"/>
        <rFont val="Arial"/>
        <family val="0"/>
        <charset val="1"/>
      </rPr>
      <t xml:space="preserve">IT MW</t>
    </r>
    <r>
      <rPr>
        <sz val="10"/>
        <rFont val="Noto Sans CJK SC"/>
        <family val="2"/>
      </rPr>
      <t xml:space="preserve">／起租（年）／第一年租金（</t>
    </r>
    <r>
      <rPr>
        <sz val="10"/>
        <rFont val="Arial"/>
        <family val="0"/>
        <charset val="1"/>
      </rPr>
      <t xml:space="preserve">US$m/MW</t>
    </r>
    <r>
      <rPr>
        <sz val="10"/>
        <rFont val="Noto Sans CJK SC"/>
        <family val="2"/>
      </rPr>
      <t xml:space="preserve">）／年調／建置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</si>
  <si>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毛／</t>
    </r>
    <r>
      <rPr>
        <sz val="9"/>
        <color rgb="FF595959"/>
        <rFont val="Arial"/>
        <family val="0"/>
        <charset val="1"/>
      </rPr>
      <t xml:space="preserve">3 IT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Q3 </t>
    </r>
    <r>
      <rPr>
        <sz val="9"/>
        <color rgb="FF595959"/>
        <rFont val="Noto Sans CJK SC"/>
        <family val="2"/>
      </rPr>
      <t xml:space="preserve">啟動初期施工、目標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年底完工；建置估 </t>
    </r>
    <r>
      <rPr>
        <sz val="9"/>
        <color rgb="FF595959"/>
        <rFont val="Arial"/>
        <family val="0"/>
        <charset val="1"/>
      </rPr>
      <t xml:space="preserve">23.6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）；客戶未定 → 租金取可比區間中點 </t>
    </r>
    <r>
      <rPr>
        <sz val="9"/>
        <color rgb="FF595959"/>
        <rFont val="Arial"/>
        <family val="0"/>
        <charset val="1"/>
      </rPr>
      <t xml:space="preserve">1.85 [Analogy]</t>
    </r>
    <r>
      <rPr>
        <sz val="9"/>
        <color rgb="FF595959"/>
        <rFont val="Noto Sans CJK SC"/>
        <family val="2"/>
      </rPr>
      <t xml:space="preserve">；保守情境不納入（未簽約）</t>
    </r>
  </si>
  <si>
    <r>
      <rPr>
        <sz val="10"/>
        <rFont val="Noto Sans CJK SC"/>
        <family val="2"/>
      </rPr>
      <t xml:space="preserve">託管｜</t>
    </r>
    <r>
      <rPr>
        <sz val="10"/>
        <rFont val="Arial"/>
        <family val="0"/>
        <charset val="1"/>
      </rPr>
      <t xml:space="preserve">MTL-2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3 MW-IT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年底）｜建置起（年）／建置訖（年）／隨延誤後移／已簽約</t>
    </r>
  </si>
  <si>
    <r>
      <rPr>
        <sz val="10"/>
        <rFont val="Noto Sans CJK SC"/>
        <family val="2"/>
      </rPr>
      <t xml:space="preserve">託管｜</t>
    </r>
    <r>
      <rPr>
        <sz val="10"/>
        <rFont val="Arial"/>
        <family val="0"/>
        <charset val="1"/>
      </rPr>
      <t xml:space="preserve">MTL-2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3 MW-IT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年底）｜情境（保守／基準／積極；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＝納入）</t>
    </r>
  </si>
  <si>
    <r>
      <rPr>
        <sz val="10"/>
        <rFont val="Noto Sans CJK SC"/>
        <family val="2"/>
      </rPr>
      <t xml:space="preserve">託管｜</t>
    </r>
    <r>
      <rPr>
        <sz val="10"/>
        <rFont val="Arial"/>
        <family val="0"/>
        <charset val="1"/>
      </rPr>
      <t xml:space="preserve">MTL-2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3 MW-IT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年底）｜營收（模型期）</t>
    </r>
  </si>
  <si>
    <r>
      <rPr>
        <sz val="10"/>
        <rFont val="Noto Sans CJK SC"/>
        <family val="2"/>
      </rPr>
      <t xml:space="preserve">託管｜</t>
    </r>
    <r>
      <rPr>
        <sz val="10"/>
        <rFont val="Arial"/>
        <family val="0"/>
        <charset val="1"/>
      </rPr>
      <t xml:space="preserve">MTL-2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3 MW-IT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年底）｜建置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（模型期）</t>
    </r>
  </si>
  <si>
    <r>
      <rPr>
        <sz val="10"/>
        <rFont val="Noto Sans CJK SC"/>
        <family val="2"/>
      </rPr>
      <t xml:space="preserve">託管｜</t>
    </r>
    <r>
      <rPr>
        <sz val="10"/>
        <rFont val="Arial"/>
        <family val="0"/>
        <charset val="1"/>
      </rPr>
      <t xml:space="preserve">NC-1 </t>
    </r>
    <r>
      <rPr>
        <sz val="10"/>
        <rFont val="Noto Sans CJK SC"/>
        <family val="2"/>
      </rPr>
      <t xml:space="preserve">下一批（</t>
    </r>
    <r>
      <rPr>
        <sz val="10"/>
        <rFont val="Arial"/>
        <family val="0"/>
        <charset val="1"/>
      </rPr>
      <t xml:space="preserve">45 </t>
    </r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MW ÷ 1.35</t>
    </r>
    <r>
      <rPr>
        <sz val="10"/>
        <rFont val="Noto Sans CJK SC"/>
        <family val="2"/>
      </rPr>
      <t xml:space="preserve">）｜</t>
    </r>
    <r>
      <rPr>
        <sz val="10"/>
        <rFont val="Arial"/>
        <family val="0"/>
        <charset val="1"/>
      </rPr>
      <t xml:space="preserve">IT MW</t>
    </r>
    <r>
      <rPr>
        <sz val="10"/>
        <rFont val="Noto Sans CJK SC"/>
        <family val="2"/>
      </rPr>
      <t xml:space="preserve">／起租（年）／第一年租金（</t>
    </r>
    <r>
      <rPr>
        <sz val="10"/>
        <rFont val="Arial"/>
        <family val="0"/>
        <charset val="1"/>
      </rPr>
      <t xml:space="preserve">US$m/MW</t>
    </r>
    <r>
      <rPr>
        <sz val="10"/>
        <rFont val="Noto Sans CJK SC"/>
        <family val="2"/>
      </rPr>
      <t xml:space="preserve">）／年調／建置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</si>
  <si>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Duke </t>
    </r>
    <r>
      <rPr>
        <sz val="9"/>
        <color rgb="FF595959"/>
        <rFont val="Noto Sans CJK SC"/>
        <family val="2"/>
      </rPr>
      <t xml:space="preserve">容量協議下一批 </t>
    </r>
    <r>
      <rPr>
        <sz val="9"/>
        <color rgb="FF595959"/>
        <rFont val="Arial"/>
        <family val="0"/>
        <charset val="1"/>
      </rPr>
      <t xml:space="preserve">45 </t>
    </r>
    <r>
      <rPr>
        <sz val="9"/>
        <color rgb="FF595959"/>
        <rFont val="Noto Sans CJK SC"/>
        <family val="2"/>
      </rPr>
      <t xml:space="preserve">毛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÷1.35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33.33 MW-IT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Nscale </t>
    </r>
    <r>
      <rPr>
        <sz val="9"/>
        <color rgb="FF595959"/>
        <rFont val="Noto Sans CJK SC"/>
        <family val="2"/>
      </rPr>
      <t xml:space="preserve">有優先權）；</t>
    </r>
    <r>
      <rPr>
        <sz val="9"/>
        <color rgb="FF595959"/>
        <rFont val="Arial"/>
        <family val="0"/>
        <charset val="1"/>
      </rPr>
      <t xml:space="preserve">2028-01 </t>
    </r>
    <r>
      <rPr>
        <sz val="9"/>
        <color rgb="FF595959"/>
        <rFont val="Noto Sans CJK SC"/>
        <family val="2"/>
      </rPr>
      <t xml:space="preserve">起租（評價日後 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年，對照表「</t>
    </r>
    <r>
      <rPr>
        <sz val="9"/>
        <color rgb="FF595959"/>
        <rFont val="Arial"/>
        <family val="0"/>
        <charset val="1"/>
      </rPr>
      <t xml:space="preserve">2027–28 </t>
    </r>
    <r>
      <rPr>
        <sz val="9"/>
        <color rgb="FF595959"/>
        <rFont val="Noto Sans CJK SC"/>
        <family val="2"/>
      </rPr>
      <t xml:space="preserve">起租」）；租金 </t>
    </r>
    <r>
      <rPr>
        <sz val="9"/>
        <color rgb="FF595959"/>
        <rFont val="Arial"/>
        <family val="0"/>
        <charset val="1"/>
      </rPr>
      <t xml:space="preserve">1.85</t>
    </r>
    <r>
      <rPr>
        <sz val="9"/>
        <color rgb="FF595959"/>
        <rFont val="Noto Sans CJK SC"/>
        <family val="2"/>
      </rPr>
      <t xml:space="preserve">（可比區間中點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）；建置 </t>
    </r>
    <r>
      <rPr>
        <sz val="9"/>
        <color rgb="FF595959"/>
        <rFont val="Arial"/>
        <family val="0"/>
        <charset val="1"/>
      </rPr>
      <t xml:space="preserve">11.5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MW-IT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9.0–13.5 [Analogy]</t>
    </r>
    <r>
      <rPr>
        <sz val="9"/>
        <color rgb="FF595959"/>
        <rFont val="Noto Sans CJK SC"/>
        <family val="2"/>
      </rPr>
      <t xml:space="preserve">）於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年支出</t>
    </r>
  </si>
  <si>
    <r>
      <rPr>
        <sz val="10"/>
        <rFont val="Noto Sans CJK SC"/>
        <family val="2"/>
      </rPr>
      <t xml:space="preserve">託管｜</t>
    </r>
    <r>
      <rPr>
        <sz val="10"/>
        <rFont val="Arial"/>
        <family val="0"/>
        <charset val="1"/>
      </rPr>
      <t xml:space="preserve">NC-1 </t>
    </r>
    <r>
      <rPr>
        <sz val="10"/>
        <rFont val="Noto Sans CJK SC"/>
        <family val="2"/>
      </rPr>
      <t xml:space="preserve">下一批（</t>
    </r>
    <r>
      <rPr>
        <sz val="10"/>
        <rFont val="Arial"/>
        <family val="0"/>
        <charset val="1"/>
      </rPr>
      <t xml:space="preserve">45 </t>
    </r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MW ÷ 1.35</t>
    </r>
    <r>
      <rPr>
        <sz val="10"/>
        <rFont val="Noto Sans CJK SC"/>
        <family val="2"/>
      </rPr>
      <t xml:space="preserve">）｜建置起（年）／建置訖（年）／隨延誤後移／已簽約</t>
    </r>
  </si>
  <si>
    <r>
      <rPr>
        <sz val="10"/>
        <rFont val="Noto Sans CJK SC"/>
        <family val="2"/>
      </rPr>
      <t xml:space="preserve">託管｜</t>
    </r>
    <r>
      <rPr>
        <sz val="10"/>
        <rFont val="Arial"/>
        <family val="0"/>
        <charset val="1"/>
      </rPr>
      <t xml:space="preserve">NC-1 </t>
    </r>
    <r>
      <rPr>
        <sz val="10"/>
        <rFont val="Noto Sans CJK SC"/>
        <family val="2"/>
      </rPr>
      <t xml:space="preserve">下一批（</t>
    </r>
    <r>
      <rPr>
        <sz val="10"/>
        <rFont val="Arial"/>
        <family val="0"/>
        <charset val="1"/>
      </rPr>
      <t xml:space="preserve">45 </t>
    </r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MW ÷ 1.35</t>
    </r>
    <r>
      <rPr>
        <sz val="10"/>
        <rFont val="Noto Sans CJK SC"/>
        <family val="2"/>
      </rPr>
      <t xml:space="preserve">）｜情境（保守／基準／積極；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＝納入）</t>
    </r>
  </si>
  <si>
    <r>
      <rPr>
        <sz val="10"/>
        <rFont val="Noto Sans CJK SC"/>
        <family val="2"/>
      </rPr>
      <t xml:space="preserve">託管｜</t>
    </r>
    <r>
      <rPr>
        <sz val="10"/>
        <rFont val="Arial"/>
        <family val="0"/>
        <charset val="1"/>
      </rPr>
      <t xml:space="preserve">NC-1 </t>
    </r>
    <r>
      <rPr>
        <sz val="10"/>
        <rFont val="Noto Sans CJK SC"/>
        <family val="2"/>
      </rPr>
      <t xml:space="preserve">下一批（</t>
    </r>
    <r>
      <rPr>
        <sz val="10"/>
        <rFont val="Arial"/>
        <family val="0"/>
        <charset val="1"/>
      </rPr>
      <t xml:space="preserve">45 </t>
    </r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MW ÷ 1.35</t>
    </r>
    <r>
      <rPr>
        <sz val="10"/>
        <rFont val="Noto Sans CJK SC"/>
        <family val="2"/>
      </rPr>
      <t xml:space="preserve">）｜營收（模型期）</t>
    </r>
  </si>
  <si>
    <r>
      <rPr>
        <sz val="10"/>
        <rFont val="Noto Sans CJK SC"/>
        <family val="2"/>
      </rPr>
      <t xml:space="preserve">託管｜</t>
    </r>
    <r>
      <rPr>
        <sz val="10"/>
        <rFont val="Arial"/>
        <family val="0"/>
        <charset val="1"/>
      </rPr>
      <t xml:space="preserve">NC-1 </t>
    </r>
    <r>
      <rPr>
        <sz val="10"/>
        <rFont val="Noto Sans CJK SC"/>
        <family val="2"/>
      </rPr>
      <t xml:space="preserve">下一批（</t>
    </r>
    <r>
      <rPr>
        <sz val="10"/>
        <rFont val="Arial"/>
        <family val="0"/>
        <charset val="1"/>
      </rPr>
      <t xml:space="preserve">45 </t>
    </r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MW ÷ 1.35</t>
    </r>
    <r>
      <rPr>
        <sz val="10"/>
        <rFont val="Noto Sans CJK SC"/>
        <family val="2"/>
      </rPr>
      <t xml:space="preserve">）｜建置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（模型期）</t>
    </r>
  </si>
  <si>
    <r>
      <rPr>
        <sz val="10"/>
        <rFont val="Noto Sans CJK SC"/>
        <family val="2"/>
      </rPr>
      <t xml:space="preserve">託管｜</t>
    </r>
    <r>
      <rPr>
        <sz val="10"/>
        <rFont val="Arial"/>
        <family val="0"/>
        <charset val="1"/>
      </rPr>
      <t xml:space="preserve">NC-2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60 </t>
    </r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起 </t>
    </r>
    <r>
      <rPr>
        <sz val="10"/>
        <rFont val="Arial"/>
        <family val="0"/>
        <charset val="1"/>
      </rPr>
      <t xml:space="preserve">÷ 1.35</t>
    </r>
    <r>
      <rPr>
        <sz val="10"/>
        <rFont val="Noto Sans CJK SC"/>
        <family val="2"/>
      </rPr>
      <t xml:space="preserve">）｜</t>
    </r>
    <r>
      <rPr>
        <sz val="10"/>
        <rFont val="Arial"/>
        <family val="0"/>
        <charset val="1"/>
      </rPr>
      <t xml:space="preserve">IT MW</t>
    </r>
    <r>
      <rPr>
        <sz val="10"/>
        <rFont val="Noto Sans CJK SC"/>
        <family val="2"/>
      </rPr>
      <t xml:space="preserve">／起租（年）／第一年租金（</t>
    </r>
    <r>
      <rPr>
        <sz val="10"/>
        <rFont val="Arial"/>
        <family val="0"/>
        <charset val="1"/>
      </rPr>
      <t xml:space="preserve">US$m/MW</t>
    </r>
    <r>
      <rPr>
        <sz val="10"/>
        <rFont val="Noto Sans CJK SC"/>
        <family val="2"/>
      </rPr>
      <t xml:space="preserve">）／年調／建置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</si>
  <si>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北卡 </t>
    </r>
    <r>
      <rPr>
        <sz val="9"/>
        <color rgb="FF595959"/>
        <rFont val="Arial"/>
        <family val="0"/>
        <charset val="1"/>
      </rPr>
      <t xml:space="preserve">Yadkin County </t>
    </r>
    <r>
      <rPr>
        <sz val="9"/>
        <color rgb="FF595959"/>
        <rFont val="Noto Sans CJK SC"/>
        <family val="2"/>
      </rPr>
      <t xml:space="preserve">兩處（買賣協議 </t>
    </r>
    <r>
      <rPr>
        <sz val="9"/>
        <color rgb="FF595959"/>
        <rFont val="Arial"/>
        <family val="0"/>
        <charset val="1"/>
      </rPr>
      <t xml:space="preserve">60.0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 Q4 </t>
    </r>
    <r>
      <rPr>
        <sz val="9"/>
        <color rgb="FF595959"/>
        <rFont val="Noto Sans CJK SC"/>
        <family val="2"/>
      </rPr>
      <t xml:space="preserve">交割、</t>
    </r>
    <r>
      <rPr>
        <sz val="9"/>
        <color rgb="FF595959"/>
        <rFont val="Arial"/>
        <family val="0"/>
        <charset val="1"/>
      </rPr>
      <t xml:space="preserve">2027 Q3 RFS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毛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起、最多 </t>
    </r>
    <r>
      <rPr>
        <sz val="9"/>
        <color rgb="FF595959"/>
        <rFont val="Arial"/>
        <family val="0"/>
        <charset val="1"/>
      </rPr>
      <t xml:space="preserve">198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44.44 MW-IT</t>
    </r>
    <r>
      <rPr>
        <sz val="9"/>
        <color rgb="FF595959"/>
        <rFont val="Noto Sans CJK SC"/>
        <family val="2"/>
      </rPr>
      <t xml:space="preserve">；租金 </t>
    </r>
    <r>
      <rPr>
        <sz val="9"/>
        <color rgb="FF595959"/>
        <rFont val="Arial"/>
        <family val="0"/>
        <charset val="1"/>
      </rPr>
      <t xml:space="preserve">1.85 [Analogy]</t>
    </r>
    <r>
      <rPr>
        <sz val="9"/>
        <color rgb="FF595959"/>
        <rFont val="Noto Sans CJK SC"/>
        <family val="2"/>
      </rPr>
      <t xml:space="preserve">；資本支出＝土地 </t>
    </r>
    <r>
      <rPr>
        <sz val="9"/>
        <color rgb="FF595959"/>
        <rFont val="Arial"/>
        <family val="0"/>
        <charset val="1"/>
      </rPr>
      <t xml:space="preserve">60.0</t>
    </r>
    <r>
      <rPr>
        <sz val="9"/>
        <color rgb="FF595959"/>
        <rFont val="Noto Sans CJK SC"/>
        <family val="2"/>
      </rPr>
      <t xml:space="preserve">＋建置 </t>
    </r>
    <r>
      <rPr>
        <sz val="9"/>
        <color rgb="FF595959"/>
        <rFont val="Arial"/>
        <family val="0"/>
        <charset val="1"/>
      </rPr>
      <t xml:space="preserve">11.5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MW-IT</t>
    </r>
    <r>
      <rPr>
        <sz val="9"/>
        <color rgb="FF595959"/>
        <rFont val="Noto Sans CJK SC"/>
        <family val="2"/>
      </rPr>
      <t xml:space="preserve">；只放積極（審查留言第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條）</t>
    </r>
  </si>
  <si>
    <r>
      <rPr>
        <sz val="10"/>
        <rFont val="Noto Sans CJK SC"/>
        <family val="2"/>
      </rPr>
      <t xml:space="preserve">託管｜</t>
    </r>
    <r>
      <rPr>
        <sz val="10"/>
        <rFont val="Arial"/>
        <family val="0"/>
        <charset val="1"/>
      </rPr>
      <t xml:space="preserve">NC-2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60 </t>
    </r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起 </t>
    </r>
    <r>
      <rPr>
        <sz val="10"/>
        <rFont val="Arial"/>
        <family val="0"/>
        <charset val="1"/>
      </rPr>
      <t xml:space="preserve">÷ 1.35</t>
    </r>
    <r>
      <rPr>
        <sz val="10"/>
        <rFont val="Noto Sans CJK SC"/>
        <family val="2"/>
      </rPr>
      <t xml:space="preserve">）｜建置起（年）／建置訖（年）／隨延誤後移／已簽約</t>
    </r>
  </si>
  <si>
    <r>
      <rPr>
        <sz val="10"/>
        <rFont val="Noto Sans CJK SC"/>
        <family val="2"/>
      </rPr>
      <t xml:space="preserve">託管｜</t>
    </r>
    <r>
      <rPr>
        <sz val="10"/>
        <rFont val="Arial"/>
        <family val="0"/>
        <charset val="1"/>
      </rPr>
      <t xml:space="preserve">NC-2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60 </t>
    </r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起 </t>
    </r>
    <r>
      <rPr>
        <sz val="10"/>
        <rFont val="Arial"/>
        <family val="0"/>
        <charset val="1"/>
      </rPr>
      <t xml:space="preserve">÷ 1.35</t>
    </r>
    <r>
      <rPr>
        <sz val="10"/>
        <rFont val="Noto Sans CJK SC"/>
        <family val="2"/>
      </rPr>
      <t xml:space="preserve">）｜情境（保守／基準／積極；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＝納入）</t>
    </r>
  </si>
  <si>
    <r>
      <rPr>
        <sz val="10"/>
        <rFont val="Noto Sans CJK SC"/>
        <family val="2"/>
      </rPr>
      <t xml:space="preserve">託管｜</t>
    </r>
    <r>
      <rPr>
        <sz val="10"/>
        <rFont val="Arial"/>
        <family val="0"/>
        <charset val="1"/>
      </rPr>
      <t xml:space="preserve">NC-2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60 </t>
    </r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起 </t>
    </r>
    <r>
      <rPr>
        <sz val="10"/>
        <rFont val="Arial"/>
        <family val="0"/>
        <charset val="1"/>
      </rPr>
      <t xml:space="preserve">÷ 1.35</t>
    </r>
    <r>
      <rPr>
        <sz val="10"/>
        <rFont val="Noto Sans CJK SC"/>
        <family val="2"/>
      </rPr>
      <t xml:space="preserve">）｜營收（模型期）</t>
    </r>
  </si>
  <si>
    <r>
      <rPr>
        <sz val="10"/>
        <rFont val="Noto Sans CJK SC"/>
        <family val="2"/>
      </rPr>
      <t xml:space="preserve">託管｜</t>
    </r>
    <r>
      <rPr>
        <sz val="10"/>
        <rFont val="Arial"/>
        <family val="0"/>
        <charset val="1"/>
      </rPr>
      <t xml:space="preserve">NC-2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60 </t>
    </r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起 </t>
    </r>
    <r>
      <rPr>
        <sz val="10"/>
        <rFont val="Arial"/>
        <family val="0"/>
        <charset val="1"/>
      </rPr>
      <t xml:space="preserve">÷ 1.35</t>
    </r>
    <r>
      <rPr>
        <sz val="10"/>
        <rFont val="Noto Sans CJK SC"/>
        <family val="2"/>
      </rPr>
      <t xml:space="preserve">）｜建置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（模型期）</t>
    </r>
  </si>
  <si>
    <r>
      <rPr>
        <sz val="10"/>
        <rFont val="Noto Sans CJK SC"/>
        <family val="2"/>
      </rPr>
      <t xml:space="preserve">託管｜</t>
    </r>
    <r>
      <rPr>
        <sz val="10"/>
        <rFont val="Arial"/>
        <family val="0"/>
        <charset val="1"/>
      </rPr>
      <t xml:space="preserve">NC-1 </t>
    </r>
    <r>
      <rPr>
        <sz val="10"/>
        <rFont val="Noto Sans CJK SC"/>
        <family val="2"/>
      </rPr>
      <t xml:space="preserve">擴建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（＋</t>
    </r>
    <r>
      <rPr>
        <sz val="10"/>
        <rFont val="Arial"/>
        <family val="0"/>
        <charset val="1"/>
      </rPr>
      <t xml:space="preserve">100 </t>
    </r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）｜</t>
    </r>
    <r>
      <rPr>
        <sz val="10"/>
        <rFont val="Arial"/>
        <family val="0"/>
        <charset val="1"/>
      </rPr>
      <t xml:space="preserve">IT MW</t>
    </r>
    <r>
      <rPr>
        <sz val="10"/>
        <rFont val="Noto Sans CJK SC"/>
        <family val="2"/>
      </rPr>
      <t xml:space="preserve">／起租（年）／第一年租金（</t>
    </r>
    <r>
      <rPr>
        <sz val="10"/>
        <rFont val="Arial"/>
        <family val="0"/>
        <charset val="1"/>
      </rPr>
      <t xml:space="preserve">US$m/MW</t>
    </r>
    <r>
      <rPr>
        <sz val="10"/>
        <rFont val="Noto Sans CJK SC"/>
        <family val="2"/>
      </rPr>
      <t xml:space="preserve">）／年調／建置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</si>
  <si>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NC-1 </t>
    </r>
    <r>
      <rPr>
        <sz val="9"/>
        <color rgb="FF595959"/>
        <rFont val="Noto Sans CJK SC"/>
        <family val="2"/>
      </rPr>
      <t xml:space="preserve">長期毛容量約 </t>
    </r>
    <r>
      <rPr>
        <sz val="9"/>
        <color rgb="FF595959"/>
        <rFont val="Arial"/>
        <family val="0"/>
        <charset val="1"/>
      </rPr>
      <t xml:space="preserve">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）／約 </t>
    </r>
    <r>
      <rPr>
        <sz val="9"/>
        <color rgb="FF595959"/>
        <rFont val="Arial"/>
        <family val="0"/>
        <charset val="1"/>
      </rPr>
      <t xml:space="preserve">300</t>
    </r>
    <r>
      <rPr>
        <sz val="9"/>
        <color rgb="FF595959"/>
        <rFont val="Noto Sans CJK SC"/>
        <family val="2"/>
      </rPr>
      <t xml:space="preserve">（法說）：積極情境擴至約 </t>
    </r>
    <r>
      <rPr>
        <sz val="9"/>
        <color rgb="FF595959"/>
        <rFont val="Arial"/>
        <family val="0"/>
        <charset val="1"/>
      </rPr>
      <t xml:space="preserve">300 </t>
    </r>
    <r>
      <rPr>
        <sz val="9"/>
        <color rgb="FF595959"/>
        <rFont val="Noto Sans CJK SC"/>
        <family val="2"/>
      </rPr>
      <t xml:space="preserve">毛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的第一段（＋</t>
    </r>
    <r>
      <rPr>
        <sz val="9"/>
        <color rgb="FF595959"/>
        <rFont val="Arial"/>
        <family val="0"/>
        <charset val="1"/>
      </rPr>
      <t xml:space="preserve">100 </t>
    </r>
    <r>
      <rPr>
        <sz val="9"/>
        <color rgb="FF595959"/>
        <rFont val="Noto Sans CJK SC"/>
        <family val="2"/>
      </rPr>
      <t xml:space="preserve">毛，</t>
    </r>
    <r>
      <rPr>
        <sz val="9"/>
        <color rgb="FF595959"/>
        <rFont val="Arial"/>
        <family val="0"/>
        <charset val="1"/>
      </rPr>
      <t xml:space="preserve">2029-01 </t>
    </r>
    <r>
      <rPr>
        <sz val="9"/>
        <color rgb="FF595959"/>
        <rFont val="Noto Sans CJK SC"/>
        <family val="2"/>
      </rPr>
      <t xml:space="preserve">起租）</t>
    </r>
    <r>
      <rPr>
        <sz val="9"/>
        <color rgb="FF595959"/>
        <rFont val="Arial"/>
        <family val="0"/>
        <charset val="1"/>
      </rPr>
      <t xml:space="preserve">[Interested-party </t>
    </r>
    <r>
      <rPr>
        <sz val="9"/>
        <color rgb="FF595959"/>
        <rFont val="Noto Sans CJK SC"/>
        <family val="2"/>
      </rPr>
      <t xml:space="preserve">目標／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時程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；只放積極</t>
    </r>
  </si>
  <si>
    <r>
      <rPr>
        <sz val="10"/>
        <rFont val="Noto Sans CJK SC"/>
        <family val="2"/>
      </rPr>
      <t xml:space="preserve">託管｜</t>
    </r>
    <r>
      <rPr>
        <sz val="10"/>
        <rFont val="Arial"/>
        <family val="0"/>
        <charset val="1"/>
      </rPr>
      <t xml:space="preserve">NC-1 </t>
    </r>
    <r>
      <rPr>
        <sz val="10"/>
        <rFont val="Noto Sans CJK SC"/>
        <family val="2"/>
      </rPr>
      <t xml:space="preserve">擴建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（＋</t>
    </r>
    <r>
      <rPr>
        <sz val="10"/>
        <rFont val="Arial"/>
        <family val="0"/>
        <charset val="1"/>
      </rPr>
      <t xml:space="preserve">100 </t>
    </r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）｜建置起（年）／建置訖（年）／隨延誤後移／已簽約</t>
    </r>
  </si>
  <si>
    <r>
      <rPr>
        <sz val="10"/>
        <rFont val="Noto Sans CJK SC"/>
        <family val="2"/>
      </rPr>
      <t xml:space="preserve">託管｜</t>
    </r>
    <r>
      <rPr>
        <sz val="10"/>
        <rFont val="Arial"/>
        <family val="0"/>
        <charset val="1"/>
      </rPr>
      <t xml:space="preserve">NC-1 </t>
    </r>
    <r>
      <rPr>
        <sz val="10"/>
        <rFont val="Noto Sans CJK SC"/>
        <family val="2"/>
      </rPr>
      <t xml:space="preserve">擴建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（＋</t>
    </r>
    <r>
      <rPr>
        <sz val="10"/>
        <rFont val="Arial"/>
        <family val="0"/>
        <charset val="1"/>
      </rPr>
      <t xml:space="preserve">100 </t>
    </r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）｜情境（保守／基準／積極；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＝納入）</t>
    </r>
  </si>
  <si>
    <r>
      <rPr>
        <sz val="10"/>
        <rFont val="Noto Sans CJK SC"/>
        <family val="2"/>
      </rPr>
      <t xml:space="preserve">託管｜</t>
    </r>
    <r>
      <rPr>
        <sz val="10"/>
        <rFont val="Arial"/>
        <family val="0"/>
        <charset val="1"/>
      </rPr>
      <t xml:space="preserve">NC-1 </t>
    </r>
    <r>
      <rPr>
        <sz val="10"/>
        <rFont val="Noto Sans CJK SC"/>
        <family val="2"/>
      </rPr>
      <t xml:space="preserve">擴建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（＋</t>
    </r>
    <r>
      <rPr>
        <sz val="10"/>
        <rFont val="Arial"/>
        <family val="0"/>
        <charset val="1"/>
      </rPr>
      <t xml:space="preserve">100 </t>
    </r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）｜營收（模型期）</t>
    </r>
  </si>
  <si>
    <r>
      <rPr>
        <sz val="10"/>
        <rFont val="Noto Sans CJK SC"/>
        <family val="2"/>
      </rPr>
      <t xml:space="preserve">託管｜</t>
    </r>
    <r>
      <rPr>
        <sz val="10"/>
        <rFont val="Arial"/>
        <family val="0"/>
        <charset val="1"/>
      </rPr>
      <t xml:space="preserve">NC-1 </t>
    </r>
    <r>
      <rPr>
        <sz val="10"/>
        <rFont val="Noto Sans CJK SC"/>
        <family val="2"/>
      </rPr>
      <t xml:space="preserve">擴建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（＋</t>
    </r>
    <r>
      <rPr>
        <sz val="10"/>
        <rFont val="Arial"/>
        <family val="0"/>
        <charset val="1"/>
      </rPr>
      <t xml:space="preserve">100 </t>
    </r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）｜建置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（模型期）</t>
    </r>
  </si>
  <si>
    <r>
      <rPr>
        <sz val="10"/>
        <rFont val="Noto Sans CJK SC"/>
        <family val="2"/>
      </rPr>
      <t xml:space="preserve">託管｜</t>
    </r>
    <r>
      <rPr>
        <sz val="10"/>
        <rFont val="Arial"/>
        <family val="0"/>
        <charset val="1"/>
      </rPr>
      <t xml:space="preserve">NC-1 </t>
    </r>
    <r>
      <rPr>
        <sz val="10"/>
        <rFont val="Noto Sans CJK SC"/>
        <family val="2"/>
      </rPr>
      <t xml:space="preserve">擴建 </t>
    </r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（＋</t>
    </r>
    <r>
      <rPr>
        <sz val="10"/>
        <rFont val="Arial"/>
        <family val="0"/>
        <charset val="1"/>
      </rPr>
      <t xml:space="preserve">101 </t>
    </r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，至約 </t>
    </r>
    <r>
      <rPr>
        <sz val="10"/>
        <rFont val="Arial"/>
        <family val="0"/>
        <charset val="1"/>
      </rPr>
      <t xml:space="preserve">300 </t>
    </r>
    <r>
      <rPr>
        <sz val="10"/>
        <rFont val="Noto Sans CJK SC"/>
        <family val="2"/>
      </rPr>
      <t xml:space="preserve">毛）｜</t>
    </r>
    <r>
      <rPr>
        <sz val="10"/>
        <rFont val="Arial"/>
        <family val="0"/>
        <charset val="1"/>
      </rPr>
      <t xml:space="preserve">IT MW</t>
    </r>
    <r>
      <rPr>
        <sz val="10"/>
        <rFont val="Noto Sans CJK SC"/>
        <family val="2"/>
      </rPr>
      <t xml:space="preserve">／起租（年）／第一年租金（</t>
    </r>
    <r>
      <rPr>
        <sz val="10"/>
        <rFont val="Arial"/>
        <family val="0"/>
        <charset val="1"/>
      </rPr>
      <t xml:space="preserve">US$m/MW</t>
    </r>
    <r>
      <rPr>
        <sz val="10"/>
        <rFont val="Noto Sans CJK SC"/>
        <family val="2"/>
      </rPr>
      <t xml:space="preserve">）／年調／建置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</si>
  <si>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同上第二段（＋</t>
    </r>
    <r>
      <rPr>
        <sz val="9"/>
        <color rgb="FF595959"/>
        <rFont val="Arial"/>
        <family val="0"/>
        <charset val="1"/>
      </rPr>
      <t xml:space="preserve">101 </t>
    </r>
    <r>
      <rPr>
        <sz val="9"/>
        <color rgb="FF595959"/>
        <rFont val="Noto Sans CJK SC"/>
        <family val="2"/>
      </rPr>
      <t xml:space="preserve">毛，</t>
    </r>
    <r>
      <rPr>
        <sz val="9"/>
        <color rgb="FF595959"/>
        <rFont val="Arial"/>
        <family val="0"/>
        <charset val="1"/>
      </rPr>
      <t xml:space="preserve">2030-01 </t>
    </r>
    <r>
      <rPr>
        <sz val="9"/>
        <color rgb="FF595959"/>
        <rFont val="Noto Sans CJK SC"/>
        <family val="2"/>
      </rPr>
      <t xml:space="preserve">起租）；只放積極</t>
    </r>
  </si>
  <si>
    <r>
      <rPr>
        <sz val="10"/>
        <rFont val="Noto Sans CJK SC"/>
        <family val="2"/>
      </rPr>
      <t xml:space="preserve">託管｜</t>
    </r>
    <r>
      <rPr>
        <sz val="10"/>
        <rFont val="Arial"/>
        <family val="0"/>
        <charset val="1"/>
      </rPr>
      <t xml:space="preserve">NC-1 </t>
    </r>
    <r>
      <rPr>
        <sz val="10"/>
        <rFont val="Noto Sans CJK SC"/>
        <family val="2"/>
      </rPr>
      <t xml:space="preserve">擴建 </t>
    </r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（＋</t>
    </r>
    <r>
      <rPr>
        <sz val="10"/>
        <rFont val="Arial"/>
        <family val="0"/>
        <charset val="1"/>
      </rPr>
      <t xml:space="preserve">101 </t>
    </r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，至約 </t>
    </r>
    <r>
      <rPr>
        <sz val="10"/>
        <rFont val="Arial"/>
        <family val="0"/>
        <charset val="1"/>
      </rPr>
      <t xml:space="preserve">300 </t>
    </r>
    <r>
      <rPr>
        <sz val="10"/>
        <rFont val="Noto Sans CJK SC"/>
        <family val="2"/>
      </rPr>
      <t xml:space="preserve">毛）｜建置起（年）／建置訖（年）／隨延誤後移／已簽約</t>
    </r>
  </si>
  <si>
    <r>
      <rPr>
        <sz val="10"/>
        <rFont val="Noto Sans CJK SC"/>
        <family val="2"/>
      </rPr>
      <t xml:space="preserve">託管｜</t>
    </r>
    <r>
      <rPr>
        <sz val="10"/>
        <rFont val="Arial"/>
        <family val="0"/>
        <charset val="1"/>
      </rPr>
      <t xml:space="preserve">NC-1 </t>
    </r>
    <r>
      <rPr>
        <sz val="10"/>
        <rFont val="Noto Sans CJK SC"/>
        <family val="2"/>
      </rPr>
      <t xml:space="preserve">擴建 </t>
    </r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（＋</t>
    </r>
    <r>
      <rPr>
        <sz val="10"/>
        <rFont val="Arial"/>
        <family val="0"/>
        <charset val="1"/>
      </rPr>
      <t xml:space="preserve">101 </t>
    </r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，至約 </t>
    </r>
    <r>
      <rPr>
        <sz val="10"/>
        <rFont val="Arial"/>
        <family val="0"/>
        <charset val="1"/>
      </rPr>
      <t xml:space="preserve">300 </t>
    </r>
    <r>
      <rPr>
        <sz val="10"/>
        <rFont val="Noto Sans CJK SC"/>
        <family val="2"/>
      </rPr>
      <t xml:space="preserve">毛）｜情境（保守／基準／積極；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＝納入）</t>
    </r>
  </si>
  <si>
    <r>
      <rPr>
        <sz val="10"/>
        <rFont val="Noto Sans CJK SC"/>
        <family val="2"/>
      </rPr>
      <t xml:space="preserve">託管｜</t>
    </r>
    <r>
      <rPr>
        <sz val="10"/>
        <rFont val="Arial"/>
        <family val="0"/>
        <charset val="1"/>
      </rPr>
      <t xml:space="preserve">NC-1 </t>
    </r>
    <r>
      <rPr>
        <sz val="10"/>
        <rFont val="Noto Sans CJK SC"/>
        <family val="2"/>
      </rPr>
      <t xml:space="preserve">擴建 </t>
    </r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（＋</t>
    </r>
    <r>
      <rPr>
        <sz val="10"/>
        <rFont val="Arial"/>
        <family val="0"/>
        <charset val="1"/>
      </rPr>
      <t xml:space="preserve">101 </t>
    </r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，至約 </t>
    </r>
    <r>
      <rPr>
        <sz val="10"/>
        <rFont val="Arial"/>
        <family val="0"/>
        <charset val="1"/>
      </rPr>
      <t xml:space="preserve">300 </t>
    </r>
    <r>
      <rPr>
        <sz val="10"/>
        <rFont val="Noto Sans CJK SC"/>
        <family val="2"/>
      </rPr>
      <t xml:space="preserve">毛）｜營收（模型期）</t>
    </r>
  </si>
  <si>
    <r>
      <rPr>
        <sz val="10"/>
        <rFont val="Noto Sans CJK SC"/>
        <family val="2"/>
      </rPr>
      <t xml:space="preserve">託管｜</t>
    </r>
    <r>
      <rPr>
        <sz val="10"/>
        <rFont val="Arial"/>
        <family val="0"/>
        <charset val="1"/>
      </rPr>
      <t xml:space="preserve">NC-1 </t>
    </r>
    <r>
      <rPr>
        <sz val="10"/>
        <rFont val="Noto Sans CJK SC"/>
        <family val="2"/>
      </rPr>
      <t xml:space="preserve">擴建 </t>
    </r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（＋</t>
    </r>
    <r>
      <rPr>
        <sz val="10"/>
        <rFont val="Arial"/>
        <family val="0"/>
        <charset val="1"/>
      </rPr>
      <t xml:space="preserve">101 </t>
    </r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，至約 </t>
    </r>
    <r>
      <rPr>
        <sz val="10"/>
        <rFont val="Arial"/>
        <family val="0"/>
        <charset val="1"/>
      </rPr>
      <t xml:space="preserve">300 </t>
    </r>
    <r>
      <rPr>
        <sz val="10"/>
        <rFont val="Noto Sans CJK SC"/>
        <family val="2"/>
      </rPr>
      <t xml:space="preserve">毛）｜建置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（模型期）</t>
    </r>
  </si>
  <si>
    <r>
      <rPr>
        <sz val="10"/>
        <rFont val="Noto Sans CJK SC"/>
        <family val="2"/>
      </rPr>
      <t xml:space="preserve">託管｜</t>
    </r>
    <r>
      <rPr>
        <sz val="10"/>
        <rFont val="Arial"/>
        <family val="0"/>
        <charset val="1"/>
      </rPr>
      <t xml:space="preserve">Krambu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100 MW</t>
    </r>
    <r>
      <rPr>
        <sz val="10"/>
        <rFont val="Noto Sans CJK SC"/>
        <family val="2"/>
      </rPr>
      <t xml:space="preserve">，口徑不明）｜</t>
    </r>
    <r>
      <rPr>
        <sz val="10"/>
        <rFont val="Arial"/>
        <family val="0"/>
        <charset val="1"/>
      </rPr>
      <t xml:space="preserve">IT MW</t>
    </r>
    <r>
      <rPr>
        <sz val="10"/>
        <rFont val="Noto Sans CJK SC"/>
        <family val="2"/>
      </rPr>
      <t xml:space="preserve">／起租（年）／第一年租金（</t>
    </r>
    <r>
      <rPr>
        <sz val="10"/>
        <rFont val="Arial"/>
        <family val="0"/>
        <charset val="1"/>
      </rPr>
      <t xml:space="preserve">US$m/MW</t>
    </r>
    <r>
      <rPr>
        <sz val="10"/>
        <rFont val="Noto Sans CJK SC"/>
        <family val="2"/>
      </rPr>
      <t xml:space="preserve">）／年調／建置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</si>
  <si>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法說二手摘要：</t>
    </r>
    <r>
      <rPr>
        <sz val="9"/>
        <color rgb="FF595959"/>
        <rFont val="Arial"/>
        <family val="0"/>
        <charset val="1"/>
      </rPr>
      <t xml:space="preserve">Krambu 100 MW </t>
    </r>
    <r>
      <rPr>
        <sz val="9"/>
        <color rgb="FF595959"/>
        <rFont val="Noto Sans CJK SC"/>
        <family val="2"/>
      </rPr>
      <t xml:space="preserve">液冷託管獨家使用權（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起）；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與簡報未提、條件與價格未揭露、口徑不明 → 以 </t>
    </r>
    <r>
      <rPr>
        <sz val="9"/>
        <color rgb="FF595959"/>
        <rFont val="Arial"/>
        <family val="0"/>
        <charset val="1"/>
      </rPr>
      <t xml:space="preserve">100 </t>
    </r>
    <r>
      <rPr>
        <sz val="9"/>
        <color rgb="FF595959"/>
        <rFont val="Noto Sans CJK SC"/>
        <family val="2"/>
      </rPr>
      <t xml:space="preserve">毛 </t>
    </r>
    <r>
      <rPr>
        <sz val="9"/>
        <color rgb="FF595959"/>
        <rFont val="Arial"/>
        <family val="0"/>
        <charset val="1"/>
      </rPr>
      <t xml:space="preserve">MW ÷1.35</t>
    </r>
    <r>
      <rPr>
        <sz val="9"/>
        <color rgb="FF595959"/>
        <rFont val="Noto Sans CJK SC"/>
        <family val="2"/>
      </rPr>
      <t xml:space="preserve">、自建同口徑（租金 </t>
    </r>
    <r>
      <rPr>
        <sz val="9"/>
        <color rgb="FF595959"/>
        <rFont val="Arial"/>
        <family val="0"/>
        <charset val="1"/>
      </rPr>
      <t xml:space="preserve">1.85</t>
    </r>
    <r>
      <rPr>
        <sz val="9"/>
        <color rgb="FF595959"/>
        <rFont val="Noto Sans CJK SC"/>
        <family val="2"/>
      </rPr>
      <t xml:space="preserve">、建置 </t>
    </r>
    <r>
      <rPr>
        <sz val="9"/>
        <color rgb="FF595959"/>
        <rFont val="Arial"/>
        <family val="0"/>
        <charset val="1"/>
      </rPr>
      <t xml:space="preserve">11.5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MW-IT</t>
    </r>
    <r>
      <rPr>
        <sz val="9"/>
        <color rgb="FF595959"/>
        <rFont val="Noto Sans CJK SC"/>
        <family val="2"/>
      </rPr>
      <t xml:space="preserve">）建模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；只放積極並標註（審查留言第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條）</t>
    </r>
  </si>
  <si>
    <r>
      <rPr>
        <sz val="10"/>
        <rFont val="Noto Sans CJK SC"/>
        <family val="2"/>
      </rPr>
      <t xml:space="preserve">託管｜</t>
    </r>
    <r>
      <rPr>
        <sz val="10"/>
        <rFont val="Arial"/>
        <family val="0"/>
        <charset val="1"/>
      </rPr>
      <t xml:space="preserve">Krambu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100 MW</t>
    </r>
    <r>
      <rPr>
        <sz val="10"/>
        <rFont val="Noto Sans CJK SC"/>
        <family val="2"/>
      </rPr>
      <t xml:space="preserve">，口徑不明）｜建置起（年）／建置訖（年）／隨延誤後移／已簽約</t>
    </r>
  </si>
  <si>
    <r>
      <rPr>
        <sz val="10"/>
        <rFont val="Noto Sans CJK SC"/>
        <family val="2"/>
      </rPr>
      <t xml:space="preserve">託管｜</t>
    </r>
    <r>
      <rPr>
        <sz val="10"/>
        <rFont val="Arial"/>
        <family val="0"/>
        <charset val="1"/>
      </rPr>
      <t xml:space="preserve">Krambu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100 MW</t>
    </r>
    <r>
      <rPr>
        <sz val="10"/>
        <rFont val="Noto Sans CJK SC"/>
        <family val="2"/>
      </rPr>
      <t xml:space="preserve">，口徑不明）｜情境（保守／基準／積極；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＝納入）</t>
    </r>
  </si>
  <si>
    <r>
      <rPr>
        <sz val="10"/>
        <rFont val="Noto Sans CJK SC"/>
        <family val="2"/>
      </rPr>
      <t xml:space="preserve">託管｜</t>
    </r>
    <r>
      <rPr>
        <sz val="10"/>
        <rFont val="Arial"/>
        <family val="0"/>
        <charset val="1"/>
      </rPr>
      <t xml:space="preserve">Krambu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100 MW</t>
    </r>
    <r>
      <rPr>
        <sz val="10"/>
        <rFont val="Noto Sans CJK SC"/>
        <family val="2"/>
      </rPr>
      <t xml:space="preserve">，口徑不明）｜營收（模型期）</t>
    </r>
  </si>
  <si>
    <r>
      <rPr>
        <sz val="10"/>
        <rFont val="Noto Sans CJK SC"/>
        <family val="2"/>
      </rPr>
      <t xml:space="preserve">託管｜</t>
    </r>
    <r>
      <rPr>
        <sz val="10"/>
        <rFont val="Arial"/>
        <family val="0"/>
        <charset val="1"/>
      </rPr>
      <t xml:space="preserve">Krambu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100 MW</t>
    </r>
    <r>
      <rPr>
        <sz val="10"/>
        <rFont val="Noto Sans CJK SC"/>
        <family val="2"/>
      </rPr>
      <t xml:space="preserve">，口徑不明）｜建置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（模型期）</t>
    </r>
  </si>
  <si>
    <t xml:space="preserve">託管營收（站點合計）</t>
  </si>
  <si>
    <t xml:space="preserve">各站點營收合計（併入第二分部營收）</t>
  </si>
  <si>
    <r>
      <rPr>
        <sz val="10"/>
        <rFont val="Noto Sans CJK SC"/>
        <family val="2"/>
      </rPr>
      <t xml:space="preserve">託管建置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（站點合計）</t>
    </r>
  </si>
  <si>
    <r>
      <rPr>
        <sz val="9"/>
        <color rgb="FF595959"/>
        <rFont val="Noto Sans CJK SC"/>
        <family val="2"/>
      </rPr>
      <t xml:space="preserve">併入毛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區）與託管 </t>
    </r>
    <r>
      <rPr>
        <sz val="9"/>
        <color rgb="FF595959"/>
        <rFont val="Arial"/>
        <family val="0"/>
        <charset val="1"/>
      </rPr>
      <t xml:space="preserve">PP&amp;E</t>
    </r>
  </si>
  <si>
    <r>
      <rPr>
        <sz val="10"/>
        <rFont val="Noto Sans CJK SC"/>
        <family val="2"/>
      </rPr>
      <t xml:space="preserve">託管期初 </t>
    </r>
    <r>
      <rPr>
        <sz val="10"/>
        <rFont val="Arial"/>
        <family val="0"/>
        <charset val="1"/>
      </rPr>
      <t xml:space="preserve">PP&amp;E</t>
    </r>
    <r>
      <rPr>
        <sz val="10"/>
        <rFont val="Noto Sans CJK SC"/>
        <family val="2"/>
      </rPr>
      <t xml:space="preserve">（建物折舊基礎）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</si>
  <si>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託管設備帳面淨額（含 </t>
    </r>
    <r>
      <rPr>
        <sz val="9"/>
        <color rgb="FF595959"/>
        <rFont val="Arial"/>
        <family val="0"/>
        <charset val="1"/>
      </rPr>
      <t xml:space="preserve">NC-1 </t>
    </r>
    <r>
      <rPr>
        <sz val="9"/>
        <color rgb="FF595959"/>
        <rFont val="Noto Sans CJK SC"/>
        <family val="2"/>
      </rPr>
      <t xml:space="preserve">在建工程）</t>
    </r>
    <r>
      <rPr>
        <sz val="9"/>
        <color rgb="FF595959"/>
        <rFont val="Arial"/>
        <family val="0"/>
        <charset val="1"/>
      </rPr>
      <t xml:space="preserve">556.3 [Interested-party]</t>
    </r>
  </si>
  <si>
    <t xml:space="preserve">託管建物折舊年限</t>
  </si>
  <si>
    <r>
      <rPr>
        <sz val="9"/>
        <color rgb="FF595959"/>
        <rFont val="Noto Sans CJK SC"/>
        <family val="2"/>
      </rPr>
      <t xml:space="preserve">對照表預設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年（區間 </t>
    </r>
    <r>
      <rPr>
        <sz val="9"/>
        <color rgb="FF595959"/>
        <rFont val="Arial"/>
        <family val="0"/>
        <charset val="1"/>
      </rPr>
      <t xml:space="preserve">15–30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10-K 30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vs 10-Q 20–25 </t>
    </r>
    <r>
      <rPr>
        <sz val="9"/>
        <color rgb="FF595959"/>
        <rFont val="Noto Sans CJK SC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</si>
  <si>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託管期初 </t>
    </r>
    <r>
      <rPr>
        <sz val="10"/>
        <rFont val="Arial"/>
        <family val="0"/>
        <charset val="1"/>
      </rPr>
      <t xml:space="preserve">PP&amp;E</t>
    </r>
    <r>
      <rPr>
        <sz val="10"/>
        <rFont val="Noto Sans CJK SC"/>
        <family val="2"/>
      </rPr>
      <t xml:space="preserve">（各期）</t>
    </r>
  </si>
  <si>
    <t xml:space="preserve">＝前期期初＋前期託管建置</t>
  </si>
  <si>
    <r>
      <rPr>
        <sz val="10"/>
        <rFont val="Noto Sans CJK SC"/>
        <family val="2"/>
      </rPr>
      <t xml:space="preserve">託管 </t>
    </r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（建物）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</si>
  <si>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期初託管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Noto Sans CJK SC"/>
        <family val="2"/>
      </rPr>
      <t xml:space="preserve">＋本期建置 </t>
    </r>
    <r>
      <rPr>
        <sz val="9"/>
        <color rgb="FF595959"/>
        <rFont val="Arial"/>
        <family val="0"/>
        <charset val="1"/>
      </rPr>
      <t xml:space="preserve">× ½) ÷ </t>
    </r>
    <r>
      <rPr>
        <sz val="9"/>
        <color rgb="FF595959"/>
        <rFont val="Noto Sans CJK SC"/>
        <family val="2"/>
      </rPr>
      <t xml:space="preserve">年限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期間長度；併入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車隊折舊分列）</t>
    </r>
  </si>
  <si>
    <t xml:space="preserve">託管｜對照：已簽約站點營收（模型）</t>
  </si>
  <si>
    <r>
      <rPr>
        <sz val="9"/>
        <color rgb="FF595959"/>
        <rFont val="Noto Sans CJK SC"/>
        <family val="2"/>
      </rPr>
      <t xml:space="preserve">已簽約站點（</t>
    </r>
    <r>
      <rPr>
        <sz val="9"/>
        <color rgb="FF595959"/>
        <rFont val="Arial"/>
        <family val="0"/>
        <charset val="1"/>
      </rPr>
      <t xml:space="preserve">NC-1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MTL-3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MTL-1</t>
    </r>
    <r>
      <rPr>
        <sz val="9"/>
        <color rgb="FF595959"/>
        <rFont val="Noto Sans CJK SC"/>
        <family val="2"/>
      </rPr>
      <t xml:space="preserve">）模型營收；只作對照</t>
    </r>
  </si>
  <si>
    <r>
      <rPr>
        <sz val="10"/>
        <rFont val="Noto Sans CJK SC"/>
        <family val="2"/>
      </rPr>
      <t xml:space="preserve">託管｜對照：季報託管 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（年度分布）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</si>
  <si>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託管 </t>
    </r>
    <r>
      <rPr>
        <sz val="9"/>
        <color rgb="FF595959"/>
        <rFont val="Arial"/>
        <family val="0"/>
        <charset val="1"/>
      </rPr>
      <t xml:space="preserve">RPO 932.9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下半年 </t>
    </r>
    <r>
      <rPr>
        <sz val="9"/>
        <color rgb="FF595959"/>
        <rFont val="Arial"/>
        <family val="0"/>
        <charset val="1"/>
      </rPr>
      <t xml:space="preserve">36.1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2027 93.5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2028 94.8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2029 95.3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2030 94.0</t>
    </r>
    <r>
      <rPr>
        <sz val="9"/>
        <color rgb="FF595959"/>
        <rFont val="Noto Sans CJK SC"/>
        <family val="2"/>
      </rPr>
      <t xml:space="preserve">、其後 </t>
    </r>
    <r>
      <rPr>
        <sz val="9"/>
        <color rgb="FF595959"/>
        <rFont val="Arial"/>
        <family val="0"/>
        <charset val="1"/>
      </rPr>
      <t xml:space="preserve">519.2</t>
    </r>
    <r>
      <rPr>
        <sz val="9"/>
        <color rgb="FF595959"/>
        <rFont val="Noto Sans CJK SC"/>
        <family val="2"/>
      </rPr>
      <t xml:space="preserve">（不含轉嫁電費等變動對價）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</si>
  <si>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託管｜對照：模型 − </t>
    </r>
    <r>
      <rPr>
        <sz val="10"/>
        <rFont val="Arial"/>
        <family val="0"/>
        <charset val="1"/>
      </rPr>
      <t xml:space="preserve">RPO</t>
    </r>
  </si>
  <si>
    <r>
      <rPr>
        <sz val="9"/>
        <color rgb="FF595959"/>
        <rFont val="Noto Sans CJK SC"/>
        <family val="2"/>
      </rPr>
      <t xml:space="preserve">差額來自 </t>
    </r>
    <r>
      <rPr>
        <sz val="9"/>
        <color rgb="FF595959"/>
        <rFont val="Arial"/>
        <family val="0"/>
        <charset val="1"/>
      </rPr>
      <t xml:space="preserve">NRC</t>
    </r>
    <r>
      <rPr>
        <sz val="9"/>
        <color rgb="FF595959"/>
        <rFont val="Noto Sans CJK SC"/>
        <family val="2"/>
      </rPr>
      <t xml:space="preserve">、計費起點、年調計法與 </t>
    </r>
    <r>
      <rPr>
        <sz val="9"/>
        <color rgb="FF595959"/>
        <rFont val="Arial"/>
        <family val="0"/>
        <charset val="1"/>
      </rPr>
      <t xml:space="preserve">MTL-1 </t>
    </r>
    <r>
      <rPr>
        <sz val="9"/>
        <color rgb="FF595959"/>
        <rFont val="Noto Sans CJK SC"/>
        <family val="2"/>
      </rPr>
      <t xml:space="preserve">短約；不回推租金</t>
    </r>
  </si>
  <si>
    <t xml:space="preserve">託管營收（模型期）</t>
  </si>
  <si>
    <t xml:space="preserve">各線合計（含託管站點；下游引用此列）</t>
  </si>
  <si>
    <r>
      <rPr>
        <sz val="10"/>
        <rFont val="Noto Sans CJK SC"/>
        <family val="2"/>
      </rPr>
      <t xml:space="preserve">託管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</si>
  <si>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託管分部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率（審查留言第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條）：起點＝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託管分部毛利 </t>
    </r>
    <r>
      <rPr>
        <sz val="9"/>
        <color rgb="FF595959"/>
        <rFont val="Arial"/>
        <family val="0"/>
        <charset val="1"/>
      </rPr>
      <t xml:space="preserve">3.005 ÷ </t>
    </r>
    <r>
      <rPr>
        <sz val="9"/>
        <color rgb="FF595959"/>
        <rFont val="Noto Sans CJK SC"/>
        <family val="2"/>
      </rPr>
      <t xml:space="preserve">分部營收 </t>
    </r>
    <r>
      <rPr>
        <sz val="9"/>
        <color rgb="FF595959"/>
        <rFont val="Arial"/>
        <family val="0"/>
        <charset val="1"/>
      </rPr>
      <t xml:space="preserve">4.752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63.2%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；站點層級）扣分攤 </t>
    </r>
    <r>
      <rPr>
        <sz val="9"/>
        <color rgb="FF595959"/>
        <rFont val="Arial"/>
        <family val="0"/>
        <charset val="1"/>
      </rPr>
      <t xml:space="preserve">G&amp;A</t>
    </r>
    <r>
      <rPr>
        <sz val="9"/>
        <color rgb="FF595959"/>
        <rFont val="Noto Sans CJK SC"/>
        <family val="2"/>
      </rPr>
      <t xml:space="preserve">：經常性現金 </t>
    </r>
    <r>
      <rPr>
        <sz val="9"/>
        <color rgb="FF595959"/>
        <rFont val="Arial"/>
        <family val="0"/>
        <charset val="1"/>
      </rPr>
      <t xml:space="preserve">G&amp;A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14.811 − SBC 3.671 − </t>
    </r>
    <r>
      <rPr>
        <sz val="9"/>
        <color rgb="FF595959"/>
        <rFont val="Noto Sans CJK SC"/>
        <family val="2"/>
      </rPr>
      <t xml:space="preserve">呆帳 </t>
    </r>
    <r>
      <rPr>
        <sz val="9"/>
        <color rgb="FF595959"/>
        <rFont val="Arial"/>
        <family val="0"/>
        <charset val="1"/>
      </rPr>
      <t xml:space="preserve">2.2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8.94</t>
    </r>
    <r>
      <rPr>
        <sz val="9"/>
        <color rgb="FF595959"/>
        <rFont val="Noto Sans CJK SC"/>
        <family val="2"/>
      </rPr>
      <t xml:space="preserve">／季）依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經常性營收占比 </t>
    </r>
    <r>
      <rPr>
        <sz val="9"/>
        <color rgb="FF595959"/>
        <rFont val="Arial"/>
        <family val="0"/>
        <charset val="1"/>
      </rPr>
      <t xml:space="preserve">28.6% </t>
    </r>
    <r>
      <rPr>
        <sz val="9"/>
        <color rgb="FF595959"/>
        <rFont val="Noto Sans CJK SC"/>
        <family val="2"/>
      </rPr>
      <t xml:space="preserve">分攤＝</t>
    </r>
    <r>
      <rPr>
        <sz val="9"/>
        <color rgb="FF595959"/>
        <rFont val="Arial"/>
        <family val="0"/>
        <charset val="1"/>
      </rPr>
      <t xml:space="preserve">2.555</t>
    </r>
    <r>
      <rPr>
        <sz val="9"/>
        <color rgb="FF595959"/>
        <rFont val="Noto Sans CJK SC"/>
        <family val="2"/>
      </rPr>
      <t xml:space="preserve">／季，以 </t>
    </r>
    <r>
      <rPr>
        <sz val="9"/>
        <color rgb="FF595959"/>
        <rFont val="Arial"/>
        <family val="0"/>
        <charset val="1"/>
      </rPr>
      <t xml:space="preserve">2H26 </t>
    </r>
    <r>
      <rPr>
        <sz val="9"/>
        <color rgb="FF595959"/>
        <rFont val="Noto Sans CJK SC"/>
        <family val="2"/>
      </rPr>
      <t xml:space="preserve">託管營收規模（</t>
    </r>
    <r>
      <rPr>
        <sz val="9"/>
        <color rgb="FF595959"/>
        <rFont val="Arial"/>
        <family val="0"/>
        <charset val="1"/>
      </rPr>
      <t xml:space="preserve">NC-1 </t>
    </r>
    <r>
      <rPr>
        <sz val="9"/>
        <color rgb="FF595959"/>
        <rFont val="Noto Sans CJK SC"/>
        <family val="2"/>
      </rPr>
      <t xml:space="preserve">全額計費約 </t>
    </r>
    <r>
      <rPr>
        <sz val="9"/>
        <color rgb="FF595959"/>
        <rFont val="Arial"/>
        <family val="0"/>
        <charset val="1"/>
      </rPr>
      <t xml:space="preserve">23.6</t>
    </r>
    <r>
      <rPr>
        <sz val="9"/>
        <color rgb="FF595959"/>
        <rFont val="Noto Sans CJK SC"/>
        <family val="2"/>
      </rPr>
      <t xml:space="preserve">／季）換算為 </t>
    </r>
    <r>
      <rPr>
        <sz val="9"/>
        <color rgb="FF595959"/>
        <rFont val="Arial"/>
        <family val="0"/>
        <charset val="1"/>
      </rPr>
      <t xml:space="preserve">10.8pt → </t>
    </r>
    <r>
      <rPr>
        <sz val="9"/>
        <color rgb="FF595959"/>
        <rFont val="Noto Sans CJK SC"/>
        <family val="2"/>
      </rPr>
      <t xml:space="preserve">起點 </t>
    </r>
    <r>
      <rPr>
        <sz val="9"/>
        <color rgb="FF595959"/>
        <rFont val="Arial"/>
        <family val="0"/>
        <charset val="1"/>
      </rPr>
      <t xml:space="preserve">52.2% [Derived]</t>
    </r>
    <r>
      <rPr>
        <sz val="9"/>
        <color rgb="FF595959"/>
        <rFont val="Noto Sans CJK SC"/>
        <family val="2"/>
      </rPr>
      <t xml:space="preserve">；穩態取 </t>
    </r>
    <r>
      <rPr>
        <sz val="9"/>
        <color rgb="FF595959"/>
        <rFont val="Arial"/>
        <family val="0"/>
        <charset val="1"/>
      </rPr>
      <t xml:space="preserve">[Analogy] </t>
    </r>
    <r>
      <rPr>
        <sz val="9"/>
        <color rgb="FF595959"/>
        <rFont val="Noto Sans CJK SC"/>
        <family val="2"/>
      </rPr>
      <t xml:space="preserve">區間中點 </t>
    </r>
    <r>
      <rPr>
        <sz val="9"/>
        <color rgb="FF595959"/>
        <rFont val="Arial"/>
        <family val="0"/>
        <charset val="1"/>
      </rPr>
      <t xml:space="preserve">65%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55%–80%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APLD Polaris Forge 1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NOI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500 ÷ </t>
    </r>
    <r>
      <rPr>
        <sz val="9"/>
        <color rgb="FF595959"/>
        <rFont val="Noto Sans CJK SC"/>
        <family val="2"/>
      </rPr>
      <t xml:space="preserve">年營收約 </t>
    </r>
    <r>
      <rPr>
        <sz val="9"/>
        <color rgb="FF595959"/>
        <rFont val="Arial"/>
        <family val="0"/>
        <charset val="1"/>
      </rPr>
      <t xml:space="preserve">733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68%</t>
    </r>
    <r>
      <rPr>
        <sz val="9"/>
        <color rgb="FF595959"/>
        <rFont val="Noto Sans CJK SC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[Interested-party] APLD FY26Q1 </t>
    </r>
    <r>
      <rPr>
        <sz val="9"/>
        <color rgb="FF595959"/>
        <rFont val="Noto Sans CJK SC"/>
        <family val="2"/>
      </rPr>
      <t xml:space="preserve">新聞稿〕、</t>
    </r>
    <r>
      <rPr>
        <sz val="9"/>
        <color rgb="FF595959"/>
        <rFont val="Arial"/>
        <family val="0"/>
        <charset val="1"/>
      </rPr>
      <t xml:space="preserve">Galaxy Helios </t>
    </r>
    <r>
      <rPr>
        <sz val="9"/>
        <color rgb="FF595959"/>
        <rFont val="Noto Sans CJK SC"/>
        <family val="2"/>
      </rPr>
      <t xml:space="preserve">租約層級調整後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 </t>
    </r>
    <r>
      <rPr>
        <sz val="9"/>
        <color rgb="FF595959"/>
        <rFont val="Arial"/>
        <family val="0"/>
        <charset val="1"/>
      </rPr>
      <t xml:space="preserve">90%+</t>
    </r>
    <r>
      <rPr>
        <sz val="9"/>
        <color rgb="FF595959"/>
        <rFont val="Noto Sans CJK SC"/>
        <family val="2"/>
      </rPr>
      <t xml:space="preserve">（不含總部費用，</t>
    </r>
    <r>
      <rPr>
        <sz val="9"/>
        <color rgb="FF595959"/>
        <rFont val="Arial"/>
        <family val="0"/>
        <charset val="1"/>
      </rPr>
      <t xml:space="preserve">[Interested-party] Galaxy 2026 Q2 </t>
    </r>
    <r>
      <rPr>
        <sz val="9"/>
        <color rgb="FF595959"/>
        <rFont val="Noto Sans CJK SC"/>
        <family val="2"/>
      </rPr>
      <t xml:space="preserve">簡報）、</t>
    </r>
    <r>
      <rPr>
        <sz val="9"/>
        <color rgb="FF595959"/>
        <rFont val="Arial"/>
        <family val="0"/>
        <charset val="1"/>
      </rPr>
      <t xml:space="preserve">WhiteFiber Q2 </t>
    </r>
    <r>
      <rPr>
        <sz val="9"/>
        <color rgb="FF595959"/>
        <rFont val="Noto Sans CJK SC"/>
        <family val="2"/>
      </rPr>
      <t xml:space="preserve">站點層級 </t>
    </r>
    <r>
      <rPr>
        <sz val="9"/>
        <color rgb="FF595959"/>
        <rFont val="Arial"/>
        <family val="0"/>
        <charset val="1"/>
      </rPr>
      <t xml:space="preserve">63%</t>
    </r>
    <r>
      <rPr>
        <sz val="9"/>
        <color rgb="FF595959"/>
        <rFont val="Noto Sans CJK SC"/>
        <family val="2"/>
      </rPr>
      <t xml:space="preserve">；扣總部費用後取 </t>
    </r>
    <r>
      <rPr>
        <sz val="9"/>
        <color rgb="FF595959"/>
        <rFont val="Arial"/>
        <family val="0"/>
        <charset val="1"/>
      </rPr>
      <t xml:space="preserve">55%–80%</t>
    </r>
    <r>
      <rPr>
        <sz val="9"/>
        <color rgb="FF595959"/>
        <rFont val="Noto Sans CJK SC"/>
        <family val="2"/>
      </rPr>
      <t xml:space="preserve">），線性走向 </t>
    </r>
    <r>
      <rPr>
        <sz val="9"/>
        <color rgb="FF595959"/>
        <rFont val="Arial"/>
        <family val="0"/>
        <charset val="1"/>
      </rPr>
      <t xml:space="preserve">FY30</t>
    </r>
    <r>
      <rPr>
        <sz val="9"/>
        <color rgb="FF595959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</si>
  <si>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託管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</si>
  <si>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Noto Sans CJK SC"/>
        <family val="2"/>
      </rPr>
      <t xml:space="preserve">＝營收 </t>
    </r>
    <r>
      <rPr>
        <sz val="9"/>
        <color rgb="FF595959"/>
        <rFont val="Arial"/>
        <family val="0"/>
        <charset val="1"/>
      </rPr>
      <t xml:space="preserve">× EBITDA </t>
    </r>
    <r>
      <rPr>
        <sz val="9"/>
        <color rgb="FF595959"/>
        <rFont val="Noto Sans CJK SC"/>
        <family val="2"/>
      </rPr>
      <t xml:space="preserve">率；同時進入損益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與營運來源（現金稅另列）</t>
    </r>
  </si>
  <si>
    <r>
      <rPr>
        <sz val="10"/>
        <rFont val="Noto Sans CJK SC"/>
        <family val="2"/>
      </rPr>
      <t xml:space="preserve">託管｜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核對（</t>
    </r>
    <r>
      <rPr>
        <sz val="10"/>
        <rFont val="Arial"/>
        <family val="0"/>
        <charset val="1"/>
      </rPr>
      <t xml:space="preserve">1H</t>
    </r>
    <r>
      <rPr>
        <sz val="10"/>
        <rFont val="Noto Sans CJK SC"/>
        <family val="2"/>
      </rPr>
      <t xml:space="preserve">＋模型期 − 全年）</t>
    </r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</si>
  <si>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：首期年初至今實際＋模型期＝首期全年（各線合計）</t>
    </r>
  </si>
  <si>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｜利潤率（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Noto Sans CJK SC"/>
        <family val="2"/>
      </rPr>
      <t xml:space="preserve">率單一來源；損益與資金共用）</t>
    </r>
  </si>
  <si>
    <r>
      <rPr>
        <sz val="10"/>
        <rFont val="Noto Sans CJK SC"/>
        <family val="2"/>
      </rPr>
      <t xml:space="preserve">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</si>
  <si>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經常性雲端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率（扣終止費 </t>
    </r>
    <r>
      <rPr>
        <sz val="9"/>
        <color rgb="FF595959"/>
        <rFont val="Arial"/>
        <family val="0"/>
        <charset val="1"/>
      </rPr>
      <t xml:space="preserve">12.3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租賃終止成本約 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、呆帳 </t>
    </r>
    <r>
      <rPr>
        <sz val="9"/>
        <color rgb="FF595959"/>
        <rFont val="Arial"/>
        <family val="0"/>
        <charset val="1"/>
      </rPr>
      <t xml:space="preserve">2.2</t>
    </r>
    <r>
      <rPr>
        <sz val="9"/>
        <color rgb="FF595959"/>
        <rFont val="Noto Sans CJK SC"/>
        <family val="2"/>
      </rPr>
      <t xml:space="preserve">；扣託管分部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與其他營收後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經常性雲端營收 </t>
    </r>
    <r>
      <rPr>
        <sz val="9"/>
        <color rgb="FF595959"/>
        <rFont val="Arial"/>
        <family val="0"/>
        <charset val="1"/>
      </rPr>
      <t xml:space="preserve">11.506</t>
    </r>
    <r>
      <rPr>
        <sz val="9"/>
        <color rgb="FF595959"/>
        <rFont val="Noto Sans CJK SC"/>
        <family val="2"/>
      </rPr>
      <t xml:space="preserve">）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</si>
  <si>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</si>
  <si>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的中點 </t>
    </r>
    <r>
      <rPr>
        <sz val="9"/>
        <color rgb="FF595959"/>
        <rFont val="Arial"/>
        <family val="0"/>
        <charset val="1"/>
      </rPr>
      <t xml:space="preserve">47%</t>
    </r>
    <r>
      <rPr>
        <sz val="9"/>
        <color rgb="FF595959"/>
        <rFont val="Noto Sans CJK SC"/>
        <family val="2"/>
      </rPr>
      <t xml:space="preserve">；不取自每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推導路徑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的加成 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</si>
  <si>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Noto Sans CJK SC"/>
        <family val="2"/>
      </rPr>
      <t xml:space="preserve">基準情境租金占 雲端 營收（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</si>
  <si>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Noto Sans CJK SC"/>
        <family val="2"/>
      </rPr>
      <t xml:space="preserve">率校準：基準情境首期租金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雲端 營收，使基準情境起始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率維持上列值；</t>
    </r>
    <r>
      <rPr>
        <sz val="9"/>
        <color rgb="FF595959"/>
        <rFont val="Arial"/>
        <family val="0"/>
        <charset val="1"/>
      </rPr>
      <t xml:space="preserve">scripts/calib_ebitdar.js </t>
    </r>
    <r>
      <rPr>
        <sz val="9"/>
        <color rgb="FF595959"/>
        <rFont val="Noto Sans CJK SC"/>
        <family val="2"/>
      </rPr>
      <t xml:space="preserve">自基準情境計算（</t>
    </r>
    <r>
      <rPr>
        <sz val="9"/>
        <color rgb="FF595959"/>
        <rFont val="Arial"/>
        <family val="0"/>
        <charset val="1"/>
      </rPr>
      <t xml:space="preserve">verify.sh </t>
    </r>
    <r>
      <rPr>
        <sz val="9"/>
        <color rgb="FF595959"/>
        <rFont val="Noto Sans CJK SC"/>
        <family val="2"/>
      </rPr>
      <t xml:space="preserve">檢查）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</si>
  <si>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基準情境租金占 雲端 營收（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</si>
  <si>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同上，基準情境末期；保守與積極用同一 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Noto Sans CJK SC"/>
        <family val="2"/>
      </rPr>
      <t xml:space="preserve">率，因而承擔固定租金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</si>
  <si>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率（路徑）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</si>
  <si>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起始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率＋基準起點租金比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[(</t>
    </r>
    <r>
      <rPr>
        <sz val="9"/>
        <color rgb="FF595959"/>
        <rFont val="Noto Sans CJK SC"/>
        <family val="2"/>
      </rPr>
      <t xml:space="preserve">穩態＋基準穩態租金比</t>
    </r>
    <r>
      <rPr>
        <sz val="9"/>
        <color rgb="FF595959"/>
        <rFont val="Arial"/>
        <family val="0"/>
        <charset val="1"/>
      </rPr>
      <t xml:space="preserve">)−(</t>
    </r>
    <r>
      <rPr>
        <sz val="9"/>
        <color rgb="FF595959"/>
        <rFont val="Noto Sans CJK SC"/>
        <family val="2"/>
      </rPr>
      <t xml:space="preserve">起始＋基準起點租金比</t>
    </r>
    <r>
      <rPr>
        <sz val="9"/>
        <color rgb="FF595959"/>
        <rFont val="Arial"/>
        <family val="0"/>
        <charset val="1"/>
      </rPr>
      <t xml:space="preserve">)]×</t>
    </r>
    <r>
      <rPr>
        <sz val="9"/>
        <color rgb="FF595959"/>
        <rFont val="Noto Sans CJK SC"/>
        <family val="2"/>
      </rPr>
      <t xml:space="preserve">期數</t>
    </r>
    <r>
      <rPr>
        <sz val="9"/>
        <color rgb="FF595959"/>
        <rFont val="Arial"/>
        <family val="0"/>
        <charset val="1"/>
      </rPr>
      <t xml:space="preserve">÷4</t>
    </r>
    <r>
      <rPr>
        <sz val="9"/>
        <color rgb="FF595959"/>
        <rFont val="Noto Sans CJK SC"/>
        <family val="2"/>
      </rPr>
      <t xml:space="preserve">（公式）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</si>
  <si>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</si>
  <si>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Noto Sans CJK SC"/>
        <family val="2"/>
      </rPr>
      <t xml:space="preserve">率 − 租金合計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雲端 營收（公式；租金為固定成本，低營收情境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率較低）</t>
    </r>
  </si>
  <si>
    <t xml:space="preserve">非算力服務現金</t>
  </si>
  <si>
    <r>
      <rPr>
        <sz val="9"/>
        <color rgb="FF595959"/>
        <rFont val="Noto Sans CJK SC"/>
        <family val="2"/>
      </rPr>
      <t xml:space="preserve">＝服務營收 </t>
    </r>
    <r>
      <rPr>
        <sz val="9"/>
        <color rgb="FF595959"/>
        <rFont val="Arial"/>
        <family val="0"/>
        <charset val="1"/>
      </rPr>
      <t xml:space="preserve">× EBITDAR </t>
    </r>
    <r>
      <rPr>
        <sz val="9"/>
        <color rgb="FF595959"/>
        <rFont val="Noto Sans CJK SC"/>
        <family val="2"/>
      </rPr>
      <t xml:space="preserve">率（公式）</t>
    </r>
  </si>
  <si>
    <r>
      <rPr>
        <b val="true"/>
        <sz val="10"/>
        <color rgb="FF1F3864"/>
        <rFont val="Noto Sans CJK SC"/>
        <family val="2"/>
      </rPr>
      <t xml:space="preserve">▸ 電力／維護 </t>
    </r>
    <r>
      <rPr>
        <b val="true"/>
        <sz val="10"/>
        <color rgb="FF1F3864"/>
        <rFont val="Arial"/>
        <family val="0"/>
        <charset val="1"/>
      </rPr>
      <t xml:space="preserve">overlay</t>
    </r>
    <r>
      <rPr>
        <b val="true"/>
        <sz val="10"/>
        <color rgb="FF1F3864"/>
        <rFont val="Noto Sans CJK SC"/>
        <family val="2"/>
      </rPr>
      <t xml:space="preserve">（預設關閉；</t>
    </r>
    <r>
      <rPr>
        <b val="true"/>
        <sz val="10"/>
        <color rgb="FF1F3864"/>
        <rFont val="Arial"/>
        <family val="0"/>
        <charset val="1"/>
      </rPr>
      <t xml:space="preserve">EBITDA </t>
    </r>
    <r>
      <rPr>
        <b val="true"/>
        <sz val="10"/>
        <color rgb="FF1F3864"/>
        <rFont val="Noto Sans CJK SC"/>
        <family val="2"/>
      </rPr>
      <t xml:space="preserve">已含電費）</t>
    </r>
  </si>
  <si>
    <r>
      <rPr>
        <sz val="10"/>
        <rFont val="Noto Sans CJK SC"/>
        <family val="2"/>
      </rPr>
      <t xml:space="preserve">電力／維護 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</si>
  <si>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率已含電費，開啟會重複扣除，僅供壓力測試</t>
    </r>
  </si>
  <si>
    <t xml:space="preserve">電價</t>
  </si>
  <si>
    <t xml:space="preserve">$/MWh</t>
  </si>
  <si>
    <r>
      <rPr>
        <sz val="9"/>
        <color rgb="FF595959"/>
        <rFont val="Arial"/>
        <family val="0"/>
        <charset val="1"/>
      </rPr>
      <t xml:space="preserve">overlay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</si>
  <si>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PUE</t>
  </si>
  <si>
    <t xml:space="preserve">維護成本</t>
  </si>
  <si>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｜支出（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Noto Sans CJK SC"/>
        <family val="2"/>
      </rPr>
      <t xml:space="preserve">、車隊折舊、租賃、</t>
    </r>
    <r>
      <rPr>
        <b val="true"/>
        <sz val="10"/>
        <rFont val="Arial"/>
        <family val="0"/>
        <charset val="1"/>
      </rPr>
      <t xml:space="preserve">JV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</si>
  <si>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提前支出比例 </t>
    </r>
    <r>
      <rPr>
        <sz val="10"/>
        <rFont val="Arial"/>
        <family val="0"/>
        <charset val="1"/>
      </rPr>
      <t xml:space="preserve">λ</t>
    </r>
  </si>
  <si>
    <r>
      <rPr>
        <sz val="9"/>
        <color rgb="FF595959"/>
        <rFont val="Noto Sans CJK SC"/>
        <family val="2"/>
      </rPr>
      <t xml:space="preserve">次年才上線的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，其建置支出落在前一年的比例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</si>
  <si>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FY31 </t>
    </r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預建用）</t>
    </r>
  </si>
  <si>
    <r>
      <rPr>
        <sz val="9"/>
        <color rgb="FF595959"/>
        <rFont val="Noto Sans CJK SC"/>
        <family val="2"/>
      </rPr>
      <t xml:space="preserve">隨情境：保守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／基準 </t>
    </r>
    <r>
      <rPr>
        <sz val="9"/>
        <color rgb="FF595959"/>
        <rFont val="Arial"/>
        <family val="0"/>
        <charset val="1"/>
      </rPr>
      <t xml:space="preserve">500</t>
    </r>
    <r>
      <rPr>
        <sz val="9"/>
        <color rgb="FF595959"/>
        <rFont val="Noto Sans CJK SC"/>
        <family val="2"/>
      </rPr>
      <t xml:space="preserve">／積極 </t>
    </r>
    <r>
      <rPr>
        <sz val="9"/>
        <color rgb="FF595959"/>
        <rFont val="Arial"/>
        <family val="0"/>
        <charset val="1"/>
      </rPr>
      <t xml:space="preserve">1,000 [Assumed]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</si>
  <si>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Noto Sans CJK SC"/>
        <family val="2"/>
      </rPr>
      <t xml:space="preserve">下限（已承諾）</t>
    </r>
  </si>
  <si>
    <t xml:space="preserve">全年指引下緣（公司未給資本支出指引（不適用））：當年支出多已下單</t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</si>
  <si>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經濟壽命（年）</t>
    </r>
  </si>
  <si>
    <r>
      <rPr>
        <sz val="9"/>
        <color rgb="FF595959"/>
        <rFont val="Noto Sans CJK SC"/>
        <family val="2"/>
      </rPr>
      <t xml:space="preserve">公司伺服器與網通設備耐用年限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Tokenomics 6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</si>
  <si>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PP&amp;E </t>
    </r>
    <r>
      <rPr>
        <sz val="10"/>
        <rFont val="Noto Sans CJK SC"/>
        <family val="2"/>
      </rPr>
      <t xml:space="preserve">基礎</t>
    </r>
  </si>
  <si>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Noto Sans CJK SC"/>
        <family val="2"/>
      </rPr>
      <t xml:space="preserve">：以 </t>
    </r>
    <r>
      <rPr>
        <sz val="9"/>
        <color rgb="FF595959"/>
        <rFont val="Arial"/>
        <family val="0"/>
        <charset val="1"/>
      </rPr>
      <t xml:space="preserve">Q2 D&amp;A 6.567 </t>
    </r>
    <r>
      <rPr>
        <sz val="9"/>
        <color rgb="FF595959"/>
        <rFont val="Noto Sans CJK SC"/>
        <family val="2"/>
      </rPr>
      <t xml:space="preserve">扣託管在役資產折舊約 </t>
    </r>
    <r>
      <rPr>
        <sz val="9"/>
        <color rgb="FF595959"/>
        <rFont val="Arial"/>
        <family val="0"/>
        <charset val="1"/>
      </rPr>
      <t xml:space="preserve">0.99</t>
    </r>
    <r>
      <rPr>
        <sz val="9"/>
        <color rgb="FF595959"/>
        <rFont val="Noto Sans CJK SC"/>
        <family val="2"/>
      </rPr>
      <t xml:space="preserve">（託管設備＋建物＋租賃改良毛額 </t>
    </r>
    <r>
      <rPr>
        <sz val="9"/>
        <color rgb="FF595959"/>
        <rFont val="Arial"/>
        <family val="0"/>
        <charset val="1"/>
      </rPr>
      <t xml:space="preserve">78.9 ÷ 20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4</t>
    </r>
    <r>
      <rPr>
        <sz val="9"/>
        <color rgb="FF595959"/>
        <rFont val="Noto Sans CJK SC"/>
        <family val="2"/>
      </rPr>
      <t xml:space="preserve">）後 </t>
    </r>
    <r>
      <rPr>
        <sz val="9"/>
        <color rgb="FF595959"/>
        <rFont val="Arial"/>
        <family val="0"/>
        <charset val="1"/>
      </rPr>
      <t xml:space="preserve">× 4 × </t>
    </r>
    <r>
      <rPr>
        <sz val="9"/>
        <color rgb="FF595959"/>
        <rFont val="Noto Sans CJK SC"/>
        <family val="2"/>
      </rPr>
      <t xml:space="preserve">壽命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年校準＝</t>
    </r>
    <r>
      <rPr>
        <sz val="9"/>
        <color rgb="FF595959"/>
        <rFont val="Arial"/>
        <family val="0"/>
        <charset val="1"/>
      </rPr>
      <t xml:space="preserve">111.6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雲端設備毛額 </t>
    </r>
    <r>
      <rPr>
        <sz val="9"/>
        <color rgb="FF595959"/>
        <rFont val="Arial"/>
        <family val="0"/>
        <charset val="1"/>
      </rPr>
      <t xml:space="preserve">121.0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</si>
  <si>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建置成本倍數（整體）</t>
    </r>
  </si>
  <si>
    <r>
      <rPr>
        <sz val="9"/>
        <color rgb="FF595959"/>
        <rFont val="Noto Sans CJK SC"/>
        <family val="2"/>
      </rPr>
      <t xml:space="preserve">同時影響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、汰換與車隊折舊；反向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用；預設 </t>
    </r>
    <r>
      <rPr>
        <sz val="9"/>
        <color rgb="FF595959"/>
        <rFont val="Arial"/>
        <family val="0"/>
        <charset val="1"/>
      </rPr>
      <t xml:space="preserve">100%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</si>
  <si>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租賃比例（新增 </t>
    </r>
    <r>
      <rPr>
        <sz val="10"/>
        <rFont val="Arial"/>
        <family val="0"/>
        <charset val="1"/>
      </rPr>
      <t xml:space="preserve">GPU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</si>
  <si>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Noto Sans CJK SC"/>
        <family val="2"/>
      </rPr>
      <t xml:space="preserve">（成長型與汰換）以租賃取得的比例；租賃部分不計資本支出、改計固定租金（</t>
    </r>
    <r>
      <rPr>
        <sz val="9"/>
        <color rgb="FF595959"/>
        <rFont val="Arial"/>
        <family val="0"/>
        <charset val="1"/>
      </rPr>
      <t xml:space="preserve">company.json → defaults.gpuLease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</si>
  <si>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年租金係數（年租金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設備成本）</t>
    </r>
  </si>
  <si>
    <r>
      <rPr>
        <sz val="9"/>
        <color rgb="FF595959"/>
        <rFont val="Noto Sans CJK SC"/>
        <family val="2"/>
      </rPr>
      <t xml:space="preserve">年金因子 </t>
    </r>
    <r>
      <rPr>
        <sz val="9"/>
        <color rgb="FF595959"/>
        <rFont val="Arial"/>
        <family val="0"/>
        <charset val="1"/>
      </rPr>
      <t xml:space="preserve">r ÷ (1 − (1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r)^−n)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 9.5%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 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</si>
  <si>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</t>
    </r>
  </si>
  <si>
    <r>
      <rPr>
        <sz val="9"/>
        <color rgb="FF595959"/>
        <rFont val="Arial"/>
        <family val="0"/>
        <charset val="1"/>
      </rPr>
      <t xml:space="preserve">Tokenomics IF_CapexIT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37.45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37.59 US$m/MW-IT</t>
    </r>
    <r>
      <rPr>
        <sz val="9"/>
        <color rgb="FF595959"/>
        <rFont val="Noto Sans CJK SC"/>
        <family val="2"/>
      </rPr>
      <t xml:space="preserve">；只含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Noto Sans CJK SC"/>
        <family val="2"/>
      </rPr>
      <t xml:space="preserve">，雲端機房以第三方承租取得）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</si>
  <si>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有預付的合約比例</t>
  </si>
  <si>
    <r>
      <rPr>
        <sz val="9"/>
        <color rgb="FF595959"/>
        <rFont val="Noto Sans CJK SC"/>
        <family val="2"/>
      </rPr>
      <t xml:space="preserve">覆蓋比已是整體口徑時為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defaults.prepay</t>
    </r>
    <r>
      <rPr>
        <sz val="9"/>
        <color rgb="FF595959"/>
        <rFont val="Noto Sans CJK SC"/>
        <family val="2"/>
      </rPr>
      <t xml:space="preserve">）</t>
    </r>
  </si>
  <si>
    <t xml:space="preserve">預付占相關資本支出比</t>
  </si>
  <si>
    <r>
      <rPr>
        <sz val="9"/>
        <color rgb="FF595959"/>
        <rFont val="Arial"/>
        <family val="0"/>
        <charset val="1"/>
      </rPr>
      <t xml:space="preserve">WhiteFiber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客戶預付 </t>
    </r>
    <r>
      <rPr>
        <sz val="9"/>
        <color rgb="FF595959"/>
        <rFont val="Arial"/>
        <family val="0"/>
        <charset val="1"/>
      </rPr>
      <t xml:space="preserve">72.6 ÷ </t>
    </r>
    <r>
      <rPr>
        <sz val="9"/>
        <color rgb="FF595959"/>
        <rFont val="Noto Sans CJK SC"/>
        <family val="2"/>
      </rPr>
      <t xml:space="preserve">資本支出 </t>
    </r>
    <r>
      <rPr>
        <sz val="9"/>
        <color rgb="FF595959"/>
        <rFont val="Arial"/>
        <family val="0"/>
        <charset val="1"/>
      </rPr>
      <t xml:space="preserve">344.7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21.1%</t>
    </r>
    <r>
      <rPr>
        <sz val="9"/>
        <color rgb="FF595959"/>
        <rFont val="Noto Sans CJK SC"/>
        <family val="2"/>
      </rPr>
      <t xml:space="preserve">（含託管；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未分拆）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；敏感度 </t>
    </r>
    <r>
      <rPr>
        <sz val="9"/>
        <color rgb="FF595959"/>
        <rFont val="Arial"/>
        <family val="0"/>
        <charset val="1"/>
      </rPr>
      <t xml:space="preserve">±5pt</t>
    </r>
  </si>
  <si>
    <t xml:space="preserve">預付認列年數</t>
  </si>
  <si>
    <r>
      <rPr>
        <sz val="9"/>
        <color rgb="FF595959"/>
        <rFont val="Noto Sans CJK SC"/>
        <family val="2"/>
      </rPr>
      <t xml:space="preserve">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期初合約負債＋本期累積利息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直線認列為營收（非現金）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；完整說明見 </t>
    </r>
    <r>
      <rPr>
        <sz val="9"/>
        <color rgb="FF595959"/>
        <rFont val="Arial"/>
        <family val="0"/>
        <charset val="1"/>
      </rPr>
      <t xml:space="preserve">company.json → defaults.prepay.note</t>
    </r>
  </si>
  <si>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合約負債（客戶預付餘額）</t>
    </r>
  </si>
  <si>
    <r>
      <rPr>
        <sz val="9"/>
        <color rgb="FF595959"/>
        <rFont val="Noto Sans CJK SC"/>
        <family val="2"/>
      </rPr>
      <t xml:space="preserve">遞延營收（合約負債）</t>
    </r>
    <r>
      <rPr>
        <sz val="9"/>
        <color rgb="FF595959"/>
        <rFont val="Arial"/>
        <family val="0"/>
        <charset val="1"/>
      </rPr>
      <t xml:space="preserve">143.110</t>
    </r>
    <r>
      <rPr>
        <sz val="9"/>
        <color rgb="FF595959"/>
        <rFont val="Noto Sans CJK SC"/>
        <family val="2"/>
      </rPr>
      <t xml:space="preserve">：流動 </t>
    </r>
    <r>
      <rPr>
        <sz val="9"/>
        <color rgb="FF595959"/>
        <rFont val="Arial"/>
        <family val="0"/>
        <charset val="1"/>
      </rPr>
      <t xml:space="preserve">17.909</t>
    </r>
    <r>
      <rPr>
        <sz val="9"/>
        <color rgb="FF595959"/>
        <rFont val="Noto Sans CJK SC"/>
        <family val="2"/>
      </rPr>
      <t xml:space="preserve">、非流動 </t>
    </r>
    <r>
      <rPr>
        <sz val="9"/>
        <color rgb="FF595959"/>
        <rFont val="Arial"/>
        <family val="0"/>
        <charset val="1"/>
      </rPr>
      <t xml:space="preserve">125.201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）；未分託管與雲端；認列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年＝</t>
    </r>
    <r>
      <rPr>
        <sz val="9"/>
        <color rgb="FF595959"/>
        <rFont val="Arial"/>
        <family val="0"/>
        <charset val="1"/>
      </rPr>
      <t xml:space="preserve">143.110 ÷ 17.909 [Derived]</t>
    </r>
  </si>
  <si>
    <t xml:space="preserve">預付隱含利率（重大財務組成）</t>
  </si>
  <si>
    <r>
      <rPr>
        <sz val="9"/>
        <color rgb="FF595959"/>
        <rFont val="Noto Sans CJK SC"/>
        <family val="2"/>
      </rPr>
      <t xml:space="preserve">合約負債以此利率累積非現金利息，認列時轉營收（自營運現金扣除）、利息進損益不進現金；敏感度 </t>
    </r>
    <r>
      <rPr>
        <sz val="9"/>
        <color rgb="FF595959"/>
        <rFont val="Arial"/>
        <family val="0"/>
        <charset val="1"/>
      </rPr>
      <t xml:space="preserve">9.5%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defaults.prepay.note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</si>
  <si>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客戶預付占毛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</si>
  <si>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＝有預付的合約比例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預付占相關資本支出比；乘成長型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得預付流入</t>
    </r>
  </si>
  <si>
    <t xml:space="preserve">在帳現金租金（季報到期表）</t>
  </si>
  <si>
    <r>
      <rPr>
        <sz val="9"/>
        <color rgb="FF595959"/>
        <rFont val="Noto Sans CJK SC"/>
        <family val="2"/>
      </rPr>
      <t xml:space="preserve">營業＋融資租賃未折現付款；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5.76 [Verified]</t>
    </r>
  </si>
  <si>
    <t xml:space="preserve">未起租：期末累計季數（評價日起）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</si>
  <si>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× </t>
    </r>
    <r>
      <rPr>
        <sz val="9"/>
        <color rgb="FF595959"/>
        <rFont val="Noto Sans CJK SC"/>
        <family val="2"/>
      </rPr>
      <t xml:space="preserve">累計期間長度；用於起租排程</t>
    </r>
  </si>
  <si>
    <t xml:space="preserve">表外現金租金（未起租）</t>
  </si>
  <si>
    <r>
      <rPr>
        <sz val="9"/>
        <color rgb="FF595959"/>
        <rFont val="Noto Sans CJK SC"/>
        <family val="2"/>
      </rPr>
      <t xml:space="preserve">＝每筆季租（總額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季數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租期 </t>
    </r>
    <r>
      <rPr>
        <sz val="9"/>
        <color rgb="FF595959"/>
        <rFont val="Arial"/>
        <family val="0"/>
        <charset val="1"/>
      </rPr>
      <t xml:space="preserve">÷ 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期末 − 期初累計已起租筆季數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；三情境相同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</si>
  <si>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已承諾餘額出資</t>
    </r>
  </si>
  <si>
    <r>
      <rPr>
        <sz val="9"/>
        <color rgb="FF595959"/>
        <rFont val="Noto Sans CJK SC"/>
        <family val="2"/>
      </rPr>
      <t xml:space="preserve">季報未揭露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Noto Sans CJK SC"/>
        <family val="2"/>
      </rPr>
      <t xml:space="preserve">出資承諾（不適用）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</si>
  <si>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後續增資＋策略投資</t>
    </r>
  </si>
  <si>
    <r>
      <rPr>
        <sz val="9"/>
        <color rgb="FF595959"/>
        <rFont val="Noto Sans CJK SC"/>
        <family val="2"/>
      </rPr>
      <t xml:space="preserve">收購與策略投資，未揭露計畫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</si>
  <si>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／策略投資出資</t>
    </r>
  </si>
  <si>
    <t xml:space="preserve">＝已承諾餘額＋後續增資</t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</si>
  <si>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推導明細（由 </t>
    </r>
    <r>
      <rPr>
        <b val="true"/>
        <sz val="10"/>
        <color rgb="FF1F3864"/>
        <rFont val="Arial"/>
        <family val="0"/>
        <charset val="1"/>
      </rPr>
      <t xml:space="preserve">Accepted MW </t>
    </r>
    <r>
      <rPr>
        <b val="true"/>
        <sz val="10"/>
        <color rgb="FF1F3864"/>
        <rFont val="Noto Sans CJK SC"/>
        <family val="2"/>
      </rPr>
      <t xml:space="preserve">連動）</t>
    </r>
  </si>
  <si>
    <t xml:space="preserve">期初主動電力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</si>
  <si>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5.5 MW</t>
    </r>
  </si>
  <si>
    <r>
      <rPr>
        <sz val="10"/>
        <rFont val="Noto Sans CJK SC"/>
        <family val="2"/>
      </rPr>
      <t xml:space="preserve">本期新增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</si>
  <si>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次期新增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</si>
  <si>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全年毛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（公式）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</si>
  <si>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本期新增</t>
    </r>
    <r>
      <rPr>
        <sz val="9"/>
        <color rgb="FF595959"/>
        <rFont val="Arial"/>
        <family val="0"/>
        <charset val="1"/>
      </rPr>
      <t xml:space="preserve">×(1−λ)</t>
    </r>
    <r>
      <rPr>
        <sz val="9"/>
        <color rgb="FF595959"/>
        <rFont val="Noto Sans CJK SC"/>
        <family val="2"/>
      </rPr>
      <t xml:space="preserve">＋次期新增</t>
    </r>
    <r>
      <rPr>
        <sz val="9"/>
        <color rgb="FF595959"/>
        <rFont val="Arial"/>
        <family val="0"/>
        <charset val="1"/>
      </rPr>
      <t xml:space="preserve">×λ)×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</si>
  <si>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成長型投資（自購＋租賃）</t>
    </r>
  </si>
  <si>
    <r>
      <rPr>
        <sz val="9"/>
        <color rgb="FF595959"/>
        <rFont val="Arial"/>
        <family val="0"/>
        <charset val="1"/>
      </rPr>
      <t xml:space="preserve">WhiteFiber v0.1b</t>
    </r>
    <r>
      <rPr>
        <sz val="9"/>
        <color rgb="FF595959"/>
        <rFont val="Noto Sans CJK SC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的總投資；自購部分＝下一列，租賃部分改計租金（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租賃列）</t>
    </r>
  </si>
  <si>
    <r>
      <rPr>
        <sz val="10"/>
        <rFont val="Noto Sans CJK SC"/>
        <family val="2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</si>
  <si>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全年公式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下限</t>
    </r>
    <r>
      <rPr>
        <sz val="9"/>
        <color rgb="FF595959"/>
        <rFont val="Arial"/>
        <family val="0"/>
        <charset val="1"/>
      </rPr>
      <t xml:space="preserve">) − 1H </t>
    </r>
    <r>
      <rPr>
        <sz val="9"/>
        <color rgb="FF595959"/>
        <rFont val="Noto Sans CJK SC"/>
        <family val="2"/>
      </rPr>
      <t xml:space="preserve">已認列（第一分部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部分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WhiteFiber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資本支出幾乎全為託管，見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區）</t>
    </r>
  </si>
  <si>
    <r>
      <rPr>
        <sz val="10"/>
        <rFont val="Noto Sans CJK SC"/>
        <family val="2"/>
      </rPr>
      <t xml:space="preserve">批次汰換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</si>
  <si>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本年 − 壽命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那年新增的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成本；取代已折舊完的設備（批次落在模型期之後則為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</si>
  <si>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穩態汰換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</si>
  <si>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＝期間平均已連網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GPU </t>
    </r>
    <r>
      <rPr>
        <sz val="9"/>
        <color rgb="FF595959"/>
        <rFont val="Noto Sans CJK SC"/>
        <family val="2"/>
      </rPr>
      <t xml:space="preserve">資本支出（只含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；建築與電力屬租賃不計）</t>
    </r>
    <r>
      <rPr>
        <sz val="9"/>
        <color rgb="FF595959"/>
        <rFont val="Arial"/>
        <family val="0"/>
        <charset val="1"/>
      </rPr>
      <t xml:space="preserve">÷ GPU </t>
    </r>
    <r>
      <rPr>
        <sz val="9"/>
        <color rgb="FF595959"/>
        <rFont val="Noto Sans CJK SC"/>
        <family val="2"/>
      </rPr>
      <t xml:space="preserve">經濟壽命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</si>
  <si>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r>
      <rPr>
        <sz val="10"/>
        <rFont val="Noto Sans CJK SC"/>
        <family val="2"/>
      </rPr>
      <t xml:space="preserve">穩態汰換旗標（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＝已連網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不再增加或終值年）</t>
    </r>
  </si>
  <si>
    <r>
      <rPr>
        <sz val="9"/>
        <color rgb="FF595959"/>
        <rFont val="Noto Sans CJK SC"/>
        <family val="2"/>
      </rPr>
      <t xml:space="preserve">觸頂後（本期新增 </t>
    </r>
    <r>
      <rPr>
        <sz val="9"/>
        <color rgb="FF595959"/>
        <rFont val="Arial"/>
        <family val="0"/>
        <charset val="1"/>
      </rPr>
      <t xml:space="preserve">MW ≤ 0</t>
    </r>
    <r>
      <rPr>
        <sz val="9"/>
        <color rgb="FF595959"/>
        <rFont val="Noto Sans CJK SC"/>
        <family val="2"/>
      </rPr>
      <t xml:space="preserve">）及終值年（</t>
    </r>
    <r>
      <rPr>
        <sz val="9"/>
        <color rgb="FF595959"/>
        <rFont val="Arial"/>
        <family val="0"/>
        <charset val="1"/>
      </rPr>
      <t xml:space="preserve">FY30</t>
    </r>
    <r>
      <rPr>
        <sz val="9"/>
        <color rgb="FF595959"/>
        <rFont val="Noto Sans CJK SC"/>
        <family val="2"/>
      </rPr>
      <t xml:space="preserve">）採穩態汰換，其餘採批次汰換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</si>
  <si>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</si>
  <si>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＝旗標為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時取穩態汰換，否則取批次汰換；只計自購部分（</t>
    </r>
    <r>
      <rPr>
        <sz val="9"/>
        <color rgb="FF595959"/>
        <rFont val="Arial"/>
        <family val="0"/>
        <charset val="1"/>
      </rPr>
      <t xml:space="preserve">×(1 − GPU </t>
    </r>
    <r>
      <rPr>
        <sz val="9"/>
        <color rgb="FF595959"/>
        <rFont val="Noto Sans CJK SC"/>
        <family val="2"/>
      </rPr>
      <t xml:space="preserve">租賃比例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；租賃部分由續租承擔）；汰換不增加折舊基礎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</si>
  <si>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租賃｜本期新增租賃設備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</si>
  <si>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成長型投資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租賃比例（</t>
    </r>
    <r>
      <rPr>
        <sz val="9"/>
        <color rgb="FF595959"/>
        <rFont val="Arial"/>
        <family val="0"/>
        <charset val="1"/>
      </rPr>
      <t xml:space="preserve">WhiteFiber 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</si>
  <si>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租賃｜期初累計租賃設備</t>
    </r>
  </si>
  <si>
    <t xml:space="preserve">＝前期期初＋前期新增（租約到期以同租金續租）</t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</si>
  <si>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租金（租賃設備）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</si>
  <si>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期初累計＋本期新增 </t>
    </r>
    <r>
      <rPr>
        <sz val="9"/>
        <color rgb="FF595959"/>
        <rFont val="Arial"/>
        <family val="0"/>
        <charset val="1"/>
      </rPr>
      <t xml:space="preserve">× ½) × </t>
    </r>
    <r>
      <rPr>
        <sz val="9"/>
        <color rgb="FF595959"/>
        <rFont val="Noto Sans CJK SC"/>
        <family val="2"/>
      </rPr>
      <t xml:space="preserve">年租金係數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期間長度；固定租金，進租金合計（扣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</si>
  <si>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期初毛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</si>
  <si>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Noto Sans CJK SC"/>
        <family val="2"/>
      </rPr>
      <t xml:space="preserve">之後＝前期期初＋前期成長型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（汰換不增加基礎）</t>
    </r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</si>
  <si>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與折舊（結果；下游引用）</t>
    </r>
  </si>
  <si>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（模型期，下游引用此列）</t>
    </r>
  </si>
  <si>
    <r>
      <rPr>
        <sz val="9"/>
        <color rgb="FF595959"/>
        <rFont val="Noto Sans CJK SC"/>
        <family val="2"/>
      </rPr>
      <t xml:space="preserve">＝成長型＋汰換＋託管建置（</t>
    </r>
    <r>
      <rPr>
        <sz val="9"/>
        <color rgb="FF595959"/>
        <rFont val="Arial"/>
        <family val="0"/>
        <charset val="1"/>
      </rPr>
      <t xml:space="preserve">B2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</si>
  <si>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（車隊折舊）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</si>
  <si>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期初毛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Noto Sans CJK SC"/>
        <family val="2"/>
      </rPr>
      <t xml:space="preserve">＋本期成長型</t>
    </r>
    <r>
      <rPr>
        <sz val="9"/>
        <color rgb="FF595959"/>
        <rFont val="Arial"/>
        <family val="0"/>
        <charset val="1"/>
      </rPr>
      <t xml:space="preserve">×½)÷</t>
    </r>
    <r>
      <rPr>
        <sz val="9"/>
        <color rgb="FF595959"/>
        <rFont val="Noto Sans CJK SC"/>
        <family val="2"/>
      </rPr>
      <t xml:space="preserve">壽命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期間長度＋託管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（建物，</t>
    </r>
    <r>
      <rPr>
        <sz val="9"/>
        <color rgb="FF595959"/>
        <rFont val="Arial"/>
        <family val="0"/>
        <charset val="1"/>
      </rPr>
      <t xml:space="preserve">B2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</si>
  <si>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｜融資（期初現金、既有債務、瀑布參數）</t>
    </r>
  </si>
  <si>
    <r>
      <rPr>
        <b val="true"/>
        <sz val="10"/>
        <color rgb="FF1F3864"/>
        <rFont val="Noto Sans CJK SC"/>
        <family val="2"/>
      </rPr>
      <t xml:space="preserve">▸ 期後事件（期後調整：評價日現金、淨負債、股數、</t>
    </r>
    <r>
      <rPr>
        <b val="true"/>
        <sz val="10"/>
        <color rgb="FF1F3864"/>
        <rFont val="Arial"/>
        <family val="0"/>
        <charset val="1"/>
      </rPr>
      <t xml:space="preserve">CAPM </t>
    </r>
    <r>
      <rPr>
        <b val="true"/>
        <sz val="10"/>
        <color rgb="FF1F3864"/>
        <rFont val="Noto Sans CJK SC"/>
        <family val="2"/>
      </rPr>
      <t xml:space="preserve">權重；逐筆）</t>
    </r>
  </si>
  <si>
    <t xml:space="preserve">期後事件</t>
  </si>
  <si>
    <t xml:space="preserve">日期</t>
  </si>
  <si>
    <t xml:space="preserve">現金</t>
  </si>
  <si>
    <t xml:space="preserve">其他借款</t>
  </si>
  <si>
    <t xml:space="preserve">可轉債</t>
  </si>
  <si>
    <r>
      <rPr>
        <b val="true"/>
        <sz val="11"/>
        <color rgb="FFFFFFFF"/>
        <rFont val="Noto Sans CJK SC"/>
        <family val="2"/>
      </rPr>
      <t xml:space="preserve">股數（</t>
    </r>
    <r>
      <rPr>
        <b val="true"/>
        <sz val="11"/>
        <color rgb="FFFFFFFF"/>
        <rFont val="Arial"/>
        <family val="0"/>
        <charset val="1"/>
      </rPr>
      <t xml:space="preserve">m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</si>
  <si>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說明</t>
  </si>
  <si>
    <r>
      <rPr>
        <sz val="10"/>
        <rFont val="Noto Sans CJK SC"/>
        <family val="2"/>
      </rPr>
      <t xml:space="preserve">期後事件｜</t>
    </r>
    <r>
      <rPr>
        <sz val="10"/>
        <rFont val="Arial"/>
        <family val="0"/>
        <charset val="1"/>
      </rPr>
      <t xml:space="preserve">2032 </t>
    </r>
    <r>
      <rPr>
        <sz val="10"/>
        <rFont val="Noto Sans CJK SC"/>
        <family val="2"/>
      </rPr>
      <t xml:space="preserve">可轉債發行（淨收入）</t>
    </r>
  </si>
  <si>
    <t xml:space="preserve">2026-08-21</t>
  </si>
  <si>
    <r>
      <rPr>
        <sz val="9"/>
        <color rgb="FF595959"/>
        <rFont val="Noto Sans CJK SC"/>
        <family val="2"/>
      </rPr>
      <t xml:space="preserve">面額 </t>
    </r>
    <r>
      <rPr>
        <sz val="9"/>
        <color rgb="FF595959"/>
        <rFont val="Arial"/>
        <family val="0"/>
        <charset val="1"/>
      </rPr>
      <t xml:space="preserve">310</t>
    </r>
    <r>
      <rPr>
        <sz val="9"/>
        <color rgb="FF595959"/>
        <rFont val="Noto Sans CJK SC"/>
        <family val="2"/>
      </rPr>
      <t xml:space="preserve">（含超額配售 </t>
    </r>
    <r>
      <rPr>
        <sz val="9"/>
        <color rgb="FF595959"/>
        <rFont val="Arial"/>
        <family val="0"/>
        <charset val="1"/>
      </rPr>
      <t xml:space="preserve">40</t>
    </r>
    <r>
      <rPr>
        <sz val="9"/>
        <color rgb="FF595959"/>
        <rFont val="Noto Sans CJK SC"/>
        <family val="2"/>
      </rPr>
      <t xml:space="preserve">）、淨收入 </t>
    </r>
    <r>
      <rPr>
        <sz val="9"/>
        <color rgb="FF595959"/>
        <rFont val="Arial"/>
        <family val="0"/>
        <charset val="1"/>
      </rPr>
      <t xml:space="preserve">298.5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8-K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</si>
  <si>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期後事件｜</t>
    </r>
    <r>
      <rPr>
        <sz val="10"/>
        <rFont val="Arial"/>
        <family val="0"/>
        <charset val="1"/>
      </rPr>
      <t xml:space="preserve">2031 </t>
    </r>
    <r>
      <rPr>
        <sz val="10"/>
        <rFont val="Noto Sans CJK SC"/>
        <family val="2"/>
      </rPr>
      <t xml:space="preserve">可轉債交換</t>
    </r>
  </si>
  <si>
    <r>
      <rPr>
        <sz val="9"/>
        <color rgb="FF595959"/>
        <rFont val="Noto Sans CJK SC"/>
        <family val="2"/>
      </rPr>
      <t xml:space="preserve">現金約 </t>
    </r>
    <r>
      <rPr>
        <sz val="9"/>
        <color rgb="FF595959"/>
        <rFont val="Arial"/>
        <family val="0"/>
        <charset val="1"/>
      </rPr>
      <t xml:space="preserve">118.5</t>
    </r>
    <r>
      <rPr>
        <sz val="9"/>
        <color rgb="FF595959"/>
        <rFont val="Noto Sans CJK SC"/>
        <family val="2"/>
      </rPr>
      <t xml:space="preserve">（含應計利息）＋股數：</t>
    </r>
    <r>
      <rPr>
        <sz val="9"/>
        <color rgb="FF595959"/>
        <rFont val="Arial"/>
        <family val="0"/>
        <charset val="1"/>
      </rPr>
      <t xml:space="preserve">13D/A </t>
    </r>
    <r>
      <rPr>
        <sz val="9"/>
        <color rgb="FF595959"/>
        <rFont val="Noto Sans CJK SC"/>
        <family val="2"/>
      </rPr>
      <t xml:space="preserve">交換後 </t>
    </r>
    <r>
      <rPr>
        <sz val="9"/>
        <color rgb="FF595959"/>
        <rFont val="Arial"/>
        <family val="0"/>
        <charset val="1"/>
      </rPr>
      <t xml:space="preserve">45.119652m − 6/30 38.841201m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6.278451m [Derived]</t>
    </r>
    <r>
      <rPr>
        <sz val="9"/>
        <color rgb="FF595959"/>
        <rFont val="Noto Sans CJK SC"/>
        <family val="2"/>
      </rPr>
      <t xml:space="preserve">；面額 </t>
    </r>
    <r>
      <rPr>
        <sz val="9"/>
        <color rgb="FF595959"/>
        <rFont val="Arial"/>
        <family val="0"/>
        <charset val="1"/>
      </rPr>
      <t xml:space="preserve">198.15 </t>
    </r>
    <r>
      <rPr>
        <sz val="9"/>
        <color rgb="FF595959"/>
        <rFont val="Noto Sans CJK SC"/>
        <family val="2"/>
      </rPr>
      <t xml:space="preserve">換回，剩 </t>
    </r>
    <r>
      <rPr>
        <sz val="9"/>
        <color rgb="FF595959"/>
        <rFont val="Arial"/>
        <family val="0"/>
        <charset val="1"/>
      </rPr>
      <t xml:space="preserve">31.85</t>
    </r>
  </si>
  <si>
    <r>
      <rPr>
        <sz val="10"/>
        <rFont val="Noto Sans CJK SC"/>
        <family val="2"/>
      </rPr>
      <t xml:space="preserve">期後事件｜</t>
    </r>
    <r>
      <rPr>
        <sz val="10"/>
        <rFont val="Arial"/>
        <family val="0"/>
        <charset val="1"/>
      </rPr>
      <t xml:space="preserve">DDTL </t>
    </r>
    <r>
      <rPr>
        <sz val="10"/>
        <rFont val="Noto Sans CJK SC"/>
        <family val="2"/>
      </rPr>
      <t xml:space="preserve">追加動用</t>
    </r>
  </si>
  <si>
    <r>
      <rPr>
        <sz val="9"/>
        <color rgb="FF595959"/>
        <rFont val="Arial"/>
        <family val="0"/>
        <charset val="1"/>
      </rPr>
      <t xml:space="preserve">2026-07-27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07-31</t>
    </r>
  </si>
  <si>
    <r>
      <rPr>
        <sz val="9"/>
        <color rgb="FF595959"/>
        <rFont val="Noto Sans CJK SC"/>
        <family val="2"/>
      </rPr>
      <t xml:space="preserve">動用 </t>
    </r>
    <r>
      <rPr>
        <sz val="9"/>
        <color rgb="FF595959"/>
        <rFont val="Arial"/>
        <family val="0"/>
        <charset val="1"/>
      </rPr>
      <t xml:space="preserve">30.0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），扣 </t>
    </r>
    <r>
      <rPr>
        <sz val="9"/>
        <color rgb="FF595959"/>
        <rFont val="Arial"/>
        <family val="0"/>
        <charset val="1"/>
      </rPr>
      <t xml:space="preserve">3% OID </t>
    </r>
    <r>
      <rPr>
        <sz val="9"/>
        <color rgb="FF595959"/>
        <rFont val="Noto Sans CJK SC"/>
        <family val="2"/>
      </rPr>
      <t xml:space="preserve">後現金約 </t>
    </r>
    <r>
      <rPr>
        <sz val="9"/>
        <color rgb="FF595959"/>
        <rFont val="Arial"/>
        <family val="0"/>
        <charset val="1"/>
      </rPr>
      <t xml:space="preserve">29.1 [Derived]</t>
    </r>
  </si>
  <si>
    <r>
      <rPr>
        <sz val="10"/>
        <rFont val="Noto Sans CJK SC"/>
        <family val="2"/>
      </rPr>
      <t xml:space="preserve">期後事件｜</t>
    </r>
    <r>
      <rPr>
        <sz val="10"/>
        <rFont val="Arial"/>
        <family val="0"/>
        <charset val="1"/>
      </rPr>
      <t xml:space="preserve">RBC </t>
    </r>
    <r>
      <rPr>
        <sz val="10"/>
        <rFont val="Noto Sans CJK SC"/>
        <family val="2"/>
      </rPr>
      <t xml:space="preserve">聯貸動用並再融資 </t>
    </r>
    <r>
      <rPr>
        <sz val="10"/>
        <rFont val="Arial"/>
        <family val="0"/>
        <charset val="1"/>
      </rPr>
      <t xml:space="preserve">RBC</t>
    </r>
  </si>
  <si>
    <t xml:space="preserve">2026-07-15</t>
  </si>
  <si>
    <r>
      <rPr>
        <sz val="9"/>
        <color rgb="FF595959"/>
        <rFont val="Noto Sans CJK SC"/>
        <family val="2"/>
      </rPr>
      <t xml:space="preserve">動用 </t>
    </r>
    <r>
      <rPr>
        <sz val="9"/>
        <color rgb="FF595959"/>
        <rFont val="Arial"/>
        <family val="0"/>
        <charset val="1"/>
      </rPr>
      <t xml:space="preserve">CAD 36.8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USD 26.2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換算；</t>
    </r>
    <r>
      <rPr>
        <sz val="9"/>
        <color rgb="FF595959"/>
        <rFont val="Arial"/>
        <family val="0"/>
        <charset val="1"/>
      </rPr>
      <t xml:space="preserve">2026-07-15</t>
    </r>
    <r>
      <rPr>
        <sz val="9"/>
        <color rgb="FF595959"/>
        <rFont val="Noto Sans CJK SC"/>
        <family val="2"/>
      </rPr>
      <t xml:space="preserve">）− 償還 </t>
    </r>
    <r>
      <rPr>
        <sz val="9"/>
        <color rgb="FF595959"/>
        <rFont val="Arial"/>
        <family val="0"/>
        <charset val="1"/>
      </rPr>
      <t xml:space="preserve">RBC 17.339 [Interested-party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Derived]</t>
    </r>
  </si>
  <si>
    <r>
      <rPr>
        <sz val="10"/>
        <rFont val="Noto Sans CJK SC"/>
        <family val="2"/>
      </rPr>
      <t xml:space="preserve">期初現金（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</si>
  <si>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季報現金 </t>
    </r>
    <r>
      <rPr>
        <sz val="9"/>
        <color rgb="FF595959"/>
        <rFont val="Arial"/>
        <family val="0"/>
        <charset val="1"/>
      </rPr>
      <t xml:space="preserve">56.056</t>
    </r>
    <r>
      <rPr>
        <sz val="9"/>
        <color rgb="FF595959"/>
        <rFont val="Noto Sans CJK SC"/>
        <family val="2"/>
      </rPr>
      <t xml:space="preserve">；受限現金 </t>
    </r>
    <r>
      <rPr>
        <sz val="9"/>
        <color rgb="FF595959"/>
        <rFont val="Arial"/>
        <family val="0"/>
        <charset val="1"/>
      </rPr>
      <t xml:space="preserve">4.313 </t>
    </r>
    <r>
      <rPr>
        <sz val="9"/>
        <color rgb="FF595959"/>
        <rFont val="Noto Sans CJK SC"/>
        <family val="2"/>
      </rPr>
      <t xml:space="preserve">與有價證券 </t>
    </r>
    <r>
      <rPr>
        <sz val="9"/>
        <color rgb="FF595959"/>
        <rFont val="Arial"/>
        <family val="0"/>
        <charset val="1"/>
      </rPr>
      <t xml:space="preserve">0.0 </t>
    </r>
    <r>
      <rPr>
        <sz val="9"/>
        <color rgb="FF595959"/>
        <rFont val="Noto Sans CJK SC"/>
        <family val="2"/>
      </rPr>
      <t xml:space="preserve">不計；期後事件現金列於『各期收支』Ⓔ（</t>
    </r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</si>
  <si>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股權／可轉債金額</t>
  </si>
  <si>
    <r>
      <rPr>
        <sz val="9"/>
        <color rgb="FF595959"/>
        <rFont val="Noto Sans CJK SC"/>
        <family val="2"/>
      </rPr>
      <t xml:space="preserve">評價日後已完成的股權／可轉債淨額（</t>
    </r>
    <r>
      <rPr>
        <sz val="9"/>
        <color rgb="FF595959"/>
        <rFont val="Arial"/>
        <family val="0"/>
        <charset val="1"/>
      </rPr>
      <t xml:space="preserve">company.json → defaults.atm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</si>
  <si>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計入股權／可轉債（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</si>
  <si>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關閉則首期少 </t>
    </r>
    <r>
      <rPr>
        <sz val="9"/>
        <color rgb="FF595959"/>
        <rFont val="Arial"/>
        <family val="0"/>
        <charset val="1"/>
      </rPr>
      <t xml:space="preserve">0.0m </t>
    </r>
    <r>
      <rPr>
        <sz val="9"/>
        <color rgb="FF595959"/>
        <rFont val="Noto Sans CJK SC"/>
        <family val="2"/>
      </rPr>
      <t xml:space="preserve">來源</t>
    </r>
  </si>
  <si>
    <t xml:space="preserve">未動用信用額度</t>
  </si>
  <si>
    <r>
      <rPr>
        <sz val="9"/>
        <color rgb="FF595959"/>
        <rFont val="Arial"/>
        <family val="0"/>
        <charset val="1"/>
      </rPr>
      <t xml:space="preserve">Bit Digital DDTL </t>
    </r>
    <r>
      <rPr>
        <sz val="9"/>
        <color rgb="FF595959"/>
        <rFont val="Noto Sans CJK SC"/>
        <family val="2"/>
      </rPr>
      <t xml:space="preserve">未動用額度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（額度 </t>
    </r>
    <r>
      <rPr>
        <sz val="9"/>
        <color rgb="FF595959"/>
        <rFont val="Arial"/>
        <family val="0"/>
        <charset val="1"/>
      </rPr>
      <t xml:space="preserve">100</t>
    </r>
    <r>
      <rPr>
        <sz val="9"/>
        <color rgb="FF595959"/>
        <rFont val="Noto Sans CJK SC"/>
        <family val="2"/>
      </rPr>
      <t xml:space="preserve">、已動用 </t>
    </r>
    <r>
      <rPr>
        <sz val="9"/>
        <color rgb="FF595959"/>
        <rFont val="Arial"/>
        <family val="0"/>
        <charset val="1"/>
      </rPr>
      <t xml:space="preserve">80</t>
    </r>
    <r>
      <rPr>
        <sz val="9"/>
        <color rgb="FF595959"/>
        <rFont val="Noto Sans CJK SC"/>
        <family val="2"/>
      </rPr>
      <t xml:space="preserve">；可增至 </t>
    </r>
    <r>
      <rPr>
        <sz val="9"/>
        <color rgb="FF595959"/>
        <rFont val="Arial"/>
        <family val="0"/>
        <charset val="1"/>
      </rPr>
      <t xml:space="preserve">150 </t>
    </r>
    <r>
      <rPr>
        <sz val="9"/>
        <color rgb="FF595959"/>
        <rFont val="Noto Sans CJK SC"/>
        <family val="2"/>
      </rPr>
      <t xml:space="preserve">未承諾，不計）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</si>
  <si>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瀑布可動用未動用額度（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</si>
  <si>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瀑布第一順位；已承諾額度，不受 債務／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上限限制</t>
    </r>
  </si>
  <si>
    <r>
      <rPr>
        <sz val="10"/>
        <rFont val="Arial"/>
        <family val="0"/>
        <charset val="1"/>
      </rPr>
      <t xml:space="preserve">NC-1 </t>
    </r>
    <r>
      <rPr>
        <sz val="10"/>
        <rFont val="Noto Sans CJK SC"/>
        <family val="2"/>
      </rPr>
      <t xml:space="preserve">專案貸款金額｜保守 只有已簽約</t>
    </r>
  </si>
  <si>
    <r>
      <rPr>
        <sz val="9"/>
        <color rgb="FF595959"/>
        <rFont val="Arial"/>
        <family val="0"/>
        <charset val="1"/>
      </rPr>
      <t xml:space="preserve">company.json → scenarios.projectFinance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NC-1 </t>
    </r>
    <r>
      <rPr>
        <sz val="9"/>
        <color rgb="FF595959"/>
        <rFont val="Noto Sans CJK SC"/>
        <family val="2"/>
      </rPr>
      <t xml:space="preserve">累計建置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貸款比率；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＝未完成；依據見 </t>
    </r>
    <r>
      <rPr>
        <sz val="9"/>
        <color rgb="FF595959"/>
        <rFont val="Arial"/>
        <family val="0"/>
        <charset val="1"/>
      </rPr>
      <t xml:space="preserve">note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</si>
  <si>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NC-1 </t>
    </r>
    <r>
      <rPr>
        <sz val="10"/>
        <rFont val="Noto Sans CJK SC"/>
        <family val="2"/>
      </rPr>
      <t xml:space="preserve">專案貸款金額｜基準 加 </t>
    </r>
    <r>
      <rPr>
        <sz val="10"/>
        <rFont val="Arial"/>
        <family val="0"/>
        <charset val="1"/>
      </rPr>
      <t xml:space="preserve">NC-1 </t>
    </r>
    <r>
      <rPr>
        <sz val="10"/>
        <rFont val="Noto Sans CJK SC"/>
        <family val="2"/>
      </rPr>
      <t xml:space="preserve">下一批</t>
    </r>
  </si>
  <si>
    <r>
      <rPr>
        <sz val="10"/>
        <rFont val="Arial"/>
        <family val="0"/>
        <charset val="1"/>
      </rPr>
      <t xml:space="preserve">NC-1 </t>
    </r>
    <r>
      <rPr>
        <sz val="10"/>
        <rFont val="Noto Sans CJK SC"/>
        <family val="2"/>
      </rPr>
      <t xml:space="preserve">專案貸款金額｜積極 </t>
    </r>
    <r>
      <rPr>
        <sz val="10"/>
        <rFont val="Arial"/>
        <family val="0"/>
        <charset val="1"/>
      </rPr>
      <t xml:space="preserve">NC-2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Krambu</t>
    </r>
  </si>
  <si>
    <r>
      <rPr>
        <sz val="10"/>
        <rFont val="Arial"/>
        <family val="0"/>
        <charset val="1"/>
      </rPr>
      <t xml:space="preserve">NC-1 </t>
    </r>
    <r>
      <rPr>
        <sz val="10"/>
        <rFont val="Noto Sans CJK SC"/>
        <family val="2"/>
      </rPr>
      <t xml:space="preserve">專案貸款金額（目前情境）</t>
    </r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</si>
  <si>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區情境選擇器；動用期期初一次動用（不再是瀑布的已承諾額度）</t>
    </r>
  </si>
  <si>
    <r>
      <rPr>
        <sz val="10"/>
        <rFont val="Arial"/>
        <family val="0"/>
        <charset val="1"/>
      </rPr>
      <t xml:space="preserve">NC-1 </t>
    </r>
    <r>
      <rPr>
        <sz val="10"/>
        <rFont val="Noto Sans CJK SC"/>
        <family val="2"/>
      </rPr>
      <t xml:space="preserve">專案貸款動用期別（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</si>
  <si>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該期期初一次動用（</t>
    </r>
    <r>
      <rPr>
        <sz val="9"/>
        <color rgb="FF595959"/>
        <rFont val="Arial"/>
        <family val="0"/>
        <charset val="1"/>
      </rPr>
      <t xml:space="preserve">NC-1 </t>
    </r>
    <r>
      <rPr>
        <sz val="9"/>
        <color rgb="FF595959"/>
        <rFont val="Noto Sans CJK SC"/>
        <family val="2"/>
      </rPr>
      <t xml:space="preserve">第一期建置已完成；融資完成時點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</si>
  <si>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NC-1 </t>
    </r>
    <r>
      <rPr>
        <sz val="10"/>
        <rFont val="Noto Sans CJK SC"/>
        <family val="2"/>
      </rPr>
      <t xml:space="preserve">專案貸款利率</t>
    </r>
  </si>
  <si>
    <r>
      <rPr>
        <sz val="9"/>
        <color rgb="FF595959"/>
        <rFont val="Arial"/>
        <family val="0"/>
        <charset val="1"/>
      </rPr>
      <t xml:space="preserve">SOFR</t>
    </r>
    <r>
      <rPr>
        <sz val="9"/>
        <color rgb="FF595959"/>
        <rFont val="Noto Sans CJK SC"/>
        <family val="2"/>
      </rPr>
      <t xml:space="preserve">＋利差類比 </t>
    </r>
    <r>
      <rPr>
        <sz val="9"/>
        <color rgb="FF595959"/>
        <rFont val="Arial"/>
        <family val="0"/>
        <charset val="1"/>
      </rPr>
      <t xml:space="preserve">8–9% </t>
    </r>
    <r>
      <rPr>
        <sz val="9"/>
        <color rgb="FF595959"/>
        <rFont val="Noto Sans CJK SC"/>
        <family val="2"/>
      </rPr>
      <t xml:space="preserve">取中點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（冰島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貸款 </t>
    </r>
    <r>
      <rPr>
        <sz val="9"/>
        <color rgb="FF595959"/>
        <rFont val="Arial"/>
        <family val="0"/>
        <charset val="1"/>
      </rPr>
      <t xml:space="preserve">SOFR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4.25%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7.92%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</si>
  <si>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NC-1 </t>
    </r>
    <r>
      <rPr>
        <sz val="10"/>
        <rFont val="Noto Sans CJK SC"/>
        <family val="2"/>
      </rPr>
      <t xml:space="preserve">專案貸款攤還年數</t>
    </r>
  </si>
  <si>
    <r>
      <rPr>
        <sz val="9"/>
        <color rgb="FF595959"/>
        <rFont val="Noto Sans CJK SC"/>
        <family val="2"/>
      </rPr>
      <t xml:space="preserve">動用次期起直線攤還；對應 </t>
    </r>
    <r>
      <rPr>
        <sz val="9"/>
        <color rgb="FF595959"/>
        <rFont val="Arial"/>
        <family val="0"/>
        <charset val="1"/>
      </rPr>
      <t xml:space="preserve">Nscale 10 </t>
    </r>
    <r>
      <rPr>
        <sz val="9"/>
        <color rgb="FF595959"/>
        <rFont val="Noto Sans CJK SC"/>
        <family val="2"/>
      </rPr>
      <t xml:space="preserve">年約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</si>
  <si>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債務排程攤還（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</si>
  <si>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t xml:space="preserve">季報到期表；關閉＝假設全額再融資</t>
  </si>
  <si>
    <r>
      <rPr>
        <sz val="10"/>
        <rFont val="Noto Sans CJK SC"/>
        <family val="2"/>
      </rPr>
      <t xml:space="preserve">債務／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</si>
  <si>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資產擔保融資容量（</t>
    </r>
    <r>
      <rPr>
        <sz val="9"/>
        <color rgb="FF595959"/>
        <rFont val="Arial"/>
        <family val="0"/>
        <charset val="1"/>
      </rPr>
      <t xml:space="preserve">debtCapBasis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時使用）：總債務 ≤ 此倍數 </t>
    </r>
    <r>
      <rPr>
        <sz val="9"/>
        <color rgb="FF595959"/>
        <rFont val="Arial"/>
        <family val="0"/>
        <charset val="1"/>
      </rPr>
      <t xml:space="preserve">× backlog [Assumed]</t>
    </r>
  </si>
  <si>
    <r>
      <rPr>
        <sz val="10"/>
        <rFont val="Noto Sans CJK SC"/>
        <family val="2"/>
      </rPr>
      <t xml:space="preserve">債務上限基準（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＝總債務 </t>
    </r>
    <r>
      <rPr>
        <sz val="10"/>
        <rFont val="Arial"/>
        <family val="0"/>
        <charset val="1"/>
      </rPr>
      <t xml:space="preserve">÷ EBITDA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＝債務 </t>
    </r>
    <r>
      <rPr>
        <sz val="10"/>
        <rFont val="Arial"/>
        <family val="0"/>
        <charset val="1"/>
      </rPr>
      <t xml:space="preserve">÷ backlog</t>
    </r>
    <r>
      <rPr>
        <sz val="10"/>
        <rFont val="Noto Sans CJK SC"/>
        <family val="2"/>
      </rPr>
      <t xml:space="preserve">）</t>
    </r>
  </si>
  <si>
    <t xml:space="preserve">ebitda</t>
  </si>
  <si>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：另有 </t>
    </r>
    <r>
      <rPr>
        <sz val="9"/>
        <color rgb="FF595959"/>
        <rFont val="Arial"/>
        <family val="0"/>
        <charset val="1"/>
      </rPr>
      <t xml:space="preserve">leaseAdj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債務＋租賃負債</t>
    </r>
    <r>
      <rPr>
        <sz val="9"/>
        <color rgb="FF595959"/>
        <rFont val="Arial"/>
        <family val="0"/>
        <charset val="1"/>
      </rPr>
      <t xml:space="preserve">) ÷ (EBITDA</t>
    </r>
    <r>
      <rPr>
        <sz val="9"/>
        <color rgb="FF595959"/>
        <rFont val="Noto Sans CJK SC"/>
        <family val="2"/>
      </rPr>
      <t xml:space="preserve">＋租金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（租賃調整後槓桿，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口徑近似；租賃負債見『各期收支』）。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欄名稱沿用 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（本頁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區既有重複表頭，改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欄會使 </t>
    </r>
    <r>
      <rPr>
        <sz val="9"/>
        <color rgb="FF595959"/>
        <rFont val="Arial"/>
        <family val="0"/>
        <charset val="1"/>
      </rPr>
      <t xml:space="preserve">--vs-dist </t>
    </r>
    <r>
      <rPr>
        <sz val="9"/>
        <color rgb="FF595959"/>
        <rFont val="Noto Sans CJK SC"/>
        <family val="2"/>
      </rPr>
      <t xml:space="preserve">無法配對）；</t>
    </r>
    <r>
      <rPr>
        <sz val="9"/>
        <color rgb="FF595959"/>
        <rFont val="Arial"/>
        <family val="0"/>
        <charset val="1"/>
      </rPr>
      <t xml:space="preserve">company.json → defaults.debtCapBasis</t>
    </r>
  </si>
  <si>
    <r>
      <rPr>
        <sz val="10"/>
        <rFont val="Noto Sans CJK SC"/>
        <family val="2"/>
      </rPr>
      <t xml:space="preserve">債務上限（總債務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當期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</si>
  <si>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債務上限倍數（</t>
    </r>
    <r>
      <rPr>
        <sz val="9"/>
        <color rgb="FF595959"/>
        <rFont val="Arial"/>
        <family val="0"/>
        <charset val="1"/>
      </rPr>
      <t xml:space="preserve">company.json → defaults.debtEbitdaMax</t>
    </r>
    <r>
      <rPr>
        <sz val="9"/>
        <color rgb="FF595959"/>
        <rFont val="Noto Sans CJK SC"/>
        <family val="2"/>
      </rPr>
      <t xml:space="preserve">；基準為 </t>
    </r>
    <r>
      <rPr>
        <sz val="9"/>
        <color rgb="FF595959"/>
        <rFont val="Arial"/>
        <family val="0"/>
        <charset val="1"/>
      </rPr>
      <t xml:space="preserve">leaseAdj </t>
    </r>
    <r>
      <rPr>
        <sz val="9"/>
        <color rgb="FF595959"/>
        <rFont val="Noto Sans CJK SC"/>
        <family val="2"/>
      </rPr>
      <t xml:space="preserve">時＝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債務＋租賃負債</t>
    </r>
    <r>
      <rPr>
        <sz val="9"/>
        <color rgb="FF595959"/>
        <rFont val="Arial"/>
        <family val="0"/>
        <charset val="1"/>
      </rPr>
      <t xml:space="preserve">) ÷ (EBITDA</t>
    </r>
    <r>
      <rPr>
        <sz val="9"/>
        <color rgb="FF595959"/>
        <rFont val="Noto Sans CJK SC"/>
        <family val="2"/>
      </rPr>
      <t xml:space="preserve">＋租金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的上限）；敏感度 </t>
    </r>
    <r>
      <rPr>
        <sz val="9"/>
        <color rgb="FF595959"/>
        <rFont val="Arial"/>
        <family val="0"/>
        <charset val="1"/>
      </rPr>
      <t xml:space="preserve">4×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6×</t>
    </r>
    <r>
      <rPr>
        <sz val="9"/>
        <color rgb="FF595959"/>
        <rFont val="Noto Sans CJK SC"/>
        <family val="2"/>
      </rPr>
      <t xml:space="preserve">；超過部分走可轉債、股權再走高息債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欄名稱沿用模板（畫面用語見 </t>
    </r>
    <r>
      <rPr>
        <sz val="9"/>
        <color rgb="FF595959"/>
        <rFont val="Arial"/>
        <family val="0"/>
        <charset val="1"/>
      </rPr>
      <t xml:space="preserve">texts.labelMap</t>
    </r>
    <r>
      <rPr>
        <sz val="9"/>
        <color rgb="FF595959"/>
        <rFont val="Noto Sans CJK SC"/>
        <family val="2"/>
      </rPr>
      <t xml:space="preserve">）</t>
    </r>
  </si>
  <si>
    <t xml:space="preserve">新簽合約年期</t>
  </si>
  <si>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上限模式用：新簽約以此年期補入 </t>
    </r>
    <r>
      <rPr>
        <sz val="9"/>
        <color rgb="FF595959"/>
        <rFont val="Arial"/>
        <family val="0"/>
        <charset val="1"/>
      </rPr>
      <t xml:space="preserve">backlog [Assumed]</t>
    </r>
  </si>
  <si>
    <t xml:space="preserve">普通股股利（每股每季）</t>
  </si>
  <si>
    <r>
      <rPr>
        <sz val="9"/>
        <color rgb="FF595959"/>
        <rFont val="Noto Sans CJK SC"/>
        <family val="2"/>
      </rPr>
      <t xml:space="preserve">不發股利（對照表預設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）；特別股不適用（</t>
    </r>
    <r>
      <rPr>
        <sz val="9"/>
        <color rgb="FF595959"/>
        <rFont val="Arial"/>
        <family val="0"/>
        <charset val="1"/>
      </rPr>
      <t xml:space="preserve">company.json → defaults.dividend</t>
    </r>
    <r>
      <rPr>
        <sz val="9"/>
        <color rgb="FF595959"/>
        <rFont val="Noto Sans CJK SC"/>
        <family val="2"/>
      </rPr>
      <t xml:space="preserve">）</t>
    </r>
  </si>
  <si>
    <t xml:space="preserve">股利基礎股數</t>
  </si>
  <si>
    <t xml:space="preserve">m</t>
  </si>
  <si>
    <t xml:space="preserve">最新流通股；另加前期累計瀑布新股與已強制轉換的特別股</t>
  </si>
  <si>
    <t xml:space="preserve">最低現金</t>
  </si>
  <si>
    <r>
      <rPr>
        <sz val="9"/>
        <color rgb="FF595959"/>
        <rFont val="Noto Sans CJK SC"/>
        <family val="2"/>
      </rPr>
      <t xml:space="preserve">期前融資的現金底線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</si>
  <si>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股權發行價</t>
  </si>
  <si>
    <r>
      <rPr>
        <sz val="9"/>
        <color rgb="FF595959"/>
        <rFont val="Noto Sans CJK SC"/>
        <family val="2"/>
      </rPr>
      <t xml:space="preserve">預設＝現價（</t>
    </r>
    <r>
      <rPr>
        <sz val="9"/>
        <color rgb="FF595959"/>
        <rFont val="Arial"/>
        <family val="0"/>
        <charset val="1"/>
      </rPr>
      <t xml:space="preserve">2026-10-07 </t>
    </r>
    <r>
      <rPr>
        <sz val="9"/>
        <color rgb="FF595959"/>
        <rFont val="Noto Sans CJK SC"/>
        <family val="2"/>
      </rPr>
      <t xml:space="preserve">收盤）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</si>
  <si>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股權發行折價</t>
  </si>
  <si>
    <r>
      <rPr>
        <sz val="9"/>
        <color rgb="FF595959"/>
        <rFont val="Noto Sans CJK SC"/>
        <family val="2"/>
      </rPr>
      <t xml:space="preserve">大額增資的折讓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</si>
  <si>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每年股權吸收上限（占現市值）</t>
  </si>
  <si>
    <r>
      <rPr>
        <sz val="9"/>
        <color rgb="FF595959"/>
        <rFont val="Noto Sans CJK SC"/>
        <family val="2"/>
      </rPr>
      <t xml:space="preserve">占現市值的比例（</t>
    </r>
    <r>
      <rPr>
        <sz val="9"/>
        <color rgb="FF595959"/>
        <rFont val="Arial"/>
        <family val="0"/>
        <charset val="1"/>
      </rPr>
      <t xml:space="preserve">company.json → defaults.eqCapPct</t>
    </r>
    <r>
      <rPr>
        <sz val="9"/>
        <color rgb="FF595959"/>
        <rFont val="Noto Sans CJK SC"/>
        <family val="2"/>
      </rPr>
      <t xml:space="preserve">）；輸入 ≥</t>
    </r>
    <r>
      <rPr>
        <sz val="9"/>
        <color rgb="FF595959"/>
        <rFont val="Arial"/>
        <family val="0"/>
        <charset val="1"/>
      </rPr>
      <t xml:space="preserve">900% </t>
    </r>
    <r>
      <rPr>
        <sz val="9"/>
        <color rgb="FF595959"/>
        <rFont val="Noto Sans CJK SC"/>
        <family val="2"/>
      </rPr>
      <t xml:space="preserve">視為無上限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</si>
  <si>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股權上限的股數基礎</t>
  </si>
  <si>
    <r>
      <rPr>
        <sz val="9"/>
        <color rgb="FF595959"/>
        <rFont val="Noto Sans CJK SC"/>
        <family val="2"/>
      </rPr>
      <t xml:space="preserve">現市值＝發行參考價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此股數（</t>
    </r>
    <r>
      <rPr>
        <sz val="9"/>
        <color rgb="FF595959"/>
        <rFont val="Arial"/>
        <family val="0"/>
        <charset val="1"/>
      </rPr>
      <t xml:space="preserve">company.json → defaults.eqCapShares</t>
    </r>
    <r>
      <rPr>
        <sz val="9"/>
        <color rgb="FF595959"/>
        <rFont val="Noto Sans CJK SC"/>
        <family val="2"/>
      </rPr>
      <t xml:space="preserve">）</t>
    </r>
  </si>
  <si>
    <t xml:space="preserve">可轉債年發行上限｜保守 只有已簽約</t>
  </si>
  <si>
    <r>
      <rPr>
        <sz val="9"/>
        <color rgb="FF595959"/>
        <rFont val="Arial"/>
        <family val="0"/>
        <charset val="1"/>
      </rPr>
      <t xml:space="preserve">US$m</t>
    </r>
    <r>
      <rPr>
        <sz val="9"/>
        <color rgb="FF595959"/>
        <rFont val="Noto Sans CJK SC"/>
        <family val="2"/>
      </rPr>
      <t xml:space="preserve">／年</t>
    </r>
  </si>
  <si>
    <r>
      <rPr>
        <sz val="9"/>
        <color rgb="FF595959"/>
        <rFont val="Noto Sans CJK SC"/>
        <family val="2"/>
      </rPr>
      <t xml:space="preserve">瀑布可轉債步驟每年上限（</t>
    </r>
    <r>
      <rPr>
        <sz val="9"/>
        <color rgb="FF595959"/>
        <rFont val="Arial"/>
        <family val="0"/>
        <charset val="1"/>
      </rPr>
      <t xml:space="preserve">company.json → scenarios.convCap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＝不新發）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</si>
  <si>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可轉債年發行上限｜基準 加 </t>
    </r>
    <r>
      <rPr>
        <sz val="10"/>
        <rFont val="Arial"/>
        <family val="0"/>
        <charset val="1"/>
      </rPr>
      <t xml:space="preserve">NC-1 </t>
    </r>
    <r>
      <rPr>
        <sz val="10"/>
        <rFont val="Noto Sans CJK SC"/>
        <family val="2"/>
      </rPr>
      <t xml:space="preserve">下一批</t>
    </r>
  </si>
  <si>
    <r>
      <rPr>
        <sz val="10"/>
        <rFont val="Noto Sans CJK SC"/>
        <family val="2"/>
      </rPr>
      <t xml:space="preserve">可轉債年發行上限｜積極 </t>
    </r>
    <r>
      <rPr>
        <sz val="10"/>
        <rFont val="Arial"/>
        <family val="0"/>
        <charset val="1"/>
      </rPr>
      <t xml:space="preserve">NC-2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Krambu</t>
    </r>
  </si>
  <si>
    <t xml:space="preserve">可轉債年發行上限（目前情境）</t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</si>
  <si>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</t>
    </r>
  </si>
  <si>
    <t xml:space="preserve">瀑布新發可轉債票息</t>
  </si>
  <si>
    <r>
      <rPr>
        <sz val="9"/>
        <color rgb="FF595959"/>
        <rFont val="Noto Sans CJK SC"/>
        <family val="2"/>
      </rPr>
      <t xml:space="preserve">瀑布可轉債：票息 </t>
    </r>
    <r>
      <rPr>
        <sz val="9"/>
        <color rgb="FF595959"/>
        <rFont val="Arial"/>
        <family val="0"/>
        <charset val="1"/>
      </rPr>
      <t xml:space="preserve">5.00%</t>
    </r>
    <r>
      <rPr>
        <sz val="9"/>
        <color rgb="FF595959"/>
        <rFont val="Noto Sans CJK SC"/>
        <family val="2"/>
      </rPr>
      <t xml:space="preserve">、轉換溢價 </t>
    </r>
    <r>
      <rPr>
        <sz val="9"/>
        <color rgb="FF595959"/>
        <rFont val="Arial"/>
        <family val="0"/>
        <charset val="1"/>
      </rPr>
      <t xml:space="preserve">25%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2032 </t>
    </r>
    <r>
      <rPr>
        <sz val="9"/>
        <color rgb="FF595959"/>
        <rFont val="Noto Sans CJK SC"/>
        <family val="2"/>
      </rPr>
      <t xml:space="preserve">可轉債條款，</t>
    </r>
    <r>
      <rPr>
        <sz val="9"/>
        <color rgb="FF595959"/>
        <rFont val="Arial"/>
        <family val="0"/>
        <charset val="1"/>
      </rPr>
      <t xml:space="preserve">8-K 2026-08-21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；每年上限＝現市值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scenarios.convCap</t>
    </r>
    <r>
      <rPr>
        <sz val="9"/>
        <color rgb="FF595959"/>
        <rFont val="Noto Sans CJK SC"/>
        <family val="2"/>
      </rPr>
      <t xml:space="preserve">）</t>
    </r>
  </si>
  <si>
    <t xml:space="preserve">瀑布新發可轉債轉換溢價</t>
  </si>
  <si>
    <r>
      <rPr>
        <sz val="9"/>
        <color rgb="FF595959"/>
        <rFont val="Noto Sans CJK SC"/>
        <family val="2"/>
      </rPr>
      <t xml:space="preserve">只用於潛在股數揭露（</t>
    </r>
    <r>
      <rPr>
        <sz val="9"/>
        <color rgb="FF595959"/>
        <rFont val="Arial"/>
        <family val="0"/>
        <charset val="1"/>
      </rPr>
      <t xml:space="preserve">company.json → defaults.convIssue</t>
    </r>
    <r>
      <rPr>
        <sz val="9"/>
        <color rgb="FF595959"/>
        <rFont val="Noto Sans CJK SC"/>
        <family val="2"/>
      </rPr>
      <t xml:space="preserve">）</t>
    </r>
  </si>
  <si>
    <t xml:space="preserve">高息債利率（股權上限溢出）</t>
  </si>
  <si>
    <r>
      <rPr>
        <sz val="9"/>
        <color rgb="FF595959"/>
        <rFont val="Noto Sans CJK SC"/>
        <family val="2"/>
      </rPr>
      <t xml:space="preserve">沿用模板 </t>
    </r>
    <r>
      <rPr>
        <sz val="9"/>
        <color rgb="FF595959"/>
        <rFont val="Arial"/>
        <family val="0"/>
        <charset val="1"/>
      </rPr>
      <t xml:space="preserve">12% [Assumed]</t>
    </r>
  </si>
  <si>
    <t xml:space="preserve">現金稅率（類現金流量）</t>
  </si>
  <si>
    <r>
      <rPr>
        <sz val="9"/>
        <color rgb="FF595959"/>
        <rFont val="Noto Sans CJK SC"/>
        <family val="2"/>
      </rPr>
      <t xml:space="preserve">現金稅＝稅率 </t>
    </r>
    <r>
      <rPr>
        <sz val="9"/>
        <color rgb="FF595959"/>
        <rFont val="Arial"/>
        <family val="0"/>
        <charset val="1"/>
      </rPr>
      <t xml:space="preserve">× MAX(0, </t>
    </r>
    <r>
      <rPr>
        <sz val="9"/>
        <color rgb="FF595959"/>
        <rFont val="Noto Sans CJK SC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 </t>
    </r>
    <r>
      <rPr>
        <sz val="9"/>
        <color rgb="FF595959"/>
        <rFont val="Arial"/>
        <family val="0"/>
        <charset val="1"/>
      </rPr>
      <t xml:space="preserve">D&amp;A − </t>
    </r>
    <r>
      <rPr>
        <sz val="9"/>
        <color rgb="FF595959"/>
        <rFont val="Noto Sans CJK SC"/>
        <family val="2"/>
      </rPr>
      <t xml:space="preserve">存量利息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；不含瀑布新債利息以避免循環（偏保守）；</t>
    </r>
    <r>
      <rPr>
        <sz val="9"/>
        <color rgb="FF595959"/>
        <rFont val="Arial"/>
        <family val="0"/>
        <charset val="1"/>
      </rPr>
      <t xml:space="preserve">company.json → defaults.cashTaxRate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</si>
  <si>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中價</t>
    </r>
  </si>
  <si>
    <t xml:space="preserve">bps</t>
  </si>
  <si>
    <r>
      <rPr>
        <sz val="9"/>
        <color rgb="FF595959"/>
        <rFont val="Noto Sans CJK SC"/>
        <family val="2"/>
      </rPr>
      <t xml:space="preserve">不適用（</t>
    </r>
    <r>
      <rPr>
        <sz val="9"/>
        <color rgb="FF595959"/>
        <rFont val="Arial"/>
        <family val="0"/>
        <charset val="1"/>
      </rPr>
      <t xml:space="preserve">WYFI </t>
    </r>
    <r>
      <rPr>
        <sz val="9"/>
        <color rgb="FF595959"/>
        <rFont val="Noto Sans CJK SC"/>
        <family val="2"/>
      </rPr>
      <t xml:space="preserve">無可引用的 </t>
    </r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報價）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</si>
  <si>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傳入新債利率（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</si>
  <si>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Noto Sans CJK SC"/>
        <family val="2"/>
      </rPr>
      <t xml:space="preserve">開啟：新債利率＋</t>
    </r>
    <r>
      <rPr>
        <sz val="9"/>
        <color rgb="FF595959"/>
        <rFont val="Arial"/>
        <family val="0"/>
        <charset val="1"/>
      </rPr>
      <t xml:space="preserve">MAX(0,CDS−450)×0.4/100</t>
    </r>
    <r>
      <rPr>
        <sz val="9"/>
        <color rgb="FF595959"/>
        <rFont val="Noto Sans CJK SC"/>
        <family val="2"/>
      </rPr>
      <t xml:space="preserve">。預設關閉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</si>
  <si>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傳入門檻</t>
    </r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</si>
  <si>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超過此值的部分才傳入新債利率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</si>
  <si>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傳入比例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</si>
  <si>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1bp CDS </t>
    </r>
    <r>
      <rPr>
        <sz val="9"/>
        <color rgb="FF595959"/>
        <rFont val="Noto Sans CJK SC"/>
        <family val="2"/>
      </rPr>
      <t xml:space="preserve">超額傳入新債利率的比例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</si>
  <si>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特別股股利</t>
  </si>
  <si>
    <r>
      <rPr>
        <sz val="9"/>
        <color rgb="FF595959"/>
        <rFont val="Noto Sans CJK SC"/>
        <family val="2"/>
      </rPr>
      <t xml:space="preserve">強制轉換前的特別股股利（</t>
    </r>
    <r>
      <rPr>
        <sz val="9"/>
        <color rgb="FF595959"/>
        <rFont val="Arial"/>
        <family val="0"/>
        <charset val="1"/>
      </rPr>
      <t xml:space="preserve">company.json → defaults.dividend.preferred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</si>
  <si>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排程還本（季報到期表）</t>
  </si>
  <si>
    <r>
      <rPr>
        <sz val="9"/>
        <color rgb="FF595959"/>
        <rFont val="Noto Sans CJK SC"/>
        <family val="2"/>
      </rPr>
      <t xml:space="preserve">可轉債到期累積本金與其他借款；其後 </t>
    </r>
    <r>
      <rPr>
        <sz val="9"/>
        <color rgb="FF595959"/>
        <rFont val="Arial"/>
        <family val="0"/>
        <charset val="1"/>
      </rPr>
      <t xml:space="preserve">0.0 [Interested-party]</t>
    </r>
  </si>
  <si>
    <t xml:space="preserve">新債利率</t>
  </si>
  <si>
    <r>
      <rPr>
        <sz val="9"/>
        <color rgb="FF595959"/>
        <rFont val="Noto Sans CJK SC"/>
        <family val="2"/>
      </rPr>
      <t xml:space="preserve">瀑布新債（資產層／專案債）利率 </t>
    </r>
    <r>
      <rPr>
        <sz val="9"/>
        <color rgb="FF595959"/>
        <rFont val="Arial"/>
        <family val="0"/>
        <charset val="1"/>
      </rPr>
      <t xml:space="preserve">9.5%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DDTL </t>
    </r>
    <r>
      <rPr>
        <sz val="9"/>
        <color rgb="FF595959"/>
        <rFont val="Noto Sans CJK SC"/>
        <family val="2"/>
      </rPr>
      <t xml:space="preserve">純債票面，</t>
    </r>
    <r>
      <rPr>
        <sz val="9"/>
        <color rgb="FF595959"/>
        <rFont val="Arial"/>
        <family val="0"/>
        <charset val="1"/>
      </rPr>
      <t xml:space="preserve">v0.1a </t>
    </r>
    <r>
      <rPr>
        <sz val="9"/>
        <color rgb="FF595959"/>
        <rFont val="Noto Sans CJK SC"/>
        <family val="2"/>
      </rPr>
      <t xml:space="preserve">預設；冰島 </t>
    </r>
    <r>
      <rPr>
        <sz val="9"/>
        <color rgb="FF595959"/>
        <rFont val="Arial"/>
        <family val="0"/>
        <charset val="1"/>
      </rPr>
      <t xml:space="preserve">7.92%–10.64% </t>
    </r>
    <r>
      <rPr>
        <sz val="9"/>
        <color rgb="FF595959"/>
        <rFont val="Noto Sans CJK SC"/>
        <family val="2"/>
      </rPr>
      <t xml:space="preserve">區間）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</si>
  <si>
    <t xml:space="preserve">存量債務利息（下游引用此列）</t>
  </si>
  <si>
    <r>
      <rPr>
        <sz val="9"/>
        <color rgb="FF595959"/>
        <rFont val="Noto Sans CJK SC"/>
        <family val="2"/>
      </rPr>
      <t xml:space="preserve">＝債務明細頁：平均本金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期間長度＋可轉債利息＋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校準</t>
    </r>
  </si>
  <si>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｜評價（價格、股數、折現、倍數、權重）</t>
    </r>
  </si>
  <si>
    <r>
      <rPr>
        <sz val="10"/>
        <rFont val="Noto Sans CJK SC"/>
        <family val="2"/>
      </rPr>
      <t xml:space="preserve">現價（</t>
    </r>
    <r>
      <rPr>
        <sz val="10"/>
        <rFont val="Arial"/>
        <family val="0"/>
        <charset val="1"/>
      </rPr>
      <t xml:space="preserve">2026-10-07 </t>
    </r>
    <r>
      <rPr>
        <sz val="10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</si>
  <si>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Yahoo Finance </t>
    </r>
    <r>
      <rPr>
        <sz val="9"/>
        <color rgb="FF595959"/>
        <rFont val="Noto Sans CJK SC"/>
        <family val="2"/>
      </rPr>
      <t xml:space="preserve">報價頁（</t>
    </r>
    <r>
      <rPr>
        <sz val="9"/>
        <color rgb="FF595959"/>
        <rFont val="Arial"/>
        <family val="0"/>
        <charset val="1"/>
      </rPr>
      <t xml:space="preserve">https://finance.yahoo.com/quote/wyfi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</si>
  <si>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上限）</t>
    </r>
  </si>
  <si>
    <r>
      <rPr>
        <sz val="9"/>
        <color rgb="FF595959"/>
        <rFont val="Noto Sans CJK SC"/>
        <family val="2"/>
      </rPr>
      <t xml:space="preserve">季末流通 </t>
    </r>
    <r>
      <rPr>
        <sz val="9"/>
        <color rgb="FF595959"/>
        <rFont val="Arial"/>
        <family val="0"/>
        <charset val="1"/>
      </rPr>
      <t xml:space="preserve">38.841201</t>
    </r>
    <r>
      <rPr>
        <sz val="9"/>
        <color rgb="FF595959"/>
        <rFont val="Noto Sans CJK SC"/>
        <family val="2"/>
      </rPr>
      <t xml:space="preserve">＋未歸屬 </t>
    </r>
    <r>
      <rPr>
        <sz val="9"/>
        <color rgb="FF595959"/>
        <rFont val="Arial"/>
        <family val="0"/>
        <charset val="1"/>
      </rPr>
      <t xml:space="preserve">RSU 0.124m </t>
    </r>
    <r>
      <rPr>
        <sz val="9"/>
        <color rgb="FF595959"/>
        <rFont val="Noto Sans CJK SC"/>
        <family val="2"/>
      </rPr>
      <t xml:space="preserve">股；零履約價買權 </t>
    </r>
    <r>
      <rPr>
        <sz val="9"/>
        <color rgb="FF595959"/>
        <rFont val="Arial"/>
        <family val="0"/>
        <charset val="1"/>
      </rPr>
      <t xml:space="preserve">5.905511m </t>
    </r>
    <r>
      <rPr>
        <sz val="9"/>
        <color rgb="FF595959"/>
        <rFont val="Noto Sans CJK SC"/>
        <family val="2"/>
      </rPr>
      <t xml:space="preserve">股自稀釋股數排除（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年收回，經濟上已買回；審查留言第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條預設，替代：計入）；期後交換股 </t>
    </r>
    <r>
      <rPr>
        <sz val="9"/>
        <color rgb="FF595959"/>
        <rFont val="Arial"/>
        <family val="0"/>
        <charset val="1"/>
      </rPr>
      <t xml:space="preserve">6.278m </t>
    </r>
    <r>
      <rPr>
        <sz val="9"/>
        <color rgb="FF595959"/>
        <rFont val="Noto Sans CJK SC"/>
        <family val="2"/>
      </rPr>
      <t xml:space="preserve">見期後事件＋期後事件股數（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區）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</si>
  <si>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淨負債（不含可轉債）</t>
  </si>
  <si>
    <r>
      <rPr>
        <sz val="9"/>
        <color rgb="FF595959"/>
        <rFont val="Noto Sans CJK SC"/>
        <family val="2"/>
      </rPr>
      <t xml:space="preserve">評價日其他借款 − 現金 </t>
    </r>
    <r>
      <rPr>
        <sz val="9"/>
        <color rgb="FF595959"/>
        <rFont val="Arial"/>
        <family val="0"/>
        <charset val="1"/>
      </rPr>
      <t xml:space="preserve">29.283</t>
    </r>
    <r>
      <rPr>
        <sz val="9"/>
        <color rgb="FF595959"/>
        <rFont val="Noto Sans CJK SC"/>
        <family val="2"/>
      </rPr>
      <t xml:space="preserve">＋期後事件（其他借款 − 現金，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區）；可轉債依稀釋判斷另計（見『評價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Noto Sans CJK SC"/>
        <family val="2"/>
      </rPr>
      <t xml:space="preserve">與目標價』可轉債區）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</si>
  <si>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持股折價（流動性、少數股權）</t>
  </si>
  <si>
    <r>
      <rPr>
        <sz val="9"/>
        <color rgb="FF595959"/>
        <rFont val="Noto Sans CJK SC"/>
        <family val="2"/>
      </rPr>
      <t xml:space="preserve">非上市少數股權折價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；敏感度見報告（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</si>
  <si>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淨負債調整項（類債 − 持股 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1 − </t>
    </r>
    <r>
      <rPr>
        <sz val="10"/>
        <rFont val="Noto Sans CJK SC"/>
        <family val="2"/>
      </rPr>
      <t xml:space="preserve">折價））</t>
    </r>
  </si>
  <si>
    <t xml:space="preserve">正值＝增加淨負債；評價淨負債與錨定年末淨負債同加</t>
  </si>
  <si>
    <t xml:space="preserve">稅率</t>
  </si>
  <si>
    <r>
      <rPr>
        <sz val="9"/>
        <color rgb="FF595959"/>
        <rFont val="Noto Sans CJK SC"/>
        <family val="2"/>
      </rPr>
      <t xml:space="preserve">美國聯邦法定 </t>
    </r>
    <r>
      <rPr>
        <sz val="9"/>
        <color rgb="FF595959"/>
        <rFont val="Arial"/>
        <family val="0"/>
        <charset val="1"/>
      </rPr>
      <t xml:space="preserve">21%</t>
    </r>
    <r>
      <rPr>
        <sz val="9"/>
        <color rgb="FF595959"/>
        <rFont val="Noto Sans CJK SC"/>
        <family val="2"/>
      </rPr>
      <t xml:space="preserve">（開曼控股；美國子公司 </t>
    </r>
    <r>
      <rPr>
        <sz val="9"/>
        <color rgb="FF595959"/>
        <rFont val="Arial"/>
        <family val="0"/>
        <charset val="1"/>
      </rPr>
      <t xml:space="preserve">21%</t>
    </r>
    <r>
      <rPr>
        <sz val="9"/>
        <color rgb="FF595959"/>
        <rFont val="Noto Sans CJK SC"/>
        <family val="2"/>
      </rPr>
      <t xml:space="preserve">＋州稅、加拿大約 </t>
    </r>
    <r>
      <rPr>
        <sz val="9"/>
        <color rgb="FF595959"/>
        <rFont val="Arial"/>
        <family val="0"/>
        <charset val="1"/>
      </rPr>
      <t xml:space="preserve">26.5%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有效稅率 −</t>
    </r>
    <r>
      <rPr>
        <sz val="9"/>
        <color rgb="FF595959"/>
        <rFont val="Arial"/>
        <family val="0"/>
        <charset val="1"/>
      </rPr>
      <t xml:space="preserve">1.3%</t>
    </r>
    <r>
      <rPr>
        <sz val="9"/>
        <color rgb="FF595959"/>
        <rFont val="Noto Sans CJK SC"/>
        <family val="2"/>
      </rPr>
      <t xml:space="preserve">）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</si>
  <si>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無風險利率</t>
  </si>
  <si>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年期美債（</t>
    </r>
    <r>
      <rPr>
        <sz val="9"/>
        <color rgb="FF595959"/>
        <rFont val="Arial"/>
        <family val="0"/>
        <charset val="1"/>
      </rPr>
      <t xml:space="preserve">CAPM </t>
    </r>
    <r>
      <rPr>
        <sz val="9"/>
        <color rgb="FF595959"/>
        <rFont val="Noto Sans CJK SC"/>
        <family val="2"/>
      </rPr>
      <t xml:space="preserve">與選擇權法共用）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</si>
  <si>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β</t>
    </r>
  </si>
  <si>
    <r>
      <rPr>
        <sz val="9"/>
        <color rgb="FF595959"/>
        <rFont val="Arial"/>
        <family val="0"/>
        <charset val="1"/>
      </rPr>
      <t xml:space="preserve">company.json → valuation.capm.beta</t>
    </r>
    <r>
      <rPr>
        <sz val="9"/>
        <color rgb="FF595959"/>
        <rFont val="Noto Sans CJK SC"/>
        <family val="2"/>
      </rPr>
      <t xml:space="preserve">；敏感度 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見報告（來源見 </t>
    </r>
    <r>
      <rPr>
        <sz val="9"/>
        <color rgb="FF595959"/>
        <rFont val="Arial"/>
        <family val="0"/>
        <charset val="1"/>
      </rPr>
      <t xml:space="preserve">capm.note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</si>
  <si>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：股權風險溢酬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</si>
  <si>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4.5%–6%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</si>
  <si>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股權成本 </t>
    </r>
    <r>
      <rPr>
        <sz val="10"/>
        <rFont val="Arial"/>
        <family val="0"/>
        <charset val="1"/>
      </rPr>
      <t xml:space="preserve">ke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rf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β × ERP</t>
    </r>
  </si>
  <si>
    <t xml:space="preserve">CAPM</t>
  </si>
  <si>
    <r>
      <rPr>
        <sz val="10"/>
        <rFont val="Noto Sans CJK SC"/>
        <family val="2"/>
      </rPr>
      <t xml:space="preserve">稅前債務成本 </t>
    </r>
    <r>
      <rPr>
        <sz val="10"/>
        <rFont val="Arial"/>
        <family val="0"/>
        <charset val="1"/>
      </rPr>
      <t xml:space="preserve">kd</t>
    </r>
  </si>
  <si>
    <r>
      <rPr>
        <sz val="9"/>
        <color rgb="FF595959"/>
        <rFont val="Arial"/>
        <family val="0"/>
        <charset val="1"/>
      </rPr>
      <t xml:space="preserve">company.json → valuation.capm.kdPretax</t>
    </r>
    <r>
      <rPr>
        <sz val="9"/>
        <color rgb="FF595959"/>
        <rFont val="Noto Sans CJK SC"/>
        <family val="2"/>
      </rPr>
      <t xml:space="preserve">（來源見 </t>
    </r>
    <r>
      <rPr>
        <sz val="9"/>
        <color rgb="FF595959"/>
        <rFont val="Arial"/>
        <family val="0"/>
        <charset val="1"/>
      </rPr>
      <t xml:space="preserve">capm.note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</si>
  <si>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股權市值 </t>
    </r>
    <r>
      <rPr>
        <sz val="10"/>
        <rFont val="Arial"/>
        <family val="0"/>
        <charset val="1"/>
      </rPr>
      <t xml:space="preserve">E</t>
    </r>
    <r>
      <rPr>
        <sz val="10"/>
        <rFont val="Noto Sans CJK SC"/>
        <family val="2"/>
      </rPr>
      <t xml:space="preserve">（現價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季末流通股數）</t>
    </r>
  </si>
  <si>
    <r>
      <rPr>
        <sz val="9"/>
        <color rgb="FF595959"/>
        <rFont val="Noto Sans CJK SC"/>
        <family val="2"/>
      </rPr>
      <t xml:space="preserve">季末流通 </t>
    </r>
    <r>
      <rPr>
        <sz val="9"/>
        <color rgb="FF595959"/>
        <rFont val="Arial"/>
        <family val="0"/>
        <charset val="1"/>
      </rPr>
      <t xml:space="preserve">38.841201m </t>
    </r>
    <r>
      <rPr>
        <sz val="9"/>
        <color rgb="FF595959"/>
        <rFont val="Noto Sans CJK SC"/>
        <family val="2"/>
      </rPr>
      <t xml:space="preserve">股＋期後事件股數（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區）</t>
    </r>
  </si>
  <si>
    <r>
      <rPr>
        <sz val="10"/>
        <rFont val="Noto Sans CJK SC"/>
        <family val="2"/>
      </rPr>
      <t xml:space="preserve">債務 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（評價日債務本金）</t>
    </r>
  </si>
  <si>
    <r>
      <rPr>
        <sz val="9"/>
        <color rgb="FF595959"/>
        <rFont val="Noto Sans CJK SC"/>
        <family val="2"/>
      </rPr>
      <t xml:space="preserve">季末債務本金＋期後事件（其他借款＋可轉債，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區）；強制轉換特別股視為股權，不計入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Derived]</t>
    </r>
  </si>
  <si>
    <r>
      <rPr>
        <sz val="10"/>
        <rFont val="Arial"/>
        <family val="0"/>
        <charset val="1"/>
      </rPr>
      <t xml:space="preserve">WACC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）＝</t>
    </r>
    <r>
      <rPr>
        <sz val="10"/>
        <rFont val="Arial"/>
        <family val="0"/>
        <charset val="1"/>
      </rPr>
      <t xml:space="preserve">E/(D+E) × ke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D/(D+E) × kd ×(1 − </t>
    </r>
    <r>
      <rPr>
        <sz val="10"/>
        <rFont val="Noto Sans CJK SC"/>
        <family val="2"/>
      </rPr>
      <t xml:space="preserve">稅率</t>
    </r>
    <r>
      <rPr>
        <sz val="10"/>
        <rFont val="Arial"/>
        <family val="0"/>
        <charset val="1"/>
      </rPr>
      <t xml:space="preserve">)</t>
    </r>
  </si>
  <si>
    <t xml:space="preserve">[Derived]</t>
  </si>
  <si>
    <r>
      <rPr>
        <sz val="10"/>
        <rFont val="Arial"/>
        <family val="0"/>
        <charset val="1"/>
      </rPr>
      <t xml:space="preserve">WACC </t>
    </r>
    <r>
      <rPr>
        <sz val="10"/>
        <rFont val="Noto Sans CJK SC"/>
        <family val="2"/>
      </rPr>
      <t xml:space="preserve">手動覆蓋（空白＝採 </t>
    </r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</si>
  <si>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company.json → valuation.wacc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null</t>
    </r>
    <r>
      <rPr>
        <sz val="9"/>
        <color rgb="FF595959"/>
        <rFont val="Noto Sans CJK SC"/>
        <family val="2"/>
      </rPr>
      <t xml:space="preserve">＝空白）</t>
    </r>
  </si>
  <si>
    <t xml:space="preserve">WACC</t>
  </si>
  <si>
    <r>
      <rPr>
        <sz val="9"/>
        <color rgb="FF595959"/>
        <rFont val="Noto Sans CJK SC"/>
        <family val="2"/>
      </rPr>
      <t xml:space="preserve">＝手動覆蓋，空白時採 </t>
    </r>
    <r>
      <rPr>
        <sz val="9"/>
        <color rgb="FF595959"/>
        <rFont val="Arial"/>
        <family val="0"/>
        <charset val="1"/>
      </rPr>
      <t xml:space="preserve">CAPM</t>
    </r>
  </si>
  <si>
    <r>
      <rPr>
        <sz val="10"/>
        <rFont val="Noto Sans CJK SC"/>
        <family val="2"/>
      </rPr>
      <t xml:space="preserve">永續成長 </t>
    </r>
    <r>
      <rPr>
        <sz val="10"/>
        <rFont val="Arial"/>
        <family val="0"/>
        <charset val="1"/>
      </rPr>
      <t xml:space="preserve">g</t>
    </r>
  </si>
  <si>
    <r>
      <rPr>
        <sz val="10"/>
        <rFont val="Noto Sans CJK SC"/>
        <family val="2"/>
      </rPr>
      <t xml:space="preserve">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</si>
  <si>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v0.1c</t>
    </r>
    <r>
      <rPr>
        <sz val="9"/>
        <color rgb="FF595959"/>
        <rFont val="Noto Sans CJK SC"/>
        <family val="2"/>
      </rPr>
      <t xml:space="preserve">：終值改以末期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（含穩態汰換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）為基準（</t>
    </r>
    <r>
      <rPr>
        <sz val="9"/>
        <color rgb="FF595959"/>
        <rFont val="Arial"/>
        <family val="0"/>
        <charset val="1"/>
      </rPr>
      <t xml:space="preserve">valuation.tvBasis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），此比例不使用</t>
    </r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</si>
  <si>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NOL</t>
    </r>
    <r>
      <rPr>
        <sz val="10"/>
        <rFont val="Noto Sans CJK SC"/>
        <family val="2"/>
      </rPr>
      <t xml:space="preserve">（虧損扣抵）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</si>
  <si>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；抵扣上限為應稅所得 </t>
    </r>
    <r>
      <rPr>
        <sz val="9"/>
        <color rgb="FF595959"/>
        <rFont val="Arial"/>
        <family val="0"/>
        <charset val="1"/>
      </rPr>
      <t xml:space="preserve">80% [Derived]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</si>
  <si>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每年可抵用比例</t>
    </r>
  </si>
  <si>
    <r>
      <rPr>
        <sz val="9"/>
        <color rgb="FF595959"/>
        <rFont val="Noto Sans CJK SC"/>
        <family val="2"/>
      </rPr>
      <t xml:space="preserve">抵扣上限占應稅所得的比例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</si>
  <si>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營運資金占營收增量</t>
  </si>
  <si>
    <r>
      <rPr>
        <sz val="9"/>
        <color rgb="FF595959"/>
        <rFont val="Noto Sans CJK SC"/>
        <family val="2"/>
      </rPr>
      <t xml:space="preserve">營運資金變動＝營收增量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</si>
  <si>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倍數</t>
    </r>
  </si>
  <si>
    <r>
      <rPr>
        <sz val="9"/>
        <color rgb="FF595959"/>
        <rFont val="Noto Sans CJK SC"/>
        <family val="2"/>
      </rPr>
      <t xml:space="preserve">雲端（算力）部分：可觀察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穩態合理倍數約 </t>
    </r>
    <r>
      <rPr>
        <sz val="9"/>
        <color rgb="FF595959"/>
        <rFont val="Arial"/>
        <family val="0"/>
        <charset val="1"/>
      </rPr>
      <t xml:space="preserve">5–6x</t>
    </r>
    <r>
      <rPr>
        <sz val="9"/>
        <color rgb="FF595959"/>
        <rFont val="Noto Sans CJK SC"/>
        <family val="2"/>
      </rPr>
      <t xml:space="preserve">（轉換率 </t>
    </r>
    <r>
      <rPr>
        <sz val="9"/>
        <color rgb="FF595959"/>
        <rFont val="Arial"/>
        <family val="0"/>
        <charset val="1"/>
      </rPr>
      <t xml:space="preserve">÷ (WACC − g)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為上緣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；託管另用託管同業倍數（分部加總）</t>
    </r>
  </si>
  <si>
    <r>
      <rPr>
        <sz val="10"/>
        <rFont val="Noto Sans CJK SC"/>
        <family val="2"/>
      </rPr>
      <t xml:space="preserve">託管同業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DLR</t>
    </r>
  </si>
  <si>
    <r>
      <rPr>
        <sz val="9"/>
        <color rgb="FF595959"/>
        <rFont val="Arial"/>
        <family val="0"/>
        <charset val="1"/>
      </rPr>
      <t xml:space="preserve">Digital Realty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data/whitefiber_facts_20261008.json val.peer.dlr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</si>
  <si>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託管同業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EQIX</t>
    </r>
  </si>
  <si>
    <r>
      <rPr>
        <sz val="9"/>
        <color rgb="FF595959"/>
        <rFont val="Arial"/>
        <family val="0"/>
        <charset val="1"/>
      </rPr>
      <t xml:space="preserve">Equinix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data/whitefiber_facts_20261008.json val.peer.eqix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</si>
  <si>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託管同業 </t>
    </r>
    <r>
      <rPr>
        <sz val="10"/>
        <rFont val="Arial"/>
        <family val="0"/>
        <charset val="1"/>
      </rPr>
      <t xml:space="preserve">NTM EV/EBITDA </t>
    </r>
    <r>
      <rPr>
        <sz val="10"/>
        <rFont val="Noto Sans CJK SC"/>
        <family val="2"/>
      </rPr>
      <t xml:space="preserve">中位數</t>
    </r>
  </si>
  <si>
    <r>
      <rPr>
        <sz val="9"/>
        <color rgb="FF595959"/>
        <rFont val="Noto Sans CJK SC"/>
        <family val="2"/>
      </rPr>
      <t xml:space="preserve">託管（資料中心）同業 </t>
    </r>
    <r>
      <rPr>
        <sz val="9"/>
        <color rgb="FF595959"/>
        <rFont val="Arial"/>
        <family val="0"/>
        <charset val="1"/>
      </rPr>
      <t xml:space="preserve">NTM EV/EBITDA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EV ÷ </t>
    </r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依日曆時間加權（</t>
    </r>
    <r>
      <rPr>
        <sz val="9"/>
        <color rgb="FF595959"/>
        <rFont val="Arial"/>
        <family val="0"/>
        <charset val="1"/>
      </rPr>
      <t xml:space="preserve">NTM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0.25 × 2026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0.75 × 2027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）；只取得 </t>
    </r>
    <r>
      <rPr>
        <sz val="9"/>
        <color rgb="FF595959"/>
        <rFont val="Arial"/>
        <family val="0"/>
        <charset val="1"/>
      </rPr>
      <t xml:space="preserve">DLR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EQIX </t>
    </r>
    <r>
      <rPr>
        <sz val="9"/>
        <color rgb="FF595959"/>
        <rFont val="Noto Sans CJK SC"/>
        <family val="2"/>
      </rPr>
      <t xml:space="preserve">兩家（</t>
    </r>
    <r>
      <rPr>
        <sz val="9"/>
        <color rgb="FF595959"/>
        <rFont val="Arial"/>
        <family val="0"/>
        <charset val="1"/>
      </rPr>
      <t xml:space="preserve">APLD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CORZ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IREN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CIFR </t>
    </r>
    <r>
      <rPr>
        <sz val="9"/>
        <color rgb="FF595959"/>
        <rFont val="Noto Sans CJK SC"/>
        <family val="2"/>
      </rPr>
      <t xml:space="preserve">無可用 </t>
    </r>
    <r>
      <rPr>
        <sz val="9"/>
        <color rgb="FF595959"/>
        <rFont val="Arial"/>
        <family val="0"/>
        <charset val="1"/>
      </rPr>
      <t xml:space="preserve">NTM EBITDA </t>
    </r>
    <r>
      <rPr>
        <sz val="9"/>
        <color rgb="FF595959"/>
        <rFont val="Noto Sans CJK SC"/>
        <family val="2"/>
      </rPr>
      <t xml:space="preserve">或為負，資料缺口），樣本不足；中位數用於託管分部倍數，</t>
    </r>
    <r>
      <rPr>
        <sz val="9"/>
        <color rgb="FF595959"/>
        <rFont val="Arial"/>
        <family val="0"/>
        <charset val="1"/>
      </rPr>
      <t xml:space="preserve">15× </t>
    </r>
    <r>
      <rPr>
        <sz val="9"/>
        <color rgb="FF595959"/>
        <rFont val="Noto Sans CJK SC"/>
        <family val="2"/>
      </rPr>
      <t xml:space="preserve">列敏感度。</t>
    </r>
  </si>
  <si>
    <r>
      <rPr>
        <sz val="10"/>
        <rFont val="Noto Sans CJK SC"/>
        <family val="2"/>
      </rPr>
      <t xml:space="preserve">託管 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手動覆蓋（空白＝同業中位數）</t>
    </r>
  </si>
  <si>
    <r>
      <rPr>
        <sz val="9"/>
        <color rgb="FF595959"/>
        <rFont val="Arial"/>
        <family val="0"/>
        <charset val="1"/>
      </rPr>
      <t xml:space="preserve">company.json → valuation.legacyEvEbitda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null</t>
    </r>
    <r>
      <rPr>
        <sz val="9"/>
        <color rgb="FF595959"/>
        <rFont val="Noto Sans CJK SC"/>
        <family val="2"/>
      </rPr>
      <t xml:space="preserve">＝空白）</t>
    </r>
  </si>
  <si>
    <r>
      <rPr>
        <sz val="10"/>
        <rFont val="Noto Sans CJK SC"/>
        <family val="2"/>
      </rPr>
      <t xml:space="preserve">託管 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倍數</t>
    </r>
  </si>
  <si>
    <r>
      <rPr>
        <sz val="9"/>
        <color rgb="FF595959"/>
        <rFont val="Noto Sans CJK SC"/>
        <family val="2"/>
      </rPr>
      <t xml:space="preserve">分部加總：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＝託管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此倍數＋雲端 </t>
    </r>
    <r>
      <rPr>
        <sz val="9"/>
        <color rgb="FF595959"/>
        <rFont val="Arial"/>
        <family val="0"/>
        <charset val="1"/>
      </rPr>
      <t xml:space="preserve">EBITDA × EV/EBITDA </t>
    </r>
    <r>
      <rPr>
        <sz val="9"/>
        <color rgb="FF595959"/>
        <rFont val="Noto Sans CJK SC"/>
        <family val="2"/>
      </rPr>
      <t xml:space="preserve">倍數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</si>
  <si>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錨定年度（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</si>
  <si>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Noto Sans CJK SC"/>
        <family val="2"/>
      </rPr>
      <t xml:space="preserve">（目標價時點）；預設 </t>
    </r>
    <r>
      <rPr>
        <sz val="9"/>
        <color rgb="FF595959"/>
        <rFont val="Arial"/>
        <family val="0"/>
        <charset val="1"/>
      </rPr>
      <t xml:space="preserve">FY29</t>
    </r>
    <r>
      <rPr>
        <sz val="9"/>
        <color rgb="FF595959"/>
        <rFont val="Noto Sans CJK SC"/>
        <family val="2"/>
      </rPr>
      <t xml:space="preserve">：接近穩態利潤率，與穩態倍數一致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</si>
  <si>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DCF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</si>
  <si>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EV/EBITDA</t>
    </r>
  </si>
  <si>
    <t xml:space="preserve">方法區間倍數：下端</t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</si>
  <si>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方法區間：目前輸入、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倍數換成兩端；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為穩態倍數上緣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</si>
  <si>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方法區間倍數：上端</t>
  </si>
  <si>
    <r>
      <rPr>
        <sz val="10"/>
        <rFont val="Noto Sans CJK SC"/>
        <family val="2"/>
      </rPr>
      <t xml:space="preserve">股數年增（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</si>
  <si>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Noto Sans CJK SC"/>
        <family val="2"/>
      </rPr>
      <t xml:space="preserve">模板固定 </t>
    </r>
    <r>
      <rPr>
        <sz val="9"/>
        <color rgb="FF595959"/>
        <rFont val="Arial"/>
        <family val="0"/>
        <charset val="1"/>
      </rPr>
      <t xml:space="preserve">1%</t>
    </r>
    <r>
      <rPr>
        <sz val="9"/>
        <color rgb="FF595959"/>
        <rFont val="Noto Sans CJK SC"/>
        <family val="2"/>
      </rPr>
      <t xml:space="preserve">／年（偏保守）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</si>
  <si>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年度 </t>
    </r>
    <r>
      <rPr>
        <sz val="10"/>
        <rFont val="Arial"/>
        <family val="0"/>
        <charset val="1"/>
      </rPr>
      <t xml:space="preserve">SBC</t>
    </r>
  </si>
  <si>
    <r>
      <rPr>
        <sz val="9"/>
        <color rgb="FF595959"/>
        <rFont val="Arial"/>
        <family val="0"/>
        <charset val="1"/>
      </rPr>
      <t xml:space="preserve">1H SBC 11.017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</si>
  <si>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b val="true"/>
        <sz val="10"/>
        <color rgb="FF1F3864"/>
        <rFont val="Arial"/>
        <family val="0"/>
        <charset val="1"/>
      </rPr>
      <t xml:space="preserve">▸ DCF </t>
    </r>
    <r>
      <rPr>
        <b val="true"/>
        <sz val="10"/>
        <color rgb="FF1F3864"/>
        <rFont val="Noto Sans CJK SC"/>
        <family val="2"/>
      </rPr>
      <t xml:space="preserve">股權為負時的處理（</t>
    </r>
    <r>
      <rPr>
        <b val="true"/>
        <sz val="10"/>
        <color rgb="FF1F3864"/>
        <rFont val="Arial"/>
        <family val="0"/>
        <charset val="1"/>
      </rPr>
      <t xml:space="preserve">0 </t>
    </r>
    <r>
      <rPr>
        <b val="true"/>
        <sz val="10"/>
        <color rgb="FF1F3864"/>
        <rFont val="Noto Sans CJK SC"/>
        <family val="2"/>
      </rPr>
      <t xml:space="preserve">截斷／選擇權）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</si>
  <si>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下限方式（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截斷、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＝選擇權）</t>
    </r>
  </si>
  <si>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截斷：</t>
    </r>
    <r>
      <rPr>
        <sz val="9"/>
        <color rgb="FF595959"/>
        <rFont val="Arial"/>
        <family val="0"/>
        <charset val="1"/>
      </rPr>
      <t xml:space="preserve">MAX(0, </t>
    </r>
    <r>
      <rPr>
        <sz val="9"/>
        <color rgb="FF595959"/>
        <rFont val="Noto Sans CJK SC"/>
        <family val="2"/>
      </rPr>
      <t xml:space="preserve">股權價值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；選擇權：</t>
    </r>
    <r>
      <rPr>
        <sz val="9"/>
        <color rgb="FF595959"/>
        <rFont val="Arial"/>
        <family val="0"/>
        <charset val="1"/>
      </rPr>
      <t xml:space="preserve">Merton</t>
    </r>
    <r>
      <rPr>
        <sz val="9"/>
        <color rgb="FF595959"/>
        <rFont val="Noto Sans CJK SC"/>
        <family val="2"/>
      </rPr>
      <t xml:space="preserve">，股權＝以企業價值為標的、淨負債為履約價的買權</t>
    </r>
  </si>
  <si>
    <r>
      <rPr>
        <sz val="10"/>
        <rFont val="Noto Sans CJK SC"/>
        <family val="2"/>
      </rPr>
      <t xml:space="preserve">企業價值波動率 </t>
    </r>
    <r>
      <rPr>
        <sz val="10"/>
        <rFont val="Arial"/>
        <family val="0"/>
        <charset val="1"/>
      </rPr>
      <t xml:space="preserve">σ</t>
    </r>
  </si>
  <si>
    <r>
      <rPr>
        <sz val="9"/>
        <color rgb="FF595959"/>
        <rFont val="Noto Sans CJK SC"/>
        <family val="2"/>
      </rPr>
      <t xml:space="preserve">選擇權法用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</si>
  <si>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選擇權期間（年）</t>
  </si>
  <si>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FY30 </t>
    </r>
    <r>
      <rPr>
        <sz val="9"/>
        <color rgb="FF595959"/>
        <rFont val="Noto Sans CJK SC"/>
        <family val="2"/>
      </rPr>
      <t xml:space="preserve">末</t>
    </r>
  </si>
  <si>
    <r>
      <rPr>
        <b val="true"/>
        <sz val="10"/>
        <color rgb="FF1F3864"/>
        <rFont val="Noto Sans CJK SC"/>
        <family val="2"/>
      </rPr>
      <t xml:space="preserve">▸ 期間與日期（</t>
    </r>
    <r>
      <rPr>
        <b val="true"/>
        <sz val="10"/>
        <color rgb="FF1F3864"/>
        <rFont val="Arial"/>
        <family val="0"/>
        <charset val="1"/>
      </rPr>
      <t xml:space="preserve">company.json → calendar </t>
    </r>
    <r>
      <rPr>
        <b val="true"/>
        <sz val="10"/>
        <color rgb="FF1F3864"/>
        <rFont val="Noto Sans CJK SC"/>
        <family val="2"/>
      </rPr>
      <t xml:space="preserve">推算；勿手改）</t>
    </r>
  </si>
  <si>
    <t xml:space="preserve">財年結束月份</t>
  </si>
  <si>
    <t xml:space="preserve">月</t>
  </si>
  <si>
    <t xml:space="preserve">calendar.fiscalYearEndMonth</t>
  </si>
  <si>
    <t xml:space="preserve">最新已申報季度（年度首期依此滾動）</t>
  </si>
  <si>
    <t xml:space="preserve">FY26Q2</t>
  </si>
  <si>
    <r>
      <rPr>
        <sz val="9"/>
        <color rgb="FF595959"/>
        <rFont val="Arial"/>
        <family val="0"/>
        <charset val="1"/>
      </rPr>
      <t xml:space="preserve">calendar.latestQuarterFiled</t>
    </r>
    <r>
      <rPr>
        <sz val="9"/>
        <color rgb="FF595959"/>
        <rFont val="Noto Sans CJK SC"/>
        <family val="2"/>
      </rPr>
      <t xml:space="preserve">；財報新聞稿只更新季度層，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申報後年度首期才滾動</t>
    </r>
  </si>
  <si>
    <t xml:space="preserve">評價日（已申報季度的季末）</t>
  </si>
  <si>
    <t xml:space="preserve">2026-06-30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</si>
  <si>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折現、淨負債與股數的基準日</t>
    </r>
  </si>
  <si>
    <t xml:space="preserve">目標價時點</t>
  </si>
  <si>
    <t xml:space="preserve">2027-06-30</t>
  </si>
  <si>
    <r>
      <rPr>
        <sz val="9"/>
        <color rgb="FF595959"/>
        <rFont val="Noto Sans CJK SC"/>
        <family val="2"/>
      </rPr>
      <t xml:space="preserve">評價日＋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個月</t>
    </r>
  </si>
  <si>
    <t xml:space="preserve">目標價時點距評價日</t>
  </si>
  <si>
    <t xml:space="preserve">模型期間</t>
  </si>
  <si>
    <t xml:space="preserve">FY26–FY30</t>
  </si>
  <si>
    <r>
      <rPr>
        <sz val="9"/>
        <color rgb="FF595959"/>
        <rFont val="Noto Sans CJK SC"/>
        <family val="2"/>
      </rPr>
      <t xml:space="preserve">首期＋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個完整財年（</t>
    </r>
    <r>
      <rPr>
        <sz val="9"/>
        <color rgb="FF595959"/>
        <rFont val="Arial"/>
        <family val="0"/>
        <charset val="1"/>
      </rPr>
      <t xml:space="preserve">calendar.modelYears</t>
    </r>
    <r>
      <rPr>
        <sz val="9"/>
        <color rgb="FF595959"/>
        <rFont val="Noto Sans CJK SC"/>
        <family val="2"/>
      </rPr>
      <t xml:space="preserve">）</t>
    </r>
  </si>
  <si>
    <t xml:space="preserve">資料更新日</t>
  </si>
  <si>
    <t xml:space="preserve">2026-10-08</t>
  </si>
  <si>
    <t xml:space="preserve">company.json → meta.updateDate</t>
  </si>
  <si>
    <t xml:space="preserve">現價日（收盤）</t>
  </si>
  <si>
    <t xml:space="preserve">2026-10-07</t>
  </si>
  <si>
    <t xml:space="preserve">company.json → meta.priceDate</t>
  </si>
  <si>
    <t xml:space="preserve">錨定期折回年數調整（目標價時點 − 首期長度）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</si>
  <si>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腿：錨定期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的期末折回目標價時點的年數＝</t>
    </r>
    <r>
      <rPr>
        <sz val="9"/>
        <color rgb="FF595959"/>
        <rFont val="Arial"/>
        <family val="0"/>
        <charset val="1"/>
      </rPr>
      <t xml:space="preserve">k − </t>
    </r>
    <r>
      <rPr>
        <sz val="9"/>
        <color rgb="FF595959"/>
        <rFont val="Noto Sans CJK SC"/>
        <family val="2"/>
      </rPr>
      <t xml:space="preserve">此值</t>
    </r>
  </si>
  <si>
    <t xml:space="preserve">期間與日期</t>
  </si>
  <si>
    <t xml:space="preserve">期末日</t>
  </si>
  <si>
    <t xml:space="preserve">2026-12-31</t>
  </si>
  <si>
    <t xml:space="preserve">2027-12-31</t>
  </si>
  <si>
    <t xml:space="preserve">2028-12-31</t>
  </si>
  <si>
    <t xml:space="preserve">2029-12-31</t>
  </si>
  <si>
    <t xml:space="preserve">2030-12-31</t>
  </si>
  <si>
    <r>
      <rPr>
        <sz val="9"/>
        <color rgb="FF595959"/>
        <rFont val="Noto Sans CJK SC"/>
        <family val="2"/>
      </rPr>
      <t xml:space="preserve">月數 </t>
    </r>
    <r>
      <rPr>
        <sz val="9"/>
        <color rgb="FF595959"/>
        <rFont val="Arial"/>
        <family val="0"/>
        <charset val="1"/>
      </rPr>
      <t xml:space="preserve">÷ 12</t>
    </r>
  </si>
  <si>
    <t xml:space="preserve">折現年數：評價日 → 期末</t>
  </si>
  <si>
    <t xml:space="preserve">折現年數：評價日 → 期初</t>
  </si>
  <si>
    <r>
      <rPr>
        <b val="true"/>
        <sz val="10"/>
        <color rgb="FF1F3864"/>
        <rFont val="Noto Sans CJK SC"/>
        <family val="2"/>
      </rPr>
      <t xml:space="preserve">▸ 評等門檻（空間＝加權目標價 </t>
    </r>
    <r>
      <rPr>
        <b val="true"/>
        <sz val="10"/>
        <color rgb="FF1F3864"/>
        <rFont val="Arial"/>
        <family val="0"/>
        <charset val="1"/>
      </rPr>
      <t xml:space="preserve">÷ </t>
    </r>
    <r>
      <rPr>
        <b val="true"/>
        <sz val="10"/>
        <color rgb="FF1F3864"/>
        <rFont val="Noto Sans CJK SC"/>
        <family val="2"/>
      </rPr>
      <t xml:space="preserve">現價 − </t>
    </r>
    <r>
      <rPr>
        <b val="true"/>
        <sz val="10"/>
        <color rgb="FF1F3864"/>
        <rFont val="Arial"/>
        <family val="0"/>
        <charset val="1"/>
      </rPr>
      <t xml:space="preserve">1</t>
    </r>
    <r>
      <rPr>
        <b val="true"/>
        <sz val="10"/>
        <color rgb="FF1F3864"/>
        <rFont val="Noto Sans CJK SC"/>
        <family val="2"/>
      </rPr>
      <t xml:space="preserve">）</t>
    </r>
  </si>
  <si>
    <t xml:space="preserve">買進：空間下限</t>
  </si>
  <si>
    <r>
      <rPr>
        <sz val="9"/>
        <color rgb="FF595959"/>
        <rFont val="Noto Sans CJK SC"/>
        <family val="2"/>
      </rPr>
      <t xml:space="preserve">空間 ≥ 此值、終值占比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上限，且股權募資未超標 → 買進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</si>
  <si>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買進：終值占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</si>
  <si>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終值占比達此值以上不給買進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</si>
  <si>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賣出：空間上限</t>
  </si>
  <si>
    <r>
      <rPr>
        <sz val="9"/>
        <color rgb="FF595959"/>
        <rFont val="Noto Sans CJK SC"/>
        <family val="2"/>
      </rPr>
      <t xml:space="preserve">空間 ≤ 此值 → 賣出；賣出門檻價＝現價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＋ 此值）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</si>
  <si>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股權募資上限（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現市值）</t>
    </r>
  </si>
  <si>
    <r>
      <rPr>
        <sz val="9"/>
        <color rgb="FF595959"/>
        <rFont val="Noto Sans CJK SC"/>
        <family val="2"/>
      </rPr>
      <t xml:space="preserve">五期股權募資超過現市值的此倍數：市場吸收能力存疑，禁止買進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</si>
  <si>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股權募資超標時的賣出：空間上限</t>
  </si>
  <si>
    <r>
      <rPr>
        <sz val="9"/>
        <color rgb="FF595959"/>
        <rFont val="Noto Sans CJK SC"/>
        <family val="2"/>
      </rPr>
      <t xml:space="preserve">股權募資超標且空間 ≤ 此值 → 賣出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</si>
  <si>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判斷句：距賣出門檻揭露（占現價）</t>
  </si>
  <si>
    <r>
      <rPr>
        <sz val="9"/>
        <color rgb="FF595959"/>
        <rFont val="Noto Sans CJK SC"/>
        <family val="2"/>
      </rPr>
      <t xml:space="preserve">任一情境與賣出門檻的距離小於現價的此比例時，判斷句揭露該距離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</si>
  <si>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警示</t>
    </r>
  </si>
  <si>
    <r>
      <rPr>
        <sz val="9"/>
        <color rgb="FF595959"/>
        <rFont val="Noto Sans CJK SC"/>
        <family val="2"/>
      </rPr>
      <t xml:space="preserve">超過此值表示結論由終值假設決定（「檢查」頁與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說明）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</si>
  <si>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｜參考：</t>
    </r>
    <r>
      <rPr>
        <b val="true"/>
        <sz val="10"/>
        <rFont val="Arial"/>
        <family val="0"/>
        <charset val="1"/>
      </rPr>
      <t xml:space="preserve">1H26 </t>
    </r>
    <r>
      <rPr>
        <b val="true"/>
        <sz val="10"/>
        <rFont val="Noto Sans CJK SC"/>
        <family val="2"/>
      </rPr>
      <t xml:space="preserve">實際（季報，</t>
    </r>
    <r>
      <rPr>
        <b val="true"/>
        <sz val="10"/>
        <rFont val="Arial"/>
        <family val="0"/>
        <charset val="1"/>
      </rPr>
      <t xml:space="preserve">2026-01-01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06-30</t>
    </r>
    <r>
      <rPr>
        <b val="true"/>
        <sz val="10"/>
        <rFont val="Noto Sans CJK SC"/>
        <family val="2"/>
      </rPr>
      <t xml:space="preserve">；硬編碼，勿改）</t>
    </r>
  </si>
  <si>
    <r>
      <rPr>
        <sz val="10"/>
        <rFont val="Arial"/>
        <family val="0"/>
        <charset val="1"/>
      </rPr>
      <t xml:space="preserve">2025-12-31 </t>
    </r>
    <r>
      <rPr>
        <sz val="10"/>
        <rFont val="Noto Sans CJK SC"/>
        <family val="2"/>
      </rPr>
      <t xml:space="preserve">現金</t>
    </r>
  </si>
  <si>
    <r>
      <rPr>
        <sz val="9"/>
        <color rgb="FF595959"/>
        <rFont val="Noto Sans CJK SC"/>
        <family val="2"/>
      </rPr>
      <t xml:space="preserve">上一財年底（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Noto Sans CJK SC"/>
        <family val="2"/>
      </rPr>
      <t xml:space="preserve">）現金及約當現金 </t>
    </r>
    <r>
      <rPr>
        <sz val="9"/>
        <color rgb="FF595959"/>
        <rFont val="Arial"/>
        <family val="0"/>
        <charset val="1"/>
      </rPr>
      <t xml:space="preserve">114,441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經查核；含受限 </t>
    </r>
    <r>
      <rPr>
        <sz val="9"/>
        <color rgb="FF595959"/>
        <rFont val="Arial"/>
        <family val="0"/>
        <charset val="1"/>
      </rPr>
      <t xml:space="preserve">118,298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</si>
  <si>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營運現金流 </t>
    </r>
    <r>
      <rPr>
        <sz val="10"/>
        <rFont val="Arial"/>
        <family val="0"/>
        <charset val="1"/>
      </rPr>
      <t xml:space="preserve">CFO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</si>
  <si>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營運現金流 </t>
    </r>
    <r>
      <rPr>
        <sz val="9"/>
        <color rgb="FF595959"/>
        <rFont val="Arial"/>
        <family val="0"/>
        <charset val="1"/>
      </rPr>
      <t xml:space="preserve">89,105</t>
    </r>
    <r>
      <rPr>
        <sz val="9"/>
        <color rgb="FF595959"/>
        <rFont val="Noto Sans CJK SC"/>
        <family val="2"/>
      </rPr>
      <t xml:space="preserve">；含遞延營收增加 </t>
    </r>
    <r>
      <rPr>
        <sz val="9"/>
        <color rgb="FF595959"/>
        <rFont val="Arial"/>
        <family val="0"/>
        <charset val="1"/>
      </rPr>
      <t xml:space="preserve">63,608</t>
    </r>
    <r>
      <rPr>
        <sz val="9"/>
        <color rgb="FF595959"/>
        <rFont val="Noto Sans CJK SC"/>
        <family val="2"/>
      </rPr>
      <t xml:space="preserve">（客戶預付流入 </t>
    </r>
    <r>
      <rPr>
        <sz val="9"/>
        <color rgb="FF595959"/>
        <rFont val="Arial"/>
        <family val="0"/>
        <charset val="1"/>
      </rPr>
      <t xml:space="preserve">72.6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核閱數）</t>
    </r>
    <r>
      <rPr>
        <sz val="9"/>
        <color rgb="FF595959"/>
        <rFont val="Arial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</si>
  <si>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現金購置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</si>
  <si>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購置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與設備訂金 </t>
    </r>
    <r>
      <rPr>
        <sz val="9"/>
        <color rgb="FF595959"/>
        <rFont val="Arial"/>
        <family val="0"/>
        <charset val="1"/>
      </rPr>
      <t xml:space="preserve">344,712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增加主要為 </t>
    </r>
    <r>
      <rPr>
        <sz val="9"/>
        <color rgb="FF595959"/>
        <rFont val="Arial"/>
        <family val="0"/>
        <charset val="1"/>
      </rPr>
      <t xml:space="preserve">NC-1 </t>
    </r>
    <r>
      <rPr>
        <sz val="9"/>
        <color rgb="FF595959"/>
        <rFont val="Noto Sans CJK SC"/>
        <family val="2"/>
      </rPr>
      <t xml:space="preserve">開發 </t>
    </r>
    <r>
      <rPr>
        <sz val="9"/>
        <color rgb="FF595959"/>
        <rFont val="Arial"/>
        <family val="0"/>
        <charset val="1"/>
      </rPr>
      <t xml:space="preserve">322.5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</si>
  <si>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認列（含 </t>
    </r>
    <r>
      <rPr>
        <sz val="10"/>
        <rFont val="Arial"/>
        <family val="0"/>
        <charset val="1"/>
      </rPr>
      <t xml:space="preserve">OEM </t>
    </r>
    <r>
      <rPr>
        <sz val="10"/>
        <rFont val="Noto Sans CJK SC"/>
        <family val="2"/>
      </rPr>
      <t xml:space="preserve">融資）</t>
    </r>
  </si>
  <si>
    <r>
      <rPr>
        <sz val="9"/>
        <color rgb="FF595959"/>
        <rFont val="Noto Sans CJK SC"/>
        <family val="2"/>
      </rPr>
      <t xml:space="preserve">應計口徑未揭露，以現金口徑代替；</t>
    </r>
    <r>
      <rPr>
        <sz val="9"/>
        <color rgb="FF595959"/>
        <rFont val="Arial"/>
        <family val="0"/>
        <charset val="1"/>
      </rPr>
      <t xml:space="preserve">1H26 PP&amp;E </t>
    </r>
    <r>
      <rPr>
        <sz val="9"/>
        <color rgb="FF595959"/>
        <rFont val="Noto Sans CJK SC"/>
        <family val="2"/>
      </rPr>
      <t xml:space="preserve">增加幾乎全為託管（</t>
    </r>
    <r>
      <rPr>
        <sz val="9"/>
        <color rgb="FF595959"/>
        <rFont val="Arial"/>
        <family val="0"/>
        <charset val="1"/>
      </rPr>
      <t xml:space="preserve">NC-1 322.5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MTL-3 </t>
    </r>
    <r>
      <rPr>
        <sz val="9"/>
        <color rgb="FF595959"/>
        <rFont val="Noto Sans CJK SC"/>
        <family val="2"/>
      </rPr>
      <t xml:space="preserve">購置 </t>
    </r>
    <r>
      <rPr>
        <sz val="9"/>
        <color rgb="FF595959"/>
        <rFont val="Arial"/>
        <family val="0"/>
        <charset val="1"/>
      </rPr>
      <t xml:space="preserve">18.2 </t>
    </r>
    <r>
      <rPr>
        <sz val="9"/>
        <color rgb="FF595959"/>
        <rFont val="Noto Sans CJK SC"/>
        <family val="2"/>
      </rPr>
      <t xml:space="preserve">與改良 </t>
    </r>
    <r>
      <rPr>
        <sz val="9"/>
        <color rgb="FF595959"/>
        <rFont val="Arial"/>
        <family val="0"/>
        <charset val="1"/>
      </rPr>
      <t xml:space="preserve">4.7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MTL-1 1.9</t>
    </r>
    <r>
      <rPr>
        <sz val="9"/>
        <color rgb="FF595959"/>
        <rFont val="Noto Sans CJK SC"/>
        <family val="2"/>
      </rPr>
      <t xml:space="preserve">，合計 </t>
    </r>
    <r>
      <rPr>
        <sz val="9"/>
        <color rgb="FF595959"/>
        <rFont val="Arial"/>
        <family val="0"/>
        <charset val="1"/>
      </rPr>
      <t xml:space="preserve">347.3 ≥ </t>
    </r>
    <r>
      <rPr>
        <sz val="9"/>
        <color rgb="FF595959"/>
        <rFont val="Noto Sans CJK SC"/>
        <family val="2"/>
      </rPr>
      <t xml:space="preserve">現金資本支出），雲端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資本支出記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capexCore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</si>
  <si>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＋策略投資出資</t>
    </r>
  </si>
  <si>
    <r>
      <rPr>
        <sz val="9"/>
        <color rgb="FF595959"/>
        <rFont val="Noto Sans CJK SC"/>
        <family val="2"/>
      </rPr>
      <t xml:space="preserve">不適用（無 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）；出售 </t>
    </r>
    <r>
      <rPr>
        <sz val="9"/>
        <color rgb="FF595959"/>
        <rFont val="Arial"/>
        <family val="0"/>
        <charset val="1"/>
      </rPr>
      <t xml:space="preserve">126 </t>
    </r>
    <r>
      <rPr>
        <sz val="9"/>
        <color rgb="FF595959"/>
        <rFont val="Noto Sans CJK SC"/>
        <family val="2"/>
      </rPr>
      <t xml:space="preserve">台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伺服器收入 </t>
    </r>
    <r>
      <rPr>
        <sz val="9"/>
        <color rgb="FF595959"/>
        <rFont val="Arial"/>
        <family val="0"/>
        <charset val="1"/>
      </rPr>
      <t xml:space="preserve">26,082 </t>
    </r>
    <r>
      <rPr>
        <sz val="9"/>
        <color rgb="FF595959"/>
        <rFont val="Noto Sans CJK SC"/>
        <family val="2"/>
      </rPr>
      <t xml:space="preserve">進調節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</si>
  <si>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借款</t>
  </si>
  <si>
    <r>
      <rPr>
        <sz val="9"/>
        <color rgb="FF595959"/>
        <rFont val="Noto Sans CJK SC"/>
        <family val="2"/>
      </rPr>
      <t xml:space="preserve">第三方定期借款 </t>
    </r>
    <r>
      <rPr>
        <sz val="9"/>
        <color rgb="FF595959"/>
        <rFont val="Arial"/>
        <family val="0"/>
        <charset val="1"/>
      </rPr>
      <t xml:space="preserve">53,308</t>
    </r>
    <r>
      <rPr>
        <sz val="9"/>
        <color rgb="FF595959"/>
        <rFont val="Noto Sans CJK SC"/>
        <family val="2"/>
      </rPr>
      <t xml:space="preserve">＋關係人（</t>
    </r>
    <r>
      <rPr>
        <sz val="9"/>
        <color rgb="FF595959"/>
        <rFont val="Arial"/>
        <family val="0"/>
        <charset val="1"/>
      </rPr>
      <t xml:space="preserve">Bit Digital DDTL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29,100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可轉債淨額 </t>
    </r>
    <r>
      <rPr>
        <sz val="9"/>
        <color rgb="FF595959"/>
        <rFont val="Arial"/>
        <family val="0"/>
        <charset val="1"/>
      </rPr>
      <t xml:space="preserve">222,118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304,526 [Interested-party]</t>
    </r>
  </si>
  <si>
    <t xml:space="preserve">還款</t>
  </si>
  <si>
    <r>
      <rPr>
        <sz val="9"/>
        <color rgb="FF595959"/>
        <rFont val="Noto Sans CJK SC"/>
        <family val="2"/>
      </rPr>
      <t xml:space="preserve">融資租賃償還 </t>
    </r>
    <r>
      <rPr>
        <sz val="9"/>
        <color rgb="FF595959"/>
        <rFont val="Arial"/>
        <family val="0"/>
        <charset val="1"/>
      </rPr>
      <t xml:space="preserve">12,599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MTL-3 </t>
    </r>
    <r>
      <rPr>
        <sz val="9"/>
        <color rgb="FF595959"/>
        <rFont val="Noto Sans CJK SC"/>
        <family val="2"/>
      </rPr>
      <t xml:space="preserve">購入前）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</si>
  <si>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capped call </t>
    </r>
    <r>
      <rPr>
        <sz val="10"/>
        <rFont val="Noto Sans CJK SC"/>
        <family val="2"/>
      </rPr>
      <t xml:space="preserve">支出</t>
    </r>
  </si>
  <si>
    <r>
      <rPr>
        <sz val="9"/>
        <color rgb="FF595959"/>
        <rFont val="Noto Sans CJK SC"/>
        <family val="2"/>
      </rPr>
      <t xml:space="preserve">零履約價買權 </t>
    </r>
    <r>
      <rPr>
        <sz val="9"/>
        <color rgb="FF595959"/>
        <rFont val="Arial"/>
        <family val="0"/>
        <charset val="1"/>
      </rPr>
      <t xml:space="preserve">120,000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年收回 </t>
    </r>
    <r>
      <rPr>
        <sz val="9"/>
        <color rgb="FF595959"/>
        <rFont val="Arial"/>
        <family val="0"/>
        <charset val="1"/>
      </rPr>
      <t xml:space="preserve">5,905,511 </t>
    </r>
    <r>
      <rPr>
        <sz val="9"/>
        <color rgb="FF595959"/>
        <rFont val="Noto Sans CJK SC"/>
        <family val="2"/>
      </rPr>
      <t xml:space="preserve">股；權益分類）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</si>
  <si>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私募股權</t>
  </si>
  <si>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未發行普通股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</si>
  <si>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利息費用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</si>
  <si>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利息費用：第三方 </t>
    </r>
    <r>
      <rPr>
        <sz val="9"/>
        <color rgb="FF595959"/>
        <rFont val="Arial"/>
        <family val="0"/>
        <charset val="1"/>
      </rPr>
      <t xml:space="preserve">6,573</t>
    </r>
    <r>
      <rPr>
        <sz val="9"/>
        <color rgb="FF595959"/>
        <rFont val="Noto Sans CJK SC"/>
        <family val="2"/>
      </rPr>
      <t xml:space="preserve">＋關係人 </t>
    </r>
    <r>
      <rPr>
        <sz val="9"/>
        <color rgb="FF595959"/>
        <rFont val="Arial"/>
        <family val="0"/>
        <charset val="1"/>
      </rPr>
      <t xml:space="preserve">1,438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8,011 [Interested-party]</t>
    </r>
  </si>
  <si>
    <t xml:space="preserve">租賃現金支付</t>
  </si>
  <si>
    <r>
      <rPr>
        <sz val="9"/>
        <color rgb="FF595959"/>
        <rFont val="Noto Sans CJK SC"/>
        <family val="2"/>
      </rPr>
      <t xml:space="preserve">營業租賃成本 </t>
    </r>
    <r>
      <rPr>
        <sz val="9"/>
        <color rgb="FF595959"/>
        <rFont val="Arial"/>
        <family val="0"/>
        <charset val="1"/>
      </rPr>
      <t xml:space="preserve">13,044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；已含在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內，僅供對照）</t>
    </r>
  </si>
  <si>
    <t xml:space="preserve">營收</t>
  </si>
  <si>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40,573</t>
    </r>
    <r>
      <rPr>
        <sz val="9"/>
        <color rgb="FF595959"/>
        <rFont val="Noto Sans CJK SC"/>
        <family val="2"/>
      </rPr>
      <t xml:space="preserve">（含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終止費 </t>
    </r>
    <r>
      <rPr>
        <sz val="9"/>
        <color rgb="FF595959"/>
        <rFont val="Arial"/>
        <family val="0"/>
        <charset val="1"/>
      </rPr>
      <t xml:space="preserve">12.3</t>
    </r>
    <r>
      <rPr>
        <sz val="9"/>
        <color rgb="FF595959"/>
        <rFont val="Noto Sans CJK SC"/>
        <family val="2"/>
      </rPr>
      <t xml:space="preserve">）＋託管 </t>
    </r>
    <r>
      <rPr>
        <sz val="9"/>
        <color rgb="FF595959"/>
        <rFont val="Arial"/>
        <family val="0"/>
        <charset val="1"/>
      </rPr>
      <t xml:space="preserve">9,500</t>
    </r>
    <r>
      <rPr>
        <sz val="9"/>
        <color rgb="FF595959"/>
        <rFont val="Noto Sans CJK SC"/>
        <family val="2"/>
      </rPr>
      <t xml:space="preserve">＋其他 </t>
    </r>
    <r>
      <rPr>
        <sz val="9"/>
        <color rgb="FF595959"/>
        <rFont val="Arial"/>
        <family val="0"/>
        <charset val="1"/>
      </rPr>
      <t xml:space="preserve">689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50,762 [Interested-party]</t>
    </r>
  </si>
  <si>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營業損益</t>
    </r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</si>
  <si>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50,762 − </t>
    </r>
    <r>
      <rPr>
        <sz val="9"/>
        <color rgb="FF595959"/>
        <rFont val="Noto Sans CJK SC"/>
        <family val="2"/>
      </rPr>
      <t xml:space="preserve">營業成本 </t>
    </r>
    <r>
      <rPr>
        <sz val="9"/>
        <color rgb="FF595959"/>
        <rFont val="Arial"/>
        <family val="0"/>
        <charset val="1"/>
      </rPr>
      <t xml:space="preserve">20,441 − D&amp;A 13,008 − </t>
    </r>
    <r>
      <rPr>
        <sz val="9"/>
        <color rgb="FF595959"/>
        <rFont val="Noto Sans CJK SC"/>
        <family val="2"/>
      </rPr>
      <t xml:space="preserve">減損 </t>
    </r>
    <r>
      <rPr>
        <sz val="9"/>
        <color rgb="FF595959"/>
        <rFont val="Arial"/>
        <family val="0"/>
        <charset val="1"/>
      </rPr>
      <t xml:space="preserve">5,006 − G&amp;A 32,582</t>
    </r>
    <r>
      <rPr>
        <sz val="9"/>
        <color rgb="FF595959"/>
        <rFont val="Noto Sans CJK SC"/>
        <family val="2"/>
      </rPr>
      <t xml:space="preserve">＝−</t>
    </r>
    <r>
      <rPr>
        <sz val="9"/>
        <color rgb="FF595959"/>
        <rFont val="Arial"/>
        <family val="0"/>
        <charset val="1"/>
      </rPr>
      <t xml:space="preserve">20,275 [Derived]</t>
    </r>
  </si>
  <si>
    <t xml:space="preserve">淨損</t>
  </si>
  <si>
    <r>
      <rPr>
        <sz val="9"/>
        <color rgb="FF595959"/>
        <rFont val="Noto Sans CJK SC"/>
        <family val="2"/>
      </rPr>
      <t xml:space="preserve">淨損 </t>
    </r>
    <r>
      <rPr>
        <sz val="9"/>
        <color rgb="FF595959"/>
        <rFont val="Arial"/>
        <family val="0"/>
        <charset val="1"/>
      </rPr>
      <t xml:space="preserve">27,018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</si>
  <si>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遞延收入淨流入</t>
  </si>
  <si>
    <r>
      <rPr>
        <sz val="9"/>
        <color rgb="FF595959"/>
        <rFont val="Noto Sans CJK SC"/>
        <family val="2"/>
      </rPr>
      <t xml:space="preserve">客戶預付流入（雲端＋資料中心）</t>
    </r>
    <r>
      <rPr>
        <sz val="9"/>
        <color rgb="FF595959"/>
        <rFont val="Arial"/>
        <family val="0"/>
        <charset val="1"/>
      </rPr>
      <t xml:space="preserve">72.6</t>
    </r>
    <r>
      <rPr>
        <sz val="9"/>
        <color rgb="FF595959"/>
        <rFont val="Noto Sans CJK SC"/>
        <family val="2"/>
      </rPr>
      <t xml:space="preserve">；已含在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內，僅供對照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</si>
  <si>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D&amp;A</t>
  </si>
  <si>
    <r>
      <rPr>
        <sz val="9"/>
        <color rgb="FF595959"/>
        <rFont val="Noto Sans CJK SC"/>
        <family val="2"/>
      </rPr>
      <t xml:space="preserve">折舊與攤銷 </t>
    </r>
    <r>
      <rPr>
        <sz val="9"/>
        <color rgb="FF595959"/>
        <rFont val="Arial"/>
        <family val="0"/>
        <charset val="1"/>
      </rPr>
      <t xml:space="preserve">13,008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Q1 6,441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6,567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</si>
  <si>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SBC</t>
  </si>
  <si>
    <r>
      <rPr>
        <sz val="9"/>
        <color rgb="FF595959"/>
        <rFont val="Noto Sans CJK SC"/>
        <family val="2"/>
      </rPr>
      <t xml:space="preserve">股份基礎給付 </t>
    </r>
    <r>
      <rPr>
        <sz val="9"/>
        <color rgb="FF595959"/>
        <rFont val="Arial"/>
        <family val="0"/>
        <charset val="1"/>
      </rPr>
      <t xml:space="preserve">11,017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Q1 7,346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3,671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</si>
  <si>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GAAP EPS</t>
  </si>
  <si>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淨損 −</t>
    </r>
    <r>
      <rPr>
        <sz val="9"/>
        <color rgb="FF595959"/>
        <rFont val="Arial"/>
        <family val="0"/>
        <charset val="1"/>
      </rPr>
      <t xml:space="preserve">27.018 ÷ </t>
    </r>
    <r>
      <rPr>
        <sz val="9"/>
        <color rgb="FF595959"/>
        <rFont val="Noto Sans CJK SC"/>
        <family val="2"/>
      </rPr>
      <t xml:space="preserve">加權股數約 </t>
    </r>
    <r>
      <rPr>
        <sz val="9"/>
        <color rgb="FF595959"/>
        <rFont val="Arial"/>
        <family val="0"/>
        <charset val="1"/>
      </rPr>
      <t xml:space="preserve">38.7m</t>
    </r>
    <r>
      <rPr>
        <sz val="9"/>
        <color rgb="FF595959"/>
        <rFont val="Noto Sans CJK SC"/>
        <family val="2"/>
      </rPr>
      <t xml:space="preserve">＝−</t>
    </r>
    <r>
      <rPr>
        <sz val="9"/>
        <color rgb="FF595959"/>
        <rFont val="Arial"/>
        <family val="0"/>
        <charset val="1"/>
      </rPr>
      <t xml:space="preserve">0.70 [Derived]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Q2 GAAP −0.39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</si>
  <si>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</si>
  <si>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淨損 −</t>
    </r>
    <r>
      <rPr>
        <sz val="9"/>
        <color rgb="FF595959"/>
        <rFont val="Arial"/>
        <family val="0"/>
        <charset val="1"/>
      </rPr>
      <t xml:space="preserve">27.018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SBC 11.017)÷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38.7m</t>
    </r>
    <r>
      <rPr>
        <sz val="9"/>
        <color rgb="FF595959"/>
        <rFont val="Noto Sans CJK SC"/>
        <family val="2"/>
      </rPr>
      <t xml:space="preserve">＝−</t>
    </r>
    <r>
      <rPr>
        <sz val="9"/>
        <color rgb="FF595959"/>
        <rFont val="Arial"/>
        <family val="0"/>
        <charset val="1"/>
      </rPr>
      <t xml:space="preserve">0.41 [Derived]</t>
    </r>
  </si>
  <si>
    <t xml:space="preserve">股利支付（普通股＋特別股）</t>
  </si>
  <si>
    <r>
      <rPr>
        <sz val="9"/>
        <color rgb="FF595959"/>
        <rFont val="Noto Sans CJK SC"/>
        <family val="2"/>
      </rPr>
      <t xml:space="preserve">不發股利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</si>
  <si>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Q1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</si>
  <si>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Q1 3.001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5.535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Q1 2026 Q1 10-Q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MD&amp;A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調節表）；</t>
    </r>
    <r>
      <rPr>
        <sz val="9"/>
        <color rgb="FF595959"/>
        <rFont val="Arial"/>
        <family val="0"/>
        <charset val="1"/>
      </rPr>
      <t xml:space="preserve">Q2 2026 Q2 10-Q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MD&amp;A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調節表，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Noto Sans CJK SC"/>
        <family val="2"/>
      </rPr>
      <t xml:space="preserve">）；調整後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（公司定義）＝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＋減損＋處分損益＋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含終止費 </t>
    </r>
    <r>
      <rPr>
        <sz val="9"/>
        <color rgb="FF595959"/>
        <rFont val="Arial"/>
        <family val="0"/>
        <charset val="1"/>
      </rPr>
      <t xml:space="preserve">12.3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租賃終止成本約 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（二手）、呆帳 </t>
    </r>
    <r>
      <rPr>
        <sz val="9"/>
        <color rgb="FF595959"/>
        <rFont val="Arial"/>
        <family val="0"/>
        <charset val="1"/>
      </rPr>
      <t xml:space="preserve">2.2 </t>
    </r>
    <r>
      <rPr>
        <sz val="9"/>
        <color rgb="FF595959"/>
        <rFont val="Noto Sans CJK SC"/>
        <family val="2"/>
      </rPr>
      <t xml:space="preserve">等一次性項目，扣除後經常性約 −</t>
    </r>
    <r>
      <rPr>
        <sz val="9"/>
        <color rgb="FF595959"/>
        <rFont val="Arial"/>
        <family val="0"/>
        <charset val="1"/>
      </rPr>
      <t xml:space="preserve">0.565 [Derived]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Q1 3.001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5.535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8.536</t>
    </r>
    <r>
      <rPr>
        <sz val="9"/>
        <color rgb="FF595959"/>
        <rFont val="Noto Sans CJK SC"/>
        <family val="2"/>
      </rPr>
      <t xml:space="preserve">（含一次性；首期實際照 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，對照表與審查留言第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條）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</si>
  <si>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認列：第一分部（</t>
    </r>
    <r>
      <rPr>
        <sz val="10"/>
        <rFont val="Arial"/>
        <family val="0"/>
        <charset val="1"/>
      </rPr>
      <t xml:space="preserve">GPU</t>
    </r>
    <r>
      <rPr>
        <sz val="10"/>
        <rFont val="Noto Sans CJK SC"/>
        <family val="2"/>
      </rPr>
      <t xml:space="preserve">）部分</t>
    </r>
  </si>
  <si>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｜情境區間運算表（模擬運算表；由 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自動計算，勿手動輸入）</t>
    </r>
  </si>
  <si>
    <r>
      <rPr>
        <sz val="9"/>
        <color rgb="FF595959"/>
        <rFont val="Noto Sans CJK SC"/>
        <family val="2"/>
      </rPr>
      <t xml:space="preserve">保守與積極情境的加權目標價（情境區間）；其餘手動輸入保留。資料表公式：</t>
    </r>
    <r>
      <rPr>
        <sz val="9"/>
        <color rgb="FF595959"/>
        <rFont val="Arial"/>
        <family val="0"/>
        <charset val="1"/>
      </rPr>
      <t xml:space="preserve">{=TABLE(,</t>
    </r>
    <r>
      <rPr>
        <sz val="9"/>
        <color rgb="FF595959"/>
        <rFont val="Noto Sans CJK SC"/>
        <family val="2"/>
      </rPr>
      <t xml:space="preserve">情境選擇</t>
    </r>
    <r>
      <rPr>
        <sz val="9"/>
        <color rgb="FF595959"/>
        <rFont val="Arial"/>
        <family val="0"/>
        <charset val="1"/>
      </rPr>
      <t xml:space="preserve">)}</t>
    </r>
  </si>
  <si>
    <t xml:space="preserve">情境區間運算表｜公式列（加權目標價／評等代碼）</t>
  </si>
  <si>
    <t xml:space="preserve">情境區間運算表｜保守 只有已簽約</t>
  </si>
  <si>
    <r>
      <rPr>
        <sz val="10"/>
        <rFont val="Noto Sans CJK SC"/>
        <family val="2"/>
      </rPr>
      <t xml:space="preserve">情境區間運算表｜基準 加 </t>
    </r>
    <r>
      <rPr>
        <sz val="10"/>
        <rFont val="Arial"/>
        <family val="0"/>
        <charset val="1"/>
      </rPr>
      <t xml:space="preserve">NC-1 </t>
    </r>
    <r>
      <rPr>
        <sz val="10"/>
        <rFont val="Noto Sans CJK SC"/>
        <family val="2"/>
      </rPr>
      <t xml:space="preserve">下一批</t>
    </r>
  </si>
  <si>
    <r>
      <rPr>
        <sz val="10"/>
        <rFont val="Noto Sans CJK SC"/>
        <family val="2"/>
      </rPr>
      <t xml:space="preserve">情境區間運算表｜積極 </t>
    </r>
    <r>
      <rPr>
        <sz val="10"/>
        <rFont val="Arial"/>
        <family val="0"/>
        <charset val="1"/>
      </rPr>
      <t xml:space="preserve">NC-2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Krambu</t>
    </r>
  </si>
  <si>
    <r>
      <rPr>
        <b val="true"/>
        <sz val="10"/>
        <rFont val="Arial"/>
        <family val="0"/>
        <charset val="1"/>
      </rPr>
      <t xml:space="preserve">I</t>
    </r>
    <r>
      <rPr>
        <b val="true"/>
        <sz val="10"/>
        <rFont val="Noto Sans CJK SC"/>
        <family val="2"/>
      </rPr>
      <t xml:space="preserve">｜市場共識（</t>
    </r>
    <r>
      <rPr>
        <b val="true"/>
        <sz val="10"/>
        <rFont val="Arial"/>
        <family val="0"/>
        <charset val="1"/>
      </rPr>
      <t xml:space="preserve">data/consensus_wyfi_20261008.json</t>
    </r>
    <r>
      <rPr>
        <b val="true"/>
        <sz val="10"/>
        <rFont val="Noto Sans CJK SC"/>
        <family val="2"/>
      </rPr>
      <t xml:space="preserve">；只讀，不增補數字；下游只引用本區）</t>
    </r>
  </si>
  <si>
    <r>
      <rPr>
        <sz val="9"/>
        <color rgb="FF595959"/>
        <rFont val="Noto Sans CJK SC"/>
        <family val="2"/>
      </rPr>
      <t xml:space="preserve">標記：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＝可公開查證的事實（收盤價等）；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＝賣方分析師預估：有利益關係（承銷：</t>
    </r>
    <r>
      <rPr>
        <sz val="9"/>
        <color rgb="FF595959"/>
        <rFont val="Arial"/>
        <family val="0"/>
        <charset val="1"/>
      </rPr>
      <t xml:space="preserve">B. Riley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Needham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IPO </t>
    </r>
    <r>
      <rPr>
        <sz val="9"/>
        <color rgb="FF595959"/>
        <rFont val="Noto Sans CJK SC"/>
        <family val="2"/>
      </rPr>
      <t xml:space="preserve">主辦；</t>
    </r>
    <r>
      <rPr>
        <sz val="9"/>
        <color rgb="FF595959"/>
        <rFont val="Arial"/>
        <family val="0"/>
        <charset val="1"/>
      </rPr>
      <t xml:space="preserve">Barclays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2032 </t>
    </r>
    <r>
      <rPr>
        <sz val="9"/>
        <color rgb="FF595959"/>
        <rFont val="Noto Sans CJK SC"/>
        <family val="2"/>
      </rPr>
      <t xml:space="preserve">可轉債主辦），數字是意見而非事實</t>
    </r>
  </si>
  <si>
    <t xml:space="preserve">價格與目標價</t>
  </si>
  <si>
    <t xml:space="preserve">數值</t>
  </si>
  <si>
    <t xml:space="preserve">擷取日期</t>
  </si>
  <si>
    <t xml:space="preserve">標記</t>
  </si>
  <si>
    <t xml:space="preserve">來源</t>
  </si>
  <si>
    <t xml:space="preserve">備註</t>
  </si>
  <si>
    <t xml:space="preserve">共識｜現價參考（收盤）</t>
  </si>
  <si>
    <t xml:space="preserve">Verified</t>
  </si>
  <si>
    <r>
      <rPr>
        <sz val="9"/>
        <color rgb="FF595959"/>
        <rFont val="Arial"/>
        <family val="0"/>
        <charset val="1"/>
      </rPr>
      <t xml:space="preserve">Yahoo Finance </t>
    </r>
    <r>
      <rPr>
        <sz val="9"/>
        <color rgb="FF595959"/>
        <rFont val="Noto Sans CJK SC"/>
        <family val="2"/>
      </rPr>
      <t xml:space="preserve">報價頁｜</t>
    </r>
    <r>
      <rPr>
        <sz val="9"/>
        <color rgb="FF595959"/>
        <rFont val="Arial"/>
        <family val="0"/>
        <charset val="1"/>
      </rPr>
      <t xml:space="preserve">https://finance.yahoo.com/quote/wyfi</t>
    </r>
  </si>
  <si>
    <r>
      <rPr>
        <sz val="9"/>
        <color rgb="FF595959"/>
        <rFont val="Noto Sans CJK SC"/>
        <family val="2"/>
      </rPr>
      <t xml:space="preserve">收盤日 </t>
    </r>
    <r>
      <rPr>
        <sz val="9"/>
        <color rgb="FF595959"/>
        <rFont val="Arial"/>
        <family val="0"/>
        <charset val="1"/>
      </rPr>
      <t xml:space="preserve">2026-10-07</t>
    </r>
  </si>
  <si>
    <t xml:space="preserve">共識｜目標價｜平均</t>
  </si>
  <si>
    <t xml:space="preserve">Interested-party</t>
  </si>
  <si>
    <r>
      <rPr>
        <sz val="9"/>
        <color rgb="FF595959"/>
        <rFont val="Arial"/>
        <family val="0"/>
        <charset val="1"/>
      </rPr>
      <t xml:space="preserve">MarketBeat</t>
    </r>
    <r>
      <rPr>
        <sz val="9"/>
        <color rgb="FF595959"/>
        <rFont val="Noto Sans CJK SC"/>
        <family val="2"/>
      </rPr>
      <t xml:space="preserve">（自行彙整）｜</t>
    </r>
    <r>
      <rPr>
        <sz val="9"/>
        <color rgb="FF595959"/>
        <rFont val="Arial"/>
        <family val="0"/>
        <charset val="1"/>
      </rPr>
      <t xml:space="preserve">https://www.marketbeat.com/stocks/NASDAQ/WYFI/forecast</t>
    </r>
  </si>
  <si>
    <t xml:space="preserve">共識｜目標價｜最低</t>
  </si>
  <si>
    <t xml:space="preserve">共識｜目標價｜最高</t>
  </si>
  <si>
    <t xml:space="preserve">共識｜目標價｜分析師家數</t>
  </si>
  <si>
    <t xml:space="preserve">共識｜目標價｜共識評等</t>
  </si>
  <si>
    <t xml:space="preserve">Moderate Buy</t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</si>
  <si>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Investing.com </t>
    </r>
    <r>
      <rPr>
        <sz val="10"/>
        <rFont val="Noto Sans CJK SC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</si>
  <si>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Investing.com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https://www.investing.com/equities/whitefiber-consensus-estimates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</si>
  <si>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Investing.com </t>
    </r>
    <r>
      <rPr>
        <sz val="10"/>
        <rFont val="Noto Sans CJK SC"/>
        <family val="2"/>
      </rPr>
      <t xml:space="preserve">對照家數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</si>
  <si>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Investing.com </t>
    </r>
    <r>
      <rPr>
        <sz val="10"/>
        <rFont val="Noto Sans CJK SC"/>
        <family val="2"/>
      </rPr>
      <t xml:space="preserve">對照評等</t>
    </r>
  </si>
  <si>
    <t xml:space="preserve">Strong Buy</t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</si>
  <si>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Yahoo Finance </t>
    </r>
    <r>
      <rPr>
        <sz val="10"/>
        <rFont val="Noto Sans CJK SC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</si>
  <si>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Yahoo Finance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1y Target Est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https://finance.yahoo.com/quote/wyfi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</si>
  <si>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Simply Wall St </t>
    </r>
    <r>
      <rPr>
        <sz val="10"/>
        <rFont val="Noto Sans CJK SC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</si>
  <si>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Simply Wall St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https://simplywall.st/stocks/us/software/nasdaq-wyfi/whitefiber/future</t>
    </r>
  </si>
  <si>
    <r>
      <rPr>
        <sz val="9"/>
        <color rgb="FF595959"/>
        <rFont val="Arial"/>
        <family val="0"/>
        <charset val="1"/>
      </rPr>
      <t xml:space="preserve">2026-08-20 </t>
    </r>
    <r>
      <rPr>
        <sz val="9"/>
        <color rgb="FF595959"/>
        <rFont val="Noto Sans CJK SC"/>
        <family val="2"/>
      </rPr>
      <t xml:space="preserve">更新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</si>
  <si>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Simply Wall St </t>
    </r>
    <r>
      <rPr>
        <sz val="10"/>
        <rFont val="Noto Sans CJK SC"/>
        <family val="2"/>
      </rPr>
      <t xml:space="preserve">對照家數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</si>
  <si>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Benzinga </t>
    </r>
    <r>
      <rPr>
        <sz val="10"/>
        <rFont val="Noto Sans CJK SC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</si>
  <si>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Benzinga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https://www.benzinga.com/stock/WYFI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</si>
  <si>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Tickflow </t>
    </r>
    <r>
      <rPr>
        <sz val="10"/>
        <rFont val="Noto Sans CJK SC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</si>
  <si>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Tickflow</t>
    </r>
    <r>
      <rPr>
        <sz val="9"/>
        <color rgb="FF595959"/>
        <rFont val="Noto Sans CJK SC"/>
        <family val="2"/>
      </rPr>
      <t xml:space="preserve">（來源未具名）｜</t>
    </r>
    <r>
      <rPr>
        <sz val="9"/>
        <color rgb="FF595959"/>
        <rFont val="Arial"/>
        <family val="0"/>
        <charset val="1"/>
      </rPr>
      <t xml:space="preserve">https://tickflow.io/stock/WYFI/forecast</t>
    </r>
  </si>
  <si>
    <t xml:space="preserve">頁面目標價區間自相矛盾，只列參考</t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</si>
  <si>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Tickflow </t>
    </r>
    <r>
      <rPr>
        <sz val="10"/>
        <rFont val="Noto Sans CJK SC"/>
        <family val="2"/>
      </rPr>
      <t xml:space="preserve">對照家數</t>
    </r>
  </si>
  <si>
    <r>
      <rPr>
        <b val="true"/>
        <sz val="11"/>
        <color rgb="FFFFFFFF"/>
        <rFont val="Noto Sans CJK SC"/>
        <family val="2"/>
      </rPr>
      <t xml:space="preserve">評等分布（</t>
    </r>
    <r>
      <rPr>
        <b val="true"/>
        <sz val="11"/>
        <color rgb="FFFFFFFF"/>
        <rFont val="Arial"/>
        <family val="0"/>
        <charset val="1"/>
      </rPr>
      <t xml:space="preserve">2026-10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</si>
  <si>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共識｜評等分布｜強力買進</t>
  </si>
  <si>
    <r>
      <rPr>
        <sz val="9"/>
        <color rgb="FF595959"/>
        <rFont val="Arial"/>
        <family val="0"/>
        <charset val="1"/>
      </rPr>
      <t xml:space="preserve">MarketBeat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https://www.marketbeat.com/stocks/NASDAQ/WYFI/forecast</t>
    </r>
  </si>
  <si>
    <t xml:space="preserve">共識｜評等分布｜買進</t>
  </si>
  <si>
    <t xml:space="preserve">共識｜評等分布｜持有</t>
  </si>
  <si>
    <t xml:space="preserve">共識｜評等分布｜賣出</t>
  </si>
  <si>
    <t xml:space="preserve">共識｜評等分布｜強力賣出</t>
  </si>
  <si>
    <t xml:space="preserve">共識｜評等分布｜合計</t>
  </si>
  <si>
    <r>
      <rPr>
        <b val="true"/>
        <sz val="11"/>
        <color rgb="FFFFFFFF"/>
        <rFont val="Noto Sans CJK SC"/>
        <family val="2"/>
      </rPr>
      <t xml:space="preserve">年度共識（</t>
    </r>
    <r>
      <rPr>
        <b val="true"/>
        <sz val="11"/>
        <color rgb="FFFFFFFF"/>
        <rFont val="Arial"/>
        <family val="0"/>
        <charset val="1"/>
      </rPr>
      <t xml:space="preserve">FY26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FY27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FY28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</si>
  <si>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共識｜年度｜營收</t>
  </si>
  <si>
    <t xml:space="preserve">共識｜年度｜淨利</t>
  </si>
  <si>
    <t xml:space="preserve">共識｜年度｜自由現金流</t>
  </si>
  <si>
    <t xml:space="preserve">共識｜年度｜口徑說明</t>
  </si>
  <si>
    <r>
      <rPr>
        <sz val="10"/>
        <rFont val="Noto Sans CJK SC"/>
        <family val="2"/>
      </rPr>
      <t xml:space="preserve">營收＝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總營收；淨利＝</t>
    </r>
    <r>
      <rPr>
        <sz val="10"/>
        <rFont val="Arial"/>
        <family val="0"/>
        <charset val="1"/>
      </rPr>
      <t xml:space="preserve">GAAP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共識未取得（找不到，非不存在）</t>
    </r>
  </si>
  <si>
    <r>
      <rPr>
        <b val="true"/>
        <sz val="11"/>
        <color rgb="FFFFFFFF"/>
        <rFont val="Arial"/>
        <family val="0"/>
        <charset val="1"/>
      </rPr>
      <t xml:space="preserve">S&amp;P </t>
    </r>
    <r>
      <rPr>
        <b val="true"/>
        <sz val="11"/>
        <color rgb="FFFFFFFF"/>
        <rFont val="Noto Sans CJK SC"/>
        <family val="2"/>
      </rPr>
      <t xml:space="preserve">對照（經 </t>
    </r>
    <r>
      <rPr>
        <b val="true"/>
        <sz val="11"/>
        <color rgb="FFFFFFFF"/>
        <rFont val="Arial"/>
        <family val="0"/>
        <charset val="1"/>
      </rPr>
      <t xml:space="preserve">StockAnalysis.com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</si>
  <si>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對照｜營收（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</si>
  <si>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營收區間（低／高）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</si>
  <si>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</si>
  <si>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FY26 EPS </t>
    </r>
    <r>
      <rPr>
        <sz val="10"/>
        <rFont val="Noto Sans CJK SC"/>
        <family val="2"/>
      </rPr>
      <t xml:space="preserve">區間（低／高）</t>
    </r>
  </si>
  <si>
    <r>
      <rPr>
        <sz val="9"/>
        <color rgb="FF595959"/>
        <rFont val="Arial"/>
        <family val="0"/>
        <charset val="1"/>
      </rPr>
      <t xml:space="preserve">FY2027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28 </t>
    </r>
    <r>
      <rPr>
        <sz val="9"/>
        <color rgb="FF595959"/>
        <rFont val="Noto Sans CJK SC"/>
        <family val="2"/>
      </rPr>
      <t xml:space="preserve">為頁面季度預估加總（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），各季家數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差距大，只列參考</t>
    </r>
  </si>
  <si>
    <t xml:space="preserve">最新分析師動作</t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</si>
  <si>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2026-09-03 HC Wainwright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Mike Colonnese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</si>
  <si>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Noto Sans CJK SC"/>
        <family val="2"/>
      </rPr>
      <t xml:space="preserve">（維持）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</si>
  <si>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2026-08-14 Barclays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Raimo Lenschow</t>
    </r>
    <r>
      <rPr>
        <sz val="10"/>
        <rFont val="Noto Sans CJK SC"/>
        <family val="2"/>
      </rPr>
      <t xml:space="preserve">）</t>
    </r>
  </si>
  <si>
    <t xml:space="preserve">Equal Weight</t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</si>
  <si>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2026-08-13 Needham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John Todaro</t>
    </r>
    <r>
      <rPr>
        <sz val="10"/>
        <rFont val="Noto Sans CJK SC"/>
        <family val="2"/>
      </rPr>
      <t xml:space="preserve">）</t>
    </r>
  </si>
  <si>
    <t xml:space="preserve">Buy</t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</si>
  <si>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2026-08-13 Cantor Fitzgerald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Brett Knoblauch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</si>
  <si>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Overweight</t>
    </r>
    <r>
      <rPr>
        <sz val="9"/>
        <color rgb="FF595959"/>
        <rFont val="Noto Sans CJK SC"/>
        <family val="2"/>
      </rPr>
      <t xml:space="preserve">（由 </t>
    </r>
    <r>
      <rPr>
        <sz val="9"/>
        <color rgb="FF595959"/>
        <rFont val="Arial"/>
        <family val="0"/>
        <charset val="1"/>
      </rPr>
      <t xml:space="preserve">Neutral </t>
    </r>
    <r>
      <rPr>
        <sz val="9"/>
        <color rgb="FF595959"/>
        <rFont val="Noto Sans CJK SC"/>
        <family val="2"/>
      </rPr>
      <t xml:space="preserve">升）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</si>
  <si>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2026-08-12 BTIG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Gregory Lewis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</si>
  <si>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2026-08-12 Weiss Ratings</t>
    </r>
  </si>
  <si>
    <t xml:space="preserve">目標價未列</t>
  </si>
  <si>
    <r>
      <rPr>
        <sz val="9"/>
        <color rgb="FF595959"/>
        <rFont val="Arial"/>
        <family val="0"/>
        <charset val="1"/>
      </rPr>
      <t xml:space="preserve">Sell (D-)</t>
    </r>
    <r>
      <rPr>
        <sz val="9"/>
        <color rgb="FF595959"/>
        <rFont val="Noto Sans CJK SC"/>
        <family val="2"/>
      </rPr>
      <t xml:space="preserve">（降）</t>
    </r>
  </si>
  <si>
    <t xml:space="preserve">來源與限制</t>
  </si>
  <si>
    <t xml:space="preserve">共識｜來源獨立性</t>
  </si>
  <si>
    <r>
      <rPr>
        <sz val="10"/>
        <rFont val="Arial"/>
        <family val="0"/>
        <charset val="1"/>
      </rPr>
      <t xml:space="preserve">Simply Wall St </t>
    </r>
    <r>
      <rPr>
        <sz val="10"/>
        <rFont val="Noto Sans CJK SC"/>
        <family val="2"/>
      </rPr>
      <t xml:space="preserve">的預估來自 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目標價與評等為自行彙整（獨立於 </t>
    </r>
    <r>
      <rPr>
        <sz val="10"/>
        <rFont val="Arial"/>
        <family val="0"/>
        <charset val="1"/>
      </rPr>
      <t xml:space="preserve">S&amp;P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Investing.com </t>
    </r>
    <r>
      <rPr>
        <sz val="10"/>
        <rFont val="Noto Sans CJK SC"/>
        <family val="2"/>
      </rPr>
      <t xml:space="preserve">自行彙整；</t>
    </r>
    <r>
      <rPr>
        <sz val="10"/>
        <rFont val="Arial"/>
        <family val="0"/>
        <charset val="1"/>
      </rPr>
      <t xml:space="preserve">Yahoo 1 </t>
    </r>
    <r>
      <rPr>
        <sz val="10"/>
        <rFont val="Noto Sans CJK SC"/>
        <family val="2"/>
      </rPr>
      <t xml:space="preserve">年目標價屬 </t>
    </r>
    <r>
      <rPr>
        <sz val="10"/>
        <rFont val="Arial"/>
        <family val="0"/>
        <charset val="1"/>
      </rPr>
      <t xml:space="preserve">LSEG </t>
    </r>
    <r>
      <rPr>
        <sz val="10"/>
        <rFont val="Noto Sans CJK SC"/>
        <family val="2"/>
      </rPr>
      <t xml:space="preserve">系；</t>
    </r>
    <r>
      <rPr>
        <sz val="10"/>
        <rFont val="Arial"/>
        <family val="0"/>
        <charset val="1"/>
      </rPr>
      <t xml:space="preserve">Tickflow </t>
    </r>
    <r>
      <rPr>
        <sz val="10"/>
        <rFont val="Noto Sans CJK SC"/>
        <family val="2"/>
      </rPr>
      <t xml:space="preserve">未具名來源。目標價四個呈現（</t>
    </r>
    <r>
      <rPr>
        <sz val="10"/>
        <rFont val="Arial"/>
        <family val="0"/>
        <charset val="1"/>
      </rPr>
      <t xml:space="preserve">MarketBeat 38.00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Investing 40.50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Yahoo 40.45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S&amp;P 40.89</t>
    </r>
    <r>
      <rPr>
        <sz val="10"/>
        <rFont val="Noto Sans CJK SC"/>
        <family val="2"/>
      </rPr>
      <t xml:space="preserve">）可視為至少三個獨立來源；營收預估只有 </t>
    </r>
    <r>
      <rPr>
        <sz val="10"/>
        <rFont val="Arial"/>
        <family val="0"/>
        <charset val="1"/>
      </rPr>
      <t xml:space="preserve">S&amp;P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Simply Wall St</t>
    </r>
    <r>
      <rPr>
        <sz val="10"/>
        <rFont val="Noto Sans CJK SC"/>
        <family val="2"/>
      </rPr>
      <t xml:space="preserve">）與 </t>
    </r>
    <r>
      <rPr>
        <sz val="10"/>
        <rFont val="Arial"/>
        <family val="0"/>
        <charset val="1"/>
      </rPr>
      <t xml:space="preserve">Tickflow </t>
    </r>
    <r>
      <rPr>
        <sz val="10"/>
        <rFont val="Noto Sans CJK SC"/>
        <family val="2"/>
      </rPr>
      <t xml:space="preserve">兩個呈現，</t>
    </r>
    <r>
      <rPr>
        <sz val="10"/>
        <rFont val="Arial"/>
        <family val="0"/>
        <charset val="1"/>
      </rPr>
      <t xml:space="preserve">FY2026 </t>
    </r>
    <r>
      <rPr>
        <sz val="10"/>
        <rFont val="Noto Sans CJK SC"/>
        <family val="2"/>
      </rPr>
      <t xml:space="preserve">一致（</t>
    </r>
    <r>
      <rPr>
        <sz val="10"/>
        <rFont val="Arial"/>
        <family val="0"/>
        <charset val="1"/>
      </rPr>
      <t xml:space="preserve">137 vs 138</t>
    </r>
    <r>
      <rPr>
        <sz val="10"/>
        <rFont val="Noto Sans CJK SC"/>
        <family val="2"/>
      </rPr>
      <t xml:space="preserve">），</t>
    </r>
    <r>
      <rPr>
        <sz val="10"/>
        <rFont val="Arial"/>
        <family val="0"/>
        <charset val="1"/>
      </rPr>
      <t xml:space="preserve">FY2027–28 </t>
    </r>
    <r>
      <rPr>
        <sz val="10"/>
        <rFont val="Noto Sans CJK SC"/>
        <family val="2"/>
      </rPr>
      <t xml:space="preserve">差距大（</t>
    </r>
    <r>
      <rPr>
        <sz val="10"/>
        <rFont val="Arial"/>
        <family val="0"/>
        <charset val="1"/>
      </rPr>
      <t xml:space="preserve">296 vs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261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530 vs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381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Tickflow </t>
    </r>
    <r>
      <rPr>
        <sz val="10"/>
        <rFont val="Noto Sans CJK SC"/>
        <family val="2"/>
      </rPr>
      <t xml:space="preserve">為季度預估加總、家數 </t>
    </r>
    <r>
      <rPr>
        <sz val="10"/>
        <rFont val="Arial"/>
        <family val="0"/>
        <charset val="1"/>
      </rPr>
      <t xml:space="preserve">2–3</t>
    </r>
    <r>
      <rPr>
        <sz val="10"/>
        <rFont val="Noto Sans CJK SC"/>
        <family val="2"/>
      </rPr>
      <t xml:space="preserve">），不算一致。</t>
    </r>
  </si>
  <si>
    <t xml:space="preserve">資料檔說明</t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</si>
  <si>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</si>
  <si>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共識（各年）——試過 </t>
    </r>
    <r>
      <rPr>
        <sz val="10"/>
        <rFont val="Arial"/>
        <family val="0"/>
        <charset val="1"/>
      </rPr>
      <t xml:space="preserve">Simply Wall St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Tickflow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vcpscanner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Investing.com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MarketBeat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Benzinga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StockAnalysis </t>
    </r>
    <r>
      <rPr>
        <sz val="10"/>
        <rFont val="Noto Sans CJK SC"/>
        <family val="2"/>
      </rPr>
      <t xml:space="preserve">被環境代理阻擋——找不到，非不存在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</si>
  <si>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</si>
  <si>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經 </t>
    </r>
    <r>
      <rPr>
        <sz val="10"/>
        <rFont val="Arial"/>
        <family val="0"/>
        <charset val="1"/>
      </rPr>
      <t xml:space="preserve">StockAnalysis </t>
    </r>
    <r>
      <rPr>
        <sz val="10"/>
        <rFont val="Noto Sans CJK SC"/>
        <family val="2"/>
      </rPr>
      <t xml:space="preserve">的目標價分布（環境阻擋）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</si>
  <si>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3</t>
    </r>
  </si>
  <si>
    <r>
      <rPr>
        <sz val="10"/>
        <rFont val="Arial"/>
        <family val="0"/>
        <charset val="1"/>
      </rPr>
      <t xml:space="preserve">FY2029 </t>
    </r>
    <r>
      <rPr>
        <sz val="10"/>
        <rFont val="Noto Sans CJK SC"/>
        <family val="2"/>
      </rPr>
      <t xml:space="preserve">以後共識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</si>
  <si>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4</t>
    </r>
  </si>
  <si>
    <r>
      <rPr>
        <sz val="10"/>
        <rFont val="Noto Sans CJK SC"/>
        <family val="2"/>
      </rPr>
      <t xml:space="preserve">季度共識（</t>
    </r>
    <r>
      <rPr>
        <sz val="10"/>
        <rFont val="Arial"/>
        <family val="0"/>
        <charset val="1"/>
      </rPr>
      <t xml:space="preserve">2026 Q3</t>
    </r>
    <r>
      <rPr>
        <sz val="10"/>
        <rFont val="Noto Sans CJK SC"/>
        <family val="2"/>
      </rPr>
      <t xml:space="preserve">）的獨立第二來源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</si>
  <si>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5</t>
    </r>
  </si>
  <si>
    <r>
      <rPr>
        <sz val="10"/>
        <rFont val="Noto Sans CJK SC"/>
        <family val="2"/>
      </rPr>
      <t xml:space="preserve">目標價的時間分布（多數設於 </t>
    </r>
    <r>
      <rPr>
        <sz val="10"/>
        <rFont val="Arial"/>
        <family val="0"/>
        <charset val="1"/>
      </rPr>
      <t xml:space="preserve">2026-08 </t>
    </r>
    <r>
      <rPr>
        <sz val="10"/>
        <rFont val="Noto Sans CJK SC"/>
        <family val="2"/>
      </rPr>
      <t xml:space="preserve">可轉債前）</t>
    </r>
  </si>
  <si>
    <r>
      <rPr>
        <sz val="10"/>
        <rFont val="Noto Sans CJK SC"/>
        <family val="2"/>
      </rPr>
      <t xml:space="preserve">判斷句門檻：與共識差距（營收、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</si>
  <si>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任一項差距絕對值超過此比例即視為分歧（</t>
    </r>
    <r>
      <rPr>
        <sz val="9"/>
        <color rgb="FF595959"/>
        <rFont val="Arial"/>
        <family val="0"/>
        <charset val="1"/>
      </rPr>
      <t xml:space="preserve">company.json → methodology.consensusGapTol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</si>
  <si>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差異原因門檻：利潤類利潤率差（百分點）</t>
  </si>
  <si>
    <r>
      <rPr>
        <sz val="9"/>
        <color rgb="FF595959"/>
        <rFont val="Noto Sans CJK SC"/>
        <family val="2"/>
      </rPr>
      <t xml:space="preserve">利潤類（調整後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、調整後營業利益）利潤率差超過此值須附差異原因；營收、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、淨負債、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用上一格（</t>
    </r>
    <r>
      <rPr>
        <sz val="9"/>
        <color rgb="FF595959"/>
        <rFont val="Arial"/>
        <family val="0"/>
        <charset val="1"/>
      </rPr>
      <t xml:space="preserve">company.json → methodology.profitMarginTolPt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</si>
  <si>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｜季度追蹤：實際數、指引與拆分設定（</t>
    </r>
    <r>
      <rPr>
        <b val="true"/>
        <sz val="10"/>
        <rFont val="Arial"/>
        <family val="0"/>
        <charset val="1"/>
      </rPr>
      <t xml:space="preserve">company.json → quarterly</t>
    </r>
    <r>
      <rPr>
        <b val="true"/>
        <sz val="10"/>
        <rFont val="Noto Sans CJK SC"/>
        <family val="2"/>
      </rPr>
      <t xml:space="preserve">；實際數預設空白，財報公布後填入藍字格）</t>
    </r>
  </si>
  <si>
    <t xml:space="preserve">季度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</si>
  <si>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</si>
  <si>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</si>
  <si>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</si>
  <si>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</si>
  <si>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</si>
  <si>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</si>
  <si>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r>
      <rPr>
        <sz val="10"/>
        <rFont val="Noto Sans CJK SC"/>
        <family val="2"/>
      </rPr>
      <t xml:space="preserve">季度｜所屬期間（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2H26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</si>
  <si>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company.json </t>
    </r>
    <r>
      <rPr>
        <sz val="9"/>
        <color rgb="FF595959"/>
        <rFont val="Noto Sans CJK SC"/>
        <family val="2"/>
      </rPr>
      <t xml:space="preserve">設定；拆分公式依此建置（改動需重建）</t>
    </r>
  </si>
  <si>
    <r>
      <rPr>
        <sz val="10"/>
        <rFont val="Noto Sans CJK SC"/>
        <family val="2"/>
      </rPr>
      <t xml:space="preserve">季度｜焦點季（</t>
    </r>
    <r>
      <rPr>
        <sz val="10"/>
        <rFont val="Arial"/>
        <family val="0"/>
        <charset val="1"/>
      </rPr>
      <t xml:space="preserve">1–6</t>
    </r>
    <r>
      <rPr>
        <sz val="10"/>
        <rFont val="Noto Sans CJK SC"/>
        <family val="2"/>
      </rPr>
      <t xml:space="preserve">）</t>
    </r>
  </si>
  <si>
    <t xml:space="preserve">「季度追蹤」分頁第一屏與「摘要」驗證點顯示的季度；財報公布後改為下一季</t>
  </si>
  <si>
    <r>
      <rPr>
        <sz val="10"/>
        <rFont val="Noto Sans CJK SC"/>
        <family val="2"/>
      </rPr>
      <t xml:space="preserve">季度｜營收起點（</t>
    </r>
    <r>
      <rPr>
        <sz val="10"/>
        <rFont val="Arial"/>
        <family val="0"/>
        <charset val="1"/>
      </rPr>
      <t xml:space="preserve">Q2 2026 </t>
    </r>
    <r>
      <rPr>
        <sz val="10"/>
        <rFont val="Noto Sans CJK SC"/>
        <family val="2"/>
      </rPr>
      <t xml:space="preserve">經常性營收（扣除終止費 </t>
    </r>
    <r>
      <rPr>
        <sz val="10"/>
        <rFont val="Arial"/>
        <family val="0"/>
        <charset val="1"/>
      </rPr>
      <t xml:space="preserve">12.3</t>
    </r>
    <r>
      <rPr>
        <sz val="10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</si>
  <si>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營收拆分 </t>
    </r>
    <r>
      <rPr>
        <sz val="9"/>
        <color rgb="FF595959"/>
        <rFont val="Arial"/>
        <family val="0"/>
        <charset val="1"/>
      </rPr>
      <t xml:space="preserve">anchor </t>
    </r>
    <r>
      <rPr>
        <sz val="9"/>
        <color rgb="FF595959"/>
        <rFont val="Noto Sans CJK SC"/>
        <family val="2"/>
      </rPr>
      <t xml:space="preserve">用：從此值逐季線性爬升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</si>
  <si>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季度｜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起點（第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期期初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</si>
  <si>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評價日（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）雲端已連網 </t>
    </r>
    <r>
      <rPr>
        <sz val="9"/>
        <color rgb="FF595959"/>
        <rFont val="Arial"/>
        <family val="0"/>
        <charset val="1"/>
      </rPr>
      <t xml:space="preserve">MW-IT</t>
    </r>
    <r>
      <rPr>
        <sz val="9"/>
        <color rgb="FF595959"/>
        <rFont val="Noto Sans CJK SC"/>
        <family val="2"/>
      </rPr>
      <t xml:space="preserve">：冰島 </t>
    </r>
    <r>
      <rPr>
        <sz val="9"/>
        <color rgb="FF595959"/>
        <rFont val="Arial"/>
        <family val="0"/>
        <charset val="1"/>
      </rPr>
      <t xml:space="preserve">5.5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；亞特蘭大與加拿大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未揭露，下限）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</si>
  <si>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季度實際｜營收</t>
  </si>
  <si>
    <t xml:space="preserve">實際數（公司公布）；空白＝待公布</t>
  </si>
  <si>
    <r>
      <rPr>
        <sz val="10"/>
        <rFont val="Noto Sans CJK SC"/>
        <family val="2"/>
      </rPr>
      <t xml:space="preserve">季度實際｜調整後 </t>
    </r>
    <r>
      <rPr>
        <sz val="10"/>
        <rFont val="Arial"/>
        <family val="0"/>
        <charset val="1"/>
      </rPr>
      <t xml:space="preserve">EBITDA</t>
    </r>
  </si>
  <si>
    <t xml:space="preserve">季度實際｜調整後營業利益</t>
  </si>
  <si>
    <r>
      <rPr>
        <sz val="10"/>
        <rFont val="Noto Sans CJK SC"/>
        <family val="2"/>
      </rPr>
      <t xml:space="preserve">季度實際｜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</si>
  <si>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季度實際｜季末雲端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（口徑不明）</t>
    </r>
  </si>
  <si>
    <t xml:space="preserve">季度實際｜來源</t>
  </si>
  <si>
    <t xml:space="preserve">季度實際｜日期</t>
  </si>
  <si>
    <t xml:space="preserve">季度實際｜標記</t>
  </si>
  <si>
    <t xml:space="preserve">支出與資金 — 五層支出、四層來源、現金橋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</si>
  <si>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實際（季報現金流量表口徑）＋下半年模型；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以後為純模型。瀑布以「融資前現金」決定需求並直接由各支出列加總，因此沒有循環參照</t>
    </r>
  </si>
  <si>
    <t xml:space="preserve">公式／來源說明</t>
  </si>
  <si>
    <t xml:space="preserve">支出（五層）</t>
  </si>
  <si>
    <r>
      <rPr>
        <sz val="10"/>
        <rFont val="Noto Sans CJK SC"/>
        <family val="2"/>
      </rPr>
      <t xml:space="preserve">① 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（認列，備忘）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</si>
  <si>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344.712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模型；對照公司全年指引 不適用（公司未給指引）。備忘列：用途合計採現金口徑，不用這一列</t>
    </r>
  </si>
  <si>
    <t xml:space="preserve">　客戶預付率</t>
  </si>
  <si>
    <r>
      <rPr>
        <sz val="10"/>
        <rFont val="Noto Sans CJK SC"/>
        <family val="2"/>
      </rPr>
      <t xml:space="preserve">　客戶預付金額（抵減，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</si>
  <si>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Noto Sans CJK SC"/>
        <family val="2"/>
      </rPr>
      <t xml:space="preserve">＝成長型 </t>
    </r>
    <r>
      <rPr>
        <sz val="9"/>
        <color rgb="FF595959"/>
        <rFont val="Arial"/>
        <family val="0"/>
        <charset val="1"/>
      </rPr>
      <t xml:space="preserve">CapEx × </t>
    </r>
    <r>
      <rPr>
        <sz val="9"/>
        <color rgb="FF595959"/>
        <rFont val="Noto Sans CJK SC"/>
        <family val="2"/>
      </rPr>
      <t xml:space="preserve">預付比率（汰換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不計）；含託管建置（</t>
    </r>
    <r>
      <rPr>
        <sz val="9"/>
        <color rgb="FF595959"/>
        <rFont val="Arial"/>
        <family val="0"/>
        <charset val="1"/>
      </rPr>
      <t xml:space="preserve">WhiteFiber v0.1b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defaults.colo.coverPrepay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的預付已含在實際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內，不重複計入</t>
    </r>
  </si>
  <si>
    <t xml:space="preserve">　合約負債期初（客戶預付餘額）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</si>
  <si>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季報遞延營收</t>
    </r>
  </si>
  <si>
    <t xml:space="preserve">　合約負債利息累積（重大財務組成，非現金）</t>
  </si>
  <si>
    <r>
      <rPr>
        <sz val="9"/>
        <color rgb="FF595959"/>
        <rFont val="Noto Sans CJK SC"/>
        <family val="2"/>
      </rPr>
      <t xml:space="preserve">＝隱含利率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期初合約負債＋本期預付流入 </t>
    </r>
    <r>
      <rPr>
        <sz val="9"/>
        <color rgb="FF595959"/>
        <rFont val="Arial"/>
        <family val="0"/>
        <charset val="1"/>
      </rPr>
      <t xml:space="preserve">× ½)× </t>
    </r>
    <r>
      <rPr>
        <sz val="9"/>
        <color rgb="FF595959"/>
        <rFont val="Noto Sans CJK SC"/>
        <family val="2"/>
      </rPr>
      <t xml:space="preserve">期間長度；進損益利息、不進現金（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</si>
  <si>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　預付認列（非現金營收）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</si>
  <si>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期初合約負債＋累積利息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認列年數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期間長度；這部分營收已在預付時收現，自營運來源扣除</t>
    </r>
  </si>
  <si>
    <t xml:space="preserve">　合約負債期末</t>
  </si>
  <si>
    <t xml:space="preserve">＝期初＋預付流入＋累積利息−認列</t>
  </si>
  <si>
    <r>
      <rPr>
        <sz val="10"/>
        <rFont val="Arial"/>
        <family val="0"/>
        <charset val="1"/>
      </rPr>
      <t xml:space="preserve">① CapEx</t>
    </r>
    <r>
      <rPr>
        <sz val="10"/>
        <rFont val="Noto Sans CJK SC"/>
        <family val="2"/>
      </rPr>
      <t xml:space="preserve">（用途用：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現金／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毛額）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</si>
  <si>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採現金流量表的現金購置 </t>
    </r>
    <r>
      <rPr>
        <sz val="9"/>
        <color rgb="FF595959"/>
        <rFont val="Arial"/>
        <family val="0"/>
        <charset val="1"/>
      </rPr>
      <t xml:space="preserve">344.712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起採毛額，客戶預付在來源端抵回（避免重複計入）</t>
    </r>
  </si>
  <si>
    <r>
      <rPr>
        <sz val="10"/>
        <rFont val="Noto Sans CJK SC"/>
        <family val="2"/>
      </rPr>
      <t xml:space="preserve">② 在帳現金租金（備忘，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</si>
  <si>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見『租賃與承諾』頁；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5.76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欄僅 </t>
    </r>
    <r>
      <rPr>
        <sz val="9"/>
        <color rgb="FF595959"/>
        <rFont val="Arial"/>
        <family val="0"/>
        <charset val="1"/>
      </rPr>
      <t xml:space="preserve">2H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租金 </t>
    </r>
    <r>
      <rPr>
        <sz val="9"/>
        <color rgb="FF595959"/>
        <rFont val="Arial"/>
        <family val="0"/>
        <charset val="1"/>
      </rPr>
      <t xml:space="preserve">13.044 </t>
    </r>
    <r>
      <rPr>
        <sz val="9"/>
        <color rgb="FF595959"/>
        <rFont val="Noto Sans CJK SC"/>
        <family val="2"/>
      </rPr>
      <t xml:space="preserve">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</t>
    </r>
  </si>
  <si>
    <t xml:space="preserve">② 表外現金租金（未起租）</t>
  </si>
  <si>
    <r>
      <rPr>
        <sz val="9"/>
        <color rgb="FF595959"/>
        <rFont val="Noto Sans CJK SC"/>
        <family val="2"/>
      </rPr>
      <t xml:space="preserve">已簽約未起租租賃 </t>
    </r>
    <r>
      <rPr>
        <sz val="9"/>
        <color rgb="FF595959"/>
        <rFont val="Arial"/>
        <family val="0"/>
        <charset val="1"/>
      </rPr>
      <t xml:space="preserve">20.296 </t>
    </r>
    <r>
      <rPr>
        <sz val="9"/>
        <color rgb="FF595959"/>
        <rFont val="Noto Sans CJK SC"/>
        <family val="2"/>
      </rPr>
      <t xml:space="preserve">的現金路徑</t>
    </r>
  </si>
  <si>
    <r>
      <rPr>
        <sz val="10"/>
        <rFont val="Arial"/>
        <family val="0"/>
        <charset val="1"/>
      </rPr>
      <t xml:space="preserve">② GPU </t>
    </r>
    <r>
      <rPr>
        <sz val="10"/>
        <rFont val="Noto Sans CJK SC"/>
        <family val="2"/>
      </rPr>
      <t xml:space="preserve">租金（租賃設備）</t>
    </r>
  </si>
  <si>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租賃部分的固定租金（『輸入與假設』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區；</t>
    </r>
    <r>
      <rPr>
        <sz val="9"/>
        <color rgb="FF595959"/>
        <rFont val="Arial"/>
        <family val="0"/>
        <charset val="1"/>
      </rPr>
      <t xml:space="preserve">WhiteFiber v0.1b</t>
    </r>
    <r>
      <rPr>
        <sz val="9"/>
        <color rgb="FF595959"/>
        <rFont val="Noto Sans CJK SC"/>
        <family val="2"/>
      </rPr>
      <t xml:space="preserve">）</t>
    </r>
  </si>
  <si>
    <t xml:space="preserve">　租金合計</t>
  </si>
  <si>
    <r>
      <rPr>
        <sz val="9"/>
        <color rgb="FF595959"/>
        <rFont val="Noto Sans CJK SC"/>
        <family val="2"/>
      </rPr>
      <t xml:space="preserve">租金已含在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率內（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營業租賃費用屬營業費用）：營運來源以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率＋租金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營收計（租前），此列再扣，淨效果中性</t>
    </r>
  </si>
  <si>
    <r>
      <rPr>
        <sz val="10"/>
        <rFont val="Noto Sans CJK SC"/>
        <family val="2"/>
      </rPr>
      <t xml:space="preserve">③ 存量債務利息（備忘，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</si>
  <si>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t xml:space="preserve">　期初累積現金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</si>
  <si>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2025-12-31 </t>
    </r>
    <r>
      <rPr>
        <sz val="9"/>
        <color rgb="FF595959"/>
        <rFont val="Noto Sans CJK SC"/>
        <family val="2"/>
      </rPr>
      <t xml:space="preserve">起算；之後＝前期期末累積現金</t>
    </r>
  </si>
  <si>
    <t xml:space="preserve">　新債利率</t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</si>
  <si>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開關：＋</t>
    </r>
    <r>
      <rPr>
        <sz val="9"/>
        <color rgb="FF595959"/>
        <rFont val="Arial"/>
        <family val="0"/>
        <charset val="1"/>
      </rPr>
      <t xml:space="preserve">MAX(0,CDS−450)×0.4bp/bp</t>
    </r>
  </si>
  <si>
    <t xml:space="preserve">③ 新債利息（瀑布）</t>
  </si>
  <si>
    <r>
      <rPr>
        <sz val="9"/>
        <color rgb="FF595959"/>
        <rFont val="Noto Sans CJK SC"/>
        <family val="2"/>
      </rPr>
      <t xml:space="preserve">＝新債利率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期初新債＋本期舉借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；見下方「期前融資瀑布」</t>
    </r>
  </si>
  <si>
    <t xml:space="preserve">　利息合計</t>
  </si>
  <si>
    <r>
      <rPr>
        <sz val="10"/>
        <rFont val="Arial"/>
        <family val="0"/>
        <charset val="1"/>
      </rPr>
      <t xml:space="preserve">④ JV</t>
    </r>
    <r>
      <rPr>
        <sz val="10"/>
        <rFont val="Noto Sans CJK SC"/>
        <family val="2"/>
      </rPr>
      <t xml:space="preserve">／策略投資出資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</si>
  <si>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JV 0.000</t>
    </r>
    <r>
      <rPr>
        <sz val="9"/>
        <color rgb="FF595959"/>
        <rFont val="Noto Sans CJK SC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0.000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模型。</t>
    </r>
    <r>
      <rPr>
        <sz val="9"/>
        <color rgb="FF595959"/>
        <rFont val="Arial"/>
        <family val="0"/>
        <charset val="1"/>
      </rPr>
      <t xml:space="preserve">WYFI </t>
    </r>
    <r>
      <rPr>
        <sz val="9"/>
        <color rgb="FF595959"/>
        <rFont val="Noto Sans CJK SC"/>
        <family val="2"/>
      </rPr>
      <t xml:space="preserve">不發股息</t>
    </r>
  </si>
  <si>
    <t xml:space="preserve">⑧ 股利（普通股＋特別股）</t>
  </si>
  <si>
    <r>
      <rPr>
        <sz val="9"/>
        <color rgb="FF595959"/>
        <rFont val="Noto Sans CJK SC"/>
        <family val="2"/>
      </rPr>
      <t xml:space="preserve">普通股＝每股每季 </t>
    </r>
    <r>
      <rPr>
        <sz val="9"/>
        <color rgb="FF595959"/>
        <rFont val="Arial"/>
        <family val="0"/>
        <charset val="1"/>
      </rPr>
      <t xml:space="preserve">× 4 × </t>
    </r>
    <r>
      <rPr>
        <sz val="9"/>
        <color rgb="FF595959"/>
        <rFont val="Noto Sans CJK SC"/>
        <family val="2"/>
      </rPr>
      <t xml:space="preserve">期間長度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基礎股數＋前期累計瀑布新股＋已強制轉換特別股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＋特別股股利；</t>
    </r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</si>
  <si>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　電力（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</si>
  <si>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MW×8760×PUE×</t>
    </r>
    <r>
      <rPr>
        <sz val="9"/>
        <color rgb="FF595959"/>
        <rFont val="Noto Sans CJK SC"/>
        <family val="2"/>
      </rPr>
      <t xml:space="preserve">電價</t>
    </r>
    <r>
      <rPr>
        <sz val="9"/>
        <color rgb="FF595959"/>
        <rFont val="Arial"/>
        <family val="0"/>
        <charset val="1"/>
      </rPr>
      <t xml:space="preserve">÷1e9×</t>
    </r>
    <r>
      <rPr>
        <sz val="9"/>
        <color rgb="FF595959"/>
        <rFont val="Noto Sans CJK SC"/>
        <family val="2"/>
      </rPr>
      <t xml:space="preserve">期間係數。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率已含電費，預設關閉</t>
    </r>
  </si>
  <si>
    <r>
      <rPr>
        <sz val="10"/>
        <rFont val="Noto Sans CJK SC"/>
        <family val="2"/>
      </rPr>
      <t xml:space="preserve">　維護（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</si>
  <si>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t xml:space="preserve">⑤ 排程還本（季報到期表）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</si>
  <si>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12.599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5.373</t>
    </r>
  </si>
  <si>
    <r>
      <rPr>
        <sz val="10"/>
        <rFont val="Arial"/>
        <family val="0"/>
        <charset val="1"/>
      </rPr>
      <t xml:space="preserve">⑥ capped call </t>
    </r>
    <r>
      <rPr>
        <sz val="10"/>
        <rFont val="Noto Sans CJK SC"/>
        <family val="2"/>
      </rPr>
      <t xml:space="preserve">支出（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</si>
  <si>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9"/>
        <color rgb="FF595959"/>
        <rFont val="Noto Sans CJK SC"/>
        <family val="2"/>
      </rPr>
      <t xml:space="preserve">可轉債配套 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Noto Sans CJK SC"/>
        <family val="2"/>
      </rPr>
      <t xml:space="preserve">現金支出（未見揭露，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</si>
  <si>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⑦ 現金稅（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</si>
  <si>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Noto Sans CJK SC"/>
        <family val="2"/>
      </rPr>
      <t xml:space="preserve">＝稅率 </t>
    </r>
    <r>
      <rPr>
        <sz val="9"/>
        <color rgb="FF595959"/>
        <rFont val="Arial"/>
        <family val="0"/>
        <charset val="1"/>
      </rPr>
      <t xml:space="preserve">× MAX(0, </t>
    </r>
    <r>
      <rPr>
        <sz val="9"/>
        <color rgb="FF595959"/>
        <rFont val="Noto Sans CJK SC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 </t>
    </r>
    <r>
      <rPr>
        <sz val="9"/>
        <color rgb="FF595959"/>
        <rFont val="Arial"/>
        <family val="0"/>
        <charset val="1"/>
      </rPr>
      <t xml:space="preserve">D&amp;A − </t>
    </r>
    <r>
      <rPr>
        <sz val="9"/>
        <color rgb="FF595959"/>
        <rFont val="Noto Sans CJK SC"/>
        <family val="2"/>
      </rPr>
      <t xml:space="preserve">存量利息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的稅已含在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</si>
  <si>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用途合計（現金口徑）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</si>
  <si>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部分採季報現金流量表口徑（現金購置、還款、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的利息與租金已含在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內，不重複列</t>
    </r>
  </si>
  <si>
    <t xml:space="preserve">來源（四層）</t>
  </si>
  <si>
    <r>
      <rPr>
        <sz val="10"/>
        <rFont val="Arial"/>
        <family val="0"/>
        <charset val="1"/>
      </rPr>
      <t xml:space="preserve">Ⓐ0 1H26 </t>
    </r>
    <r>
      <rPr>
        <sz val="10"/>
        <rFont val="Noto Sans CJK SC"/>
        <family val="2"/>
      </rPr>
      <t xml:space="preserve">實際營運現金流（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</si>
  <si>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季報實際值，取代模型推算；已含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的利息、租金與客戶預付</t>
    </r>
  </si>
  <si>
    <r>
      <rPr>
        <sz val="10"/>
        <rFont val="Arial"/>
        <family val="0"/>
        <charset val="1"/>
      </rPr>
      <t xml:space="preserve">Ⓐ RPO </t>
    </r>
    <r>
      <rPr>
        <sz val="10"/>
        <rFont val="Noto Sans CJK SC"/>
        <family val="2"/>
      </rPr>
      <t xml:space="preserve">現金（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</si>
  <si>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t xml:space="preserve">Ⓑ 新簽約現金</t>
  </si>
  <si>
    <t xml:space="preserve">Ⓒ 非算力服務現金</t>
  </si>
  <si>
    <r>
      <rPr>
        <sz val="10"/>
        <rFont val="Arial"/>
        <family val="0"/>
        <charset val="1"/>
      </rPr>
      <t xml:space="preserve">Ⓒ2 </t>
    </r>
    <r>
      <rPr>
        <sz val="10"/>
        <rFont val="Noto Sans CJK SC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</si>
  <si>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Noto Sans CJK SC"/>
        <family val="2"/>
      </rPr>
      <t xml:space="preserve">非核心事業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（負值＝燒錢），視為現金（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</si>
  <si>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Ⓒ3 </t>
    </r>
    <r>
      <rPr>
        <sz val="10"/>
        <rFont val="Noto Sans CJK SC"/>
        <family val="2"/>
      </rPr>
      <t xml:space="preserve">託管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</si>
  <si>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SaaS</t>
    </r>
    <r>
      <rPr>
        <sz val="9"/>
        <color rgb="FF595959"/>
        <rFont val="Noto Sans CJK SC"/>
        <family val="2"/>
      </rPr>
      <t xml:space="preserve">、軟體、硬體、服務四線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，視為現金（現金稅另列於用途；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</si>
  <si>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Ⓒ4 </t>
    </r>
    <r>
      <rPr>
        <sz val="10"/>
        <rFont val="Noto Sans CJK SC"/>
        <family val="2"/>
      </rPr>
      <t xml:space="preserve">減：延誤罰則（營業費用）</t>
    </r>
  </si>
  <si>
    <r>
      <rPr>
        <sz val="9"/>
        <color rgb="FF595959"/>
        <rFont val="Noto Sans CJK SC"/>
        <family val="2"/>
      </rPr>
      <t xml:space="preserve">建設延誤期間應計費而未計費營收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罰則比例（預設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</si>
  <si>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Ⓓ 客戶預付（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</si>
  <si>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10"/>
        <rFont val="Arial"/>
        <family val="0"/>
        <charset val="1"/>
      </rPr>
      <t xml:space="preserve">Ⓓ2 </t>
    </r>
    <r>
      <rPr>
        <sz val="10"/>
        <rFont val="Noto Sans CJK SC"/>
        <family val="2"/>
      </rPr>
      <t xml:space="preserve">減：預付認列（非現金營收）</t>
    </r>
  </si>
  <si>
    <r>
      <rPr>
        <sz val="9"/>
        <color rgb="FF595959"/>
        <rFont val="Noto Sans CJK SC"/>
        <family val="2"/>
      </rPr>
      <t xml:space="preserve">營收中由合約負債轉入的部分已在預付時收現，不重複計入服務現金（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</si>
  <si>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營運來源合計</t>
  </si>
  <si>
    <t xml:space="preserve">Ⓔ 股權／可轉債（融資）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</si>
  <si>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未發行普通股（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期後股權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可轉債交換發行約 </t>
    </r>
    <r>
      <rPr>
        <sz val="9"/>
        <color rgb="FF595959"/>
        <rFont val="Arial"/>
        <family val="0"/>
        <charset val="1"/>
      </rPr>
      <t xml:space="preserve">6.3M </t>
    </r>
    <r>
      <rPr>
        <sz val="9"/>
        <color rgb="FF595959"/>
        <rFont val="Noto Sans CJK SC"/>
        <family val="2"/>
      </rPr>
      <t xml:space="preserve">股為以股換債，列於期後事件）；另含期後事件現金淨額（『輸入與假設』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區，</t>
    </r>
    <r>
      <rPr>
        <sz val="9"/>
        <color rgb="FF595959"/>
        <rFont val="Arial"/>
        <family val="0"/>
        <charset val="1"/>
      </rPr>
      <t xml:space="preserve">WhiteFiber 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</si>
  <si>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Ⓕ 1H26 </t>
    </r>
    <r>
      <rPr>
        <sz val="10"/>
        <rFont val="Noto Sans CJK SC"/>
        <family val="2"/>
      </rPr>
      <t xml:space="preserve">實際借款（融資）</t>
    </r>
  </si>
  <si>
    <r>
      <rPr>
        <sz val="9"/>
        <color rgb="FF595959"/>
        <rFont val="Noto Sans CJK SC"/>
        <family val="2"/>
      </rPr>
      <t xml:space="preserve">季報：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借款 </t>
    </r>
    <r>
      <rPr>
        <sz val="9"/>
        <color rgb="FF595959"/>
        <rFont val="Arial"/>
        <family val="0"/>
        <charset val="1"/>
      </rPr>
      <t xml:space="preserve">304.526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可轉債）</t>
    </r>
  </si>
  <si>
    <r>
      <rPr>
        <sz val="10"/>
        <rFont val="Arial"/>
        <family val="0"/>
        <charset val="1"/>
      </rPr>
      <t xml:space="preserve">Ⓕ2 NC-1 </t>
    </r>
    <r>
      <rPr>
        <sz val="10"/>
        <rFont val="Noto Sans CJK SC"/>
        <family val="2"/>
      </rPr>
      <t xml:space="preserve">專案貸款動用（融資）</t>
    </r>
  </si>
  <si>
    <r>
      <rPr>
        <sz val="9"/>
        <color rgb="FF595959"/>
        <rFont val="Noto Sans CJK SC"/>
        <family val="2"/>
      </rPr>
      <t xml:space="preserve">排程貸款：動用期期初一次到位，先於瀑布（見『資產負債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既有債務』</t>
    </r>
    <r>
      <rPr>
        <sz val="9"/>
        <color rgb="FF595959"/>
        <rFont val="Arial"/>
        <family val="0"/>
        <charset val="1"/>
      </rPr>
      <t xml:space="preserve">NC-1 </t>
    </r>
    <r>
      <rPr>
        <sz val="9"/>
        <color rgb="FF595959"/>
        <rFont val="Noto Sans CJK SC"/>
        <family val="2"/>
      </rPr>
      <t xml:space="preserve">專案貸款；</t>
    </r>
    <r>
      <rPr>
        <sz val="9"/>
        <color rgb="FF595959"/>
        <rFont val="Arial"/>
        <family val="0"/>
        <charset val="1"/>
      </rPr>
      <t xml:space="preserve">WhiteFiber v0.1c</t>
    </r>
    <r>
      <rPr>
        <sz val="9"/>
        <color rgb="FF595959"/>
        <rFont val="Noto Sans CJK SC"/>
        <family val="2"/>
      </rPr>
      <t xml:space="preserve">）</t>
    </r>
  </si>
  <si>
    <t xml:space="preserve">Ⓖ 瀑布：新債（額度＋資產層）</t>
  </si>
  <si>
    <t xml:space="preserve">見下方「期前融資瀑布」</t>
  </si>
  <si>
    <r>
      <rPr>
        <sz val="10"/>
        <rFont val="Arial"/>
        <family val="0"/>
        <charset val="1"/>
      </rPr>
      <t xml:space="preserve">Ⓖ2 </t>
    </r>
    <r>
      <rPr>
        <sz val="10"/>
        <rFont val="Noto Sans CJK SC"/>
        <family val="2"/>
      </rPr>
      <t xml:space="preserve">瀑布：可轉債</t>
    </r>
  </si>
  <si>
    <r>
      <rPr>
        <sz val="9"/>
        <color rgb="FF595959"/>
        <rFont val="Noto Sans CJK SC"/>
        <family val="2"/>
      </rPr>
      <t xml:space="preserve">資產擔保融資用罄後、股權之前；每年不超過可轉債上限（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</si>
  <si>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Ⓗ 瀑布：股權募資</t>
  </si>
  <si>
    <t xml:space="preserve">債務與可轉債用罄後的殘差；每年不超過股權吸收上限</t>
  </si>
  <si>
    <t xml:space="preserve">Ⓘ 瀑布：高息債（股權上限溢出）</t>
  </si>
  <si>
    <r>
      <rPr>
        <sz val="9"/>
        <color rgb="FF595959"/>
        <rFont val="Noto Sans CJK SC"/>
        <family val="2"/>
      </rPr>
      <t xml:space="preserve">股權超過每年上限的部分；不受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</si>
  <si>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t xml:space="preserve">總來源（含融資）</t>
  </si>
  <si>
    <t xml:space="preserve">缺口與現金橋</t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</si>
  <si>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其他／受限現金調節</t>
    </r>
  </si>
  <si>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實際流量接回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現金餘額；差額來自受限現金重分類與未逐項列出的項目</t>
    </r>
  </si>
  <si>
    <t xml:space="preserve">營運缺口（不含融資、不含還本）</t>
  </si>
  <si>
    <r>
      <rPr>
        <sz val="9"/>
        <color rgb="FF595959"/>
        <rFont val="Noto Sans CJK SC"/>
        <family val="2"/>
      </rPr>
      <t xml:space="preserve">本業能不能自給：營運來源 −（用途 − 排程還本 − 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</t>
    </r>
  </si>
  <si>
    <t xml:space="preserve">期間缺口（含融資）</t>
  </si>
  <si>
    <t xml:space="preserve">期末累積現金</t>
  </si>
  <si>
    <t xml:space="preserve">期前融資：每期末不低於最低現金</t>
  </si>
  <si>
    <r>
      <rPr>
        <b val="true"/>
        <sz val="10"/>
        <rFont val="Noto Sans CJK SC"/>
        <family val="2"/>
      </rPr>
      <t xml:space="preserve">租賃負債（期末剩餘租金現值；調整後槓桿用，</t>
    </r>
    <r>
      <rPr>
        <b val="true"/>
        <sz val="10"/>
        <rFont val="Arial"/>
        <family val="0"/>
        <charset val="1"/>
      </rPr>
      <t xml:space="preserve">v0.2</t>
    </r>
    <r>
      <rPr>
        <b val="true"/>
        <sz val="10"/>
        <rFont val="Noto Sans CJK SC"/>
        <family val="2"/>
      </rPr>
      <t xml:space="preserve">）</t>
    </r>
  </si>
  <si>
    <t xml:space="preserve">租賃折現率（加權平均）</t>
  </si>
  <si>
    <r>
      <rPr>
        <sz val="9"/>
        <color rgb="FF595959"/>
        <rFont val="Arial"/>
        <family val="0"/>
        <charset val="1"/>
      </rPr>
      <t xml:space="preserve">10-K FY2026 </t>
    </r>
    <r>
      <rPr>
        <sz val="9"/>
        <color rgb="FF595959"/>
        <rFont val="Noto Sans CJK SC"/>
        <family val="2"/>
      </rPr>
      <t xml:space="preserve">營業／融資租賃加權平均折現率（事實總帳 </t>
    </r>
    <r>
      <rPr>
        <sz val="9"/>
        <color rgb="FF595959"/>
        <rFont val="Arial"/>
        <family val="0"/>
        <charset val="1"/>
      </rPr>
      <t xml:space="preserve">lease.discRate.fy26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company.json → leases.liability.discRate</t>
    </r>
  </si>
  <si>
    <t xml:space="preserve">在帳租約：模型期後尾端年數</t>
  </si>
  <si>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後的未折現付款平均分攤年數（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營業租賃加權平均剩餘期限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</si>
  <si>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在帳租賃負債（期末）</t>
  </si>
  <si>
    <r>
      <rPr>
        <sz val="9"/>
        <color rgb="FF595959"/>
        <rFont val="Noto Sans CJK SC"/>
        <family val="2"/>
      </rPr>
      <t xml:space="preserve">＝期末之後各期到期表現金（期中付款）＋模型期後尾端 </t>
    </r>
    <r>
      <rPr>
        <sz val="9"/>
        <color rgb="FF595959"/>
        <rFont val="Arial"/>
        <family val="0"/>
        <charset val="1"/>
      </rPr>
      <t xml:space="preserve">5.76</t>
    </r>
    <r>
      <rPr>
        <sz val="9"/>
        <color rgb="FF595959"/>
        <rFont val="Noto Sans CJK SC"/>
        <family val="2"/>
      </rPr>
      <t xml:space="preserve">（平均分攤、年中付款）的現值</t>
    </r>
  </si>
  <si>
    <t xml:space="preserve">未起租租約已起租部分的租賃負債（期末）</t>
  </si>
  <si>
    <r>
      <rPr>
        <sz val="9"/>
        <color rgb="FF595959"/>
        <rFont val="Noto Sans CJK SC"/>
        <family val="2"/>
      </rPr>
      <t xml:space="preserve">每季起租 總額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季數、每筆季末付租：已起租各筆剩餘租金現值合計（延誤連動部分起算季延後 延誤月數 </t>
    </r>
    <r>
      <rPr>
        <sz val="9"/>
        <color rgb="FF595959"/>
        <rFont val="Arial"/>
        <family val="0"/>
        <charset val="1"/>
      </rPr>
      <t xml:space="preserve">÷ 3</t>
    </r>
    <r>
      <rPr>
        <sz val="9"/>
        <color rgb="FF595959"/>
        <rFont val="Noto Sans CJK SC"/>
        <family val="2"/>
      </rPr>
      <t xml:space="preserve">）</t>
    </r>
  </si>
  <si>
    <t xml:space="preserve">租賃負債合計（期末）</t>
  </si>
  <si>
    <t xml:space="preserve">期前融資瀑布（缺口在需要前一期先融好：額度 → 資產層新債 → 股權）</t>
  </si>
  <si>
    <t xml:space="preserve">用途（不含新債利息）</t>
  </si>
  <si>
    <t xml:space="preserve">避免循環參照：直接由各支出列加總</t>
  </si>
  <si>
    <t xml:space="preserve">新債期初餘額</t>
  </si>
  <si>
    <r>
      <rPr>
        <sz val="10"/>
        <rFont val="Noto Sans CJK SC"/>
        <family val="2"/>
      </rPr>
      <t xml:space="preserve">新債利率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</si>
  <si>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高息債期初餘額</t>
  </si>
  <si>
    <t xml:space="preserve">可轉債（瀑布）期初餘額</t>
  </si>
  <si>
    <r>
      <rPr>
        <sz val="10"/>
        <rFont val="Noto Sans CJK SC"/>
        <family val="2"/>
      </rPr>
      <t xml:space="preserve">可轉債票息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</si>
  <si>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r>
      <rPr>
        <sz val="10"/>
        <rFont val="Noto Sans CJK SC"/>
        <family val="2"/>
      </rPr>
      <t xml:space="preserve">高息債利率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</si>
  <si>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融資前現金（扣既有新債利息）</t>
  </si>
  <si>
    <t xml:space="preserve">融資需求（補足至最低現金）</t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</si>
  <si>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</si>
  <si>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RPO 75.146</t>
    </r>
    <r>
      <rPr>
        <sz val="9"/>
        <color rgb="FF595959"/>
        <rFont val="Noto Sans CJK SC"/>
        <family val="2"/>
      </rPr>
      <t xml:space="preserve">＋期後新增 </t>
    </r>
    <r>
      <rPr>
        <sz val="9"/>
        <color rgb="FF595959"/>
        <rFont val="Arial"/>
        <family val="0"/>
        <charset val="1"/>
      </rPr>
      <t xml:space="preserve">0.0</t>
    </r>
  </si>
  <si>
    <r>
      <rPr>
        <sz val="10"/>
        <rFont val="Noto Sans CJK SC"/>
        <family val="2"/>
      </rPr>
      <t xml:space="preserve">　新簽合約增量（年化增量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年期）</t>
    </r>
  </si>
  <si>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</si>
  <si>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t xml:space="preserve">＝期初 − 排程認列 − 新簽約認列 ＋ 新簽合約增量</t>
  </si>
  <si>
    <t xml:space="preserve">既有債務＋期後可轉債（期末）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</si>
  <si>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依到期表遞減的既有本金，若關閉攤還則維持 </t>
    </r>
    <r>
      <rPr>
        <sz val="9"/>
        <color rgb="FF595959"/>
        <rFont val="Arial"/>
        <family val="0"/>
        <charset val="1"/>
      </rPr>
      <t xml:space="preserve">315.339)</t>
    </r>
    <r>
      <rPr>
        <sz val="9"/>
        <color rgb="FF595959"/>
        <rFont val="Noto Sans CJK SC"/>
        <family val="2"/>
      </rPr>
      <t xml:space="preserve">＋期後新發可轉債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NC-1 </t>
    </r>
    <r>
      <rPr>
        <sz val="9"/>
        <color rgb="FF595959"/>
        <rFont val="Noto Sans CJK SC"/>
        <family val="2"/>
      </rPr>
      <t xml:space="preserve">專案貸款期末餘額（</t>
    </r>
    <r>
      <rPr>
        <sz val="9"/>
        <color rgb="FF595959"/>
        <rFont val="Arial"/>
        <family val="0"/>
        <charset val="1"/>
      </rPr>
      <t xml:space="preserve">v0.1c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</si>
  <si>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債務上限（倍數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當期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；或債務／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</si>
  <si>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leaseAdj</t>
    </r>
    <r>
      <rPr>
        <sz val="9"/>
        <color rgb="FF595959"/>
        <rFont val="Noto Sans CJK SC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＋租金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（年化）− 租賃負債（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（年化）；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Noto Sans CJK SC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期末 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Noto Sans CJK SC"/>
        <family val="2"/>
      </rPr>
      <t xml:space="preserve">（模板）</t>
    </r>
  </si>
  <si>
    <t xml:space="preserve">未動用額度（期初）</t>
  </si>
  <si>
    <r>
      <rPr>
        <sz val="9"/>
        <color rgb="FF595959"/>
        <rFont val="Noto Sans CJK SC"/>
        <family val="2"/>
      </rPr>
      <t xml:space="preserve">＝前期期末未動用（</t>
    </r>
    <r>
      <rPr>
        <sz val="9"/>
        <color rgb="FF595959"/>
        <rFont val="Arial"/>
        <family val="0"/>
        <charset val="1"/>
      </rPr>
      <t xml:space="preserve">NC-1 </t>
    </r>
    <r>
      <rPr>
        <sz val="9"/>
        <color rgb="FF595959"/>
        <rFont val="Noto Sans CJK SC"/>
        <family val="2"/>
      </rPr>
      <t xml:space="preserve">專案貸款改為排程貸款，不在額度內；</t>
    </r>
    <r>
      <rPr>
        <sz val="9"/>
        <color rgb="FF595959"/>
        <rFont val="Arial"/>
        <family val="0"/>
        <charset val="1"/>
      </rPr>
      <t xml:space="preserve">WhiteFiber v0.1c</t>
    </r>
    <r>
      <rPr>
        <sz val="9"/>
        <color rgb="FF595959"/>
        <rFont val="Noto Sans CJK SC"/>
        <family val="2"/>
      </rPr>
      <t xml:space="preserve">）</t>
    </r>
  </si>
  <si>
    <t xml:space="preserve">新債可借上限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</si>
  <si>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上限 −（既有債務 − </t>
    </r>
    <r>
      <rPr>
        <sz val="9"/>
        <color rgb="FF595959"/>
        <rFont val="Arial"/>
        <family val="0"/>
        <charset val="1"/>
      </rPr>
      <t xml:space="preserve">NC-1 </t>
    </r>
    <r>
      <rPr>
        <sz val="9"/>
        <color rgb="FF595959"/>
        <rFont val="Noto Sans CJK SC"/>
        <family val="2"/>
      </rPr>
      <t xml:space="preserve">專案貸款）− 期初新債 − 期初瀑布可轉債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未動用額度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；專案貸款以 </t>
    </r>
    <r>
      <rPr>
        <sz val="9"/>
        <color rgb="FF595959"/>
        <rFont val="Arial"/>
        <family val="0"/>
        <charset val="1"/>
      </rPr>
      <t xml:space="preserve">NC-1 </t>
    </r>
    <r>
      <rPr>
        <sz val="9"/>
        <color rgb="FF595959"/>
        <rFont val="Noto Sans CJK SC"/>
        <family val="2"/>
      </rPr>
      <t xml:space="preserve">合約現金流與資產獨立核貸，不占公司層級上限（</t>
    </r>
    <r>
      <rPr>
        <sz val="9"/>
        <color rgb="FF595959"/>
        <rFont val="Arial"/>
        <family val="0"/>
        <charset val="1"/>
      </rPr>
      <t xml:space="preserve">v0.1c</t>
    </r>
    <r>
      <rPr>
        <sz val="9"/>
        <color rgb="FF595959"/>
        <rFont val="Noto Sans CJK SC"/>
        <family val="2"/>
      </rPr>
      <t xml:space="preserve">）</t>
    </r>
  </si>
  <si>
    <t xml:space="preserve">新債舉借</t>
  </si>
  <si>
    <r>
      <rPr>
        <sz val="9"/>
        <color rgb="FF595959"/>
        <rFont val="Noto Sans CJK SC"/>
        <family val="2"/>
      </rPr>
      <t xml:space="preserve">期前融資：期初到位，當期全額計息，所以需求要除以 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</t>
    </r>
    <r>
      <rPr>
        <sz val="9"/>
        <color rgb="FF595959"/>
        <rFont val="Arial"/>
        <family val="0"/>
        <charset val="1"/>
      </rPr>
      <t xml:space="preserve">)</t>
    </r>
  </si>
  <si>
    <t xml:space="preserve">債務後剩餘需求</t>
  </si>
  <si>
    <t xml:space="preserve">可轉債可發行上限</t>
  </si>
  <si>
    <r>
      <rPr>
        <sz val="9"/>
        <color rgb="FF595959"/>
        <rFont val="Noto Sans CJK SC"/>
        <family val="2"/>
      </rPr>
      <t xml:space="preserve">＝每年上限（隨情境）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</si>
  <si>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t xml:space="preserve">可轉債發行</t>
  </si>
  <si>
    <t xml:space="preserve">期前融資：期初到位、當期全額計息</t>
  </si>
  <si>
    <t xml:space="preserve">可轉債後剩餘需求</t>
  </si>
  <si>
    <t xml:space="preserve">每年股權吸收上限</t>
  </si>
  <si>
    <r>
      <rPr>
        <sz val="9"/>
        <color rgb="FF595959"/>
        <rFont val="Noto Sans CJK SC"/>
        <family val="2"/>
      </rPr>
      <t xml:space="preserve">＝現市值（發行參考價 </t>
    </r>
    <r>
      <rPr>
        <sz val="9"/>
        <color rgb="FF595959"/>
        <rFont val="Arial"/>
        <family val="0"/>
        <charset val="1"/>
      </rPr>
      <t xml:space="preserve">× 45.1197m </t>
    </r>
    <r>
      <rPr>
        <sz val="9"/>
        <color rgb="FF595959"/>
        <rFont val="Noto Sans CJK SC"/>
        <family val="2"/>
      </rPr>
      <t xml:space="preserve">股）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% × </t>
    </r>
    <r>
      <rPr>
        <sz val="9"/>
        <color rgb="FF595959"/>
        <rFont val="Noto Sans CJK SC"/>
        <family val="2"/>
      </rPr>
      <t xml:space="preserve">期間長度</t>
    </r>
  </si>
  <si>
    <t xml:space="preserve">股權募資</t>
  </si>
  <si>
    <t xml:space="preserve">高息債舉借（溢出）</t>
  </si>
  <si>
    <t xml:space="preserve">新債＋高息債利息（期初餘額＋本期舉借）</t>
  </si>
  <si>
    <r>
      <rPr>
        <sz val="9"/>
        <color rgb="FF595959"/>
        <rFont val="Noto Sans CJK SC"/>
        <family val="2"/>
      </rPr>
      <t xml:space="preserve">含瀑布可轉債票息（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</si>
  <si>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發行價（現價</t>
    </r>
    <r>
      <rPr>
        <sz val="10"/>
        <rFont val="Arial"/>
        <family val="0"/>
        <charset val="1"/>
      </rPr>
      <t xml:space="preserve">×(1−</t>
    </r>
    <r>
      <rPr>
        <sz val="10"/>
        <rFont val="Noto Sans CJK SC"/>
        <family val="2"/>
      </rPr>
      <t xml:space="preserve">折價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</t>
    </r>
  </si>
  <si>
    <t xml:space="preserve">新發行股數</t>
  </si>
  <si>
    <t xml:space="preserve">累計新股</t>
  </si>
  <si>
    <t xml:space="preserve">新債期末餘額</t>
  </si>
  <si>
    <t xml:space="preserve">未動用額度（期末）</t>
  </si>
  <si>
    <t xml:space="preserve">高息債期末餘額</t>
  </si>
  <si>
    <t xml:space="preserve">可轉債（瀑布）期末餘額</t>
  </si>
  <si>
    <t xml:space="preserve">期末總債務（既有＋可轉債＋新債＋高息債）</t>
  </si>
  <si>
    <t xml:space="preserve">融資前累積現金</t>
  </si>
  <si>
    <t xml:space="preserve">若不做任何新融資的累積現金；負值＝外部資金需求</t>
  </si>
  <si>
    <t xml:space="preserve">四層橋（驗算）</t>
  </si>
  <si>
    <r>
      <rPr>
        <sz val="10"/>
        <rFont val="Noto Sans CJK SC"/>
        <family val="2"/>
      </rPr>
      <t xml:space="preserve">期初現金（</t>
    </r>
    <r>
      <rPr>
        <sz val="10"/>
        <rFont val="Arial"/>
        <family val="0"/>
        <charset val="1"/>
      </rPr>
      <t xml:space="preserve">2025-12-31</t>
    </r>
    <r>
      <rPr>
        <sz val="10"/>
        <rFont val="Noto Sans CJK SC"/>
        <family val="2"/>
      </rPr>
      <t xml:space="preserve">）</t>
    </r>
  </si>
  <si>
    <t xml:space="preserve">＋ 營運缺口合計</t>
  </si>
  <si>
    <t xml:space="preserve">＋ 股權／可轉債合計</t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</si>
  <si>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實際借款</t>
    </r>
  </si>
  <si>
    <r>
      <rPr>
        <sz val="10"/>
        <rFont val="Arial"/>
        <family val="0"/>
        <charset val="1"/>
      </rPr>
      <t xml:space="preserve">− capped call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1H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</si>
  <si>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其他／受限現金調節</t>
    </r>
  </si>
  <si>
    <r>
      <rPr>
        <sz val="10"/>
        <rFont val="Noto Sans CJK SC"/>
        <family val="2"/>
      </rPr>
      <t xml:space="preserve">＋ 瀑布新債＋可轉債＋股權＋高息債＋</t>
    </r>
    <r>
      <rPr>
        <sz val="10"/>
        <rFont val="Arial"/>
        <family val="0"/>
        <charset val="1"/>
      </rPr>
      <t xml:space="preserve">NC-1 </t>
    </r>
    <r>
      <rPr>
        <sz val="10"/>
        <rFont val="Noto Sans CJK SC"/>
        <family val="2"/>
      </rPr>
      <t xml:space="preserve">專案貸款合計</t>
    </r>
  </si>
  <si>
    <t xml:space="preserve">− 排程還本合計</t>
  </si>
  <si>
    <t xml:space="preserve">＝ 期末現金（橋算）</t>
  </si>
  <si>
    <t xml:space="preserve">對照：期末累積現金（表算）</t>
  </si>
  <si>
    <r>
      <rPr>
        <b val="true"/>
        <sz val="10"/>
        <rFont val="Noto Sans CJK SC"/>
        <family val="2"/>
      </rPr>
      <t xml:space="preserve">差異（應為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</si>
  <si>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若不為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，表示公式鏈被改壞</t>
    </r>
  </si>
  <si>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Noto Sans CJK SC"/>
        <family val="2"/>
      </rPr>
      <t xml:space="preserve">全年備忘（對照公司指引）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</si>
  <si>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總營收（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</si>
  <si>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t xml:space="preserve">公司指引 不適用（公司未給指引）</t>
  </si>
  <si>
    <r>
      <rPr>
        <sz val="10"/>
        <rFont val="Arial"/>
        <family val="0"/>
        <charset val="1"/>
      </rPr>
      <t xml:space="preserve">FY26 CapEx </t>
    </r>
    <r>
      <rPr>
        <sz val="10"/>
        <rFont val="Noto Sans CJK SC"/>
        <family val="2"/>
      </rPr>
      <t xml:space="preserve">認列（</t>
    </r>
    <r>
      <rPr>
        <sz val="10"/>
        <rFont val="Arial"/>
        <family val="0"/>
        <charset val="1"/>
      </rPr>
      <t xml:space="preserve">1H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</si>
  <si>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t xml:space="preserve">公司指引 不適用（公司未給指引）（公司未給資本支出指引（不適用））</t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</si>
  <si>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</si>
  <si>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t xml:space="preserve">公司未提供季度利息指引</t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</si>
  <si>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租賃現金（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</si>
  <si>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實際支付 </t>
    </r>
    <r>
      <rPr>
        <sz val="9"/>
        <color rgb="FF595959"/>
        <rFont val="Arial"/>
        <family val="0"/>
        <charset val="1"/>
      </rPr>
      <t xml:space="preserve">13.044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</si>
  <si>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排程還本（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</si>
  <si>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12.599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5.373</t>
    </r>
  </si>
  <si>
    <t xml:space="preserve">季度追蹤 — 焦點季的模型／共識／指引／實際與差距（由年度模型拆分；只用於追蹤，不影響年度數字與目標價）</t>
  </si>
  <si>
    <r>
      <rPr>
        <sz val="9"/>
        <color rgb="FF595959"/>
        <rFont val="Noto Sans CJK SC"/>
        <family val="2"/>
      </rPr>
      <t xml:space="preserve">設定與實際數在『輸入與假設』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區，共識在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區；缺資料顯示「不適用」，實際數空白＝待公布。差距超過門檻的項目附差異原因（拆法＝所屬期間合計差距在門檻內）。第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區為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季路徑與拆分明細（預設收合）。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</si>
  <si>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｜焦點季（『輸入與假設』</t>
    </r>
    <r>
      <rPr>
        <b val="true"/>
        <sz val="10"/>
        <rFont val="Arial"/>
        <family val="0"/>
        <charset val="1"/>
      </rPr>
      <t xml:space="preserve">J </t>
    </r>
    <r>
      <rPr>
        <b val="true"/>
        <sz val="10"/>
        <rFont val="Noto Sans CJK SC"/>
        <family val="2"/>
      </rPr>
      <t xml:space="preserve">區選擇）：模型／共識／指引／實際與差距</t>
    </r>
  </si>
  <si>
    <t xml:space="preserve">指標</t>
  </si>
  <si>
    <t xml:space="preserve">模型</t>
  </si>
  <si>
    <t xml:space="preserve">共識</t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</si>
  <si>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</si>
  <si>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t xml:space="preserve">指引（低）</t>
  </si>
  <si>
    <t xml:space="preserve">指引（高）</t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</si>
  <si>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指引中點</t>
    </r>
  </si>
  <si>
    <t xml:space="preserve">實際</t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</si>
  <si>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模型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</si>
  <si>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</si>
  <si>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指引中點</t>
    </r>
  </si>
  <si>
    <r>
      <rPr>
        <b val="true"/>
        <sz val="11"/>
        <color rgb="FFFFFFFF"/>
        <rFont val="Noto Sans CJK SC"/>
        <family val="2"/>
      </rPr>
      <t xml:space="preserve">利潤率 </t>
    </r>
    <r>
      <rPr>
        <b val="true"/>
        <sz val="11"/>
        <color rgb="FFFFFFFF"/>
        <rFont val="Arial"/>
        <family val="0"/>
        <charset val="1"/>
      </rPr>
      <t xml:space="preserve">pt</t>
    </r>
    <r>
      <rPr>
        <b val="true"/>
        <sz val="11"/>
        <color rgb="FFFFFFFF"/>
        <rFont val="Noto Sans CJK SC"/>
        <family val="2"/>
      </rPr>
      <t xml:space="preserve">：模型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</si>
  <si>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</si>
  <si>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</t>
    </r>
  </si>
  <si>
    <t xml:space="preserve">焦點｜營收</t>
  </si>
  <si>
    <t xml:space="preserve">不適用</t>
  </si>
  <si>
    <r>
      <rPr>
        <sz val="10"/>
        <rFont val="Noto Sans CJK SC"/>
        <family val="2"/>
      </rPr>
      <t xml:space="preserve">焦點｜調整後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</si>
  <si>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焦點｜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</si>
  <si>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焦點｜調整後營業利益</t>
  </si>
  <si>
    <r>
      <rPr>
        <sz val="10"/>
        <rFont val="Noto Sans CJK SC"/>
        <family val="2"/>
      </rPr>
      <t xml:space="preserve">焦點｜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</si>
  <si>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焦點｜季末雲端已連網 </t>
    </r>
    <r>
      <rPr>
        <sz val="10"/>
        <rFont val="Arial"/>
        <family val="0"/>
        <charset val="1"/>
      </rPr>
      <t xml:space="preserve">MW-IT</t>
    </r>
  </si>
  <si>
    <t xml:space="preserve">焦點｜季度</t>
  </si>
  <si>
    <t xml:space="preserve">焦點｜差異原因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</si>
  <si>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6 </t>
    </r>
    <r>
      <rPr>
        <b val="true"/>
        <sz val="10"/>
        <rFont val="Noto Sans CJK SC"/>
        <family val="2"/>
      </rPr>
      <t xml:space="preserve">季路徑、共識、指引、實際與差距（明細；第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區以焦點季引用本區）</t>
    </r>
  </si>
  <si>
    <t xml:space="preserve">所屬期間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</si>
  <si>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FY27</t>
    </r>
  </si>
  <si>
    <t xml:space="preserve">季序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</si>
  <si>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率直線的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軸</t>
    </r>
  </si>
  <si>
    <r>
      <rPr>
        <sz val="10"/>
        <rFont val="Noto Sans CJK SC"/>
        <family val="2"/>
      </rPr>
      <t xml:space="preserve">季末雲端已連網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（模型）</t>
    </r>
  </si>
  <si>
    <r>
      <rPr>
        <sz val="9"/>
        <color rgb="FF595959"/>
        <rFont val="Noto Sans CJK SC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Accepted </t>
    </r>
    <r>
      <rPr>
        <sz val="9"/>
        <color rgb="FF595959"/>
        <rFont val="Noto Sans CJK SC"/>
        <family val="2"/>
      </rPr>
      <t xml:space="preserve">之間線性內插；第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期起點見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</si>
  <si>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Billable</t>
    </r>
    <r>
      <rPr>
        <sz val="10"/>
        <rFont val="Noto Sans CJK SC"/>
        <family val="2"/>
      </rPr>
      <t xml:space="preserve">，拆分依據）</t>
    </r>
  </si>
  <si>
    <r>
      <rPr>
        <sz val="9"/>
        <color rgb="FF595959"/>
        <rFont val="Noto Sans CJK SC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Billable </t>
    </r>
    <r>
      <rPr>
        <sz val="9"/>
        <color rgb="FF595959"/>
        <rFont val="Noto Sans CJK SC"/>
        <family val="2"/>
      </rPr>
      <t xml:space="preserve">之間線性內插的季平均</t>
    </r>
  </si>
  <si>
    <r>
      <rPr>
        <sz val="10"/>
        <rFont val="Noto Sans CJK SC"/>
        <family val="2"/>
      </rPr>
      <t xml:space="preserve">季內新增 </t>
    </r>
    <r>
      <rPr>
        <sz val="10"/>
        <rFont val="Arial"/>
        <family val="0"/>
        <charset val="1"/>
      </rPr>
      <t xml:space="preserve">Accepted MW</t>
    </r>
  </si>
  <si>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拆分依據</t>
    </r>
  </si>
  <si>
    <t xml:space="preserve">營收（模型）</t>
  </si>
  <si>
    <r>
      <rPr>
        <sz val="9"/>
        <color rgb="FF595959"/>
        <rFont val="Noto Sans CJK SC"/>
        <family val="2"/>
      </rPr>
      <t xml:space="preserve">拆分方法見『輸入與假設』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「拆分方法」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</si>
  <si>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率直線｜各期營收合計 </t>
    </r>
    <r>
      <rPr>
        <sz val="10"/>
        <rFont val="Arial"/>
        <family val="0"/>
        <charset val="1"/>
      </rPr>
      <t xml:space="preserve">S</t>
    </r>
  </si>
  <si>
    <r>
      <rPr>
        <sz val="9"/>
        <color rgb="FF595959"/>
        <rFont val="Noto Sans CJK SC"/>
        <family val="2"/>
      </rPr>
      <t xml:space="preserve">欄＝期間（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</si>
  <si>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率直線｜營收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季序合計 </t>
    </r>
    <r>
      <rPr>
        <sz val="10"/>
        <rFont val="Arial"/>
        <family val="0"/>
        <charset val="1"/>
      </rPr>
      <t xml:space="preserve">T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</si>
  <si>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率直線｜年度 </t>
    </r>
    <r>
      <rPr>
        <sz val="10"/>
        <rFont val="Arial"/>
        <family val="0"/>
        <charset val="1"/>
      </rPr>
      <t xml:space="preserve">EBITDA E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</si>
  <si>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率直線｜截距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／斜率 </t>
    </r>
    <r>
      <rPr>
        <sz val="10"/>
        <rFont val="Arial"/>
        <family val="0"/>
        <charset val="1"/>
      </rPr>
      <t xml:space="preserve">b</t>
    </r>
  </si>
  <si>
    <r>
      <rPr>
        <sz val="9"/>
        <color rgb="FF595959"/>
        <rFont val="Noto Sans CJK SC"/>
        <family val="2"/>
      </rPr>
      <t xml:space="preserve">解兩式：</t>
    </r>
    <r>
      <rPr>
        <sz val="9"/>
        <color rgb="FF595959"/>
        <rFont val="Arial"/>
        <family val="0"/>
        <charset val="1"/>
      </rPr>
      <t xml:space="preserve">Σ</t>
    </r>
    <r>
      <rPr>
        <sz val="9"/>
        <color rgb="FF595959"/>
        <rFont val="Noto Sans CJK SC"/>
        <family val="2"/>
      </rPr>
      <t xml:space="preserve">營收</t>
    </r>
    <r>
      <rPr>
        <sz val="9"/>
        <color rgb="FF595959"/>
        <rFont val="Arial"/>
        <family val="0"/>
        <charset val="1"/>
      </rPr>
      <t xml:space="preserve">×(a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b×</t>
    </r>
    <r>
      <rPr>
        <sz val="9"/>
        <color rgb="FF595959"/>
        <rFont val="Noto Sans CJK SC"/>
        <family val="2"/>
      </rPr>
      <t xml:space="preserve">季序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＝各期年度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</si>
  <si>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率（模型）</t>
    </r>
  </si>
  <si>
    <r>
      <rPr>
        <sz val="9"/>
        <color rgb="FF595959"/>
        <rFont val="Noto Sans CJK SC"/>
        <family val="2"/>
      </rPr>
      <t xml:space="preserve">跨季一條直線，季度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加總＝年度</t>
    </r>
  </si>
  <si>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（模型）</t>
    </r>
  </si>
  <si>
    <t xml:space="preserve">車隊折舊（模型）</t>
  </si>
  <si>
    <r>
      <rPr>
        <sz val="9"/>
        <color rgb="FF595959"/>
        <rFont val="Noto Sans CJK SC"/>
        <family val="2"/>
      </rPr>
      <t xml:space="preserve">依期內平均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Noto Sans CJK SC"/>
        <family val="2"/>
      </rPr>
      <t xml:space="preserve">（與年度車隊折舊公式相同；含託管建物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）</t>
    </r>
  </si>
  <si>
    <t xml:space="preserve">調整後營業利益（模型）</t>
  </si>
  <si>
    <r>
      <rPr>
        <sz val="9"/>
        <color rgb="FF595959"/>
        <rFont val="Noto Sans CJK SC"/>
        <family val="2"/>
      </rPr>
      <t xml:space="preserve">＝調整後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車隊折舊（未扣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</si>
  <si>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（毛額）（模型）</t>
    </r>
  </si>
  <si>
    <r>
      <rPr>
        <sz val="9"/>
        <color rgb="FF595959"/>
        <rFont val="Noto Sans CJK SC"/>
        <family val="2"/>
      </rPr>
      <t xml:space="preserve">依季內新增 </t>
    </r>
    <r>
      <rPr>
        <sz val="9"/>
        <color rgb="FF595959"/>
        <rFont val="Arial"/>
        <family val="0"/>
        <charset val="1"/>
      </rPr>
      <t xml:space="preserve">Accepted MW</t>
    </r>
  </si>
  <si>
    <t xml:space="preserve">共識｜營收</t>
  </si>
  <si>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區季度共識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</si>
  <si>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共識｜調整後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</si>
  <si>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 </t>
    </r>
    <r>
      <rPr>
        <sz val="10"/>
        <rFont val="Arial"/>
        <family val="0"/>
        <charset val="1"/>
      </rPr>
      <t xml:space="preserve">[Derived]</t>
    </r>
  </si>
  <si>
    <r>
      <rPr>
        <sz val="9"/>
        <color rgb="FF595959"/>
        <rFont val="Noto Sans CJK SC"/>
        <family val="2"/>
      </rPr>
      <t xml:space="preserve">＝共識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Noto Sans CJK SC"/>
        <family val="2"/>
      </rPr>
      <t xml:space="preserve">共識營收</t>
    </r>
  </si>
  <si>
    <t xml:space="preserve">實際｜營收</t>
  </si>
  <si>
    <r>
      <rPr>
        <sz val="10"/>
        <rFont val="Noto Sans CJK SC"/>
        <family val="2"/>
      </rPr>
      <t xml:space="preserve">實際｜調整後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</si>
  <si>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實際｜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</si>
  <si>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＝實際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Noto Sans CJK SC"/>
        <family val="2"/>
      </rPr>
      <t xml:space="preserve">實際營收</t>
    </r>
  </si>
  <si>
    <t xml:space="preserve">實際｜調整後營業利益</t>
  </si>
  <si>
    <r>
      <rPr>
        <sz val="10"/>
        <rFont val="Noto Sans CJK SC"/>
        <family val="2"/>
      </rPr>
      <t xml:space="preserve">實際｜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</si>
  <si>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實際｜季末雲端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（口徑不明）</t>
    </r>
  </si>
  <si>
    <r>
      <rPr>
        <sz val="10"/>
        <rFont val="Noto Sans CJK SC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</si>
  <si>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</si>
  <si>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</si>
  <si>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</si>
  <si>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</si>
  <si>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</si>
  <si>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</si>
  <si>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</si>
  <si>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</si>
  <si>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</si>
  <si>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</si>
  <si>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</si>
  <si>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</si>
  <si>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</si>
  <si>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</si>
  <si>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</si>
  <si>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</si>
  <si>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</si>
  <si>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</si>
  <si>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</si>
  <si>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</si>
  <si>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</si>
  <si>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</si>
  <si>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</si>
  <si>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</si>
  <si>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</si>
  <si>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</si>
  <si>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</si>
  <si>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</si>
  <si>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</si>
  <si>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</si>
  <si>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</si>
  <si>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</si>
  <si>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</si>
  <si>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</si>
  <si>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差距｜季末雲端已連網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</si>
  <si>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差距｜季末雲端已連網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</si>
  <si>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差距｜季末雲端已連網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</si>
  <si>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差距｜季末雲端已連網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</si>
  <si>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差距｜季末雲端已連網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</si>
  <si>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合計基準｜營收｜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</si>
  <si>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t xml:space="preserve">所屬期間的季度共識合計</t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</si>
  <si>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共識｜水準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</si>
  <si>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模型期間 − 比較期間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比較的季占比</t>
    </r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</si>
  <si>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共識｜分配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</si>
  <si>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模型季占比 − 比較季占比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模型期間；水準＋分配＝季度差距</t>
    </r>
  </si>
  <si>
    <r>
      <rPr>
        <sz val="10"/>
        <rFont val="Noto Sans CJK SC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</si>
  <si>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</si>
  <si>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</si>
  <si>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</si>
  <si>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</si>
  <si>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</si>
  <si>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合計基準｜調整後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</si>
  <si>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共識｜水準</t>
    </r>
  </si>
  <si>
    <r>
      <rPr>
        <sz val="10"/>
        <rFont val="Noto Sans CJK SC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共識｜分配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</si>
  <si>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</si>
  <si>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</si>
  <si>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</si>
  <si>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</si>
  <si>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</si>
  <si>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</si>
  <si>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</si>
  <si>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</si>
  <si>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</si>
  <si>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</si>
  <si>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</si>
  <si>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</si>
  <si>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</si>
  <si>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</si>
  <si>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</si>
  <si>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</si>
  <si>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</si>
  <si>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</si>
  <si>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原因｜季末雲端已連網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</si>
  <si>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原因類型｜季末雲端已連網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</si>
  <si>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原因｜季末雲端已連網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</si>
  <si>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原因類型｜季末雲端已連網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</si>
  <si>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原因｜季末雲端已連網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</si>
  <si>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原因類型｜季末雲端已連網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</si>
  <si>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t xml:space="preserve">差異原因（一行）</t>
  </si>
  <si>
    <t xml:space="preserve">原因標籤｜營收</t>
  </si>
  <si>
    <r>
      <rPr>
        <sz val="10"/>
        <rFont val="Noto Sans CJK SC"/>
        <family val="2"/>
      </rPr>
      <t xml:space="preserve">原因標籤｜調整後 </t>
    </r>
    <r>
      <rPr>
        <sz val="10"/>
        <rFont val="Arial"/>
        <family val="0"/>
        <charset val="1"/>
      </rPr>
      <t xml:space="preserve">EBITDA</t>
    </r>
  </si>
  <si>
    <t xml:space="preserve">原因標籤｜調整後營業利益</t>
  </si>
  <si>
    <r>
      <rPr>
        <sz val="10"/>
        <rFont val="Noto Sans CJK SC"/>
        <family val="2"/>
      </rPr>
      <t xml:space="preserve">原因標籤｜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</si>
  <si>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原因標籤｜季末雲端已連網 </t>
    </r>
    <r>
      <rPr>
        <sz val="10"/>
        <rFont val="Arial"/>
        <family val="0"/>
        <charset val="1"/>
      </rPr>
      <t xml:space="preserve">MW-IT</t>
    </r>
  </si>
  <si>
    <t xml:space="preserve">句｜營收</t>
  </si>
  <si>
    <r>
      <rPr>
        <sz val="10"/>
        <rFont val="Noto Sans CJK SC"/>
        <family val="2"/>
      </rPr>
      <t xml:space="preserve">句｜調整後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</si>
  <si>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句｜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</si>
  <si>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句｜調整後營業利益</t>
  </si>
  <si>
    <r>
      <rPr>
        <sz val="10"/>
        <rFont val="Noto Sans CJK SC"/>
        <family val="2"/>
      </rPr>
      <t xml:space="preserve">句｜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</si>
  <si>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句｜季末雲端已連網 </t>
    </r>
    <r>
      <rPr>
        <sz val="10"/>
        <rFont val="Arial"/>
        <family val="0"/>
        <charset val="1"/>
      </rPr>
      <t xml:space="preserve">MW-IT</t>
    </r>
  </si>
  <si>
    <r>
      <rPr>
        <b val="true"/>
        <sz val="10"/>
        <rFont val="Noto Sans CJK SC"/>
        <family val="2"/>
      </rPr>
      <t xml:space="preserve">核對｜季度加總 − 年度模型（應為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；欄＝期間 </t>
    </r>
    <r>
      <rPr>
        <b val="true"/>
        <sz val="10"/>
        <rFont val="Arial"/>
        <family val="0"/>
        <charset val="1"/>
      </rPr>
      <t xml:space="preserve">2H26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FY27</t>
    </r>
    <r>
      <rPr>
        <b val="true"/>
        <sz val="10"/>
        <rFont val="Noto Sans CJK SC"/>
        <family val="2"/>
      </rPr>
      <t xml:space="preserve">）</t>
    </r>
  </si>
  <si>
    <t xml:space="preserve">核對｜營收</t>
  </si>
  <si>
    <r>
      <rPr>
        <sz val="10"/>
        <rFont val="Noto Sans CJK SC"/>
        <family val="2"/>
      </rPr>
      <t xml:space="preserve">核對｜調整後 </t>
    </r>
    <r>
      <rPr>
        <sz val="10"/>
        <rFont val="Arial"/>
        <family val="0"/>
        <charset val="1"/>
      </rPr>
      <t xml:space="preserve">EBITDA</t>
    </r>
  </si>
  <si>
    <t xml:space="preserve">核對｜調整後營業利益</t>
  </si>
  <si>
    <r>
      <rPr>
        <sz val="10"/>
        <rFont val="Noto Sans CJK SC"/>
        <family val="2"/>
      </rPr>
      <t xml:space="preserve">核對｜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</si>
  <si>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t xml:space="preserve">核對｜車隊折舊</t>
  </si>
  <si>
    <r>
      <rPr>
        <b val="true"/>
        <sz val="14"/>
        <rFont val="Noto Sans CJK SC"/>
        <family val="2"/>
      </rPr>
      <t xml:space="preserve">產能與收入 — 合約排程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Noto Sans CJK SC"/>
        <family val="2"/>
      </rPr>
      <t xml:space="preserve">機房產能</t>
    </r>
  </si>
  <si>
    <r>
      <rPr>
        <sz val="9"/>
        <color rgb="FF595959"/>
        <rFont val="Noto Sans CJK SC"/>
        <family val="2"/>
      </rPr>
      <t xml:space="preserve">兩條線獨立產生後相減：排程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容量→瓶頸（收不到）；容量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排程→剩餘產能（要靠新簽約賣掉）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</si>
  <si>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欄口徑：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為年底存量；標示「（模型期）」的收入列只含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下半年——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起算，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收入已實現、不再受產能約束。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實際單列，兩者相加即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全年（見本頁「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全年」列）。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</si>
  <si>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的模型期只有下半年；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已實現的營收單列於下方</t>
    </r>
  </si>
  <si>
    <t xml:space="preserve">只用於下方三處：容量上限、電力、維護——把年率換算成該期金額</t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</si>
  <si>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）機房：容量上限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</si>
  <si>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（已驗收，單調不減）</t>
    </r>
  </si>
  <si>
    <t xml:space="preserve">引擎規則：不得低於前期（產能不會消失）</t>
  </si>
  <si>
    <r>
      <rPr>
        <sz val="10"/>
        <rFont val="Arial"/>
        <family val="0"/>
        <charset val="1"/>
      </rPr>
      <t xml:space="preserve">Billable MW</t>
    </r>
    <r>
      <rPr>
        <sz val="10"/>
        <rFont val="Noto Sans CJK SC"/>
        <family val="2"/>
      </rPr>
      <t xml:space="preserve">（上限為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</si>
  <si>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t xml:space="preserve">引擎規則：可計費不得超過已驗收</t>
  </si>
  <si>
    <r>
      <rPr>
        <sz val="10"/>
        <rFont val="Arial"/>
        <family val="0"/>
        <charset val="1"/>
      </rPr>
      <t xml:space="preserve">Billable MW</t>
    </r>
    <r>
      <rPr>
        <sz val="10"/>
        <rFont val="Noto Sans CJK SC"/>
        <family val="2"/>
      </rPr>
      <t xml:space="preserve">（延誤後，計費用）</t>
    </r>
  </si>
  <si>
    <r>
      <rPr>
        <sz val="9"/>
        <color rgb="FF595959"/>
        <rFont val="Noto Sans CJK SC"/>
        <family val="2"/>
      </rPr>
      <t xml:space="preserve">＝上列往後平移建設延誤月數（以期間長度線性內插；評價日之前取期初校準值）；延誤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時＝上列；見（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）區（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</si>
  <si>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</si>
  <si>
    <t xml:space="preserve">前期期末＝本期期初（延誤後）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</si>
  <si>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欄為下半年平均）</t>
    </r>
  </si>
  <si>
    <r>
      <rPr>
        <sz val="9"/>
        <color rgb="FF595959"/>
        <rFont val="Noto Sans CJK SC"/>
        <family val="2"/>
      </rPr>
      <t xml:space="preserve">開關在輸入頁：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</t>
    </r>
    <r>
      <rPr>
        <sz val="9"/>
        <color rgb="FF595959"/>
        <rFont val="Arial"/>
        <family val="0"/>
        <charset val="1"/>
      </rPr>
      <t xml:space="preserve">+</t>
    </r>
    <r>
      <rPr>
        <sz val="9"/>
        <color rgb="FF595959"/>
        <rFont val="Noto Sans CJK SC"/>
        <family val="2"/>
      </rPr>
      <t xml:space="preserve">期末</t>
    </r>
    <r>
      <rPr>
        <sz val="9"/>
        <color rgb="FF595959"/>
        <rFont val="Arial"/>
        <family val="0"/>
        <charset val="1"/>
      </rPr>
      <t xml:space="preserve">)/2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＝期末全期化</t>
    </r>
  </si>
  <si>
    <t xml:space="preserve">容量上限（模型期最多能交付的收入）</t>
  </si>
  <si>
    <r>
      <rPr>
        <sz val="9"/>
        <color rgb="FF595959"/>
        <rFont val="Noto Sans CJK SC"/>
        <family val="2"/>
      </rPr>
      <t xml:space="preserve">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期間係數。只看機房，不看合約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</si>
  <si>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）合約：排程 </t>
    </r>
    <r>
      <rPr>
        <b val="true"/>
        <sz val="10"/>
        <rFont val="Arial"/>
        <family val="0"/>
        <charset val="1"/>
      </rPr>
      <t xml:space="preserve">RPO</t>
    </r>
  </si>
  <si>
    <r>
      <rPr>
        <sz val="10"/>
        <rFont val="Noto Sans CJK SC"/>
        <family val="2"/>
      </rPr>
      <t xml:space="preserve">排程 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（模型期，依季報桶分攤）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</si>
  <si>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(6/30 RPO</t>
    </r>
    <r>
      <rPr>
        <sz val="9"/>
        <color rgb="FF595959"/>
        <rFont val="Noto Sans CJK SC"/>
        <family val="2"/>
      </rPr>
      <t xml:space="preserve">＋評價日後新增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本期權重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權重合計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五期認列比例。只看合約，不看機房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</si>
  <si>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）兩條線相減</t>
    </r>
  </si>
  <si>
    <t xml:space="preserve">產能瓶頸（模型期：排程 − 容量）</t>
  </si>
  <si>
    <t xml:space="preserve">合約有、機房沒有 → 本期收不到，且不遞延到下期（保守處理）</t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</si>
  <si>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轉換收入（模型期）</t>
    </r>
  </si>
  <si>
    <r>
      <rPr>
        <sz val="9"/>
        <color rgb="FF595959"/>
        <rFont val="Noto Sans CJK SC"/>
        <family val="2"/>
      </rPr>
      <t xml:space="preserve">＝排程 − 瓶頸。當瓶頸</t>
    </r>
    <r>
      <rPr>
        <sz val="9"/>
        <color rgb="FF595959"/>
        <rFont val="Arial"/>
        <family val="0"/>
        <charset val="1"/>
      </rPr>
      <t xml:space="preserve">&gt;0 </t>
    </r>
    <r>
      <rPr>
        <sz val="9"/>
        <color rgb="FF595959"/>
        <rFont val="Noto Sans CJK SC"/>
        <family val="2"/>
      </rPr>
      <t xml:space="preserve">時，此值恆等於容量上限</t>
    </r>
  </si>
  <si>
    <r>
      <rPr>
        <sz val="10"/>
        <rFont val="Noto Sans CJK SC"/>
        <family val="2"/>
      </rPr>
      <t xml:space="preserve">未被期初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占用的產能</t>
    </r>
  </si>
  <si>
    <t xml:space="preserve">容量 − 排程。機房有、期初合約沒占滿 → 要靠新簽約</t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</si>
  <si>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驅動時固定 </t>
    </r>
    <r>
      <rPr>
        <sz val="9"/>
        <color rgb="FF595959"/>
        <rFont val="Arial"/>
        <family val="0"/>
        <charset val="1"/>
      </rPr>
      <t xml:space="preserve">100%</t>
    </r>
  </si>
  <si>
    <t xml:space="preserve">新簽約收入</t>
  </si>
  <si>
    <r>
      <rPr>
        <sz val="9"/>
        <color rgb="FF595959"/>
        <rFont val="Noto Sans CJK SC"/>
        <family val="2"/>
      </rPr>
      <t xml:space="preserve">超出期初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的產能收入（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驅動，簽約率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</si>
  <si>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t xml:space="preserve">未售產能（浪費）</t>
  </si>
  <si>
    <r>
      <rPr>
        <sz val="9"/>
        <color rgb="FF595959"/>
        <rFont val="Noto Sans CJK SC"/>
        <family val="2"/>
      </rPr>
      <t xml:space="preserve">蓋好但賣不掉（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</si>
  <si>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損益用算力收入（模型期＝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轉換＋新簽約）</t>
    </r>
  </si>
  <si>
    <t xml:space="preserve">損益與評價頁的算力收入由此連結，確保現金與損益同一組數字</t>
  </si>
  <si>
    <r>
      <rPr>
        <sz val="10"/>
        <rFont val="Noto Sans CJK SC"/>
        <family val="2"/>
      </rPr>
      <t xml:space="preserve">核對：算力收入 − 平均在役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</si>
  <si>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：營收可追溯為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</si>
  <si>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對照：評價日起 </t>
    </r>
    <r>
      <rPr>
        <sz val="10"/>
        <rFont val="Arial"/>
        <family val="0"/>
        <charset val="1"/>
      </rPr>
      <t xml:space="preserve">36 </t>
    </r>
    <r>
      <rPr>
        <sz val="10"/>
        <rFont val="Noto Sans CJK SC"/>
        <family val="2"/>
      </rPr>
      <t xml:space="preserve">個月營收權重</t>
    </r>
  </si>
  <si>
    <r>
      <rPr>
        <sz val="9"/>
        <color rgb="FF595959"/>
        <rFont val="Arial"/>
        <family val="0"/>
        <charset val="1"/>
      </rPr>
      <t xml:space="preserve">RPO 36 </t>
    </r>
    <r>
      <rPr>
        <sz val="9"/>
        <color rgb="FF595959"/>
        <rFont val="Noto Sans CJK SC"/>
        <family val="2"/>
      </rPr>
      <t xml:space="preserve">個月內轉換的對照用（只作對照，不驅動營收）</t>
    </r>
  </si>
  <si>
    <r>
      <rPr>
        <sz val="10"/>
        <rFont val="Noto Sans CJK SC"/>
        <family val="2"/>
      </rPr>
      <t xml:space="preserve">對照：評價日起 </t>
    </r>
    <r>
      <rPr>
        <sz val="10"/>
        <rFont val="Arial"/>
        <family val="0"/>
        <charset val="1"/>
      </rPr>
      <t xml:space="preserve">36 </t>
    </r>
    <r>
      <rPr>
        <sz val="10"/>
        <rFont val="Noto Sans CJK SC"/>
        <family val="2"/>
      </rPr>
      <t xml:space="preserve">個月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驅動營收</t>
    </r>
  </si>
  <si>
    <r>
      <rPr>
        <sz val="9"/>
        <color rgb="FF595959"/>
        <rFont val="Noto Sans CJK SC"/>
        <family val="2"/>
      </rPr>
      <t xml:space="preserve">合計對照季報 </t>
    </r>
    <r>
      <rPr>
        <sz val="9"/>
        <color rgb="FF595959"/>
        <rFont val="Arial"/>
        <family val="0"/>
        <charset val="1"/>
      </rPr>
      <t xml:space="preserve">RPO 75.146 × 36 </t>
    </r>
    <r>
      <rPr>
        <sz val="9"/>
        <color rgb="FF595959"/>
        <rFont val="Noto Sans CJK SC"/>
        <family val="2"/>
      </rPr>
      <t xml:space="preserve">個月內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（含託管 </t>
    </r>
    <r>
      <rPr>
        <sz val="9"/>
        <color rgb="FF595959"/>
        <rFont val="Arial"/>
        <family val="0"/>
        <charset val="1"/>
      </rPr>
      <t xml:space="preserve">RPO</t>
    </r>
    <r>
      <rPr>
        <sz val="9"/>
        <color rgb="FF595959"/>
        <rFont val="Noto Sans CJK SC"/>
        <family val="2"/>
      </rPr>
      <t xml:space="preserve">）；差額不回推每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單價</t>
    </r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</si>
  <si>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實際營收（季報，已實現）</t>
    </r>
  </si>
  <si>
    <r>
      <rPr>
        <sz val="9"/>
        <color rgb="FF595959"/>
        <rFont val="Arial"/>
        <family val="0"/>
        <charset val="1"/>
      </rPr>
      <t xml:space="preserve">2026-01-01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06-30 </t>
    </r>
    <r>
      <rPr>
        <sz val="9"/>
        <color rgb="FF595959"/>
        <rFont val="Noto Sans CJK SC"/>
        <family val="2"/>
      </rPr>
      <t xml:space="preserve">已認列營收。已實現，不受下半年產能約束，故不進入上方的瓶頸計算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</si>
  <si>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全年總營收（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實際＋模型期算力＋服務＋託管）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</si>
  <si>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欄對照公司全年指引 不適用（公司未給指引）；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以後即為該年度總營收</t>
    </r>
  </si>
  <si>
    <r>
      <rPr>
        <b val="true"/>
        <sz val="10"/>
        <color rgb="FF1F3864"/>
        <rFont val="Noto Sans CJK SC"/>
        <family val="2"/>
      </rPr>
      <t xml:space="preserve">▸ 對照：合約隱含每 </t>
    </r>
    <r>
      <rPr>
        <b val="true"/>
        <sz val="10"/>
        <color rgb="FF1F3864"/>
        <rFont val="Arial"/>
        <family val="0"/>
        <charset val="1"/>
      </rPr>
      <t xml:space="preserve">MW-IT </t>
    </r>
    <r>
      <rPr>
        <b val="true"/>
        <sz val="10"/>
        <color rgb="FF1F3864"/>
        <rFont val="Noto Sans CJK SC"/>
        <family val="2"/>
      </rPr>
      <t xml:space="preserve">年收入 </t>
    </r>
    <r>
      <rPr>
        <b val="true"/>
        <sz val="10"/>
        <color rgb="FF1F3864"/>
        <rFont val="Arial"/>
        <family val="0"/>
        <charset val="1"/>
      </rPr>
      <t xml:space="preserve">vs Tokenomics</t>
    </r>
    <r>
      <rPr>
        <b val="true"/>
        <sz val="10"/>
        <color rgb="FF1F3864"/>
        <rFont val="Noto Sans CJK SC"/>
        <family val="2"/>
      </rPr>
      <t xml:space="preserve">（只作對照，不作輸入）</t>
    </r>
  </si>
  <si>
    <t xml:space="preserve">合約</t>
  </si>
  <si>
    <t xml:space="preserve">合約隱含</t>
  </si>
  <si>
    <r>
      <rPr>
        <b val="true"/>
        <sz val="11"/>
        <color rgb="FFFFFFFF"/>
        <rFont val="Arial"/>
        <family val="0"/>
        <charset val="1"/>
      </rPr>
      <t xml:space="preserve">Tokenomics</t>
    </r>
    <r>
      <rPr>
        <b val="true"/>
        <sz val="11"/>
        <color rgb="FFFFFFFF"/>
        <rFont val="Noto Sans CJK SC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FY26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</si>
  <si>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合約 </t>
    </r>
    <r>
      <rPr>
        <b val="true"/>
        <sz val="11"/>
        <color rgb="FFFFFFFF"/>
        <rFont val="Arial"/>
        <family val="0"/>
        <charset val="1"/>
      </rPr>
      <t xml:space="preserve">÷ Tokenomics</t>
    </r>
  </si>
  <si>
    <r>
      <rPr>
        <sz val="9"/>
        <color rgb="FF595959"/>
        <rFont val="Noto Sans CJK SC"/>
        <family val="2"/>
      </rPr>
      <t xml:space="preserve">合約隱含每 </t>
    </r>
    <r>
      <rPr>
        <sz val="9"/>
        <color rgb="FF595959"/>
        <rFont val="Arial"/>
        <family val="0"/>
        <charset val="1"/>
      </rPr>
      <t xml:space="preserve">MW-IT </t>
    </r>
    <r>
      <rPr>
        <sz val="9"/>
        <color rgb="FF595959"/>
        <rFont val="Noto Sans CJK SC"/>
        <family val="2"/>
      </rPr>
      <t xml:space="preserve">年營收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TCV ÷ </t>
    </r>
    <r>
      <rPr>
        <sz val="9"/>
        <color rgb="FF595959"/>
        <rFont val="Noto Sans CJK SC"/>
        <family val="2"/>
      </rPr>
      <t xml:space="preserve">年數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每顆 </t>
    </r>
    <r>
      <rPr>
        <sz val="9"/>
        <color rgb="FF595959"/>
        <rFont val="Arial"/>
        <family val="0"/>
        <charset val="1"/>
      </rPr>
      <t xml:space="preserve">IT kW ÷ 1000</t>
    </r>
    <r>
      <rPr>
        <sz val="9"/>
        <color rgb="FF595959"/>
        <rFont val="Noto Sans CJK SC"/>
        <family val="2"/>
      </rPr>
      <t xml:space="preserve">），每顆 </t>
    </r>
    <r>
      <rPr>
        <sz val="9"/>
        <color rgb="FF595959"/>
        <rFont val="Arial"/>
        <family val="0"/>
        <charset val="1"/>
      </rPr>
      <t xml:space="preserve">IT kW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Tokenomics v5.26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B200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近似，</t>
    </r>
    <r>
      <rPr>
        <sz val="9"/>
        <color rgb="FF595959"/>
        <rFont val="Arial"/>
        <family val="0"/>
        <charset val="1"/>
      </rPr>
      <t xml:space="preserve">HGX </t>
    </r>
    <r>
      <rPr>
        <sz val="9"/>
        <color rgb="FF595959"/>
        <rFont val="Noto Sans CJK SC"/>
        <family val="2"/>
      </rPr>
      <t xml:space="preserve">氣冷機實際約低 </t>
    </r>
    <r>
      <rPr>
        <sz val="9"/>
        <color rgb="FF595959"/>
        <rFont val="Arial"/>
        <family val="0"/>
        <charset val="1"/>
      </rPr>
      <t xml:space="preserve">0–12%</t>
    </r>
    <r>
      <rPr>
        <sz val="9"/>
        <color rgb="FF595959"/>
        <rFont val="Noto Sans CJK SC"/>
        <family val="2"/>
      </rPr>
      <t xml:space="preserve">，使隱含單價略為低估）；只作對照與敏感度，不作輸入（共同規則第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</si>
  <si>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rFont val="Noto Sans CJK SC"/>
        <family val="2"/>
      </rPr>
      <t xml:space="preserve">對照｜合約隱含每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Baseten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1,392 </t>
    </r>
    <r>
      <rPr>
        <sz val="10"/>
        <rFont val="Noto Sans CJK SC"/>
        <family val="2"/>
      </rPr>
      <t xml:space="preserve">顆 </t>
    </r>
    <r>
      <rPr>
        <sz val="10"/>
        <rFont val="Arial"/>
        <family val="0"/>
        <charset val="1"/>
      </rPr>
      <t xml:space="preserve">B300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</si>
  <si>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US$m/MW-IT·</t>
    </r>
    <r>
      <rPr>
        <sz val="9"/>
        <color rgb="FF595959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</si>
  <si>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TCV 165.2 ÷ 3 ÷ 2.858 MW-IT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$4.52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GPU·</t>
    </r>
    <r>
      <rPr>
        <sz val="9"/>
        <color rgb="FF595959"/>
        <rFont val="Noto Sans CJK SC"/>
        <family val="2"/>
      </rPr>
      <t xml:space="preserve">時）</t>
    </r>
  </si>
  <si>
    <r>
      <rPr>
        <sz val="10"/>
        <rFont val="Noto Sans CJK SC"/>
        <family val="2"/>
      </rPr>
      <t xml:space="preserve">對照｜合約隱含每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Prime Intellect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576 </t>
    </r>
    <r>
      <rPr>
        <sz val="10"/>
        <rFont val="Noto Sans CJK SC"/>
        <family val="2"/>
      </rPr>
      <t xml:space="preserve">顆 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</si>
  <si>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TCV 108.2 ÷ 3 ÷ 1.974 MW-IT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$7.15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</si>
  <si>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對照｜合約隱含每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｜冰島 </t>
    </r>
    <r>
      <rPr>
        <sz val="10"/>
        <rFont val="Arial"/>
        <family val="0"/>
        <charset val="1"/>
      </rPr>
      <t xml:space="preserve">B300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576 </t>
    </r>
    <r>
      <rPr>
        <sz val="10"/>
        <rFont val="Noto Sans CJK SC"/>
        <family val="2"/>
      </rPr>
      <t xml:space="preserve">顆，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</si>
  <si>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TCV 87.5 ÷ 5 ÷ 1.183 MW-IT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$3.47</t>
    </r>
    <r>
      <rPr>
        <sz val="9"/>
        <color rgb="FF595959"/>
        <rFont val="Noto Sans CJK SC"/>
        <family val="2"/>
      </rPr>
      <t xml:space="preserve">；另有營收分成）</t>
    </r>
  </si>
  <si>
    <r>
      <rPr>
        <sz val="10"/>
        <rFont val="Noto Sans CJK SC"/>
        <family val="2"/>
      </rPr>
      <t xml:space="preserve">對照｜合約隱含每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128 </t>
    </r>
    <r>
      <rPr>
        <sz val="10"/>
        <rFont val="Noto Sans CJK SC"/>
        <family val="2"/>
      </rPr>
      <t xml:space="preserve">顆 </t>
    </r>
    <r>
      <rPr>
        <sz val="10"/>
        <rFont val="Arial"/>
        <family val="0"/>
        <charset val="1"/>
      </rPr>
      <t xml:space="preserve">B300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</si>
  <si>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TCV 16.0 ÷ 3 ÷ 0.263 MW-IT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$4.76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</si>
  <si>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對照｜合約隱含每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B200 384 </t>
    </r>
    <r>
      <rPr>
        <sz val="10"/>
        <rFont val="Noto Sans CJK SC"/>
        <family val="2"/>
      </rPr>
      <t xml:space="preserve">顆（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年）</t>
    </r>
  </si>
  <si>
    <t xml:space="preserve">TCV 18.1 ÷ 2 ÷ 0.765 MW-IT</t>
  </si>
  <si>
    <r>
      <rPr>
        <sz val="10"/>
        <rFont val="Noto Sans CJK SC"/>
        <family val="2"/>
      </rPr>
      <t xml:space="preserve">對照｜合約隱含每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Prime GB200 216 </t>
    </r>
    <r>
      <rPr>
        <sz val="10"/>
        <rFont val="Noto Sans CJK SC"/>
        <family val="2"/>
      </rPr>
      <t xml:space="preserve">顆（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年）</t>
    </r>
  </si>
  <si>
    <t xml:space="preserve">TCV 6.8 ÷ 0.43 MW-IT</t>
  </si>
  <si>
    <r>
      <rPr>
        <sz val="10"/>
        <rFont val="Noto Sans CJK SC"/>
        <family val="2"/>
      </rPr>
      <t xml:space="preserve">對照｜合約隱含每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H100 2,048 </t>
    </r>
    <r>
      <rPr>
        <sz val="10"/>
        <rFont val="Noto Sans CJK SC"/>
        <family val="2"/>
      </rPr>
      <t xml:space="preserve">顆（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年；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卡／台 </t>
    </r>
    <r>
      <rPr>
        <sz val="10"/>
        <rFont val="Arial"/>
        <family val="0"/>
        <charset val="1"/>
      </rPr>
      <t xml:space="preserve">[Assumed]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</si>
  <si>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TCV 50.2 ÷ 2 ÷ 2.852 MW-IT</t>
    </r>
    <r>
      <rPr>
        <sz val="9"/>
        <color rgb="FF595959"/>
        <rFont val="Noto Sans CJK SC"/>
        <family val="2"/>
      </rPr>
      <t xml:space="preserve">（舊世代）</t>
    </r>
  </si>
  <si>
    <r>
      <rPr>
        <sz val="10"/>
        <rFont val="Noto Sans CJK SC"/>
        <family val="2"/>
      </rPr>
      <t xml:space="preserve">對照｜合約隱含每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｜新簽 </t>
    </r>
    <r>
      <rPr>
        <sz val="10"/>
        <rFont val="Arial"/>
        <family val="0"/>
        <charset val="1"/>
      </rPr>
      <t xml:space="preserve">B300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長約平均（前四筆）</t>
    </r>
  </si>
  <si>
    <r>
      <rPr>
        <sz val="9"/>
        <color rgb="FF595959"/>
        <rFont val="Arial"/>
        <family val="0"/>
        <charset val="1"/>
      </rPr>
      <t xml:space="preserve">Baseten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Prime VR200</t>
    </r>
    <r>
      <rPr>
        <sz val="9"/>
        <color rgb="FF595959"/>
        <rFont val="Noto Sans CJK SC"/>
        <family val="2"/>
      </rPr>
      <t xml:space="preserve">、冰島 </t>
    </r>
    <r>
      <rPr>
        <sz val="9"/>
        <color rgb="FF595959"/>
        <rFont val="Arial"/>
        <family val="0"/>
        <charset val="1"/>
      </rPr>
      <t xml:space="preserve">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Noto Sans CJK SC"/>
        <family val="2"/>
      </rPr>
      <t xml:space="preserve">顆 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簡單平均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</si>
  <si>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對照｜合約隱含每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經常性雲端年化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冰島 </t>
    </r>
    <r>
      <rPr>
        <sz val="10"/>
        <rFont val="Arial"/>
        <family val="0"/>
        <charset val="1"/>
      </rPr>
      <t xml:space="preserve">5.5 MW</t>
    </r>
    <r>
      <rPr>
        <sz val="10"/>
        <rFont val="Noto Sans CJK SC"/>
        <family val="2"/>
      </rPr>
      <t xml:space="preserve">（上限）</t>
    </r>
  </si>
  <si>
    <r>
      <rPr>
        <sz val="9"/>
        <color rgb="FF595959"/>
        <rFont val="Arial"/>
        <family val="0"/>
        <charset val="1"/>
      </rPr>
      <t xml:space="preserve">46.02 ÷ 5.5</t>
    </r>
    <r>
      <rPr>
        <sz val="9"/>
        <color rgb="FF595959"/>
        <rFont val="Noto Sans CJK SC"/>
        <family val="2"/>
      </rPr>
      <t xml:space="preserve">；亞特蘭大與加拿大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未揭露，分母偏小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</si>
  <si>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）收入 → 現金：三道折扣</t>
    </r>
  </si>
  <si>
    <r>
      <rPr>
        <sz val="10"/>
        <rFont val="Noto Sans CJK SC"/>
        <family val="2"/>
      </rPr>
      <t xml:space="preserve">信用損失（期初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</si>
  <si>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9"/>
        <color rgb="FF595959"/>
        <rFont val="Noto Sans CJK SC"/>
        <family val="2"/>
      </rPr>
      <t xml:space="preserve">＝收入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違約率 </t>
    </r>
    <r>
      <rPr>
        <sz val="9"/>
        <color rgb="FF595959"/>
        <rFont val="Arial"/>
        <family val="0"/>
        <charset val="1"/>
      </rPr>
      <t xml:space="preserve">× (1−</t>
    </r>
    <r>
      <rPr>
        <sz val="9"/>
        <color rgb="FF595959"/>
        <rFont val="Noto Sans CJK SC"/>
        <family val="2"/>
      </rPr>
      <t xml:space="preserve">回收率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</si>
  <si>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收現（期初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</si>
  <si>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率（損益與資金共用）</t>
    </r>
  </si>
  <si>
    <t xml:space="preserve">起始→穩態線性爬升</t>
  </si>
  <si>
    <t xml:space="preserve">模型期總營收（算力＋服務）</t>
  </si>
  <si>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營收）</t>
    </r>
  </si>
  <si>
    <r>
      <rPr>
        <sz val="9"/>
        <color rgb="FF595959"/>
        <rFont val="Noto Sans CJK SC"/>
        <family val="2"/>
      </rPr>
      <t xml:space="preserve">租金前的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已扣租金，而資金模型把租金列在支出端，所以要加回，避免重複扣除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</si>
  <si>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現金（可支應資本用途）</t>
    </r>
  </si>
  <si>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率。租金與利息在支出頁單獨列示</t>
    </r>
  </si>
  <si>
    <t xml:space="preserve">新簽約現金</t>
  </si>
  <si>
    <r>
      <rPr>
        <sz val="9"/>
        <color rgb="FF595959"/>
        <rFont val="Noto Sans CJK SC"/>
        <family val="2"/>
      </rPr>
      <t xml:space="preserve">同樣扣信用損失、乘 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Noto Sans CJK SC"/>
        <family val="2"/>
      </rPr>
      <t xml:space="preserve">率</t>
    </r>
  </si>
  <si>
    <r>
      <rPr>
        <b val="true"/>
        <sz val="10"/>
        <rFont val="Noto Sans CJK SC"/>
        <family val="2"/>
      </rPr>
      <t xml:space="preserve">讀法：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2H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Noto Sans CJK SC"/>
        <family val="2"/>
      </rPr>
      <t xml:space="preserve">瓶頸</t>
    </r>
    <r>
      <rPr>
        <b val="true"/>
        <sz val="10"/>
        <rFont val="Arial"/>
        <family val="0"/>
        <charset val="1"/>
      </rPr>
      <t xml:space="preserve">&gt;0</t>
    </r>
    <r>
      <rPr>
        <b val="true"/>
        <sz val="10"/>
        <rFont val="Noto Sans CJK SC"/>
        <family val="2"/>
      </rPr>
      <t xml:space="preserve">，合約多於機房；</t>
    </r>
    <r>
      <rPr>
        <b val="true"/>
        <sz val="10"/>
        <rFont val="Arial"/>
        <family val="0"/>
        <charset val="1"/>
      </rPr>
      <t xml:space="preserve">FY28 </t>
    </r>
    <r>
      <rPr>
        <b val="true"/>
        <sz val="10"/>
        <rFont val="Noto Sans CJK SC"/>
        <family val="2"/>
      </rPr>
      <t xml:space="preserve">起反轉，收入愈來愈靠『新簽約收入』這一列。</t>
    </r>
  </si>
  <si>
    <r>
      <rPr>
        <sz val="9"/>
        <color rgb="FF595959"/>
        <rFont val="Noto Sans CJK SC"/>
        <family val="2"/>
      </rPr>
      <t xml:space="preserve">把『新產能簽約率』調到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，就能看到只靠期初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的資金缺口有多大——這是最重要的一個壓力測試。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</si>
  <si>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）建設延誤（</t>
    </r>
    <r>
      <rPr>
        <b val="true"/>
        <sz val="10"/>
        <rFont val="Arial"/>
        <family val="0"/>
        <charset val="1"/>
      </rPr>
      <t xml:space="preserve">v0.2</t>
    </r>
    <r>
      <rPr>
        <b val="true"/>
        <sz val="10"/>
        <rFont val="Noto Sans CJK SC"/>
        <family val="2"/>
      </rPr>
      <t xml:space="preserve">）：計費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往後平移；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資本支出與客戶出資照原時程；折舊自投入使用時點起算</t>
    </r>
  </si>
  <si>
    <t xml:space="preserve">建設延誤月數｜保守 只有已簽約</t>
  </si>
  <si>
    <r>
      <rPr>
        <sz val="9"/>
        <color rgb="FF595959"/>
        <rFont val="Arial"/>
        <family val="0"/>
        <charset val="1"/>
      </rPr>
      <t xml:space="preserve">company.json → scenarios.delayMonths</t>
    </r>
    <r>
      <rPr>
        <sz val="9"/>
        <color rgb="FF595959"/>
        <rFont val="Noto Sans CJK SC"/>
        <family val="2"/>
      </rPr>
      <t xml:space="preserve">；依據見該欄 </t>
    </r>
    <r>
      <rPr>
        <sz val="9"/>
        <color rgb="FF595959"/>
        <rFont val="Arial"/>
        <family val="0"/>
        <charset val="1"/>
      </rPr>
      <t xml:space="preserve">note [Assumed]</t>
    </r>
  </si>
  <si>
    <r>
      <rPr>
        <sz val="10"/>
        <rFont val="Noto Sans CJK SC"/>
        <family val="2"/>
      </rPr>
      <t xml:space="preserve">建設延誤月數｜基準 加 </t>
    </r>
    <r>
      <rPr>
        <sz val="10"/>
        <rFont val="Arial"/>
        <family val="0"/>
        <charset val="1"/>
      </rPr>
      <t xml:space="preserve">NC-1 </t>
    </r>
    <r>
      <rPr>
        <sz val="10"/>
        <rFont val="Noto Sans CJK SC"/>
        <family val="2"/>
      </rPr>
      <t xml:space="preserve">下一批</t>
    </r>
  </si>
  <si>
    <r>
      <rPr>
        <sz val="10"/>
        <rFont val="Noto Sans CJK SC"/>
        <family val="2"/>
      </rPr>
      <t xml:space="preserve">建設延誤月數｜積極 </t>
    </r>
    <r>
      <rPr>
        <sz val="10"/>
        <rFont val="Arial"/>
        <family val="0"/>
        <charset val="1"/>
      </rPr>
      <t xml:space="preserve">NC-2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Krambu</t>
    </r>
  </si>
  <si>
    <t xml:space="preserve">建設延誤月數（目前情境）</t>
  </si>
  <si>
    <r>
      <rPr>
        <sz val="9"/>
        <color rgb="FF595959"/>
        <rFont val="Noto Sans CJK SC"/>
        <family val="2"/>
      </rPr>
      <t xml:space="preserve">＝依『輸入與假設』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＝不延誤（＝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）</t>
    </r>
  </si>
  <si>
    <t xml:space="preserve">期末時點（評價日起，年）</t>
  </si>
  <si>
    <t xml:space="preserve">＝累計期間長度</t>
  </si>
  <si>
    <r>
      <rPr>
        <sz val="10"/>
        <rFont val="Noto Sans CJK SC"/>
        <family val="2"/>
      </rPr>
      <t xml:space="preserve">成長型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累計（原時程，評價日起）</t>
    </r>
  </si>
  <si>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與網通照原併網時程採購、交貨等電（客戶出資覆蓋比同樣依原時程）</t>
    </r>
  </si>
  <si>
    <t xml:space="preserve">已投入使用累計（延誤後）</t>
  </si>
  <si>
    <r>
      <rPr>
        <sz val="9"/>
        <color rgb="FF595959"/>
        <rFont val="Noto Sans CJK SC"/>
        <family val="2"/>
      </rPr>
      <t xml:space="preserve">＝上列往後平移建設延誤月數（線性內插）；延誤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時＝上列</t>
    </r>
  </si>
  <si>
    <r>
      <rPr>
        <sz val="10"/>
        <rFont val="Noto Sans CJK SC"/>
        <family val="2"/>
      </rPr>
      <t xml:space="preserve">本期投入使用的成長型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（折舊基礎）</t>
    </r>
  </si>
  <si>
    <r>
      <rPr>
        <sz val="9"/>
        <color rgb="FF595959"/>
        <rFont val="Noto Sans CJK SC"/>
        <family val="2"/>
      </rPr>
      <t xml:space="preserve">車隊折舊自投入使用時點起算（『輸入與假設』期初毛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引用此列）</t>
    </r>
  </si>
  <si>
    <t xml:space="preserve">閒置資本（已支出未產生收入，期末）</t>
  </si>
  <si>
    <r>
      <rPr>
        <sz val="9"/>
        <color rgb="FF595959"/>
        <rFont val="Noto Sans CJK SC"/>
        <family val="2"/>
      </rPr>
      <t xml:space="preserve">＝原時程累計 − 已投入使用累計；延誤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。一頁摘要以一句呈現峰值</t>
    </r>
  </si>
  <si>
    <r>
      <rPr>
        <sz val="10"/>
        <rFont val="Noto Sans CJK SC"/>
        <family val="2"/>
      </rPr>
      <t xml:space="preserve">未起租租約起租連動比例（</t>
    </r>
    <r>
      <rPr>
        <sz val="10"/>
        <rFont val="Arial"/>
        <family val="0"/>
        <charset val="1"/>
      </rPr>
      <t xml:space="preserve">delayLink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</si>
  <si>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未起租租金中此比例的起租時點隨延誤月數後移（開發商交付晚），其餘照原時程（</t>
    </r>
    <r>
      <rPr>
        <sz val="9"/>
        <color rgb="FF595959"/>
        <rFont val="Arial"/>
        <family val="0"/>
        <charset val="1"/>
      </rPr>
      <t xml:space="preserve">company.json → leases.uncommenced.delayLink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；替代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</si>
  <si>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延誤罰則（應計費而未計費營收的 </t>
    </r>
    <r>
      <rPr>
        <sz val="10"/>
        <rFont val="Arial"/>
        <family val="0"/>
        <charset val="1"/>
      </rPr>
      <t xml:space="preserve">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</si>
  <si>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公司未揭露合約條款：預設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（不存在／未揭露）；敏感度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defaults.delayPenalty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</si>
  <si>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表外現金租金：全部隨延誤平移（對照）</t>
  </si>
  <si>
    <r>
      <rPr>
        <sz val="9"/>
        <color rgb="FF595959"/>
        <rFont val="Noto Sans CJK SC"/>
        <family val="2"/>
      </rPr>
      <t xml:space="preserve">＝未起租排程的起算季延後 延誤月數 </t>
    </r>
    <r>
      <rPr>
        <sz val="9"/>
        <color rgb="FF595959"/>
        <rFont val="Arial"/>
        <family val="0"/>
        <charset val="1"/>
      </rPr>
      <t xml:space="preserve">÷ 3 </t>
    </r>
    <r>
      <rPr>
        <sz val="9"/>
        <color rgb="FF595959"/>
        <rFont val="Noto Sans CJK SC"/>
        <family val="2"/>
      </rPr>
      <t xml:space="preserve">季（其餘同『輸入與假設』表外現金租金）</t>
    </r>
  </si>
  <si>
    <t xml:space="preserve">表外現金租金（未起租，延誤連動後）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</si>
  <si>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(1 − </t>
    </r>
    <r>
      <rPr>
        <sz val="9"/>
        <color rgb="FF595959"/>
        <rFont val="Noto Sans CJK SC"/>
        <family val="2"/>
      </rPr>
      <t xml:space="preserve">連動比例</t>
    </r>
    <r>
      <rPr>
        <sz val="9"/>
        <color rgb="FF595959"/>
        <rFont val="Arial"/>
        <family val="0"/>
        <charset val="1"/>
      </rPr>
      <t xml:space="preserve">)× </t>
    </r>
    <r>
      <rPr>
        <sz val="9"/>
        <color rgb="FF595959"/>
        <rFont val="Noto Sans CJK SC"/>
        <family val="2"/>
      </rPr>
      <t xml:space="preserve">原排程＋連動比例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平移後排程；延誤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時＝原排程（『各期收支』租金引用此列）</t>
    </r>
  </si>
  <si>
    <t xml:space="preserve">容量上限（未延誤，對照）</t>
  </si>
  <si>
    <r>
      <rPr>
        <sz val="9"/>
        <color rgb="FF595959"/>
        <rFont val="Noto Sans CJK SC"/>
        <family val="2"/>
      </rPr>
      <t xml:space="preserve">＝未延誤的平均可計費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</si>
  <si>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t xml:space="preserve">應計費而未計費營收（延誤造成）</t>
  </si>
  <si>
    <t xml:space="preserve">＝未延誤容量上限 − 延誤後容量上限</t>
  </si>
  <si>
    <t xml:space="preserve">延誤罰則（營業費用）</t>
  </si>
  <si>
    <r>
      <rPr>
        <sz val="9"/>
        <color rgb="FF595959"/>
        <rFont val="Noto Sans CJK SC"/>
        <family val="2"/>
      </rPr>
      <t xml:space="preserve">＝罰則比例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應計費而未計費營收；扣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、營運來源、稅基與債務上限。客戶預付不因延誤退還（已知限制）</t>
    </r>
  </si>
  <si>
    <r>
      <rPr>
        <b val="true"/>
        <sz val="14"/>
        <rFont val="Noto Sans CJK SC"/>
        <family val="2"/>
      </rPr>
      <t xml:space="preserve">站點租賃 — 公司揭露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Noto Sans CJK SC"/>
        <family val="2"/>
      </rPr>
      <t xml:space="preserve">季報總額（檢驗租金路徑用）</t>
    </r>
  </si>
  <si>
    <r>
      <rPr>
        <sz val="9"/>
        <color rgb="FF595959"/>
        <rFont val="Noto Sans CJK SC"/>
        <family val="2"/>
      </rPr>
      <t xml:space="preserve">季報不揭露逐站租金；下表為具名站點（</t>
    </r>
    <r>
      <rPr>
        <sz val="9"/>
        <color rgb="FF595959"/>
        <rFont val="Arial"/>
        <family val="0"/>
        <charset val="1"/>
      </rPr>
      <t xml:space="preserve">company.json → defaults.sites</t>
    </r>
    <r>
      <rPr>
        <sz val="9"/>
        <color rgb="FF595959"/>
        <rFont val="Noto Sans CJK SC"/>
        <family val="2"/>
      </rPr>
      <t xml:space="preserve">），有租約金額者用來檢驗『每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年租金』與模型租金路徑是否一致</t>
    </r>
  </si>
  <si>
    <t xml:space="preserve">站點</t>
  </si>
  <si>
    <t xml:space="preserve">營運方</t>
  </si>
  <si>
    <r>
      <rPr>
        <b val="true"/>
        <sz val="11"/>
        <color rgb="FFFFFFFF"/>
        <rFont val="Noto Sans CJK SC"/>
        <family val="2"/>
      </rPr>
      <t xml:space="preserve">契約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</si>
  <si>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已驗收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</si>
  <si>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合約總值 </t>
    </r>
    <r>
      <rPr>
        <b val="true"/>
        <sz val="11"/>
        <color rgb="FFFFFFFF"/>
        <rFont val="Arial"/>
        <family val="0"/>
        <charset val="1"/>
      </rPr>
      <t xml:space="preserve">$m</t>
    </r>
  </si>
  <si>
    <t xml:space="preserve">年期</t>
  </si>
  <si>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$m</t>
    </r>
  </si>
  <si>
    <r>
      <rPr>
        <b val="true"/>
        <sz val="11"/>
        <color rgb="FFFFFFFF"/>
        <rFont val="Noto Sans CJK SC"/>
        <family val="2"/>
      </rPr>
      <t xml:space="preserve">每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$m</t>
    </r>
  </si>
  <si>
    <t xml:space="preserve">時程</t>
  </si>
  <si>
    <t xml:space="preserve">季報對應</t>
  </si>
  <si>
    <r>
      <rPr>
        <sz val="10"/>
        <rFont val="Noto Sans CJK SC"/>
        <family val="2"/>
      </rPr>
      <t xml:space="preserve">冰島 </t>
    </r>
    <r>
      <rPr>
        <sz val="10"/>
        <rFont val="Arial"/>
        <family val="0"/>
        <charset val="1"/>
      </rPr>
      <t xml:space="preserve">Blönduós</t>
    </r>
    <r>
      <rPr>
        <sz val="10"/>
        <rFont val="Noto Sans CJK SC"/>
        <family val="2"/>
      </rPr>
      <t xml:space="preserve">（第三方機房）</t>
    </r>
  </si>
  <si>
    <t xml:space="preserve">承租容量（雲端）</t>
  </si>
  <si>
    <t xml:space="preserve">未揭露</t>
  </si>
  <si>
    <t xml:space="preserve">營運中</t>
  </si>
  <si>
    <t xml:space="preserve">—</t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</si>
  <si>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：已簽 </t>
    </r>
    <r>
      <rPr>
        <sz val="9"/>
        <color rgb="FF595959"/>
        <rFont val="Arial"/>
        <family val="0"/>
        <charset val="1"/>
      </rPr>
      <t xml:space="preserve">5.5 MW-IT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毛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）；目前雲端營收主要來自冰島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</si>
  <si>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安大略第三方機房（</t>
    </r>
    <r>
      <rPr>
        <sz val="10"/>
        <rFont val="Arial"/>
        <family val="0"/>
        <charset val="1"/>
      </rPr>
      <t xml:space="preserve">Baseten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</si>
  <si>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第三方機房、</t>
    </r>
    <r>
      <rPr>
        <sz val="9"/>
        <color rgb="FF595959"/>
        <rFont val="Arial"/>
        <family val="0"/>
        <charset val="1"/>
      </rPr>
      <t xml:space="preserve">WhiteFiber GPU</t>
    </r>
  </si>
  <si>
    <t xml:space="preserve">2026-11</t>
  </si>
  <si>
    <r>
      <rPr>
        <sz val="9"/>
        <color rgb="FF595959"/>
        <rFont val="Arial"/>
        <family val="0"/>
        <charset val="1"/>
      </rPr>
      <t xml:space="preserve">1,392 </t>
    </r>
    <r>
      <rPr>
        <sz val="9"/>
        <color rgb="FF595959"/>
        <rFont val="Noto Sans CJK SC"/>
        <family val="2"/>
      </rPr>
      <t xml:space="preserve">顆 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換算 </t>
    </r>
    <r>
      <rPr>
        <sz val="9"/>
        <color rgb="FF595959"/>
        <rFont val="Arial"/>
        <family val="0"/>
        <charset val="1"/>
      </rPr>
      <t xml:space="preserve">2.858 MW-IT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未揭露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</si>
  <si>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巴黎第三方機房</t>
  </si>
  <si>
    <t xml:space="preserve">第三方機房、專案層級融資（未完成）</t>
  </si>
  <si>
    <t xml:space="preserve">2026-09-30</t>
  </si>
  <si>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數與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未揭露；年額 </t>
    </r>
    <r>
      <rPr>
        <sz val="9"/>
        <color rgb="FF595959"/>
        <rFont val="Arial"/>
        <family val="0"/>
        <charset val="1"/>
      </rPr>
      <t xml:space="preserve">&gt;32 ÷ 17.40 </t>
    </r>
    <r>
      <rPr>
        <sz val="9"/>
        <color rgb="FF595959"/>
        <rFont val="Noto Sans CJK SC"/>
        <family val="2"/>
      </rPr>
      <t xml:space="preserve">推得 </t>
    </r>
    <r>
      <rPr>
        <sz val="9"/>
        <color rgb="FF595959"/>
        <rFont val="Arial"/>
        <family val="0"/>
        <charset val="1"/>
      </rPr>
      <t xml:space="preserve">1.84 MW-IT [Derived]</t>
    </r>
  </si>
  <si>
    <t xml:space="preserve">雪梨第三方機房</t>
  </si>
  <si>
    <r>
      <rPr>
        <sz val="9"/>
        <color rgb="FF595959"/>
        <rFont val="Noto Sans CJK SC"/>
        <family val="2"/>
      </rPr>
      <t xml:space="preserve">承租（</t>
    </r>
    <r>
      <rPr>
        <sz val="9"/>
        <color rgb="FF595959"/>
        <rFont val="Arial"/>
        <family val="0"/>
        <charset val="1"/>
      </rPr>
      <t xml:space="preserve">WhiteFiber, Inc. </t>
    </r>
    <r>
      <rPr>
        <sz val="9"/>
        <color rgb="FF595959"/>
        <rFont val="Noto Sans CJK SC"/>
        <family val="2"/>
      </rPr>
      <t xml:space="preserve">保證）</t>
    </r>
  </si>
  <si>
    <t xml:space="preserve">2026 Q4</t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</si>
  <si>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2.5 MW-IT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59 </t>
    </r>
    <r>
      <rPr>
        <sz val="9"/>
        <color rgb="FF595959"/>
        <rFont val="Noto Sans CJK SC"/>
        <family val="2"/>
      </rPr>
      <t xml:space="preserve">個月租約；客戶未揭露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</si>
  <si>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加拿大（</t>
    </r>
    <r>
      <rPr>
        <sz val="10"/>
        <rFont val="Arial"/>
        <family val="0"/>
        <charset val="1"/>
      </rPr>
      <t xml:space="preserve">Prime Intellect VR200</t>
    </r>
    <r>
      <rPr>
        <sz val="10"/>
        <rFont val="Noto Sans CJK SC"/>
        <family val="2"/>
      </rPr>
      <t xml:space="preserve">）</t>
    </r>
  </si>
  <si>
    <t xml:space="preserve">第三方機房</t>
  </si>
  <si>
    <t xml:space="preserve">2027 Q2</t>
  </si>
  <si>
    <r>
      <rPr>
        <sz val="9"/>
        <color rgb="FF595959"/>
        <rFont val="Arial"/>
        <family val="0"/>
        <charset val="1"/>
      </rPr>
      <t xml:space="preserve">576 </t>
    </r>
    <r>
      <rPr>
        <sz val="9"/>
        <color rgb="FF595959"/>
        <rFont val="Noto Sans CJK SC"/>
        <family val="2"/>
      </rPr>
      <t xml:space="preserve">顆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換算 </t>
    </r>
    <r>
      <rPr>
        <sz val="9"/>
        <color rgb="FF595959"/>
        <rFont val="Arial"/>
        <family val="0"/>
        <charset val="1"/>
      </rPr>
      <t xml:space="preserve">1.974 MW-IT [Derived]</t>
    </r>
  </si>
  <si>
    <t xml:space="preserve">具名站點合計</t>
  </si>
  <si>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年租金＝具名站點的市場基準（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欄＝有租約金額站點的契約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；沒有時為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，不適用）</t>
    </r>
  </si>
  <si>
    <r>
      <rPr>
        <b val="true"/>
        <sz val="10"/>
        <rFont val="Noto Sans CJK SC"/>
        <family val="2"/>
      </rPr>
      <t xml:space="preserve">對帳：具名站點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季報租賃承諾總額</t>
    </r>
  </si>
  <si>
    <t xml:space="preserve">季報在帳租賃（未折現，已起租）</t>
  </si>
  <si>
    <t xml:space="preserve">company.json → leases.facts.onBal</t>
  </si>
  <si>
    <t xml:space="preserve">季報未起租租賃（未折現）</t>
  </si>
  <si>
    <t xml:space="preserve">company.json → leases.facts.notCommenced</t>
  </si>
  <si>
    <t xml:space="preserve">季報單站按造價計租上限</t>
  </si>
  <si>
    <r>
      <rPr>
        <sz val="9"/>
        <color rgb="FF595959"/>
        <rFont val="Arial"/>
        <family val="0"/>
        <charset val="1"/>
      </rPr>
      <t xml:space="preserve">company.json → leases.facts.singleCap</t>
    </r>
    <r>
      <rPr>
        <sz val="9"/>
        <color rgb="FF595959"/>
        <rFont val="Noto Sans CJK SC"/>
        <family val="2"/>
      </rPr>
      <t xml:space="preserve">（無則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</si>
  <si>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t xml:space="preserve">季報已揭露租賃承諾合計</t>
  </si>
  <si>
    <t xml:space="preserve">未折現金額</t>
  </si>
  <si>
    <t xml:space="preserve">減：具名站點合約總值</t>
  </si>
  <si>
    <t xml:space="preserve">＝ 未具名站點（殘差）</t>
  </si>
  <si>
    <t xml:space="preserve">未具名站點；公司不揭露逐站租金，殘差大是必然</t>
  </si>
  <si>
    <t xml:space="preserve">殘差占季報總額</t>
  </si>
  <si>
    <r>
      <rPr>
        <b val="true"/>
        <sz val="10"/>
        <rFont val="Noto Sans CJK SC"/>
        <family val="2"/>
      </rPr>
      <t xml:space="preserve">檢驗：模型租金路徑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在役 </t>
    </r>
    <r>
      <rPr>
        <b val="true"/>
        <sz val="10"/>
        <rFont val="Arial"/>
        <family val="0"/>
        <charset val="1"/>
      </rPr>
      <t xml:space="preserve">MW vs </t>
    </r>
    <r>
      <rPr>
        <b val="true"/>
        <sz val="10"/>
        <rFont val="Noto Sans CJK SC"/>
        <family val="2"/>
      </rPr>
      <t xml:space="preserve">市場基準</t>
    </r>
  </si>
  <si>
    <t xml:space="preserve">模型租金（在帳＋表外）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</si>
  <si>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（已連網）</t>
    </r>
  </si>
  <si>
    <r>
      <rPr>
        <b val="true"/>
        <sz val="10"/>
        <rFont val="Noto Sans CJK SC"/>
        <family val="2"/>
      </rPr>
      <t xml:space="preserve">模型每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年租金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</si>
  <si>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欄只含下半年租金、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取全期平均，略有低估</t>
    </r>
  </si>
  <si>
    <t xml:space="preserve">第三方租賃占比</t>
  </si>
  <si>
    <r>
      <rPr>
        <sz val="9"/>
        <color rgb="FF595959"/>
        <rFont val="Noto Sans CJK SC"/>
        <family val="2"/>
      </rPr>
      <t xml:space="preserve">其餘為自建，成本走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leases.facts.share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</si>
  <si>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基準租金（</t>
    </r>
    <r>
      <rPr>
        <sz val="10"/>
        <rFont val="Arial"/>
        <family val="0"/>
        <charset val="1"/>
      </rPr>
      <t xml:space="preserve">MW×</t>
    </r>
    <r>
      <rPr>
        <sz val="10"/>
        <rFont val="Noto Sans CJK SC"/>
        <family val="2"/>
      </rPr>
      <t xml:space="preserve">市場基準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占比）</t>
    </r>
  </si>
  <si>
    <r>
      <rPr>
        <sz val="9"/>
        <color rgb="FF595959"/>
        <rFont val="Noto Sans CJK SC"/>
        <family val="2"/>
      </rPr>
      <t xml:space="preserve">具名站點有租約金額時才有意義；否則為 </t>
    </r>
    <r>
      <rPr>
        <sz val="9"/>
        <color rgb="FF595959"/>
        <rFont val="Arial"/>
        <family val="0"/>
        <charset val="1"/>
      </rPr>
      <t xml:space="preserve">0</t>
    </r>
  </si>
  <si>
    <t xml:space="preserve">差額（基準 − 模型）</t>
  </si>
  <si>
    <t xml:space="preserve">正值＝模型租金可能低估的金額</t>
  </si>
  <si>
    <t xml:space="preserve">五期差額合計</t>
  </si>
  <si>
    <r>
      <rPr>
        <b val="true"/>
        <sz val="14"/>
        <rFont val="Noto Sans CJK SC"/>
        <family val="2"/>
      </rPr>
      <t xml:space="preserve">債務明細 — 季報（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Noto Sans CJK SC"/>
        <family val="2"/>
      </rPr>
      <t xml:space="preserve">）逐筆＋存量利息推導</t>
    </r>
  </si>
  <si>
    <r>
      <rPr>
        <sz val="9"/>
        <color rgb="FF595959"/>
        <rFont val="Noto Sans CJK SC"/>
        <family val="2"/>
      </rPr>
      <t xml:space="preserve">有效利率為現金票息口徑（可轉債＝票息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到期累積倍數，本金以到期累積本金計）。本頁算出的存量利息連回『輸入』頁，再進入支出與資金頁</t>
    </r>
  </si>
  <si>
    <t xml:space="preserve">工具</t>
  </si>
  <si>
    <t xml:space="preserve">類別</t>
  </si>
  <si>
    <t xml:space="preserve">到期</t>
  </si>
  <si>
    <t xml:space="preserve">有效利率</t>
  </si>
  <si>
    <r>
      <rPr>
        <b val="true"/>
        <sz val="11"/>
        <color rgb="FFFFFFFF"/>
        <rFont val="Arial"/>
        <family val="0"/>
        <charset val="1"/>
      </rPr>
      <t xml:space="preserve">6/30 </t>
    </r>
    <r>
      <rPr>
        <b val="true"/>
        <sz val="11"/>
        <color rgb="FFFFFFFF"/>
        <rFont val="Noto Sans CJK SC"/>
        <family val="2"/>
      </rPr>
      <t xml:space="preserve">本金</t>
    </r>
  </si>
  <si>
    <t xml:space="preserve">年化利息</t>
  </si>
  <si>
    <r>
      <rPr>
        <sz val="10"/>
        <rFont val="Arial"/>
        <family val="0"/>
        <charset val="1"/>
      </rPr>
      <t xml:space="preserve">Bit Digital DDTL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B. Riley </t>
    </r>
    <r>
      <rPr>
        <sz val="10"/>
        <rFont val="Noto Sans CJK SC"/>
        <family val="2"/>
      </rPr>
      <t xml:space="preserve">持有票據）</t>
    </r>
  </si>
  <si>
    <r>
      <rPr>
        <sz val="9"/>
        <color rgb="FF595959"/>
        <rFont val="Noto Sans CJK SC"/>
        <family val="2"/>
      </rPr>
      <t xml:space="preserve">擔保（</t>
    </r>
    <r>
      <rPr>
        <sz val="9"/>
        <color rgb="FF595959"/>
        <rFont val="Arial"/>
        <family val="0"/>
        <charset val="1"/>
      </rPr>
      <t xml:space="preserve">NC-1 Topco </t>
    </r>
    <r>
      <rPr>
        <sz val="9"/>
        <color rgb="FF595959"/>
        <rFont val="Noto Sans CJK SC"/>
        <family val="2"/>
      </rPr>
      <t xml:space="preserve">股權）</t>
    </r>
  </si>
  <si>
    <t xml:space="preserve">2027-03</t>
  </si>
  <si>
    <r>
      <rPr>
        <sz val="9"/>
        <color rgb="FF595959"/>
        <rFont val="Noto Sans CJK SC"/>
        <family val="2"/>
      </rPr>
      <t xml:space="preserve">已動用 </t>
    </r>
    <r>
      <rPr>
        <sz val="9"/>
        <color rgb="FF595959"/>
        <rFont val="Arial"/>
        <family val="0"/>
        <charset val="1"/>
      </rPr>
      <t xml:space="preserve">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 50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7/27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7/31 </t>
    </r>
    <r>
      <rPr>
        <sz val="9"/>
        <color rgb="FF595959"/>
        <rFont val="Noto Sans CJK SC"/>
        <family val="2"/>
      </rPr>
      <t xml:space="preserve">共 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）；票面 </t>
    </r>
    <r>
      <rPr>
        <sz val="9"/>
        <color rgb="FF595959"/>
        <rFont val="Arial"/>
        <family val="0"/>
        <charset val="1"/>
      </rPr>
      <t xml:space="preserve">9.5%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NC-1 </t>
    </r>
    <r>
      <rPr>
        <sz val="9"/>
        <color rgb="FF595959"/>
        <rFont val="Noto Sans CJK SC"/>
        <family val="2"/>
      </rPr>
      <t xml:space="preserve">完工且 ≥</t>
    </r>
    <r>
      <rPr>
        <sz val="9"/>
        <color rgb="FF595959"/>
        <rFont val="Arial"/>
        <family val="0"/>
        <charset val="1"/>
      </rPr>
      <t xml:space="preserve">80% </t>
    </r>
    <r>
      <rPr>
        <sz val="9"/>
        <color rgb="FF595959"/>
        <rFont val="Noto Sans CJK SC"/>
        <family val="2"/>
      </rPr>
      <t xml:space="preserve">出租後 </t>
    </r>
    <r>
      <rPr>
        <sz val="9"/>
        <color rgb="FF595959"/>
        <rFont val="Arial"/>
        <family val="0"/>
        <charset val="1"/>
      </rPr>
      <t xml:space="preserve">8.0%</t>
    </r>
    <r>
      <rPr>
        <sz val="9"/>
        <color rgb="FF595959"/>
        <rFont val="Noto Sans CJK SC"/>
        <family val="2"/>
      </rPr>
      <t xml:space="preserve">）；另有 </t>
    </r>
    <r>
      <rPr>
        <sz val="9"/>
        <color rgb="FF595959"/>
        <rFont val="Arial"/>
        <family val="0"/>
        <charset val="1"/>
      </rPr>
      <t xml:space="preserve">1.1× MOIC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debt.extraCost </t>
    </r>
    <r>
      <rPr>
        <sz val="9"/>
        <color rgb="FF595959"/>
        <rFont val="Noto Sans CJK SC"/>
        <family val="2"/>
      </rPr>
      <t xml:space="preserve">加付計入融資成本；到期假設 </t>
    </r>
    <r>
      <rPr>
        <sz val="9"/>
        <color rgb="FF595959"/>
        <rFont val="Arial"/>
        <family val="0"/>
        <charset val="1"/>
      </rPr>
      <t xml:space="preserve">2027-03</t>
    </r>
    <r>
      <rPr>
        <sz val="9"/>
        <color rgb="FF595959"/>
        <rFont val="Noto Sans CJK SC"/>
        <family val="2"/>
      </rPr>
      <t xml:space="preserve">（可動用期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個月，由 </t>
    </r>
    <r>
      <rPr>
        <sz val="9"/>
        <color rgb="FF595959"/>
        <rFont val="Arial"/>
        <family val="0"/>
        <charset val="1"/>
      </rPr>
      <t xml:space="preserve">NC-1 </t>
    </r>
    <r>
      <rPr>
        <sz val="9"/>
        <color rgb="FF595959"/>
        <rFont val="Noto Sans CJK SC"/>
        <family val="2"/>
      </rPr>
      <t xml:space="preserve">專案融資或再融資償還）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</si>
  <si>
    <r>
      <rPr>
        <sz val="10"/>
        <rFont val="Arial"/>
        <family val="0"/>
        <charset val="1"/>
      </rPr>
      <t xml:space="preserve">Landsbankinn </t>
    </r>
    <r>
      <rPr>
        <sz val="10"/>
        <rFont val="Noto Sans CJK SC"/>
        <family val="2"/>
      </rPr>
      <t xml:space="preserve">冰島擔保定期貸款</t>
    </r>
  </si>
  <si>
    <r>
      <rPr>
        <sz val="9"/>
        <color rgb="FF595959"/>
        <rFont val="Noto Sans CJK SC"/>
        <family val="2"/>
      </rPr>
      <t xml:space="preserve">擔保（冰島子公司股權與 </t>
    </r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Noto Sans CJK SC"/>
        <family val="2"/>
      </rPr>
      <t xml:space="preserve">）</t>
    </r>
  </si>
  <si>
    <t xml:space="preserve">2028-06</t>
  </si>
  <si>
    <r>
      <rPr>
        <sz val="9"/>
        <color rgb="FF595959"/>
        <rFont val="Arial"/>
        <family val="0"/>
        <charset val="1"/>
      </rPr>
      <t xml:space="preserve">SOFR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4.25%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票面 </t>
    </r>
    <r>
      <rPr>
        <sz val="9"/>
        <color rgb="FF595959"/>
        <rFont val="Arial"/>
        <family val="0"/>
        <charset val="1"/>
      </rPr>
      <t xml:space="preserve">7.92%</t>
    </r>
    <r>
      <rPr>
        <sz val="9"/>
        <color rgb="FF595959"/>
        <rFont val="Noto Sans CJK SC"/>
        <family val="2"/>
      </rPr>
      <t xml:space="preserve">、有效 </t>
    </r>
    <r>
      <rPr>
        <sz val="9"/>
        <color rgb="FF595959"/>
        <rFont val="Arial"/>
        <family val="0"/>
        <charset val="1"/>
      </rPr>
      <t xml:space="preserve">10.64%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年、季攤還（流動 </t>
    </r>
    <r>
      <rPr>
        <sz val="9"/>
        <color rgb="FF595959"/>
        <rFont val="Arial"/>
        <family val="0"/>
        <charset val="1"/>
      </rPr>
      <t xml:space="preserve">9.0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</si>
  <si>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RBC </t>
    </r>
    <r>
      <rPr>
        <sz val="10"/>
        <rFont val="Noto Sans CJK SC"/>
        <family val="2"/>
      </rPr>
      <t xml:space="preserve">聯貸（</t>
    </r>
    <r>
      <rPr>
        <sz val="10"/>
        <rFont val="Arial"/>
        <family val="0"/>
        <charset val="1"/>
      </rPr>
      <t xml:space="preserve">Enovum</t>
    </r>
    <r>
      <rPr>
        <sz val="10"/>
        <rFont val="Noto Sans CJK SC"/>
        <family val="2"/>
      </rPr>
      <t xml:space="preserve">，不可循環）</t>
    </r>
  </si>
  <si>
    <r>
      <rPr>
        <sz val="9"/>
        <color rgb="FF595959"/>
        <rFont val="Noto Sans CJK SC"/>
        <family val="2"/>
      </rPr>
      <t xml:space="preserve">擔保（</t>
    </r>
    <r>
      <rPr>
        <sz val="9"/>
        <color rgb="FF595959"/>
        <rFont val="Arial"/>
        <family val="0"/>
        <charset val="1"/>
      </rPr>
      <t xml:space="preserve">MTL-2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MTL-3 </t>
    </r>
    <r>
      <rPr>
        <sz val="9"/>
        <color rgb="FF595959"/>
        <rFont val="Noto Sans CJK SC"/>
        <family val="2"/>
      </rPr>
      <t xml:space="preserve">不動產）</t>
    </r>
  </si>
  <si>
    <t xml:space="preserve">2029-07</t>
  </si>
  <si>
    <r>
      <rPr>
        <sz val="9"/>
        <color rgb="FF595959"/>
        <rFont val="Arial"/>
        <family val="0"/>
        <charset val="1"/>
      </rPr>
      <t xml:space="preserve">2026-07-15 </t>
    </r>
    <r>
      <rPr>
        <sz val="9"/>
        <color rgb="FF595959"/>
        <rFont val="Noto Sans CJK SC"/>
        <family val="2"/>
      </rPr>
      <t xml:space="preserve">動用 </t>
    </r>
    <r>
      <rPr>
        <sz val="9"/>
        <color rgb="FF595959"/>
        <rFont val="Arial"/>
        <family val="0"/>
        <charset val="1"/>
      </rPr>
      <t xml:space="preserve">CAD 36.8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換算 </t>
    </r>
    <r>
      <rPr>
        <sz val="9"/>
        <color rgb="FF595959"/>
        <rFont val="Arial"/>
        <family val="0"/>
        <charset val="1"/>
      </rPr>
      <t xml:space="preserve">USD 26.2</t>
    </r>
    <r>
      <rPr>
        <sz val="9"/>
        <color rgb="FF595959"/>
        <rFont val="Noto Sans CJK SC"/>
        <family val="2"/>
      </rPr>
      <t xml:space="preserve">；匯率依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）並全額再融資 </t>
    </r>
    <r>
      <rPr>
        <sz val="9"/>
        <color rgb="FF595959"/>
        <rFont val="Arial"/>
        <family val="0"/>
        <charset val="1"/>
      </rPr>
      <t xml:space="preserve">RBC 17.339</t>
    </r>
    <r>
      <rPr>
        <sz val="9"/>
        <color rgb="FF595959"/>
        <rFont val="Noto Sans CJK SC"/>
        <family val="2"/>
      </rPr>
      <t xml:space="preserve">；首次動用起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年攤還季付；利率 </t>
    </r>
    <r>
      <rPr>
        <sz val="9"/>
        <color rgb="FF595959"/>
        <rFont val="Arial"/>
        <family val="0"/>
        <charset val="1"/>
      </rPr>
      <t xml:space="preserve">CORRA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2.45%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CSA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5.5% </t>
    </r>
    <r>
      <rPr>
        <sz val="9"/>
        <color rgb="FF595959"/>
        <rFont val="Noto Sans CJK SC"/>
        <family val="2"/>
      </rPr>
      <t xml:space="preserve">計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5.0–6.5%]</t>
    </r>
  </si>
  <si>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6/30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</si>
  <si>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應等於最新季報本金合計 </t>
    </r>
    <r>
      <rPr>
        <sz val="9"/>
        <color rgb="FF595959"/>
        <rFont val="Arial"/>
        <family val="0"/>
        <charset val="1"/>
      </rPr>
      <t xml:space="preserve">315.339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latestQuarter.debtPrincipal</t>
    </r>
    <r>
      <rPr>
        <sz val="9"/>
        <color rgb="FF595959"/>
        <rFont val="Noto Sans CJK SC"/>
        <family val="2"/>
      </rPr>
      <t xml:space="preserve">）</t>
    </r>
  </si>
  <si>
    <t xml:space="preserve">加權有效利率</t>
  </si>
  <si>
    <r>
      <rPr>
        <sz val="9"/>
        <color rgb="FF595959"/>
        <rFont val="Noto Sans CJK SC"/>
        <family val="2"/>
      </rPr>
      <t xml:space="preserve">＝年化利息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本金（</t>
    </r>
    <r>
      <rPr>
        <sz val="9"/>
        <color rgb="FF595959"/>
        <rFont val="Arial"/>
        <family val="0"/>
        <charset val="1"/>
      </rPr>
      <t xml:space="preserve">company.json → debt.instruments </t>
    </r>
    <r>
      <rPr>
        <sz val="9"/>
        <color rgb="FF595959"/>
        <rFont val="Noto Sans CJK SC"/>
        <family val="2"/>
      </rPr>
      <t xml:space="preserve">的有效利率）</t>
    </r>
  </si>
  <si>
    <t xml:space="preserve">評價日後新發可轉債</t>
  </si>
  <si>
    <r>
      <rPr>
        <sz val="9"/>
        <color rgb="FF595959"/>
        <rFont val="Arial"/>
        <family val="0"/>
        <charset val="1"/>
      </rPr>
      <t xml:space="preserve">company.json → debt.convertible</t>
    </r>
    <r>
      <rPr>
        <sz val="9"/>
        <color rgb="FF595959"/>
        <rFont val="Noto Sans CJK SC"/>
        <family val="2"/>
      </rPr>
      <t xml:space="preserve">（期後新發；不在五期還本表內，只計利息）</t>
    </r>
  </si>
  <si>
    <r>
      <rPr>
        <b val="true"/>
        <sz val="10"/>
        <rFont val="Noto Sans CJK SC"/>
        <family val="2"/>
      </rPr>
      <t xml:space="preserve">可轉債逐檔（若轉換法：有效轉換價 </t>
    </r>
    <r>
      <rPr>
        <b val="true"/>
        <sz val="10"/>
        <rFont val="Arial"/>
        <family val="0"/>
        <charset val="1"/>
      </rPr>
      <t xml:space="preserve">&lt; </t>
    </r>
    <r>
      <rPr>
        <b val="true"/>
        <sz val="10"/>
        <rFont val="Noto Sans CJK SC"/>
        <family val="2"/>
      </rPr>
      <t xml:space="preserve">判斷價 → 視為轉股，不計利息與還本）</t>
    </r>
  </si>
  <si>
    <t xml:space="preserve">票息</t>
  </si>
  <si>
    <t xml:space="preserve">原始本金</t>
  </si>
  <si>
    <t xml:space="preserve">到期累積倍數</t>
  </si>
  <si>
    <t xml:space="preserve">轉換價</t>
  </si>
  <si>
    <t xml:space="preserve">到期所屬模型期</t>
  </si>
  <si>
    <r>
      <rPr>
        <b val="true"/>
        <sz val="11"/>
        <color rgb="FFFFFFFF"/>
        <rFont val="Noto Sans CJK SC"/>
        <family val="2"/>
      </rPr>
      <t xml:space="preserve">強制轉換（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＝是）</t>
    </r>
  </si>
  <si>
    <r>
      <rPr>
        <sz val="10"/>
        <rFont val="Arial"/>
        <family val="0"/>
        <charset val="1"/>
      </rPr>
      <t xml:space="preserve">4.50% 2031 </t>
    </r>
    <r>
      <rPr>
        <sz val="10"/>
        <rFont val="Noto Sans CJK SC"/>
        <family val="2"/>
      </rPr>
      <t xml:space="preserve">可轉債（交換後剩餘）</t>
    </r>
  </si>
  <si>
    <t xml:space="preserve">2031-02</t>
  </si>
  <si>
    <r>
      <rPr>
        <sz val="9"/>
        <color rgb="FF595959"/>
        <rFont val="Noto Sans CJK SC"/>
        <family val="2"/>
      </rPr>
      <t xml:space="preserve">原始 </t>
    </r>
    <r>
      <rPr>
        <sz val="9"/>
        <color rgb="FF595959"/>
        <rFont val="Arial"/>
        <family val="0"/>
        <charset val="1"/>
      </rPr>
      <t xml:space="preserve">230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2026-08 </t>
    </r>
    <r>
      <rPr>
        <sz val="9"/>
        <color rgb="FF595959"/>
        <rFont val="Noto Sans CJK SC"/>
        <family val="2"/>
      </rPr>
      <t xml:space="preserve">以現金約 </t>
    </r>
    <r>
      <rPr>
        <sz val="9"/>
        <color rgb="FF595959"/>
        <rFont val="Arial"/>
        <family val="0"/>
        <charset val="1"/>
      </rPr>
      <t xml:space="preserve">118.5</t>
    </r>
    <r>
      <rPr>
        <sz val="9"/>
        <color rgb="FF595959"/>
        <rFont val="Noto Sans CJK SC"/>
        <family val="2"/>
      </rPr>
      <t xml:space="preserve">＋約 </t>
    </r>
    <r>
      <rPr>
        <sz val="9"/>
        <color rgb="FF595959"/>
        <rFont val="Arial"/>
        <family val="0"/>
        <charset val="1"/>
      </rPr>
      <t xml:space="preserve">6.3M </t>
    </r>
    <r>
      <rPr>
        <sz val="9"/>
        <color rgb="FF595959"/>
        <rFont val="Noto Sans CJK SC"/>
        <family val="2"/>
      </rPr>
      <t xml:space="preserve">股交換 </t>
    </r>
    <r>
      <rPr>
        <sz val="9"/>
        <color rgb="FF595959"/>
        <rFont val="Arial"/>
        <family val="0"/>
        <charset val="1"/>
      </rPr>
      <t xml:space="preserve">198.15</t>
    </r>
    <r>
      <rPr>
        <sz val="9"/>
        <color rgb="FF595959"/>
        <rFont val="Noto Sans CJK SC"/>
        <family val="2"/>
      </rPr>
      <t xml:space="preserve">，剩 </t>
    </r>
    <r>
      <rPr>
        <sz val="9"/>
        <color rgb="FF595959"/>
        <rFont val="Arial"/>
        <family val="0"/>
        <charset val="1"/>
      </rPr>
      <t xml:space="preserve">31.85</t>
    </r>
    <r>
      <rPr>
        <sz val="9"/>
        <color rgb="FF595959"/>
        <rFont val="Noto Sans CJK SC"/>
        <family val="2"/>
      </rPr>
      <t xml:space="preserve">；轉換價 </t>
    </r>
    <r>
      <rPr>
        <sz val="9"/>
        <color rgb="FF595959"/>
        <rFont val="Arial"/>
        <family val="0"/>
        <charset val="1"/>
      </rPr>
      <t xml:space="preserve">25.91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38.5981 </t>
    </r>
    <r>
      <rPr>
        <sz val="9"/>
        <color rgb="FF595959"/>
        <rFont val="Noto Sans CJK SC"/>
        <family val="2"/>
      </rPr>
      <t xml:space="preserve">股／千元）；</t>
    </r>
    <r>
      <rPr>
        <sz val="9"/>
        <color rgb="FF595959"/>
        <rFont val="Arial"/>
        <family val="0"/>
        <charset val="1"/>
      </rPr>
      <t xml:space="preserve">2029-02 </t>
    </r>
    <r>
      <rPr>
        <sz val="9"/>
        <color rgb="FF595959"/>
        <rFont val="Noto Sans CJK SC"/>
        <family val="2"/>
      </rPr>
      <t xml:space="preserve">起可賣回／可贖回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</si>
  <si>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5.00% 2032 </t>
    </r>
    <r>
      <rPr>
        <sz val="10"/>
        <rFont val="Noto Sans CJK SC"/>
        <family val="2"/>
      </rPr>
      <t xml:space="preserve">可轉債（</t>
    </r>
    <r>
      <rPr>
        <sz val="10"/>
        <rFont val="Arial"/>
        <family val="0"/>
        <charset val="1"/>
      </rPr>
      <t xml:space="preserve">2026-08</t>
    </r>
    <r>
      <rPr>
        <sz val="10"/>
        <rFont val="Noto Sans CJK SC"/>
        <family val="2"/>
      </rPr>
      <t xml:space="preserve">）</t>
    </r>
  </si>
  <si>
    <t xml:space="preserve">2032-09</t>
  </si>
  <si>
    <r>
      <rPr>
        <sz val="9"/>
        <color rgb="FF595959"/>
        <rFont val="Arial"/>
        <family val="0"/>
        <charset val="1"/>
      </rPr>
      <t xml:space="preserve">310</t>
    </r>
    <r>
      <rPr>
        <sz val="9"/>
        <color rgb="FF595959"/>
        <rFont val="Noto Sans CJK SC"/>
        <family val="2"/>
      </rPr>
      <t xml:space="preserve">（含超額配售 </t>
    </r>
    <r>
      <rPr>
        <sz val="9"/>
        <color rgb="FF595959"/>
        <rFont val="Arial"/>
        <family val="0"/>
        <charset val="1"/>
      </rPr>
      <t xml:space="preserve">40</t>
    </r>
    <r>
      <rPr>
        <sz val="9"/>
        <color rgb="FF595959"/>
        <rFont val="Noto Sans CJK SC"/>
        <family val="2"/>
      </rPr>
      <t xml:space="preserve">）；轉換價 </t>
    </r>
    <r>
      <rPr>
        <sz val="9"/>
        <color rgb="FF595959"/>
        <rFont val="Arial"/>
        <family val="0"/>
        <charset val="1"/>
      </rPr>
      <t xml:space="preserve">33.84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29.5530 </t>
    </r>
    <r>
      <rPr>
        <sz val="9"/>
        <color rgb="FF595959"/>
        <rFont val="Noto Sans CJK SC"/>
        <family val="2"/>
      </rPr>
      <t xml:space="preserve">股／千元，</t>
    </r>
    <r>
      <rPr>
        <sz val="9"/>
        <color rgb="FF595959"/>
        <rFont val="Arial"/>
        <family val="0"/>
        <charset val="1"/>
      </rPr>
      <t xml:space="preserve">9.161M </t>
    </r>
    <r>
      <rPr>
        <sz val="9"/>
        <color rgb="FF595959"/>
        <rFont val="Noto Sans CJK SC"/>
        <family val="2"/>
      </rPr>
      <t xml:space="preserve">股）；</t>
    </r>
    <r>
      <rPr>
        <sz val="9"/>
        <color rgb="FF595959"/>
        <rFont val="Arial"/>
        <family val="0"/>
        <charset val="1"/>
      </rPr>
      <t xml:space="preserve">2030-09-06 </t>
    </r>
    <r>
      <rPr>
        <sz val="9"/>
        <color rgb="FF595959"/>
        <rFont val="Noto Sans CJK SC"/>
        <family val="2"/>
      </rPr>
      <t xml:space="preserve">起可賣回／可贖回；無上限買權（</t>
    </r>
    <r>
      <rPr>
        <sz val="9"/>
        <color rgb="FF595959"/>
        <rFont val="Arial"/>
        <family val="0"/>
        <charset val="1"/>
      </rPr>
      <t xml:space="preserve">8-K </t>
    </r>
    <r>
      <rPr>
        <sz val="9"/>
        <color rgb="FF595959"/>
        <rFont val="Noto Sans CJK SC"/>
        <family val="2"/>
      </rPr>
      <t xml:space="preserve">與新聞稿未提）；淨收入 </t>
    </r>
    <r>
      <rPr>
        <sz val="9"/>
        <color rgb="FF595959"/>
        <rFont val="Arial"/>
        <family val="0"/>
        <charset val="1"/>
      </rPr>
      <t xml:space="preserve">298.5 [Interested-party 8-K]</t>
    </r>
  </si>
  <si>
    <r>
      <rPr>
        <sz val="9"/>
        <color rgb="FF595959"/>
        <rFont val="Noto Sans CJK SC"/>
        <family val="2"/>
      </rPr>
      <t xml:space="preserve">到期所屬模型期：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＝首期 …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＝末期、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＝模型期後（建置時依期末日推算）</t>
    </r>
  </si>
  <si>
    <t xml:space="preserve">可轉債（推導）</t>
  </si>
  <si>
    <t xml:space="preserve">到期本金</t>
  </si>
  <si>
    <t xml:space="preserve">若轉換股數</t>
  </si>
  <si>
    <t xml:space="preserve">有效轉換價</t>
  </si>
  <si>
    <t xml:space="preserve">融資分類</t>
  </si>
  <si>
    <t xml:space="preserve">評價第一輪</t>
  </si>
  <si>
    <t xml:space="preserve">評價第二輪</t>
  </si>
  <si>
    <t xml:space="preserve">合計</t>
  </si>
  <si>
    <r>
      <rPr>
        <sz val="9"/>
        <color rgb="FF595959"/>
        <rFont val="Noto Sans CJK SC"/>
        <family val="2"/>
      </rPr>
      <t xml:space="preserve">分類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＝轉股（若轉換法）、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＝債務。強制轉換者一律為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。融資分類判斷價＝股權發行價；評價第一輪＝現價；第二輪＝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現價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第一輪加權目標價</t>
    </r>
    <r>
      <rPr>
        <sz val="9"/>
        <color rgb="FF595959"/>
        <rFont val="Arial"/>
        <family val="0"/>
        <charset val="1"/>
      </rPr>
      <t xml:space="preserve">)</t>
    </r>
  </si>
  <si>
    <t xml:space="preserve">存量利息推導（本金依季報到期表遞減）</t>
  </si>
  <si>
    <t xml:space="preserve">期初本金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</si>
  <si>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期初為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本金（模型期起點）</t>
    </r>
  </si>
  <si>
    <t xml:space="preserve">排程還本</t>
  </si>
  <si>
    <t xml:space="preserve">季報到期表</t>
  </si>
  <si>
    <t xml:space="preserve">期末本金</t>
  </si>
  <si>
    <t xml:space="preserve">平均本金</t>
  </si>
  <si>
    <t xml:space="preserve">存量債務利息</t>
  </si>
  <si>
    <r>
      <rPr>
        <sz val="9"/>
        <color rgb="FF595959"/>
        <rFont val="Noto Sans CJK SC"/>
        <family val="2"/>
      </rPr>
      <t xml:space="preserve">＝平均本金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期間長度。限制：假設利率組合不變；可轉債折價攤銷（非現金）不計</t>
    </r>
  </si>
  <si>
    <t xml:space="preserve">期後新發可轉債利息</t>
  </si>
  <si>
    <t xml:space="preserve">可轉債到期還本（債務處理）</t>
  </si>
  <si>
    <t xml:space="preserve">融資分類為債務的可轉債，到期當期以到期累積本金現金還本</t>
  </si>
  <si>
    <t xml:space="preserve">可轉債期末餘額（債務處理）</t>
  </si>
  <si>
    <t xml:space="preserve">到期累積本金；關閉攤還時維持全額</t>
  </si>
  <si>
    <t xml:space="preserve">可轉債票息（債務處理）</t>
  </si>
  <si>
    <r>
      <rPr>
        <sz val="9"/>
        <color rgb="FF595959"/>
        <rFont val="Noto Sans CJK SC"/>
        <family val="2"/>
      </rPr>
      <t xml:space="preserve">＝原始本金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票息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期間長度；到期當期計半期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</si>
  <si>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新增借款利息校準</t>
    </r>
  </si>
  <si>
    <r>
      <rPr>
        <sz val="9"/>
        <color rgb="FF595959"/>
        <rFont val="Noto Sans CJK SC"/>
        <family val="2"/>
      </rPr>
      <t xml:space="preserve">讓首期模型利息對上公司季度利息指引的校準值（</t>
    </r>
    <r>
      <rPr>
        <sz val="9"/>
        <color rgb="FF595959"/>
        <rFont val="Arial"/>
        <family val="0"/>
        <charset val="1"/>
      </rPr>
      <t xml:space="preserve">company.json → defaults.intCal</t>
    </r>
    <r>
      <rPr>
        <sz val="9"/>
        <color rgb="FF595959"/>
        <rFont val="Noto Sans CJK SC"/>
        <family val="2"/>
      </rPr>
      <t xml:space="preserve">）；無指引時為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</si>
  <si>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Noto Sans CJK SC"/>
        <family val="2"/>
      </rPr>
      <t xml:space="preserve">額外融資成本｜</t>
    </r>
    <r>
      <rPr>
        <sz val="10"/>
        <rFont val="Arial"/>
        <family val="0"/>
        <charset val="1"/>
      </rPr>
      <t xml:space="preserve">DDTL 1.1× MOIC </t>
    </r>
    <r>
      <rPr>
        <sz val="10"/>
        <rFont val="Noto Sans CJK SC"/>
        <family val="2"/>
      </rPr>
      <t xml:space="preserve">到期加付</t>
    </r>
  </si>
  <si>
    <r>
      <rPr>
        <sz val="9"/>
        <color rgb="FF595959"/>
        <rFont val="Arial"/>
        <family val="0"/>
        <charset val="1"/>
      </rPr>
      <t xml:space="preserve">MOIC</t>
    </r>
    <r>
      <rPr>
        <sz val="9"/>
        <color rgb="FF595959"/>
        <rFont val="Noto Sans CJK SC"/>
        <family val="2"/>
      </rPr>
      <t xml:space="preserve">：到期時貸方累計收款至少為本金 </t>
    </r>
    <r>
      <rPr>
        <sz val="9"/>
        <color rgb="FF595959"/>
        <rFont val="Arial"/>
        <family val="0"/>
        <charset val="1"/>
      </rPr>
      <t xml:space="preserve">1.1 </t>
    </r>
    <r>
      <rPr>
        <sz val="9"/>
        <color rgb="FF595959"/>
        <rFont val="Noto Sans CJK SC"/>
        <family val="2"/>
      </rPr>
      <t xml:space="preserve">倍＝</t>
    </r>
    <r>
      <rPr>
        <sz val="9"/>
        <color rgb="FF595959"/>
        <rFont val="Arial"/>
        <family val="0"/>
        <charset val="1"/>
      </rPr>
      <t xml:space="preserve">8.0</t>
    </r>
    <r>
      <rPr>
        <sz val="9"/>
        <color rgb="FF595959"/>
        <rFont val="Noto Sans CJK SC"/>
        <family val="2"/>
      </rPr>
      <t xml:space="preserve">；評價日後至假設到期 </t>
    </r>
    <r>
      <rPr>
        <sz val="9"/>
        <color rgb="FF595959"/>
        <rFont val="Arial"/>
        <family val="0"/>
        <charset val="1"/>
      </rPr>
      <t xml:space="preserve">2027-03 </t>
    </r>
    <r>
      <rPr>
        <sz val="9"/>
        <color rgb="FF595959"/>
        <rFont val="Noto Sans CJK SC"/>
        <family val="2"/>
      </rPr>
      <t xml:space="preserve">的票息約 </t>
    </r>
    <r>
      <rPr>
        <sz val="9"/>
        <color rgb="FF595959"/>
        <rFont val="Arial"/>
        <family val="0"/>
        <charset val="1"/>
      </rPr>
      <t xml:space="preserve">6.1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50 × 9.5% × 0.75 </t>
    </r>
    <r>
      <rPr>
        <sz val="9"/>
        <color rgb="FF595959"/>
        <rFont val="Noto Sans CJK SC"/>
        <family val="2"/>
      </rPr>
      <t xml:space="preserve">年＋</t>
    </r>
    <r>
      <rPr>
        <sz val="9"/>
        <color rgb="FF595959"/>
        <rFont val="Arial"/>
        <family val="0"/>
        <charset val="1"/>
      </rPr>
      <t xml:space="preserve">30 × 9.5% ×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0.67 </t>
    </r>
    <r>
      <rPr>
        <sz val="9"/>
        <color rgb="FF595959"/>
        <rFont val="Noto Sans CJK SC"/>
        <family val="2"/>
      </rPr>
      <t xml:space="preserve">年）→ 到期加付約 </t>
    </r>
    <r>
      <rPr>
        <sz val="9"/>
        <color rgb="FF595959"/>
        <rFont val="Arial"/>
        <family val="0"/>
        <charset val="1"/>
      </rPr>
      <t xml:space="preserve">1.9</t>
    </r>
    <r>
      <rPr>
        <sz val="9"/>
        <color rgb="FF595959"/>
        <rFont val="Noto Sans CJK SC"/>
        <family val="2"/>
      </rPr>
      <t xml:space="preserve">，列為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融資成本（非經常利息；審查留言第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條）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稅前債務成本仍 </t>
    </r>
    <r>
      <rPr>
        <sz val="9"/>
        <color rgb="FF595959"/>
        <rFont val="Arial"/>
        <family val="0"/>
        <charset val="1"/>
      </rPr>
      <t xml:space="preserve">9.5%</t>
    </r>
  </si>
  <si>
    <t xml:space="preserve">存量利息合計（連回輸入頁）</t>
  </si>
  <si>
    <r>
      <rPr>
        <sz val="9"/>
        <color rgb="FF595959"/>
        <rFont val="Noto Sans CJK SC"/>
        <family val="2"/>
      </rPr>
      <t xml:space="preserve">＝存量債務利息＋期後新發可轉債利息＋可轉債票息＋首期校準＋額外融資成本＋</t>
    </r>
    <r>
      <rPr>
        <sz val="9"/>
        <color rgb="FF595959"/>
        <rFont val="Arial"/>
        <family val="0"/>
        <charset val="1"/>
      </rPr>
      <t xml:space="preserve">NC-1 </t>
    </r>
    <r>
      <rPr>
        <sz val="9"/>
        <color rgb="FF595959"/>
        <rFont val="Noto Sans CJK SC"/>
        <family val="2"/>
      </rPr>
      <t xml:space="preserve">專案貸款利息（</t>
    </r>
    <r>
      <rPr>
        <sz val="9"/>
        <color rgb="FF595959"/>
        <rFont val="Arial"/>
        <family val="0"/>
        <charset val="1"/>
      </rPr>
      <t xml:space="preserve">v0.1c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</si>
  <si>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NC-1 </t>
    </r>
    <r>
      <rPr>
        <b val="true"/>
        <sz val="10"/>
        <rFont val="Noto Sans CJK SC"/>
        <family val="2"/>
      </rPr>
      <t xml:space="preserve">專案貸款（排程：動用期期初一次動用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自有利率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次期起直線攤還；</t>
    </r>
    <r>
      <rPr>
        <b val="true"/>
        <sz val="10"/>
        <rFont val="Arial"/>
        <family val="0"/>
        <charset val="1"/>
      </rPr>
      <t xml:space="preserve">WhiteFiber v0.1c</t>
    </r>
    <r>
      <rPr>
        <b val="true"/>
        <sz val="10"/>
        <rFont val="Noto Sans CJK SC"/>
        <family val="2"/>
      </rPr>
      <t xml:space="preserve">）</t>
    </r>
  </si>
  <si>
    <t xml:space="preserve">專案貸款期初餘額</t>
  </si>
  <si>
    <t xml:space="preserve">專案貸款動用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</si>
  <si>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NC-1 </t>
    </r>
    <r>
      <rPr>
        <sz val="9"/>
        <color rgb="FF595959"/>
        <rFont val="Noto Sans CJK SC"/>
        <family val="2"/>
      </rPr>
      <t xml:space="preserve">專案貸款金額（『輸入與假設』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區），於動用期期初一次到位</t>
    </r>
  </si>
  <si>
    <t xml:space="preserve">專案貸款攤還</t>
  </si>
  <si>
    <r>
      <rPr>
        <sz val="9"/>
        <color rgb="FF595959"/>
        <rFont val="Noto Sans CJK SC"/>
        <family val="2"/>
      </rPr>
      <t xml:space="preserve">＝金額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攤還年數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期間長度（動用次期起；不超過期初餘額）</t>
    </r>
  </si>
  <si>
    <t xml:space="preserve">專案貸款期末餘額</t>
  </si>
  <si>
    <t xml:space="preserve">專案貸款利息</t>
  </si>
  <si>
    <r>
      <rPr>
        <sz val="9"/>
        <color rgb="FF595959"/>
        <rFont val="Noto Sans CJK SC"/>
        <family val="2"/>
      </rPr>
      <t xml:space="preserve">＝利率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期初＋動用＋期末</t>
    </r>
    <r>
      <rPr>
        <sz val="9"/>
        <color rgb="FF595959"/>
        <rFont val="Arial"/>
        <family val="0"/>
        <charset val="1"/>
      </rPr>
      <t xml:space="preserve">)÷ 2 × </t>
    </r>
    <r>
      <rPr>
        <sz val="9"/>
        <color rgb="FF595959"/>
        <rFont val="Noto Sans CJK SC"/>
        <family val="2"/>
      </rPr>
      <t xml:space="preserve">期間長度（動用當期全期計息）；併入存量利息合計</t>
    </r>
  </si>
  <si>
    <t xml:space="preserve">新債與新股（類資產負債表：現金、債務、股本、槓桿）</t>
  </si>
  <si>
    <r>
      <rPr>
        <sz val="9"/>
        <color rgb="FF595959"/>
        <rFont val="Noto Sans CJK SC"/>
        <family val="2"/>
      </rPr>
      <t xml:space="preserve">全部為連結公式。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欄的現金自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起算（模型期），與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『資產與負債 → 新債與新股』同口徑</t>
    </r>
  </si>
  <si>
    <t xml:space="preserve">期初現金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</si>
  <si>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現金（模型期起點）</t>
    </r>
  </si>
  <si>
    <t xml:space="preserve">營運收支淨額（含期後股權／可轉債，不含瀑布）</t>
  </si>
  <si>
    <t xml:space="preserve">＝融資前累積現金的當期變動；負值即當期外部資金需求</t>
  </si>
  <si>
    <t xml:space="preserve">＋ 瀑布：新債（額度＋資產層）</t>
  </si>
  <si>
    <t xml:space="preserve">＋ 瀑布：可轉債</t>
  </si>
  <si>
    <t xml:space="preserve">＋ 瀑布：高息債</t>
  </si>
  <si>
    <t xml:space="preserve">＋ 瀑布：股權募資</t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</si>
  <si>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NC-1 </t>
    </r>
    <r>
      <rPr>
        <sz val="10"/>
        <rFont val="Noto Sans CJK SC"/>
        <family val="2"/>
      </rPr>
      <t xml:space="preserve">專案貸款動用</t>
    </r>
  </si>
  <si>
    <t xml:space="preserve">− 新融資利息（新債＋可轉債＋高息債）</t>
  </si>
  <si>
    <t xml:space="preserve">期末現金</t>
  </si>
  <si>
    <t xml:space="preserve">應等於『各期收支』期末累積現金（見下列驗算）</t>
  </si>
  <si>
    <t xml:space="preserve">　驗算：與各期收支期末現金差異</t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</si>
  <si>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</si>
  <si>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債務</t>
  </si>
  <si>
    <t xml:space="preserve">既有債務期初（季報本金）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</si>
  <si>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＝其他借款＋債務處理可轉債到期本金（轉股處理者不列）</t>
    </r>
  </si>
  <si>
    <t xml:space="preserve">− 排程還本（模型期）</t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</si>
  <si>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NC-1 </t>
    </r>
    <r>
      <rPr>
        <sz val="10"/>
        <rFont val="Noto Sans CJK SC"/>
        <family val="2"/>
      </rPr>
      <t xml:space="preserve">專案貸款動用 − 攤還</t>
    </r>
  </si>
  <si>
    <r>
      <rPr>
        <sz val="9"/>
        <color rgb="FF595959"/>
        <rFont val="Noto Sans CJK SC"/>
        <family val="2"/>
      </rPr>
      <t xml:space="preserve">排程貸款（</t>
    </r>
    <r>
      <rPr>
        <sz val="9"/>
        <color rgb="FF595959"/>
        <rFont val="Arial"/>
        <family val="0"/>
        <charset val="1"/>
      </rPr>
      <t xml:space="preserve">WhiteFiber v0.1c</t>
    </r>
    <r>
      <rPr>
        <sz val="9"/>
        <color rgb="FF595959"/>
        <rFont val="Noto Sans CJK SC"/>
        <family val="2"/>
      </rPr>
      <t xml:space="preserve">）</t>
    </r>
  </si>
  <si>
    <t xml:space="preserve">既有債務期末</t>
  </si>
  <si>
    <r>
      <rPr>
        <sz val="9"/>
        <color rgb="FF595959"/>
        <rFont val="Noto Sans CJK SC"/>
        <family val="2"/>
      </rPr>
      <t xml:space="preserve">＝依到期表遞減（關閉攤還時維持期初）；含 </t>
    </r>
    <r>
      <rPr>
        <sz val="9"/>
        <color rgb="FF595959"/>
        <rFont val="Arial"/>
        <family val="0"/>
        <charset val="1"/>
      </rPr>
      <t xml:space="preserve">NC-1 </t>
    </r>
    <r>
      <rPr>
        <sz val="9"/>
        <color rgb="FF595959"/>
        <rFont val="Noto Sans CJK SC"/>
        <family val="2"/>
      </rPr>
      <t xml:space="preserve">專案貸款餘額</t>
    </r>
  </si>
  <si>
    <t xml:space="preserve">＋ 期後新發可轉債</t>
  </si>
  <si>
    <t xml:space="preserve">＋ 瀑布新債餘額</t>
  </si>
  <si>
    <t xml:space="preserve">＋ 瀑布可轉債餘額</t>
  </si>
  <si>
    <t xml:space="preserve">＋ 高息債餘額</t>
  </si>
  <si>
    <t xml:space="preserve">總債務</t>
  </si>
  <si>
    <t xml:space="preserve">應等於『各期收支』期末總債務</t>
  </si>
  <si>
    <t xml:space="preserve">淨負債（總債務 − 期末現金）</t>
  </si>
  <si>
    <t xml:space="preserve">股本</t>
  </si>
  <si>
    <r>
      <rPr>
        <sz val="10"/>
        <rFont val="Noto Sans CJK SC"/>
        <family val="2"/>
      </rPr>
      <t xml:space="preserve">基礎股數（含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上限、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</si>
  <si>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t xml:space="preserve">＋ 本期新股</t>
  </si>
  <si>
    <t xml:space="preserve">總股數（期末）</t>
  </si>
  <si>
    <t xml:space="preserve">＝基礎股數＋累計新股</t>
  </si>
  <si>
    <t xml:space="preserve">槓桿</t>
  </si>
  <si>
    <r>
      <rPr>
        <sz val="10"/>
        <rFont val="Noto Sans CJK SC"/>
        <family val="2"/>
      </rPr>
      <t xml:space="preserve">債務上限（債務／</t>
    </r>
    <r>
      <rPr>
        <sz val="10"/>
        <rFont val="Arial"/>
        <family val="0"/>
        <charset val="1"/>
      </rPr>
      <t xml:space="preserve">backlog ×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</si>
  <si>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</si>
  <si>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Noto Sans CJK SC"/>
        <family val="2"/>
      </rPr>
      <t xml:space="preserve">高息債不受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</si>
  <si>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EBITDA</t>
    </r>
    <r>
      <rPr>
        <sz val="10"/>
        <rFont val="Noto Sans CJK SC"/>
        <family val="2"/>
      </rPr>
      <t xml:space="preserve">（年化）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</si>
  <si>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以半年</t>
    </r>
    <r>
      <rPr>
        <sz val="9"/>
        <color rgb="FF595959"/>
        <rFont val="Arial"/>
        <family val="0"/>
        <charset val="1"/>
      </rPr>
      <t xml:space="preserve">×2 </t>
    </r>
    <r>
      <rPr>
        <sz val="9"/>
        <color rgb="FF595959"/>
        <rFont val="Noto Sans CJK SC"/>
        <family val="2"/>
      </rPr>
      <t xml:space="preserve">年化</t>
    </r>
  </si>
  <si>
    <t xml:space="preserve">租賃負債（期末）</t>
  </si>
  <si>
    <r>
      <rPr>
        <sz val="9"/>
        <color rgb="FF595959"/>
        <rFont val="Noto Sans CJK SC"/>
        <family val="2"/>
      </rPr>
      <t xml:space="preserve">見『各期收支』租賃負債（期末剩餘租金現值，</t>
    </r>
    <r>
      <rPr>
        <sz val="9"/>
        <color rgb="FF595959"/>
        <rFont val="Arial"/>
        <family val="0"/>
        <charset val="1"/>
      </rPr>
      <t xml:space="preserve">5.7%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</si>
  <si>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EBITDAR</t>
    </r>
    <r>
      <rPr>
        <sz val="10"/>
        <rFont val="Noto Sans CJK SC"/>
        <family val="2"/>
      </rPr>
      <t xml:space="preserve">（年化＝</t>
    </r>
    <r>
      <rPr>
        <sz val="10"/>
        <rFont val="Arial"/>
        <family val="0"/>
        <charset val="1"/>
      </rPr>
      <t xml:space="preserve">(EBITDA</t>
    </r>
    <r>
      <rPr>
        <sz val="10"/>
        <rFont val="Noto Sans CJK SC"/>
        <family val="2"/>
      </rPr>
      <t xml:space="preserve">＋租金</t>
    </r>
    <r>
      <rPr>
        <sz val="10"/>
        <rFont val="Arial"/>
        <family val="0"/>
        <charset val="1"/>
      </rPr>
      <t xml:space="preserve">) ÷ </t>
    </r>
    <r>
      <rPr>
        <sz val="10"/>
        <rFont val="Noto Sans CJK SC"/>
        <family val="2"/>
      </rPr>
      <t xml:space="preserve">期間長度）</t>
    </r>
  </si>
  <si>
    <r>
      <rPr>
        <b val="true"/>
        <sz val="10"/>
        <rFont val="Noto Sans CJK SC"/>
        <family val="2"/>
      </rPr>
      <t xml:space="preserve">調整後槓桿（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總債務＋租賃負債</t>
    </r>
    <r>
      <rPr>
        <b val="true"/>
        <sz val="10"/>
        <rFont val="Arial"/>
        <family val="0"/>
        <charset val="1"/>
      </rPr>
      <t xml:space="preserve">) ÷ EBITDAR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</si>
  <si>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降評門檻 </t>
    </r>
    <r>
      <rPr>
        <sz val="9"/>
        <color rgb="FF595959"/>
        <rFont val="Arial"/>
        <family val="0"/>
        <charset val="1"/>
      </rPr>
      <t xml:space="preserve">&gt;4.5×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[Interested-party] </t>
    </r>
    <r>
      <rPr>
        <sz val="9"/>
        <color rgb="FF595959"/>
        <rFont val="Noto Sans CJK SC"/>
        <family val="2"/>
      </rPr>
      <t xml:space="preserve">二手轉述）；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自身口徑另含全部未起租承諾與無條件採購義務，較本列高（見報告）</t>
    </r>
  </si>
  <si>
    <t xml:space="preserve">距債務上限的空間（上限 − 調整後槓桿）</t>
  </si>
  <si>
    <t xml:space="preserve">負值＝超過上限：需股權或高息債</t>
  </si>
  <si>
    <r>
      <rPr>
        <sz val="9"/>
        <color rgb="FF595959"/>
        <rFont val="Noto Sans CJK SC"/>
        <family val="2"/>
      </rPr>
      <t xml:space="preserve">債務上限基準為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時的槓桿（總債務含可轉債；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為負或極小時以 </t>
    </r>
    <r>
      <rPr>
        <sz val="9"/>
        <color rgb="FF595959"/>
        <rFont val="Arial"/>
        <family val="0"/>
        <charset val="1"/>
      </rPr>
      <t xml:space="preserve">US$10m </t>
    </r>
    <r>
      <rPr>
        <sz val="9"/>
        <color rgb="FF595959"/>
        <rFont val="Noto Sans CJK SC"/>
        <family val="2"/>
      </rPr>
      <t xml:space="preserve">為下限）；</t>
    </r>
    <r>
      <rPr>
        <sz val="9"/>
        <color rgb="FF595959"/>
        <rFont val="Arial"/>
        <family val="0"/>
        <charset val="1"/>
      </rPr>
      <t xml:space="preserve">WhiteFiber v0.1b</t>
    </r>
  </si>
  <si>
    <r>
      <rPr>
        <b val="true"/>
        <sz val="14"/>
        <rFont val="Noto Sans CJK SC"/>
        <family val="2"/>
      </rPr>
      <t xml:space="preserve">租賃與承諾 — 季報（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Noto Sans CJK SC"/>
        <family val="2"/>
      </rPr>
      <t xml:space="preserve">）原始揭露</t>
    </r>
  </si>
  <si>
    <t xml:space="preserve">本頁為硬編碼的申報數字（藍字），支出與資金頁的租金與還本列由此而來</t>
  </si>
  <si>
    <t xml:space="preserve">在帳租賃到期表（未折現）</t>
  </si>
  <si>
    <r>
      <rPr>
        <b val="true"/>
        <sz val="11"/>
        <color rgb="FFFFFFFF"/>
        <rFont val="Arial"/>
        <family val="0"/>
        <charset val="1"/>
      </rPr>
      <t xml:space="preserve">2026 </t>
    </r>
    <r>
      <rPr>
        <b val="true"/>
        <sz val="11"/>
        <color rgb="FFFFFFFF"/>
        <rFont val="Noto Sans CJK SC"/>
        <family val="2"/>
      </rPr>
      <t xml:space="preserve">下半</t>
    </r>
  </si>
  <si>
    <t xml:space="preserve">2027</t>
  </si>
  <si>
    <t xml:space="preserve">2028</t>
  </si>
  <si>
    <t xml:space="preserve">2029</t>
  </si>
  <si>
    <t xml:space="preserve">2030</t>
  </si>
  <si>
    <t xml:space="preserve">其後</t>
  </si>
  <si>
    <t xml:space="preserve">營業租賃付款</t>
  </si>
  <si>
    <t xml:space="preserve">融資租賃付款</t>
  </si>
  <si>
    <t xml:space="preserve">合計（＝支出頁「在帳現金租金」）</t>
  </si>
  <si>
    <r>
      <rPr>
        <sz val="9"/>
        <color rgb="FF595959"/>
        <rFont val="Noto Sans CJK SC"/>
        <family val="2"/>
      </rPr>
      <t xml:space="preserve">營業租賃負債現值 </t>
    </r>
    <r>
      <rPr>
        <sz val="9"/>
        <color rgb="FF595959"/>
        <rFont val="Arial"/>
        <family val="0"/>
        <charset val="1"/>
      </rPr>
      <t xml:space="preserve">15.376</t>
    </r>
    <r>
      <rPr>
        <sz val="9"/>
        <color rgb="FF595959"/>
        <rFont val="Noto Sans CJK SC"/>
        <family val="2"/>
      </rPr>
      <t xml:space="preserve">、融資租賃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；年報加權剩餘租期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14 </t>
    </r>
    <r>
      <rPr>
        <sz val="9"/>
        <color rgb="FF595959"/>
        <rFont val="Noto Sans CJK SC"/>
        <family val="2"/>
      </rPr>
      <t xml:space="preserve">年、折現率 </t>
    </r>
    <r>
      <rPr>
        <sz val="9"/>
        <color rgb="FF595959"/>
        <rFont val="Arial"/>
        <family val="0"/>
        <charset val="1"/>
      </rPr>
      <t xml:space="preserve">5.7% [Verified]</t>
    </r>
  </si>
  <si>
    <t xml:space="preserve">債務本金到期表</t>
  </si>
  <si>
    <t xml:space="preserve">本金（＝支出頁「排程還本」）</t>
  </si>
  <si>
    <r>
      <rPr>
        <sz val="9"/>
        <color rgb="FF595959"/>
        <rFont val="Noto Sans CJK SC"/>
        <family val="2"/>
      </rPr>
      <t xml:space="preserve">其他借款到期表（</t>
    </r>
    <r>
      <rPr>
        <sz val="9"/>
        <color rgb="FF595959"/>
        <rFont val="Arial"/>
        <family val="0"/>
        <charset val="1"/>
      </rPr>
      <t xml:space="preserve">company.json → debt.amortization</t>
    </r>
    <r>
      <rPr>
        <sz val="9"/>
        <color rgb="FF595959"/>
        <rFont val="Noto Sans CJK SC"/>
        <family val="2"/>
      </rPr>
      <t xml:space="preserve">）；可轉債到期還本依融資分類另計，見『資產負債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既有債務』逐檔表</t>
    </r>
  </si>
  <si>
    <t xml:space="preserve">表外與契約性承諾（未入表）</t>
  </si>
  <si>
    <t xml:space="preserve">金額</t>
  </si>
  <si>
    <t xml:space="preserve">入表？</t>
  </si>
  <si>
    <t xml:space="preserve">模型位置</t>
  </si>
  <si>
    <t xml:space="preserve">未起租租賃（未折現）</t>
  </si>
  <si>
    <t xml:space="preserve">季報揭露之已簽約未起租租賃</t>
  </si>
  <si>
    <t xml:space="preserve">否</t>
  </si>
  <si>
    <t xml:space="preserve">表外現金租金</t>
  </si>
  <si>
    <t xml:space="preserve">單站按造價計租，上限</t>
  </si>
  <si>
    <r>
      <rPr>
        <sz val="9"/>
        <color rgb="FF595959"/>
        <rFont val="Noto Sans CJK SC"/>
        <family val="2"/>
      </rPr>
      <t xml:space="preserve">無此類揭露時為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</si>
  <si>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company.json → defaults.facility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Bit Digital DDTL </t>
    </r>
    <r>
      <rPr>
        <sz val="9"/>
        <color rgb="FF595959"/>
        <rFont val="Noto Sans CJK SC"/>
        <family val="2"/>
      </rPr>
      <t xml:space="preserve">未動用額度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（額度 </t>
    </r>
    <r>
      <rPr>
        <sz val="9"/>
        <color rgb="FF595959"/>
        <rFont val="Arial"/>
        <family val="0"/>
        <charset val="1"/>
      </rPr>
      <t xml:space="preserve">100</t>
    </r>
    <r>
      <rPr>
        <sz val="9"/>
        <color rgb="FF595959"/>
        <rFont val="Noto Sans CJK SC"/>
        <family val="2"/>
      </rPr>
      <t xml:space="preserve">、已動用 </t>
    </r>
    <r>
      <rPr>
        <sz val="9"/>
        <color rgb="FF595959"/>
        <rFont val="Arial"/>
        <family val="0"/>
        <charset val="1"/>
      </rPr>
      <t xml:space="preserve">80</t>
    </r>
    <r>
      <rPr>
        <sz val="9"/>
        <color rgb="FF595959"/>
        <rFont val="Noto Sans CJK SC"/>
        <family val="2"/>
      </rPr>
      <t xml:space="preserve">；可增至 </t>
    </r>
    <r>
      <rPr>
        <sz val="9"/>
        <color rgb="FF595959"/>
        <rFont val="Arial"/>
        <family val="0"/>
        <charset val="1"/>
      </rPr>
      <t xml:space="preserve">150 </t>
    </r>
    <r>
      <rPr>
        <sz val="9"/>
        <color rgb="FF595959"/>
        <rFont val="Noto Sans CJK SC"/>
        <family val="2"/>
      </rPr>
      <t xml:space="preserve">未承諾，不計））</t>
    </r>
  </si>
  <si>
    <t xml:space="preserve">否（來源）</t>
  </si>
  <si>
    <t xml:space="preserve">瀑布：未動用額度</t>
  </si>
  <si>
    <t xml:space="preserve">已揭露金額之承諾合計（未起租＋單站上限）</t>
  </si>
  <si>
    <t xml:space="preserve">模型表外租金五期合計</t>
  </si>
  <si>
    <t xml:space="preserve">模型表外租金尾端（模型期後未付＝總額 − 五期）</t>
  </si>
  <si>
    <r>
      <rPr>
        <b val="true"/>
        <sz val="10"/>
        <rFont val="Noto Sans CJK SC"/>
        <family val="2"/>
      </rPr>
      <t xml:space="preserve">模型路徑合計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已承諾（≥</t>
    </r>
    <r>
      <rPr>
        <b val="true"/>
        <sz val="10"/>
        <rFont val="Arial"/>
        <family val="0"/>
        <charset val="1"/>
      </rPr>
      <t xml:space="preserve">0.8 </t>
    </r>
    <r>
      <rPr>
        <b val="true"/>
        <sz val="10"/>
        <rFont val="Noto Sans CJK SC"/>
        <family val="2"/>
      </rPr>
      <t xml:space="preserve">為合理）</t>
    </r>
  </si>
  <si>
    <t xml:space="preserve">起租排程依季報附註（起租期間與期限）平均分攤；五期＋尾端＝未起租總額</t>
  </si>
  <si>
    <t xml:space="preserve">損益（類損益表）— 與資金模型同一組收入</t>
  </si>
  <si>
    <r>
      <rPr>
        <sz val="9"/>
        <color rgb="FF595959"/>
        <rFont val="Noto Sans CJK SC"/>
        <family val="2"/>
      </rPr>
      <t xml:space="preserve">算力收入、</t>
    </r>
    <r>
      <rPr>
        <sz val="9"/>
        <color rgb="FF595959"/>
        <rFont val="Arial"/>
        <family val="0"/>
        <charset val="1"/>
      </rPr>
      <t xml:space="preserve">Cash CapEx</t>
    </r>
    <r>
      <rPr>
        <sz val="9"/>
        <color rgb="FF595959"/>
        <rFont val="Noto Sans CJK SC"/>
        <family val="2"/>
      </rPr>
      <t xml:space="preserve">、利息皆由前面分頁連結而來；改資金假設，此頁會跟著動</t>
    </r>
  </si>
  <si>
    <t xml:space="preserve">損益表</t>
  </si>
  <si>
    <t xml:space="preserve">算力收入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</si>
  <si>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轉換＋新簽約</t>
    </r>
  </si>
  <si>
    <t xml:space="preserve">非算力服務</t>
  </si>
  <si>
    <t xml:space="preserve">託管</t>
  </si>
  <si>
    <r>
      <rPr>
        <sz val="9"/>
        <color rgb="FF595959"/>
        <rFont val="Arial"/>
        <family val="0"/>
        <charset val="1"/>
      </rPr>
      <t xml:space="preserve">SaaS</t>
    </r>
    <r>
      <rPr>
        <sz val="9"/>
        <color rgb="FF595959"/>
        <rFont val="Noto Sans CJK SC"/>
        <family val="2"/>
      </rPr>
      <t xml:space="preserve">、軟體、硬體、服務（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</si>
  <si>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總營收</t>
  </si>
  <si>
    <t xml:space="preserve">延誤罰則（服務抵減，營業費用）</t>
  </si>
  <si>
    <r>
      <rPr>
        <sz val="10"/>
        <rFont val="Noto Sans CJK SC"/>
        <family val="2"/>
      </rPr>
      <t xml:space="preserve">營業利益（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</si>
  <si>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算力＋服務營收</t>
    </r>
    <r>
      <rPr>
        <sz val="9"/>
        <color rgb="FF595959"/>
        <rFont val="Arial"/>
        <family val="0"/>
        <charset val="1"/>
      </rPr>
      <t xml:space="preserve">)×EBITDA </t>
    </r>
    <r>
      <rPr>
        <sz val="9"/>
        <color rgb="FF595959"/>
        <rFont val="Noto Sans CJK SC"/>
        <family val="2"/>
      </rPr>
      <t xml:space="preserve">率＋其他事業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＋託管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延誤罰則 − 車隊 </t>
    </r>
    <r>
      <rPr>
        <sz val="9"/>
        <color rgb="FF595959"/>
        <rFont val="Arial"/>
        <family val="0"/>
        <charset val="1"/>
      </rPr>
      <t xml:space="preserve">D&amp;A</t>
    </r>
  </si>
  <si>
    <t xml:space="preserve">利息（含瀑布新債）</t>
  </si>
  <si>
    <t xml:space="preserve">預付財務組成利息（非現金）</t>
  </si>
  <si>
    <r>
      <rPr>
        <sz val="9"/>
        <color rgb="FF595959"/>
        <rFont val="Noto Sans CJK SC"/>
        <family val="2"/>
      </rPr>
      <t xml:space="preserve">客戶預付的重大財務組成：合約負債以隱含利率累積的利息（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</si>
  <si>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稅前損益</t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</si>
  <si>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期初餘額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</si>
  <si>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0.0</t>
    </r>
  </si>
  <si>
    <r>
      <rPr>
        <sz val="10"/>
        <rFont val="Noto Sans CJK SC"/>
        <family val="2"/>
      </rPr>
      <t xml:space="preserve">　本期動用 </t>
    </r>
    <r>
      <rPr>
        <sz val="10"/>
        <rFont val="Arial"/>
        <family val="0"/>
        <charset val="1"/>
      </rPr>
      <t xml:space="preserve">NOL</t>
    </r>
  </si>
  <si>
    <r>
      <rPr>
        <sz val="9"/>
        <color rgb="FF595959"/>
        <rFont val="Noto Sans CJK SC"/>
        <family val="2"/>
      </rPr>
      <t xml:space="preserve">美國規定：抵扣上限為應稅所得 </t>
    </r>
    <r>
      <rPr>
        <sz val="9"/>
        <color rgb="FF595959"/>
        <rFont val="Arial"/>
        <family val="0"/>
        <charset val="1"/>
      </rPr>
      <t xml:space="preserve">80%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</si>
  <si>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期末餘額</t>
    </r>
  </si>
  <si>
    <t xml:space="preserve">所得稅</t>
  </si>
  <si>
    <t xml:space="preserve">虧損年不認列稅盾（與公司評價備抵一致）</t>
  </si>
  <si>
    <t xml:space="preserve">淨利</t>
  </si>
  <si>
    <t xml:space="preserve">車隊折舊，見輸入頁</t>
  </si>
  <si>
    <t xml:space="preserve">EBITDA</t>
  </si>
  <si>
    <r>
      <rPr>
        <sz val="10"/>
        <rFont val="Noto Sans CJK SC"/>
        <family val="2"/>
      </rPr>
      <t xml:space="preserve">　基礎股數（每年 </t>
    </r>
    <r>
      <rPr>
        <sz val="10"/>
        <rFont val="Arial"/>
        <family val="0"/>
        <charset val="1"/>
      </rPr>
      <t xml:space="preserve">+SBC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</si>
  <si>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＝評價股數（含價內可轉債轉股，見『評價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Noto Sans CJK SC"/>
        <family val="2"/>
      </rPr>
      <t xml:space="preserve">與目標價』可轉債區）；之後每年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＋股數年增</t>
    </r>
    <r>
      <rPr>
        <sz val="9"/>
        <color rgb="FF595959"/>
        <rFont val="Arial"/>
        <family val="0"/>
        <charset val="1"/>
      </rPr>
      <t xml:space="preserve">)</t>
    </r>
  </si>
  <si>
    <t xml:space="preserve">股數（含瀑布新股）</t>
  </si>
  <si>
    <t xml:space="preserve">＝基礎股數＋累計瀑布新股</t>
  </si>
  <si>
    <r>
      <rPr>
        <sz val="10"/>
        <rFont val="Noto Sans CJK SC"/>
        <family val="2"/>
      </rPr>
      <t xml:space="preserve">每股盈餘（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，模型期）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</si>
  <si>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欄只含下半年；全年口徑見下方</t>
    </r>
  </si>
  <si>
    <r>
      <rPr>
        <b val="true"/>
        <sz val="10"/>
        <rFont val="Noto Sans CJK SC"/>
        <family val="2"/>
      </rPr>
      <t xml:space="preserve">損益表（全年口徑；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Noto Sans CJK SC"/>
        <family val="2"/>
      </rPr>
      <t xml:space="preserve">實際＋下半年模型；與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損益簡表一致）</t>
    </r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</si>
  <si>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實際營收（已實現）</t>
    </r>
  </si>
  <si>
    <t xml:space="preserve">全年總營收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</si>
  <si>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可對照指引 不適用（公司未給指引）</t>
    </r>
  </si>
  <si>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YoY</t>
    </r>
  </si>
  <si>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79.164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</si>
  <si>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</t>
    </r>
  </si>
  <si>
    <t xml:space="preserve">營利率</t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</si>
  <si>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</si>
  <si>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13.008</t>
    </r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</si>
  <si>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EBITDA</t>
    </r>
  </si>
  <si>
    <t xml:space="preserve">全年利息（含瀑布新債）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</si>
  <si>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起瀑布新債利息（</t>
    </r>
    <r>
      <rPr>
        <sz val="9"/>
        <color rgb="FF595959"/>
        <rFont val="Arial"/>
        <family val="0"/>
        <charset val="1"/>
      </rPr>
      <t xml:space="preserve">9%</t>
    </r>
    <r>
      <rPr>
        <sz val="9"/>
        <color rgb="FF595959"/>
        <rFont val="Noto Sans CJK SC"/>
        <family val="2"/>
      </rPr>
      <t xml:space="preserve">）與新股同時影響 </t>
    </r>
    <r>
      <rPr>
        <sz val="9"/>
        <color rgb="FF595959"/>
        <rFont val="Arial"/>
        <family val="0"/>
        <charset val="1"/>
      </rPr>
      <t xml:space="preserve">EPS</t>
    </r>
  </si>
  <si>
    <t xml:space="preserve">全年淨利</t>
  </si>
  <si>
    <t xml:space="preserve">淨利率</t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</si>
  <si>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GAAP EPS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</si>
  <si>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EPS −0.70</t>
    </r>
    <r>
      <rPr>
        <sz val="9"/>
        <color rgb="FF595959"/>
        <rFont val="Noto Sans CJK SC"/>
        <family val="2"/>
      </rPr>
      <t xml:space="preserve">＋下半年淨利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股數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</si>
  <si>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</si>
  <si>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淨利＋</t>
    </r>
    <r>
      <rPr>
        <sz val="9"/>
        <color rgb="FF595959"/>
        <rFont val="Arial"/>
        <family val="0"/>
        <charset val="1"/>
      </rPr>
      <t xml:space="preserve">SBC)÷</t>
    </r>
    <r>
      <rPr>
        <sz val="9"/>
        <color rgb="FF595959"/>
        <rFont val="Noto Sans CJK SC"/>
        <family val="2"/>
      </rPr>
      <t xml:space="preserve">股數；</t>
    </r>
    <r>
      <rPr>
        <sz val="9"/>
        <color rgb="FF595959"/>
        <rFont val="Arial"/>
        <family val="0"/>
        <charset val="1"/>
      </rPr>
      <t xml:space="preserve">NOL </t>
    </r>
    <r>
      <rPr>
        <sz val="9"/>
        <color rgb="FF595959"/>
        <rFont val="Noto Sans CJK SC"/>
        <family val="2"/>
      </rPr>
      <t xml:space="preserve">狀態無現金稅，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全額加回</t>
    </r>
  </si>
  <si>
    <r>
      <rPr>
        <b val="true"/>
        <sz val="14"/>
        <rFont val="Noto Sans CJK SC"/>
        <family val="2"/>
      </rPr>
      <t xml:space="preserve">評價 — </t>
    </r>
    <r>
      <rPr>
        <b val="true"/>
        <sz val="14"/>
        <rFont val="Arial"/>
        <family val="0"/>
        <charset val="1"/>
      </rPr>
      <t xml:space="preserve">DCF</t>
    </r>
    <r>
      <rPr>
        <b val="true"/>
        <sz val="14"/>
        <rFont val="Noto Sans CJK SC"/>
        <family val="2"/>
      </rPr>
      <t xml:space="preserve">、</t>
    </r>
    <r>
      <rPr>
        <b val="true"/>
        <sz val="14"/>
        <rFont val="Arial"/>
        <family val="0"/>
        <charset val="1"/>
      </rPr>
      <t xml:space="preserve">EV/EBITDA</t>
    </r>
    <r>
      <rPr>
        <b val="true"/>
        <sz val="14"/>
        <rFont val="Noto Sans CJK SC"/>
        <family val="2"/>
      </rPr>
      <t xml:space="preserve">、加權目標價</t>
    </r>
  </si>
  <si>
    <r>
      <rPr>
        <sz val="9"/>
        <color rgb="FF595959"/>
        <rFont val="Noto Sans CJK SC"/>
        <family val="2"/>
      </rPr>
      <t xml:space="preserve">營收、營業利益、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、股數引用『損益』頁；</t>
    </r>
    <r>
      <rPr>
        <sz val="9"/>
        <color rgb="FF595959"/>
        <rFont val="Arial"/>
        <family val="0"/>
        <charset val="1"/>
      </rPr>
      <t xml:space="preserve">Cash CapEx </t>
    </r>
    <r>
      <rPr>
        <sz val="9"/>
        <color rgb="FF595959"/>
        <rFont val="Noto Sans CJK SC"/>
        <family val="2"/>
      </rPr>
      <t xml:space="preserve">與融資引用『各期收支』頁</t>
    </r>
  </si>
  <si>
    <r>
      <rPr>
        <b val="true"/>
        <sz val="10"/>
        <rFont val="Arial"/>
        <family val="0"/>
        <charset val="1"/>
      </rPr>
      <t xml:space="preserve">DCF</t>
    </r>
    <r>
      <rPr>
        <b val="true"/>
        <sz val="10"/>
        <rFont val="Noto Sans CJK SC"/>
        <family val="2"/>
      </rPr>
      <t xml:space="preserve">（無槓桿自由現金流；起點為 </t>
    </r>
    <r>
      <rPr>
        <b val="true"/>
        <sz val="10"/>
        <rFont val="Arial"/>
        <family val="0"/>
        <charset val="1"/>
      </rPr>
      <t xml:space="preserve">2026-06-30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</si>
  <si>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之後）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</si>
  <si>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起點為 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欄只含 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的建置支出，不含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已發生的 </t>
    </r>
    <r>
      <rPr>
        <sz val="9"/>
        <color rgb="FF595959"/>
        <rFont val="Arial"/>
        <family val="0"/>
        <charset val="1"/>
      </rPr>
      <t xml:space="preserve">344.712</t>
    </r>
  </si>
  <si>
    <t xml:space="preserve">比較基期營收</t>
  </si>
  <si>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79.164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基期＝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50.762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模型期營收</t>
    </r>
  </si>
  <si>
    <t xml:space="preserve">預付認列（非現金營收，扣除）</t>
  </si>
  <si>
    <r>
      <rPr>
        <sz val="9"/>
        <color rgb="FF595959"/>
        <rFont val="Noto Sans CJK SC"/>
        <family val="2"/>
      </rPr>
      <t xml:space="preserve">營收中由合約負債轉入的部分已在預付時收現（預付流入已自現金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抵減），</t>
    </r>
    <r>
      <rPr>
        <sz val="9"/>
        <color rgb="FF595959"/>
        <rFont val="Arial"/>
        <family val="0"/>
        <charset val="1"/>
      </rPr>
      <t xml:space="preserve">UFCF </t>
    </r>
    <r>
      <rPr>
        <sz val="9"/>
        <color rgb="FF595959"/>
        <rFont val="Noto Sans CJK SC"/>
        <family val="2"/>
      </rPr>
      <t xml:space="preserve">扣除以免重複（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</si>
  <si>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營運資金變動</t>
  </si>
  <si>
    <r>
      <rPr>
        <sz val="9"/>
        <color rgb="FF595959"/>
        <rFont val="Noto Sans CJK SC"/>
        <family val="2"/>
      </rPr>
      <t xml:space="preserve">營收增量的 </t>
    </r>
    <r>
      <rPr>
        <sz val="9"/>
        <color rgb="FF595959"/>
        <rFont val="Arial"/>
        <family val="0"/>
        <charset val="1"/>
      </rPr>
      <t xml:space="preserve">2%</t>
    </r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</si>
  <si>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</si>
  <si>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用無槓桿稅（利息不可抵稅，否則稅盾被計兩次：一次在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、一次在 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）</t>
    </r>
  </si>
  <si>
    <t xml:space="preserve">　本期動用（無槓桿）</t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</si>
  <si>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</t>
    </r>
  </si>
  <si>
    <r>
      <rPr>
        <sz val="10"/>
        <rFont val="Noto Sans CJK SC"/>
        <family val="2"/>
      </rPr>
      <t xml:space="preserve">無槓桿所得稅（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用）</t>
    </r>
  </si>
  <si>
    <r>
      <rPr>
        <sz val="9"/>
        <color rgb="FF595959"/>
        <rFont val="Noto Sans CJK SC"/>
        <family val="2"/>
      </rPr>
      <t xml:space="preserve">與損益表的所得稅不同：此處不扣利息，數字較高，這是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的正確口徑</t>
    </r>
  </si>
  <si>
    <t xml:space="preserve">UFCF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</si>
  <si>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EBIT−</t>
    </r>
    <r>
      <rPr>
        <sz val="9"/>
        <color rgb="FF595959"/>
        <rFont val="Noto Sans CJK SC"/>
        <family val="2"/>
      </rPr>
      <t xml:space="preserve">無槓桿稅＋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（已扣客戶預付）−營運資金−預付認列。建置期全為負是正常的</t>
    </r>
  </si>
  <si>
    <t xml:space="preserve">折現期數</t>
  </si>
  <si>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模型期（下半年）的現金流平均落在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年</t>
    </r>
  </si>
  <si>
    <t xml:space="preserve">折現因子</t>
  </si>
  <si>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</t>
    </r>
  </si>
  <si>
    <r>
      <rPr>
        <sz val="10"/>
        <rFont val="Noto Sans CJK SC"/>
        <family val="2"/>
      </rPr>
      <t xml:space="preserve">五期 </t>
    </r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現值合計</t>
    </r>
  </si>
  <si>
    <t xml:space="preserve">建置期現金流現值</t>
  </si>
  <si>
    <r>
      <rPr>
        <sz val="10"/>
        <rFont val="Noto Sans CJK SC"/>
        <family val="2"/>
      </rPr>
      <t xml:space="preserve">終值基準 </t>
    </r>
    <r>
      <rPr>
        <sz val="10"/>
        <rFont val="Arial"/>
        <family val="0"/>
        <charset val="1"/>
      </rPr>
      <t xml:space="preserve">FCF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 UFCF</t>
    </r>
    <r>
      <rPr>
        <sz val="10"/>
        <rFont val="Noto Sans CJK SC"/>
        <family val="2"/>
      </rPr>
      <t xml:space="preserve">，含汰換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</si>
  <si>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v0.1c</t>
    </r>
    <r>
      <rPr>
        <sz val="9"/>
        <color rgb="FF595959"/>
        <rFont val="Noto Sans CJK SC"/>
        <family val="2"/>
      </rPr>
      <t xml:space="preserve">：終值基準＝末期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（含穩態汰換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，已扣客戶預付覆蓋）＋加回末期成長型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（扣預付後；成長由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表達，預設情境為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不是永續資產，終值年須持續再投資</t>
    </r>
  </si>
  <si>
    <r>
      <rPr>
        <sz val="10"/>
        <rFont val="Noto Sans CJK SC"/>
        <family val="2"/>
      </rPr>
      <t xml:space="preserve">終值（</t>
    </r>
    <r>
      <rPr>
        <sz val="10"/>
        <rFont val="Arial"/>
        <family val="0"/>
        <charset val="1"/>
      </rPr>
      <t xml:space="preserve">Gordon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</si>
  <si>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＝常態化 </t>
    </r>
    <r>
      <rPr>
        <sz val="9"/>
        <color rgb="FF595959"/>
        <rFont val="Arial"/>
        <family val="0"/>
        <charset val="1"/>
      </rPr>
      <t xml:space="preserve">FCF×(1+g)÷(WACC−g)</t>
    </r>
  </si>
  <si>
    <t xml:space="preserve">終值現值</t>
  </si>
  <si>
    <r>
      <rPr>
        <sz val="10"/>
        <rFont val="Noto Sans CJK SC"/>
        <family val="2"/>
      </rPr>
      <t xml:space="preserve">企業價值 </t>
    </r>
    <r>
      <rPr>
        <sz val="10"/>
        <rFont val="Arial"/>
        <family val="0"/>
        <charset val="1"/>
      </rPr>
      <t xml:space="preserve">EV</t>
    </r>
  </si>
  <si>
    <t xml:space="preserve">減：淨負債</t>
  </si>
  <si>
    <t xml:space="preserve">＝評價淨負債（不含可轉債的淨負債＋債務處理可轉債到期本金＋調整項；見下方可轉債區）</t>
  </si>
  <si>
    <t xml:space="preserve">股權價值</t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</si>
  <si>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</t>
    </r>
  </si>
  <si>
    <r>
      <rPr>
        <sz val="9"/>
        <color rgb="FF595959"/>
        <rFont val="Noto Sans CJK SC"/>
        <family val="2"/>
      </rPr>
      <t xml:space="preserve">採用值：失效時為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且權重歸零；否則依「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下限方式」取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截斷或選擇權</t>
    </r>
  </si>
  <si>
    <r>
      <rPr>
        <sz val="10"/>
        <rFont val="Noto Sans CJK SC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比重</t>
    </r>
  </si>
  <si>
    <t xml:space="preserve">新股募得現金（現值）</t>
  </si>
  <si>
    <r>
      <rPr>
        <sz val="9"/>
        <color rgb="FF595959"/>
        <rFont val="Noto Sans CJK SC"/>
        <family val="2"/>
      </rPr>
      <t xml:space="preserve">期初到位，折現期數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年</t>
    </r>
  </si>
  <si>
    <t xml:space="preserve">融資後股數（含瀑布新股）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</si>
  <si>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失效？（</t>
    </r>
    <r>
      <rPr>
        <sz val="10"/>
        <rFont val="Arial"/>
        <family val="0"/>
        <charset val="1"/>
      </rPr>
      <t xml:space="preserve">WACC ≤ g </t>
    </r>
    <r>
      <rPr>
        <sz val="10"/>
        <rFont val="Noto Sans CJK SC"/>
        <family val="2"/>
      </rPr>
      <t xml:space="preserve">或常態化 </t>
    </r>
    <r>
      <rPr>
        <sz val="10"/>
        <rFont val="Arial"/>
        <family val="0"/>
        <charset val="1"/>
      </rPr>
      <t xml:space="preserve">FCF ≤ 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</si>
  <si>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＝失效：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權重歸零、</t>
    </r>
    <r>
      <rPr>
        <sz val="9"/>
        <color rgb="FF595959"/>
        <rFont val="Arial"/>
        <family val="0"/>
        <charset val="1"/>
      </rPr>
      <t xml:space="preserve">EV/EBITDA 100%</t>
    </r>
    <r>
      <rPr>
        <sz val="9"/>
        <color rgb="FF595959"/>
        <rFont val="Noto Sans CJK SC"/>
        <family val="2"/>
      </rPr>
      <t xml:space="preserve">。股權為負不算失效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</si>
  <si>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截斷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</si>
  <si>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每股：選擇權（</t>
    </r>
    <r>
      <rPr>
        <b val="true"/>
        <sz val="10"/>
        <rFont val="Arial"/>
        <family val="0"/>
        <charset val="1"/>
      </rPr>
      <t xml:space="preserve">Merton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</si>
  <si>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Black-Scholes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＝企業價值＋新股現值、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＝淨負債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</si>
  <si>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</si>
  <si>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d2</t>
    </r>
  </si>
  <si>
    <r>
      <rPr>
        <b val="true"/>
        <sz val="10"/>
        <rFont val="Noto Sans CJK SC"/>
        <family val="2"/>
      </rPr>
      <t xml:space="preserve">倍數法（錨定年度，預設 </t>
    </r>
    <r>
      <rPr>
        <b val="true"/>
        <sz val="10"/>
        <rFont val="Arial"/>
        <family val="0"/>
        <charset val="1"/>
      </rPr>
      <t xml:space="preserve">FY29</t>
    </r>
    <r>
      <rPr>
        <b val="true"/>
        <sz val="10"/>
        <rFont val="Noto Sans CJK SC"/>
        <family val="2"/>
      </rPr>
      <t xml:space="preserve">；折回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Noto Sans CJK SC"/>
        <family val="2"/>
      </rPr>
      <t xml:space="preserve">）</t>
    </r>
  </si>
  <si>
    <t xml:space="preserve">錨定年度</t>
  </si>
  <si>
    <r>
      <rPr>
        <sz val="9"/>
        <color rgb="FF595959"/>
        <rFont val="Noto Sans CJK SC"/>
        <family val="2"/>
      </rPr>
      <t xml:space="preserve">輸入與假設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區可改</t>
    </r>
  </si>
  <si>
    <r>
      <rPr>
        <sz val="10"/>
        <rFont val="Noto Sans CJK SC"/>
        <family val="2"/>
      </rPr>
      <t xml:space="preserve">錨定年度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</si>
  <si>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錨定年度企業價值（倍數 </t>
    </r>
    <r>
      <rPr>
        <sz val="10"/>
        <rFont val="Arial"/>
        <family val="0"/>
        <charset val="1"/>
      </rPr>
      <t xml:space="preserve">× EBITDA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</si>
  <si>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分部加總：雲端 </t>
    </r>
    <r>
      <rPr>
        <sz val="9"/>
        <color rgb="FF595959"/>
        <rFont val="Arial"/>
        <family val="0"/>
        <charset val="1"/>
      </rPr>
      <t xml:space="preserve">EBITDA × EV/EBITDA </t>
    </r>
    <r>
      <rPr>
        <sz val="9"/>
        <color rgb="FF595959"/>
        <rFont val="Noto Sans CJK SC"/>
        <family val="2"/>
      </rPr>
      <t xml:space="preserve">倍數＋託管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託管倍數（下方兩列）</t>
    </r>
  </si>
  <si>
    <t xml:space="preserve">錨定年度末淨負債（總債務 − 現金）</t>
  </si>
  <si>
    <t xml:space="preserve">含瀑布新債；加可轉債分類調整與淨負債調整項（見下方可轉債區）</t>
  </si>
  <si>
    <t xml:space="preserve">錨定年度末股數（含瀑布新股）</t>
  </si>
  <si>
    <r>
      <rPr>
        <sz val="9"/>
        <color rgb="FF595959"/>
        <rFont val="Noto Sans CJK SC"/>
        <family val="2"/>
      </rPr>
      <t xml:space="preserve">損益股數：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逐年稀釋＋瀑布新股</t>
    </r>
  </si>
  <si>
    <r>
      <rPr>
        <sz val="10"/>
        <rFont val="Noto Sans CJK SC"/>
        <family val="2"/>
      </rPr>
      <t xml:space="preserve">折回 </t>
    </r>
    <r>
      <rPr>
        <sz val="10"/>
        <rFont val="Arial"/>
        <family val="0"/>
        <charset val="1"/>
      </rPr>
      <t xml:space="preserve">2027-06-30 </t>
    </r>
    <r>
      <rPr>
        <sz val="10"/>
        <rFont val="Noto Sans CJK SC"/>
        <family val="2"/>
      </rPr>
      <t xml:space="preserve">的折現因子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</si>
  <si>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折現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</si>
  <si>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每股（融資後）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</si>
  <si>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為下限</t>
    </r>
  </si>
  <si>
    <r>
      <rPr>
        <sz val="10"/>
        <rFont val="Noto Sans CJK SC"/>
        <family val="2"/>
      </rPr>
      <t xml:space="preserve">錨定年度託管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</si>
  <si>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託管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倍數（託管同業 </t>
    </r>
    <r>
      <rPr>
        <sz val="9"/>
        <color rgb="FF595959"/>
        <rFont val="Arial"/>
        <family val="0"/>
        <charset val="1"/>
      </rPr>
      <t xml:space="preserve">NTM </t>
    </r>
    <r>
      <rPr>
        <sz val="9"/>
        <color rgb="FF595959"/>
        <rFont val="Noto Sans CJK SC"/>
        <family val="2"/>
      </rPr>
      <t xml:space="preserve">中位數）</t>
    </r>
  </si>
  <si>
    <r>
      <rPr>
        <sz val="10"/>
        <rFont val="Noto Sans CJK SC"/>
        <family val="2"/>
      </rPr>
      <t xml:space="preserve">錨定年度 雲端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（算力＋服務＋其他）</t>
    </r>
  </si>
  <si>
    <r>
      <rPr>
        <sz val="9"/>
        <color rgb="FF595959"/>
        <rFont val="Noto Sans CJK SC"/>
        <family val="2"/>
      </rPr>
      <t xml:space="preserve">＝錨定年度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託管；</t>
    </r>
    <r>
      <rPr>
        <sz val="9"/>
        <color rgb="FF595959"/>
        <rFont val="Arial"/>
        <family val="0"/>
        <charset val="1"/>
      </rPr>
      <t xml:space="preserve">× EV/EBITDA </t>
    </r>
    <r>
      <rPr>
        <sz val="9"/>
        <color rgb="FF595959"/>
        <rFont val="Noto Sans CJK SC"/>
        <family val="2"/>
      </rPr>
      <t xml:space="preserve">倍數</t>
    </r>
  </si>
  <si>
    <t xml:space="preserve">加權目標價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</si>
  <si>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每股（推到目標價時點）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</si>
  <si>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每股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^</t>
    </r>
    <r>
      <rPr>
        <sz val="9"/>
        <color rgb="FF595959"/>
        <rFont val="Noto Sans CJK SC"/>
        <family val="2"/>
      </rPr>
      <t xml:space="preserve">（評價日至目標價時點的年數）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</si>
  <si>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</si>
  <si>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（融資後）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</si>
  <si>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t xml:space="preserve">期前融資瀑布：缺口先由額度與資產層新債支應，殘差以股權募足；估值不再扣缺口本金</t>
  </si>
  <si>
    <t xml:space="preserve">現價</t>
  </si>
  <si>
    <t xml:space="preserve">潛在空間</t>
  </si>
  <si>
    <r>
      <rPr>
        <b val="true"/>
        <sz val="10"/>
        <rFont val="Noto Sans CJK SC"/>
        <family val="2"/>
      </rPr>
      <t xml:space="preserve">可轉債稀釋（若轉換法；第一輪判斷價＝現價，第二輪＝</t>
    </r>
    <r>
      <rPr>
        <b val="true"/>
        <sz val="10"/>
        <rFont val="Arial"/>
        <family val="0"/>
        <charset val="1"/>
      </rPr>
      <t xml:space="preserve">MIN(</t>
    </r>
    <r>
      <rPr>
        <b val="true"/>
        <sz val="10"/>
        <rFont val="Noto Sans CJK SC"/>
        <family val="2"/>
      </rPr>
      <t xml:space="preserve">現價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第一輪目標價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）</t>
    </r>
  </si>
  <si>
    <t xml:space="preserve">第一輪：轉股股數</t>
  </si>
  <si>
    <r>
      <rPr>
        <sz val="9"/>
        <color rgb="FF595959"/>
        <rFont val="Noto Sans CJK SC"/>
        <family val="2"/>
      </rPr>
      <t xml:space="preserve">有效轉換價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現價的可轉債：原始本金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轉換價</t>
    </r>
  </si>
  <si>
    <t xml:space="preserve">第一輪：評價股數</t>
  </si>
  <si>
    <t xml:space="preserve">第一輪：評價淨負債</t>
  </si>
  <si>
    <t xml:space="preserve">＝不含可轉債的淨負債＋債務處理可轉債到期本金＋調整項</t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</si>
  <si>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融資後股數</t>
    </r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</si>
  <si>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</si>
  <si>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每股（評價日）</t>
    </r>
  </si>
  <si>
    <r>
      <rPr>
        <sz val="9"/>
        <color rgb="FF595959"/>
        <rFont val="Noto Sans CJK SC"/>
        <family val="2"/>
      </rPr>
      <t xml:space="preserve">與上方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同算法，只換股數與淨負債</t>
    </r>
  </si>
  <si>
    <t xml:space="preserve">第一輪：錨定年末淨負債</t>
  </si>
  <si>
    <t xml:space="preserve">＝融資表錨定年末淨負債＋（融資分類為轉股、評價分類為債務的到期本金）＋調整項</t>
  </si>
  <si>
    <t xml:space="preserve">第一輪：錨定年末股數</t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</si>
  <si>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</t>
    </r>
  </si>
  <si>
    <t xml:space="preserve">第一輪：加權目標價</t>
  </si>
  <si>
    <t xml:space="preserve">第二輪判斷價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</si>
  <si>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現價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第一輪加權目標價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：以較保守者判斷是否價內</t>
    </r>
  </si>
  <si>
    <t xml:space="preserve">第二輪：轉股股數</t>
  </si>
  <si>
    <r>
      <rPr>
        <sz val="9"/>
        <color rgb="FF595959"/>
        <rFont val="Noto Sans CJK SC"/>
        <family val="2"/>
      </rPr>
      <t xml:space="preserve">有效轉換價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第二輪判斷價的可轉債</t>
    </r>
  </si>
  <si>
    <t xml:space="preserve">第二輪：債務處理到期本金</t>
  </si>
  <si>
    <t xml:space="preserve">評價股數（含可轉債轉股）</t>
  </si>
  <si>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、損益股數與錨定年末股數的起點</t>
    </r>
  </si>
  <si>
    <t xml:space="preserve">評價淨負債（含可轉債與調整項）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</si>
  <si>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減項與 </t>
    </r>
    <r>
      <rPr>
        <sz val="9"/>
        <color rgb="FF595959"/>
        <rFont val="Arial"/>
        <family val="0"/>
        <charset val="1"/>
      </rPr>
      <t xml:space="preserve">Merton </t>
    </r>
    <r>
      <rPr>
        <sz val="9"/>
        <color rgb="FF595959"/>
        <rFont val="Noto Sans CJK SC"/>
        <family val="2"/>
      </rPr>
      <t xml:space="preserve">履約價</t>
    </r>
  </si>
  <si>
    <t xml:space="preserve">錨定年末淨負債調整（可轉債分類差＋調整項）</t>
  </si>
  <si>
    <t xml:space="preserve">融資現金流依『融資分類』（判斷價＝股權發行價）；評價依第二輪分類，差額在錨定年末淨負債補回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</si>
  <si>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權重說明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</si>
  <si>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被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截斷時顯示；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失效時改為一句；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為正時空白（與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同一字串）</t>
    </r>
  </si>
  <si>
    <t xml:space="preserve">目標價區間（情境區間、方法區間；評等仍依點位）</t>
  </si>
  <si>
    <t xml:space="preserve">目標價區間｜點位（目前輸入的加權目標價）</t>
  </si>
  <si>
    <r>
      <rPr>
        <sz val="10"/>
        <rFont val="Noto Sans CJK SC"/>
        <family val="2"/>
      </rPr>
      <t xml:space="preserve">目標價區間｜終值占 </t>
    </r>
    <r>
      <rPr>
        <sz val="10"/>
        <rFont val="Arial"/>
        <family val="0"/>
        <charset val="1"/>
      </rPr>
      <t xml:space="preserve">EV</t>
    </r>
    <r>
      <rPr>
        <sz val="10"/>
        <rFont val="Noto Sans CJK SC"/>
        <family val="2"/>
      </rPr>
      <t xml:space="preserve">（評等用）</t>
    </r>
  </si>
  <si>
    <r>
      <rPr>
        <sz val="10"/>
        <rFont val="Noto Sans CJK SC"/>
        <family val="2"/>
      </rPr>
      <t xml:space="preserve">目標價區間｜股權募資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現市值（評等用）</t>
    </r>
  </si>
  <si>
    <r>
      <rPr>
        <sz val="10"/>
        <rFont val="Noto Sans CJK SC"/>
        <family val="2"/>
      </rPr>
      <t xml:space="preserve">目標價區間｜點位評等代碼（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＝賣出）</t>
    </r>
  </si>
  <si>
    <r>
      <rPr>
        <sz val="10"/>
        <rFont val="Noto Sans CJK SC"/>
        <family val="2"/>
      </rPr>
      <t xml:space="preserve">目標價區間｜賣出門檻價（現價 </t>
    </r>
    <r>
      <rPr>
        <sz val="10"/>
        <rFont val="Arial"/>
        <family val="0"/>
        <charset val="1"/>
      </rPr>
      <t xml:space="preserve">× (1 − 15%)</t>
    </r>
    <r>
      <rPr>
        <sz val="10"/>
        <rFont val="Noto Sans CJK SC"/>
        <family val="2"/>
      </rPr>
      <t xml:space="preserve">）</t>
    </r>
  </si>
  <si>
    <t xml:space="preserve">目標價區間｜保守 只有已簽約（加權目標價／評等代碼／距賣出門檻）</t>
  </si>
  <si>
    <r>
      <rPr>
        <sz val="9"/>
        <color rgb="FF595959"/>
        <rFont val="Noto Sans CJK SC"/>
        <family val="2"/>
      </rPr>
      <t xml:space="preserve">引用『輸入與假設』底部模擬運算表（情境選擇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），保留其餘手動輸入</t>
    </r>
  </si>
  <si>
    <r>
      <rPr>
        <sz val="10"/>
        <rFont val="Noto Sans CJK SC"/>
        <family val="2"/>
      </rPr>
      <t xml:space="preserve">目標價區間｜基準 加 </t>
    </r>
    <r>
      <rPr>
        <sz val="10"/>
        <rFont val="Arial"/>
        <family val="0"/>
        <charset val="1"/>
      </rPr>
      <t xml:space="preserve">NC-1 </t>
    </r>
    <r>
      <rPr>
        <sz val="10"/>
        <rFont val="Noto Sans CJK SC"/>
        <family val="2"/>
      </rPr>
      <t xml:space="preserve">下一批（加權目標價／評等代碼／距賣出門檻）</t>
    </r>
  </si>
  <si>
    <r>
      <rPr>
        <sz val="10"/>
        <rFont val="Noto Sans CJK SC"/>
        <family val="2"/>
      </rPr>
      <t xml:space="preserve">目標價區間｜積極 </t>
    </r>
    <r>
      <rPr>
        <sz val="10"/>
        <rFont val="Arial"/>
        <family val="0"/>
        <charset val="1"/>
      </rPr>
      <t xml:space="preserve">NC-2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Krambu</t>
    </r>
    <r>
      <rPr>
        <sz val="10"/>
        <rFont val="Noto Sans CJK SC"/>
        <family val="2"/>
      </rPr>
      <t xml:space="preserve">（加權目標價／評等代碼／距賣出門檻）</t>
    </r>
  </si>
  <si>
    <t xml:space="preserve">目標價區間｜情境區間（下緣／上緣）</t>
  </si>
  <si>
    <t xml:space="preserve">目標價區間｜方法區間倍數（下端／上端）</t>
  </si>
  <si>
    <t xml:space="preserve">目標價區間｜方法區間（下緣／上緣）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</si>
  <si>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 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腿（倍數換成兩端）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</t>
    </r>
  </si>
  <si>
    <r>
      <rPr>
        <sz val="10"/>
        <rFont val="Noto Sans CJK SC"/>
        <family val="2"/>
      </rPr>
      <t xml:space="preserve">目標價區間｜</t>
    </r>
    <r>
      <rPr>
        <sz val="10"/>
        <rFont val="Arial"/>
        <family val="0"/>
        <charset val="1"/>
      </rPr>
      <t xml:space="preserve">100% EV/EBITDA </t>
    </r>
    <r>
      <rPr>
        <sz val="10"/>
        <rFont val="Noto Sans CJK SC"/>
        <family val="2"/>
      </rPr>
      <t xml:space="preserve">目標價（價位／評等代碼）</t>
    </r>
  </si>
  <si>
    <r>
      <rPr>
        <sz val="10"/>
        <rFont val="Noto Sans CJK SC"/>
        <family val="2"/>
      </rPr>
      <t xml:space="preserve">目標價區間｜未截斷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</t>
    </r>
  </si>
  <si>
    <t xml:space="preserve">目標價區間｜點位摘要</t>
  </si>
  <si>
    <t xml:space="preserve">目標價區間｜方法區間標籤</t>
  </si>
  <si>
    <t xml:space="preserve">目標價區間｜點位位置</t>
  </si>
  <si>
    <t xml:space="preserve">目標價區間｜判斷句</t>
  </si>
  <si>
    <r>
      <rPr>
        <b val="true"/>
        <sz val="10"/>
        <rFont val="Noto Sans CJK SC"/>
        <family val="2"/>
      </rPr>
      <t xml:space="preserve">錨定年度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倍數矩陣（每股；以 </t>
    </r>
    <r>
      <rPr>
        <b val="true"/>
        <sz val="10"/>
        <rFont val="Arial"/>
        <family val="0"/>
        <charset val="1"/>
      </rPr>
      <t xml:space="preserve">WACC </t>
    </r>
    <r>
      <rPr>
        <b val="true"/>
        <sz val="10"/>
        <rFont val="Noto Sans CJK SC"/>
        <family val="2"/>
      </rPr>
      <t xml:space="preserve">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</si>
  <si>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雲端 倍數 ＼ 錨定（</t>
    </r>
    <r>
      <rPr>
        <b val="true"/>
        <sz val="11"/>
        <color rgb="FFFFFFFF"/>
        <rFont val="Arial"/>
        <family val="0"/>
        <charset val="1"/>
      </rPr>
      <t xml:space="preserve">EV/EBITDA </t>
    </r>
    <r>
      <rPr>
        <b val="true"/>
        <sz val="11"/>
        <color rgb="FFFFFFFF"/>
        <rFont val="Noto Sans CJK SC"/>
        <family val="2"/>
      </rPr>
      <t xml:space="preserve">腿）</t>
    </r>
  </si>
  <si>
    <t xml:space="preserve">倍數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</si>
  <si>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倍數＋託管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託管倍數 − 錨定年末淨負債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錨定年末股數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折現因子；加權＝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 ＋ 腿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有效權重。綠底＝不低於現價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</si>
  <si>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</si>
  <si>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</si>
  <si>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</si>
  <si>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</si>
  <si>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7.0x</t>
    </r>
  </si>
  <si>
    <t xml:space="preserve">雲端 倍數 ＼ 錨定（加權目標價）</t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</si>
  <si>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</si>
  <si>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</si>
  <si>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</si>
  <si>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</si>
  <si>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</si>
  <si>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4"/>
        <rFont val="Noto Sans CJK SC"/>
        <family val="2"/>
      </rPr>
      <t xml:space="preserve">反向 </t>
    </r>
    <r>
      <rPr>
        <b val="true"/>
        <sz val="14"/>
        <rFont val="Arial"/>
        <family val="0"/>
        <charset val="1"/>
      </rPr>
      <t xml:space="preserve">DCF — </t>
    </r>
    <r>
      <rPr>
        <b val="true"/>
        <sz val="14"/>
        <rFont val="Noto Sans CJK SC"/>
        <family val="2"/>
      </rPr>
      <t xml:space="preserve">現價隱含什麼樣的收入與成本</t>
    </r>
  </si>
  <si>
    <r>
      <rPr>
        <sz val="9"/>
        <color rgb="FF595959"/>
        <rFont val="Noto Sans CJK SC"/>
        <family val="2"/>
      </rPr>
      <t xml:space="preserve">不是問「值多少」，而是問「要值現價，營運要長什麼樣」。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以『目標搜尋』反解；下方另附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即時計算結果的快照（</t>
    </r>
    <r>
      <rPr>
        <sz val="9"/>
        <color rgb="FF595959"/>
        <rFont val="Arial"/>
        <family val="0"/>
        <charset val="1"/>
      </rPr>
      <t xml:space="preserve">v4.0 </t>
    </r>
    <r>
      <rPr>
        <sz val="9"/>
        <color rgb="FF595959"/>
        <rFont val="Noto Sans CJK SC"/>
        <family val="2"/>
      </rPr>
      <t xml:space="preserve">預設輸入）</t>
    </r>
  </si>
  <si>
    <r>
      <rPr>
        <b val="true"/>
        <sz val="10"/>
        <rFont val="Noto Sans CJK SC"/>
        <family val="2"/>
      </rPr>
      <t xml:space="preserve">即時：目前 </t>
    </r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與現價的差距</t>
    </r>
  </si>
  <si>
    <r>
      <rPr>
        <sz val="10"/>
        <rFont val="Noto Sans CJK SC"/>
        <family val="2"/>
      </rPr>
      <t xml:space="preserve">目前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每股（依下限方式）</t>
    </r>
  </si>
  <si>
    <r>
      <rPr>
        <b val="true"/>
        <sz val="10"/>
        <rFont val="Noto Sans CJK SC"/>
        <family val="2"/>
      </rPr>
      <t xml:space="preserve">差距（</t>
    </r>
    <r>
      <rPr>
        <b val="true"/>
        <sz val="10"/>
        <rFont val="Arial"/>
        <family val="0"/>
        <charset val="1"/>
      </rPr>
      <t xml:space="preserve">DCF − </t>
    </r>
    <r>
      <rPr>
        <b val="true"/>
        <sz val="10"/>
        <rFont val="Noto Sans CJK SC"/>
        <family val="2"/>
      </rPr>
      <t xml:space="preserve">現價）＝目標搜尋的『設定儲存格』</t>
    </r>
  </si>
  <si>
    <r>
      <rPr>
        <sz val="10"/>
        <rFont val="Noto Sans CJK SC"/>
        <family val="2"/>
      </rPr>
      <t xml:space="preserve">目前每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年收入倍數／建置成本倍數</t>
    </r>
  </si>
  <si>
    <t xml:space="preserve">操作：用『目標搜尋』反解（資料 → 模擬分析 → 目標搜尋）</t>
  </si>
  <si>
    <r>
      <rPr>
        <sz val="9"/>
        <color rgb="FF595959"/>
        <rFont val="Noto Sans CJK SC"/>
        <family val="2"/>
      </rPr>
      <t xml:space="preserve">① 設定儲存格：本頁 </t>
    </r>
    <r>
      <rPr>
        <sz val="9"/>
        <color rgb="FF595959"/>
        <rFont val="Arial"/>
        <family val="0"/>
        <charset val="1"/>
      </rPr>
      <t xml:space="preserve">B7</t>
    </r>
    <r>
      <rPr>
        <sz val="9"/>
        <color rgb="FF595959"/>
        <rFont val="Noto Sans CJK SC"/>
        <family val="2"/>
      </rPr>
      <t xml:space="preserve">；目標值：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</si>
  <si>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Noto Sans CJK SC"/>
        <family val="2"/>
      </rPr>
      <t xml:space="preserve">② 變數儲存格（擇一）：輸入與假設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年收入倍數』→ 市價隱含單價；或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建置成本倍數』→ 市價隱含建置成本；或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區『穩態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率』</t>
    </r>
  </si>
  <si>
    <r>
      <rPr>
        <sz val="9"/>
        <color rgb="FF595959"/>
        <rFont val="Noto Sans CJK SC"/>
        <family val="2"/>
      </rPr>
      <t xml:space="preserve">③ 解完請記下結果，再把倍數改回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（或按 </t>
    </r>
    <r>
      <rPr>
        <sz val="9"/>
        <color rgb="FF595959"/>
        <rFont val="Arial"/>
        <family val="0"/>
        <charset val="1"/>
      </rPr>
      <t xml:space="preserve">Ctrl+Z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截斷時，負值區域斜率為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，請從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以上開始搜尋</t>
    </r>
  </si>
  <si>
    <r>
      <rPr>
        <sz val="9"/>
        <color rgb="FF595959"/>
        <rFont val="Noto Sans CJK SC"/>
        <family val="2"/>
      </rPr>
      <t xml:space="preserve">④ 組合分析：先把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區建置成本倍數與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率設為想測的值，再對『每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年收入倍數』做目標搜尋，即得下方矩陣中的一格</t>
    </r>
  </si>
  <si>
    <r>
      <rPr>
        <b val="true"/>
        <sz val="10"/>
        <rFont val="Noto Sans CJK SC"/>
        <family val="2"/>
      </rPr>
      <t xml:space="preserve">快照：單一槓桿（</t>
    </r>
    <r>
      <rPr>
        <b val="true"/>
        <sz val="10"/>
        <rFont val="Arial"/>
        <family val="0"/>
        <charset val="1"/>
      </rPr>
      <t xml:space="preserve">HTML v4.0 </t>
    </r>
    <r>
      <rPr>
        <b val="true"/>
        <sz val="10"/>
        <rFont val="Noto Sans CJK SC"/>
        <family val="2"/>
      </rPr>
      <t xml:space="preserve">預設輸入，</t>
    </r>
    <r>
      <rPr>
        <b val="true"/>
        <sz val="10"/>
        <rFont val="Arial"/>
        <family val="0"/>
        <charset val="1"/>
      </rPr>
      <t xml:space="preserve">DCF 0 </t>
    </r>
    <r>
      <rPr>
        <b val="true"/>
        <sz val="10"/>
        <rFont val="Noto Sans CJK SC"/>
        <family val="2"/>
      </rPr>
      <t xml:space="preserve">截斷）</t>
    </r>
  </si>
  <si>
    <t xml:space="preserve">單一槓桿（其他不變）</t>
  </si>
  <si>
    <t xml:space="preserve">目前</t>
  </si>
  <si>
    <t xml:space="preserve">市價隱含</t>
  </si>
  <si>
    <t xml:space="preserve">變動</t>
  </si>
  <si>
    <t xml:space="preserve">對照</t>
  </si>
  <si>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</si>
  <si>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WhiteFiber </t>
    </r>
    <r>
      <rPr>
        <sz val="9"/>
        <color rgb="FF595959"/>
        <rFont val="Noto Sans CJK SC"/>
        <family val="2"/>
      </rPr>
      <t xml:space="preserve">對照：新簽雲端長約隱含 </t>
    </r>
    <r>
      <rPr>
        <sz val="9"/>
        <color rgb="FF595959"/>
        <rFont val="Arial"/>
        <family val="0"/>
        <charset val="1"/>
      </rPr>
      <t xml:space="preserve">14.8–20.3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經常性年化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冰島 </t>
    </r>
    <r>
      <rPr>
        <sz val="9"/>
        <color rgb="FF595959"/>
        <rFont val="Arial"/>
        <family val="0"/>
        <charset val="1"/>
      </rPr>
      <t xml:space="preserve">5.5 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8.37</t>
    </r>
    <r>
      <rPr>
        <sz val="9"/>
        <color rgb="FF595959"/>
        <rFont val="Noto Sans CJK SC"/>
        <family val="2"/>
      </rPr>
      <t xml:space="preserve">（上限）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</si>
  <si>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</si>
  <si>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Tokenomics IF_CapexIT 37.45–37.59 US$m/MW-IT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Noto Sans CJK SC"/>
        <family val="2"/>
      </rPr>
      <t xml:space="preserve">；機房另計）</t>
    </r>
  </si>
  <si>
    <r>
      <rPr>
        <sz val="9"/>
        <color rgb="FF595959"/>
        <rFont val="Noto Sans CJK SC"/>
        <family val="2"/>
      </rPr>
      <t xml:space="preserve">雲端（算力）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率；託管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率固定不動。可觀察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Noto Sans CJK SC"/>
        <family val="2"/>
      </rPr>
      <t xml:space="preserve">（變動為百分點）</t>
    </r>
  </si>
  <si>
    <r>
      <rPr>
        <sz val="10"/>
        <rFont val="Noto Sans CJK SC"/>
        <family val="2"/>
      </rPr>
      <t xml:space="preserve">（對照）加權目標價＝現價所需每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</si>
  <si>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腿（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錨定）；非純反向 </t>
    </r>
    <r>
      <rPr>
        <sz val="9"/>
        <color rgb="FF595959"/>
        <rFont val="Arial"/>
        <family val="0"/>
        <charset val="1"/>
      </rPr>
      <t xml:space="preserve">DCF</t>
    </r>
  </si>
  <si>
    <r>
      <rPr>
        <b val="true"/>
        <sz val="10"/>
        <rFont val="Noto Sans CJK SC"/>
        <family val="2"/>
      </rPr>
      <t xml:space="preserve">快照：收入與成本的綜合影響——要值現價，</t>
    </r>
    <r>
      <rPr>
        <b val="true"/>
        <sz val="10"/>
        <rFont val="Arial"/>
        <family val="0"/>
        <charset val="1"/>
      </rPr>
      <t xml:space="preserve">FY30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年收入需要多少（</t>
    </r>
    <r>
      <rPr>
        <b val="true"/>
        <sz val="10"/>
        <rFont val="Arial"/>
        <family val="0"/>
        <charset val="1"/>
      </rPr>
      <t xml:space="preserve">US$m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</si>
  <si>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建置成本 ＼ 穩態 </t>
    </r>
    <r>
      <rPr>
        <b val="true"/>
        <sz val="11"/>
        <color rgb="FFFFFFFF"/>
        <rFont val="Arial"/>
        <family val="0"/>
        <charset val="1"/>
      </rPr>
      <t xml:space="preserve">EBITDA </t>
    </r>
    <r>
      <rPr>
        <b val="true"/>
        <sz val="11"/>
        <color rgb="FFFFFFFF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</si>
  <si>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矩陣保留 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率維度：託管（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 </t>
    </r>
    <r>
      <rPr>
        <sz val="9"/>
        <color rgb="FF595959"/>
        <rFont val="Arial"/>
        <family val="0"/>
        <charset val="1"/>
      </rPr>
      <t xml:space="preserve">52.2%→65.0%</t>
    </r>
    <r>
      <rPr>
        <sz val="9"/>
        <color rgb="FF595959"/>
        <rFont val="Noto Sans CJK SC"/>
        <family val="2"/>
      </rPr>
      <t xml:space="preserve">、託管同業倍數）不隨此表變動</t>
    </r>
  </si>
  <si>
    <r>
      <rPr>
        <sz val="10"/>
        <rFont val="Arial"/>
        <family val="0"/>
        <charset val="1"/>
      </rPr>
      <t xml:space="preserve">$26.3m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-30%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</si>
  <si>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$30.1m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-20%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</si>
  <si>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$33.8m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-10%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</si>
  <si>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$37.6m</t>
    </r>
    <r>
      <rPr>
        <sz val="10"/>
        <rFont val="Noto Sans CJK SC"/>
        <family val="2"/>
      </rPr>
      <t xml:space="preserve">（目前）</t>
    </r>
  </si>
  <si>
    <r>
      <rPr>
        <sz val="10"/>
        <rFont val="Arial"/>
        <family val="0"/>
        <charset val="1"/>
      </rPr>
      <t xml:space="preserve">$41.3m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+10%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</si>
  <si>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快照為靜態數值（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以同一引擎即時計算）；改變輸入後請以目標搜尋重算，或參考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『評價 → 反向 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』</t>
    </r>
  </si>
  <si>
    <r>
      <rPr>
        <b val="true"/>
        <sz val="14"/>
        <rFont val="Noto Sans CJK SC"/>
        <family val="2"/>
      </rPr>
      <t xml:space="preserve">可比公司 — 以 </t>
    </r>
    <r>
      <rPr>
        <b val="true"/>
        <sz val="14"/>
        <rFont val="Arial"/>
        <family val="0"/>
        <charset val="1"/>
      </rPr>
      <t xml:space="preserve">EV/Sales </t>
    </r>
    <r>
      <rPr>
        <b val="true"/>
        <sz val="14"/>
        <rFont val="Noto Sans CJK SC"/>
        <family val="2"/>
      </rPr>
      <t xml:space="preserve">為主（市值：</t>
    </r>
    <r>
      <rPr>
        <b val="true"/>
        <sz val="14"/>
        <rFont val="Arial"/>
        <family val="0"/>
        <charset val="1"/>
      </rPr>
      <t xml:space="preserve">2026-10-07 </t>
    </r>
    <r>
      <rPr>
        <b val="true"/>
        <sz val="14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</si>
  <si>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＝市值＋（有息負債−非受限現金）；含租賃＝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＋營業租賃負債。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僅供參考（</t>
    </r>
    <r>
      <rPr>
        <sz val="9"/>
        <color rgb="FF595959"/>
        <rFont val="Arial"/>
        <family val="0"/>
        <charset val="1"/>
      </rPr>
      <t xml:space="preserve">GAAP EBITDA </t>
    </r>
    <r>
      <rPr>
        <sz val="9"/>
        <color rgb="FF595959"/>
        <rFont val="Noto Sans CJK SC"/>
        <family val="2"/>
      </rPr>
      <t xml:space="preserve">為負者顯示 </t>
    </r>
    <r>
      <rPr>
        <sz val="9"/>
        <color rgb="FF595959"/>
        <rFont val="Arial"/>
        <family val="0"/>
        <charset val="1"/>
      </rPr>
      <t xml:space="preserve">n/m</t>
    </r>
    <r>
      <rPr>
        <sz val="9"/>
        <color rgb="FF595959"/>
        <rFont val="Noto Sans CJK SC"/>
        <family val="2"/>
      </rPr>
      <t xml:space="preserve">）。此表不進入目標價。與 </t>
    </r>
    <r>
      <rPr>
        <sz val="9"/>
        <color rgb="FF595959"/>
        <rFont val="Arial"/>
        <family val="0"/>
        <charset val="1"/>
      </rPr>
      <t xml:space="preserve">HTML Comps </t>
    </r>
    <r>
      <rPr>
        <sz val="9"/>
        <color rgb="FF595959"/>
        <rFont val="Noto Sans CJK SC"/>
        <family val="2"/>
      </rPr>
      <t xml:space="preserve">分頁同一組數字</t>
    </r>
  </si>
  <si>
    <t xml:space="preserve">公司</t>
  </si>
  <si>
    <t xml:space="preserve">市值</t>
  </si>
  <si>
    <t xml:space="preserve">淨負債</t>
  </si>
  <si>
    <t xml:space="preserve">EV</t>
  </si>
  <si>
    <r>
      <rPr>
        <b val="true"/>
        <sz val="11"/>
        <color rgb="FFFFFFFF"/>
        <rFont val="Arial"/>
        <family val="0"/>
        <charset val="1"/>
      </rPr>
      <t xml:space="preserve">TTM </t>
    </r>
    <r>
      <rPr>
        <b val="true"/>
        <sz val="11"/>
        <color rgb="FFFFFFFF"/>
        <rFont val="Noto Sans CJK SC"/>
        <family val="2"/>
      </rPr>
      <t xml:space="preserve">營收</t>
    </r>
  </si>
  <si>
    <r>
      <rPr>
        <b val="true"/>
        <sz val="11"/>
        <color rgb="FFFFFFFF"/>
        <rFont val="Arial"/>
        <family val="0"/>
        <charset val="1"/>
      </rPr>
      <t xml:space="preserve">EV/Sales</t>
    </r>
    <r>
      <rPr>
        <b val="true"/>
        <sz val="11"/>
        <color rgb="FFFFFFFF"/>
        <rFont val="Noto Sans CJK SC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TTM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</si>
  <si>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含租賃 </t>
    </r>
    <r>
      <rPr>
        <b val="true"/>
        <sz val="11"/>
        <color rgb="FFFFFFFF"/>
        <rFont val="Arial"/>
        <family val="0"/>
        <charset val="1"/>
      </rPr>
      <t xml:space="preserve">EV/Sales</t>
    </r>
  </si>
  <si>
    <t xml:space="preserve">TTM EBITDA</t>
  </si>
  <si>
    <t xml:space="preserve">EV/EBITDA</t>
  </si>
  <si>
    <t xml:space="preserve">資料期</t>
  </si>
  <si>
    <t xml:space="preserve">CRWV CoreWeave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</si>
  <si>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）；市值與 </t>
    </r>
    <r>
      <rPr>
        <sz val="9"/>
        <color rgb="FF595959"/>
        <rFont val="Arial"/>
        <family val="0"/>
        <charset val="1"/>
      </rPr>
      <t xml:space="preserve">EV 2026-10-07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</si>
  <si>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16540.0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-231.0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3991.0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EV 2026-10-07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；租賃負債 </t>
    </r>
    <r>
      <rPr>
        <sz val="9"/>
        <color rgb="FF595959"/>
        <rFont val="Arial"/>
        <family val="0"/>
        <charset val="1"/>
      </rPr>
      <t xml:space="preserve">16.54</t>
    </r>
  </si>
  <si>
    <t xml:space="preserve">NBIS Nebius</t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</si>
  <si>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；營業損益與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FY2025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20-F</t>
    </r>
    <r>
      <rPr>
        <sz val="9"/>
        <color rgb="FF595959"/>
        <rFont val="Noto Sans CJK SC"/>
        <family val="2"/>
      </rPr>
      <t xml:space="preserve">）；市值與 </t>
    </r>
    <r>
      <rPr>
        <sz val="9"/>
        <color rgb="FF595959"/>
        <rFont val="Arial"/>
        <family val="0"/>
        <charset val="1"/>
      </rPr>
      <t xml:space="preserve">EV 2026-10-06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</si>
  <si>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1625.3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-612.0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418.0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EV 2026-10-06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FY2025</t>
    </r>
  </si>
  <si>
    <t xml:space="preserve">IREN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</si>
  <si>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</si>
  <si>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3.0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-1047.0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418.0</t>
    </r>
    <r>
      <rPr>
        <sz val="9"/>
        <color rgb="FF595959"/>
        <rFont val="Noto Sans CJK SC"/>
        <family val="2"/>
      </rPr>
      <t xml:space="preserve">。自有電廠、營業租賃負債僅 </t>
    </r>
    <r>
      <rPr>
        <sz val="9"/>
        <color rgb="FF595959"/>
        <rFont val="Arial"/>
        <family val="0"/>
        <charset val="1"/>
      </rPr>
      <t xml:space="preserve">3m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合約 </t>
    </r>
    <r>
      <rPr>
        <sz val="9"/>
        <color rgb="FF595959"/>
        <rFont val="Arial"/>
        <family val="0"/>
        <charset val="1"/>
      </rPr>
      <t xml:space="preserve">ARR 4,000m</t>
    </r>
  </si>
  <si>
    <t xml:space="preserve">APLD Applied Digital</t>
  </si>
  <si>
    <r>
      <rPr>
        <sz val="9"/>
        <color rgb="FF595959"/>
        <rFont val="Noto Sans CJK SC"/>
        <family val="2"/>
      </rPr>
      <t xml:space="preserve">市值 </t>
    </r>
    <r>
      <rPr>
        <sz val="9"/>
        <color rgb="FF595959"/>
        <rFont val="Arial"/>
        <family val="0"/>
        <charset val="1"/>
      </rPr>
      <t xml:space="preserve">6.94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EV 14.81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2026-10-07 </t>
    </r>
    <r>
      <rPr>
        <sz val="9"/>
        <color rgb="FF595959"/>
        <rFont val="Noto Sans CJK SC"/>
        <family val="2"/>
      </rPr>
      <t xml:space="preserve">收盤，</t>
    </r>
    <r>
      <rPr>
        <sz val="9"/>
        <color rgb="FF595959"/>
        <rFont val="Arial"/>
        <family val="0"/>
        <charset val="1"/>
      </rPr>
      <t xml:space="preserve">v0.1a val.peer.apld</t>
    </r>
    <r>
      <rPr>
        <sz val="9"/>
        <color rgb="FF595959"/>
        <rFont val="Noto Sans CJK SC"/>
        <family val="2"/>
      </rPr>
      <t xml:space="preserve">）；營收與損益 </t>
    </r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5/31</t>
    </r>
    <r>
      <rPr>
        <sz val="9"/>
        <color rgb="FF595959"/>
        <rFont val="Noto Sans CJK SC"/>
        <family val="2"/>
      </rPr>
      <t xml:space="preserve">，未更新）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</si>
  <si>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66.0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-236.0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67.0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APLD </t>
    </r>
    <r>
      <rPr>
        <sz val="9"/>
        <color rgb="FF595959"/>
        <rFont val="Noto Sans CJK SC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EV 2026-10-07</t>
    </r>
    <r>
      <rPr>
        <sz val="9"/>
        <color rgb="FF595959"/>
        <rFont val="Noto Sans CJK SC"/>
        <family val="2"/>
      </rPr>
      <t xml:space="preserve">；損益 </t>
    </r>
    <r>
      <rPr>
        <sz val="9"/>
        <color rgb="FF595959"/>
        <rFont val="Arial"/>
        <family val="0"/>
        <charset val="1"/>
      </rPr>
      <t xml:space="preserve">FY26 10-K</t>
    </r>
  </si>
  <si>
    <t xml:space="preserve">CORZ Core Scientific</t>
  </si>
  <si>
    <r>
      <rPr>
        <sz val="9"/>
        <color rgb="FF595959"/>
        <rFont val="Noto Sans CJK SC"/>
        <family val="2"/>
      </rPr>
      <t xml:space="preserve">市值 </t>
    </r>
    <r>
      <rPr>
        <sz val="9"/>
        <color rgb="FF595959"/>
        <rFont val="Arial"/>
        <family val="0"/>
        <charset val="1"/>
      </rPr>
      <t xml:space="preserve">5.75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EV 9.43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2026-09-04 </t>
    </r>
    <r>
      <rPr>
        <sz val="9"/>
        <color rgb="FF595959"/>
        <rFont val="Noto Sans CJK SC"/>
        <family val="2"/>
      </rPr>
      <t xml:space="preserve">收盤，頁面未更新；</t>
    </r>
    <r>
      <rPr>
        <sz val="9"/>
        <color rgb="FF595959"/>
        <rFont val="Arial"/>
        <family val="0"/>
        <charset val="1"/>
      </rPr>
      <t xml:space="preserve">v0.1a val.peer.corz</t>
    </r>
    <r>
      <rPr>
        <sz val="9"/>
        <color rgb="FF595959"/>
        <rFont val="Noto Sans CJK SC"/>
        <family val="2"/>
      </rPr>
      <t xml:space="preserve">）；損益 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（未更新）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</si>
  <si>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109.0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-561.0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63.0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CORZ </t>
    </r>
    <r>
      <rPr>
        <sz val="9"/>
        <color rgb="FF595959"/>
        <rFont val="Noto Sans CJK SC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EV 2026-09-04</t>
    </r>
    <r>
      <rPr>
        <sz val="9"/>
        <color rgb="FF595959"/>
        <rFont val="Noto Sans CJK SC"/>
        <family val="2"/>
      </rPr>
      <t xml:space="preserve">（未更新）</t>
    </r>
  </si>
  <si>
    <t xml:space="preserve">同業中位數</t>
  </si>
  <si>
    <r>
      <rPr>
        <b val="true"/>
        <sz val="10"/>
        <rFont val="Arial"/>
        <family val="0"/>
        <charset val="1"/>
      </rPr>
      <t xml:space="preserve">WYFI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TTM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Q2 2026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</si>
  <si>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 2026</t>
    </r>
  </si>
  <si>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2026-10-07 </t>
    </r>
    <r>
      <rPr>
        <sz val="9"/>
        <color rgb="FF595959"/>
        <rFont val="Noto Sans CJK SC"/>
        <family val="2"/>
      </rPr>
      <t xml:space="preserve">市值（基本股）與評價日淨負債（可轉債全數以到期本金計入）；含租賃再加營業租賃負債 </t>
    </r>
    <r>
      <rPr>
        <sz val="9"/>
        <color rgb="FF595959"/>
        <rFont val="Arial"/>
        <family val="0"/>
        <charset val="1"/>
      </rPr>
      <t xml:space="preserve">15.376</t>
    </r>
  </si>
  <si>
    <r>
      <rPr>
        <sz val="10"/>
        <rFont val="Arial"/>
        <family val="0"/>
        <charset val="1"/>
      </rPr>
      <t xml:space="preserve">WYFI </t>
    </r>
    <r>
      <rPr>
        <sz val="10"/>
        <rFont val="Noto Sans CJK SC"/>
        <family val="2"/>
      </rPr>
      <t xml:space="preserve">模型 </t>
    </r>
    <r>
      <rPr>
        <sz val="10"/>
        <rFont val="Arial"/>
        <family val="0"/>
        <charset val="1"/>
      </rPr>
      <t xml:space="preserve">FY27E</t>
    </r>
  </si>
  <si>
    <r>
      <rPr>
        <sz val="9"/>
        <color rgb="FF595959"/>
        <rFont val="Noto Sans CJK SC"/>
        <family val="2"/>
      </rPr>
      <t xml:space="preserve">市值用評價股數（含價內可轉債轉股）、淨負債用評價淨負債；分母為模型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</si>
  <si>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WYFI </t>
    </r>
    <r>
      <rPr>
        <sz val="9"/>
        <color rgb="FF595959"/>
        <rFont val="Noto Sans CJK SC"/>
        <family val="2"/>
      </rPr>
      <t xml:space="preserve">同時有雲端（短約）與託管（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年長約）；倍數不可直接與純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或純託管同業比較；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</si>
  <si>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以租約取得機房，加入營業租賃負債後倍數上升；</t>
    </r>
    <r>
      <rPr>
        <sz val="9"/>
        <color rgb="FF595959"/>
        <rFont val="Arial"/>
        <family val="0"/>
        <charset val="1"/>
      </rPr>
      <t xml:space="preserve">WYFI </t>
    </r>
    <r>
      <rPr>
        <sz val="9"/>
        <color rgb="FF595959"/>
        <rFont val="Noto Sans CJK SC"/>
        <family val="2"/>
      </rPr>
      <t xml:space="preserve">雲端以第三方機房承租為主、託管站點自有。</t>
    </r>
  </si>
  <si>
    <r>
      <rPr>
        <sz val="9"/>
        <color rgb="FF595959"/>
        <rFont val="Noto Sans CJK SC"/>
        <family val="2"/>
      </rPr>
      <t xml:space="preserve">前瞻：見下方 </t>
    </r>
    <r>
      <rPr>
        <sz val="9"/>
        <color rgb="FF595959"/>
        <rFont val="Arial"/>
        <family val="0"/>
        <charset val="1"/>
      </rPr>
      <t xml:space="preserve">WYFI </t>
    </r>
    <r>
      <rPr>
        <sz val="9"/>
        <color rgb="FF595959"/>
        <rFont val="Noto Sans CJK SC"/>
        <family val="2"/>
      </rPr>
      <t xml:space="preserve">模型列。此表為市場比較用，不進入目標價。</t>
    </r>
  </si>
  <si>
    <t xml:space="preserve">連動檢查 — 恆等式與口徑</t>
  </si>
  <si>
    <t xml:space="preserve">檢查項目</t>
  </si>
  <si>
    <t xml:space="preserve">實際值</t>
  </si>
  <si>
    <t xml:space="preserve">標準</t>
  </si>
  <si>
    <t xml:space="preserve">結果</t>
  </si>
  <si>
    <r>
      <rPr>
        <sz val="9"/>
        <color rgb="FF595959"/>
        <rFont val="Noto Sans CJK SC"/>
        <family val="2"/>
      </rPr>
      <t xml:space="preserve">季報桶線性分攤後應為 </t>
    </r>
    <r>
      <rPr>
        <sz val="9"/>
        <color rgb="FF595959"/>
        <rFont val="Arial"/>
        <family val="0"/>
        <charset val="1"/>
      </rPr>
      <t xml:space="preserve">100%</t>
    </r>
  </si>
  <si>
    <t xml:space="preserve">現金橋差異</t>
  </si>
  <si>
    <t xml:space="preserve">期初＋營運缺口＋股權＋額度−還本 ＝ 期末</t>
  </si>
  <si>
    <r>
      <rPr>
        <sz val="10"/>
        <rFont val="Arial"/>
        <family val="0"/>
        <charset val="1"/>
      </rPr>
      <t xml:space="preserve">Billable ≤ Accepted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</si>
  <si>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t xml:space="preserve">≥0</t>
  </si>
  <si>
    <r>
      <rPr>
        <sz val="9"/>
        <color rgb="FF595959"/>
        <rFont val="Noto Sans CJK SC"/>
        <family val="2"/>
      </rPr>
      <t xml:space="preserve">引擎已以 </t>
    </r>
    <r>
      <rPr>
        <sz val="9"/>
        <color rgb="FF595959"/>
        <rFont val="Arial"/>
        <family val="0"/>
        <charset val="1"/>
      </rPr>
      <t xml:space="preserve">MIN </t>
    </r>
    <r>
      <rPr>
        <sz val="9"/>
        <color rgb="FF595959"/>
        <rFont val="Noto Sans CJK SC"/>
        <family val="2"/>
      </rPr>
      <t xml:space="preserve">截斷；此列驗證截斷有效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</si>
  <si>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Noto Sans CJK SC"/>
        <family val="2"/>
      </rPr>
      <t xml:space="preserve">認列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</si>
  <si>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t xml:space="preserve">不適用（公司未給指引）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</si>
  <si>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344.712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模型；全年指引 不適用（公司未給指引）（法說會轉述）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</si>
  <si>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</si>
  <si>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50.762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模型（算力＋非算力服務）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</si>
  <si>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強度（模型期合計）</t>
    </r>
  </si>
  <si>
    <t xml:space="preserve">$28–51m/MW</t>
  </si>
  <si>
    <r>
      <rPr>
        <sz val="9"/>
        <color rgb="FF595959"/>
        <rFont val="Arial"/>
        <family val="0"/>
        <charset val="1"/>
      </rPr>
      <t xml:space="preserve">Tokenomics IF_CapexTotal </t>
    </r>
    <r>
      <rPr>
        <sz val="9"/>
        <color rgb="FF595959"/>
        <rFont val="Noto Sans CJK SC"/>
        <family val="2"/>
      </rPr>
      <t xml:space="preserve">低／高成本情境（</t>
    </r>
    <r>
      <rPr>
        <sz val="9"/>
        <color rgb="FF595959"/>
        <rFont val="Arial"/>
        <family val="0"/>
        <charset val="1"/>
      </rPr>
      <t xml:space="preserve">GB300 38.8–67.1 US$m/MW-IT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</si>
  <si>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表外租金路徑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已承諾</t>
    </r>
  </si>
  <si>
    <t xml:space="preserve">≥0.8x</t>
  </si>
  <si>
    <t xml:space="preserve">表外租金路徑對已簽約未起租租賃</t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</si>
  <si>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</si>
  <si>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t xml:space="preserve">≥8</t>
  </si>
  <si>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起收入是否依賴未簽約</t>
    </r>
  </si>
  <si>
    <r>
      <rPr>
        <sz val="9"/>
        <color rgb="FF595959"/>
        <rFont val="Arial"/>
        <family val="0"/>
        <charset val="1"/>
      </rPr>
      <t xml:space="preserve">&lt;50% </t>
    </r>
    <r>
      <rPr>
        <sz val="9"/>
        <color rgb="FF595959"/>
        <rFont val="Noto Sans CJK SC"/>
        <family val="2"/>
      </rPr>
      <t xml:space="preserve">較穩健</t>
    </r>
  </si>
  <si>
    <r>
      <rPr>
        <sz val="9"/>
        <color rgb="FF595959"/>
        <rFont val="Arial"/>
        <family val="0"/>
        <charset val="1"/>
      </rPr>
      <t xml:space="preserve">FY28–FY30 </t>
    </r>
    <r>
      <rPr>
        <sz val="9"/>
        <color rgb="FF595959"/>
        <rFont val="Noto Sans CJK SC"/>
        <family val="2"/>
      </rPr>
      <t xml:space="preserve">超出期初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同期總算力收入（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驅動下為未簽約產能的比重）</t>
    </r>
  </si>
  <si>
    <t xml:space="preserve">損益營收＝資金營收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</si>
  <si>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損益算力收入 − 產能頁 </t>
    </r>
    <r>
      <rPr>
        <sz val="9"/>
        <color rgb="FF595959"/>
        <rFont val="Arial"/>
        <family val="0"/>
        <charset val="1"/>
      </rPr>
      <t xml:space="preserve">isRev</t>
    </r>
    <r>
      <rPr>
        <sz val="9"/>
        <color rgb="FF595959"/>
        <rFont val="Noto Sans CJK SC"/>
        <family val="2"/>
      </rPr>
      <t xml:space="preserve">。兩邊必須同一組數字</t>
    </r>
  </si>
  <si>
    <t xml:space="preserve">過高表示結論由終值假設決定</t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</si>
  <si>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單一來源（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算力＋服務 </t>
    </r>
    <r>
      <rPr>
        <sz val="10"/>
        <rFont val="Arial"/>
        <family val="0"/>
        <charset val="1"/>
      </rPr>
      <t xml:space="preserve">EBITDA÷</t>
    </r>
    <r>
      <rPr>
        <sz val="10"/>
        <rFont val="Noto Sans CJK SC"/>
        <family val="2"/>
      </rPr>
      <t xml:space="preserve">營收 − 輸入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率）</t>
    </r>
  </si>
  <si>
    <r>
      <rPr>
        <sz val="9"/>
        <color rgb="FF595959"/>
        <rFont val="Noto Sans CJK SC"/>
        <family val="2"/>
      </rPr>
      <t xml:space="preserve">損益與資金引用同一列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</si>
  <si>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＋ 信用調整 − 損益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</si>
  <si>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現金＋新簽約現金＋服務現金−租金；信用調整＝信用損失</t>
    </r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</si>
  <si>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有效性（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＝失效）</t>
    </r>
  </si>
  <si>
    <t xml:space="preserve">0</t>
  </si>
  <si>
    <r>
      <rPr>
        <sz val="9"/>
        <color rgb="FF595959"/>
        <rFont val="Noto Sans CJK SC"/>
        <family val="2"/>
      </rPr>
      <t xml:space="preserve">失效只定義為 </t>
    </r>
    <r>
      <rPr>
        <sz val="9"/>
        <color rgb="FF595959"/>
        <rFont val="Arial"/>
        <family val="0"/>
        <charset val="1"/>
      </rPr>
      <t xml:space="preserve">WACC ≤ g </t>
    </r>
    <r>
      <rPr>
        <sz val="9"/>
        <color rgb="FF595959"/>
        <rFont val="Noto Sans CJK SC"/>
        <family val="2"/>
      </rPr>
      <t xml:space="preserve">或常態化 </t>
    </r>
    <r>
      <rPr>
        <sz val="9"/>
        <color rgb="FF595959"/>
        <rFont val="Arial"/>
        <family val="0"/>
        <charset val="1"/>
      </rPr>
      <t xml:space="preserve">FCF ≤ 0</t>
    </r>
    <r>
      <rPr>
        <sz val="9"/>
        <color rgb="FF595959"/>
        <rFont val="Noto Sans CJK SC"/>
        <family val="2"/>
      </rPr>
      <t xml:space="preserve">；股權為負不算失效</t>
    </r>
  </si>
  <si>
    <t xml:space="preserve">期末現金 ≥ 最低現金（期前融資）</t>
  </si>
  <si>
    <t xml:space="preserve">≥30.0</t>
  </si>
  <si>
    <t xml:space="preserve">瀑布每期補足至最低現金；最小值應等於最低現金</t>
  </si>
  <si>
    <r>
      <rPr>
        <sz val="10"/>
        <rFont val="Noto Sans CJK SC"/>
        <family val="2"/>
      </rPr>
      <t xml:space="preserve">股權募資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</t>
    </r>
  </si>
  <si>
    <r>
      <rPr>
        <sz val="10"/>
        <rFont val="Noto Sans CJK SC"/>
        <family val="2"/>
      </rPr>
      <t xml:space="preserve">債務明細合計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季報本金 </t>
    </r>
    <r>
      <rPr>
        <sz val="10"/>
        <rFont val="Arial"/>
        <family val="0"/>
        <charset val="1"/>
      </rPr>
      <t xml:space="preserve">315.339 − </t>
    </r>
    <r>
      <rPr>
        <sz val="10"/>
        <rFont val="Noto Sans CJK SC"/>
        <family val="2"/>
      </rPr>
      <t xml:space="preserve">以股換債 ＋ 期後新發</t>
    </r>
  </si>
  <si>
    <t xml:space="preserve">466.05</t>
  </si>
  <si>
    <r>
      <rPr>
        <sz val="9"/>
        <color rgb="FF595959"/>
        <rFont val="Noto Sans CJK SC"/>
        <family val="2"/>
      </rPr>
      <t xml:space="preserve">其他借款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筆＋可轉債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檔到期本金（</t>
    </r>
    <r>
      <rPr>
        <sz val="9"/>
        <color rgb="FF595959"/>
        <rFont val="Arial"/>
        <family val="0"/>
        <charset val="1"/>
      </rPr>
      <t xml:space="preserve">company.json → debt.convertibleBridge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</si>
  <si>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公式）</t>
    </r>
  </si>
  <si>
    <r>
      <rPr>
        <sz val="9"/>
        <color rgb="FF595959"/>
        <rFont val="Noto Sans CJK SC"/>
        <family val="2"/>
      </rPr>
      <t xml:space="preserve">由已連網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增量與預建次年推得；指引只作對照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</si>
  <si>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已承諾餘額於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年內履行</t>
    </r>
  </si>
  <si>
    <r>
      <rPr>
        <sz val="10"/>
        <rFont val="Noto Sans CJK SC"/>
        <family val="2"/>
      </rPr>
      <t xml:space="preserve">模型每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年租金（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</si>
  <si>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≥ 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</t>
    </r>
  </si>
  <si>
    <r>
      <rPr>
        <sz val="9"/>
        <color rgb="FF595959"/>
        <rFont val="Noto Sans CJK SC"/>
        <family val="2"/>
      </rPr>
      <t xml:space="preserve">低於基準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占比的八成即標示：模型租金路徑可能低估</t>
    </r>
  </si>
  <si>
    <t xml:space="preserve">站點租賃：五期租金可能低估</t>
  </si>
  <si>
    <t xml:space="preserve">&lt;10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</si>
  <si>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Σ(</t>
    </r>
    <r>
      <rPr>
        <sz val="9"/>
        <color rgb="FF595959"/>
        <rFont val="Noto Sans CJK SC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MW×</t>
    </r>
    <r>
      <rPr>
        <sz val="9"/>
        <color rgb="FF595959"/>
        <rFont val="Noto Sans CJK SC"/>
        <family val="2"/>
      </rPr>
      <t xml:space="preserve">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第三方占比 − 模型租金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</si>
  <si>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對照：</t>
    </r>
    <r>
      <rPr>
        <sz val="10"/>
        <rFont val="Arial"/>
        <family val="0"/>
        <charset val="1"/>
      </rPr>
      <t xml:space="preserve">RPO 36 </t>
    </r>
    <r>
      <rPr>
        <sz val="10"/>
        <rFont val="Noto Sans CJK SC"/>
        <family val="2"/>
      </rPr>
      <t xml:space="preserve">個月內轉換 − 模型 </t>
    </r>
    <r>
      <rPr>
        <sz val="10"/>
        <rFont val="Arial"/>
        <family val="0"/>
        <charset val="1"/>
      </rPr>
      <t xml:space="preserve">36 </t>
    </r>
    <r>
      <rPr>
        <sz val="10"/>
        <rFont val="Noto Sans CJK SC"/>
        <family val="2"/>
      </rPr>
      <t xml:space="preserve">個月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驅動營收</t>
    </r>
  </si>
  <si>
    <t xml:space="preserve">只作對照</t>
  </si>
  <si>
    <r>
      <rPr>
        <sz val="9"/>
        <color rgb="FF595959"/>
        <rFont val="Arial"/>
        <family val="0"/>
        <charset val="1"/>
      </rPr>
      <t xml:space="preserve">RPO 75.146 × 100%</t>
    </r>
    <r>
      <rPr>
        <sz val="9"/>
        <color rgb="FF595959"/>
        <rFont val="Noto Sans CJK SC"/>
        <family val="2"/>
      </rPr>
      <t xml:space="preserve">（含託管）− 模型同期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驅動營收；正值＝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排程高於模型產能營收</t>
    </r>
  </si>
  <si>
    <r>
      <rPr>
        <sz val="10"/>
        <rFont val="Noto Sans CJK SC"/>
        <family val="2"/>
      </rPr>
      <t xml:space="preserve">託管：</t>
    </r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年初至今實際＋模型期 − 全年（四線合計）</t>
    </r>
  </si>
  <si>
    <r>
      <rPr>
        <sz val="9"/>
        <color rgb="FF595959"/>
        <rFont val="Noto Sans CJK SC"/>
        <family val="2"/>
      </rPr>
      <t xml:space="preserve">首期年初至今實際與模型期相加須等於首期全年（工作單 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Noto Sans CJK SC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</si>
  <si>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營收＝在役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利用率（五期差額）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</si>
  <si>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驅動：營收＝平均在役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</si>
  <si>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r>
      <rPr>
        <b val="true"/>
        <sz val="10"/>
        <rFont val="Noto Sans CJK SC"/>
        <family val="2"/>
      </rPr>
      <t xml:space="preserve">關鍵輸出（快照；「模型期」＝</t>
    </r>
    <r>
      <rPr>
        <b val="true"/>
        <sz val="10"/>
        <rFont val="Arial"/>
        <family val="0"/>
        <charset val="1"/>
      </rPr>
      <t xml:space="preserve">2026-07-01</t>
    </r>
    <r>
      <rPr>
        <b val="true"/>
        <sz val="10"/>
        <rFont val="Noto Sans CJK SC"/>
        <family val="2"/>
      </rPr>
      <t xml:space="preserve">～</t>
    </r>
    <r>
      <rPr>
        <b val="true"/>
        <sz val="10"/>
        <rFont val="Arial"/>
        <family val="0"/>
        <charset val="1"/>
      </rPr>
      <t xml:space="preserve">2030</t>
    </r>
    <r>
      <rPr>
        <b val="true"/>
        <sz val="10"/>
        <rFont val="Noto Sans CJK SC"/>
        <family val="2"/>
      </rPr>
      <t xml:space="preserve">，與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頂部 </t>
    </r>
    <r>
      <rPr>
        <b val="true"/>
        <sz val="10"/>
        <rFont val="Arial"/>
        <family val="0"/>
        <charset val="1"/>
      </rPr>
      <t xml:space="preserve">KPI </t>
    </r>
    <r>
      <rPr>
        <b val="true"/>
        <sz val="10"/>
        <rFont val="Noto Sans CJK SC"/>
        <family val="2"/>
      </rPr>
      <t xml:space="preserve">同口徑）</t>
    </r>
  </si>
  <si>
    <r>
      <rPr>
        <sz val="10"/>
        <rFont val="Noto Sans CJK SC"/>
        <family val="2"/>
      </rPr>
      <t xml:space="preserve">模型期排程 </t>
    </r>
    <r>
      <rPr>
        <sz val="10"/>
        <rFont val="Arial"/>
        <family val="0"/>
        <charset val="1"/>
      </rPr>
      <t xml:space="preserve">RPO</t>
    </r>
  </si>
  <si>
    <t xml:space="preserve">模型期產能瓶頸</t>
  </si>
  <si>
    <t xml:space="preserve">模型期新簽約收入</t>
  </si>
  <si>
    <r>
      <rPr>
        <sz val="10"/>
        <rFont val="Noto Sans CJK SC"/>
        <family val="2"/>
      </rPr>
      <t xml:space="preserve">模型期毛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</si>
  <si>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模型期租金（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</si>
  <si>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模型期利息（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起，含瀑布新債）</t>
    </r>
  </si>
  <si>
    <r>
      <rPr>
        <sz val="10"/>
        <rFont val="Noto Sans CJK SC"/>
        <family val="2"/>
      </rPr>
      <t xml:space="preserve">模型期排程還本（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</si>
  <si>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模型期營運缺口（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</si>
  <si>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Noto Sans CJK SC"/>
        <family val="2"/>
      </rPr>
      <t xml:space="preserve">全年口徑營運缺口（含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</si>
  <si>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</t>
    </r>
  </si>
  <si>
    <t xml:space="preserve">版本紀錄（基準情境目標價變化與原因）</t>
  </si>
  <si>
    <r>
      <rPr>
        <sz val="9"/>
        <color rgb="FF595959"/>
        <rFont val="Arial"/>
        <family val="0"/>
        <charset val="1"/>
      </rPr>
      <t xml:space="preserve">v2.9 </t>
    </r>
    <r>
      <rPr>
        <sz val="9"/>
        <color rgb="FF595959"/>
        <rFont val="Noto Sans CJK SC"/>
        <family val="2"/>
      </rPr>
      <t xml:space="preserve">以前檔名日期統一沿用 </t>
    </r>
    <r>
      <rPr>
        <sz val="9"/>
        <color rgb="FF595959"/>
        <rFont val="Arial"/>
        <family val="0"/>
        <charset val="1"/>
      </rPr>
      <t xml:space="preserve">20260918</t>
    </r>
    <r>
      <rPr>
        <sz val="9"/>
        <color rgb="FF595959"/>
        <rFont val="Noto Sans CJK SC"/>
        <family val="2"/>
      </rPr>
      <t xml:space="preserve">，此處日期為實際修改日。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以前基準為 </t>
    </r>
    <r>
      <rPr>
        <sz val="9"/>
        <color rgb="FF595959"/>
        <rFont val="Arial"/>
        <family val="0"/>
        <charset val="1"/>
      </rPr>
      <t xml:space="preserve">8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v1.8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5.6 GW</t>
    </r>
    <r>
      <rPr>
        <sz val="9"/>
        <color rgb="FF595959"/>
        <rFont val="Noto Sans CJK SC"/>
        <family val="2"/>
      </rPr>
      <t xml:space="preserve">；情境定義改變的版本不可直接比較。目標價以當版預設輸入計算（</t>
    </r>
    <r>
      <rPr>
        <sz val="9"/>
        <color rgb="FF595959"/>
        <rFont val="Arial"/>
        <family val="0"/>
        <charset val="1"/>
      </rPr>
      <t xml:space="preserve">DCF 0 </t>
    </r>
    <r>
      <rPr>
        <sz val="9"/>
        <color rgb="FF595959"/>
        <rFont val="Noto Sans CJK SC"/>
        <family val="2"/>
      </rPr>
      <t xml:space="preserve">截斷）</t>
    </r>
  </si>
  <si>
    <t xml:space="preserve">版本</t>
  </si>
  <si>
    <t xml:space="preserve">主要變更</t>
  </si>
  <si>
    <t xml:space="preserve">基準目標價</t>
  </si>
  <si>
    <t xml:space="preserve">變動原因</t>
  </si>
  <si>
    <t xml:space="preserve">v0.1</t>
  </si>
  <si>
    <t xml:space="preserve">10-08</t>
  </si>
  <si>
    <r>
      <rPr>
        <sz val="10"/>
        <rFont val="Noto Sans CJK SC"/>
        <family val="2"/>
      </rPr>
      <t xml:space="preserve">由 </t>
    </r>
    <r>
      <rPr>
        <sz val="10"/>
        <rFont val="Arial"/>
        <family val="0"/>
        <charset val="1"/>
      </rPr>
      <t xml:space="preserve">CRWV v4.5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Nebius v0.1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Oracle v0.2 </t>
    </r>
    <r>
      <rPr>
        <sz val="10"/>
        <rFont val="Noto Sans CJK SC"/>
        <family val="2"/>
      </rPr>
      <t xml:space="preserve">模板建立（</t>
    </r>
    <r>
      <rPr>
        <sz val="10"/>
        <rFont val="Arial"/>
        <family val="0"/>
        <charset val="1"/>
      </rPr>
      <t xml:space="preserve">oracle/ @ e4540c3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CRWV v1.0–v4.5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Nebius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Oracle </t>
    </r>
    <r>
      <rPr>
        <sz val="10"/>
        <rFont val="Noto Sans CJK SC"/>
        <family val="2"/>
      </rPr>
      <t xml:space="preserve">的歷史見各自資料夾）；雲端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收入（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正向推導、首期以 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經常性營收校準）、託管分部（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驅動站點、合約租金與年調、建置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、建物折舊）、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租賃（新增 </t>
    </r>
    <r>
      <rPr>
        <sz val="10"/>
        <rFont val="Arial"/>
        <family val="0"/>
        <charset val="1"/>
      </rPr>
      <t xml:space="preserve">50%</t>
    </r>
    <r>
      <rPr>
        <sz val="10"/>
        <rFont val="Noto Sans CJK SC"/>
        <family val="2"/>
      </rPr>
      <t xml:space="preserve">）、客戶預付、可轉債（逐檔與瀑布）、</t>
    </r>
    <r>
      <rPr>
        <sz val="10"/>
        <rFont val="Arial"/>
        <family val="0"/>
        <charset val="1"/>
      </rPr>
      <t xml:space="preserve">NC-1 </t>
    </r>
    <r>
      <rPr>
        <sz val="10"/>
        <rFont val="Noto Sans CJK SC"/>
        <family val="2"/>
      </rPr>
      <t xml:space="preserve">專案貸款（排程）、融資瀑布（債務上限 </t>
    </r>
    <r>
      <rPr>
        <sz val="10"/>
        <rFont val="Arial"/>
        <family val="0"/>
        <charset val="1"/>
      </rPr>
      <t xml:space="preserve">5× EBITDA</t>
    </r>
    <r>
      <rPr>
        <sz val="10"/>
        <rFont val="Noto Sans CJK SC"/>
        <family val="2"/>
      </rPr>
      <t xml:space="preserve">）、建設延誤、</t>
    </r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、分部 </t>
    </r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（託管 </t>
    </r>
    <r>
      <rPr>
        <sz val="10"/>
        <rFont val="Arial"/>
        <family val="0"/>
        <charset val="1"/>
      </rPr>
      <t xml:space="preserve">20.75×</t>
    </r>
    <r>
      <rPr>
        <sz val="10"/>
        <rFont val="Noto Sans CJK SC"/>
        <family val="2"/>
      </rPr>
      <t xml:space="preserve">＋雲端 </t>
    </r>
    <r>
      <rPr>
        <sz val="10"/>
        <rFont val="Arial"/>
        <family val="0"/>
        <charset val="1"/>
      </rPr>
      <t xml:space="preserve">6×</t>
    </r>
    <r>
      <rPr>
        <sz val="10"/>
        <rFont val="Noto Sans CJK SC"/>
        <family val="2"/>
      </rPr>
      <t xml:space="preserve">）；金額單位 </t>
    </r>
    <r>
      <rPr>
        <sz val="10"/>
        <rFont val="Arial"/>
        <family val="0"/>
        <charset val="1"/>
      </rPr>
      <t xml:space="preserve">US$m</t>
    </r>
  </si>
  <si>
    <t xml:space="preserve">$16.8</t>
  </si>
  <si>
    <r>
      <rPr>
        <sz val="10"/>
        <rFont val="Noto Sans CJK SC"/>
        <family val="2"/>
      </rPr>
      <t xml:space="preserve">首版（基準）；保守 </t>
    </r>
    <r>
      <rPr>
        <sz val="10"/>
        <rFont val="Arial"/>
        <family val="0"/>
        <charset val="1"/>
      </rPr>
      <t xml:space="preserve">$10.0</t>
    </r>
    <r>
      <rPr>
        <sz val="10"/>
        <rFont val="Noto Sans CJK SC"/>
        <family val="2"/>
      </rPr>
      <t xml:space="preserve">（賣出）、積極 </t>
    </r>
    <r>
      <rPr>
        <sz val="10"/>
        <rFont val="Arial"/>
        <family val="0"/>
        <charset val="1"/>
      </rPr>
      <t xml:space="preserve">$34.7</t>
    </r>
    <r>
      <rPr>
        <sz val="10"/>
        <rFont val="Noto Sans CJK SC"/>
        <family val="2"/>
      </rPr>
      <t xml:space="preserve">（中立）</t>
    </r>
  </si>
  <si>
    <t xml:space="preserve">來源與標籤</t>
  </si>
  <si>
    <t xml:space="preserve">標籤</t>
  </si>
  <si>
    <t xml:space="preserve">內容</t>
  </si>
  <si>
    <r>
      <rPr>
        <sz val="10"/>
        <rFont val="Arial"/>
        <family val="0"/>
        <charset val="1"/>
      </rPr>
      <t xml:space="preserve">2026 Q2 10-Q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2026-08-12</t>
    </r>
    <r>
      <rPr>
        <sz val="10"/>
        <rFont val="Noto Sans CJK SC"/>
        <family val="2"/>
      </rPr>
      <t xml:space="preserve">，核閱、未查核）：營收 </t>
    </r>
    <r>
      <rPr>
        <sz val="10"/>
        <rFont val="Arial"/>
        <family val="0"/>
        <charset val="1"/>
      </rPr>
      <t xml:space="preserve">28.839</t>
    </r>
    <r>
      <rPr>
        <sz val="10"/>
        <rFont val="Noto Sans CJK SC"/>
        <family val="2"/>
      </rPr>
      <t xml:space="preserve">（雲端 </t>
    </r>
    <r>
      <rPr>
        <sz val="10"/>
        <rFont val="Arial"/>
        <family val="0"/>
        <charset val="1"/>
      </rPr>
      <t xml:space="preserve">23.806 </t>
    </r>
    <r>
      <rPr>
        <sz val="10"/>
        <rFont val="Noto Sans CJK SC"/>
        <family val="2"/>
      </rPr>
      <t xml:space="preserve">含終止費 </t>
    </r>
    <r>
      <rPr>
        <sz val="10"/>
        <rFont val="Arial"/>
        <family val="0"/>
        <charset val="1"/>
      </rPr>
      <t xml:space="preserve">12.3</t>
    </r>
    <r>
      <rPr>
        <sz val="10"/>
        <rFont val="Noto Sans CJK SC"/>
        <family val="2"/>
      </rPr>
      <t xml:space="preserve">、託管 </t>
    </r>
    <r>
      <rPr>
        <sz val="10"/>
        <rFont val="Arial"/>
        <family val="0"/>
        <charset val="1"/>
      </rPr>
      <t xml:space="preserve">4.726</t>
    </r>
    <r>
      <rPr>
        <sz val="10"/>
        <rFont val="Noto Sans CJK SC"/>
        <family val="2"/>
      </rPr>
      <t xml:space="preserve">、其他 </t>
    </r>
    <r>
      <rPr>
        <sz val="10"/>
        <rFont val="Arial"/>
        <family val="0"/>
        <charset val="1"/>
      </rPr>
      <t xml:space="preserve">0.307</t>
    </r>
    <r>
      <rPr>
        <sz val="10"/>
        <rFont val="Noto Sans CJK SC"/>
        <family val="2"/>
      </rPr>
      <t xml:space="preserve">）；毛利（不含 </t>
    </r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17.129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D&amp;A 6.567</t>
    </r>
    <r>
      <rPr>
        <sz val="10"/>
        <rFont val="Noto Sans CJK SC"/>
        <family val="2"/>
      </rPr>
      <t xml:space="preserve">；減損 </t>
    </r>
    <r>
      <rPr>
        <sz val="10"/>
        <rFont val="Arial"/>
        <family val="0"/>
        <charset val="1"/>
      </rPr>
      <t xml:space="preserve">5.006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G&amp;A 14.811</t>
    </r>
    <r>
      <rPr>
        <sz val="10"/>
        <rFont val="Noto Sans CJK SC"/>
        <family val="2"/>
      </rPr>
      <t xml:space="preserve">；利息 </t>
    </r>
    <r>
      <rPr>
        <sz val="10"/>
        <rFont val="Arial"/>
        <family val="0"/>
        <charset val="1"/>
      </rPr>
      <t xml:space="preserve">6.016</t>
    </r>
    <r>
      <rPr>
        <sz val="10"/>
        <rFont val="Noto Sans CJK SC"/>
        <family val="2"/>
      </rPr>
      <t xml:space="preserve">；淨損 </t>
    </r>
    <r>
      <rPr>
        <sz val="10"/>
        <rFont val="Arial"/>
        <family val="0"/>
        <charset val="1"/>
      </rPr>
      <t xml:space="preserve">14.976</t>
    </r>
    <r>
      <rPr>
        <sz val="10"/>
        <rFont val="Noto Sans CJK SC"/>
        <family val="2"/>
      </rPr>
      <t xml:space="preserve">；調整後 </t>
    </r>
    <r>
      <rPr>
        <sz val="10"/>
        <rFont val="Arial"/>
        <family val="0"/>
        <charset val="1"/>
      </rPr>
      <t xml:space="preserve">EBITDA 5.535</t>
    </r>
    <r>
      <rPr>
        <sz val="10"/>
        <rFont val="Noto Sans CJK SC"/>
        <family val="2"/>
      </rPr>
      <t xml:space="preserve">（扣一次性約 −</t>
    </r>
    <r>
      <rPr>
        <sz val="10"/>
        <rFont val="Arial"/>
        <family val="0"/>
        <charset val="1"/>
      </rPr>
      <t xml:space="preserve">0.565</t>
    </r>
    <r>
      <rPr>
        <sz val="10"/>
        <rFont val="Noto Sans CJK SC"/>
        <family val="2"/>
      </rPr>
      <t xml:space="preserve">）。</t>
    </r>
  </si>
  <si>
    <r>
      <rPr>
        <sz val="10"/>
        <rFont val="Noto Sans CJK SC"/>
        <family val="2"/>
      </rPr>
      <t xml:space="preserve">資產負債（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</rPr>
      <t xml:space="preserve">）：現金 </t>
    </r>
    <r>
      <rPr>
        <sz val="10"/>
        <rFont val="Arial"/>
        <family val="0"/>
        <charset val="1"/>
      </rPr>
      <t xml:space="preserve">56.056</t>
    </r>
    <r>
      <rPr>
        <sz val="10"/>
        <rFont val="Noto Sans CJK SC"/>
        <family val="2"/>
      </rPr>
      <t xml:space="preserve">、受限 </t>
    </r>
    <r>
      <rPr>
        <sz val="10"/>
        <rFont val="Arial"/>
        <family val="0"/>
        <charset val="1"/>
      </rPr>
      <t xml:space="preserve">4.313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PP&amp;E </t>
    </r>
    <r>
      <rPr>
        <sz val="10"/>
        <rFont val="Noto Sans CJK SC"/>
        <family val="2"/>
      </rPr>
      <t xml:space="preserve">淨額 </t>
    </r>
    <r>
      <rPr>
        <sz val="10"/>
        <rFont val="Arial"/>
        <family val="0"/>
        <charset val="1"/>
      </rPr>
      <t xml:space="preserve">651.085</t>
    </r>
    <r>
      <rPr>
        <sz val="10"/>
        <rFont val="Noto Sans CJK SC"/>
        <family val="2"/>
      </rPr>
      <t xml:space="preserve">（在建 </t>
    </r>
    <r>
      <rPr>
        <sz val="10"/>
        <rFont val="Arial"/>
        <family val="0"/>
        <charset val="1"/>
      </rPr>
      <t xml:space="preserve">484.6</t>
    </r>
    <r>
      <rPr>
        <sz val="10"/>
        <rFont val="Noto Sans CJK SC"/>
        <family val="2"/>
      </rPr>
      <t xml:space="preserve">）；遞延營收 </t>
    </r>
    <r>
      <rPr>
        <sz val="10"/>
        <rFont val="Arial"/>
        <family val="0"/>
        <charset val="1"/>
      </rPr>
      <t xml:space="preserve">143.110</t>
    </r>
    <r>
      <rPr>
        <sz val="10"/>
        <rFont val="Noto Sans CJK SC"/>
        <family val="2"/>
      </rPr>
      <t xml:space="preserve">；定期借款本金 </t>
    </r>
    <r>
      <rPr>
        <sz val="10"/>
        <rFont val="Arial"/>
        <family val="0"/>
        <charset val="1"/>
      </rPr>
      <t xml:space="preserve">85.339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2031 </t>
    </r>
    <r>
      <rPr>
        <sz val="10"/>
        <rFont val="Noto Sans CJK SC"/>
        <family val="2"/>
      </rPr>
      <t xml:space="preserve">可轉債 </t>
    </r>
    <r>
      <rPr>
        <sz val="10"/>
        <rFont val="Arial"/>
        <family val="0"/>
        <charset val="1"/>
      </rPr>
      <t xml:space="preserve">230</t>
    </r>
    <r>
      <rPr>
        <sz val="10"/>
        <rFont val="Noto Sans CJK SC"/>
        <family val="2"/>
      </rPr>
      <t xml:space="preserve">；營業租賃負債 </t>
    </r>
    <r>
      <rPr>
        <sz val="10"/>
        <rFont val="Arial"/>
        <family val="0"/>
        <charset val="1"/>
      </rPr>
      <t xml:space="preserve">15.376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RPO 1,008.0</t>
    </r>
    <r>
      <rPr>
        <sz val="10"/>
        <rFont val="Noto Sans CJK SC"/>
        <family val="2"/>
      </rPr>
      <t xml:space="preserve">（託管 </t>
    </r>
    <r>
      <rPr>
        <sz val="10"/>
        <rFont val="Arial"/>
        <family val="0"/>
        <charset val="1"/>
      </rPr>
      <t xml:space="preserve">932.9</t>
    </r>
    <r>
      <rPr>
        <sz val="10"/>
        <rFont val="Noto Sans CJK SC"/>
        <family val="2"/>
      </rPr>
      <t xml:space="preserve">、雲端 </t>
    </r>
    <r>
      <rPr>
        <sz val="10"/>
        <rFont val="Arial"/>
        <family val="0"/>
        <charset val="1"/>
      </rPr>
      <t xml:space="preserve">75.1</t>
    </r>
    <r>
      <rPr>
        <sz val="10"/>
        <rFont val="Noto Sans CJK SC"/>
        <family val="2"/>
      </rPr>
      <t xml:space="preserve">）。</t>
    </r>
  </si>
  <si>
    <r>
      <rPr>
        <sz val="10"/>
        <rFont val="Noto Sans CJK SC"/>
        <family val="2"/>
      </rPr>
      <t xml:space="preserve">現金流（</t>
    </r>
    <r>
      <rPr>
        <sz val="10"/>
        <rFont val="Arial"/>
        <family val="0"/>
        <charset val="1"/>
      </rPr>
      <t xml:space="preserve">1H26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CFO 89.105</t>
    </r>
    <r>
      <rPr>
        <sz val="10"/>
        <rFont val="Noto Sans CJK SC"/>
        <family val="2"/>
      </rPr>
      <t xml:space="preserve">（客戶預付 </t>
    </r>
    <r>
      <rPr>
        <sz val="10"/>
        <rFont val="Arial"/>
        <family val="0"/>
        <charset val="1"/>
      </rPr>
      <t xml:space="preserve">72.6</t>
    </r>
    <r>
      <rPr>
        <sz val="10"/>
        <rFont val="Noto Sans CJK SC"/>
        <family val="2"/>
      </rPr>
      <t xml:space="preserve">）；資本支出 </t>
    </r>
    <r>
      <rPr>
        <sz val="10"/>
        <rFont val="Arial"/>
        <family val="0"/>
        <charset val="1"/>
      </rPr>
      <t xml:space="preserve">344.712</t>
    </r>
    <r>
      <rPr>
        <sz val="10"/>
        <rFont val="Noto Sans CJK SC"/>
        <family val="2"/>
      </rPr>
      <t xml:space="preserve">；出售 </t>
    </r>
    <r>
      <rPr>
        <sz val="10"/>
        <rFont val="Arial"/>
        <family val="0"/>
        <charset val="1"/>
      </rPr>
      <t xml:space="preserve">H200 26.1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2031 </t>
    </r>
    <r>
      <rPr>
        <sz val="10"/>
        <rFont val="Noto Sans CJK SC"/>
        <family val="2"/>
      </rPr>
      <t xml:space="preserve">可轉債淨額 </t>
    </r>
    <r>
      <rPr>
        <sz val="10"/>
        <rFont val="Arial"/>
        <family val="0"/>
        <charset val="1"/>
      </rPr>
      <t xml:space="preserve">222.1</t>
    </r>
    <r>
      <rPr>
        <sz val="10"/>
        <rFont val="Noto Sans CJK SC"/>
        <family val="2"/>
      </rPr>
      <t xml:space="preserve">、零履約價買權 −</t>
    </r>
    <r>
      <rPr>
        <sz val="10"/>
        <rFont val="Arial"/>
        <family val="0"/>
        <charset val="1"/>
      </rPr>
      <t xml:space="preserve">120.0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</si>
  <si>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期後 </t>
    </r>
    <r>
      <rPr>
        <sz val="10"/>
        <rFont val="Arial"/>
        <family val="0"/>
        <charset val="1"/>
      </rPr>
      <t xml:space="preserve">8-K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2032 </t>
    </r>
    <r>
      <rPr>
        <sz val="10"/>
        <rFont val="Noto Sans CJK SC"/>
        <family val="2"/>
      </rPr>
      <t xml:space="preserve">可轉債 </t>
    </r>
    <r>
      <rPr>
        <sz val="10"/>
        <rFont val="Arial"/>
        <family val="0"/>
        <charset val="1"/>
      </rPr>
      <t xml:space="preserve">310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5.00%</t>
    </r>
    <r>
      <rPr>
        <sz val="10"/>
        <rFont val="Noto Sans CJK SC"/>
        <family val="2"/>
      </rPr>
      <t xml:space="preserve">、轉換價 </t>
    </r>
    <r>
      <rPr>
        <sz val="10"/>
        <rFont val="Arial"/>
        <family val="0"/>
        <charset val="1"/>
      </rPr>
      <t xml:space="preserve">33.84</t>
    </r>
    <r>
      <rPr>
        <sz val="10"/>
        <rFont val="Noto Sans CJK SC"/>
        <family val="2"/>
      </rPr>
      <t xml:space="preserve">、淨收入 </t>
    </r>
    <r>
      <rPr>
        <sz val="10"/>
        <rFont val="Arial"/>
        <family val="0"/>
        <charset val="1"/>
      </rPr>
      <t xml:space="preserve">298.5</t>
    </r>
    <r>
      <rPr>
        <sz val="10"/>
        <rFont val="Noto Sans CJK SC"/>
        <family val="2"/>
      </rPr>
      <t xml:space="preserve">）與 </t>
    </r>
    <r>
      <rPr>
        <sz val="10"/>
        <rFont val="Arial"/>
        <family val="0"/>
        <charset val="1"/>
      </rPr>
      <t xml:space="preserve">2031 </t>
    </r>
    <r>
      <rPr>
        <sz val="10"/>
        <rFont val="Noto Sans CJK SC"/>
        <family val="2"/>
      </rPr>
      <t xml:space="preserve">交換（現金約 </t>
    </r>
    <r>
      <rPr>
        <sz val="10"/>
        <rFont val="Arial"/>
        <family val="0"/>
        <charset val="1"/>
      </rPr>
      <t xml:space="preserve">118.5</t>
    </r>
    <r>
      <rPr>
        <sz val="10"/>
        <rFont val="Noto Sans CJK SC"/>
        <family val="2"/>
      </rPr>
      <t xml:space="preserve">＋約 </t>
    </r>
    <r>
      <rPr>
        <sz val="10"/>
        <rFont val="Arial"/>
        <family val="0"/>
        <charset val="1"/>
      </rPr>
      <t xml:space="preserve">6.3M </t>
    </r>
    <r>
      <rPr>
        <sz val="10"/>
        <rFont val="Noto Sans CJK SC"/>
        <family val="2"/>
      </rPr>
      <t xml:space="preserve">股換 </t>
    </r>
    <r>
      <rPr>
        <sz val="10"/>
        <rFont val="Arial"/>
        <family val="0"/>
        <charset val="1"/>
      </rPr>
      <t xml:space="preserve">198.15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DDTL </t>
    </r>
    <r>
      <rPr>
        <sz val="10"/>
        <rFont val="Noto Sans CJK SC"/>
        <family val="2"/>
      </rPr>
      <t xml:space="preserve">追加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RBC </t>
    </r>
    <r>
      <rPr>
        <sz val="10"/>
        <rFont val="Noto Sans CJK SC"/>
        <family val="2"/>
      </rPr>
      <t xml:space="preserve">聯貸 </t>
    </r>
    <r>
      <rPr>
        <sz val="10"/>
        <rFont val="Arial"/>
        <family val="0"/>
        <charset val="1"/>
      </rPr>
      <t xml:space="preserve">CAD 36.8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NC-2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買賣協議 </t>
    </r>
    <r>
      <rPr>
        <sz val="10"/>
        <rFont val="Arial"/>
        <family val="0"/>
        <charset val="1"/>
      </rPr>
      <t xml:space="preserve">60.0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</si>
  <si>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FY2025 10-K</t>
    </r>
    <r>
      <rPr>
        <sz val="10"/>
        <rFont val="Noto Sans CJK SC"/>
        <family val="2"/>
      </rPr>
      <t xml:space="preserve">（經查核）：營收 </t>
    </r>
    <r>
      <rPr>
        <sz val="10"/>
        <rFont val="Arial"/>
        <family val="0"/>
        <charset val="1"/>
      </rPr>
      <t xml:space="preserve">79.164</t>
    </r>
    <r>
      <rPr>
        <sz val="10"/>
        <rFont val="Noto Sans CJK SC"/>
        <family val="2"/>
      </rPr>
      <t xml:space="preserve">（雲端 </t>
    </r>
    <r>
      <rPr>
        <sz val="10"/>
        <rFont val="Arial"/>
        <family val="0"/>
        <charset val="1"/>
      </rPr>
      <t xml:space="preserve">68.754</t>
    </r>
    <r>
      <rPr>
        <sz val="10"/>
        <rFont val="Noto Sans CJK SC"/>
        <family val="2"/>
      </rPr>
      <t xml:space="preserve">、託管 </t>
    </r>
    <r>
      <rPr>
        <sz val="10"/>
        <rFont val="Arial"/>
        <family val="0"/>
        <charset val="1"/>
      </rPr>
      <t xml:space="preserve">8.914</t>
    </r>
    <r>
      <rPr>
        <sz val="10"/>
        <rFont val="Noto Sans CJK SC"/>
        <family val="2"/>
      </rPr>
      <t xml:space="preserve">、其他 </t>
    </r>
    <r>
      <rPr>
        <sz val="10"/>
        <rFont val="Arial"/>
        <family val="0"/>
        <charset val="1"/>
      </rPr>
      <t xml:space="preserve">1.497</t>
    </r>
    <r>
      <rPr>
        <sz val="10"/>
        <rFont val="Noto Sans CJK SC"/>
        <family val="2"/>
      </rPr>
      <t xml:space="preserve">）；淨損 </t>
    </r>
    <r>
      <rPr>
        <sz val="10"/>
        <rFont val="Arial"/>
        <family val="0"/>
        <charset val="1"/>
      </rPr>
      <t xml:space="preserve">24.683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CFO 45.655</t>
    </r>
    <r>
      <rPr>
        <sz val="10"/>
        <rFont val="Noto Sans CJK SC"/>
        <family val="2"/>
      </rPr>
      <t xml:space="preserve">；資本支出 </t>
    </r>
    <r>
      <rPr>
        <sz val="10"/>
        <rFont val="Arial"/>
        <family val="0"/>
        <charset val="1"/>
      </rPr>
      <t xml:space="preserve">268.403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</si>
  <si>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合約：</t>
    </r>
    <r>
      <rPr>
        <sz val="10"/>
        <rFont val="Arial"/>
        <family val="0"/>
        <charset val="1"/>
      </rPr>
      <t xml:space="preserve">Nscale NC-1 865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年／</t>
    </r>
    <r>
      <rPr>
        <sz val="10"/>
        <rFont val="Arial"/>
        <family val="0"/>
        <charset val="1"/>
      </rPr>
      <t xml:space="preserve">40 MW-IT</t>
    </r>
    <r>
      <rPr>
        <sz val="10"/>
        <rFont val="Noto Sans CJK SC"/>
        <family val="2"/>
      </rPr>
      <t xml:space="preserve">／年調 </t>
    </r>
    <r>
      <rPr>
        <sz val="10"/>
        <rFont val="Arial"/>
        <family val="0"/>
        <charset val="1"/>
      </rPr>
      <t xml:space="preserve">3%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Cerebras MTL-3 5 MW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Baseten 165.2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1,392 </t>
    </r>
    <r>
      <rPr>
        <sz val="10"/>
        <rFont val="Noto Sans CJK SC"/>
        <family val="2"/>
      </rPr>
      <t xml:space="preserve">顆 </t>
    </r>
    <r>
      <rPr>
        <sz val="10"/>
        <rFont val="Arial"/>
        <family val="0"/>
        <charset val="1"/>
      </rPr>
      <t xml:space="preserve">B300</t>
    </r>
    <r>
      <rPr>
        <sz val="10"/>
        <rFont val="Noto Sans CJK SC"/>
        <family val="2"/>
      </rPr>
      <t xml:space="preserve">）、</t>
    </r>
    <r>
      <rPr>
        <sz val="10"/>
        <rFont val="Arial"/>
        <family val="0"/>
        <charset val="1"/>
      </rPr>
      <t xml:space="preserve">Prime Intellect 108.2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576 </t>
    </r>
    <r>
      <rPr>
        <sz val="10"/>
        <rFont val="Noto Sans CJK SC"/>
        <family val="2"/>
      </rPr>
      <t xml:space="preserve">顆 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）、冰島 </t>
    </r>
    <r>
      <rPr>
        <sz val="10"/>
        <rFont val="Arial"/>
        <family val="0"/>
        <charset val="1"/>
      </rPr>
      <t xml:space="preserve">B300 87.5</t>
    </r>
    <r>
      <rPr>
        <sz val="10"/>
        <rFont val="Noto Sans CJK SC"/>
        <family val="2"/>
      </rPr>
      <t xml:space="preserve">、巴黎 </t>
    </r>
    <r>
      <rPr>
        <sz val="10"/>
        <rFont val="Arial"/>
        <family val="0"/>
        <charset val="1"/>
      </rPr>
      <t xml:space="preserve">&gt;160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數未揭露）。</t>
    </r>
  </si>
  <si>
    <t xml:space="preserve">Derived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</si>
  <si>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Tokenomics v5.26 </t>
    </r>
    <r>
      <rPr>
        <sz val="10"/>
        <rFont val="Noto Sans CJK SC"/>
        <family val="2"/>
      </rPr>
      <t xml:space="preserve">正向推導，與 </t>
    </r>
    <r>
      <rPr>
        <sz val="10"/>
        <rFont val="Arial"/>
        <family val="0"/>
        <charset val="1"/>
      </rPr>
      <t xml:space="preserve">v5.24 </t>
    </r>
    <r>
      <rPr>
        <sz val="10"/>
        <rFont val="Noto Sans CJK SC"/>
        <family val="2"/>
      </rPr>
      <t xml:space="preserve">相同）：保守 </t>
    </r>
    <r>
      <rPr>
        <sz val="10"/>
        <rFont val="Arial"/>
        <family val="0"/>
        <charset val="1"/>
      </rPr>
      <t xml:space="preserve">11.62</t>
    </r>
    <r>
      <rPr>
        <sz val="10"/>
        <rFont val="Noto Sans CJK SC"/>
        <family val="2"/>
      </rPr>
      <t xml:space="preserve">／基準 </t>
    </r>
    <r>
      <rPr>
        <sz val="10"/>
        <rFont val="Arial"/>
        <family val="0"/>
        <charset val="1"/>
      </rPr>
      <t xml:space="preserve">17.40</t>
    </r>
    <r>
      <rPr>
        <sz val="10"/>
        <rFont val="Noto Sans CJK SC"/>
        <family val="2"/>
      </rPr>
      <t xml:space="preserve">／積極 </t>
    </r>
    <r>
      <rPr>
        <sz val="10"/>
        <rFont val="Arial"/>
        <family val="0"/>
        <charset val="1"/>
      </rPr>
      <t xml:space="preserve">24.20 US$m/MW-IT·</t>
    </r>
    <r>
      <rPr>
        <sz val="10"/>
        <rFont val="Noto Sans CJK SC"/>
        <family val="2"/>
      </rPr>
      <t xml:space="preserve">年；每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建置成本 </t>
    </r>
    <r>
      <rPr>
        <sz val="10"/>
        <rFont val="Arial"/>
        <family val="0"/>
        <charset val="1"/>
      </rPr>
      <t xml:space="preserve">IF_CapexIT 37.45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）／</t>
    </r>
    <r>
      <rPr>
        <sz val="10"/>
        <rFont val="Arial"/>
        <family val="0"/>
        <charset val="1"/>
      </rPr>
      <t xml:space="preserve">37.59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WhiteFiber </t>
    </r>
    <r>
      <rPr>
        <sz val="10"/>
        <rFont val="Noto Sans CJK SC"/>
        <family val="2"/>
      </rPr>
      <t xml:space="preserve">合約隱含單價只作對照。</t>
    </r>
  </si>
  <si>
    <r>
      <rPr>
        <sz val="10"/>
        <rFont val="Noto Sans CJK SC"/>
        <family val="2"/>
      </rPr>
      <t xml:space="preserve">現價 </t>
    </r>
    <r>
      <rPr>
        <sz val="10"/>
        <rFont val="Arial"/>
        <family val="0"/>
        <charset val="1"/>
      </rPr>
      <t xml:space="preserve">16.83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2026-10-07 </t>
    </r>
    <r>
      <rPr>
        <sz val="10"/>
        <rFont val="Noto Sans CJK SC"/>
        <family val="2"/>
      </rPr>
      <t xml:space="preserve">收盤，</t>
    </r>
    <r>
      <rPr>
        <sz val="10"/>
        <rFont val="Arial"/>
        <family val="0"/>
        <charset val="1"/>
      </rPr>
      <t xml:space="preserve">Yahoo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Benzinga</t>
    </r>
    <r>
      <rPr>
        <sz val="10"/>
        <rFont val="Noto Sans CJK SC"/>
        <family val="2"/>
      </rPr>
      <t xml:space="preserve">）；市值 </t>
    </r>
    <r>
      <rPr>
        <sz val="10"/>
        <rFont val="Arial"/>
        <family val="0"/>
        <charset val="1"/>
      </rPr>
      <t xml:space="preserve">759.4</t>
    </r>
    <r>
      <rPr>
        <sz val="10"/>
        <rFont val="Noto Sans CJK SC"/>
        <family val="2"/>
      </rPr>
      <t xml:space="preserve">（交換後 </t>
    </r>
    <r>
      <rPr>
        <sz val="10"/>
        <rFont val="Arial"/>
        <family val="0"/>
        <charset val="1"/>
      </rPr>
      <t xml:space="preserve">45.12M </t>
    </r>
    <r>
      <rPr>
        <sz val="10"/>
        <rFont val="Noto Sans CJK SC"/>
        <family val="2"/>
      </rPr>
      <t xml:space="preserve">股，</t>
    </r>
    <r>
      <rPr>
        <sz val="10"/>
        <rFont val="Arial"/>
        <family val="0"/>
        <charset val="1"/>
      </rPr>
      <t xml:space="preserve">[Derived]</t>
    </r>
    <r>
      <rPr>
        <sz val="10"/>
        <rFont val="Noto Sans CJK SC"/>
        <family val="2"/>
      </rPr>
      <t xml:space="preserve">）。</t>
    </r>
  </si>
  <si>
    <r>
      <rPr>
        <sz val="10"/>
        <rFont val="Noto Sans CJK SC"/>
        <family val="2"/>
      </rPr>
      <t xml:space="preserve">市值（</t>
    </r>
    <r>
      <rPr>
        <sz val="10"/>
        <rFont val="Arial"/>
        <family val="0"/>
        <charset val="1"/>
      </rPr>
      <t xml:space="preserve">2026-10-07 </t>
    </r>
    <r>
      <rPr>
        <sz val="10"/>
        <rFont val="Noto Sans CJK SC"/>
        <family val="2"/>
      </rPr>
      <t xml:space="preserve">收盤，</t>
    </r>
    <r>
      <rPr>
        <sz val="10"/>
        <rFont val="Arial"/>
        <family val="0"/>
        <charset val="1"/>
      </rPr>
      <t xml:space="preserve">S&amp;P Global via stockanalysis.com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CRWV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NBIS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APLD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CORZ </t>
    </r>
    <r>
      <rPr>
        <sz val="10"/>
        <rFont val="Noto Sans CJK SC"/>
        <family val="2"/>
      </rPr>
      <t xml:space="preserve">為 </t>
    </r>
    <r>
      <rPr>
        <sz val="10"/>
        <rFont val="Arial"/>
        <family val="0"/>
        <charset val="1"/>
      </rPr>
      <t xml:space="preserve">v0.1a </t>
    </r>
    <r>
      <rPr>
        <sz val="10"/>
        <rFont val="Noto Sans CJK SC"/>
        <family val="2"/>
      </rPr>
      <t xml:space="preserve">市值與 </t>
    </r>
    <r>
      <rPr>
        <sz val="10"/>
        <rFont val="Arial"/>
        <family val="0"/>
        <charset val="1"/>
      </rPr>
      <t xml:space="preserve">EV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IREN </t>
    </r>
    <r>
      <rPr>
        <sz val="10"/>
        <rFont val="Noto Sans CJK SC"/>
        <family val="2"/>
      </rPr>
      <t xml:space="preserve">未更新）：</t>
    </r>
    <r>
      <rPr>
        <sz val="10"/>
        <rFont val="Arial"/>
        <family val="0"/>
        <charset val="1"/>
      </rPr>
      <t xml:space="preserve">WYFI </t>
    </r>
    <r>
      <rPr>
        <sz val="10"/>
        <rFont val="Noto Sans CJK SC"/>
        <family val="2"/>
      </rPr>
      <t xml:space="preserve">現價 </t>
    </r>
    <r>
      <rPr>
        <sz val="10"/>
        <rFont val="Arial"/>
        <family val="0"/>
        <charset val="1"/>
      </rPr>
      <t xml:space="preserve">$16.83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2026-10-07 </t>
    </r>
    <r>
      <rPr>
        <sz val="10"/>
        <rFont val="Noto Sans CJK SC"/>
        <family val="2"/>
      </rPr>
      <t xml:space="preserve">收盤）、市值 </t>
    </r>
    <r>
      <rPr>
        <sz val="10"/>
        <rFont val="Arial"/>
        <family val="0"/>
        <charset val="1"/>
      </rPr>
      <t xml:space="preserve">759.4m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2026-10-07</t>
    </r>
    <r>
      <rPr>
        <sz val="10"/>
        <rFont val="Noto Sans CJK SC"/>
        <family val="2"/>
      </rPr>
      <t xml:space="preserve">）、流通 </t>
    </r>
    <r>
      <rPr>
        <sz val="10"/>
        <rFont val="Arial"/>
        <family val="0"/>
        <charset val="1"/>
      </rPr>
      <t xml:space="preserve">38.84m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CRWV 49,110.0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NBIS 68,490.0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IREN 18,610.0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APLD 6,940.0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CORZ 5,750.0</t>
    </r>
    <r>
      <rPr>
        <sz val="10"/>
        <rFont val="Noto Sans CJK SC"/>
        <family val="2"/>
      </rPr>
      <t xml:space="preserve">。淨負債取各公司最新申報：</t>
    </r>
    <r>
      <rPr>
        <sz val="10"/>
        <rFont val="Arial"/>
        <family val="0"/>
        <charset val="1"/>
      </rPr>
      <t xml:space="preserve">CRWV 46,030.0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NBIS 2,150.0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IREN 1,700.0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APLD 7,870.0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CORZ 3,680.0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</si>
  <si>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賣方目標價（</t>
    </r>
    <r>
      <rPr>
        <sz val="10"/>
        <rFont val="Arial"/>
        <family val="0"/>
        <charset val="1"/>
      </rPr>
      <t xml:space="preserve">MarketBeat</t>
    </r>
    <r>
      <rPr>
        <sz val="10"/>
        <rFont val="Noto Sans CJK SC"/>
        <family val="2"/>
      </rPr>
      <t xml:space="preserve">（自行彙整），擷取 </t>
    </r>
    <r>
      <rPr>
        <sz val="10"/>
        <rFont val="Arial"/>
        <family val="0"/>
        <charset val="1"/>
      </rPr>
      <t xml:space="preserve">2026-10-08</t>
    </r>
    <r>
      <rPr>
        <sz val="10"/>
        <rFont val="Noto Sans CJK SC"/>
        <family val="2"/>
      </rPr>
      <t xml:space="preserve">）：平均 </t>
    </r>
    <r>
      <rPr>
        <sz val="10"/>
        <rFont val="Arial"/>
        <family val="0"/>
        <charset val="1"/>
      </rPr>
      <t xml:space="preserve">$38.00</t>
    </r>
    <r>
      <rPr>
        <sz val="10"/>
        <rFont val="Noto Sans CJK SC"/>
        <family val="2"/>
      </rPr>
      <t xml:space="preserve">、區間 </t>
    </r>
    <r>
      <rPr>
        <sz val="10"/>
        <rFont val="Arial"/>
        <family val="0"/>
        <charset val="1"/>
      </rPr>
      <t xml:space="preserve">$32.00–$50.00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11 </t>
    </r>
    <r>
      <rPr>
        <sz val="10"/>
        <rFont val="Noto Sans CJK SC"/>
        <family val="2"/>
      </rPr>
      <t xml:space="preserve">家）；共識評等 </t>
    </r>
    <r>
      <rPr>
        <sz val="10"/>
        <rFont val="Arial"/>
        <family val="0"/>
        <charset val="1"/>
      </rPr>
      <t xml:space="preserve">Moderate Buy</t>
    </r>
    <r>
      <rPr>
        <sz val="10"/>
        <rFont val="Noto Sans CJK SC"/>
        <family val="2"/>
      </rPr>
      <t xml:space="preserve">。對照 </t>
    </r>
    <r>
      <rPr>
        <sz val="10"/>
        <rFont val="Arial"/>
        <family val="0"/>
        <charset val="1"/>
      </rPr>
      <t xml:space="preserve">Investing.com</t>
    </r>
    <r>
      <rPr>
        <sz val="10"/>
        <rFont val="Noto Sans CJK SC"/>
        <family val="2"/>
      </rPr>
      <t xml:space="preserve">：平均 </t>
    </r>
    <r>
      <rPr>
        <sz val="10"/>
        <rFont val="Arial"/>
        <family val="0"/>
        <charset val="1"/>
      </rPr>
      <t xml:space="preserve">$40.50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家，</t>
    </r>
    <r>
      <rPr>
        <sz val="10"/>
        <rFont val="Arial"/>
        <family val="0"/>
        <charset val="1"/>
      </rPr>
      <t xml:space="preserve">Strong Buy</t>
    </r>
    <r>
      <rPr>
        <sz val="10"/>
        <rFont val="Noto Sans CJK SC"/>
        <family val="2"/>
      </rPr>
      <t xml:space="preserve">）。數字為賣方意見；逐筆來源與日期見『輸入與假設』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區。</t>
    </r>
  </si>
  <si>
    <t xml:space="preserve">方法</t>
  </si>
  <si>
    <r>
      <rPr>
        <sz val="10"/>
        <rFont val="Noto Sans CJK SC"/>
        <family val="2"/>
      </rPr>
      <t xml:space="preserve">期前融資瀑布：客戶預付（營運來源）→ 現金 → 未動用額度與新債（受債務上限約束）→ 股權 → 高息債；營收由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驅動，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只作對照。</t>
    </r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</si>
</sst>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#,##0;\(#,##0\);\-"/>
    <numFmt numFmtId="166" formatCode="#,##0.00;\(#,##0.00\);\-"/>
    <numFmt numFmtId="167" formatCode="\$#,##0.00;&quot;($&quot;#,##0.00\);\-"/>
    <numFmt numFmtId="168" formatCode="0.0%"/>
    <numFmt numFmtId="169" formatCode="0.0\x"/>
    <numFmt numFmtId="170" formatCode="#,##0.0;\(#,##0.0\);\-"/>
    <numFmt numFmtId="171" formatCode="0.0000"/>
    <numFmt numFmtId="172" formatCode="@"/>
    <numFmt numFmtId="173" formatCode="0.00"/>
    <numFmt numFmtId="174" formatCode="0.000000"/>
    <numFmt numFmtId="175" formatCode="#,##0.000"/>
    <numFmt numFmtId="176" formatCode="0.00%"/>
    <numFmt numFmtId="177" formatCode="0.000"/>
    <numFmt numFmtId="178" formatCode="0.0000%"/>
    <numFmt numFmtId="179" formatCode="0.000%"/>
    <numFmt numFmtId="180" formatCode="0.00\x"/>
    <numFmt numFmtId="181" formatCode="0.0"/>
    <numFmt numFmtId="182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864"/>
      <name val="Noto Sans CJK SC"/>
      <family val="2"/>
    </font>
    <font>
      <b val="true"/>
      <sz val="10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sz val="11"/>
      <color theme="1"/>
      <name val="Noto Sans CJK SC"/>
      <family val="2"/>
    </font>
    <font>
      <sz val="10"/>
      <color rgb="FF0000FF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E3F1E8"/>
      </patternFill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EEF2F7"/>
        <bgColor rgb="FFE3F1E8"/>
      </patternFill>
    </fill>
    <fill>
      <patternFill patternType="solid">
        <fgColor rgb="FF0F5C61"/>
        <bgColor rgb="FF0F6B4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E3F1E8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F1239"/>
      <rgbColor rgb="FF008000"/>
      <rgbColor rgb="FF000080"/>
      <rgbColor rgb="FF808000"/>
      <rgbColor rgb="FF800080"/>
      <rgbColor rgb="FF0F6B4C"/>
      <rgbColor rgb="FFBFBFBF"/>
      <rgbColor rgb="FF808080"/>
      <rgbColor rgb="FF9999FF"/>
      <rgbColor rgb="FF993366"/>
      <rgbColor rgb="FFEEF2F7"/>
      <rgbColor rgb="FFE3F1E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F5C61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5778"/>
      <rgbColor rgb="FFC4A35A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21.6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4" t="s">
        <v>21</v>
      </c>
    </row>
    <row r="27" customFormat="false" ht="15" hidden="false" customHeight="false" outlineLevel="0" collapsed="false">
      <c r="A27" s="3"/>
    </row>
    <row r="28" customFormat="false" ht="15" hidden="false" customHeight="false" outlineLevel="0" collapsed="false">
      <c r="A28" s="2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4" t="s">
        <v>24</v>
      </c>
    </row>
    <row r="31" customFormat="false" ht="15" hidden="false" customHeight="false" outlineLevel="0" collapsed="false">
      <c r="A31" s="3"/>
    </row>
    <row r="32" customFormat="false" ht="15" hidden="false" customHeight="false" outlineLevel="0" collapsed="false">
      <c r="A32" s="2" t="s">
        <v>25</v>
      </c>
    </row>
    <row r="33" customFormat="false" ht="15" hidden="false" customHeight="false" outlineLevel="0" collapsed="false">
      <c r="A33" s="3" t="s">
        <v>26</v>
      </c>
    </row>
    <row r="34" customFormat="false" ht="15" hidden="false" customHeight="false" outlineLevel="0" collapsed="false">
      <c r="A34" s="3" t="s">
        <v>27</v>
      </c>
    </row>
    <row r="35" customFormat="false" ht="15" hidden="false" customHeight="false" outlineLevel="0" collapsed="false">
      <c r="A35" s="3"/>
    </row>
    <row r="36" customFormat="false" ht="15" hidden="false" customHeight="false" outlineLevel="0" collapsed="false">
      <c r="A36" s="2" t="s">
        <v>28</v>
      </c>
    </row>
    <row r="37" customFormat="false" ht="15" hidden="false" customHeight="false" outlineLevel="0" collapsed="false">
      <c r="A37" s="3" t="s">
        <v>29</v>
      </c>
    </row>
    <row r="38" customFormat="false" ht="15" hidden="false" customHeight="false" outlineLevel="0" collapsed="false">
      <c r="A38" s="3" t="s">
        <v>30</v>
      </c>
    </row>
    <row r="39" customFormat="false" ht="15" hidden="false" customHeight="false" outlineLevel="0" collapsed="false">
      <c r="A39" s="3"/>
    </row>
    <row r="40" customFormat="false" ht="15" hidden="false" customHeight="false" outlineLevel="0" collapsed="false">
      <c r="A40" s="2" t="s">
        <v>31</v>
      </c>
    </row>
    <row r="41" customFormat="false" ht="15" hidden="false" customHeight="false" outlineLevel="0" collapsed="false">
      <c r="A41" s="3" t="s">
        <v>32</v>
      </c>
    </row>
    <row r="42" customFormat="false" ht="15" hidden="false" customHeight="false" outlineLevel="0" collapsed="false">
      <c r="A42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outlinePr summaryBelow="0" summaryRight="1"/>
    <pageSetUpPr fitToPage="false"/>
  </sheetPr>
  <dimension ref="A1:I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7" min="3" style="0" width="13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5" t="s">
        <v>34</v>
      </c>
    </row>
    <row r="2" customFormat="false" ht="15" hidden="false" customHeight="false" outlineLevel="0" collapsed="false">
      <c r="A2" s="6" t="str">
        <f aca="false">"模型端＝目前情境：" &amp; CHOOSE(輸入與假設!$C$5,"保守 只有已簽約","基準 加 NC-1 下一批","積極 NC-2／3 與 Krambu") &amp; "（預設＝基準）；共識＝data/consensus_wyfi_20261008.json（2026-10-08）"</f>
        <v>模型端＝目前情境：基準 加 NC-1 下一批（預設＝基準）；共識＝data/consensus_wyfi_20261008.json（2026-10-08）</v>
      </c>
    </row>
    <row r="4" customFormat="false" ht="15" hidden="false" customHeight="false" outlineLevel="0" collapsed="false">
      <c r="A4" s="7" t="s">
        <v>35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1" collapsed="false">
      <c r="A5" s="3" t="s">
        <v>36</v>
      </c>
      <c r="C5" s="9" t="n">
        <f aca="false">評價_DCF與目標價!C78</f>
        <v>0</v>
      </c>
    </row>
    <row r="6" customFormat="false" ht="15" hidden="false" customHeight="false" outlineLevel="1" collapsed="false">
      <c r="A6" s="3" t="s">
        <v>37</v>
      </c>
      <c r="C6" s="10" t="str">
        <f aca="false">CHOOSE(C5+2,"賣出","中立","買進")</f>
        <v>中立</v>
      </c>
    </row>
    <row r="7" customFormat="false" ht="15" hidden="false" customHeight="false" outlineLevel="1" collapsed="false">
      <c r="A7" s="2" t="s">
        <v>38</v>
      </c>
      <c r="B7" s="11" t="s">
        <v>39</v>
      </c>
      <c r="C7" s="12" t="n">
        <f aca="false">評價_DCF與目標價!C51</f>
        <v>16.8386490701346</v>
      </c>
    </row>
    <row r="8" customFormat="false" ht="15" hidden="false" customHeight="false" outlineLevel="1" collapsed="false">
      <c r="A8" s="3" t="s">
        <v>40</v>
      </c>
      <c r="B8" s="11" t="s">
        <v>39</v>
      </c>
      <c r="C8" s="12" t="n">
        <f aca="false">輸入與假設!$C$228</f>
        <v>16.83</v>
      </c>
    </row>
    <row r="9" customFormat="false" ht="15" hidden="false" customHeight="false" outlineLevel="1" collapsed="false">
      <c r="A9" s="3" t="s">
        <v>41</v>
      </c>
      <c r="B9" s="11" t="s">
        <v>42</v>
      </c>
      <c r="C9" s="13" t="n">
        <f aca="false">C7/C8-1</f>
        <v>0.000513907910554057</v>
      </c>
    </row>
    <row r="10" customFormat="false" ht="15" hidden="false" customHeight="false" outlineLevel="1" collapsed="false">
      <c r="A10" s="3" t="s">
        <v>43</v>
      </c>
      <c r="B10" s="11" t="s">
        <v>39</v>
      </c>
      <c r="C10" s="12" t="n">
        <f aca="false">評價_DCF與目標價!C83</f>
        <v>10.0441745538188</v>
      </c>
      <c r="D10" s="12" t="n">
        <f aca="false">評價_DCF與目標價!D83</f>
        <v>34.655938047323</v>
      </c>
    </row>
    <row r="11" customFormat="false" ht="15" hidden="false" customHeight="false" outlineLevel="1" collapsed="false">
      <c r="A11" s="3" t="s">
        <v>44</v>
      </c>
      <c r="B11" s="11" t="s">
        <v>39</v>
      </c>
      <c r="C11" s="12" t="n">
        <f aca="false">評價_DCF與目標價!C85</f>
        <v>16.4284370353296</v>
      </c>
      <c r="D11" s="12" t="n">
        <f aca="false">評價_DCF與目標價!D85</f>
        <v>16.8386490701346</v>
      </c>
    </row>
    <row r="12" customFormat="false" ht="15" hidden="false" customHeight="false" outlineLevel="1" collapsed="false">
      <c r="A12" s="3" t="s">
        <v>45</v>
      </c>
      <c r="B12" s="11" t="s">
        <v>39</v>
      </c>
      <c r="C12" s="12" t="n">
        <f aca="false">評價_DCF與目標價!$C$79</f>
        <v>14.3055</v>
      </c>
    </row>
    <row r="13" customFormat="false" ht="15" hidden="false" customHeight="false" outlineLevel="1" collapsed="false">
      <c r="A13" s="3" t="s">
        <v>46</v>
      </c>
      <c r="B13" s="11" t="s">
        <v>39</v>
      </c>
      <c r="C13" s="12" t="n">
        <f aca="false">C7-C12</f>
        <v>2.53314907013462</v>
      </c>
    </row>
    <row r="14" customFormat="false" ht="15" hidden="false" customHeight="false" outlineLevel="1" collapsed="false">
      <c r="A14" s="2" t="s">
        <v>47</v>
      </c>
      <c r="C14" s="10" t="str">
        <f aca="false">C6&amp;"：點位 $"&amp;TEXT(C7,"0.0")&amp;"，較現價 $"&amp;TEXT(C8,"0.00")&amp;" "&amp;IF(C9&gt;=0,"高","低")&amp;" "&amp;TEXT(ABS(C9)*100,"0")&amp;"%；情境區間 $"&amp;TEXT(C10,"0.0")&amp;"–$"&amp;TEXT(D10,"0.0")&amp;"，方法區間 $"&amp;TEXT(C11,"0.0")&amp;"–$"&amp;TEXT(D11,"0.0")&amp;"；點位"&amp;IF(C13&lt;0,"低於","高於")&amp;"賣出門檻 $"&amp;TEXT(C12,"0.0")&amp;" 達 $"&amp;TEXT(ABS(C13),"0.0")&amp;"。"</f>
        <v>中立：點位 $16.8，較現價 $16.83 高 0%；情境區間 $10.0–$34.7，方法區間 $16.4–$16.8；點位高於賣出門檻 $14.3 達 $2.5。</v>
      </c>
    </row>
    <row r="15" customFormat="false" ht="15" hidden="false" customHeight="false" outlineLevel="1" collapsed="false">
      <c r="A15" s="3" t="s">
        <v>48</v>
      </c>
      <c r="C15" s="10" t="str">
        <f aca="false">評價_DCF與目標價!C91</f>
        <v>情境區間上緣 $34.7 不低於現價 $16.83：賣出並非在三個擴張情境下都成立。</v>
      </c>
    </row>
    <row r="16" customFormat="false" ht="15" hidden="false" customHeight="false" outlineLevel="1" collapsed="false">
      <c r="A16" s="2" t="s">
        <v>49</v>
      </c>
      <c r="C16" s="10" t="str">
        <f aca="false">IF(OR(輸入與假設!$C$199="ebitda",輸入與假設!$C$199="leaseAdj"),"超出可融資上限、需高息債的金額："&amp;IF(SUM(各期收支!C87:G87)&gt;50,"$"&amp;TEXT(SUM(各期收支!C87:G87),"#,##0.0")&amp;"m（五期高息債溢出）","$0")&amp;"；債務上限＝"&amp;IF(輸入與假設!$C$199="leaseAdj","(總債務＋租賃負債) ≤ "&amp;IF(輸入與假設!$C$200=INT(輸入與假設!$C$200),TEXT(輸入與假設!$C$200,"0"),TEXT(輸入與假設!$C$200,"0.0"))&amp;"×(EBITDA＋租金)","總債務 ≤ "&amp;IF(輸入與假設!$C$200=INT(輸入與假設!$C$200),TEXT(輸入與假設!$C$200,"0"),TEXT(輸入與假設!$C$200,"0.0"))&amp;"× 當期 EBITDA")&amp;"，股權每年 ≤ 現市值 "&amp;IF(ROUND(ABS(輸入與假設!$C$207)*100,4)=INT(ROUND(ABS(輸入與假設!$C$207)*100,4)),TEXT(ROUND(ABS(輸入與假設!$C$207)*100,4),"0"),TEXT(ROUND(ABS(輸入與假設!$C$207)*100,4),"0.0"))&amp;"%"&amp;"。","")</f>
        <v>超出可融資上限、需高息債的金額：$0；債務上限＝總債務 ≤ 5× 當期 EBITDA，股權每年 ≤ 現市值 10%。</v>
      </c>
    </row>
    <row r="17" customFormat="false" ht="15" hidden="false" customHeight="false" outlineLevel="1" collapsed="false">
      <c r="A17" s="2" t="s">
        <v>50</v>
      </c>
      <c r="C17" s="10" t="str">
        <f aca="false">IF(輸入與假設!$C$199="leaseAdj","調整後槓桿（(債務＋租賃負債) ÷ (EBITDA＋租金)）路徑 "&amp;TEXT(資產負債_新債與新股!C38,"0.0")&amp;"／"&amp;TEXT(資產負債_新債與新股!D38,"0.0")&amp;"／"&amp;TEXT(資產負債_新債與新股!E38,"0.0")&amp;"／"&amp;TEXT(資產負債_新債與新股!F38,"0.0")&amp;"／"&amp;TEXT(資產負債_新債與新股!G38,"0.0")&amp;"×；上限 "&amp;IF(輸入與假設!$C$200=INT(輸入與假設!$C$200),TEXT(輸入與假設!$C$200,"0"),TEXT(輸入與假設!$C$200,"0.0"))&amp;"×，"&amp;IF(MAX(資產負債_新債與新股!$C$38:$G$38)&gt;輸入與假設!$C$200+0.000000001,CHOOSE(MATCH(MAX(資產負債_新債與新股!$C$38:$G$38),資產負債_新債與新股!$C$38:$G$38,0),"FY26","FY27","FY28","FY29","FY30")&amp;" 超過 "&amp;TEXT(MAX(資產負債_新債與新股!$C$38:$G$38)-輸入與假設!$C$200,"0.0")&amp;"×：需股權或高息債。","最小空間 "&amp;TEXT(輸入與假設!$C$200-MAX(資產負債_新債與新股!$C$38:$G$38),"0.0")&amp;"×（"&amp;CHOOSE(MATCH(MAX(資產負債_新債與新股!$C$38:$G$38),資產負債_新債與新股!$C$38:$G$38,0),"FY26","FY27","FY28","FY29","FY30")&amp;"）。"),"總債務 ÷ EBITDA（年化）路徑 "&amp;TEXT(資產負債_新債與新股!C40,"0.0")&amp;"／"&amp;TEXT(資產負債_新債與新股!D40,"0.0")&amp;"／"&amp;TEXT(資產負債_新債與新股!E40,"0.0")&amp;"／"&amp;TEXT(資產負債_新債與新股!F40,"0.0")&amp;"／"&amp;TEXT(資產負債_新債與新股!G40,"0.0")&amp;"×；上限 "&amp;IF(輸入與假設!$C$200=INT(輸入與假設!$C$200),TEXT(輸入與假設!$C$200,"0"),TEXT(輸入與假設!$C$200,"0.0"))&amp;"×，"&amp;IF(MAX(資產負債_新債與新股!$C$40:$G$40)&gt;輸入與假設!$C$200+0.000000001,CHOOSE(MATCH(MAX(資產負債_新債與新股!$C$40:$G$40),資產負債_新債與新股!$C$40:$G$40,0),"FY26","FY27","FY28","FY29","FY30")&amp;" 最高超過 "&amp;TEXT(MAX(資產負債_新債與新股!$C$40:$G$40)-輸入與假設!$C$200,"0.0")&amp;"×：超過期間新債只能動用已承諾額度，其餘靠可轉債、股權或高息債。","最小空間 "&amp;TEXT(輸入與假設!$C$200-MAX(資產負債_新債與新股!$C$40:$G$40),"0.0")&amp;"×（"&amp;CHOOSE(MATCH(MAX(資產負債_新債與新股!$C$40:$G$40),資產負債_新債與新股!$C$40:$G$40,0),"FY26","FY27","FY28","FY29","FY30")&amp;"）。"))</f>
        <v>總債務 ÷ EBITDA（年化）路徑 37.1／29.2／8.6／5.1／3.6×；上限 5×，FY26 最高超過 32.1×：超過期間新債只能動用已承諾額度，其餘靠可轉債、股權或高息債。</v>
      </c>
    </row>
    <row r="18" customFormat="false" ht="15" hidden="false" customHeight="false" outlineLevel="1" collapsed="false">
      <c r="A18" s="3" t="s">
        <v>51</v>
      </c>
      <c r="C18" s="10" t="str">
        <f aca="false">IF(運營_產能與收入!$C$62&gt;0,"建設延誤 "&amp;IF(運營_產能與收入!$C$62=INT(運營_產能與收入!$C$62),TEXT(運營_產能與收入!$C$62,"0"),TEXT(運營_產能與收入!$C$62,"0.0"))&amp;" 個月（GPU 資本支出照原時程）：閒置資本（已支出、尚未產生收入）峰值 $"&amp;TEXT(MAX(運營_產能與收入!$C$67:$G$67),"#,##0.0")&amp;"m（"&amp;CHOOSE(MATCH(MAX(運營_產能與收入!$C$67:$G$67),運營_產能與收入!$C$67:$G$67,0),"FY26","FY27","FY28","FY29","FY30")&amp;" 末）。","建設延誤：本情境 0 個月（無閒置資本）。")</f>
        <v>建設延誤 3 個月（GPU 資本支出照原時程）：閒置資本（已支出、尚未產生收入）峰值 $61.7m（FY26 末）。</v>
      </c>
    </row>
    <row r="20" customFormat="false" ht="15" hidden="false" customHeight="false" outlineLevel="0" collapsed="false">
      <c r="A20" s="7" t="s">
        <v>52</v>
      </c>
      <c r="B20" s="8"/>
      <c r="C20" s="8"/>
      <c r="D20" s="8"/>
      <c r="E20" s="8"/>
      <c r="F20" s="8"/>
      <c r="G20" s="8"/>
      <c r="H20" s="8"/>
    </row>
    <row r="21" customFormat="false" ht="15" hidden="false" customHeight="false" outlineLevel="1" collapsed="false">
      <c r="A21" s="14" t="s">
        <v>53</v>
      </c>
      <c r="B21" s="14" t="s">
        <v>54</v>
      </c>
      <c r="C21" s="15" t="s">
        <v>55</v>
      </c>
      <c r="D21" s="15" t="s">
        <v>56</v>
      </c>
      <c r="E21" s="15" t="s">
        <v>57</v>
      </c>
    </row>
    <row r="22" customFormat="false" ht="15" hidden="false" customHeight="false" outlineLevel="1" collapsed="false">
      <c r="A22" s="3" t="s">
        <v>58</v>
      </c>
      <c r="B22" s="11" t="s">
        <v>59</v>
      </c>
      <c r="C22" s="10" t="n">
        <f aca="false">損益!C29</f>
        <v>129.872431231938</v>
      </c>
      <c r="D22" s="10" t="n">
        <f aca="false">損益!D29</f>
        <v>278.169582973631</v>
      </c>
      <c r="E22" s="10" t="n">
        <f aca="false">損益!E29</f>
        <v>417.412422920645</v>
      </c>
    </row>
    <row r="23" customFormat="false" ht="15" hidden="false" customHeight="false" outlineLevel="1" collapsed="false">
      <c r="A23" s="3" t="s">
        <v>60</v>
      </c>
      <c r="B23" s="11" t="s">
        <v>59</v>
      </c>
      <c r="C23" s="10" t="n">
        <f aca="false">輸入與假設!$C$344</f>
        <v>137</v>
      </c>
      <c r="D23" s="10" t="n">
        <f aca="false">輸入與假設!$D$344</f>
        <v>296</v>
      </c>
      <c r="E23" s="10" t="n">
        <f aca="false">輸入與假設!$E$344</f>
        <v>530</v>
      </c>
    </row>
    <row r="24" customFormat="false" ht="15" hidden="false" customHeight="false" outlineLevel="1" collapsed="false">
      <c r="A24" s="3" t="s">
        <v>61</v>
      </c>
      <c r="B24" s="11" t="s">
        <v>42</v>
      </c>
      <c r="C24" s="13" t="n">
        <f aca="false">IFERROR(C22/C23-1,"—")</f>
        <v>-0.0520260494019115</v>
      </c>
      <c r="D24" s="13" t="n">
        <f aca="false">IFERROR(D22/D23-1,"—")</f>
        <v>-0.0602378953593545</v>
      </c>
      <c r="E24" s="13" t="n">
        <f aca="false">IFERROR(E22/E23-1,"—")</f>
        <v>-0.212429390715765</v>
      </c>
    </row>
    <row r="25" customFormat="false" ht="15" hidden="false" customHeight="false" outlineLevel="1" collapsed="false">
      <c r="A25" s="3" t="s">
        <v>62</v>
      </c>
      <c r="B25" s="11" t="s">
        <v>59</v>
      </c>
      <c r="C25" s="10" t="n">
        <f aca="false">輸入與假設!$C$310+損益!C22</f>
        <v>14.7487289668297</v>
      </c>
      <c r="D25" s="10" t="n">
        <f aca="false">損益!D34</f>
        <v>25.404783127895</v>
      </c>
      <c r="E25" s="10" t="n">
        <f aca="false">損益!E34</f>
        <v>90.2664987477901</v>
      </c>
    </row>
    <row r="26" customFormat="false" ht="15" hidden="false" customHeight="false" outlineLevel="1" collapsed="false">
      <c r="A26" s="3" t="s">
        <v>63</v>
      </c>
      <c r="B26" s="11" t="s">
        <v>59</v>
      </c>
      <c r="C26" s="10" t="str">
        <f aca="false">"—"</f>
        <v>—</v>
      </c>
      <c r="D26" s="10" t="str">
        <f aca="false">"—"</f>
        <v>—</v>
      </c>
      <c r="E26" s="10" t="str">
        <f aca="false">"—"</f>
        <v>—</v>
      </c>
    </row>
    <row r="27" customFormat="false" ht="15" hidden="false" customHeight="false" outlineLevel="1" collapsed="false">
      <c r="A27" s="3" t="s">
        <v>64</v>
      </c>
      <c r="B27" s="11" t="s">
        <v>42</v>
      </c>
      <c r="C27" s="13" t="str">
        <f aca="false">IFERROR(C25/C26-1,"—")</f>
        <v>—</v>
      </c>
      <c r="D27" s="13" t="str">
        <f aca="false">IFERROR(D25/D26-1,"—")</f>
        <v>—</v>
      </c>
      <c r="E27" s="13" t="str">
        <f aca="false">IFERROR(E25/E26-1,"—")</f>
        <v>—</v>
      </c>
      <c r="I27" s="11" t="s">
        <v>65</v>
      </c>
    </row>
    <row r="28" customFormat="false" ht="15" hidden="false" customHeight="false" outlineLevel="1" collapsed="false">
      <c r="A28" s="3" t="s">
        <v>66</v>
      </c>
      <c r="B28" s="11" t="s">
        <v>59</v>
      </c>
      <c r="C28" s="10" t="str">
        <f aca="false">IFERROR(C25-C26,"—")</f>
        <v>—</v>
      </c>
      <c r="D28" s="10" t="str">
        <f aca="false">IFERROR(D25-D26,"—")</f>
        <v>—</v>
      </c>
      <c r="E28" s="10" t="str">
        <f aca="false">IFERROR(E25-E26,"—")</f>
        <v>—</v>
      </c>
      <c r="I28" s="6" t="s">
        <v>67</v>
      </c>
    </row>
    <row r="29" customFormat="false" ht="15" hidden="false" customHeight="false" outlineLevel="1" collapsed="false">
      <c r="A29" s="3" t="s">
        <v>68</v>
      </c>
      <c r="B29" s="11" t="s">
        <v>42</v>
      </c>
      <c r="C29" s="13" t="n">
        <f aca="false">C25/C22</f>
        <v>0.113563200649491</v>
      </c>
      <c r="D29" s="13" t="n">
        <f aca="false">D25/D22</f>
        <v>0.0913284006695414</v>
      </c>
      <c r="E29" s="13" t="n">
        <f aca="false">E25/E22</f>
        <v>0.216252544943903</v>
      </c>
    </row>
    <row r="30" customFormat="false" ht="15" hidden="false" customHeight="false" outlineLevel="1" collapsed="false">
      <c r="A30" s="3" t="s">
        <v>69</v>
      </c>
      <c r="B30" s="11" t="s">
        <v>42</v>
      </c>
      <c r="C30" s="13" t="str">
        <f aca="false">"—"</f>
        <v>—</v>
      </c>
      <c r="D30" s="13" t="str">
        <f aca="false">"—"</f>
        <v>—</v>
      </c>
      <c r="E30" s="13" t="str">
        <f aca="false">"—"</f>
        <v>—</v>
      </c>
    </row>
    <row r="31" customFormat="false" ht="15" hidden="false" customHeight="false" outlineLevel="1" collapsed="false">
      <c r="A31" s="3" t="s">
        <v>70</v>
      </c>
      <c r="B31" s="11" t="s">
        <v>71</v>
      </c>
      <c r="C31" s="13" t="str">
        <f aca="false">IFERROR(C29-C30,"—")</f>
        <v>—</v>
      </c>
      <c r="D31" s="13" t="str">
        <f aca="false">IFERROR(D29-D30,"—")</f>
        <v>—</v>
      </c>
      <c r="E31" s="13" t="str">
        <f aca="false">IFERROR(E29-E30,"—")</f>
        <v>—</v>
      </c>
      <c r="I31" s="11" t="s">
        <v>72</v>
      </c>
    </row>
    <row r="32" customFormat="false" ht="15" hidden="false" customHeight="false" outlineLevel="1" collapsed="false">
      <c r="A32" s="3" t="s">
        <v>73</v>
      </c>
      <c r="B32" s="11" t="s">
        <v>59</v>
      </c>
      <c r="C32" s="10" t="n">
        <f aca="false">輸入與假設!$C$293+輸入與假設!C$175</f>
        <v>491.691025</v>
      </c>
      <c r="D32" s="10" t="n">
        <f aca="false">輸入與假設!D$175</f>
        <v>427.1456145</v>
      </c>
      <c r="E32" s="10" t="n">
        <f aca="false">輸入與假設!E$175</f>
        <v>56.385</v>
      </c>
    </row>
    <row r="33" customFormat="false" ht="15" hidden="false" customHeight="false" outlineLevel="1" collapsed="false">
      <c r="A33" s="3" t="s">
        <v>74</v>
      </c>
      <c r="B33" s="11" t="s">
        <v>59</v>
      </c>
      <c r="C33" s="10" t="str">
        <f aca="false">"—"</f>
        <v>—</v>
      </c>
      <c r="D33" s="10" t="str">
        <f aca="false">"—"</f>
        <v>—</v>
      </c>
      <c r="E33" s="10" t="str">
        <f aca="false">"—"</f>
        <v>—</v>
      </c>
    </row>
    <row r="34" customFormat="false" ht="15" hidden="false" customHeight="false" outlineLevel="1" collapsed="false">
      <c r="A34" s="3" t="s">
        <v>75</v>
      </c>
      <c r="B34" s="11" t="s">
        <v>42</v>
      </c>
      <c r="C34" s="13" t="str">
        <f aca="false">IFERROR(C32/C33-1,"—")</f>
        <v>—</v>
      </c>
      <c r="D34" s="13" t="str">
        <f aca="false">IFERROR(D32/D33-1,"—")</f>
        <v>—</v>
      </c>
      <c r="E34" s="13" t="str">
        <f aca="false">IFERROR(E32/E33-1,"—")</f>
        <v>—</v>
      </c>
      <c r="I34" s="6" t="s">
        <v>76</v>
      </c>
    </row>
    <row r="35" customFormat="false" ht="15" hidden="false" customHeight="false" outlineLevel="1" collapsed="false">
      <c r="A35" s="3" t="s">
        <v>77</v>
      </c>
      <c r="B35" s="11" t="s">
        <v>59</v>
      </c>
      <c r="C35" s="10" t="n">
        <f aca="false">資產負債_新債與新股!C26</f>
        <v>324.460424856991</v>
      </c>
      <c r="D35" s="10" t="n">
        <f aca="false">資產負債_新債與新股!D26</f>
        <v>712.511196443146</v>
      </c>
      <c r="E35" s="10" t="n">
        <f aca="false">資產負債_新債與新股!E26</f>
        <v>749.185498471935</v>
      </c>
    </row>
    <row r="36" customFormat="false" ht="15" hidden="false" customHeight="false" outlineLevel="1" collapsed="false">
      <c r="A36" s="3" t="s">
        <v>78</v>
      </c>
      <c r="B36" s="11" t="s">
        <v>59</v>
      </c>
      <c r="C36" s="10" t="str">
        <f aca="false">"—"</f>
        <v>—</v>
      </c>
      <c r="D36" s="10" t="str">
        <f aca="false">"—"</f>
        <v>—</v>
      </c>
      <c r="E36" s="10" t="str">
        <f aca="false">"—"</f>
        <v>—</v>
      </c>
    </row>
    <row r="37" customFormat="false" ht="15" hidden="false" customHeight="false" outlineLevel="1" collapsed="false">
      <c r="A37" s="3" t="s">
        <v>79</v>
      </c>
      <c r="B37" s="11" t="s">
        <v>42</v>
      </c>
      <c r="C37" s="13" t="str">
        <f aca="false">IFERROR(C35/C36-1,"—")</f>
        <v>—</v>
      </c>
      <c r="D37" s="13" t="str">
        <f aca="false">IFERROR(D35/D36-1,"—")</f>
        <v>—</v>
      </c>
      <c r="E37" s="13" t="str">
        <f aca="false">IFERROR(E35/E36-1,"—")</f>
        <v>—</v>
      </c>
      <c r="I37" s="6" t="s">
        <v>80</v>
      </c>
    </row>
    <row r="38" customFormat="false" ht="15" hidden="false" customHeight="false" outlineLevel="1" collapsed="false">
      <c r="A38" s="3" t="s">
        <v>81</v>
      </c>
      <c r="B38" s="11" t="s">
        <v>59</v>
      </c>
      <c r="C38" s="10" t="str">
        <f aca="false">IFERROR(C35-C36,"—")</f>
        <v>—</v>
      </c>
      <c r="D38" s="10" t="str">
        <f aca="false">IFERROR(D35-D36,"—")</f>
        <v>—</v>
      </c>
      <c r="E38" s="10" t="str">
        <f aca="false">IFERROR(E35-E36,"—")</f>
        <v>—</v>
      </c>
      <c r="I38" s="6" t="s">
        <v>67</v>
      </c>
    </row>
    <row r="39" customFormat="false" ht="15" hidden="false" customHeight="false" outlineLevel="1" collapsed="false">
      <c r="A39" s="3" t="s">
        <v>82</v>
      </c>
      <c r="C39" s="10" t="str">
        <f aca="false">MID(IF(ABS(C24)&gt;輸入與假設!$C$367,"、營收 "&amp;IF(C24&lt;0,"−","+")&amp;TEXT(ABS(C24)*100,"0.0")&amp;"%",""),2,999)</f>
        <v>營收 −5.2%</v>
      </c>
      <c r="D39" s="10" t="str">
        <f aca="false">MID(IF(ABS(D24)&gt;輸入與假設!$C$367,"、營收 "&amp;IF(D24&lt;0,"−","+")&amp;TEXT(ABS(D24)*100,"0.0")&amp;"%",""),2,999)</f>
        <v>營收 −6.0%</v>
      </c>
      <c r="E39" s="10" t="str">
        <f aca="false">MID(IF(ABS(E24)&gt;輸入與假設!$C$367,"、營收 "&amp;IF(E24&lt;0,"−","+")&amp;TEXT(ABS(E24)*100,"0.0")&amp;"%",""),2,999)</f>
        <v>營收 −21.2%</v>
      </c>
      <c r="I39" s="6" t="s">
        <v>83</v>
      </c>
    </row>
    <row r="40" customFormat="false" ht="15" hidden="false" customHeight="false" outlineLevel="1" collapsed="false">
      <c r="A40" s="3" t="s">
        <v>84</v>
      </c>
      <c r="C40" s="9" t="n">
        <f aca="false">IF(C39&lt;&gt;"",1,IF(D39&lt;&gt;"",2,IF(E39&lt;&gt;"",3,0)))</f>
        <v>1</v>
      </c>
    </row>
    <row r="41" customFormat="false" ht="15" hidden="false" customHeight="false" outlineLevel="1" collapsed="false">
      <c r="A41" s="2" t="s">
        <v>85</v>
      </c>
      <c r="C41" s="10" t="str">
        <f aca="false">CHOOSE(C40+1,"FY26–FY28 營收 與共識差距皆在 "&amp;IF(ROUND(ABS(輸入與假設!$C$367)*100,4)=INT(ROUND(ABS(輸入與假設!$C$367)*100,4)),TEXT(ROUND(ABS(輸入與假設!$C$367)*100,4),"0"),TEXT(ROUND(ABS(輸入與假設!$C$367)*100,4),"0.0"))&amp;"%"&amp;" 以內。","分歧始於 FY26（"&amp;C39&amp;"）"&amp;"；FY27 "&amp;IF(D39="","回到 "&amp;IF(ROUND(ABS(輸入與假設!$C$367)*100,4)=INT(ROUND(ABS(輸入與假設!$C$367)*100,4)),TEXT(ROUND(ABS(輸入與假設!$C$367)*100,4),"0"),TEXT(ROUND(ABS(輸入與假設!$C$367)*100,4),"0.0"))&amp;"%"&amp;" 以內",D39)&amp;"；FY28 "&amp;IF(E39="","回到 "&amp;IF(ROUND(ABS(輸入與假設!$C$367)*100,4)=INT(ROUND(ABS(輸入與假設!$C$367)*100,4)),TEXT(ROUND(ABS(輸入與假設!$C$367)*100,4),"0"),TEXT(ROUND(ABS(輸入與假設!$C$367)*100,4),"0.0"))&amp;"%"&amp;" 以內",E39)&amp;"。","FY26 營收 與共識差距在 "&amp;IF(ROUND(ABS(輸入與假設!$C$367)*100,4)=INT(ROUND(ABS(輸入與假設!$C$367)*100,4)),TEXT(ROUND(ABS(輸入與假設!$C$367)*100,4),"0"),TEXT(ROUND(ABS(輸入與假設!$C$367)*100,4),"0.0"))&amp;"%"&amp;" 以內；分歧始於 FY27（"&amp;D39&amp;"）"&amp;"；FY28 "&amp;IF(E39="","回到 "&amp;IF(ROUND(ABS(輸入與假設!$C$367)*100,4)=INT(ROUND(ABS(輸入與假設!$C$367)*100,4)),TEXT(ROUND(ABS(輸入與假設!$C$367)*100,4),"0"),TEXT(ROUND(ABS(輸入與假設!$C$367)*100,4),"0.0"))&amp;"%"&amp;" 以內",E39)&amp;"。","FY26–FY27 營收 與共識差距在 "&amp;IF(ROUND(ABS(輸入與假設!$C$367)*100,4)=INT(ROUND(ABS(輸入與假設!$C$367)*100,4)),TEXT(ROUND(ABS(輸入與假設!$C$367)*100,4),"0"),TEXT(ROUND(ABS(輸入與假設!$C$367)*100,4),"0.0"))&amp;"%"&amp;" 以內；分歧始於 FY28（"&amp;E39&amp;"）。")</f>
        <v>分歧始於 FY26（營收 −5.2%）；FY27 營收 −6.0%；FY28 營收 −21.2%。</v>
      </c>
    </row>
    <row r="42" customFormat="false" ht="15" hidden="false" customHeight="false" outlineLevel="1" collapsed="false">
      <c r="A42" s="3" t="s">
        <v>86</v>
      </c>
      <c r="C42" s="10" t="str">
        <f aca="false">IF(ABS(C24)&gt;輸入與假設!$C$367,"觀點","")</f>
        <v>觀點</v>
      </c>
      <c r="D42" s="10" t="str">
        <f aca="false">IF(ABS(C24)&gt;輸入與假設!$C$367,"營收＝雲端（在役 MW × 每 MW 年收入，Tokenomics 正向推導；年底已連網 "&amp;IF((輸入與假設!C$43)&lt;0,"−","")&amp;TEXT(ABS((輸入與假設!C$43)),"#,##0.0")&amp;" MW-IT）＋託管（已簽約合約排程與擴建）；共識未揭露 MW 與單價假設","")</f>
        <v>營收＝雲端（在役 MW × 每 MW 年收入，Tokenomics 正向推導；年底已連網 14.6 MW-IT）＋託管（已簽約合約排程與擴建）；共識未揭露 MW 與單價假設</v>
      </c>
      <c r="I42" s="11" t="s">
        <v>87</v>
      </c>
    </row>
    <row r="43" customFormat="false" ht="15" hidden="false" customHeight="false" outlineLevel="1" collapsed="false">
      <c r="A43" s="3" t="s">
        <v>88</v>
      </c>
      <c r="C43" s="10" t="str">
        <f aca="false">IF(ABS(D24)&gt;輸入與假設!$C$367,"觀點","")</f>
        <v>觀點</v>
      </c>
      <c r="D43" s="10" t="str">
        <f aca="false">IF(ABS(D24)&gt;輸入與假設!$C$367,"營收＝雲端（在役 MW × 每 MW 年收入，Tokenomics 正向推導；年底已連網 "&amp;IF((輸入與假設!D$43)&lt;0,"−","")&amp;TEXT(ABS((輸入與假設!D$43)),"#,##0.0")&amp;" MW-IT）＋託管（已簽約合約排程與擴建）；共識未揭露 MW 與單價假設","")</f>
        <v>營收＝雲端（在役 MW × 每 MW 年收入，Tokenomics 正向推導；年底已連網 16.5 MW-IT）＋託管（已簽約合約排程與擴建）；共識未揭露 MW 與單價假設</v>
      </c>
    </row>
    <row r="44" customFormat="false" ht="15" hidden="false" customHeight="false" outlineLevel="1" collapsed="false">
      <c r="A44" s="3" t="s">
        <v>89</v>
      </c>
      <c r="C44" s="10" t="str">
        <f aca="false">IF(ABS(E24)&gt;輸入與假設!$C$367,"觀點","")</f>
        <v>觀點</v>
      </c>
      <c r="D44" s="10" t="str">
        <f aca="false">IF(ABS(E24)&gt;輸入與假設!$C$367,"營收＝雲端（在役 MW × 每 MW 年收入，Tokenomics 正向推導；年底已連網 "&amp;IF((輸入與假設!E$43)&lt;0,"−","")&amp;TEXT(ABS((輸入與假設!E$43)),"#,##0.0")&amp;" MW-IT）＋託管（已簽約合約排程與擴建）；共識未揭露 MW 與單價假設","")</f>
        <v>營收＝雲端（在役 MW × 每 MW 年收入，Tokenomics 正向推導；年底已連網 19.5 MW-IT）＋託管（已簽約合約排程與擴建）；共識未揭露 MW 與單價假設</v>
      </c>
    </row>
    <row r="45" customFormat="false" ht="15" hidden="false" customHeight="false" outlineLevel="1" collapsed="false">
      <c r="A45" s="3" t="s">
        <v>90</v>
      </c>
      <c r="C45" s="9" t="n">
        <f aca="false">SUMPRODUCT(--(ABS(C24:E24)&gt;輸入與假設!$C$367))</f>
        <v>3</v>
      </c>
      <c r="I45" s="6" t="s">
        <v>91</v>
      </c>
    </row>
    <row r="46" customFormat="false" ht="15" hidden="false" customHeight="false" outlineLevel="1" collapsed="false">
      <c r="A46" s="3" t="s">
        <v>92</v>
      </c>
      <c r="C46" s="10" t="str">
        <f aca="false">IF(C45=0,"","需附原因的 "&amp;C45&amp;" 項差距："&amp;MID(IF((COUNTIF(C42,"觀點")+COUNTIF(C43,"觀點")+COUNTIF(C44,"觀點"))&gt;0,"、觀點 "&amp;(COUNTIF(C42,"觀點")+COUNTIF(C43,"觀點")+COUNTIF(C44,"觀點"))&amp;" 項","")&amp;IF((COUNTIF(C42,"拆法")+COUNTIF(C43,"拆法")+COUNTIF(C44,"拆法"))&gt;0,"、拆法 "&amp;(COUNTIF(C42,"拆法")+COUNTIF(C43,"拆法")+COUNTIF(C44,"拆法"))&amp;" 項","")&amp;IF((COUNTIF(C42,"已知限制")+COUNTIF(C43,"已知限制")+COUNTIF(C44,"已知限制"))&gt;0,"、已知限制 "&amp;(COUNTIF(C42,"已知限制")+COUNTIF(C43,"已知限制")+COUNTIF(C44,"已知限制"))&amp;" 項","")&amp;IF((C45-((COUNTIF(C42,"觀點")+COUNTIF(C43,"觀點")+COUNTIF(C44,"觀點"))+(COUNTIF(C42,"拆法")+COUNTIF(C43,"拆法")+COUNTIF(C44,"拆法"))+(COUNTIF(C42,"已知限制")+COUNTIF(C43,"已知限制")+COUNTIF(C44,"已知限制"))))&gt;0,"、未歸類 "&amp;(C45-((COUNTIF(C42,"觀點")+COUNTIF(C43,"觀點")+COUNTIF(C44,"觀點"))+(COUNTIF(C42,"拆法")+COUNTIF(C43,"拆法")+COUNTIF(C44,"拆法"))+(COUNTIF(C42,"已知限制")+COUNTIF(C43,"已知限制")+COUNTIF(C44,"已知限制"))))&amp;" 項",""),2,999)&amp;"；原因見「損益與評價 → 市場共識」。")</f>
        <v>需附原因的 3 項差距：觀點 3 項；原因見「損益與評價 → 市場共識」。</v>
      </c>
      <c r="I46" s="6" t="s">
        <v>93</v>
      </c>
    </row>
    <row r="48" customFormat="false" ht="15" hidden="false" customHeight="false" outlineLevel="0" collapsed="false">
      <c r="A48" s="7" t="s">
        <v>94</v>
      </c>
      <c r="B48" s="8"/>
      <c r="C48" s="8"/>
      <c r="D48" s="8"/>
      <c r="E48" s="8"/>
      <c r="F48" s="8"/>
      <c r="G48" s="8"/>
      <c r="H48" s="8"/>
    </row>
    <row r="49" customFormat="false" ht="15" hidden="false" customHeight="false" outlineLevel="1" collapsed="false">
      <c r="A49" s="3" t="s">
        <v>95</v>
      </c>
      <c r="B49" s="11" t="s">
        <v>96</v>
      </c>
      <c r="C49" s="16" t="str">
        <f aca="false">"—"</f>
        <v>—</v>
      </c>
      <c r="I49" s="6" t="s">
        <v>97</v>
      </c>
    </row>
    <row r="50" customFormat="false" ht="15" hidden="false" customHeight="false" outlineLevel="1" collapsed="false">
      <c r="A50" s="3" t="s">
        <v>98</v>
      </c>
      <c r="B50" s="11" t="s">
        <v>96</v>
      </c>
      <c r="C50" s="16" t="str">
        <f aca="false">"—"</f>
        <v>—</v>
      </c>
      <c r="I50" s="6" t="s">
        <v>99</v>
      </c>
    </row>
    <row r="51" customFormat="false" ht="15" hidden="false" customHeight="false" outlineLevel="1" collapsed="false">
      <c r="A51" s="3" t="s">
        <v>100</v>
      </c>
      <c r="B51" s="11" t="s">
        <v>96</v>
      </c>
      <c r="C51" s="16" t="n">
        <f aca="false">MAX(輸入與假設!$C$258,輸入與假設!$C$259)</f>
        <v>6</v>
      </c>
      <c r="I51" s="6" t="s">
        <v>101</v>
      </c>
    </row>
    <row r="52" customFormat="false" ht="15" hidden="false" customHeight="false" outlineLevel="1" collapsed="false">
      <c r="A52" s="3" t="s">
        <v>102</v>
      </c>
      <c r="B52" s="11" t="s">
        <v>59</v>
      </c>
      <c r="C52" s="10" t="n">
        <f aca="false">輸入與假設!E$117</f>
        <v>88.5732688314977</v>
      </c>
      <c r="I52" s="11" t="s">
        <v>103</v>
      </c>
    </row>
    <row r="53" customFormat="false" ht="15" hidden="false" customHeight="false" outlineLevel="1" collapsed="false">
      <c r="A53" s="3" t="s">
        <v>104</v>
      </c>
      <c r="B53" s="11" t="s">
        <v>96</v>
      </c>
      <c r="C53" s="16" t="str">
        <f aca="false">"—"</f>
        <v>—</v>
      </c>
      <c r="I53" s="6" t="s">
        <v>105</v>
      </c>
    </row>
    <row r="54" customFormat="false" ht="15" hidden="false" customHeight="false" outlineLevel="1" collapsed="false">
      <c r="A54" s="3" t="s">
        <v>106</v>
      </c>
      <c r="B54" s="11" t="s">
        <v>96</v>
      </c>
      <c r="C54" s="16" t="str">
        <f aca="false">"—"</f>
        <v>—</v>
      </c>
      <c r="I54" s="6" t="s">
        <v>107</v>
      </c>
    </row>
    <row r="55" customFormat="false" ht="15" hidden="false" customHeight="false" outlineLevel="1" collapsed="false">
      <c r="A55" s="2" t="s">
        <v>108</v>
      </c>
      <c r="C55" s="10" t="str">
        <f aca="false">"共識 FY28 調整後 EBITDA 未列：隱含倍數不適用（共識平均目標價 $"&amp;TEXT(輸入與假設!$C$322,"0.00")&amp;"、現價 $"&amp;TEXT(輸入與假設!$C$228,"0.00")&amp;"）。"</f>
        <v>共識 FY28 調整後 EBITDA 未列：隱含倍數不適用（共識平均目標價 $38.00、現價 $16.83）。</v>
      </c>
    </row>
    <row r="56" customFormat="false" ht="15" hidden="false" customHeight="false" outlineLevel="1" collapsed="false">
      <c r="A56" s="3" t="s">
        <v>109</v>
      </c>
      <c r="C56" s="17" t="n">
        <f aca="false">評價_反向DCF!B18</f>
        <v>17.4</v>
      </c>
      <c r="D56" s="17" t="n">
        <f aca="false">評價_反向DCF!C18</f>
        <v>31.5283</v>
      </c>
      <c r="E56" s="13" t="n">
        <f aca="false">評價_反向DCF!D18</f>
        <v>0.812</v>
      </c>
      <c r="I56" s="6" t="s">
        <v>110</v>
      </c>
    </row>
    <row r="57" customFormat="false" ht="15" hidden="false" customHeight="false" outlineLevel="1" collapsed="false">
      <c r="A57" s="3" t="s">
        <v>111</v>
      </c>
      <c r="C57" s="17" t="n">
        <f aca="false">評價_反向DCF!B19</f>
        <v>37.59</v>
      </c>
      <c r="D57" s="17" t="n">
        <f aca="false">評價_反向DCF!C19</f>
        <v>12.8425</v>
      </c>
      <c r="E57" s="13" t="n">
        <f aca="false">評價_反向DCF!D19</f>
        <v>-0.6584</v>
      </c>
    </row>
    <row r="58" customFormat="false" ht="15" hidden="false" customHeight="false" outlineLevel="1" collapsed="false">
      <c r="A58" s="3" t="s">
        <v>112</v>
      </c>
      <c r="C58" s="13" t="n">
        <f aca="false">評價_反向DCF!B20</f>
        <v>0.47</v>
      </c>
      <c r="D58" s="13" t="n">
        <f aca="false">評價_反向DCF!C20</f>
        <v>0.8566</v>
      </c>
      <c r="E58" s="13" t="n">
        <f aca="false">評價_反向DCF!D20</f>
        <v>0.3866</v>
      </c>
    </row>
    <row r="59" customFormat="false" ht="15" hidden="false" customHeight="false" outlineLevel="1" collapsed="false">
      <c r="A59" s="3" t="s">
        <v>113</v>
      </c>
      <c r="C59" s="17" t="n">
        <f aca="false">評價_反向DCF!B21</f>
        <v>17.4</v>
      </c>
      <c r="D59" s="17" t="n">
        <f aca="false">評價_反向DCF!C21</f>
        <v>17.3821</v>
      </c>
      <c r="E59" s="13" t="n">
        <f aca="false">評價_反向DCF!D21</f>
        <v>-0.001</v>
      </c>
    </row>
    <row r="61" customFormat="false" ht="15" hidden="false" customHeight="false" outlineLevel="0" collapsed="false">
      <c r="A61" s="7" t="s">
        <v>114</v>
      </c>
      <c r="B61" s="8"/>
      <c r="C61" s="8"/>
      <c r="D61" s="8"/>
      <c r="E61" s="8"/>
      <c r="F61" s="8"/>
      <c r="G61" s="8"/>
      <c r="H61" s="8"/>
    </row>
    <row r="62" customFormat="false" ht="15" hidden="false" customHeight="false" outlineLevel="1" collapsed="false">
      <c r="A62" s="3" t="s">
        <v>115</v>
      </c>
      <c r="C62" s="10" t="str">
        <f aca="false">季度追蹤!C12</f>
        <v>Q3 2026</v>
      </c>
      <c r="I62" s="6" t="s">
        <v>116</v>
      </c>
    </row>
    <row r="63" customFormat="false" ht="15" hidden="false" customHeight="false" outlineLevel="1" collapsed="false">
      <c r="A63" s="3" t="s">
        <v>117</v>
      </c>
      <c r="B63" s="11" t="s">
        <v>59</v>
      </c>
      <c r="C63" s="10" t="n">
        <f aca="false">季度追蹤!C6</f>
        <v>31.8831437439794</v>
      </c>
      <c r="D63" s="10" t="str">
        <f aca="false">季度追蹤!D6</f>
        <v>不適用</v>
      </c>
      <c r="E63" s="10" t="str">
        <f aca="false">季度追蹤!F6</f>
        <v>不適用</v>
      </c>
      <c r="F63" s="10" t="str">
        <f aca="false">季度追蹤!G6</f>
        <v>不適用</v>
      </c>
      <c r="G63" s="10" t="str">
        <f aca="false">季度追蹤!I6</f>
        <v>待公布</v>
      </c>
      <c r="I63" s="6" t="s">
        <v>118</v>
      </c>
    </row>
    <row r="64" customFormat="false" ht="15" hidden="false" customHeight="false" outlineLevel="1" collapsed="false">
      <c r="A64" s="2" t="s">
        <v>119</v>
      </c>
      <c r="C64" s="10" t="str">
        <f aca="false">INDEX(季度追蹤!$C$123:$H$123,輸入與假設!$C$373)</f>
        <v>營收：模型 $31.9m</v>
      </c>
    </row>
    <row r="65" customFormat="false" ht="15" hidden="false" customHeight="false" outlineLevel="1" collapsed="false">
      <c r="A65" s="3" t="s">
        <v>120</v>
      </c>
      <c r="B65" s="11" t="s">
        <v>59</v>
      </c>
      <c r="C65" s="10" t="n">
        <f aca="false">季度追蹤!C7</f>
        <v>2.42555109227212</v>
      </c>
      <c r="D65" s="10" t="str">
        <f aca="false">季度追蹤!D7</f>
        <v>不適用</v>
      </c>
      <c r="E65" s="10" t="str">
        <f aca="false">季度追蹤!F7</f>
        <v>不適用</v>
      </c>
      <c r="F65" s="10" t="str">
        <f aca="false">季度追蹤!G7</f>
        <v>不適用</v>
      </c>
      <c r="G65" s="10" t="str">
        <f aca="false">季度追蹤!I7</f>
        <v>待公布</v>
      </c>
      <c r="I65" s="6" t="s">
        <v>118</v>
      </c>
    </row>
    <row r="66" customFormat="false" ht="15" hidden="false" customHeight="false" outlineLevel="1" collapsed="false">
      <c r="A66" s="2" t="s">
        <v>121</v>
      </c>
      <c r="C66" s="10" t="str">
        <f aca="false">INDEX(季度追蹤!$C$124:$H$124,輸入與假設!$C$373)</f>
        <v>調整後 EBITDA：模型 $2.4m</v>
      </c>
    </row>
    <row r="67" customFormat="false" ht="15" hidden="false" customHeight="false" outlineLevel="1" collapsed="false">
      <c r="A67" s="3" t="s">
        <v>122</v>
      </c>
      <c r="B67" s="11" t="s">
        <v>59</v>
      </c>
      <c r="C67" s="10" t="n">
        <f aca="false">季度追蹤!C10</f>
        <v>73.4895125</v>
      </c>
      <c r="D67" s="10" t="str">
        <f aca="false">季度追蹤!D10</f>
        <v>不適用</v>
      </c>
      <c r="E67" s="10" t="str">
        <f aca="false">季度追蹤!F10</f>
        <v>不適用</v>
      </c>
      <c r="F67" s="10" t="str">
        <f aca="false">季度追蹤!G10</f>
        <v>不適用</v>
      </c>
      <c r="G67" s="10" t="str">
        <f aca="false">季度追蹤!I10</f>
        <v>待公布</v>
      </c>
      <c r="I67" s="6" t="s">
        <v>118</v>
      </c>
    </row>
    <row r="68" customFormat="false" ht="15" hidden="false" customHeight="false" outlineLevel="1" collapsed="false">
      <c r="A68" s="2" t="s">
        <v>123</v>
      </c>
      <c r="C68" s="10" t="str">
        <f aca="false">INDEX(季度追蹤!$C$127:$H$127,輸入與假設!$C$373)</f>
        <v>CapEx（毛額）：模型 $73.5m</v>
      </c>
    </row>
    <row r="69" customFormat="false" ht="15" hidden="false" customHeight="false" outlineLevel="1" collapsed="false">
      <c r="A69" s="3" t="s">
        <v>124</v>
      </c>
      <c r="B69" s="6" t="s">
        <v>125</v>
      </c>
      <c r="C69" s="9" t="n">
        <f aca="false">輸入與假設!$C$337</f>
        <v>0</v>
      </c>
      <c r="D69" s="9" t="n">
        <f aca="false">輸入與假設!$C$338</f>
        <v>9</v>
      </c>
      <c r="E69" s="9" t="n">
        <f aca="false">輸入與假設!$C$339</f>
        <v>1</v>
      </c>
      <c r="F69" s="9" t="n">
        <f aca="false">輸入與假設!$C$340</f>
        <v>1</v>
      </c>
      <c r="G69" s="9" t="n">
        <f aca="false">輸入與假設!$C$341</f>
        <v>0</v>
      </c>
      <c r="I69" s="11" t="s">
        <v>126</v>
      </c>
    </row>
    <row r="70" customFormat="false" ht="15" hidden="false" customHeight="false" outlineLevel="1" collapsed="false">
      <c r="A70" s="3" t="s">
        <v>127</v>
      </c>
      <c r="B70" s="11" t="s">
        <v>39</v>
      </c>
      <c r="C70" s="12" t="n">
        <f aca="false">輸入與假設!$C$322</f>
        <v>38</v>
      </c>
      <c r="D70" s="12" t="str">
        <f aca="false">"—"</f>
        <v>—</v>
      </c>
      <c r="E70" s="12" t="n">
        <f aca="false">輸入與假設!$C$323</f>
        <v>32</v>
      </c>
      <c r="F70" s="12" t="n">
        <f aca="false">輸入與假設!$C$324</f>
        <v>50</v>
      </c>
      <c r="I70" s="11" t="s">
        <v>128</v>
      </c>
    </row>
    <row r="71" customFormat="false" ht="15" hidden="false" customHeight="false" outlineLevel="1" collapsed="false"/>
    <row r="72" customFormat="false" ht="15" hidden="false" customHeight="false" outlineLevel="1" collapsed="false">
      <c r="A72" s="6" t="s">
        <v>129</v>
      </c>
    </row>
    <row r="73" customFormat="false" ht="15" hidden="false" customHeight="false" outlineLevel="1" collapsed="false">
      <c r="A73" s="6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outlinePr summaryBelow="0" summaryRight="1"/>
    <pageSetUpPr fitToPage="false"/>
  </sheetPr>
  <dimension ref="A1:J3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44"/>
    <col collapsed="false" customWidth="true" hidden="false" outlineLevel="0" max="6" min="2" style="0" width="12"/>
    <col collapsed="false" customWidth="true" hidden="false" outlineLevel="0" max="7" min="7" style="0" width="16"/>
    <col collapsed="false" customWidth="true" hidden="false" outlineLevel="0" max="9" min="9" style="0" width="92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5" t="s">
        <v>131</v>
      </c>
    </row>
    <row r="2" customFormat="false" ht="15" hidden="false" customHeight="false" outlineLevel="0" collapsed="false">
      <c r="A2" s="11" t="s">
        <v>132</v>
      </c>
    </row>
    <row r="4" customFormat="false" ht="15" hidden="false" customHeight="false" outlineLevel="0" collapsed="false">
      <c r="A4" s="7" t="s">
        <v>133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1" collapsed="false">
      <c r="A5" s="2" t="s">
        <v>134</v>
      </c>
      <c r="C5" s="18" t="n">
        <v>2</v>
      </c>
      <c r="D5" s="2" t="str">
        <f aca="false">CHOOSE(C5,"保守 只有已簽約","基準 加 NC-1 下一批","積極 NC-2／3 與 Krambu")</f>
        <v>基準 加 NC-1 下一批</v>
      </c>
      <c r="I5" s="6" t="s">
        <v>135</v>
      </c>
    </row>
    <row r="6" customFormat="false" ht="15" hidden="false" customHeight="false" outlineLevel="1" collapsed="false">
      <c r="A6" s="19" t="s">
        <v>136</v>
      </c>
      <c r="B6" s="20"/>
      <c r="C6" s="20"/>
      <c r="D6" s="20"/>
      <c r="E6" s="20"/>
      <c r="F6" s="20"/>
      <c r="G6" s="20"/>
      <c r="H6" s="20"/>
    </row>
    <row r="7" customFormat="false" ht="17.15" hidden="false" customHeight="false" outlineLevel="2" collapsed="false">
      <c r="A7" s="14" t="s">
        <v>137</v>
      </c>
      <c r="B7" s="14" t="s">
        <v>54</v>
      </c>
      <c r="C7" s="15" t="s">
        <v>55</v>
      </c>
      <c r="D7" s="15" t="s">
        <v>56</v>
      </c>
      <c r="E7" s="15" t="s">
        <v>57</v>
      </c>
      <c r="F7" s="15" t="s">
        <v>138</v>
      </c>
      <c r="G7" s="15" t="s">
        <v>139</v>
      </c>
      <c r="I7" s="15" t="s">
        <v>140</v>
      </c>
    </row>
    <row r="8" customFormat="false" ht="15" hidden="false" customHeight="false" outlineLevel="2" collapsed="false">
      <c r="A8" s="3" t="s">
        <v>141</v>
      </c>
      <c r="B8" s="11" t="s">
        <v>142</v>
      </c>
      <c r="C8" s="21" t="n">
        <v>14.574</v>
      </c>
      <c r="I8" s="6" t="s">
        <v>143</v>
      </c>
    </row>
    <row r="9" customFormat="false" ht="15" hidden="false" customHeight="false" outlineLevel="2" collapsed="false">
      <c r="A9" s="3" t="s">
        <v>144</v>
      </c>
      <c r="B9" s="11" t="s">
        <v>142</v>
      </c>
      <c r="C9" s="21" t="n">
        <v>12.074</v>
      </c>
      <c r="D9" s="21" t="n">
        <v>14.048</v>
      </c>
      <c r="E9" s="21" t="n">
        <v>14.048</v>
      </c>
      <c r="F9" s="21" t="n">
        <v>14.048</v>
      </c>
      <c r="G9" s="21" t="n">
        <v>14.048</v>
      </c>
      <c r="I9" s="11" t="s">
        <v>145</v>
      </c>
    </row>
    <row r="10" customFormat="false" ht="15" hidden="false" customHeight="false" outlineLevel="2" collapsed="false">
      <c r="A10" s="3" t="s">
        <v>146</v>
      </c>
      <c r="B10" s="11" t="s">
        <v>147</v>
      </c>
      <c r="C10" s="21" t="n">
        <v>100</v>
      </c>
      <c r="I10" s="11" t="s">
        <v>148</v>
      </c>
    </row>
    <row r="11" customFormat="false" ht="15" hidden="false" customHeight="false" outlineLevel="2" collapsed="false">
      <c r="A11" s="3" t="s">
        <v>149</v>
      </c>
      <c r="B11" s="11" t="s">
        <v>142</v>
      </c>
      <c r="C11" s="22" t="n">
        <f aca="false">MIN(C9,輸入與假設!$C$8)</f>
        <v>12.074</v>
      </c>
      <c r="D11" s="22" t="n">
        <f aca="false">MIN(D9,C11+輸入與假設!$C$10*D$41)</f>
        <v>14.048</v>
      </c>
      <c r="E11" s="22" t="n">
        <f aca="false">MIN(E9,D11+輸入與假設!$C$10*E$41)</f>
        <v>14.048</v>
      </c>
      <c r="F11" s="22" t="n">
        <f aca="false">MIN(F9,E11+輸入與假設!$C$10*F$41)</f>
        <v>14.048</v>
      </c>
      <c r="G11" s="22" t="n">
        <f aca="false">MIN(G9,F11+輸入與假設!$C$10*G$41)</f>
        <v>14.048</v>
      </c>
      <c r="I11" s="21" t="n">
        <v>0</v>
      </c>
      <c r="J11" s="6" t="s">
        <v>150</v>
      </c>
    </row>
    <row r="12" customFormat="false" ht="15" hidden="false" customHeight="false" outlineLevel="2" collapsed="false">
      <c r="A12" s="3" t="s">
        <v>151</v>
      </c>
      <c r="B12" s="11" t="s">
        <v>142</v>
      </c>
      <c r="C12" s="21" t="n">
        <v>14.574</v>
      </c>
      <c r="D12" s="21" t="n">
        <v>16.548</v>
      </c>
      <c r="E12" s="21" t="n">
        <v>19.548</v>
      </c>
      <c r="F12" s="21" t="n">
        <v>22.548</v>
      </c>
      <c r="G12" s="21" t="n">
        <v>25.548</v>
      </c>
      <c r="I12" s="11" t="s">
        <v>145</v>
      </c>
    </row>
    <row r="13" customFormat="false" ht="15" hidden="false" customHeight="false" outlineLevel="2" collapsed="false">
      <c r="A13" s="3" t="s">
        <v>152</v>
      </c>
      <c r="B13" s="11" t="s">
        <v>147</v>
      </c>
      <c r="C13" s="21" t="n">
        <v>100</v>
      </c>
      <c r="I13" s="11" t="s">
        <v>148</v>
      </c>
    </row>
    <row r="14" customFormat="false" ht="15" hidden="false" customHeight="false" outlineLevel="2" collapsed="false">
      <c r="A14" s="3" t="s">
        <v>153</v>
      </c>
      <c r="B14" s="11" t="s">
        <v>142</v>
      </c>
      <c r="C14" s="22" t="n">
        <f aca="false">MIN(C12,輸入與假設!$C$8)</f>
        <v>14.574</v>
      </c>
      <c r="D14" s="22" t="n">
        <f aca="false">MIN(D12,C14+輸入與假設!$C$13*D$41)</f>
        <v>16.548</v>
      </c>
      <c r="E14" s="22" t="n">
        <f aca="false">MIN(E12,D14+輸入與假設!$C$13*E$41)</f>
        <v>19.548</v>
      </c>
      <c r="F14" s="22" t="n">
        <f aca="false">MIN(F12,E14+輸入與假設!$C$13*F$41)</f>
        <v>22.548</v>
      </c>
      <c r="G14" s="22" t="n">
        <f aca="false">MIN(G12,F14+輸入與假設!$C$13*G$41)</f>
        <v>25.548</v>
      </c>
      <c r="I14" s="21" t="n">
        <v>0</v>
      </c>
      <c r="J14" s="6" t="s">
        <v>154</v>
      </c>
    </row>
    <row r="15" customFormat="false" ht="15" hidden="false" customHeight="false" outlineLevel="2" collapsed="false">
      <c r="A15" s="3" t="s">
        <v>155</v>
      </c>
      <c r="B15" s="11" t="s">
        <v>142</v>
      </c>
      <c r="C15" s="21" t="n">
        <v>14.574</v>
      </c>
      <c r="D15" s="21" t="n">
        <v>16.548</v>
      </c>
      <c r="E15" s="21" t="n">
        <v>22.548</v>
      </c>
      <c r="F15" s="21" t="n">
        <v>28.548</v>
      </c>
      <c r="G15" s="21" t="n">
        <v>34.548</v>
      </c>
      <c r="I15" s="11" t="s">
        <v>145</v>
      </c>
    </row>
    <row r="16" customFormat="false" ht="15" hidden="false" customHeight="false" outlineLevel="2" collapsed="false">
      <c r="A16" s="3" t="s">
        <v>156</v>
      </c>
      <c r="B16" s="11" t="s">
        <v>147</v>
      </c>
      <c r="C16" s="21" t="n">
        <v>100</v>
      </c>
      <c r="I16" s="11" t="s">
        <v>148</v>
      </c>
    </row>
    <row r="17" customFormat="false" ht="15" hidden="false" customHeight="false" outlineLevel="2" collapsed="false">
      <c r="A17" s="3" t="s">
        <v>157</v>
      </c>
      <c r="B17" s="11" t="s">
        <v>142</v>
      </c>
      <c r="C17" s="22" t="n">
        <f aca="false">MIN(C15,輸入與假設!$C$8)</f>
        <v>14.574</v>
      </c>
      <c r="D17" s="22" t="n">
        <f aca="false">MIN(D15,C17+輸入與假設!$C$16*D$41)</f>
        <v>16.548</v>
      </c>
      <c r="E17" s="22" t="n">
        <f aca="false">MIN(E15,D17+輸入與假設!$C$16*E$41)</f>
        <v>22.548</v>
      </c>
      <c r="F17" s="22" t="n">
        <f aca="false">MIN(F15,E17+輸入與假設!$C$16*F$41)</f>
        <v>28.548</v>
      </c>
      <c r="G17" s="22" t="n">
        <f aca="false">MIN(G15,F17+輸入與假設!$C$16*G$41)</f>
        <v>34.548</v>
      </c>
      <c r="I17" s="21" t="n">
        <v>0</v>
      </c>
      <c r="J17" s="6" t="s">
        <v>158</v>
      </c>
    </row>
    <row r="18" customFormat="false" ht="15" hidden="false" customHeight="false" outlineLevel="2" collapsed="false">
      <c r="A18" s="3" t="s">
        <v>159</v>
      </c>
      <c r="B18" s="11" t="s">
        <v>160</v>
      </c>
      <c r="C18" s="23" t="n">
        <v>11.62</v>
      </c>
      <c r="D18" s="23" t="n">
        <v>11.62</v>
      </c>
      <c r="E18" s="23" t="n">
        <v>11.62</v>
      </c>
      <c r="F18" s="23" t="n">
        <v>11.62</v>
      </c>
      <c r="G18" s="23" t="n">
        <v>11.62</v>
      </c>
      <c r="I18" s="11" t="s">
        <v>161</v>
      </c>
    </row>
    <row r="19" customFormat="false" ht="15" hidden="false" customHeight="false" outlineLevel="2" collapsed="false">
      <c r="A19" s="3" t="s">
        <v>162</v>
      </c>
      <c r="B19" s="11" t="s">
        <v>160</v>
      </c>
      <c r="C19" s="23" t="n">
        <v>17.4</v>
      </c>
      <c r="D19" s="23" t="n">
        <v>17.4</v>
      </c>
      <c r="E19" s="23" t="n">
        <v>17.4</v>
      </c>
      <c r="F19" s="23" t="n">
        <v>17.4</v>
      </c>
      <c r="G19" s="23" t="n">
        <v>17.4</v>
      </c>
      <c r="I19" s="11" t="s">
        <v>161</v>
      </c>
    </row>
    <row r="20" customFormat="false" ht="15" hidden="false" customHeight="false" outlineLevel="2" collapsed="false">
      <c r="A20" s="3" t="s">
        <v>163</v>
      </c>
      <c r="B20" s="11" t="s">
        <v>160</v>
      </c>
      <c r="C20" s="23" t="n">
        <v>24.2</v>
      </c>
      <c r="D20" s="23" t="n">
        <v>24.2</v>
      </c>
      <c r="E20" s="23" t="n">
        <v>24.2</v>
      </c>
      <c r="F20" s="23" t="n">
        <v>24.2</v>
      </c>
      <c r="G20" s="23" t="n">
        <v>24.2</v>
      </c>
      <c r="I20" s="11" t="s">
        <v>161</v>
      </c>
    </row>
    <row r="21" customFormat="false" ht="15" hidden="false" customHeight="false" outlineLevel="2" collapsed="false">
      <c r="A21" s="3" t="s">
        <v>164</v>
      </c>
      <c r="B21" s="11" t="s">
        <v>42</v>
      </c>
      <c r="C21" s="24" t="n">
        <v>0.7</v>
      </c>
      <c r="D21" s="24" t="n">
        <v>0.85</v>
      </c>
      <c r="E21" s="24" t="n">
        <v>0.9</v>
      </c>
      <c r="F21" s="24" t="n">
        <v>0.9</v>
      </c>
      <c r="G21" s="24" t="n">
        <v>0.9</v>
      </c>
      <c r="I21" s="6" t="s">
        <v>165</v>
      </c>
    </row>
    <row r="22" customFormat="false" ht="15" hidden="false" customHeight="false" outlineLevel="2" collapsed="false">
      <c r="A22" s="3" t="s">
        <v>166</v>
      </c>
      <c r="B22" s="11" t="s">
        <v>59</v>
      </c>
      <c r="C22" s="25" t="n">
        <v>46.024</v>
      </c>
      <c r="I22" s="6" t="s">
        <v>167</v>
      </c>
    </row>
    <row r="23" customFormat="false" ht="15" hidden="false" customHeight="false" outlineLevel="2" collapsed="false">
      <c r="A23" s="3" t="s">
        <v>168</v>
      </c>
      <c r="B23" s="11" t="s">
        <v>142</v>
      </c>
      <c r="C23" s="22" t="n">
        <f aca="false">ROUND(輸入與假設!$C$22/C18,2)</f>
        <v>3.96</v>
      </c>
      <c r="I23" s="6" t="s">
        <v>169</v>
      </c>
    </row>
    <row r="24" customFormat="false" ht="15" hidden="false" customHeight="false" outlineLevel="2" collapsed="false">
      <c r="A24" s="3" t="s">
        <v>170</v>
      </c>
      <c r="B24" s="11" t="s">
        <v>142</v>
      </c>
      <c r="C24" s="22" t="n">
        <f aca="false">ROUND(輸入與假設!$C$22/C19,2)</f>
        <v>2.65</v>
      </c>
      <c r="I24" s="6" t="s">
        <v>169</v>
      </c>
    </row>
    <row r="25" customFormat="false" ht="15" hidden="false" customHeight="false" outlineLevel="2" collapsed="false">
      <c r="A25" s="3" t="s">
        <v>171</v>
      </c>
      <c r="B25" s="11" t="s">
        <v>142</v>
      </c>
      <c r="C25" s="22" t="n">
        <f aca="false">ROUND(輸入與假設!$C$22/C20,2)</f>
        <v>1.9</v>
      </c>
      <c r="I25" s="6" t="s">
        <v>169</v>
      </c>
    </row>
    <row r="26" customFormat="false" ht="15" hidden="false" customHeight="false" outlineLevel="2" collapsed="false">
      <c r="A26" s="3" t="s">
        <v>172</v>
      </c>
      <c r="B26" s="11" t="s">
        <v>59</v>
      </c>
      <c r="C26" s="25" t="n">
        <v>20.296</v>
      </c>
      <c r="I26" s="6" t="s">
        <v>173</v>
      </c>
    </row>
    <row r="27" customFormat="false" ht="15" hidden="false" customHeight="false" outlineLevel="2" collapsed="false">
      <c r="A27" s="3" t="s">
        <v>174</v>
      </c>
      <c r="B27" s="6" t="s">
        <v>175</v>
      </c>
      <c r="C27" s="21" t="n">
        <v>1</v>
      </c>
      <c r="I27" s="11" t="s">
        <v>176</v>
      </c>
    </row>
    <row r="28" customFormat="false" ht="15" hidden="false" customHeight="false" outlineLevel="2" collapsed="false">
      <c r="A28" s="3" t="s">
        <v>177</v>
      </c>
      <c r="B28" s="6" t="s">
        <v>175</v>
      </c>
      <c r="C28" s="21" t="n">
        <v>1</v>
      </c>
      <c r="I28" s="6" t="s">
        <v>178</v>
      </c>
    </row>
    <row r="29" customFormat="false" ht="15" hidden="false" customHeight="false" outlineLevel="2" collapsed="false">
      <c r="A29" s="3" t="s">
        <v>179</v>
      </c>
      <c r="B29" s="6" t="s">
        <v>180</v>
      </c>
      <c r="C29" s="26" t="n">
        <v>4.916667</v>
      </c>
      <c r="I29" s="6" t="s">
        <v>181</v>
      </c>
    </row>
    <row r="30" customFormat="false" ht="15" hidden="false" customHeight="false" outlineLevel="0" collapsed="false">
      <c r="A30" s="7" t="s">
        <v>182</v>
      </c>
      <c r="B30" s="8"/>
      <c r="C30" s="8"/>
      <c r="D30" s="8"/>
      <c r="E30" s="8"/>
      <c r="F30" s="8"/>
      <c r="G30" s="8"/>
      <c r="H30" s="8"/>
    </row>
    <row r="31" customFormat="false" ht="15" hidden="false" customHeight="false" outlineLevel="1" collapsed="false">
      <c r="A31" s="4" t="s">
        <v>183</v>
      </c>
      <c r="B31" s="11" t="s">
        <v>59</v>
      </c>
      <c r="C31" s="25" t="n">
        <v>75.146</v>
      </c>
      <c r="I31" s="6" t="s">
        <v>184</v>
      </c>
    </row>
    <row r="32" customFormat="false" ht="15" hidden="false" customHeight="false" outlineLevel="1" collapsed="false">
      <c r="A32" s="3" t="s">
        <v>185</v>
      </c>
      <c r="B32" s="11" t="s">
        <v>59</v>
      </c>
      <c r="C32" s="25" t="n">
        <v>0</v>
      </c>
      <c r="I32" s="6" t="s">
        <v>186</v>
      </c>
    </row>
    <row r="33" customFormat="false" ht="15" hidden="false" customHeight="false" outlineLevel="1" collapsed="false">
      <c r="A33" s="3" t="s">
        <v>187</v>
      </c>
      <c r="B33" s="11" t="s">
        <v>42</v>
      </c>
      <c r="C33" s="24" t="n">
        <v>1</v>
      </c>
      <c r="I33" s="6" t="s">
        <v>188</v>
      </c>
    </row>
    <row r="34" customFormat="false" ht="15" hidden="false" customHeight="false" outlineLevel="1" collapsed="false">
      <c r="A34" s="4" t="s">
        <v>189</v>
      </c>
      <c r="B34" s="11" t="s">
        <v>42</v>
      </c>
      <c r="C34" s="24" t="n">
        <v>1</v>
      </c>
      <c r="I34" s="6" t="s">
        <v>190</v>
      </c>
    </row>
    <row r="35" customFormat="false" ht="15" hidden="false" customHeight="false" outlineLevel="1" collapsed="false">
      <c r="A35" s="4" t="s">
        <v>191</v>
      </c>
      <c r="B35" s="11" t="s">
        <v>142</v>
      </c>
      <c r="C35" s="21" t="n">
        <v>5.5</v>
      </c>
      <c r="I35" s="11" t="s">
        <v>192</v>
      </c>
    </row>
    <row r="36" customFormat="false" ht="15" hidden="false" customHeight="false" outlineLevel="1" collapsed="false">
      <c r="A36" s="4" t="s">
        <v>193</v>
      </c>
      <c r="B36" s="11" t="s">
        <v>142</v>
      </c>
      <c r="C36" s="22" t="n">
        <f aca="false">CHOOSE(輸入與假設!$C$5,輸入與假設!$C$23,輸入與假設!$C$24,輸入與假設!$C$25)</f>
        <v>2.65</v>
      </c>
      <c r="I36" s="6" t="s">
        <v>194</v>
      </c>
    </row>
    <row r="37" customFormat="false" ht="15" hidden="false" customHeight="false" outlineLevel="1" collapsed="false">
      <c r="A37" s="3" t="s">
        <v>195</v>
      </c>
      <c r="B37" s="6"/>
      <c r="C37" s="21" t="n">
        <v>1</v>
      </c>
      <c r="I37" s="11" t="s">
        <v>196</v>
      </c>
    </row>
    <row r="38" customFormat="false" ht="15" hidden="false" customHeight="false" outlineLevel="1" collapsed="false">
      <c r="A38" s="3" t="s">
        <v>197</v>
      </c>
      <c r="B38" s="6"/>
      <c r="C38" s="27" t="s">
        <v>198</v>
      </c>
      <c r="I38" s="11" t="s">
        <v>199</v>
      </c>
    </row>
    <row r="39" customFormat="false" ht="15" hidden="false" customHeight="false" outlineLevel="1" collapsed="false">
      <c r="A39" s="3" t="s">
        <v>200</v>
      </c>
      <c r="B39" s="11" t="s">
        <v>42</v>
      </c>
      <c r="C39" s="24" t="n">
        <v>1</v>
      </c>
      <c r="I39" s="6" t="s">
        <v>201</v>
      </c>
    </row>
    <row r="40" customFormat="false" ht="15" hidden="false" customHeight="false" outlineLevel="1" collapsed="false">
      <c r="A40" s="14" t="s">
        <v>53</v>
      </c>
      <c r="B40" s="14" t="s">
        <v>54</v>
      </c>
      <c r="C40" s="28" t="s">
        <v>55</v>
      </c>
      <c r="D40" s="28" t="s">
        <v>56</v>
      </c>
      <c r="E40" s="28" t="s">
        <v>57</v>
      </c>
      <c r="F40" s="28" t="s">
        <v>138</v>
      </c>
      <c r="G40" s="28" t="s">
        <v>139</v>
      </c>
      <c r="I40" s="14" t="s">
        <v>202</v>
      </c>
    </row>
    <row r="41" customFormat="false" ht="15" hidden="false" customHeight="false" outlineLevel="1" collapsed="false">
      <c r="A41" s="3" t="s">
        <v>203</v>
      </c>
      <c r="B41" s="6"/>
      <c r="C41" s="25" t="n">
        <v>0.5</v>
      </c>
      <c r="D41" s="25" t="n">
        <v>1</v>
      </c>
      <c r="E41" s="25" t="n">
        <v>1</v>
      </c>
      <c r="F41" s="25" t="n">
        <v>1</v>
      </c>
      <c r="G41" s="25" t="n">
        <v>1</v>
      </c>
      <c r="I41" s="6" t="s">
        <v>204</v>
      </c>
    </row>
    <row r="42" customFormat="false" ht="15" hidden="false" customHeight="false" outlineLevel="1" collapsed="false">
      <c r="A42" s="4" t="s">
        <v>205</v>
      </c>
      <c r="B42" s="11" t="s">
        <v>42</v>
      </c>
      <c r="C42" s="24" t="n">
        <v>0.2878</v>
      </c>
      <c r="D42" s="24" t="n">
        <v>0.575599</v>
      </c>
      <c r="E42" s="24" t="n">
        <v>0.136601</v>
      </c>
      <c r="F42" s="24" t="n">
        <v>0</v>
      </c>
      <c r="G42" s="24" t="n">
        <v>0</v>
      </c>
      <c r="H42" s="29" t="n">
        <f aca="false">SUM(C42:G42)</f>
        <v>1</v>
      </c>
      <c r="I42" s="6" t="s">
        <v>206</v>
      </c>
    </row>
    <row r="43" customFormat="false" ht="15" hidden="false" customHeight="false" outlineLevel="1" collapsed="false">
      <c r="A43" s="4" t="s">
        <v>207</v>
      </c>
      <c r="B43" s="11" t="s">
        <v>142</v>
      </c>
      <c r="C43" s="22" t="n">
        <f aca="false">CHOOSE(輸入與假設!$C$5,C11,C14,C17)</f>
        <v>14.574</v>
      </c>
      <c r="D43" s="22" t="n">
        <f aca="false">CHOOSE(輸入與假設!$C$5,D11,D14,D17)</f>
        <v>16.548</v>
      </c>
      <c r="E43" s="22" t="n">
        <f aca="false">CHOOSE(輸入與假設!$C$5,E11,E14,E17)</f>
        <v>19.548</v>
      </c>
      <c r="F43" s="22" t="n">
        <f aca="false">CHOOSE(輸入與假設!$C$5,F11,F14,F17)</f>
        <v>22.548</v>
      </c>
      <c r="G43" s="22" t="n">
        <f aca="false">CHOOSE(輸入與假設!$C$5,G11,G14,G17)</f>
        <v>25.548</v>
      </c>
      <c r="I43" s="6" t="s">
        <v>208</v>
      </c>
    </row>
    <row r="44" customFormat="false" ht="15" hidden="false" customHeight="false" outlineLevel="1" collapsed="false">
      <c r="A44" s="4" t="s">
        <v>209</v>
      </c>
      <c r="B44" s="11" t="s">
        <v>142</v>
      </c>
      <c r="C44" s="22" t="n">
        <f aca="false">ROUND(輸入與假設!$C$36+(C43-輸入與假設!$C$36)*C21,2)</f>
        <v>11</v>
      </c>
      <c r="D44" s="22" t="n">
        <f aca="false">ROUND(輸入與假設!$C$36+(D43-輸入與假設!$C$36)*D21,2)</f>
        <v>14.46</v>
      </c>
      <c r="E44" s="22" t="n">
        <f aca="false">ROUND(輸入與假設!$C$36+(E43-輸入與假設!$C$36)*E21,2)</f>
        <v>17.86</v>
      </c>
      <c r="F44" s="22" t="n">
        <f aca="false">ROUND(輸入與假設!$C$36+(F43-輸入與假設!$C$36)*F21,2)</f>
        <v>20.56</v>
      </c>
      <c r="G44" s="22" t="n">
        <f aca="false">ROUND(輸入與假設!$C$36+(G43-輸入與假設!$C$36)*G21,2)</f>
        <v>23.26</v>
      </c>
      <c r="I44" s="6" t="s">
        <v>210</v>
      </c>
    </row>
    <row r="45" customFormat="false" ht="15" hidden="false" customHeight="false" outlineLevel="1" collapsed="false">
      <c r="A45" s="3" t="s">
        <v>211</v>
      </c>
      <c r="B45" s="11" t="s">
        <v>42</v>
      </c>
      <c r="C45" s="24" t="n">
        <v>1</v>
      </c>
      <c r="D45" s="24" t="n">
        <v>1</v>
      </c>
      <c r="E45" s="24" t="n">
        <v>1</v>
      </c>
      <c r="F45" s="24" t="n">
        <v>1</v>
      </c>
      <c r="G45" s="24" t="n">
        <v>1</v>
      </c>
      <c r="I45" s="11" t="s">
        <v>212</v>
      </c>
    </row>
    <row r="46" customFormat="false" ht="15" hidden="false" customHeight="false" outlineLevel="1" collapsed="false">
      <c r="A46" s="3" t="s">
        <v>213</v>
      </c>
      <c r="B46" s="11" t="s">
        <v>160</v>
      </c>
      <c r="C46" s="30" t="n">
        <f aca="false">CHOOSE(輸入與假設!$C$5,C18,C19,C20)</f>
        <v>17.4</v>
      </c>
      <c r="D46" s="30" t="n">
        <f aca="false">CHOOSE(輸入與假設!$C$5,D18,D19,D20)</f>
        <v>17.4</v>
      </c>
      <c r="E46" s="30" t="n">
        <f aca="false">CHOOSE(輸入與假設!$C$5,E18,E19,E20)</f>
        <v>17.4</v>
      </c>
      <c r="F46" s="30" t="n">
        <f aca="false">CHOOSE(輸入與假設!$C$5,F18,F19,F20)</f>
        <v>17.4</v>
      </c>
      <c r="G46" s="30" t="n">
        <f aca="false">CHOOSE(輸入與假設!$C$5,G18,G19,G20)</f>
        <v>17.4</v>
      </c>
      <c r="I46" s="6" t="s">
        <v>214</v>
      </c>
    </row>
    <row r="47" customFormat="false" ht="15" hidden="false" customHeight="false" outlineLevel="1" collapsed="false">
      <c r="A47" s="3" t="s">
        <v>215</v>
      </c>
      <c r="B47" s="11" t="s">
        <v>42</v>
      </c>
      <c r="C47" s="24" t="n">
        <v>1</v>
      </c>
      <c r="D47" s="24" t="n">
        <v>1</v>
      </c>
      <c r="E47" s="24" t="n">
        <v>1</v>
      </c>
      <c r="F47" s="24" t="n">
        <v>1</v>
      </c>
      <c r="G47" s="24" t="n">
        <v>1</v>
      </c>
      <c r="I47" s="11" t="s">
        <v>216</v>
      </c>
    </row>
    <row r="48" customFormat="false" ht="15" hidden="false" customHeight="false" outlineLevel="1" collapsed="false">
      <c r="A48" s="3" t="s">
        <v>217</v>
      </c>
      <c r="B48" s="11" t="s">
        <v>42</v>
      </c>
      <c r="C48" s="24" t="n">
        <v>0.005</v>
      </c>
      <c r="D48" s="24" t="n">
        <v>0.01</v>
      </c>
      <c r="E48" s="24" t="n">
        <v>0.015</v>
      </c>
      <c r="F48" s="24" t="n">
        <v>0.02</v>
      </c>
      <c r="G48" s="24" t="n">
        <v>0.025</v>
      </c>
      <c r="I48" s="6" t="s">
        <v>218</v>
      </c>
    </row>
    <row r="49" customFormat="false" ht="15" hidden="false" customHeight="false" outlineLevel="1" collapsed="false">
      <c r="A49" s="3" t="s">
        <v>219</v>
      </c>
      <c r="B49" s="11" t="s">
        <v>42</v>
      </c>
      <c r="C49" s="24" t="n">
        <v>0.5</v>
      </c>
      <c r="D49" s="24" t="n">
        <v>0.5</v>
      </c>
      <c r="E49" s="24" t="n">
        <v>0.5</v>
      </c>
      <c r="F49" s="24" t="n">
        <v>0.5</v>
      </c>
      <c r="G49" s="24" t="n">
        <v>0.5</v>
      </c>
      <c r="I49" s="11" t="s">
        <v>220</v>
      </c>
    </row>
    <row r="50" customFormat="false" ht="15" hidden="false" customHeight="false" outlineLevel="1" collapsed="false">
      <c r="A50" s="3" t="s">
        <v>221</v>
      </c>
      <c r="B50" s="11" t="s">
        <v>59</v>
      </c>
      <c r="C50" s="25" t="n">
        <v>0</v>
      </c>
      <c r="D50" s="25" t="n">
        <v>0</v>
      </c>
      <c r="E50" s="25" t="n">
        <v>0</v>
      </c>
      <c r="F50" s="25" t="n">
        <v>0</v>
      </c>
      <c r="G50" s="25" t="n">
        <v>0</v>
      </c>
      <c r="I50" s="6" t="s">
        <v>222</v>
      </c>
    </row>
    <row r="51" customFormat="false" ht="15" hidden="false" customHeight="false" outlineLevel="1" collapsed="false">
      <c r="A51" s="3" t="s">
        <v>223</v>
      </c>
      <c r="B51" s="11" t="s">
        <v>59</v>
      </c>
      <c r="C51" s="25" t="n">
        <v>0</v>
      </c>
      <c r="D51" s="25" t="n">
        <v>0</v>
      </c>
      <c r="E51" s="25" t="n">
        <v>0</v>
      </c>
      <c r="F51" s="25" t="n">
        <v>0</v>
      </c>
      <c r="G51" s="25" t="n">
        <v>0</v>
      </c>
      <c r="I51" s="6" t="s">
        <v>224</v>
      </c>
    </row>
    <row r="52" customFormat="false" ht="15" hidden="false" customHeight="false" outlineLevel="1" collapsed="false">
      <c r="A52" s="31" t="s">
        <v>225</v>
      </c>
      <c r="B52" s="20"/>
      <c r="C52" s="20"/>
      <c r="D52" s="20"/>
      <c r="E52" s="20"/>
      <c r="F52" s="20"/>
      <c r="G52" s="20"/>
      <c r="H52" s="20"/>
    </row>
    <row r="53" customFormat="false" ht="15" hidden="false" customHeight="false" outlineLevel="1" collapsed="true">
      <c r="A53" s="19" t="s">
        <v>226</v>
      </c>
      <c r="B53" s="20"/>
      <c r="C53" s="20"/>
      <c r="D53" s="20"/>
      <c r="E53" s="20"/>
      <c r="F53" s="20"/>
      <c r="G53" s="20"/>
      <c r="H53" s="20"/>
      <c r="I53" s="6" t="s">
        <v>227</v>
      </c>
    </row>
    <row r="54" customFormat="false" ht="15" hidden="true" customHeight="false" outlineLevel="2" collapsed="false">
      <c r="A54" s="3" t="s">
        <v>228</v>
      </c>
      <c r="B54" s="6" t="s">
        <v>180</v>
      </c>
      <c r="C54" s="32" t="n">
        <v>0</v>
      </c>
      <c r="D54" s="32" t="n">
        <v>0.5</v>
      </c>
      <c r="E54" s="32" t="n">
        <v>1.5</v>
      </c>
      <c r="F54" s="32" t="n">
        <v>2.5</v>
      </c>
      <c r="G54" s="32" t="n">
        <v>3.5</v>
      </c>
      <c r="I54" s="6" t="s">
        <v>229</v>
      </c>
    </row>
    <row r="55" customFormat="false" ht="15" hidden="true" customHeight="false" outlineLevel="2" collapsed="false">
      <c r="A55" s="3" t="s">
        <v>230</v>
      </c>
      <c r="B55" s="6" t="s">
        <v>180</v>
      </c>
      <c r="C55" s="32" t="n">
        <v>0.5</v>
      </c>
      <c r="D55" s="32" t="n">
        <v>1.5</v>
      </c>
      <c r="E55" s="32" t="n">
        <v>2.5</v>
      </c>
      <c r="F55" s="32" t="n">
        <v>3.5</v>
      </c>
      <c r="G55" s="32" t="n">
        <v>4.5</v>
      </c>
      <c r="I55" s="6" t="s">
        <v>229</v>
      </c>
    </row>
    <row r="56" customFormat="false" ht="15" hidden="true" customHeight="false" outlineLevel="2" collapsed="false">
      <c r="A56" s="3" t="s">
        <v>231</v>
      </c>
      <c r="B56" s="6"/>
      <c r="C56" s="23" t="n">
        <v>20</v>
      </c>
      <c r="D56" s="23" t="n">
        <v>0.0833</v>
      </c>
      <c r="E56" s="23" t="n">
        <v>1.886</v>
      </c>
      <c r="F56" s="23" t="n">
        <v>0.03</v>
      </c>
      <c r="G56" s="23" t="n">
        <v>0</v>
      </c>
      <c r="I56" s="11" t="s">
        <v>232</v>
      </c>
    </row>
    <row r="57" customFormat="false" ht="15" hidden="true" customHeight="false" outlineLevel="2" collapsed="false">
      <c r="A57" s="3" t="s">
        <v>233</v>
      </c>
      <c r="B57" s="6"/>
      <c r="C57" s="23" t="n">
        <v>0</v>
      </c>
      <c r="D57" s="23" t="n">
        <v>0</v>
      </c>
      <c r="E57" s="23" t="n">
        <v>0</v>
      </c>
      <c r="F57" s="23" t="n">
        <v>1</v>
      </c>
      <c r="G57" s="23"/>
      <c r="I57" s="6" t="s">
        <v>234</v>
      </c>
    </row>
    <row r="58" customFormat="false" ht="15" hidden="true" customHeight="false" outlineLevel="2" collapsed="false">
      <c r="A58" s="3" t="s">
        <v>235</v>
      </c>
      <c r="B58" s="6"/>
      <c r="C58" s="21" t="n">
        <v>1</v>
      </c>
      <c r="D58" s="21" t="n">
        <v>1</v>
      </c>
      <c r="E58" s="21" t="n">
        <v>1</v>
      </c>
      <c r="F58" s="21"/>
      <c r="G58" s="21"/>
      <c r="I58" s="6" t="s">
        <v>236</v>
      </c>
    </row>
    <row r="59" customFormat="false" ht="15" hidden="true" customHeight="false" outlineLevel="2" collapsed="false">
      <c r="A59" s="3" t="s">
        <v>237</v>
      </c>
      <c r="B59" s="11" t="s">
        <v>59</v>
      </c>
      <c r="C59" s="32" t="n">
        <f aca="false">CHOOSE(輸入與假設!$C$5,$C$58,$D$58,$E$58)*IF(C$55&gt;MAX(C$54,($D$56+$E$57*運營_產能與收入!$C$62/12)),$C$56*$E$56*(1+$F$56)^((MAX(C$54,($D$56+$E$57*運營_產能與收入!$C$62/12))+C$55)/2-($D$56+$E$57*運營_產能與收入!$C$62/12))*(C$55-MAX(C$54,($D$56+$E$57*運營_產能與收入!$C$62/12))),0)</f>
        <v>15.8150227246047</v>
      </c>
      <c r="D59" s="32" t="n">
        <f aca="false">CHOOSE(輸入與假設!$C$5,$C$58,$D$58,$E$58)*IF(D$55&gt;MAX(D$54,($D$56+$E$57*運營_產能與收入!$C$62/12)),$C$56*$E$56*(1+$F$56)^((MAX(D$54,($D$56+$E$57*運營_產能與收入!$C$62/12))+D$55)/2-($D$56+$E$57*運營_產能與收入!$C$62/12))*(D$55-MAX(D$54,($D$56+$E$57*運營_產能與收入!$C$62/12))),0)</f>
        <v>38.7560553923364</v>
      </c>
      <c r="E59" s="32" t="n">
        <f aca="false">CHOOSE(輸入與假設!$C$5,$C$58,$D$58,$E$58)*IF(E$55&gt;MAX(E$54,($D$56+$E$57*運營_產能與收入!$C$62/12)),$C$56*$E$56*(1+$F$56)^((MAX(E$54,($D$56+$E$57*運營_產能與收入!$C$62/12))+E$55)/2-($D$56+$E$57*運營_產能與收入!$C$62/12))*(E$55-MAX(E$54,($D$56+$E$57*運營_產能與收入!$C$62/12))),0)</f>
        <v>39.9187370541065</v>
      </c>
      <c r="F59" s="32" t="n">
        <f aca="false">CHOOSE(輸入與假設!$C$5,$C$58,$D$58,$E$58)*IF(F$55&gt;MAX(F$54,($D$56+$E$57*運營_產能與收入!$C$62/12)),$C$56*$E$56*(1+$F$56)^((MAX(F$54,($D$56+$E$57*運營_產能與收入!$C$62/12))+F$55)/2-($D$56+$E$57*運營_產能與收入!$C$62/12))*(F$55-MAX(F$54,($D$56+$E$57*運營_產能與收入!$C$62/12))),0)</f>
        <v>41.1162991657297</v>
      </c>
      <c r="G59" s="32" t="n">
        <f aca="false">CHOOSE(輸入與假設!$C$5,$C$58,$D$58,$E$58)*IF(G$55&gt;MAX(G$54,($D$56+$E$57*運營_產能與收入!$C$62/12)),$C$56*$E$56*(1+$F$56)^((MAX(G$54,($D$56+$E$57*運營_產能與收入!$C$62/12))+G$55)/2-($D$56+$E$57*運營_產能與收入!$C$62/12))*(G$55-MAX(G$54,($D$56+$E$57*運營_產能與收入!$C$62/12))),0)</f>
        <v>42.3497881407016</v>
      </c>
      <c r="I59" s="6" t="s">
        <v>238</v>
      </c>
    </row>
    <row r="60" customFormat="false" ht="15" hidden="true" customHeight="false" outlineLevel="2" collapsed="false">
      <c r="A60" s="3" t="s">
        <v>239</v>
      </c>
      <c r="B60" s="11" t="s">
        <v>59</v>
      </c>
      <c r="C60" s="32" t="n">
        <f aca="false">CHOOSE(輸入與假設!$C$5,$C$58,$D$58,$E$58)*IF($D$57&gt;$C$57,$G$56*MAX(0,MIN(C$55,$D$57)-MAX(C$54,$C$57))/($D$57-$C$57),IF(OR(AND($C$57&gt;=C$54,$C$57&lt;C$55),$C$57&lt;C$54),$G$56,0))</f>
        <v>0</v>
      </c>
      <c r="D60" s="32" t="n">
        <f aca="false">CHOOSE(輸入與假設!$C$5,$C$58,$D$58,$E$58)*IF($D$57&gt;$C$57,$G$56*MAX(0,MIN(D$55,$D$57)-MAX(D$54,$C$57))/($D$57-$C$57),IF(OR(AND($C$57&gt;=D$54,$C$57&lt;D$55)),$G$56,0))</f>
        <v>0</v>
      </c>
      <c r="E60" s="32" t="n">
        <f aca="false">CHOOSE(輸入與假設!$C$5,$C$58,$D$58,$E$58)*IF($D$57&gt;$C$57,$G$56*MAX(0,MIN(E$55,$D$57)-MAX(E$54,$C$57))/($D$57-$C$57),IF(OR(AND($C$57&gt;=E$54,$C$57&lt;E$55)),$G$56,0))</f>
        <v>0</v>
      </c>
      <c r="F60" s="32" t="n">
        <f aca="false">CHOOSE(輸入與假設!$C$5,$C$58,$D$58,$E$58)*IF($D$57&gt;$C$57,$G$56*MAX(0,MIN(F$55,$D$57)-MAX(F$54,$C$57))/($D$57-$C$57),IF(OR(AND($C$57&gt;=F$54,$C$57&lt;F$55)),$G$56,0))</f>
        <v>0</v>
      </c>
      <c r="G60" s="32" t="n">
        <f aca="false">CHOOSE(輸入與假設!$C$5,$C$58,$D$58,$E$58)*IF($D$57&gt;$C$57,$G$56*MAX(0,MIN(G$55,$D$57)-MAX(G$54,$C$57))/($D$57-$C$57),IF(OR(AND($C$57&gt;=G$54,$C$57&lt;G$55)),$G$56,0))</f>
        <v>0</v>
      </c>
      <c r="I60" s="6" t="s">
        <v>240</v>
      </c>
    </row>
    <row r="61" customFormat="false" ht="15" hidden="true" customHeight="false" outlineLevel="2" collapsed="false">
      <c r="A61" s="3" t="s">
        <v>241</v>
      </c>
      <c r="B61" s="6"/>
      <c r="C61" s="23" t="n">
        <v>20</v>
      </c>
      <c r="D61" s="23" t="n">
        <v>0.1667</v>
      </c>
      <c r="E61" s="23" t="n">
        <v>1.886</v>
      </c>
      <c r="F61" s="23" t="n">
        <v>0.03</v>
      </c>
      <c r="G61" s="23" t="n">
        <v>0</v>
      </c>
      <c r="I61" s="6" t="s">
        <v>242</v>
      </c>
    </row>
    <row r="62" customFormat="false" ht="15" hidden="true" customHeight="false" outlineLevel="2" collapsed="false">
      <c r="A62" s="3" t="s">
        <v>243</v>
      </c>
      <c r="B62" s="6"/>
      <c r="C62" s="23" t="n">
        <v>0</v>
      </c>
      <c r="D62" s="23" t="n">
        <v>0</v>
      </c>
      <c r="E62" s="23" t="n">
        <v>0</v>
      </c>
      <c r="F62" s="23" t="n">
        <v>1</v>
      </c>
      <c r="G62" s="23"/>
      <c r="I62" s="6" t="s">
        <v>234</v>
      </c>
    </row>
    <row r="63" customFormat="false" ht="15" hidden="true" customHeight="false" outlineLevel="2" collapsed="false">
      <c r="A63" s="3" t="s">
        <v>244</v>
      </c>
      <c r="B63" s="6"/>
      <c r="C63" s="21" t="n">
        <v>1</v>
      </c>
      <c r="D63" s="21" t="n">
        <v>1</v>
      </c>
      <c r="E63" s="21" t="n">
        <v>1</v>
      </c>
      <c r="F63" s="21"/>
      <c r="G63" s="21"/>
      <c r="I63" s="6" t="s">
        <v>236</v>
      </c>
    </row>
    <row r="64" customFormat="false" ht="15" hidden="true" customHeight="false" outlineLevel="2" collapsed="false">
      <c r="A64" s="3" t="s">
        <v>245</v>
      </c>
      <c r="B64" s="11" t="s">
        <v>59</v>
      </c>
      <c r="C64" s="32" t="n">
        <f aca="false">CHOOSE(輸入與假設!$C$5,$C$63,$D$63,$E$63)*IF(C$55&gt;MAX(C$54,($D$61+$E$62*運營_產能與收入!$C$62/12)),$C$61*$E$61*(1+$F$61)^((MAX(C$54,($D$61+$E$62*運營_產能與收入!$C$62/12))+C$55)/2-($D$61+$E$62*運營_產能與收入!$C$62/12))*(C$55-MAX(C$54,($D$61+$E$62*運營_產能與收入!$C$62/12))),0)</f>
        <v>12.6341585073334</v>
      </c>
      <c r="D64" s="32" t="n">
        <f aca="false">CHOOSE(輸入與假設!$C$5,$C$63,$D$63,$E$63)*IF(D$55&gt;MAX(D$54,($D$61+$E$62*運營_產能與收入!$C$62/12)),$C$61*$E$61*(1+$F$61)^((MAX(D$54,($D$61+$E$62*運營_產能與收入!$C$62/12))+D$55)/2-($D$61+$E$62*運營_產能與收入!$C$62/12))*(D$55-MAX(D$54,($D$61+$E$62*運營_產能與收入!$C$62/12))),0)</f>
        <v>38.6606314734587</v>
      </c>
      <c r="E64" s="32" t="n">
        <f aca="false">CHOOSE(輸入與假設!$C$5,$C$63,$D$63,$E$63)*IF(E$55&gt;MAX(E$54,($D$61+$E$62*運營_產能與收入!$C$62/12)),$C$61*$E$61*(1+$F$61)^((MAX(E$54,($D$61+$E$62*運營_產能與收入!$C$62/12))+E$55)/2-($D$61+$E$62*運營_產能與收入!$C$62/12))*(E$55-MAX(E$54,($D$61+$E$62*運營_產能與收入!$C$62/12))),0)</f>
        <v>39.8204504176624</v>
      </c>
      <c r="F64" s="32" t="n">
        <f aca="false">CHOOSE(輸入與假設!$C$5,$C$63,$D$63,$E$63)*IF(F$55&gt;MAX(F$54,($D$61+$E$62*運營_產能與收入!$C$62/12)),$C$61*$E$61*(1+$F$61)^((MAX(F$54,($D$61+$E$62*運營_產能與收入!$C$62/12))+F$55)/2-($D$61+$E$62*運營_產能與收入!$C$62/12))*(F$55-MAX(F$54,($D$61+$E$62*運營_產能與收入!$C$62/12))),0)</f>
        <v>41.0150639301923</v>
      </c>
      <c r="G64" s="32" t="n">
        <f aca="false">CHOOSE(輸入與假設!$C$5,$C$63,$D$63,$E$63)*IF(G$55&gt;MAX(G$54,($D$61+$E$62*運營_產能與收入!$C$62/12)),$C$61*$E$61*(1+$F$61)^((MAX(G$54,($D$61+$E$62*運營_產能與收入!$C$62/12))+G$55)/2-($D$61+$E$62*運營_產能與收入!$C$62/12))*(G$55-MAX(G$54,($D$61+$E$62*運營_產能與收入!$C$62/12))),0)</f>
        <v>42.2455158480981</v>
      </c>
      <c r="I64" s="6" t="s">
        <v>238</v>
      </c>
    </row>
    <row r="65" customFormat="false" ht="15" hidden="true" customHeight="false" outlineLevel="2" collapsed="false">
      <c r="A65" s="3" t="s">
        <v>246</v>
      </c>
      <c r="B65" s="11" t="s">
        <v>59</v>
      </c>
      <c r="C65" s="32" t="n">
        <f aca="false">CHOOSE(輸入與假設!$C$5,$C$63,$D$63,$E$63)*IF($D$62&gt;$C$62,$G$61*MAX(0,MIN(C$55,$D$62)-MAX(C$54,$C$62))/($D$62-$C$62),IF(OR(AND($C$62&gt;=C$54,$C$62&lt;C$55),$C$62&lt;C$54),$G$61,0))</f>
        <v>0</v>
      </c>
      <c r="D65" s="32" t="n">
        <f aca="false">CHOOSE(輸入與假設!$C$5,$C$63,$D$63,$E$63)*IF($D$62&gt;$C$62,$G$61*MAX(0,MIN(D$55,$D$62)-MAX(D$54,$C$62))/($D$62-$C$62),IF(OR(AND($C$62&gt;=D$54,$C$62&lt;D$55)),$G$61,0))</f>
        <v>0</v>
      </c>
      <c r="E65" s="32" t="n">
        <f aca="false">CHOOSE(輸入與假設!$C$5,$C$63,$D$63,$E$63)*IF($D$62&gt;$C$62,$G$61*MAX(0,MIN(E$55,$D$62)-MAX(E$54,$C$62))/($D$62-$C$62),IF(OR(AND($C$62&gt;=E$54,$C$62&lt;E$55)),$G$61,0))</f>
        <v>0</v>
      </c>
      <c r="F65" s="32" t="n">
        <f aca="false">CHOOSE(輸入與假設!$C$5,$C$63,$D$63,$E$63)*IF($D$62&gt;$C$62,$G$61*MAX(0,MIN(F$55,$D$62)-MAX(F$54,$C$62))/($D$62-$C$62),IF(OR(AND($C$62&gt;=F$54,$C$62&lt;F$55)),$G$61,0))</f>
        <v>0</v>
      </c>
      <c r="G65" s="32" t="n">
        <f aca="false">CHOOSE(輸入與假設!$C$5,$C$63,$D$63,$E$63)*IF($D$62&gt;$C$62,$G$61*MAX(0,MIN(G$55,$D$62)-MAX(G$54,$C$62))/($D$62-$C$62),IF(OR(AND($C$62&gt;=G$54,$C$62&lt;G$55)),$G$61,0))</f>
        <v>0</v>
      </c>
      <c r="I65" s="6" t="s">
        <v>240</v>
      </c>
    </row>
    <row r="66" customFormat="false" ht="15" hidden="true" customHeight="false" outlineLevel="2" collapsed="false">
      <c r="A66" s="3" t="s">
        <v>247</v>
      </c>
      <c r="B66" s="6"/>
      <c r="C66" s="23" t="n">
        <v>5</v>
      </c>
      <c r="D66" s="23" t="n">
        <v>-0.6667</v>
      </c>
      <c r="E66" s="23" t="n">
        <v>2.35</v>
      </c>
      <c r="F66" s="23" t="n">
        <v>0</v>
      </c>
      <c r="G66" s="23" t="n">
        <v>0</v>
      </c>
      <c r="I66" s="11" t="s">
        <v>248</v>
      </c>
    </row>
    <row r="67" customFormat="false" ht="15" hidden="true" customHeight="false" outlineLevel="2" collapsed="false">
      <c r="A67" s="3" t="s">
        <v>249</v>
      </c>
      <c r="B67" s="6"/>
      <c r="C67" s="23" t="n">
        <v>0</v>
      </c>
      <c r="D67" s="23" t="n">
        <v>0</v>
      </c>
      <c r="E67" s="23" t="n">
        <v>0</v>
      </c>
      <c r="F67" s="23" t="n">
        <v>1</v>
      </c>
      <c r="G67" s="23"/>
      <c r="I67" s="6" t="s">
        <v>234</v>
      </c>
    </row>
    <row r="68" customFormat="false" ht="15" hidden="true" customHeight="false" outlineLevel="2" collapsed="false">
      <c r="A68" s="3" t="s">
        <v>250</v>
      </c>
      <c r="B68" s="6"/>
      <c r="C68" s="21" t="n">
        <v>1</v>
      </c>
      <c r="D68" s="21" t="n">
        <v>1</v>
      </c>
      <c r="E68" s="21" t="n">
        <v>1</v>
      </c>
      <c r="F68" s="21"/>
      <c r="G68" s="21"/>
      <c r="I68" s="6" t="s">
        <v>236</v>
      </c>
    </row>
    <row r="69" customFormat="false" ht="15" hidden="true" customHeight="false" outlineLevel="2" collapsed="false">
      <c r="A69" s="3" t="s">
        <v>251</v>
      </c>
      <c r="B69" s="11" t="s">
        <v>59</v>
      </c>
      <c r="C69" s="32" t="n">
        <f aca="false">CHOOSE(輸入與假設!$C$5,$C$68,$D$68,$E$68)*IF(C$55&gt;MAX(C$54,($D$66+$E$67*運營_產能與收入!$C$62/12)),$C$66*$E$66*(1+$F$66)^((MAX(C$54,($D$66+$E$67*運營_產能與收入!$C$62/12))+C$55)/2-($D$66+$E$67*運營_產能與收入!$C$62/12))*(C$55-MAX(C$54,($D$66+$E$67*運營_產能與收入!$C$62/12))),0)</f>
        <v>5.875</v>
      </c>
      <c r="D69" s="32" t="n">
        <f aca="false">CHOOSE(輸入與假設!$C$5,$C$68,$D$68,$E$68)*IF(D$55&gt;MAX(D$54,($D$66+$E$67*運營_產能與收入!$C$62/12)),$C$66*$E$66*(1+$F$66)^((MAX(D$54,($D$66+$E$67*運營_產能與收入!$C$62/12))+D$55)/2-($D$66+$E$67*運營_產能與收入!$C$62/12))*(D$55-MAX(D$54,($D$66+$E$67*運營_產能與收入!$C$62/12))),0)</f>
        <v>11.75</v>
      </c>
      <c r="E69" s="32" t="n">
        <f aca="false">CHOOSE(輸入與假設!$C$5,$C$68,$D$68,$E$68)*IF(E$55&gt;MAX(E$54,($D$66+$E$67*運營_產能與收入!$C$62/12)),$C$66*$E$66*(1+$F$66)^((MAX(E$54,($D$66+$E$67*運營_產能與收入!$C$62/12))+E$55)/2-($D$66+$E$67*運營_產能與收入!$C$62/12))*(E$55-MAX(E$54,($D$66+$E$67*運營_產能與收入!$C$62/12))),0)</f>
        <v>11.75</v>
      </c>
      <c r="F69" s="32" t="n">
        <f aca="false">CHOOSE(輸入與假設!$C$5,$C$68,$D$68,$E$68)*IF(F$55&gt;MAX(F$54,($D$66+$E$67*運營_產能與收入!$C$62/12)),$C$66*$E$66*(1+$F$66)^((MAX(F$54,($D$66+$E$67*運營_產能與收入!$C$62/12))+F$55)/2-($D$66+$E$67*運營_產能與收入!$C$62/12))*(F$55-MAX(F$54,($D$66+$E$67*運營_產能與收入!$C$62/12))),0)</f>
        <v>11.75</v>
      </c>
      <c r="G69" s="32" t="n">
        <f aca="false">CHOOSE(輸入與假設!$C$5,$C$68,$D$68,$E$68)*IF(G$55&gt;MAX(G$54,($D$66+$E$67*運營_產能與收入!$C$62/12)),$C$66*$E$66*(1+$F$66)^((MAX(G$54,($D$66+$E$67*運營_產能與收入!$C$62/12))+G$55)/2-($D$66+$E$67*運營_產能與收入!$C$62/12))*(G$55-MAX(G$54,($D$66+$E$67*運營_產能與收入!$C$62/12))),0)</f>
        <v>11.75</v>
      </c>
      <c r="I69" s="6" t="s">
        <v>238</v>
      </c>
    </row>
    <row r="70" customFormat="false" ht="15" hidden="true" customHeight="false" outlineLevel="2" collapsed="false">
      <c r="A70" s="3" t="s">
        <v>252</v>
      </c>
      <c r="B70" s="11" t="s">
        <v>59</v>
      </c>
      <c r="C70" s="32" t="n">
        <f aca="false">CHOOSE(輸入與假設!$C$5,$C$68,$D$68,$E$68)*IF($D$67&gt;$C$67,$G$66*MAX(0,MIN(C$55,$D$67)-MAX(C$54,$C$67))/($D$67-$C$67),IF(OR(AND($C$67&gt;=C$54,$C$67&lt;C$55),$C$67&lt;C$54),$G$66,0))</f>
        <v>0</v>
      </c>
      <c r="D70" s="32" t="n">
        <f aca="false">CHOOSE(輸入與假設!$C$5,$C$68,$D$68,$E$68)*IF($D$67&gt;$C$67,$G$66*MAX(0,MIN(D$55,$D$67)-MAX(D$54,$C$67))/($D$67-$C$67),IF(OR(AND($C$67&gt;=D$54,$C$67&lt;D$55)),$G$66,0))</f>
        <v>0</v>
      </c>
      <c r="E70" s="32" t="n">
        <f aca="false">CHOOSE(輸入與假設!$C$5,$C$68,$D$68,$E$68)*IF($D$67&gt;$C$67,$G$66*MAX(0,MIN(E$55,$D$67)-MAX(E$54,$C$67))/($D$67-$C$67),IF(OR(AND($C$67&gt;=E$54,$C$67&lt;E$55)),$G$66,0))</f>
        <v>0</v>
      </c>
      <c r="F70" s="32" t="n">
        <f aca="false">CHOOSE(輸入與假設!$C$5,$C$68,$D$68,$E$68)*IF($D$67&gt;$C$67,$G$66*MAX(0,MIN(F$55,$D$67)-MAX(F$54,$C$67))/($D$67-$C$67),IF(OR(AND($C$67&gt;=F$54,$C$67&lt;F$55)),$G$66,0))</f>
        <v>0</v>
      </c>
      <c r="G70" s="32" t="n">
        <f aca="false">CHOOSE(輸入與假設!$C$5,$C$68,$D$68,$E$68)*IF($D$67&gt;$C$67,$G$66*MAX(0,MIN(G$55,$D$67)-MAX(G$54,$C$67))/($D$67-$C$67),IF(OR(AND($C$67&gt;=G$54,$C$67&lt;G$55)),$G$66,0))</f>
        <v>0</v>
      </c>
      <c r="I70" s="6" t="s">
        <v>240</v>
      </c>
    </row>
    <row r="71" customFormat="false" ht="15" hidden="true" customHeight="false" outlineLevel="2" collapsed="false">
      <c r="A71" s="3" t="s">
        <v>253</v>
      </c>
      <c r="B71" s="6"/>
      <c r="C71" s="23" t="n">
        <v>3</v>
      </c>
      <c r="D71" s="23" t="n">
        <v>-5.5</v>
      </c>
      <c r="E71" s="23" t="n">
        <v>2.38</v>
      </c>
      <c r="F71" s="23" t="n">
        <v>0</v>
      </c>
      <c r="G71" s="23" t="n">
        <v>0</v>
      </c>
      <c r="I71" s="11" t="s">
        <v>254</v>
      </c>
    </row>
    <row r="72" customFormat="false" ht="15" hidden="true" customHeight="false" outlineLevel="2" collapsed="false">
      <c r="A72" s="3" t="s">
        <v>255</v>
      </c>
      <c r="B72" s="6"/>
      <c r="C72" s="23" t="n">
        <v>0</v>
      </c>
      <c r="D72" s="23" t="n">
        <v>0</v>
      </c>
      <c r="E72" s="23" t="n">
        <v>0</v>
      </c>
      <c r="F72" s="23" t="n">
        <v>1</v>
      </c>
      <c r="G72" s="23"/>
      <c r="I72" s="6" t="s">
        <v>234</v>
      </c>
    </row>
    <row r="73" customFormat="false" ht="15" hidden="true" customHeight="false" outlineLevel="2" collapsed="false">
      <c r="A73" s="3" t="s">
        <v>256</v>
      </c>
      <c r="B73" s="6"/>
      <c r="C73" s="21" t="n">
        <v>1</v>
      </c>
      <c r="D73" s="21" t="n">
        <v>1</v>
      </c>
      <c r="E73" s="21" t="n">
        <v>1</v>
      </c>
      <c r="F73" s="21"/>
      <c r="G73" s="21"/>
      <c r="I73" s="6" t="s">
        <v>236</v>
      </c>
    </row>
    <row r="74" customFormat="false" ht="15" hidden="true" customHeight="false" outlineLevel="2" collapsed="false">
      <c r="A74" s="3" t="s">
        <v>257</v>
      </c>
      <c r="B74" s="11" t="s">
        <v>59</v>
      </c>
      <c r="C74" s="32" t="n">
        <f aca="false">CHOOSE(輸入與假設!$C$5,$C$73,$D$73,$E$73)*IF(C$55&gt;MAX(C$54,($D$71+$E$72*運營_產能與收入!$C$62/12)),$C$71*$E$71*(1+$F$71)^((MAX(C$54,($D$71+$E$72*運營_產能與收入!$C$62/12))+C$55)/2-($D$71+$E$72*運營_產能與收入!$C$62/12))*(C$55-MAX(C$54,($D$71+$E$72*運營_產能與收入!$C$62/12))),0)</f>
        <v>3.57</v>
      </c>
      <c r="D74" s="32" t="n">
        <f aca="false">CHOOSE(輸入與假設!$C$5,$C$73,$D$73,$E$73)*IF(D$55&gt;MAX(D$54,($D$71+$E$72*運營_產能與收入!$C$62/12)),$C$71*$E$71*(1+$F$71)^((MAX(D$54,($D$71+$E$72*運營_產能與收入!$C$62/12))+D$55)/2-($D$71+$E$72*運營_產能與收入!$C$62/12))*(D$55-MAX(D$54,($D$71+$E$72*運營_產能與收入!$C$62/12))),0)</f>
        <v>7.14</v>
      </c>
      <c r="E74" s="32" t="n">
        <f aca="false">CHOOSE(輸入與假設!$C$5,$C$73,$D$73,$E$73)*IF(E$55&gt;MAX(E$54,($D$71+$E$72*運營_產能與收入!$C$62/12)),$C$71*$E$71*(1+$F$71)^((MAX(E$54,($D$71+$E$72*運營_產能與收入!$C$62/12))+E$55)/2-($D$71+$E$72*運營_產能與收入!$C$62/12))*(E$55-MAX(E$54,($D$71+$E$72*運營_產能與收入!$C$62/12))),0)</f>
        <v>7.14</v>
      </c>
      <c r="F74" s="32" t="n">
        <f aca="false">CHOOSE(輸入與假設!$C$5,$C$73,$D$73,$E$73)*IF(F$55&gt;MAX(F$54,($D$71+$E$72*運營_產能與收入!$C$62/12)),$C$71*$E$71*(1+$F$71)^((MAX(F$54,($D$71+$E$72*運營_產能與收入!$C$62/12))+F$55)/2-($D$71+$E$72*運營_產能與收入!$C$62/12))*(F$55-MAX(F$54,($D$71+$E$72*運營_產能與收入!$C$62/12))),0)</f>
        <v>7.14</v>
      </c>
      <c r="G74" s="32" t="n">
        <f aca="false">CHOOSE(輸入與假設!$C$5,$C$73,$D$73,$E$73)*IF(G$55&gt;MAX(G$54,($D$71+$E$72*運營_產能與收入!$C$62/12)),$C$71*$E$71*(1+$F$71)^((MAX(G$54,($D$71+$E$72*運營_產能與收入!$C$62/12))+G$55)/2-($D$71+$E$72*運營_產能與收入!$C$62/12))*(G$55-MAX(G$54,($D$71+$E$72*運營_產能與收入!$C$62/12))),0)</f>
        <v>7.14</v>
      </c>
      <c r="I74" s="6" t="s">
        <v>238</v>
      </c>
    </row>
    <row r="75" customFormat="false" ht="15" hidden="true" customHeight="false" outlineLevel="2" collapsed="false">
      <c r="A75" s="3" t="s">
        <v>258</v>
      </c>
      <c r="B75" s="11" t="s">
        <v>59</v>
      </c>
      <c r="C75" s="32" t="n">
        <f aca="false">CHOOSE(輸入與假設!$C$5,$C$73,$D$73,$E$73)*IF($D$72&gt;$C$72,$G$71*MAX(0,MIN(C$55,$D$72)-MAX(C$54,$C$72))/($D$72-$C$72),IF(OR(AND($C$72&gt;=C$54,$C$72&lt;C$55),$C$72&lt;C$54),$G$71,0))</f>
        <v>0</v>
      </c>
      <c r="D75" s="32" t="n">
        <f aca="false">CHOOSE(輸入與假設!$C$5,$C$73,$D$73,$E$73)*IF($D$72&gt;$C$72,$G$71*MAX(0,MIN(D$55,$D$72)-MAX(D$54,$C$72))/($D$72-$C$72),IF(OR(AND($C$72&gt;=D$54,$C$72&lt;D$55)),$G$71,0))</f>
        <v>0</v>
      </c>
      <c r="E75" s="32" t="n">
        <f aca="false">CHOOSE(輸入與假設!$C$5,$C$73,$D$73,$E$73)*IF($D$72&gt;$C$72,$G$71*MAX(0,MIN(E$55,$D$72)-MAX(E$54,$C$72))/($D$72-$C$72),IF(OR(AND($C$72&gt;=E$54,$C$72&lt;E$55)),$G$71,0))</f>
        <v>0</v>
      </c>
      <c r="F75" s="32" t="n">
        <f aca="false">CHOOSE(輸入與假設!$C$5,$C$73,$D$73,$E$73)*IF($D$72&gt;$C$72,$G$71*MAX(0,MIN(F$55,$D$72)-MAX(F$54,$C$72))/($D$72-$C$72),IF(OR(AND($C$72&gt;=F$54,$C$72&lt;F$55)),$G$71,0))</f>
        <v>0</v>
      </c>
      <c r="G75" s="32" t="n">
        <f aca="false">CHOOSE(輸入與假設!$C$5,$C$73,$D$73,$E$73)*IF($D$72&gt;$C$72,$G$71*MAX(0,MIN(G$55,$D$72)-MAX(G$54,$C$72))/($D$72-$C$72),IF(OR(AND($C$72&gt;=G$54,$C$72&lt;G$55)),$G$71,0))</f>
        <v>0</v>
      </c>
      <c r="I75" s="6" t="s">
        <v>240</v>
      </c>
    </row>
    <row r="76" customFormat="false" ht="15" hidden="true" customHeight="false" outlineLevel="2" collapsed="false">
      <c r="A76" s="3" t="s">
        <v>259</v>
      </c>
      <c r="B76" s="6"/>
      <c r="C76" s="23" t="n">
        <v>3</v>
      </c>
      <c r="D76" s="23" t="n">
        <v>0.5</v>
      </c>
      <c r="E76" s="23" t="n">
        <v>1.85</v>
      </c>
      <c r="F76" s="23" t="n">
        <v>0.03</v>
      </c>
      <c r="G76" s="23" t="n">
        <v>23.6</v>
      </c>
      <c r="I76" s="11" t="s">
        <v>260</v>
      </c>
    </row>
    <row r="77" customFormat="false" ht="15" hidden="true" customHeight="false" outlineLevel="2" collapsed="false">
      <c r="A77" s="3" t="s">
        <v>261</v>
      </c>
      <c r="B77" s="6"/>
      <c r="C77" s="23" t="n">
        <v>0</v>
      </c>
      <c r="D77" s="23" t="n">
        <v>0.5</v>
      </c>
      <c r="E77" s="23" t="n">
        <v>1</v>
      </c>
      <c r="F77" s="23" t="n">
        <v>0</v>
      </c>
      <c r="G77" s="23"/>
      <c r="I77" s="6" t="s">
        <v>234</v>
      </c>
    </row>
    <row r="78" customFormat="false" ht="15" hidden="true" customHeight="false" outlineLevel="2" collapsed="false">
      <c r="A78" s="3" t="s">
        <v>262</v>
      </c>
      <c r="B78" s="6"/>
      <c r="C78" s="21" t="n">
        <v>0</v>
      </c>
      <c r="D78" s="21" t="n">
        <v>1</v>
      </c>
      <c r="E78" s="21" t="n">
        <v>1</v>
      </c>
      <c r="F78" s="21"/>
      <c r="G78" s="21"/>
      <c r="I78" s="6" t="s">
        <v>236</v>
      </c>
    </row>
    <row r="79" customFormat="false" ht="15" hidden="true" customHeight="false" outlineLevel="2" collapsed="false">
      <c r="A79" s="3" t="s">
        <v>263</v>
      </c>
      <c r="B79" s="11" t="s">
        <v>59</v>
      </c>
      <c r="C79" s="32" t="n">
        <f aca="false">CHOOSE(輸入與假設!$C$5,$C$78,$D$78,$E$78)*IF(C$55&gt;MAX(C$54,($D$76+$E$77*運營_產能與收入!$C$62/12)),$C$76*$E$76*(1+$F$76)^((MAX(C$54,($D$76+$E$77*運營_產能與收入!$C$62/12))+C$55)/2-($D$76+$E$77*運營_產能與收入!$C$62/12))*(C$55-MAX(C$54,($D$76+$E$77*運營_產能與收入!$C$62/12))),0)</f>
        <v>0</v>
      </c>
      <c r="D79" s="32" t="n">
        <f aca="false">CHOOSE(輸入與假設!$C$5,$C$78,$D$78,$E$78)*IF(D$55&gt;MAX(D$54,($D$76+$E$77*運營_產能與收入!$C$62/12)),$C$76*$E$76*(1+$F$76)^((MAX(D$54,($D$76+$E$77*運營_產能與收入!$C$62/12))+D$55)/2-($D$76+$E$77*運營_產能與收入!$C$62/12))*(D$55-MAX(D$54,($D$76+$E$77*運營_產能與收入!$C$62/12))),0)</f>
        <v>4.20889610783603</v>
      </c>
      <c r="E79" s="32" t="n">
        <f aca="false">CHOOSE(輸入與假設!$C$5,$C$78,$D$78,$E$78)*IF(E$55&gt;MAX(E$54,($D$76+$E$77*運營_產能與收入!$C$62/12)),$C$76*$E$76*(1+$F$76)^((MAX(E$54,($D$76+$E$77*運營_產能與收入!$C$62/12))+E$55)/2-($D$76+$E$77*運營_產能與收入!$C$62/12))*(E$55-MAX(E$54,($D$76+$E$77*運營_產能與收入!$C$62/12))),0)</f>
        <v>5.75889969081741</v>
      </c>
      <c r="F79" s="32" t="n">
        <f aca="false">CHOOSE(輸入與假設!$C$5,$C$78,$D$78,$E$78)*IF(F$55&gt;MAX(F$54,($D$76+$E$77*運營_產能與收入!$C$62/12)),$C$76*$E$76*(1+$F$76)^((MAX(F$54,($D$76+$E$77*運營_產能與收入!$C$62/12))+F$55)/2-($D$76+$E$77*運營_產能與收入!$C$62/12))*(F$55-MAX(F$54,($D$76+$E$77*運營_產能與收入!$C$62/12))),0)</f>
        <v>5.93166668154193</v>
      </c>
      <c r="G79" s="32" t="n">
        <f aca="false">CHOOSE(輸入與假設!$C$5,$C$78,$D$78,$E$78)*IF(G$55&gt;MAX(G$54,($D$76+$E$77*運營_產能與收入!$C$62/12)),$C$76*$E$76*(1+$F$76)^((MAX(G$54,($D$76+$E$77*運營_產能與收入!$C$62/12))+G$55)/2-($D$76+$E$77*運營_產能與收入!$C$62/12))*(G$55-MAX(G$54,($D$76+$E$77*運營_產能與收入!$C$62/12))),0)</f>
        <v>6.10961668198819</v>
      </c>
      <c r="I79" s="6" t="s">
        <v>238</v>
      </c>
    </row>
    <row r="80" customFormat="false" ht="15" hidden="true" customHeight="false" outlineLevel="2" collapsed="false">
      <c r="A80" s="3" t="s">
        <v>264</v>
      </c>
      <c r="B80" s="11" t="s">
        <v>59</v>
      </c>
      <c r="C80" s="32" t="n">
        <f aca="false">CHOOSE(輸入與假設!$C$5,$C$78,$D$78,$E$78)*IF($D$77&gt;$C$77,$G$76*MAX(0,MIN(C$55,$D$77)-MAX(C$54,$C$77))/($D$77-$C$77),IF(OR(AND($C$77&gt;=C$54,$C$77&lt;C$55),$C$77&lt;C$54),$G$76,0))</f>
        <v>23.6</v>
      </c>
      <c r="D80" s="32" t="n">
        <f aca="false">CHOOSE(輸入與假設!$C$5,$C$78,$D$78,$E$78)*IF($D$77&gt;$C$77,$G$76*MAX(0,MIN(D$55,$D$77)-MAX(D$54,$C$77))/($D$77-$C$77),IF(OR(AND($C$77&gt;=D$54,$C$77&lt;D$55)),$G$76,0))</f>
        <v>0</v>
      </c>
      <c r="E80" s="32" t="n">
        <f aca="false">CHOOSE(輸入與假設!$C$5,$C$78,$D$78,$E$78)*IF($D$77&gt;$C$77,$G$76*MAX(0,MIN(E$55,$D$77)-MAX(E$54,$C$77))/($D$77-$C$77),IF(OR(AND($C$77&gt;=E$54,$C$77&lt;E$55)),$G$76,0))</f>
        <v>0</v>
      </c>
      <c r="F80" s="32" t="n">
        <f aca="false">CHOOSE(輸入與假設!$C$5,$C$78,$D$78,$E$78)*IF($D$77&gt;$C$77,$G$76*MAX(0,MIN(F$55,$D$77)-MAX(F$54,$C$77))/($D$77-$C$77),IF(OR(AND($C$77&gt;=F$54,$C$77&lt;F$55)),$G$76,0))</f>
        <v>0</v>
      </c>
      <c r="G80" s="32" t="n">
        <f aca="false">CHOOSE(輸入與假設!$C$5,$C$78,$D$78,$E$78)*IF($D$77&gt;$C$77,$G$76*MAX(0,MIN(G$55,$D$77)-MAX(G$54,$C$77))/($D$77-$C$77),IF(OR(AND($C$77&gt;=G$54,$C$77&lt;G$55)),$G$76,0))</f>
        <v>0</v>
      </c>
      <c r="I80" s="6" t="s">
        <v>240</v>
      </c>
    </row>
    <row r="81" customFormat="false" ht="15" hidden="true" customHeight="false" outlineLevel="2" collapsed="false">
      <c r="A81" s="3" t="s">
        <v>265</v>
      </c>
      <c r="B81" s="6"/>
      <c r="C81" s="23" t="n">
        <v>33.33</v>
      </c>
      <c r="D81" s="23" t="n">
        <v>1.5</v>
      </c>
      <c r="E81" s="23" t="n">
        <v>1.85</v>
      </c>
      <c r="F81" s="23" t="n">
        <v>0.03</v>
      </c>
      <c r="G81" s="23" t="n">
        <v>383.295</v>
      </c>
      <c r="I81" s="11" t="s">
        <v>266</v>
      </c>
    </row>
    <row r="82" customFormat="false" ht="15" hidden="true" customHeight="false" outlineLevel="2" collapsed="false">
      <c r="A82" s="3" t="s">
        <v>267</v>
      </c>
      <c r="B82" s="6"/>
      <c r="C82" s="23" t="n">
        <v>0.5</v>
      </c>
      <c r="D82" s="23" t="n">
        <v>1.5</v>
      </c>
      <c r="E82" s="23" t="n">
        <v>1</v>
      </c>
      <c r="F82" s="23" t="n">
        <v>0</v>
      </c>
      <c r="G82" s="23"/>
      <c r="I82" s="6" t="s">
        <v>234</v>
      </c>
    </row>
    <row r="83" customFormat="false" ht="15" hidden="true" customHeight="false" outlineLevel="2" collapsed="false">
      <c r="A83" s="3" t="s">
        <v>268</v>
      </c>
      <c r="B83" s="6"/>
      <c r="C83" s="21" t="n">
        <v>0</v>
      </c>
      <c r="D83" s="21" t="n">
        <v>1</v>
      </c>
      <c r="E83" s="21" t="n">
        <v>1</v>
      </c>
      <c r="F83" s="21"/>
      <c r="G83" s="21"/>
      <c r="I83" s="6" t="s">
        <v>236</v>
      </c>
    </row>
    <row r="84" customFormat="false" ht="15" hidden="true" customHeight="false" outlineLevel="2" collapsed="false">
      <c r="A84" s="3" t="s">
        <v>269</v>
      </c>
      <c r="B84" s="11" t="s">
        <v>59</v>
      </c>
      <c r="C84" s="32" t="n">
        <f aca="false">CHOOSE(輸入與假設!$C$5,$C$83,$D$83,$E$83)*IF(C$55&gt;MAX(C$54,($D$81+$E$82*運營_產能與收入!$C$62/12)),$C$81*$E$81*(1+$F$81)^((MAX(C$54,($D$81+$E$82*運營_產能與收入!$C$62/12))+C$55)/2-($D$81+$E$82*運營_產能與收入!$C$62/12))*(C$55-MAX(C$54,($D$81+$E$82*運營_產能與收入!$C$62/12))),0)</f>
        <v>0</v>
      </c>
      <c r="D84" s="32" t="n">
        <f aca="false">CHOOSE(輸入與假設!$C$5,$C$83,$D$83,$E$83)*IF(D$55&gt;MAX(D$54,($D$81+$E$82*運營_產能與收入!$C$62/12)),$C$81*$E$81*(1+$F$81)^((MAX(D$54,($D$81+$E$82*運營_產能與收入!$C$62/12))+D$55)/2-($D$81+$E$82*運營_產能與收入!$C$62/12))*(D$55-MAX(D$54,($D$81+$E$82*運營_產能與收入!$C$62/12))),0)</f>
        <v>0</v>
      </c>
      <c r="E84" s="32" t="n">
        <f aca="false">CHOOSE(輸入與假設!$C$5,$C$83,$D$83,$E$83)*IF(E$55&gt;MAX(E$54,($D$81+$E$82*運營_產能與收入!$C$62/12)),$C$81*$E$81*(1+$F$81)^((MAX(E$54,($D$81+$E$82*運營_產能與收入!$C$62/12))+E$55)/2-($D$81+$E$82*運營_產能與收入!$C$62/12))*(E$55-MAX(E$54,($D$81+$E$82*運營_產能與收入!$C$62/12))),0)</f>
        <v>46.7608357580582</v>
      </c>
      <c r="F84" s="32" t="n">
        <f aca="false">CHOOSE(輸入與假設!$C$5,$C$83,$D$83,$E$83)*IF(F$55&gt;MAX(F$54,($D$81+$E$82*運營_產能與收入!$C$62/12)),$C$81*$E$81*(1+$F$81)^((MAX(F$54,($D$81+$E$82*運營_產能與收入!$C$62/12))+F$55)/2-($D$81+$E$82*運營_產能與收入!$C$62/12))*(F$55-MAX(F$54,($D$81+$E$82*運營_產能與收入!$C$62/12))),0)</f>
        <v>63.9813755649814</v>
      </c>
      <c r="G84" s="32" t="n">
        <f aca="false">CHOOSE(輸入與假設!$C$5,$C$83,$D$83,$E$83)*IF(G$55&gt;MAX(G$54,($D$81+$E$82*運營_產能與收入!$C$62/12)),$C$81*$E$81*(1+$F$81)^((MAX(G$54,($D$81+$E$82*運營_產能與收入!$C$62/12))+G$55)/2-($D$81+$E$82*運營_產能與收入!$C$62/12))*(G$55-MAX(G$54,($D$81+$E$82*運營_產能與收入!$C$62/12))),0)</f>
        <v>65.9008168319309</v>
      </c>
      <c r="I84" s="6" t="s">
        <v>238</v>
      </c>
    </row>
    <row r="85" customFormat="false" ht="15" hidden="true" customHeight="false" outlineLevel="2" collapsed="false">
      <c r="A85" s="3" t="s">
        <v>270</v>
      </c>
      <c r="B85" s="11" t="s">
        <v>59</v>
      </c>
      <c r="C85" s="32" t="n">
        <f aca="false">CHOOSE(輸入與假設!$C$5,$C$83,$D$83,$E$83)*IF($D$82&gt;$C$82,$G$81*MAX(0,MIN(C$55,$D$82)-MAX(C$54,$C$82))/($D$82-$C$82),IF(OR(AND($C$82&gt;=C$54,$C$82&lt;C$55),$C$82&lt;C$54),$G$81,0))</f>
        <v>0</v>
      </c>
      <c r="D85" s="32" t="n">
        <f aca="false">CHOOSE(輸入與假設!$C$5,$C$83,$D$83,$E$83)*IF($D$82&gt;$C$82,$G$81*MAX(0,MIN(D$55,$D$82)-MAX(D$54,$C$82))/($D$82-$C$82),IF(OR(AND($C$82&gt;=D$54,$C$82&lt;D$55)),$G$81,0))</f>
        <v>383.295</v>
      </c>
      <c r="E85" s="32" t="n">
        <f aca="false">CHOOSE(輸入與假設!$C$5,$C$83,$D$83,$E$83)*IF($D$82&gt;$C$82,$G$81*MAX(0,MIN(E$55,$D$82)-MAX(E$54,$C$82))/($D$82-$C$82),IF(OR(AND($C$82&gt;=E$54,$C$82&lt;E$55)),$G$81,0))</f>
        <v>0</v>
      </c>
      <c r="F85" s="32" t="n">
        <f aca="false">CHOOSE(輸入與假設!$C$5,$C$83,$D$83,$E$83)*IF($D$82&gt;$C$82,$G$81*MAX(0,MIN(F$55,$D$82)-MAX(F$54,$C$82))/($D$82-$C$82),IF(OR(AND($C$82&gt;=F$54,$C$82&lt;F$55)),$G$81,0))</f>
        <v>0</v>
      </c>
      <c r="G85" s="32" t="n">
        <f aca="false">CHOOSE(輸入與假設!$C$5,$C$83,$D$83,$E$83)*IF($D$82&gt;$C$82,$G$81*MAX(0,MIN(G$55,$D$82)-MAX(G$54,$C$82))/($D$82-$C$82),IF(OR(AND($C$82&gt;=G$54,$C$82&lt;G$55)),$G$81,0))</f>
        <v>0</v>
      </c>
      <c r="I85" s="6" t="s">
        <v>240</v>
      </c>
    </row>
    <row r="86" customFormat="false" ht="15" hidden="true" customHeight="false" outlineLevel="2" collapsed="false">
      <c r="A86" s="3" t="s">
        <v>271</v>
      </c>
      <c r="B86" s="6"/>
      <c r="C86" s="23" t="n">
        <v>44.44</v>
      </c>
      <c r="D86" s="23" t="n">
        <v>1.25</v>
      </c>
      <c r="E86" s="23" t="n">
        <v>1.85</v>
      </c>
      <c r="F86" s="23" t="n">
        <v>0.03</v>
      </c>
      <c r="G86" s="23" t="n">
        <v>571.06</v>
      </c>
      <c r="I86" s="6" t="s">
        <v>272</v>
      </c>
    </row>
    <row r="87" customFormat="false" ht="15" hidden="true" customHeight="false" outlineLevel="2" collapsed="false">
      <c r="A87" s="3" t="s">
        <v>273</v>
      </c>
      <c r="B87" s="6"/>
      <c r="C87" s="23" t="n">
        <v>0.375</v>
      </c>
      <c r="D87" s="23" t="n">
        <v>1.25</v>
      </c>
      <c r="E87" s="23" t="n">
        <v>1</v>
      </c>
      <c r="F87" s="23" t="n">
        <v>0</v>
      </c>
      <c r="G87" s="23"/>
      <c r="I87" s="6" t="s">
        <v>234</v>
      </c>
    </row>
    <row r="88" customFormat="false" ht="15" hidden="true" customHeight="false" outlineLevel="2" collapsed="false">
      <c r="A88" s="3" t="s">
        <v>274</v>
      </c>
      <c r="B88" s="6"/>
      <c r="C88" s="21" t="n">
        <v>0</v>
      </c>
      <c r="D88" s="21" t="n">
        <v>0</v>
      </c>
      <c r="E88" s="21" t="n">
        <v>1</v>
      </c>
      <c r="F88" s="21"/>
      <c r="G88" s="21"/>
      <c r="I88" s="6" t="s">
        <v>236</v>
      </c>
    </row>
    <row r="89" customFormat="false" ht="15" hidden="true" customHeight="false" outlineLevel="2" collapsed="false">
      <c r="A89" s="3" t="s">
        <v>275</v>
      </c>
      <c r="B89" s="11" t="s">
        <v>59</v>
      </c>
      <c r="C89" s="32" t="n">
        <f aca="false">CHOOSE(輸入與假設!$C$5,$C$88,$D$88,$E$88)*IF(C$55&gt;MAX(C$54,($D$86+$E$87*運營_產能與收入!$C$62/12)),$C$86*$E$86*(1+$F$86)^((MAX(C$54,($D$86+$E$87*運營_產能與收入!$C$62/12))+C$55)/2-($D$86+$E$87*運營_產能與收入!$C$62/12))*(C$55-MAX(C$54,($D$86+$E$87*運營_產能與收入!$C$62/12))),0)</f>
        <v>0</v>
      </c>
      <c r="D89" s="32" t="n">
        <f aca="false">CHOOSE(輸入與假設!$C$5,$C$88,$D$88,$E$88)*IF(D$55&gt;MAX(D$54,($D$86+$E$87*運營_產能與收入!$C$62/12)),$C$86*$E$86*(1+$F$86)^((MAX(D$54,($D$86+$E$87*運營_產能與收入!$C$62/12))+D$55)/2-($D$86+$E$87*運營_產能與收入!$C$62/12))*(D$55-MAX(D$54,($D$86+$E$87*運營_產能與收入!$C$62/12))),0)</f>
        <v>0</v>
      </c>
      <c r="E89" s="32" t="n">
        <f aca="false">CHOOSE(輸入與假設!$C$5,$C$88,$D$88,$E$88)*IF(E$55&gt;MAX(E$54,($D$86+$E$87*運營_產能與收入!$C$62/12)),$C$86*$E$86*(1+$F$86)^((MAX(E$54,($D$86+$E$87*運營_產能與收入!$C$62/12))+E$55)/2-($D$86+$E$87*運營_產能與收入!$C$62/12))*(E$55-MAX(E$54,($D$86+$E$87*運營_產能與收入!$C$62/12))),0)</f>
        <v>0</v>
      </c>
      <c r="F89" s="32" t="n">
        <f aca="false">CHOOSE(輸入與假設!$C$5,$C$88,$D$88,$E$88)*IF(F$55&gt;MAX(F$54,($D$86+$E$87*運營_產能與收入!$C$62/12)),$C$86*$E$86*(1+$F$86)^((MAX(F$54,($D$86+$E$87*運營_產能與收入!$C$62/12))+F$55)/2-($D$86+$E$87*運營_產能與收入!$C$62/12))*(F$55-MAX(F$54,($D$86+$E$87*運營_產能與收入!$C$62/12))),0)</f>
        <v>0</v>
      </c>
      <c r="G89" s="32" t="n">
        <f aca="false">CHOOSE(輸入與假設!$C$5,$C$88,$D$88,$E$88)*IF(G$55&gt;MAX(G$54,($D$86+$E$87*運營_產能與收入!$C$62/12)),$C$86*$E$86*(1+$F$86)^((MAX(G$54,($D$86+$E$87*運營_產能與收入!$C$62/12))+G$55)/2-($D$86+$E$87*運營_產能與收入!$C$62/12))*(G$55-MAX(G$54,($D$86+$E$87*運營_產能與收入!$C$62/12))),0)</f>
        <v>0</v>
      </c>
      <c r="I89" s="6" t="s">
        <v>238</v>
      </c>
    </row>
    <row r="90" customFormat="false" ht="15" hidden="true" customHeight="false" outlineLevel="2" collapsed="false">
      <c r="A90" s="3" t="s">
        <v>276</v>
      </c>
      <c r="B90" s="11" t="s">
        <v>59</v>
      </c>
      <c r="C90" s="32" t="n">
        <f aca="false">CHOOSE(輸入與假設!$C$5,$C$88,$D$88,$E$88)*IF($D$87&gt;$C$87,$G$86*MAX(0,MIN(C$55,$D$87)-MAX(C$54,$C$87))/($D$87-$C$87),IF(OR(AND($C$87&gt;=C$54,$C$87&lt;C$55),$C$87&lt;C$54),$G$86,0))</f>
        <v>0</v>
      </c>
      <c r="D90" s="32" t="n">
        <f aca="false">CHOOSE(輸入與假設!$C$5,$C$88,$D$88,$E$88)*IF($D$87&gt;$C$87,$G$86*MAX(0,MIN(D$55,$D$87)-MAX(D$54,$C$87))/($D$87-$C$87),IF(OR(AND($C$87&gt;=D$54,$C$87&lt;D$55)),$G$86,0))</f>
        <v>0</v>
      </c>
      <c r="E90" s="32" t="n">
        <f aca="false">CHOOSE(輸入與假設!$C$5,$C$88,$D$88,$E$88)*IF($D$87&gt;$C$87,$G$86*MAX(0,MIN(E$55,$D$87)-MAX(E$54,$C$87))/($D$87-$C$87),IF(OR(AND($C$87&gt;=E$54,$C$87&lt;E$55)),$G$86,0))</f>
        <v>0</v>
      </c>
      <c r="F90" s="32" t="n">
        <f aca="false">CHOOSE(輸入與假設!$C$5,$C$88,$D$88,$E$88)*IF($D$87&gt;$C$87,$G$86*MAX(0,MIN(F$55,$D$87)-MAX(F$54,$C$87))/($D$87-$C$87),IF(OR(AND($C$87&gt;=F$54,$C$87&lt;F$55)),$G$86,0))</f>
        <v>0</v>
      </c>
      <c r="G90" s="32" t="n">
        <f aca="false">CHOOSE(輸入與假設!$C$5,$C$88,$D$88,$E$88)*IF($D$87&gt;$C$87,$G$86*MAX(0,MIN(G$55,$D$87)-MAX(G$54,$C$87))/($D$87-$C$87),IF(OR(AND($C$87&gt;=G$54,$C$87&lt;G$55)),$G$86,0))</f>
        <v>0</v>
      </c>
      <c r="I90" s="6" t="s">
        <v>240</v>
      </c>
    </row>
    <row r="91" customFormat="false" ht="15" hidden="true" customHeight="false" outlineLevel="2" collapsed="false">
      <c r="A91" s="3" t="s">
        <v>277</v>
      </c>
      <c r="B91" s="6"/>
      <c r="C91" s="23" t="n">
        <v>74.07</v>
      </c>
      <c r="D91" s="23" t="n">
        <v>2.5</v>
      </c>
      <c r="E91" s="23" t="n">
        <v>1.85</v>
      </c>
      <c r="F91" s="23" t="n">
        <v>0.03</v>
      </c>
      <c r="G91" s="23" t="n">
        <v>851.805</v>
      </c>
      <c r="I91" s="11" t="s">
        <v>278</v>
      </c>
    </row>
    <row r="92" customFormat="false" ht="15" hidden="true" customHeight="false" outlineLevel="2" collapsed="false">
      <c r="A92" s="3" t="s">
        <v>279</v>
      </c>
      <c r="B92" s="6"/>
      <c r="C92" s="23" t="n">
        <v>1.5</v>
      </c>
      <c r="D92" s="23" t="n">
        <v>2.5</v>
      </c>
      <c r="E92" s="23" t="n">
        <v>1</v>
      </c>
      <c r="F92" s="23" t="n">
        <v>0</v>
      </c>
      <c r="G92" s="23"/>
      <c r="I92" s="6" t="s">
        <v>234</v>
      </c>
    </row>
    <row r="93" customFormat="false" ht="15" hidden="true" customHeight="false" outlineLevel="2" collapsed="false">
      <c r="A93" s="3" t="s">
        <v>280</v>
      </c>
      <c r="B93" s="6"/>
      <c r="C93" s="21" t="n">
        <v>0</v>
      </c>
      <c r="D93" s="21" t="n">
        <v>0</v>
      </c>
      <c r="E93" s="21" t="n">
        <v>1</v>
      </c>
      <c r="F93" s="21"/>
      <c r="G93" s="21"/>
      <c r="I93" s="6" t="s">
        <v>236</v>
      </c>
    </row>
    <row r="94" customFormat="false" ht="15" hidden="true" customHeight="false" outlineLevel="2" collapsed="false">
      <c r="A94" s="3" t="s">
        <v>281</v>
      </c>
      <c r="B94" s="11" t="s">
        <v>59</v>
      </c>
      <c r="C94" s="32" t="n">
        <f aca="false">CHOOSE(輸入與假設!$C$5,$C$93,$D$93,$E$93)*IF(C$55&gt;MAX(C$54,($D$91+$E$92*運營_產能與收入!$C$62/12)),$C$91*$E$91*(1+$F$91)^((MAX(C$54,($D$91+$E$92*運營_產能與收入!$C$62/12))+C$55)/2-($D$91+$E$92*運營_產能與收入!$C$62/12))*(C$55-MAX(C$54,($D$91+$E$92*運營_產能與收入!$C$62/12))),0)</f>
        <v>0</v>
      </c>
      <c r="D94" s="32" t="n">
        <f aca="false">CHOOSE(輸入與假設!$C$5,$C$93,$D$93,$E$93)*IF(D$55&gt;MAX(D$54,($D$91+$E$92*運營_產能與收入!$C$62/12)),$C$91*$E$91*(1+$F$91)^((MAX(D$54,($D$91+$E$92*運營_產能與收入!$C$62/12))+D$55)/2-($D$91+$E$92*運營_產能與收入!$C$62/12))*(D$55-MAX(D$54,($D$91+$E$92*運營_產能與收入!$C$62/12))),0)</f>
        <v>0</v>
      </c>
      <c r="E94" s="32" t="n">
        <f aca="false">CHOOSE(輸入與假設!$C$5,$C$93,$D$93,$E$93)*IF(E$55&gt;MAX(E$54,($D$91+$E$92*運營_產能與收入!$C$62/12)),$C$91*$E$91*(1+$F$91)^((MAX(E$54,($D$91+$E$92*運營_產能與收入!$C$62/12))+E$55)/2-($D$91+$E$92*運營_產能與收入!$C$62/12))*(E$55-MAX(E$54,($D$91+$E$92*運營_產能與收入!$C$62/12))),0)</f>
        <v>0</v>
      </c>
      <c r="F94" s="32" t="n">
        <f aca="false">CHOOSE(輸入與假設!$C$5,$C$93,$D$93,$E$93)*IF(F$55&gt;MAX(F$54,($D$91+$E$92*運營_產能與收入!$C$62/12)),$C$91*$E$91*(1+$F$91)^((MAX(F$54,($D$91+$E$92*運營_產能與收入!$C$62/12))+F$55)/2-($D$91+$E$92*運營_產能與收入!$C$62/12))*(F$55-MAX(F$54,($D$91+$E$92*運營_產能與收入!$C$62/12))),0)</f>
        <v>0</v>
      </c>
      <c r="G94" s="32" t="n">
        <f aca="false">CHOOSE(輸入與假設!$C$5,$C$93,$D$93,$E$93)*IF(G$55&gt;MAX(G$54,($D$91+$E$92*運營_產能與收入!$C$62/12)),$C$91*$E$91*(1+$F$91)^((MAX(G$54,($D$91+$E$92*運營_產能與收入!$C$62/12))+G$55)/2-($D$91+$E$92*運營_產能與收入!$C$62/12))*(G$55-MAX(G$54,($D$91+$E$92*運營_產能與收入!$C$62/12))),0)</f>
        <v>0</v>
      </c>
      <c r="I94" s="6" t="s">
        <v>238</v>
      </c>
    </row>
    <row r="95" customFormat="false" ht="15" hidden="true" customHeight="false" outlineLevel="2" collapsed="false">
      <c r="A95" s="3" t="s">
        <v>282</v>
      </c>
      <c r="B95" s="11" t="s">
        <v>59</v>
      </c>
      <c r="C95" s="32" t="n">
        <f aca="false">CHOOSE(輸入與假設!$C$5,$C$93,$D$93,$E$93)*IF($D$92&gt;$C$92,$G$91*MAX(0,MIN(C$55,$D$92)-MAX(C$54,$C$92))/($D$92-$C$92),IF(OR(AND($C$92&gt;=C$54,$C$92&lt;C$55),$C$92&lt;C$54),$G$91,0))</f>
        <v>0</v>
      </c>
      <c r="D95" s="32" t="n">
        <f aca="false">CHOOSE(輸入與假設!$C$5,$C$93,$D$93,$E$93)*IF($D$92&gt;$C$92,$G$91*MAX(0,MIN(D$55,$D$92)-MAX(D$54,$C$92))/($D$92-$C$92),IF(OR(AND($C$92&gt;=D$54,$C$92&lt;D$55)),$G$91,0))</f>
        <v>0</v>
      </c>
      <c r="E95" s="32" t="n">
        <f aca="false">CHOOSE(輸入與假設!$C$5,$C$93,$D$93,$E$93)*IF($D$92&gt;$C$92,$G$91*MAX(0,MIN(E$55,$D$92)-MAX(E$54,$C$92))/($D$92-$C$92),IF(OR(AND($C$92&gt;=E$54,$C$92&lt;E$55)),$G$91,0))</f>
        <v>0</v>
      </c>
      <c r="F95" s="32" t="n">
        <f aca="false">CHOOSE(輸入與假設!$C$5,$C$93,$D$93,$E$93)*IF($D$92&gt;$C$92,$G$91*MAX(0,MIN(F$55,$D$92)-MAX(F$54,$C$92))/($D$92-$C$92),IF(OR(AND($C$92&gt;=F$54,$C$92&lt;F$55)),$G$91,0))</f>
        <v>0</v>
      </c>
      <c r="G95" s="32" t="n">
        <f aca="false">CHOOSE(輸入與假設!$C$5,$C$93,$D$93,$E$93)*IF($D$92&gt;$C$92,$G$91*MAX(0,MIN(G$55,$D$92)-MAX(G$54,$C$92))/($D$92-$C$92),IF(OR(AND($C$92&gt;=G$54,$C$92&lt;G$55)),$G$91,0))</f>
        <v>0</v>
      </c>
      <c r="I95" s="6" t="s">
        <v>240</v>
      </c>
    </row>
    <row r="96" customFormat="false" ht="15" hidden="true" customHeight="false" outlineLevel="2" collapsed="false">
      <c r="A96" s="3" t="s">
        <v>283</v>
      </c>
      <c r="B96" s="6"/>
      <c r="C96" s="23" t="n">
        <v>74.81</v>
      </c>
      <c r="D96" s="23" t="n">
        <v>3.5</v>
      </c>
      <c r="E96" s="23" t="n">
        <v>1.85</v>
      </c>
      <c r="F96" s="23" t="n">
        <v>0.03</v>
      </c>
      <c r="G96" s="23" t="n">
        <v>860.315</v>
      </c>
      <c r="I96" s="6" t="s">
        <v>284</v>
      </c>
    </row>
    <row r="97" customFormat="false" ht="15" hidden="true" customHeight="false" outlineLevel="2" collapsed="false">
      <c r="A97" s="3" t="s">
        <v>285</v>
      </c>
      <c r="B97" s="6"/>
      <c r="C97" s="23" t="n">
        <v>2.5</v>
      </c>
      <c r="D97" s="23" t="n">
        <v>3.5</v>
      </c>
      <c r="E97" s="23" t="n">
        <v>1</v>
      </c>
      <c r="F97" s="23" t="n">
        <v>0</v>
      </c>
      <c r="G97" s="23"/>
      <c r="I97" s="6" t="s">
        <v>234</v>
      </c>
    </row>
    <row r="98" customFormat="false" ht="15" hidden="true" customHeight="false" outlineLevel="2" collapsed="false">
      <c r="A98" s="3" t="s">
        <v>286</v>
      </c>
      <c r="B98" s="6"/>
      <c r="C98" s="21" t="n">
        <v>0</v>
      </c>
      <c r="D98" s="21" t="n">
        <v>0</v>
      </c>
      <c r="E98" s="21" t="n">
        <v>1</v>
      </c>
      <c r="F98" s="21"/>
      <c r="G98" s="21"/>
      <c r="I98" s="6" t="s">
        <v>236</v>
      </c>
    </row>
    <row r="99" customFormat="false" ht="15" hidden="true" customHeight="false" outlineLevel="2" collapsed="false">
      <c r="A99" s="3" t="s">
        <v>287</v>
      </c>
      <c r="B99" s="11" t="s">
        <v>59</v>
      </c>
      <c r="C99" s="32" t="n">
        <f aca="false">CHOOSE(輸入與假設!$C$5,$C$98,$D$98,$E$98)*IF(C$55&gt;MAX(C$54,($D$96+$E$97*運營_產能與收入!$C$62/12)),$C$96*$E$96*(1+$F$96)^((MAX(C$54,($D$96+$E$97*運營_產能與收入!$C$62/12))+C$55)/2-($D$96+$E$97*運營_產能與收入!$C$62/12))*(C$55-MAX(C$54,($D$96+$E$97*運營_產能與收入!$C$62/12))),0)</f>
        <v>0</v>
      </c>
      <c r="D99" s="32" t="n">
        <f aca="false">CHOOSE(輸入與假設!$C$5,$C$98,$D$98,$E$98)*IF(D$55&gt;MAX(D$54,($D$96+$E$97*運營_產能與收入!$C$62/12)),$C$96*$E$96*(1+$F$96)^((MAX(D$54,($D$96+$E$97*運營_產能與收入!$C$62/12))+D$55)/2-($D$96+$E$97*運營_產能與收入!$C$62/12))*(D$55-MAX(D$54,($D$96+$E$97*運營_產能與收入!$C$62/12))),0)</f>
        <v>0</v>
      </c>
      <c r="E99" s="32" t="n">
        <f aca="false">CHOOSE(輸入與假設!$C$5,$C$98,$D$98,$E$98)*IF(E$55&gt;MAX(E$54,($D$96+$E$97*運營_產能與收入!$C$62/12)),$C$96*$E$96*(1+$F$96)^((MAX(E$54,($D$96+$E$97*運營_產能與收入!$C$62/12))+E$55)/2-($D$96+$E$97*運營_產能與收入!$C$62/12))*(E$55-MAX(E$54,($D$96+$E$97*運營_產能與收入!$C$62/12))),0)</f>
        <v>0</v>
      </c>
      <c r="F99" s="32" t="n">
        <f aca="false">CHOOSE(輸入與假設!$C$5,$C$98,$D$98,$E$98)*IF(F$55&gt;MAX(F$54,($D$96+$E$97*運營_產能與收入!$C$62/12)),$C$96*$E$96*(1+$F$96)^((MAX(F$54,($D$96+$E$97*運營_產能與收入!$C$62/12))+F$55)/2-($D$96+$E$97*運營_產能與收入!$C$62/12))*(F$55-MAX(F$54,($D$96+$E$97*運營_產能與收入!$C$62/12))),0)</f>
        <v>0</v>
      </c>
      <c r="G99" s="32" t="n">
        <f aca="false">CHOOSE(輸入與假設!$C$5,$C$98,$D$98,$E$98)*IF(G$55&gt;MAX(G$54,($D$96+$E$97*運營_產能與收入!$C$62/12)),$C$96*$E$96*(1+$F$96)^((MAX(G$54,($D$96+$E$97*運營_產能與收入!$C$62/12))+G$55)/2-($D$96+$E$97*運營_產能與收入!$C$62/12))*(G$55-MAX(G$54,($D$96+$E$97*運營_產能與收入!$C$62/12))),0)</f>
        <v>0</v>
      </c>
      <c r="I99" s="6" t="s">
        <v>238</v>
      </c>
    </row>
    <row r="100" customFormat="false" ht="15" hidden="true" customHeight="false" outlineLevel="2" collapsed="false">
      <c r="A100" s="3" t="s">
        <v>288</v>
      </c>
      <c r="B100" s="11" t="s">
        <v>59</v>
      </c>
      <c r="C100" s="32" t="n">
        <f aca="false">CHOOSE(輸入與假設!$C$5,$C$98,$D$98,$E$98)*IF($D$97&gt;$C$97,$G$96*MAX(0,MIN(C$55,$D$97)-MAX(C$54,$C$97))/($D$97-$C$97),IF(OR(AND($C$97&gt;=C$54,$C$97&lt;C$55),$C$97&lt;C$54),$G$96,0))</f>
        <v>0</v>
      </c>
      <c r="D100" s="32" t="n">
        <f aca="false">CHOOSE(輸入與假設!$C$5,$C$98,$D$98,$E$98)*IF($D$97&gt;$C$97,$G$96*MAX(0,MIN(D$55,$D$97)-MAX(D$54,$C$97))/($D$97-$C$97),IF(OR(AND($C$97&gt;=D$54,$C$97&lt;D$55)),$G$96,0))</f>
        <v>0</v>
      </c>
      <c r="E100" s="32" t="n">
        <f aca="false">CHOOSE(輸入與假設!$C$5,$C$98,$D$98,$E$98)*IF($D$97&gt;$C$97,$G$96*MAX(0,MIN(E$55,$D$97)-MAX(E$54,$C$97))/($D$97-$C$97),IF(OR(AND($C$97&gt;=E$54,$C$97&lt;E$55)),$G$96,0))</f>
        <v>0</v>
      </c>
      <c r="F100" s="32" t="n">
        <f aca="false">CHOOSE(輸入與假設!$C$5,$C$98,$D$98,$E$98)*IF($D$97&gt;$C$97,$G$96*MAX(0,MIN(F$55,$D$97)-MAX(F$54,$C$97))/($D$97-$C$97),IF(OR(AND($C$97&gt;=F$54,$C$97&lt;F$55)),$G$96,0))</f>
        <v>0</v>
      </c>
      <c r="G100" s="32" t="n">
        <f aca="false">CHOOSE(輸入與假設!$C$5,$C$98,$D$98,$E$98)*IF($D$97&gt;$C$97,$G$96*MAX(0,MIN(G$55,$D$97)-MAX(G$54,$C$97))/($D$97-$C$97),IF(OR(AND($C$97&gt;=G$54,$C$97&lt;G$55)),$G$96,0))</f>
        <v>0</v>
      </c>
      <c r="I100" s="6" t="s">
        <v>240</v>
      </c>
    </row>
    <row r="101" customFormat="false" ht="15" hidden="true" customHeight="false" outlineLevel="2" collapsed="false">
      <c r="A101" s="3" t="s">
        <v>289</v>
      </c>
      <c r="B101" s="6"/>
      <c r="C101" s="23" t="n">
        <v>74.07</v>
      </c>
      <c r="D101" s="23" t="n">
        <v>1.5</v>
      </c>
      <c r="E101" s="23" t="n">
        <v>1.85</v>
      </c>
      <c r="F101" s="23" t="n">
        <v>0.03</v>
      </c>
      <c r="G101" s="23" t="n">
        <v>851.805</v>
      </c>
      <c r="I101" s="6" t="s">
        <v>290</v>
      </c>
    </row>
    <row r="102" customFormat="false" ht="15" hidden="true" customHeight="false" outlineLevel="2" collapsed="false">
      <c r="A102" s="3" t="s">
        <v>291</v>
      </c>
      <c r="B102" s="6"/>
      <c r="C102" s="23" t="n">
        <v>0.5</v>
      </c>
      <c r="D102" s="23" t="n">
        <v>1.5</v>
      </c>
      <c r="E102" s="23" t="n">
        <v>1</v>
      </c>
      <c r="F102" s="23" t="n">
        <v>0</v>
      </c>
      <c r="G102" s="23"/>
      <c r="I102" s="6" t="s">
        <v>234</v>
      </c>
    </row>
    <row r="103" customFormat="false" ht="15" hidden="true" customHeight="false" outlineLevel="2" collapsed="false">
      <c r="A103" s="3" t="s">
        <v>292</v>
      </c>
      <c r="B103" s="6"/>
      <c r="C103" s="21" t="n">
        <v>0</v>
      </c>
      <c r="D103" s="21" t="n">
        <v>0</v>
      </c>
      <c r="E103" s="21" t="n">
        <v>1</v>
      </c>
      <c r="F103" s="21"/>
      <c r="G103" s="21"/>
      <c r="I103" s="6" t="s">
        <v>236</v>
      </c>
    </row>
    <row r="104" customFormat="false" ht="15" hidden="true" customHeight="false" outlineLevel="2" collapsed="false">
      <c r="A104" s="3" t="s">
        <v>293</v>
      </c>
      <c r="B104" s="11" t="s">
        <v>59</v>
      </c>
      <c r="C104" s="32" t="n">
        <f aca="false">CHOOSE(輸入與假設!$C$5,$C$103,$D$103,$E$103)*IF(C$55&gt;MAX(C$54,($D$101+$E$102*運營_產能與收入!$C$62/12)),$C$101*$E$101*(1+$F$101)^((MAX(C$54,($D$101+$E$102*運營_產能與收入!$C$62/12))+C$55)/2-($D$101+$E$102*運營_產能與收入!$C$62/12))*(C$55-MAX(C$54,($D$101+$E$102*運營_產能與收入!$C$62/12))),0)</f>
        <v>0</v>
      </c>
      <c r="D104" s="32" t="n">
        <f aca="false">CHOOSE(輸入與假設!$C$5,$C$103,$D$103,$E$103)*IF(D$55&gt;MAX(D$54,($D$101+$E$102*運營_產能與收入!$C$62/12)),$C$101*$E$101*(1+$F$101)^((MAX(D$54,($D$101+$E$102*運營_產能與收入!$C$62/12))+D$55)/2-($D$101+$E$102*運營_產能與收入!$C$62/12))*(D$55-MAX(D$54,($D$101+$E$102*運營_產能與收入!$C$62/12))),0)</f>
        <v>0</v>
      </c>
      <c r="E104" s="32" t="n">
        <f aca="false">CHOOSE(輸入與假設!$C$5,$C$103,$D$103,$E$103)*IF(E$55&gt;MAX(E$54,($D$101+$E$102*運營_產能與收入!$C$62/12)),$C$101*$E$101*(1+$F$101)^((MAX(E$54,($D$101+$E$102*運營_產能與收入!$C$62/12))+E$55)/2-($D$101+$E$102*運營_產能與收入!$C$62/12))*(E$55-MAX(E$54,($D$101+$E$102*運營_產能與收入!$C$62/12))),0)</f>
        <v>0</v>
      </c>
      <c r="F104" s="32" t="n">
        <f aca="false">CHOOSE(輸入與假設!$C$5,$C$103,$D$103,$E$103)*IF(F$55&gt;MAX(F$54,($D$101+$E$102*運營_產能與收入!$C$62/12)),$C$101*$E$101*(1+$F$101)^((MAX(F$54,($D$101+$E$102*運營_產能與收入!$C$62/12))+F$55)/2-($D$101+$E$102*運營_產能與收入!$C$62/12))*(F$55-MAX(F$54,($D$101+$E$102*運營_產能與收入!$C$62/12))),0)</f>
        <v>0</v>
      </c>
      <c r="G104" s="32" t="n">
        <f aca="false">CHOOSE(輸入與假設!$C$5,$C$103,$D$103,$E$103)*IF(G$55&gt;MAX(G$54,($D$101+$E$102*運營_產能與收入!$C$62/12)),$C$101*$E$101*(1+$F$101)^((MAX(G$54,($D$101+$E$102*運營_產能與收入!$C$62/12))+G$55)/2-($D$101+$E$102*運營_產能與收入!$C$62/12))*(G$55-MAX(G$54,($D$101+$E$102*運營_產能與收入!$C$62/12))),0)</f>
        <v>0</v>
      </c>
      <c r="I104" s="6" t="s">
        <v>238</v>
      </c>
    </row>
    <row r="105" customFormat="false" ht="15" hidden="true" customHeight="false" outlineLevel="2" collapsed="false">
      <c r="A105" s="3" t="s">
        <v>294</v>
      </c>
      <c r="B105" s="11" t="s">
        <v>59</v>
      </c>
      <c r="C105" s="32" t="n">
        <f aca="false">CHOOSE(輸入與假設!$C$5,$C$103,$D$103,$E$103)*IF($D$102&gt;$C$102,$G$101*MAX(0,MIN(C$55,$D$102)-MAX(C$54,$C$102))/($D$102-$C$102),IF(OR(AND($C$102&gt;=C$54,$C$102&lt;C$55),$C$102&lt;C$54),$G$101,0))</f>
        <v>0</v>
      </c>
      <c r="D105" s="32" t="n">
        <f aca="false">CHOOSE(輸入與假設!$C$5,$C$103,$D$103,$E$103)*IF($D$102&gt;$C$102,$G$101*MAX(0,MIN(D$55,$D$102)-MAX(D$54,$C$102))/($D$102-$C$102),IF(OR(AND($C$102&gt;=D$54,$C$102&lt;D$55)),$G$101,0))</f>
        <v>0</v>
      </c>
      <c r="E105" s="32" t="n">
        <f aca="false">CHOOSE(輸入與假設!$C$5,$C$103,$D$103,$E$103)*IF($D$102&gt;$C$102,$G$101*MAX(0,MIN(E$55,$D$102)-MAX(E$54,$C$102))/($D$102-$C$102),IF(OR(AND($C$102&gt;=E$54,$C$102&lt;E$55)),$G$101,0))</f>
        <v>0</v>
      </c>
      <c r="F105" s="32" t="n">
        <f aca="false">CHOOSE(輸入與假設!$C$5,$C$103,$D$103,$E$103)*IF($D$102&gt;$C$102,$G$101*MAX(0,MIN(F$55,$D$102)-MAX(F$54,$C$102))/($D$102-$C$102),IF(OR(AND($C$102&gt;=F$54,$C$102&lt;F$55)),$G$101,0))</f>
        <v>0</v>
      </c>
      <c r="G105" s="32" t="n">
        <f aca="false">CHOOSE(輸入與假設!$C$5,$C$103,$D$103,$E$103)*IF($D$102&gt;$C$102,$G$101*MAX(0,MIN(G$55,$D$102)-MAX(G$54,$C$102))/($D$102-$C$102),IF(OR(AND($C$102&gt;=G$54,$C$102&lt;G$55)),$G$101,0))</f>
        <v>0</v>
      </c>
      <c r="I105" s="6" t="s">
        <v>240</v>
      </c>
    </row>
    <row r="106" customFormat="false" ht="15" hidden="true" customHeight="false" outlineLevel="2" collapsed="false">
      <c r="A106" s="3" t="s">
        <v>295</v>
      </c>
      <c r="B106" s="11" t="s">
        <v>59</v>
      </c>
      <c r="C106" s="32" t="n">
        <f aca="false">C59+C64+C69+C74+C79+C84+C89+C94+C99+C104</f>
        <v>37.8941812319381</v>
      </c>
      <c r="D106" s="32" t="n">
        <f aca="false">D59+D64+D69+D74+D79+D84+D89+D94+D99+D104</f>
        <v>100.515582973631</v>
      </c>
      <c r="E106" s="32" t="n">
        <f aca="false">E59+E64+E69+E74+E79+E84+E89+E94+E99+E104</f>
        <v>151.148922920645</v>
      </c>
      <c r="F106" s="32" t="n">
        <f aca="false">F59+F64+F69+F74+F79+F84+F89+F94+F99+F104</f>
        <v>170.934405342445</v>
      </c>
      <c r="G106" s="32" t="n">
        <f aca="false">G59+G64+G69+G74+G79+G84+G89+G94+G99+G104</f>
        <v>175.495737502719</v>
      </c>
      <c r="I106" s="6" t="s">
        <v>296</v>
      </c>
    </row>
    <row r="107" customFormat="false" ht="15" hidden="true" customHeight="false" outlineLevel="2" collapsed="false">
      <c r="A107" s="3" t="s">
        <v>297</v>
      </c>
      <c r="B107" s="11" t="s">
        <v>59</v>
      </c>
      <c r="C107" s="32" t="n">
        <f aca="false">C60+C65+C70+C75+C80+C85+C90+C95+C100+C105</f>
        <v>23.6</v>
      </c>
      <c r="D107" s="32" t="n">
        <f aca="false">D60+D65+D70+D75+D80+D85+D90+D95+D100+D105</f>
        <v>383.295</v>
      </c>
      <c r="E107" s="32" t="n">
        <f aca="false">E60+E65+E70+E75+E80+E85+E90+E95+E100+E105</f>
        <v>0</v>
      </c>
      <c r="F107" s="32" t="n">
        <f aca="false">F60+F65+F70+F75+F80+F85+F90+F95+F100+F105</f>
        <v>0</v>
      </c>
      <c r="G107" s="32" t="n">
        <f aca="false">G60+G65+G70+G75+G80+G85+G90+G95+G100+G105</f>
        <v>0</v>
      </c>
      <c r="I107" s="6" t="s">
        <v>298</v>
      </c>
    </row>
    <row r="108" customFormat="false" ht="15" hidden="true" customHeight="false" outlineLevel="2" collapsed="false">
      <c r="A108" s="3" t="s">
        <v>299</v>
      </c>
      <c r="B108" s="11" t="s">
        <v>59</v>
      </c>
      <c r="C108" s="25" t="n">
        <v>556.3</v>
      </c>
      <c r="I108" s="11" t="s">
        <v>300</v>
      </c>
    </row>
    <row r="109" customFormat="false" ht="15" hidden="true" customHeight="false" outlineLevel="2" collapsed="false">
      <c r="A109" s="3" t="s">
        <v>301</v>
      </c>
      <c r="B109" s="6" t="s">
        <v>180</v>
      </c>
      <c r="C109" s="21" t="n">
        <v>20</v>
      </c>
      <c r="I109" s="6" t="s">
        <v>302</v>
      </c>
    </row>
    <row r="110" customFormat="false" ht="15" hidden="true" customHeight="false" outlineLevel="2" collapsed="false">
      <c r="A110" s="3" t="s">
        <v>303</v>
      </c>
      <c r="B110" s="11" t="s">
        <v>59</v>
      </c>
      <c r="C110" s="32" t="n">
        <f aca="false">輸入與假設!$C$108</f>
        <v>556.3</v>
      </c>
      <c r="D110" s="32" t="n">
        <f aca="false">C110+C107</f>
        <v>579.9</v>
      </c>
      <c r="E110" s="32" t="n">
        <f aca="false">D110+D107</f>
        <v>963.195</v>
      </c>
      <c r="F110" s="32" t="n">
        <f aca="false">E110+E107</f>
        <v>963.195</v>
      </c>
      <c r="G110" s="32" t="n">
        <f aca="false">F110+F107</f>
        <v>963.195</v>
      </c>
      <c r="I110" s="6" t="s">
        <v>304</v>
      </c>
    </row>
    <row r="111" customFormat="false" ht="15" hidden="true" customHeight="false" outlineLevel="2" collapsed="false">
      <c r="A111" s="3" t="s">
        <v>305</v>
      </c>
      <c r="B111" s="11" t="s">
        <v>59</v>
      </c>
      <c r="C111" s="32" t="n">
        <f aca="false">(C110+0.5*C107)/輸入與假設!$C$109*C$41</f>
        <v>14.2025</v>
      </c>
      <c r="D111" s="32" t="n">
        <f aca="false">(D110+0.5*D107)/輸入與假設!$C$109*D$41</f>
        <v>38.577375</v>
      </c>
      <c r="E111" s="32" t="n">
        <f aca="false">(E110+0.5*E107)/輸入與假設!$C$109*E$41</f>
        <v>48.15975</v>
      </c>
      <c r="F111" s="32" t="n">
        <f aca="false">(F110+0.5*F107)/輸入與假設!$C$109*F$41</f>
        <v>48.15975</v>
      </c>
      <c r="G111" s="32" t="n">
        <f aca="false">(G110+0.5*G107)/輸入與假設!$C$109*G$41</f>
        <v>48.15975</v>
      </c>
      <c r="I111" s="6" t="s">
        <v>306</v>
      </c>
    </row>
    <row r="112" customFormat="false" ht="15" hidden="true" customHeight="false" outlineLevel="2" collapsed="false">
      <c r="A112" s="3" t="s">
        <v>307</v>
      </c>
      <c r="B112" s="11" t="s">
        <v>59</v>
      </c>
      <c r="C112" s="32" t="n">
        <f aca="false">C59+C64+C69+C74</f>
        <v>37.8941812319381</v>
      </c>
      <c r="D112" s="32" t="n">
        <f aca="false">D59+D64+D69+D74</f>
        <v>96.3066868657951</v>
      </c>
      <c r="E112" s="32" t="n">
        <f aca="false">E59+E64+E69+E74</f>
        <v>98.6291874717689</v>
      </c>
      <c r="F112" s="32" t="n">
        <f aca="false">F59+F64+F69+F74</f>
        <v>101.021363095922</v>
      </c>
      <c r="G112" s="32" t="n">
        <f aca="false">G59+G64+G69+G74</f>
        <v>103.4853039888</v>
      </c>
      <c r="I112" s="6" t="s">
        <v>308</v>
      </c>
    </row>
    <row r="113" customFormat="false" ht="15" hidden="true" customHeight="false" outlineLevel="2" collapsed="false">
      <c r="A113" s="3" t="s">
        <v>309</v>
      </c>
      <c r="B113" s="11" t="s">
        <v>59</v>
      </c>
      <c r="C113" s="25" t="n">
        <v>36.053</v>
      </c>
      <c r="D113" s="25" t="n">
        <v>93.465</v>
      </c>
      <c r="E113" s="25" t="n">
        <v>94.835</v>
      </c>
      <c r="F113" s="25" t="n">
        <v>95.285</v>
      </c>
      <c r="G113" s="25" t="n">
        <v>94.021</v>
      </c>
      <c r="I113" s="11" t="s">
        <v>310</v>
      </c>
    </row>
    <row r="114" customFormat="false" ht="15" hidden="true" customHeight="false" outlineLevel="2" collapsed="false">
      <c r="A114" s="3" t="s">
        <v>311</v>
      </c>
      <c r="B114" s="11" t="s">
        <v>59</v>
      </c>
      <c r="C114" s="32" t="n">
        <f aca="false">C112-C113</f>
        <v>1.84118123193812</v>
      </c>
      <c r="D114" s="32" t="n">
        <f aca="false">D112-D113</f>
        <v>2.84168686579505</v>
      </c>
      <c r="E114" s="32" t="n">
        <f aca="false">E112-E113</f>
        <v>3.79418747176894</v>
      </c>
      <c r="F114" s="32" t="n">
        <f aca="false">F112-F113</f>
        <v>5.73636309592199</v>
      </c>
      <c r="G114" s="32" t="n">
        <f aca="false">G112-G113</f>
        <v>9.46430398879966</v>
      </c>
      <c r="I114" s="6" t="s">
        <v>312</v>
      </c>
    </row>
    <row r="115" customFormat="false" ht="15" hidden="true" customHeight="false" outlineLevel="2" collapsed="false">
      <c r="A115" s="3" t="s">
        <v>313</v>
      </c>
      <c r="B115" s="11" t="s">
        <v>59</v>
      </c>
      <c r="C115" s="32" t="n">
        <f aca="false">C106</f>
        <v>37.8941812319381</v>
      </c>
      <c r="D115" s="32" t="n">
        <f aca="false">D106</f>
        <v>100.515582973631</v>
      </c>
      <c r="E115" s="32" t="n">
        <f aca="false">E106</f>
        <v>151.148922920645</v>
      </c>
      <c r="F115" s="32" t="n">
        <f aca="false">F106</f>
        <v>170.934405342445</v>
      </c>
      <c r="G115" s="32" t="n">
        <f aca="false">G106</f>
        <v>175.495737502719</v>
      </c>
      <c r="I115" s="6" t="s">
        <v>314</v>
      </c>
    </row>
    <row r="116" customFormat="false" ht="15" hidden="true" customHeight="false" outlineLevel="2" collapsed="false">
      <c r="A116" s="3" t="s">
        <v>315</v>
      </c>
      <c r="B116" s="11" t="s">
        <v>42</v>
      </c>
      <c r="C116" s="24" t="n">
        <v>0.522</v>
      </c>
      <c r="D116" s="24" t="n">
        <v>0.554</v>
      </c>
      <c r="E116" s="24" t="n">
        <v>0.586</v>
      </c>
      <c r="F116" s="24" t="n">
        <v>0.618</v>
      </c>
      <c r="G116" s="24" t="n">
        <v>0.65</v>
      </c>
      <c r="I116" s="6" t="s">
        <v>316</v>
      </c>
    </row>
    <row r="117" customFormat="false" ht="15" hidden="true" customHeight="false" outlineLevel="2" collapsed="false">
      <c r="A117" s="3" t="s">
        <v>317</v>
      </c>
      <c r="B117" s="11" t="s">
        <v>59</v>
      </c>
      <c r="C117" s="32" t="n">
        <f aca="false">C115*C116</f>
        <v>19.7807626030717</v>
      </c>
      <c r="D117" s="32" t="n">
        <f aca="false">D115*D116</f>
        <v>55.6856329673916</v>
      </c>
      <c r="E117" s="32" t="n">
        <f aca="false">E115*E116</f>
        <v>88.5732688314977</v>
      </c>
      <c r="F117" s="32" t="n">
        <f aca="false">F115*F116</f>
        <v>105.637462501631</v>
      </c>
      <c r="G117" s="32" t="n">
        <f aca="false">G115*G116</f>
        <v>114.072229376767</v>
      </c>
      <c r="I117" s="6" t="s">
        <v>318</v>
      </c>
    </row>
    <row r="118" customFormat="false" ht="15" hidden="true" customHeight="false" outlineLevel="2" collapsed="false">
      <c r="A118" s="3" t="s">
        <v>319</v>
      </c>
      <c r="B118" s="11" t="s">
        <v>59</v>
      </c>
      <c r="C118" s="32" t="n">
        <f aca="false">0</f>
        <v>0</v>
      </c>
      <c r="I118" s="6" t="s">
        <v>320</v>
      </c>
    </row>
    <row r="120" customFormat="false" ht="15" hidden="false" customHeight="false" outlineLevel="0" collapsed="false">
      <c r="A120" s="7" t="s">
        <v>321</v>
      </c>
      <c r="B120" s="8"/>
      <c r="C120" s="8"/>
      <c r="D120" s="8"/>
      <c r="E120" s="8"/>
      <c r="F120" s="8"/>
      <c r="G120" s="8"/>
      <c r="H120" s="8"/>
    </row>
    <row r="121" customFormat="false" ht="15" hidden="false" customHeight="false" outlineLevel="1" collapsed="false">
      <c r="A121" s="3" t="s">
        <v>322</v>
      </c>
      <c r="B121" s="11" t="s">
        <v>42</v>
      </c>
      <c r="C121" s="33" t="n">
        <v>-0.1149</v>
      </c>
      <c r="I121" s="11" t="s">
        <v>323</v>
      </c>
    </row>
    <row r="122" customFormat="false" ht="15" hidden="false" customHeight="false" outlineLevel="1" collapsed="false">
      <c r="A122" s="3" t="s">
        <v>324</v>
      </c>
      <c r="B122" s="11" t="s">
        <v>42</v>
      </c>
      <c r="C122" s="33" t="n">
        <v>0.47</v>
      </c>
      <c r="I122" s="6" t="s">
        <v>325</v>
      </c>
    </row>
    <row r="123" customFormat="false" ht="15" hidden="false" customHeight="false" outlineLevel="1" collapsed="false">
      <c r="A123" s="3" t="s">
        <v>326</v>
      </c>
      <c r="B123" s="11" t="s">
        <v>42</v>
      </c>
      <c r="C123" s="24" t="n">
        <v>0.072418</v>
      </c>
      <c r="I123" s="11" t="s">
        <v>327</v>
      </c>
    </row>
    <row r="124" customFormat="false" ht="15" hidden="false" customHeight="false" outlineLevel="1" collapsed="false">
      <c r="A124" s="3" t="s">
        <v>328</v>
      </c>
      <c r="B124" s="11" t="s">
        <v>42</v>
      </c>
      <c r="C124" s="24" t="n">
        <v>0.017013</v>
      </c>
      <c r="I124" s="6" t="s">
        <v>329</v>
      </c>
    </row>
    <row r="125" customFormat="false" ht="15" hidden="false" customHeight="false" outlineLevel="1" collapsed="false">
      <c r="A125" s="14" t="s">
        <v>53</v>
      </c>
      <c r="B125" s="14" t="s">
        <v>54</v>
      </c>
      <c r="C125" s="28" t="s">
        <v>55</v>
      </c>
      <c r="D125" s="28" t="s">
        <v>56</v>
      </c>
      <c r="E125" s="28" t="s">
        <v>57</v>
      </c>
      <c r="F125" s="28" t="s">
        <v>138</v>
      </c>
      <c r="G125" s="28" t="s">
        <v>139</v>
      </c>
      <c r="I125" s="14" t="s">
        <v>202</v>
      </c>
    </row>
    <row r="126" customFormat="false" ht="15" hidden="false" customHeight="false" outlineLevel="1" collapsed="false">
      <c r="A126" s="4" t="s">
        <v>330</v>
      </c>
      <c r="B126" s="11" t="s">
        <v>42</v>
      </c>
      <c r="C126" s="34" t="n">
        <f aca="false">輸入與假設!$C$121+輸入與假設!$C$123+(輸入與假設!$C$122+輸入與假設!$C$124-輸入與假設!$C$121-輸入與假設!$C$123)*0/4</f>
        <v>-0.042482</v>
      </c>
      <c r="D126" s="34" t="n">
        <f aca="false">輸入與假設!$C$121+輸入與假設!$C$123+(輸入與假設!$C$122+輸入與假設!$C$124-輸入與假設!$C$121-輸入與假設!$C$123)*1/4</f>
        <v>0.08989175</v>
      </c>
      <c r="E126" s="34" t="n">
        <f aca="false">輸入與假設!$C$121+輸入與假設!$C$123+(輸入與假設!$C$122+輸入與假設!$C$124-輸入與假設!$C$121-輸入與假設!$C$123)*2/4</f>
        <v>0.2222655</v>
      </c>
      <c r="F126" s="34" t="n">
        <f aca="false">輸入與假設!$C$121+輸入與假設!$C$123+(輸入與假設!$C$122+輸入與假設!$C$124-輸入與假設!$C$121-輸入與假設!$C$123)*3/4</f>
        <v>0.35463925</v>
      </c>
      <c r="G126" s="34" t="n">
        <f aca="false">輸入與假設!$C$121+輸入與假設!$C$123+(輸入與假設!$C$122+輸入與假設!$C$124-輸入與假設!$C$121-輸入與假設!$C$123)*4/4</f>
        <v>0.487013</v>
      </c>
      <c r="I126" s="6" t="s">
        <v>331</v>
      </c>
    </row>
    <row r="127" customFormat="false" ht="15" hidden="false" customHeight="false" outlineLevel="1" collapsed="false">
      <c r="A127" s="4" t="s">
        <v>332</v>
      </c>
      <c r="B127" s="11" t="s">
        <v>42</v>
      </c>
      <c r="C127" s="34" t="n">
        <f aca="false">C126-各期收支!C17/MAX(10,運營_產能與收入!C50)</f>
        <v>-0.32919136593557</v>
      </c>
      <c r="D127" s="34" t="n">
        <f aca="false">D126-各期收支!D17/MAX(10,運營_產能與收入!D50)</f>
        <v>-0.170448455084021</v>
      </c>
      <c r="E127" s="34" t="n">
        <f aca="false">E126-各期收支!E17/MAX(10,運營_產能與收入!E50)</f>
        <v>0.00635922654172419</v>
      </c>
      <c r="F127" s="34" t="n">
        <f aca="false">F126-各期收支!F17/MAX(10,運營_產能與收入!F50)</f>
        <v>0.130294475677847</v>
      </c>
      <c r="G127" s="34" t="n">
        <f aca="false">G126-各期收支!G17/MAX(10,運營_產能與收入!G50)</f>
        <v>0.259183462212792</v>
      </c>
      <c r="I127" s="6" t="s">
        <v>333</v>
      </c>
    </row>
    <row r="128" customFormat="false" ht="15" hidden="false" customHeight="false" outlineLevel="1" collapsed="false">
      <c r="A128" s="3" t="s">
        <v>334</v>
      </c>
      <c r="B128" s="11" t="s">
        <v>59</v>
      </c>
      <c r="C128" s="32" t="n">
        <f aca="false">輸入與假設!C$50*運營_產能與收入!C51</f>
        <v>-0</v>
      </c>
      <c r="D128" s="32" t="n">
        <f aca="false">輸入與假設!D$50*運營_產能與收入!D51</f>
        <v>0</v>
      </c>
      <c r="E128" s="32" t="n">
        <f aca="false">輸入與假設!E$50*運營_產能與收入!E51</f>
        <v>0</v>
      </c>
      <c r="F128" s="32" t="n">
        <f aca="false">輸入與假設!F$50*運營_產能與收入!F51</f>
        <v>0</v>
      </c>
      <c r="G128" s="32" t="n">
        <f aca="false">輸入與假設!G$50*運營_產能與收入!G51</f>
        <v>0</v>
      </c>
      <c r="I128" s="6" t="s">
        <v>335</v>
      </c>
    </row>
    <row r="129" customFormat="false" ht="15" hidden="false" customHeight="false" outlineLevel="1" collapsed="true">
      <c r="A129" s="19" t="s">
        <v>336</v>
      </c>
      <c r="B129" s="20"/>
      <c r="C129" s="20"/>
      <c r="D129" s="20"/>
      <c r="E129" s="20"/>
      <c r="F129" s="20"/>
      <c r="G129" s="20"/>
      <c r="H129" s="20"/>
    </row>
    <row r="130" customFormat="false" ht="15" hidden="true" customHeight="false" outlineLevel="2" collapsed="false">
      <c r="A130" s="3" t="s">
        <v>337</v>
      </c>
      <c r="B130" s="6"/>
      <c r="C130" s="21" t="n">
        <v>0</v>
      </c>
      <c r="I130" s="11" t="s">
        <v>338</v>
      </c>
    </row>
    <row r="131" customFormat="false" ht="15" hidden="true" customHeight="false" outlineLevel="2" collapsed="false">
      <c r="A131" s="3" t="s">
        <v>339</v>
      </c>
      <c r="B131" s="11" t="s">
        <v>340</v>
      </c>
      <c r="C131" s="21" t="n">
        <v>60</v>
      </c>
      <c r="D131" s="21" t="n">
        <v>62</v>
      </c>
      <c r="E131" s="21" t="n">
        <v>64</v>
      </c>
      <c r="F131" s="21" t="n">
        <v>66</v>
      </c>
      <c r="G131" s="21" t="n">
        <v>68</v>
      </c>
      <c r="I131" s="11" t="s">
        <v>341</v>
      </c>
    </row>
    <row r="132" customFormat="false" ht="15" hidden="true" customHeight="false" outlineLevel="2" collapsed="false">
      <c r="A132" s="4" t="s">
        <v>342</v>
      </c>
      <c r="B132" s="6"/>
      <c r="C132" s="35" t="n">
        <v>1.3</v>
      </c>
      <c r="D132" s="35" t="n">
        <v>1.3</v>
      </c>
      <c r="E132" s="35" t="n">
        <v>1.3</v>
      </c>
      <c r="F132" s="35" t="n">
        <v>1.3</v>
      </c>
      <c r="G132" s="35" t="n">
        <v>1.3</v>
      </c>
      <c r="I132" s="11" t="s">
        <v>341</v>
      </c>
    </row>
    <row r="133" customFormat="false" ht="15" hidden="true" customHeight="false" outlineLevel="2" collapsed="false">
      <c r="A133" s="3" t="s">
        <v>343</v>
      </c>
      <c r="B133" s="11" t="s">
        <v>160</v>
      </c>
      <c r="C133" s="35" t="n">
        <v>0.15</v>
      </c>
      <c r="D133" s="35" t="n">
        <v>0.15</v>
      </c>
      <c r="E133" s="35" t="n">
        <v>0.16</v>
      </c>
      <c r="F133" s="35" t="n">
        <v>0.16</v>
      </c>
      <c r="G133" s="35" t="n">
        <v>0.17</v>
      </c>
      <c r="I133" s="11" t="s">
        <v>341</v>
      </c>
    </row>
    <row r="135" customFormat="false" ht="15" hidden="false" customHeight="false" outlineLevel="0" collapsed="false">
      <c r="A135" s="7" t="s">
        <v>344</v>
      </c>
      <c r="B135" s="8"/>
      <c r="C135" s="8"/>
      <c r="D135" s="8"/>
      <c r="E135" s="8"/>
      <c r="F135" s="8"/>
      <c r="G135" s="8"/>
      <c r="H135" s="8"/>
    </row>
    <row r="136" customFormat="false" ht="15" hidden="false" customHeight="false" outlineLevel="1" collapsed="false">
      <c r="A136" s="3" t="s">
        <v>345</v>
      </c>
      <c r="B136" s="11" t="s">
        <v>42</v>
      </c>
      <c r="C136" s="24" t="n">
        <v>0.35</v>
      </c>
      <c r="I136" s="6" t="s">
        <v>346</v>
      </c>
    </row>
    <row r="137" customFormat="false" ht="15" hidden="false" customHeight="false" outlineLevel="1" collapsed="false">
      <c r="A137" s="4" t="s">
        <v>347</v>
      </c>
      <c r="B137" s="11" t="s">
        <v>142</v>
      </c>
      <c r="C137" s="22" t="n">
        <f aca="false">CHOOSE(輸入與假設!$C$5,I11,I14,I17)</f>
        <v>0</v>
      </c>
      <c r="I137" s="6" t="s">
        <v>348</v>
      </c>
    </row>
    <row r="138" customFormat="false" ht="15" hidden="false" customHeight="false" outlineLevel="1" collapsed="false">
      <c r="A138" s="4" t="s">
        <v>349</v>
      </c>
      <c r="B138" s="11" t="s">
        <v>59</v>
      </c>
      <c r="C138" s="25" t="n">
        <v>0</v>
      </c>
      <c r="I138" s="6" t="s">
        <v>350</v>
      </c>
    </row>
    <row r="139" customFormat="false" ht="15" hidden="false" customHeight="false" outlineLevel="1" collapsed="false">
      <c r="A139" s="4" t="s">
        <v>351</v>
      </c>
      <c r="B139" s="6" t="s">
        <v>180</v>
      </c>
      <c r="C139" s="21" t="n">
        <v>5</v>
      </c>
      <c r="I139" s="6" t="s">
        <v>352</v>
      </c>
    </row>
    <row r="140" customFormat="false" ht="15" hidden="false" customHeight="false" outlineLevel="1" collapsed="false">
      <c r="A140" s="4" t="s">
        <v>353</v>
      </c>
      <c r="B140" s="11" t="s">
        <v>59</v>
      </c>
      <c r="C140" s="25" t="n">
        <v>111.6</v>
      </c>
      <c r="I140" s="6" t="s">
        <v>354</v>
      </c>
    </row>
    <row r="141" customFormat="false" ht="15" hidden="false" customHeight="false" outlineLevel="1" collapsed="false">
      <c r="A141" s="3" t="s">
        <v>355</v>
      </c>
      <c r="B141" s="11" t="s">
        <v>42</v>
      </c>
      <c r="C141" s="24" t="n">
        <v>1</v>
      </c>
      <c r="I141" s="6" t="s">
        <v>356</v>
      </c>
    </row>
    <row r="142" customFormat="false" ht="15" hidden="false" customHeight="false" outlineLevel="1" collapsed="false">
      <c r="A142" s="4" t="s">
        <v>357</v>
      </c>
      <c r="B142" s="11" t="s">
        <v>42</v>
      </c>
      <c r="C142" s="24" t="n">
        <v>0.5</v>
      </c>
      <c r="I142" s="6" t="s">
        <v>358</v>
      </c>
    </row>
    <row r="143" customFormat="false" ht="15" hidden="false" customHeight="false" outlineLevel="1" collapsed="false">
      <c r="A143" s="4" t="s">
        <v>359</v>
      </c>
      <c r="B143" s="11" t="s">
        <v>42</v>
      </c>
      <c r="C143" s="24" t="n">
        <v>0.260436</v>
      </c>
      <c r="I143" s="6" t="s">
        <v>360</v>
      </c>
    </row>
    <row r="144" customFormat="false" ht="15" hidden="false" customHeight="false" outlineLevel="1" collapsed="false">
      <c r="A144" s="14" t="s">
        <v>53</v>
      </c>
      <c r="B144" s="14" t="s">
        <v>54</v>
      </c>
      <c r="C144" s="28" t="s">
        <v>55</v>
      </c>
      <c r="D144" s="28" t="s">
        <v>56</v>
      </c>
      <c r="E144" s="28" t="s">
        <v>57</v>
      </c>
      <c r="F144" s="28" t="s">
        <v>138</v>
      </c>
      <c r="G144" s="28" t="s">
        <v>139</v>
      </c>
      <c r="I144" s="14" t="s">
        <v>202</v>
      </c>
    </row>
    <row r="145" customFormat="false" ht="15" hidden="false" customHeight="false" outlineLevel="1" collapsed="false">
      <c r="A145" s="3" t="s">
        <v>361</v>
      </c>
      <c r="B145" s="11" t="s">
        <v>160</v>
      </c>
      <c r="C145" s="26" t="n">
        <v>37.45</v>
      </c>
      <c r="D145" s="26" t="n">
        <v>37.59</v>
      </c>
      <c r="E145" s="26" t="n">
        <v>37.59</v>
      </c>
      <c r="F145" s="26" t="n">
        <v>37.59</v>
      </c>
      <c r="G145" s="26" t="n">
        <v>37.59</v>
      </c>
      <c r="I145" s="11" t="s">
        <v>362</v>
      </c>
    </row>
    <row r="146" customFormat="false" ht="15" hidden="false" customHeight="false" outlineLevel="1" collapsed="false">
      <c r="A146" s="3" t="s">
        <v>363</v>
      </c>
      <c r="B146" s="11" t="s">
        <v>42</v>
      </c>
      <c r="C146" s="24" t="n">
        <v>1</v>
      </c>
      <c r="I146" s="6" t="s">
        <v>364</v>
      </c>
    </row>
    <row r="147" customFormat="false" ht="15" hidden="false" customHeight="false" outlineLevel="1" collapsed="false">
      <c r="A147" s="3" t="s">
        <v>365</v>
      </c>
      <c r="B147" s="11" t="s">
        <v>42</v>
      </c>
      <c r="C147" s="24" t="n">
        <v>0.21</v>
      </c>
      <c r="I147" s="11" t="s">
        <v>366</v>
      </c>
    </row>
    <row r="148" customFormat="false" ht="15" hidden="false" customHeight="false" outlineLevel="1" collapsed="false">
      <c r="A148" s="3" t="s">
        <v>367</v>
      </c>
      <c r="B148" s="6" t="s">
        <v>180</v>
      </c>
      <c r="C148" s="26" t="n">
        <v>8</v>
      </c>
      <c r="I148" s="6" t="s">
        <v>368</v>
      </c>
    </row>
    <row r="149" customFormat="false" ht="15" hidden="false" customHeight="false" outlineLevel="1" collapsed="false">
      <c r="A149" s="4" t="s">
        <v>369</v>
      </c>
      <c r="B149" s="11" t="s">
        <v>59</v>
      </c>
      <c r="C149" s="25" t="n">
        <v>143.11</v>
      </c>
      <c r="I149" s="6" t="s">
        <v>370</v>
      </c>
    </row>
    <row r="150" customFormat="false" ht="15" hidden="false" customHeight="false" outlineLevel="1" collapsed="false">
      <c r="A150" s="3" t="s">
        <v>371</v>
      </c>
      <c r="B150" s="11" t="s">
        <v>42</v>
      </c>
      <c r="C150" s="24" t="n">
        <v>0</v>
      </c>
      <c r="I150" s="6" t="s">
        <v>372</v>
      </c>
    </row>
    <row r="151" customFormat="false" ht="15" hidden="false" customHeight="false" outlineLevel="1" collapsed="false">
      <c r="A151" s="14" t="s">
        <v>53</v>
      </c>
      <c r="B151" s="14" t="s">
        <v>54</v>
      </c>
      <c r="C151" s="28" t="s">
        <v>55</v>
      </c>
      <c r="D151" s="28" t="s">
        <v>56</v>
      </c>
      <c r="E151" s="28" t="s">
        <v>57</v>
      </c>
      <c r="F151" s="28" t="s">
        <v>138</v>
      </c>
      <c r="G151" s="28" t="s">
        <v>139</v>
      </c>
      <c r="I151" s="14" t="s">
        <v>202</v>
      </c>
    </row>
    <row r="152" customFormat="false" ht="15" hidden="false" customHeight="false" outlineLevel="1" collapsed="false">
      <c r="A152" s="3" t="s">
        <v>373</v>
      </c>
      <c r="B152" s="11" t="s">
        <v>42</v>
      </c>
      <c r="C152" s="34" t="n">
        <f aca="false">輸入與假設!$C$146*輸入與假設!$C$147</f>
        <v>0.21</v>
      </c>
      <c r="D152" s="34" t="n">
        <f aca="false">輸入與假設!$C$146*輸入與假設!$C$147</f>
        <v>0.21</v>
      </c>
      <c r="E152" s="34" t="n">
        <f aca="false">輸入與假設!$C$146*輸入與假設!$C$147</f>
        <v>0.21</v>
      </c>
      <c r="F152" s="34" t="n">
        <f aca="false">輸入與假設!$C$146*輸入與假設!$C$147</f>
        <v>0.21</v>
      </c>
      <c r="G152" s="34" t="n">
        <f aca="false">輸入與假設!$C$146*輸入與假設!$C$147</f>
        <v>0.21</v>
      </c>
      <c r="I152" s="6" t="s">
        <v>374</v>
      </c>
    </row>
    <row r="153" customFormat="false" ht="15" hidden="false" customHeight="false" outlineLevel="1" collapsed="false">
      <c r="A153" s="3" t="s">
        <v>375</v>
      </c>
      <c r="B153" s="11" t="s">
        <v>59</v>
      </c>
      <c r="C153" s="25" t="n">
        <v>3.268</v>
      </c>
      <c r="D153" s="25" t="n">
        <v>4.28</v>
      </c>
      <c r="E153" s="25" t="n">
        <v>2.465</v>
      </c>
      <c r="F153" s="25" t="n">
        <v>2.304</v>
      </c>
      <c r="G153" s="25" t="n">
        <v>2.358</v>
      </c>
      <c r="I153" s="6" t="s">
        <v>376</v>
      </c>
    </row>
    <row r="154" customFormat="false" ht="15" hidden="false" customHeight="false" outlineLevel="1" collapsed="false">
      <c r="A154" s="3" t="s">
        <v>377</v>
      </c>
      <c r="B154" s="6" t="s">
        <v>175</v>
      </c>
      <c r="C154" s="22" t="n">
        <f aca="false">ROUND(4*SUM($C$41:C$41),0)</f>
        <v>2</v>
      </c>
      <c r="D154" s="22" t="n">
        <f aca="false">ROUND(4*SUM($C$41:D$41),0)</f>
        <v>6</v>
      </c>
      <c r="E154" s="22" t="n">
        <f aca="false">ROUND(4*SUM($C$41:E$41),0)</f>
        <v>10</v>
      </c>
      <c r="F154" s="22" t="n">
        <f aca="false">ROUND(4*SUM($C$41:F$41),0)</f>
        <v>14</v>
      </c>
      <c r="G154" s="22" t="n">
        <f aca="false">ROUND(4*SUM($C$41:G$41),0)</f>
        <v>18</v>
      </c>
      <c r="I154" s="6" t="s">
        <v>378</v>
      </c>
    </row>
    <row r="155" customFormat="false" ht="15" hidden="false" customHeight="false" outlineLevel="1" collapsed="false">
      <c r="A155" s="3" t="s">
        <v>379</v>
      </c>
      <c r="B155" s="11" t="s">
        <v>59</v>
      </c>
      <c r="C155" s="32" t="n">
        <f aca="false">輸入與假設!$C$26/輸入與假設!$C$28/輸入與假設!$C$29/4*((MIN(MAX(0,C154-輸入與假設!$C$27),輸入與假設!$C$28)*(MIN(MAX(0,C154-輸入與假設!$C$27),輸入與假設!$C$28)+1)/2+輸入與假設!$C$28*MAX(0,MAX(0,C154-輸入與假設!$C$27)-輸入與假設!$C$28))-(MIN(MAX(0,0-輸入與假設!$C$27),輸入與假設!$C$28)*(MIN(MAX(0,0-輸入與假設!$C$27),輸入與假設!$C$28)+1)/2+輸入與假設!$C$28*MAX(0,MAX(0,0-輸入與假設!$C$27)-輸入與假設!$C$28)))</f>
        <v>1.0319999300339</v>
      </c>
      <c r="D155" s="32" t="n">
        <f aca="false">輸入與假設!$C$26/輸入與假設!$C$28/輸入與假設!$C$29/4*((MIN(MAX(0,D154-輸入與假設!$C$27),輸入與假設!$C$28)*(MIN(MAX(0,D154-輸入與假設!$C$27),輸入與假設!$C$28)+1)/2+輸入與假設!$C$28*MAX(0,MAX(0,D154-輸入與假設!$C$27)-輸入與假設!$C$28))-(MIN(MAX(0,C154-輸入與假設!$C$27),輸入與假設!$C$28)*(MIN(MAX(0,C154-輸入與假設!$C$27),輸入與假設!$C$28)+1)/2+輸入與假設!$C$28*MAX(0,MAX(0,C154-輸入與假設!$C$27)-輸入與假設!$C$28)))</f>
        <v>4.12799972013561</v>
      </c>
      <c r="E155" s="32" t="n">
        <f aca="false">輸入與假設!$C$26/輸入與假設!$C$28/輸入與假設!$C$29/4*((MIN(MAX(0,E154-輸入與假設!$C$27),輸入與假設!$C$28)*(MIN(MAX(0,E154-輸入與假設!$C$27),輸入與假設!$C$28)+1)/2+輸入與假設!$C$28*MAX(0,MAX(0,E154-輸入與假設!$C$27)-輸入與假設!$C$28))-(MIN(MAX(0,D154-輸入與假設!$C$27),輸入與假設!$C$28)*(MIN(MAX(0,D154-輸入與假設!$C$27),輸入與假設!$C$28)+1)/2+輸入與假設!$C$28*MAX(0,MAX(0,D154-輸入與假設!$C$27)-輸入與假設!$C$28)))</f>
        <v>4.12799972013561</v>
      </c>
      <c r="F155" s="32" t="n">
        <f aca="false">輸入與假設!$C$26/輸入與假設!$C$28/輸入與假設!$C$29/4*((MIN(MAX(0,F154-輸入與假設!$C$27),輸入與假設!$C$28)*(MIN(MAX(0,F154-輸入與假設!$C$27),輸入與假設!$C$28)+1)/2+輸入與假設!$C$28*MAX(0,MAX(0,F154-輸入與假設!$C$27)-輸入與假設!$C$28))-(MIN(MAX(0,E154-輸入與假設!$C$27),輸入與假設!$C$28)*(MIN(MAX(0,E154-輸入與假設!$C$27),輸入與假設!$C$28)+1)/2+輸入與假設!$C$28*MAX(0,MAX(0,E154-輸入與假設!$C$27)-輸入與假設!$C$28)))</f>
        <v>4.12799972013561</v>
      </c>
      <c r="G155" s="32" t="n">
        <f aca="false">輸入與假設!$C$26/輸入與假設!$C$28/輸入與假設!$C$29/4*((MIN(MAX(0,G154-輸入與假設!$C$27),輸入與假設!$C$28)*(MIN(MAX(0,G154-輸入與假設!$C$27),輸入與假設!$C$28)+1)/2+輸入與假設!$C$28*MAX(0,MAX(0,G154-輸入與假設!$C$27)-輸入與假設!$C$28))-(MIN(MAX(0,F154-輸入與假設!$C$27),輸入與假設!$C$28)*(MIN(MAX(0,F154-輸入與假設!$C$27),輸入與假設!$C$28)+1)/2+輸入與假設!$C$28*MAX(0,MAX(0,F154-輸入與假設!$C$27)-輸入與假設!$C$28)))</f>
        <v>4.12799972013561</v>
      </c>
      <c r="I155" s="6" t="s">
        <v>380</v>
      </c>
    </row>
    <row r="156" customFormat="false" ht="15" hidden="false" customHeight="false" outlineLevel="1" collapsed="false">
      <c r="A156" s="4" t="s">
        <v>381</v>
      </c>
      <c r="B156" s="11" t="s">
        <v>59</v>
      </c>
      <c r="C156" s="25" t="n">
        <v>0</v>
      </c>
      <c r="D156" s="25" t="n">
        <v>0</v>
      </c>
      <c r="E156" s="25" t="n">
        <v>0</v>
      </c>
      <c r="F156" s="25" t="n">
        <v>0</v>
      </c>
      <c r="G156" s="25" t="n">
        <v>0</v>
      </c>
      <c r="I156" s="6" t="s">
        <v>382</v>
      </c>
    </row>
    <row r="157" customFormat="false" ht="15" hidden="false" customHeight="false" outlineLevel="1" collapsed="false">
      <c r="A157" s="4" t="s">
        <v>383</v>
      </c>
      <c r="B157" s="11" t="s">
        <v>59</v>
      </c>
      <c r="C157" s="25" t="n">
        <v>0</v>
      </c>
      <c r="D157" s="25" t="n">
        <v>0</v>
      </c>
      <c r="E157" s="25" t="n">
        <v>0</v>
      </c>
      <c r="F157" s="25" t="n">
        <v>0</v>
      </c>
      <c r="G157" s="25" t="n">
        <v>0</v>
      </c>
      <c r="I157" s="6" t="s">
        <v>384</v>
      </c>
    </row>
    <row r="158" customFormat="false" ht="15" hidden="false" customHeight="false" outlineLevel="1" collapsed="false">
      <c r="A158" s="4" t="s">
        <v>385</v>
      </c>
      <c r="B158" s="11" t="s">
        <v>59</v>
      </c>
      <c r="C158" s="32" t="n">
        <f aca="false">C156+C157</f>
        <v>0</v>
      </c>
      <c r="D158" s="32" t="n">
        <f aca="false">D156+D157</f>
        <v>0</v>
      </c>
      <c r="E158" s="32" t="n">
        <f aca="false">E156+E157</f>
        <v>0</v>
      </c>
      <c r="F158" s="32" t="n">
        <f aca="false">F156+F157</f>
        <v>0</v>
      </c>
      <c r="G158" s="32" t="n">
        <f aca="false">G156+G157</f>
        <v>0</v>
      </c>
      <c r="I158" s="6" t="s">
        <v>386</v>
      </c>
    </row>
    <row r="159" customFormat="false" ht="15" hidden="false" customHeight="false" outlineLevel="1" collapsed="true">
      <c r="A159" s="31" t="s">
        <v>387</v>
      </c>
      <c r="B159" s="20"/>
      <c r="C159" s="20"/>
      <c r="D159" s="20"/>
      <c r="E159" s="20"/>
      <c r="F159" s="20"/>
      <c r="G159" s="20"/>
      <c r="H159" s="20"/>
    </row>
    <row r="160" customFormat="false" ht="15" hidden="true" customHeight="false" outlineLevel="2" collapsed="false">
      <c r="A160" s="3" t="s">
        <v>388</v>
      </c>
      <c r="B160" s="11" t="s">
        <v>142</v>
      </c>
      <c r="C160" s="22" t="n">
        <f aca="false">輸入與假設!$C$35</f>
        <v>5.5</v>
      </c>
      <c r="D160" s="22" t="n">
        <f aca="false">C43</f>
        <v>14.574</v>
      </c>
      <c r="E160" s="22" t="n">
        <f aca="false">D43</f>
        <v>16.548</v>
      </c>
      <c r="F160" s="22" t="n">
        <f aca="false">E43</f>
        <v>19.548</v>
      </c>
      <c r="G160" s="22" t="n">
        <f aca="false">F43</f>
        <v>22.548</v>
      </c>
      <c r="I160" s="11" t="s">
        <v>389</v>
      </c>
    </row>
    <row r="161" customFormat="false" ht="15" hidden="true" customHeight="false" outlineLevel="2" collapsed="false">
      <c r="A161" s="3" t="s">
        <v>390</v>
      </c>
      <c r="B161" s="11" t="s">
        <v>142</v>
      </c>
      <c r="C161" s="22" t="n">
        <f aca="false">C43-C160</f>
        <v>9.074</v>
      </c>
      <c r="D161" s="22" t="n">
        <f aca="false">D43-D160</f>
        <v>1.974</v>
      </c>
      <c r="E161" s="22" t="n">
        <f aca="false">E43-E160</f>
        <v>3</v>
      </c>
      <c r="F161" s="22" t="n">
        <f aca="false">F43-F160</f>
        <v>3</v>
      </c>
      <c r="G161" s="22" t="n">
        <f aca="false">G43-G160</f>
        <v>3</v>
      </c>
    </row>
    <row r="162" customFormat="false" ht="15" hidden="true" customHeight="false" outlineLevel="2" collapsed="false">
      <c r="A162" s="3" t="s">
        <v>391</v>
      </c>
      <c r="B162" s="11" t="s">
        <v>142</v>
      </c>
      <c r="C162" s="22" t="n">
        <f aca="false">D43-C43</f>
        <v>1.974</v>
      </c>
      <c r="D162" s="22" t="n">
        <f aca="false">E43-D43</f>
        <v>3</v>
      </c>
      <c r="E162" s="22" t="n">
        <f aca="false">F43-E43</f>
        <v>3</v>
      </c>
      <c r="F162" s="22" t="n">
        <f aca="false">G43-F43</f>
        <v>3</v>
      </c>
      <c r="G162" s="22" t="n">
        <f aca="false">輸入與假設!$C$137</f>
        <v>0</v>
      </c>
    </row>
    <row r="163" customFormat="false" ht="15" hidden="true" customHeight="false" outlineLevel="2" collapsed="false">
      <c r="A163" s="3" t="s">
        <v>392</v>
      </c>
      <c r="B163" s="11" t="s">
        <v>59</v>
      </c>
      <c r="C163" s="32" t="n">
        <f aca="false">(C161*(1-輸入與假設!$C$136)+C162*輸入與假設!$C$136)*C145*輸入與假設!$C$141</f>
        <v>246.75805</v>
      </c>
      <c r="D163" s="32" t="n">
        <f aca="false">(D161*(1-輸入與假設!$C$136)+D162*輸入與假設!$C$136)*D145*輸入與假設!$C$141</f>
        <v>87.701229</v>
      </c>
      <c r="E163" s="32" t="n">
        <f aca="false">(E161*(1-輸入與假設!$C$136)+E162*輸入與假設!$C$136)*E145*輸入與假設!$C$141</f>
        <v>112.77</v>
      </c>
      <c r="F163" s="32" t="n">
        <f aca="false">(F161*(1-輸入與假設!$C$136)+F162*輸入與假設!$C$136)*F145*輸入與假設!$C$141</f>
        <v>112.77</v>
      </c>
      <c r="G163" s="32" t="n">
        <f aca="false">(G161*(1-輸入與假設!$C$136)+G162*輸入與假設!$C$136)*G145*輸入與假設!$C$141</f>
        <v>73.3005</v>
      </c>
      <c r="I163" s="6" t="s">
        <v>393</v>
      </c>
    </row>
    <row r="164" customFormat="false" ht="15" hidden="true" customHeight="false" outlineLevel="2" collapsed="false">
      <c r="A164" s="4" t="s">
        <v>394</v>
      </c>
      <c r="B164" s="11" t="s">
        <v>59</v>
      </c>
      <c r="C164" s="32" t="n">
        <f aca="false">MAX(C163,輸入與假設!$C$138)-輸入與假設!$C$311</f>
        <v>246.75805</v>
      </c>
      <c r="D164" s="32" t="n">
        <f aca="false">D163</f>
        <v>87.701229</v>
      </c>
      <c r="E164" s="32" t="n">
        <f aca="false">E163</f>
        <v>112.77</v>
      </c>
      <c r="F164" s="32" t="n">
        <f aca="false">F163</f>
        <v>112.77</v>
      </c>
      <c r="G164" s="32" t="n">
        <f aca="false">G163</f>
        <v>73.3005</v>
      </c>
      <c r="I164" s="11" t="s">
        <v>395</v>
      </c>
    </row>
    <row r="165" customFormat="false" ht="15" hidden="true" customHeight="false" outlineLevel="2" collapsed="false">
      <c r="A165" s="3" t="s">
        <v>396</v>
      </c>
      <c r="B165" s="11" t="s">
        <v>59</v>
      </c>
      <c r="C165" s="32" t="n">
        <f aca="false">C164*(1-輸入與假設!$C$142)</f>
        <v>123.379025</v>
      </c>
      <c r="D165" s="32" t="n">
        <f aca="false">D164*(1-輸入與假設!$C$142)</f>
        <v>43.8506145</v>
      </c>
      <c r="E165" s="32" t="n">
        <f aca="false">E164*(1-輸入與假設!$C$142)</f>
        <v>56.385</v>
      </c>
      <c r="F165" s="32" t="n">
        <f aca="false">F164*(1-輸入與假設!$C$142)</f>
        <v>56.385</v>
      </c>
      <c r="G165" s="32" t="n">
        <f aca="false">G164*(1-輸入與假設!$C$142)</f>
        <v>36.65025</v>
      </c>
      <c r="I165" s="11" t="s">
        <v>397</v>
      </c>
    </row>
    <row r="166" customFormat="false" ht="15" hidden="true" customHeight="false" outlineLevel="2" collapsed="false">
      <c r="A166" s="3" t="s">
        <v>398</v>
      </c>
      <c r="B166" s="11" t="s">
        <v>59</v>
      </c>
      <c r="C166" s="32" t="n">
        <f aca="false">IF(2026-輸入與假設!$C$139=2025,輸入與假設!$C$35,0)*C145*輸入與假設!$C$141</f>
        <v>0</v>
      </c>
      <c r="D166" s="32" t="n">
        <f aca="false">IF(2027-輸入與假設!$C$139=2025,輸入與假設!$C$35,0)*D145*輸入與假設!$C$141</f>
        <v>0</v>
      </c>
      <c r="E166" s="32" t="n">
        <f aca="false">IF(2028-輸入與假設!$C$139=2025,輸入與假設!$C$35,0)*E145*輸入與假設!$C$141</f>
        <v>0</v>
      </c>
      <c r="F166" s="32" t="n">
        <f aca="false">IF(2029-輸入與假設!$C$139=2025,輸入與假設!$C$35,0)*F145*輸入與假設!$C$141</f>
        <v>0</v>
      </c>
      <c r="G166" s="32" t="n">
        <f aca="false">IF(2030-輸入與假設!$C$139=2025,輸入與假設!$C$35,0)*G145*輸入與假設!$C$141</f>
        <v>206.745</v>
      </c>
      <c r="I166" s="6" t="s">
        <v>399</v>
      </c>
    </row>
    <row r="167" customFormat="false" ht="15" hidden="true" customHeight="false" outlineLevel="2" collapsed="false">
      <c r="A167" s="3" t="s">
        <v>400</v>
      </c>
      <c r="B167" s="11" t="s">
        <v>59</v>
      </c>
      <c r="C167" s="32" t="n">
        <f aca="false">(C160+C43)/2*C145*輸入與假設!$C$141/輸入與假設!$C$139*C41</f>
        <v>37.588565</v>
      </c>
      <c r="D167" s="32" t="n">
        <f aca="false">(D160+D43)/2*D145*輸入與假設!$C$141/輸入與假設!$C$139*D41</f>
        <v>116.987598</v>
      </c>
      <c r="E167" s="32" t="n">
        <f aca="false">(E160+E43)/2*E145*輸入與假設!$C$141/輸入與假設!$C$139*E41</f>
        <v>105.612864</v>
      </c>
      <c r="F167" s="32" t="n">
        <f aca="false">(F160+F43)/2*F145*輸入與假設!$C$141/輸入與假設!$C$139*F41</f>
        <v>105.612864</v>
      </c>
      <c r="G167" s="32" t="n">
        <f aca="false">(G160+G43)/2*G145*輸入與假設!$C$141/輸入與假設!$C$139*G41</f>
        <v>180.792864</v>
      </c>
      <c r="I167" s="6" t="s">
        <v>401</v>
      </c>
    </row>
    <row r="168" customFormat="false" ht="15" hidden="true" customHeight="false" outlineLevel="2" collapsed="false">
      <c r="A168" s="3" t="s">
        <v>402</v>
      </c>
      <c r="B168" s="6"/>
      <c r="C168" s="22" t="n">
        <f aca="false">IF(C161&lt;=0,1,0)</f>
        <v>0</v>
      </c>
      <c r="D168" s="22" t="n">
        <f aca="false">IF(D161&lt;=0,1,0)</f>
        <v>0</v>
      </c>
      <c r="E168" s="22" t="n">
        <f aca="false">IF(E161&lt;=0,1,0)</f>
        <v>0</v>
      </c>
      <c r="F168" s="22" t="n">
        <f aca="false">IF(F161&lt;=0,1,0)</f>
        <v>0</v>
      </c>
      <c r="G168" s="22" t="n">
        <f aca="false">1</f>
        <v>1</v>
      </c>
      <c r="I168" s="6" t="s">
        <v>403</v>
      </c>
    </row>
    <row r="169" customFormat="false" ht="15" hidden="true" customHeight="false" outlineLevel="2" collapsed="false">
      <c r="A169" s="4" t="s">
        <v>404</v>
      </c>
      <c r="B169" s="11" t="s">
        <v>59</v>
      </c>
      <c r="C169" s="32" t="n">
        <f aca="false">IF(C168=1,C167,C166)*(1-輸入與假設!$C$142)</f>
        <v>0</v>
      </c>
      <c r="D169" s="32" t="n">
        <f aca="false">IF(D168=1,D167,D166)*(1-輸入與假設!$C$142)</f>
        <v>0</v>
      </c>
      <c r="E169" s="32" t="n">
        <f aca="false">IF(E168=1,E167,E166)*(1-輸入與假設!$C$142)</f>
        <v>0</v>
      </c>
      <c r="F169" s="32" t="n">
        <f aca="false">IF(F168=1,F167,F166)*(1-輸入與假設!$C$142)</f>
        <v>0</v>
      </c>
      <c r="G169" s="32" t="n">
        <f aca="false">IF(G168=1,G167,G166)*(1-輸入與假設!$C$142)</f>
        <v>90.396432</v>
      </c>
      <c r="I169" s="6" t="s">
        <v>405</v>
      </c>
    </row>
    <row r="170" customFormat="false" ht="15" hidden="true" customHeight="false" outlineLevel="2" collapsed="false">
      <c r="A170" s="4" t="s">
        <v>406</v>
      </c>
      <c r="B170" s="11" t="s">
        <v>59</v>
      </c>
      <c r="C170" s="32" t="n">
        <f aca="false">C164*輸入與假設!$C$142</f>
        <v>123.379025</v>
      </c>
      <c r="D170" s="32" t="n">
        <f aca="false">D164*輸入與假設!$C$142</f>
        <v>43.8506145</v>
      </c>
      <c r="E170" s="32" t="n">
        <f aca="false">E164*輸入與假設!$C$142</f>
        <v>56.385</v>
      </c>
      <c r="F170" s="32" t="n">
        <f aca="false">F164*輸入與假設!$C$142</f>
        <v>56.385</v>
      </c>
      <c r="G170" s="32" t="n">
        <f aca="false">G164*輸入與假設!$C$142</f>
        <v>36.65025</v>
      </c>
      <c r="I170" s="6" t="s">
        <v>407</v>
      </c>
    </row>
    <row r="171" customFormat="false" ht="15" hidden="true" customHeight="false" outlineLevel="2" collapsed="false">
      <c r="A171" s="4" t="s">
        <v>408</v>
      </c>
      <c r="B171" s="11" t="s">
        <v>59</v>
      </c>
      <c r="C171" s="32" t="n">
        <f aca="false">0</f>
        <v>0</v>
      </c>
      <c r="D171" s="32" t="n">
        <f aca="false">C171+C170</f>
        <v>123.379025</v>
      </c>
      <c r="E171" s="32" t="n">
        <f aca="false">D171+D170</f>
        <v>167.2296395</v>
      </c>
      <c r="F171" s="32" t="n">
        <f aca="false">E171+E170</f>
        <v>223.6146395</v>
      </c>
      <c r="G171" s="32" t="n">
        <f aca="false">F171+F170</f>
        <v>279.9996395</v>
      </c>
      <c r="I171" s="6" t="s">
        <v>409</v>
      </c>
    </row>
    <row r="172" customFormat="false" ht="15" hidden="true" customHeight="false" outlineLevel="2" collapsed="false">
      <c r="A172" s="4" t="s">
        <v>410</v>
      </c>
      <c r="B172" s="11" t="s">
        <v>59</v>
      </c>
      <c r="C172" s="32" t="n">
        <f aca="false">(C171+0.5*C170)*輸入與假設!$C$143*C41</f>
        <v>8.033084938725</v>
      </c>
      <c r="D172" s="32" t="n">
        <f aca="false">(D171+0.5*D170)*輸入與假設!$C$143*D41</f>
        <v>37.842479073861</v>
      </c>
      <c r="E172" s="32" t="n">
        <f aca="false">(E171+0.5*E170)*輸入與假設!$C$143*E41</f>
        <v>50.894960322822</v>
      </c>
      <c r="F172" s="32" t="n">
        <f aca="false">(F171+0.5*F170)*輸入與假設!$C$143*F41</f>
        <v>65.579644182822</v>
      </c>
      <c r="G172" s="32" t="n">
        <f aca="false">(G171+0.5*G170)*輸入與假設!$C$143*G41</f>
        <v>77.694508367322</v>
      </c>
      <c r="I172" s="6" t="s">
        <v>411</v>
      </c>
    </row>
    <row r="173" customFormat="false" ht="15" hidden="true" customHeight="false" outlineLevel="2" collapsed="false">
      <c r="A173" s="3" t="s">
        <v>412</v>
      </c>
      <c r="B173" s="11" t="s">
        <v>59</v>
      </c>
      <c r="C173" s="32" t="n">
        <f aca="false">輸入與假設!$C$140</f>
        <v>111.6</v>
      </c>
      <c r="D173" s="32" t="n">
        <f aca="false">C173+運營_產能與收入!C$66</f>
        <v>173.2895125</v>
      </c>
      <c r="E173" s="32" t="n">
        <f aca="false">D173+運營_產能與收入!D$66</f>
        <v>267.866985875</v>
      </c>
      <c r="F173" s="32" t="n">
        <f aca="false">E173+運營_產能與收入!E$66</f>
        <v>321.1183895</v>
      </c>
      <c r="G173" s="32" t="n">
        <f aca="false">F173+運營_產能與收入!F$66</f>
        <v>377.5033895</v>
      </c>
      <c r="I173" s="6" t="s">
        <v>413</v>
      </c>
    </row>
    <row r="174" customFormat="false" ht="15" hidden="false" customHeight="false" outlineLevel="1" collapsed="false">
      <c r="A174" s="31" t="s">
        <v>414</v>
      </c>
      <c r="B174" s="20"/>
      <c r="C174" s="20"/>
      <c r="D174" s="20"/>
      <c r="E174" s="20"/>
      <c r="F174" s="20"/>
      <c r="G174" s="20"/>
      <c r="H174" s="20"/>
    </row>
    <row r="175" customFormat="false" ht="15" hidden="false" customHeight="false" outlineLevel="2" collapsed="false">
      <c r="A175" s="3" t="s">
        <v>415</v>
      </c>
      <c r="B175" s="11" t="s">
        <v>59</v>
      </c>
      <c r="C175" s="36" t="n">
        <f aca="false">C165+C169+C107</f>
        <v>146.979025</v>
      </c>
      <c r="D175" s="36" t="n">
        <f aca="false">D165+D169+D107</f>
        <v>427.1456145</v>
      </c>
      <c r="E175" s="36" t="n">
        <f aca="false">E165+E169+E107</f>
        <v>56.385</v>
      </c>
      <c r="F175" s="36" t="n">
        <f aca="false">F165+F169+F107</f>
        <v>56.385</v>
      </c>
      <c r="G175" s="36" t="n">
        <f aca="false">G165+G169+G107</f>
        <v>127.046682</v>
      </c>
      <c r="I175" s="6" t="s">
        <v>416</v>
      </c>
    </row>
    <row r="176" customFormat="false" ht="15" hidden="false" customHeight="false" outlineLevel="2" collapsed="false">
      <c r="A176" s="4" t="s">
        <v>417</v>
      </c>
      <c r="B176" s="11" t="s">
        <v>59</v>
      </c>
      <c r="C176" s="36" t="n">
        <f aca="false">(C173+0.5*運營_產能與收入!C$66)/輸入與假設!$C$139*C41+C111</f>
        <v>28.446975625</v>
      </c>
      <c r="D176" s="36" t="n">
        <f aca="false">(D173+0.5*運營_產能與收入!D$66)/輸入與假設!$C$139*D41+D111</f>
        <v>82.6930248375</v>
      </c>
      <c r="E176" s="36" t="n">
        <f aca="false">(E173+0.5*運營_產能與收入!E$66)/輸入與假設!$C$139*E41+E111</f>
        <v>107.0582875375</v>
      </c>
      <c r="F176" s="36" t="n">
        <f aca="false">(F173+0.5*運營_產能與收入!F$66)/輸入與假設!$C$139*F41+F111</f>
        <v>118.0219279</v>
      </c>
      <c r="G176" s="36" t="n">
        <f aca="false">(G173+0.5*運營_產能與收入!G$66)/輸入與假設!$C$139*G41+G111</f>
        <v>127.81882165</v>
      </c>
      <c r="I176" s="6" t="s">
        <v>418</v>
      </c>
    </row>
    <row r="178" customFormat="false" ht="15" hidden="false" customHeight="false" outlineLevel="0" collapsed="false">
      <c r="A178" s="7" t="s">
        <v>419</v>
      </c>
      <c r="B178" s="8"/>
      <c r="C178" s="8"/>
      <c r="D178" s="8"/>
      <c r="E178" s="8"/>
      <c r="F178" s="8"/>
      <c r="G178" s="8"/>
      <c r="H178" s="8"/>
    </row>
    <row r="179" customFormat="false" ht="15" hidden="false" customHeight="false" outlineLevel="1" collapsed="false">
      <c r="A179" s="19" t="s">
        <v>420</v>
      </c>
      <c r="B179" s="20"/>
      <c r="C179" s="20"/>
      <c r="D179" s="20"/>
      <c r="E179" s="20"/>
      <c r="F179" s="20"/>
      <c r="G179" s="20"/>
      <c r="H179" s="20"/>
    </row>
    <row r="180" customFormat="false" ht="17.15" hidden="false" customHeight="false" outlineLevel="2" collapsed="false">
      <c r="A180" s="14" t="s">
        <v>421</v>
      </c>
      <c r="B180" s="14" t="s">
        <v>422</v>
      </c>
      <c r="C180" s="14" t="s">
        <v>423</v>
      </c>
      <c r="D180" s="14" t="s">
        <v>424</v>
      </c>
      <c r="E180" s="14" t="s">
        <v>425</v>
      </c>
      <c r="F180" s="14" t="s">
        <v>426</v>
      </c>
      <c r="I180" s="14" t="s">
        <v>427</v>
      </c>
    </row>
    <row r="181" customFormat="false" ht="15" hidden="false" customHeight="false" outlineLevel="2" collapsed="false">
      <c r="A181" s="3" t="s">
        <v>428</v>
      </c>
      <c r="B181" s="11" t="s">
        <v>429</v>
      </c>
      <c r="C181" s="25" t="n">
        <v>298.5</v>
      </c>
      <c r="D181" s="25" t="n">
        <v>0</v>
      </c>
      <c r="E181" s="25" t="n">
        <v>310</v>
      </c>
      <c r="F181" s="37" t="n">
        <v>0</v>
      </c>
      <c r="I181" s="6" t="s">
        <v>430</v>
      </c>
    </row>
    <row r="182" customFormat="false" ht="15" hidden="false" customHeight="false" outlineLevel="2" collapsed="false">
      <c r="A182" s="3" t="s">
        <v>431</v>
      </c>
      <c r="B182" s="11" t="s">
        <v>429</v>
      </c>
      <c r="C182" s="25" t="n">
        <v>-118.5</v>
      </c>
      <c r="D182" s="25" t="n">
        <v>0</v>
      </c>
      <c r="E182" s="25" t="n">
        <v>-198.15</v>
      </c>
      <c r="F182" s="37" t="n">
        <v>6.278451</v>
      </c>
      <c r="I182" s="6" t="s">
        <v>432</v>
      </c>
    </row>
    <row r="183" customFormat="false" ht="15" hidden="false" customHeight="false" outlineLevel="2" collapsed="false">
      <c r="A183" s="3" t="s">
        <v>433</v>
      </c>
      <c r="B183" s="11" t="s">
        <v>434</v>
      </c>
      <c r="C183" s="25" t="n">
        <v>29.1</v>
      </c>
      <c r="D183" s="25" t="n">
        <v>30</v>
      </c>
      <c r="E183" s="25" t="n">
        <v>0</v>
      </c>
      <c r="F183" s="37" t="n">
        <v>0</v>
      </c>
      <c r="I183" s="6" t="s">
        <v>435</v>
      </c>
    </row>
    <row r="184" customFormat="false" ht="15" hidden="false" customHeight="false" outlineLevel="2" collapsed="false">
      <c r="A184" s="3" t="s">
        <v>436</v>
      </c>
      <c r="B184" s="11" t="s">
        <v>437</v>
      </c>
      <c r="C184" s="25" t="n">
        <v>8.861</v>
      </c>
      <c r="D184" s="25" t="n">
        <v>8.861</v>
      </c>
      <c r="E184" s="25" t="n">
        <v>0</v>
      </c>
      <c r="F184" s="37" t="n">
        <v>0</v>
      </c>
      <c r="I184" s="6" t="s">
        <v>438</v>
      </c>
    </row>
    <row r="185" customFormat="false" ht="15" hidden="false" customHeight="false" outlineLevel="2" collapsed="false">
      <c r="A185" s="3" t="s">
        <v>439</v>
      </c>
      <c r="B185" s="11" t="s">
        <v>59</v>
      </c>
      <c r="C185" s="25" t="n">
        <v>56.056</v>
      </c>
      <c r="I185" s="6" t="s">
        <v>440</v>
      </c>
    </row>
    <row r="186" customFormat="false" ht="15" hidden="false" customHeight="false" outlineLevel="2" collapsed="false">
      <c r="A186" s="3" t="s">
        <v>441</v>
      </c>
      <c r="B186" s="11" t="s">
        <v>59</v>
      </c>
      <c r="C186" s="25" t="n">
        <v>0</v>
      </c>
      <c r="I186" s="6" t="s">
        <v>442</v>
      </c>
    </row>
    <row r="187" customFormat="false" ht="15" hidden="false" customHeight="false" outlineLevel="2" collapsed="false">
      <c r="A187" s="3" t="s">
        <v>443</v>
      </c>
      <c r="B187" s="6"/>
      <c r="C187" s="21" t="n">
        <v>1</v>
      </c>
      <c r="I187" s="6" t="s">
        <v>444</v>
      </c>
    </row>
    <row r="188" customFormat="false" ht="15" hidden="false" customHeight="false" outlineLevel="2" collapsed="false">
      <c r="A188" s="3" t="s">
        <v>445</v>
      </c>
      <c r="B188" s="11" t="s">
        <v>59</v>
      </c>
      <c r="C188" s="25" t="n">
        <v>20</v>
      </c>
      <c r="I188" s="11" t="s">
        <v>446</v>
      </c>
    </row>
    <row r="189" customFormat="false" ht="15" hidden="false" customHeight="false" outlineLevel="2" collapsed="false">
      <c r="A189" s="3" t="s">
        <v>447</v>
      </c>
      <c r="B189" s="6"/>
      <c r="C189" s="21" t="n">
        <v>1</v>
      </c>
      <c r="I189" s="6" t="s">
        <v>448</v>
      </c>
    </row>
    <row r="190" customFormat="false" ht="15" hidden="false" customHeight="false" outlineLevel="2" collapsed="false">
      <c r="A190" s="4" t="s">
        <v>449</v>
      </c>
      <c r="B190" s="11" t="s">
        <v>59</v>
      </c>
      <c r="C190" s="25" t="n">
        <v>0</v>
      </c>
      <c r="I190" s="11" t="s">
        <v>450</v>
      </c>
    </row>
    <row r="191" customFormat="false" ht="15" hidden="false" customHeight="false" outlineLevel="2" collapsed="false">
      <c r="A191" s="4" t="s">
        <v>451</v>
      </c>
      <c r="B191" s="11" t="s">
        <v>59</v>
      </c>
      <c r="C191" s="25" t="n">
        <v>307.125</v>
      </c>
      <c r="I191" s="11" t="s">
        <v>450</v>
      </c>
    </row>
    <row r="192" customFormat="false" ht="15" hidden="false" customHeight="false" outlineLevel="2" collapsed="false">
      <c r="A192" s="4" t="s">
        <v>452</v>
      </c>
      <c r="B192" s="11" t="s">
        <v>59</v>
      </c>
      <c r="C192" s="25" t="n">
        <v>307.125</v>
      </c>
      <c r="I192" s="11" t="s">
        <v>450</v>
      </c>
    </row>
    <row r="193" customFormat="false" ht="15" hidden="false" customHeight="false" outlineLevel="2" collapsed="false">
      <c r="A193" s="4" t="s">
        <v>453</v>
      </c>
      <c r="B193" s="11" t="s">
        <v>59</v>
      </c>
      <c r="C193" s="32" t="n">
        <f aca="false">CHOOSE(輸入與假設!$C$5,輸入與假設!$C$190,輸入與假設!$C$191,輸入與假設!$C$192)</f>
        <v>307.125</v>
      </c>
      <c r="I193" s="6" t="s">
        <v>454</v>
      </c>
    </row>
    <row r="194" customFormat="false" ht="15" hidden="false" customHeight="false" outlineLevel="2" collapsed="false">
      <c r="A194" s="4" t="s">
        <v>455</v>
      </c>
      <c r="B194" s="6"/>
      <c r="C194" s="21" t="n">
        <v>1</v>
      </c>
      <c r="I194" s="6" t="s">
        <v>456</v>
      </c>
    </row>
    <row r="195" customFormat="false" ht="15" hidden="false" customHeight="false" outlineLevel="2" collapsed="false">
      <c r="A195" s="4" t="s">
        <v>457</v>
      </c>
      <c r="B195" s="11" t="s">
        <v>42</v>
      </c>
      <c r="C195" s="24" t="n">
        <v>0.085</v>
      </c>
      <c r="I195" s="11" t="s">
        <v>458</v>
      </c>
    </row>
    <row r="196" customFormat="false" ht="15" hidden="false" customHeight="false" outlineLevel="2" collapsed="false">
      <c r="A196" s="4" t="s">
        <v>459</v>
      </c>
      <c r="B196" s="6" t="s">
        <v>180</v>
      </c>
      <c r="C196" s="21" t="n">
        <v>10</v>
      </c>
      <c r="I196" s="6" t="s">
        <v>460</v>
      </c>
    </row>
    <row r="197" customFormat="false" ht="15" hidden="false" customHeight="false" outlineLevel="2" collapsed="false">
      <c r="A197" s="3" t="s">
        <v>461</v>
      </c>
      <c r="B197" s="6"/>
      <c r="C197" s="21" t="n">
        <v>1</v>
      </c>
      <c r="I197" s="6" t="s">
        <v>462</v>
      </c>
    </row>
    <row r="198" customFormat="false" ht="15" hidden="false" customHeight="false" outlineLevel="2" collapsed="false">
      <c r="A198" s="3" t="s">
        <v>463</v>
      </c>
      <c r="B198" s="11" t="s">
        <v>96</v>
      </c>
      <c r="C198" s="38" t="n">
        <v>0.5</v>
      </c>
      <c r="I198" s="6" t="s">
        <v>464</v>
      </c>
    </row>
    <row r="199" customFormat="false" ht="15" hidden="false" customHeight="false" outlineLevel="2" collapsed="false">
      <c r="A199" s="3" t="s">
        <v>465</v>
      </c>
      <c r="B199" s="6"/>
      <c r="C199" s="27" t="s">
        <v>466</v>
      </c>
      <c r="I199" s="11" t="s">
        <v>467</v>
      </c>
    </row>
    <row r="200" customFormat="false" ht="15" hidden="false" customHeight="false" outlineLevel="2" collapsed="false">
      <c r="A200" s="3" t="s">
        <v>468</v>
      </c>
      <c r="B200" s="11" t="s">
        <v>96</v>
      </c>
      <c r="C200" s="38" t="n">
        <v>5</v>
      </c>
      <c r="I200" s="6" t="s">
        <v>469</v>
      </c>
    </row>
    <row r="201" customFormat="false" ht="15" hidden="false" customHeight="false" outlineLevel="2" collapsed="false">
      <c r="A201" s="3" t="s">
        <v>470</v>
      </c>
      <c r="B201" s="6" t="s">
        <v>180</v>
      </c>
      <c r="C201" s="21" t="n">
        <v>3</v>
      </c>
      <c r="I201" s="11" t="s">
        <v>471</v>
      </c>
    </row>
    <row r="202" customFormat="false" ht="15" hidden="false" customHeight="false" outlineLevel="2" collapsed="false">
      <c r="A202" s="3" t="s">
        <v>472</v>
      </c>
      <c r="B202" s="11" t="s">
        <v>39</v>
      </c>
      <c r="C202" s="39" t="n">
        <v>0</v>
      </c>
      <c r="I202" s="6" t="s">
        <v>473</v>
      </c>
    </row>
    <row r="203" customFormat="false" ht="15" hidden="false" customHeight="false" outlineLevel="2" collapsed="false">
      <c r="A203" s="3" t="s">
        <v>474</v>
      </c>
      <c r="B203" s="11" t="s">
        <v>475</v>
      </c>
      <c r="C203" s="23" t="n">
        <v>45.119652</v>
      </c>
      <c r="I203" s="6" t="s">
        <v>476</v>
      </c>
    </row>
    <row r="204" customFormat="false" ht="15" hidden="false" customHeight="false" outlineLevel="2" collapsed="false">
      <c r="A204" s="3" t="s">
        <v>477</v>
      </c>
      <c r="B204" s="11" t="s">
        <v>59</v>
      </c>
      <c r="C204" s="25" t="n">
        <v>30</v>
      </c>
      <c r="I204" s="6" t="s">
        <v>478</v>
      </c>
    </row>
    <row r="205" customFormat="false" ht="15" hidden="false" customHeight="false" outlineLevel="2" collapsed="false">
      <c r="A205" s="3" t="s">
        <v>479</v>
      </c>
      <c r="B205" s="11" t="s">
        <v>39</v>
      </c>
      <c r="C205" s="39" t="n">
        <v>16.83</v>
      </c>
      <c r="I205" s="6" t="s">
        <v>480</v>
      </c>
    </row>
    <row r="206" customFormat="false" ht="15" hidden="false" customHeight="false" outlineLevel="2" collapsed="false">
      <c r="A206" s="3" t="s">
        <v>481</v>
      </c>
      <c r="B206" s="11" t="s">
        <v>42</v>
      </c>
      <c r="C206" s="24" t="n">
        <v>0.1</v>
      </c>
      <c r="I206" s="6" t="s">
        <v>482</v>
      </c>
    </row>
    <row r="207" customFormat="false" ht="15" hidden="false" customHeight="false" outlineLevel="2" collapsed="false">
      <c r="A207" s="3" t="s">
        <v>483</v>
      </c>
      <c r="B207" s="11" t="s">
        <v>42</v>
      </c>
      <c r="C207" s="24" t="n">
        <v>0.1</v>
      </c>
      <c r="I207" s="6" t="s">
        <v>484</v>
      </c>
    </row>
    <row r="208" customFormat="false" ht="15" hidden="false" customHeight="false" outlineLevel="2" collapsed="false">
      <c r="A208" s="3" t="s">
        <v>485</v>
      </c>
      <c r="B208" s="11" t="s">
        <v>475</v>
      </c>
      <c r="C208" s="23" t="n">
        <v>45.119652</v>
      </c>
      <c r="I208" s="6" t="s">
        <v>486</v>
      </c>
    </row>
    <row r="209" customFormat="false" ht="15" hidden="false" customHeight="false" outlineLevel="2" collapsed="false">
      <c r="A209" s="3" t="s">
        <v>487</v>
      </c>
      <c r="B209" s="11" t="s">
        <v>488</v>
      </c>
      <c r="C209" s="25" t="n">
        <v>75.9</v>
      </c>
      <c r="I209" s="6" t="s">
        <v>489</v>
      </c>
    </row>
    <row r="210" customFormat="false" ht="15" hidden="false" customHeight="false" outlineLevel="2" collapsed="false">
      <c r="A210" s="3" t="s">
        <v>490</v>
      </c>
      <c r="B210" s="11" t="s">
        <v>488</v>
      </c>
      <c r="C210" s="25" t="n">
        <v>75.9</v>
      </c>
      <c r="I210" s="6" t="s">
        <v>489</v>
      </c>
    </row>
    <row r="211" customFormat="false" ht="15" hidden="false" customHeight="false" outlineLevel="2" collapsed="false">
      <c r="A211" s="3" t="s">
        <v>491</v>
      </c>
      <c r="B211" s="11" t="s">
        <v>488</v>
      </c>
      <c r="C211" s="25" t="n">
        <v>75.9</v>
      </c>
      <c r="I211" s="6" t="s">
        <v>489</v>
      </c>
    </row>
    <row r="212" customFormat="false" ht="15" hidden="false" customHeight="false" outlineLevel="2" collapsed="false">
      <c r="A212" s="3" t="s">
        <v>492</v>
      </c>
      <c r="B212" s="11" t="s">
        <v>488</v>
      </c>
      <c r="C212" s="32" t="n">
        <f aca="false">CHOOSE(輸入與假設!$C$5,輸入與假設!$C$209,輸入與假設!$C$210,輸入與假設!$C$211)</f>
        <v>75.9</v>
      </c>
      <c r="I212" s="6" t="s">
        <v>493</v>
      </c>
    </row>
    <row r="213" customFormat="false" ht="15" hidden="false" customHeight="false" outlineLevel="2" collapsed="false">
      <c r="A213" s="3" t="s">
        <v>494</v>
      </c>
      <c r="B213" s="11" t="s">
        <v>42</v>
      </c>
      <c r="C213" s="24" t="n">
        <v>0.05</v>
      </c>
      <c r="I213" s="6" t="s">
        <v>495</v>
      </c>
    </row>
    <row r="214" customFormat="false" ht="15" hidden="false" customHeight="false" outlineLevel="2" collapsed="false">
      <c r="A214" s="3" t="s">
        <v>496</v>
      </c>
      <c r="B214" s="11" t="s">
        <v>42</v>
      </c>
      <c r="C214" s="24" t="n">
        <v>0.25</v>
      </c>
      <c r="I214" s="6" t="s">
        <v>497</v>
      </c>
    </row>
    <row r="215" customFormat="false" ht="15" hidden="false" customHeight="false" outlineLevel="2" collapsed="false">
      <c r="A215" s="3" t="s">
        <v>498</v>
      </c>
      <c r="B215" s="11" t="s">
        <v>42</v>
      </c>
      <c r="C215" s="24" t="n">
        <v>0.12</v>
      </c>
      <c r="I215" s="6" t="s">
        <v>499</v>
      </c>
    </row>
    <row r="216" customFormat="false" ht="15" hidden="false" customHeight="false" outlineLevel="2" collapsed="false">
      <c r="A216" s="3" t="s">
        <v>500</v>
      </c>
      <c r="B216" s="11" t="s">
        <v>42</v>
      </c>
      <c r="C216" s="24" t="n">
        <v>0.21</v>
      </c>
      <c r="I216" s="6" t="s">
        <v>501</v>
      </c>
    </row>
    <row r="217" customFormat="false" ht="15" hidden="false" customHeight="false" outlineLevel="2" collapsed="false">
      <c r="A217" s="4" t="s">
        <v>502</v>
      </c>
      <c r="B217" s="11" t="s">
        <v>503</v>
      </c>
      <c r="C217" s="21"/>
      <c r="I217" s="6" t="s">
        <v>504</v>
      </c>
    </row>
    <row r="218" customFormat="false" ht="15" hidden="false" customHeight="false" outlineLevel="2" collapsed="false">
      <c r="A218" s="4" t="s">
        <v>505</v>
      </c>
      <c r="B218" s="6"/>
      <c r="C218" s="21" t="n">
        <v>0</v>
      </c>
      <c r="I218" s="6" t="s">
        <v>506</v>
      </c>
    </row>
    <row r="219" customFormat="false" ht="15" hidden="false" customHeight="false" outlineLevel="2" collapsed="false">
      <c r="A219" s="4" t="s">
        <v>507</v>
      </c>
      <c r="B219" s="11" t="s">
        <v>503</v>
      </c>
      <c r="C219" s="21" t="n">
        <v>450</v>
      </c>
      <c r="I219" s="11" t="s">
        <v>508</v>
      </c>
    </row>
    <row r="220" customFormat="false" ht="15" hidden="false" customHeight="false" outlineLevel="2" collapsed="false">
      <c r="A220" s="4" t="s">
        <v>509</v>
      </c>
      <c r="B220" s="11" t="s">
        <v>42</v>
      </c>
      <c r="C220" s="24" t="n">
        <v>0.4</v>
      </c>
      <c r="I220" s="6" t="s">
        <v>510</v>
      </c>
    </row>
    <row r="221" customFormat="false" ht="15" hidden="false" customHeight="false" outlineLevel="2" collapsed="false">
      <c r="A221" s="14" t="s">
        <v>53</v>
      </c>
      <c r="B221" s="14" t="s">
        <v>54</v>
      </c>
      <c r="C221" s="28" t="s">
        <v>55</v>
      </c>
      <c r="D221" s="28" t="s">
        <v>56</v>
      </c>
      <c r="E221" s="28" t="s">
        <v>57</v>
      </c>
      <c r="F221" s="28" t="s">
        <v>138</v>
      </c>
      <c r="G221" s="28" t="s">
        <v>139</v>
      </c>
      <c r="I221" s="14" t="s">
        <v>202</v>
      </c>
    </row>
    <row r="222" customFormat="false" ht="15" hidden="false" customHeight="false" outlineLevel="2" collapsed="false">
      <c r="A222" s="3" t="s">
        <v>511</v>
      </c>
      <c r="B222" s="11" t="s">
        <v>59</v>
      </c>
      <c r="C222" s="25" t="n">
        <v>0</v>
      </c>
      <c r="D222" s="25" t="n">
        <v>0</v>
      </c>
      <c r="E222" s="25" t="n">
        <v>0</v>
      </c>
      <c r="F222" s="25" t="n">
        <v>0</v>
      </c>
      <c r="G222" s="25" t="n">
        <v>0</v>
      </c>
      <c r="I222" s="6" t="s">
        <v>512</v>
      </c>
    </row>
    <row r="223" customFormat="false" ht="15" hidden="false" customHeight="false" outlineLevel="2" collapsed="false">
      <c r="A223" s="3" t="s">
        <v>513</v>
      </c>
      <c r="B223" s="11" t="s">
        <v>59</v>
      </c>
      <c r="C223" s="25" t="n">
        <v>5.373</v>
      </c>
      <c r="D223" s="25" t="n">
        <v>90.747</v>
      </c>
      <c r="E223" s="25" t="n">
        <v>6.247</v>
      </c>
      <c r="F223" s="25" t="n">
        <v>20.959</v>
      </c>
      <c r="G223" s="25" t="n">
        <v>0</v>
      </c>
      <c r="I223" s="6" t="s">
        <v>514</v>
      </c>
    </row>
    <row r="224" customFormat="false" ht="15" hidden="false" customHeight="false" outlineLevel="2" collapsed="false">
      <c r="A224" s="3" t="s">
        <v>515</v>
      </c>
      <c r="B224" s="11" t="s">
        <v>42</v>
      </c>
      <c r="C224" s="24" t="n">
        <v>0.095</v>
      </c>
      <c r="D224" s="24" t="n">
        <v>0.095</v>
      </c>
      <c r="E224" s="24" t="n">
        <v>0.095</v>
      </c>
      <c r="F224" s="24" t="n">
        <v>0.095</v>
      </c>
      <c r="G224" s="24" t="n">
        <v>0.095</v>
      </c>
      <c r="I224" s="6" t="s">
        <v>516</v>
      </c>
    </row>
    <row r="225" customFormat="false" ht="15" hidden="false" customHeight="false" outlineLevel="2" collapsed="false">
      <c r="A225" s="3" t="s">
        <v>517</v>
      </c>
      <c r="B225" s="11" t="s">
        <v>59</v>
      </c>
      <c r="C225" s="40" t="n">
        <f aca="false">資產負債_既有債務!C37</f>
        <v>13.5867264456522</v>
      </c>
      <c r="D225" s="40" t="n">
        <f aca="false">資產負債_既有債務!D37</f>
        <v>51.1289587608696</v>
      </c>
      <c r="E225" s="40" t="n">
        <f aca="false">資產負債_既有債務!E37</f>
        <v>43.8367314545089</v>
      </c>
      <c r="F225" s="40" t="n">
        <f aca="false">資產負債_既有債務!F37</f>
        <v>40.0798150108696</v>
      </c>
      <c r="G225" s="40" t="n">
        <f aca="false">資產負債_既有債務!G37</f>
        <v>36.5861226018519</v>
      </c>
      <c r="I225" s="6" t="s">
        <v>518</v>
      </c>
    </row>
    <row r="227" customFormat="false" ht="15" hidden="false" customHeight="false" outlineLevel="0" collapsed="false">
      <c r="A227" s="7" t="s">
        <v>519</v>
      </c>
      <c r="B227" s="8"/>
      <c r="C227" s="8"/>
      <c r="D227" s="8"/>
      <c r="E227" s="8"/>
      <c r="F227" s="8"/>
      <c r="G227" s="8"/>
      <c r="H227" s="8"/>
    </row>
    <row r="228" customFormat="false" ht="15" hidden="false" customHeight="false" outlineLevel="1" collapsed="false">
      <c r="A228" s="3" t="s">
        <v>520</v>
      </c>
      <c r="B228" s="11" t="s">
        <v>39</v>
      </c>
      <c r="C228" s="39" t="n">
        <v>16.83</v>
      </c>
      <c r="I228" s="11" t="s">
        <v>521</v>
      </c>
    </row>
    <row r="229" customFormat="false" ht="15" hidden="false" customHeight="false" outlineLevel="1" collapsed="false">
      <c r="A229" s="3" t="s">
        <v>522</v>
      </c>
      <c r="B229" s="11" t="s">
        <v>475</v>
      </c>
      <c r="C229" s="30" t="n">
        <f aca="false">33.060039+SUM(輸入與假設!$F$181:$F$184)</f>
        <v>39.33849</v>
      </c>
      <c r="I229" s="6" t="s">
        <v>523</v>
      </c>
    </row>
    <row r="230" customFormat="false" ht="15" hidden="false" customHeight="false" outlineLevel="1" collapsed="false">
      <c r="A230" s="3" t="s">
        <v>524</v>
      </c>
      <c r="B230" s="11" t="s">
        <v>59</v>
      </c>
      <c r="C230" s="32" t="n">
        <f aca="false">29.283+SUM(輸入與假設!$D$181:$D$184)-SUM(輸入與假設!$C$181:$C$184)</f>
        <v>-149.817</v>
      </c>
      <c r="I230" s="6" t="s">
        <v>525</v>
      </c>
    </row>
    <row r="231" customFormat="false" ht="15" hidden="false" customHeight="false" outlineLevel="1" collapsed="false">
      <c r="A231" s="3" t="s">
        <v>526</v>
      </c>
      <c r="B231" s="11" t="s">
        <v>42</v>
      </c>
      <c r="C231" s="24" t="n">
        <v>0.3</v>
      </c>
      <c r="I231" s="6" t="s">
        <v>527</v>
      </c>
    </row>
    <row r="232" customFormat="false" ht="15" hidden="false" customHeight="false" outlineLevel="1" collapsed="false">
      <c r="A232" s="3" t="s">
        <v>528</v>
      </c>
      <c r="B232" s="11" t="s">
        <v>59</v>
      </c>
      <c r="C232" s="32" t="n">
        <f aca="false">0-(0)*(1-輸入與假設!$C$231)</f>
        <v>0</v>
      </c>
      <c r="I232" s="6" t="s">
        <v>529</v>
      </c>
    </row>
    <row r="233" customFormat="false" ht="15" hidden="false" customHeight="false" outlineLevel="1" collapsed="false">
      <c r="A233" s="3" t="s">
        <v>530</v>
      </c>
      <c r="B233" s="11" t="s">
        <v>42</v>
      </c>
      <c r="C233" s="24" t="n">
        <v>0.21</v>
      </c>
      <c r="I233" s="6" t="s">
        <v>531</v>
      </c>
    </row>
    <row r="234" customFormat="false" ht="15" hidden="false" customHeight="false" outlineLevel="1" collapsed="false">
      <c r="A234" s="3" t="s">
        <v>532</v>
      </c>
      <c r="B234" s="11" t="s">
        <v>42</v>
      </c>
      <c r="C234" s="24" t="n">
        <v>0.0527</v>
      </c>
      <c r="I234" s="11" t="s">
        <v>533</v>
      </c>
    </row>
    <row r="235" customFormat="false" ht="15" hidden="false" customHeight="false" outlineLevel="1" collapsed="false">
      <c r="A235" s="4" t="s">
        <v>534</v>
      </c>
      <c r="B235" s="11" t="s">
        <v>96</v>
      </c>
      <c r="C235" s="35" t="n">
        <v>2.5</v>
      </c>
      <c r="I235" s="11" t="s">
        <v>535</v>
      </c>
    </row>
    <row r="236" customFormat="false" ht="15" hidden="false" customHeight="false" outlineLevel="1" collapsed="false">
      <c r="A236" s="4" t="s">
        <v>536</v>
      </c>
      <c r="B236" s="11" t="s">
        <v>42</v>
      </c>
      <c r="C236" s="24" t="n">
        <v>0.05</v>
      </c>
      <c r="I236" s="11" t="s">
        <v>537</v>
      </c>
    </row>
    <row r="237" customFormat="false" ht="15" hidden="false" customHeight="false" outlineLevel="1" collapsed="false">
      <c r="A237" s="3" t="s">
        <v>538</v>
      </c>
      <c r="B237" s="11" t="s">
        <v>42</v>
      </c>
      <c r="C237" s="34" t="n">
        <f aca="false">輸入與假設!$C$234+輸入與假設!$C$235*輸入與假設!$C$236</f>
        <v>0.1777</v>
      </c>
      <c r="I237" s="11" t="s">
        <v>539</v>
      </c>
    </row>
    <row r="238" customFormat="false" ht="15" hidden="false" customHeight="false" outlineLevel="1" collapsed="false">
      <c r="A238" s="3" t="s">
        <v>540</v>
      </c>
      <c r="B238" s="11" t="s">
        <v>42</v>
      </c>
      <c r="C238" s="24" t="n">
        <v>0.095</v>
      </c>
      <c r="I238" s="11" t="s">
        <v>541</v>
      </c>
    </row>
    <row r="239" customFormat="false" ht="15" hidden="false" customHeight="false" outlineLevel="1" collapsed="false">
      <c r="A239" s="3" t="s">
        <v>542</v>
      </c>
      <c r="B239" s="11" t="s">
        <v>59</v>
      </c>
      <c r="C239" s="32" t="n">
        <f aca="false">輸入與假設!$C$228*(38.841201+SUM(輸入與假設!$F$181:$F$184))</f>
        <v>759.36374316</v>
      </c>
      <c r="I239" s="6" t="s">
        <v>543</v>
      </c>
    </row>
    <row r="240" customFormat="false" ht="15" hidden="false" customHeight="false" outlineLevel="1" collapsed="false">
      <c r="A240" s="3" t="s">
        <v>544</v>
      </c>
      <c r="B240" s="11" t="s">
        <v>59</v>
      </c>
      <c r="C240" s="32" t="n">
        <f aca="false">315.339+SUM(輸入與假設!$D$181:$D$184)+SUM(輸入與假設!$E$181:$E$184)</f>
        <v>466.05</v>
      </c>
      <c r="I240" s="6" t="s">
        <v>545</v>
      </c>
    </row>
    <row r="241" customFormat="false" ht="15" hidden="false" customHeight="false" outlineLevel="1" collapsed="false">
      <c r="A241" s="4" t="s">
        <v>546</v>
      </c>
      <c r="B241" s="11" t="s">
        <v>42</v>
      </c>
      <c r="C241" s="34" t="n">
        <f aca="false">輸入與假設!$C$239/(輸入與假設!$C$240+輸入與假設!$C$239)*輸入與假設!$C$237+輸入與假設!$C$240/(輸入與假設!$C$240+輸入與假設!$C$239)*輸入與假設!$C$238*(1-輸入與假設!$C$233)</f>
        <v>0.138660097953011</v>
      </c>
      <c r="I241" s="11" t="s">
        <v>547</v>
      </c>
    </row>
    <row r="242" customFormat="false" ht="15" hidden="false" customHeight="false" outlineLevel="1" collapsed="false">
      <c r="A242" s="4" t="s">
        <v>548</v>
      </c>
      <c r="B242" s="11" t="s">
        <v>42</v>
      </c>
      <c r="C242" s="24"/>
      <c r="I242" s="11" t="s">
        <v>549</v>
      </c>
    </row>
    <row r="243" customFormat="false" ht="15" hidden="false" customHeight="false" outlineLevel="1" collapsed="false">
      <c r="A243" s="4" t="s">
        <v>550</v>
      </c>
      <c r="B243" s="11" t="s">
        <v>42</v>
      </c>
      <c r="C243" s="34" t="n">
        <f aca="false">IF(ISBLANK(輸入與假設!$C$242),輸入與假設!$C$241,輸入與假設!$C$242)</f>
        <v>0.138660097953011</v>
      </c>
      <c r="I243" s="6" t="s">
        <v>551</v>
      </c>
    </row>
    <row r="244" customFormat="false" ht="15" hidden="false" customHeight="false" outlineLevel="1" collapsed="false">
      <c r="A244" s="3" t="s">
        <v>552</v>
      </c>
      <c r="B244" s="11" t="s">
        <v>42</v>
      </c>
      <c r="C244" s="24" t="n">
        <v>0.03</v>
      </c>
      <c r="I244" s="11" t="s">
        <v>220</v>
      </c>
    </row>
    <row r="245" customFormat="false" ht="15" hidden="false" customHeight="false" outlineLevel="1" collapsed="false">
      <c r="A245" s="3" t="s">
        <v>553</v>
      </c>
      <c r="B245" s="11" t="s">
        <v>42</v>
      </c>
      <c r="C245" s="24" t="n">
        <v>0.8</v>
      </c>
      <c r="I245" s="11" t="s">
        <v>554</v>
      </c>
    </row>
    <row r="246" customFormat="false" ht="15" hidden="false" customHeight="false" outlineLevel="1" collapsed="false">
      <c r="A246" s="3" t="s">
        <v>555</v>
      </c>
      <c r="B246" s="11" t="s">
        <v>59</v>
      </c>
      <c r="C246" s="25" t="n">
        <v>0</v>
      </c>
      <c r="I246" s="11" t="s">
        <v>556</v>
      </c>
    </row>
    <row r="247" customFormat="false" ht="15" hidden="false" customHeight="false" outlineLevel="1" collapsed="false">
      <c r="A247" s="4" t="s">
        <v>557</v>
      </c>
      <c r="B247" s="11" t="s">
        <v>42</v>
      </c>
      <c r="C247" s="24" t="n">
        <v>0.8</v>
      </c>
      <c r="I247" s="6" t="s">
        <v>558</v>
      </c>
    </row>
    <row r="248" customFormat="false" ht="15" hidden="false" customHeight="false" outlineLevel="1" collapsed="false">
      <c r="A248" s="3" t="s">
        <v>559</v>
      </c>
      <c r="B248" s="11" t="s">
        <v>42</v>
      </c>
      <c r="C248" s="24" t="n">
        <v>0.02</v>
      </c>
      <c r="I248" s="6" t="s">
        <v>560</v>
      </c>
    </row>
    <row r="249" customFormat="false" ht="15" hidden="false" customHeight="false" outlineLevel="1" collapsed="false">
      <c r="A249" s="4" t="s">
        <v>561</v>
      </c>
      <c r="B249" s="11" t="s">
        <v>96</v>
      </c>
      <c r="C249" s="41" t="n">
        <v>6</v>
      </c>
      <c r="I249" s="6" t="s">
        <v>562</v>
      </c>
    </row>
    <row r="250" customFormat="false" ht="15" hidden="false" customHeight="false" outlineLevel="1" collapsed="false">
      <c r="A250" s="3" t="s">
        <v>563</v>
      </c>
      <c r="B250" s="11" t="s">
        <v>96</v>
      </c>
      <c r="C250" s="41" t="n">
        <v>20.4</v>
      </c>
      <c r="I250" s="11" t="s">
        <v>564</v>
      </c>
    </row>
    <row r="251" customFormat="false" ht="15" hidden="false" customHeight="false" outlineLevel="1" collapsed="false">
      <c r="A251" s="3" t="s">
        <v>565</v>
      </c>
      <c r="B251" s="11" t="s">
        <v>96</v>
      </c>
      <c r="C251" s="41" t="n">
        <v>21.1</v>
      </c>
      <c r="I251" s="11" t="s">
        <v>566</v>
      </c>
    </row>
    <row r="252" customFormat="false" ht="15" hidden="false" customHeight="false" outlineLevel="1" collapsed="false">
      <c r="A252" s="3" t="s">
        <v>567</v>
      </c>
      <c r="B252" s="11" t="s">
        <v>96</v>
      </c>
      <c r="C252" s="42" t="n">
        <f aca="false">MEDIAN(輸入與假設!$C$250,輸入與假設!$C$251)</f>
        <v>20.75</v>
      </c>
      <c r="I252" s="6" t="s">
        <v>568</v>
      </c>
    </row>
    <row r="253" customFormat="false" ht="15" hidden="false" customHeight="false" outlineLevel="1" collapsed="false">
      <c r="A253" s="3" t="s">
        <v>569</v>
      </c>
      <c r="B253" s="11" t="s">
        <v>96</v>
      </c>
      <c r="C253" s="41"/>
      <c r="I253" s="11" t="s">
        <v>570</v>
      </c>
    </row>
    <row r="254" customFormat="false" ht="15" hidden="false" customHeight="false" outlineLevel="1" collapsed="false">
      <c r="A254" s="3" t="s">
        <v>571</v>
      </c>
      <c r="B254" s="11" t="s">
        <v>96</v>
      </c>
      <c r="C254" s="42" t="n">
        <f aca="false">IF(ISBLANK(輸入與假設!$C$253),輸入與假設!$C$252,輸入與假設!$C$253)</f>
        <v>20.75</v>
      </c>
      <c r="I254" s="6" t="s">
        <v>572</v>
      </c>
    </row>
    <row r="255" customFormat="false" ht="15" hidden="false" customHeight="false" outlineLevel="1" collapsed="false">
      <c r="A255" s="4" t="s">
        <v>573</v>
      </c>
      <c r="B255" s="6"/>
      <c r="C255" s="18" t="n">
        <v>3</v>
      </c>
      <c r="I255" s="6" t="s">
        <v>574</v>
      </c>
    </row>
    <row r="256" customFormat="false" ht="15" hidden="false" customHeight="false" outlineLevel="1" collapsed="false">
      <c r="A256" s="3" t="s">
        <v>575</v>
      </c>
      <c r="B256" s="11" t="s">
        <v>42</v>
      </c>
      <c r="C256" s="24" t="n">
        <v>0.45</v>
      </c>
      <c r="I256" s="6"/>
    </row>
    <row r="257" customFormat="false" ht="15" hidden="false" customHeight="false" outlineLevel="1" collapsed="false">
      <c r="A257" s="3" t="s">
        <v>576</v>
      </c>
      <c r="B257" s="11" t="s">
        <v>42</v>
      </c>
      <c r="C257" s="24" t="n">
        <v>0.55</v>
      </c>
      <c r="I257" s="6"/>
    </row>
    <row r="258" customFormat="false" ht="15" hidden="false" customHeight="false" outlineLevel="1" collapsed="false">
      <c r="A258" s="3" t="s">
        <v>577</v>
      </c>
      <c r="B258" s="11" t="s">
        <v>96</v>
      </c>
      <c r="C258" s="41" t="n">
        <v>5</v>
      </c>
      <c r="I258" s="11" t="s">
        <v>578</v>
      </c>
    </row>
    <row r="259" customFormat="false" ht="15" hidden="false" customHeight="false" outlineLevel="1" collapsed="false">
      <c r="A259" s="3" t="s">
        <v>579</v>
      </c>
      <c r="B259" s="11" t="s">
        <v>96</v>
      </c>
      <c r="C259" s="41" t="n">
        <v>6</v>
      </c>
      <c r="I259" s="6"/>
    </row>
    <row r="260" customFormat="false" ht="15" hidden="false" customHeight="false" outlineLevel="1" collapsed="false">
      <c r="A260" s="3" t="s">
        <v>580</v>
      </c>
      <c r="B260" s="11" t="s">
        <v>42</v>
      </c>
      <c r="C260" s="24" t="n">
        <v>0.01</v>
      </c>
      <c r="I260" s="6" t="s">
        <v>581</v>
      </c>
    </row>
    <row r="261" customFormat="false" ht="15" hidden="false" customHeight="false" outlineLevel="1" collapsed="false">
      <c r="A261" s="3" t="s">
        <v>582</v>
      </c>
      <c r="B261" s="11" t="s">
        <v>59</v>
      </c>
      <c r="C261" s="25" t="n">
        <v>22.034</v>
      </c>
      <c r="I261" s="11" t="s">
        <v>583</v>
      </c>
    </row>
    <row r="262" customFormat="false" ht="15" hidden="false" customHeight="false" outlineLevel="1" collapsed="false">
      <c r="A262" s="31" t="s">
        <v>584</v>
      </c>
      <c r="B262" s="20"/>
      <c r="C262" s="20"/>
      <c r="D262" s="20"/>
      <c r="E262" s="20"/>
      <c r="F262" s="20"/>
      <c r="G262" s="20"/>
      <c r="H262" s="20"/>
    </row>
    <row r="263" customFormat="false" ht="15" hidden="false" customHeight="false" outlineLevel="2" collapsed="false">
      <c r="A263" s="4" t="s">
        <v>585</v>
      </c>
      <c r="B263" s="6"/>
      <c r="C263" s="18" t="n">
        <v>1</v>
      </c>
      <c r="I263" s="11" t="s">
        <v>586</v>
      </c>
    </row>
    <row r="264" customFormat="false" ht="15" hidden="false" customHeight="false" outlineLevel="2" collapsed="false">
      <c r="A264" s="3" t="s">
        <v>587</v>
      </c>
      <c r="B264" s="11" t="s">
        <v>42</v>
      </c>
      <c r="C264" s="24" t="n">
        <v>0.5</v>
      </c>
      <c r="I264" s="6" t="s">
        <v>588</v>
      </c>
    </row>
    <row r="265" customFormat="false" ht="15" hidden="false" customHeight="false" outlineLevel="2" collapsed="false">
      <c r="A265" s="3" t="s">
        <v>589</v>
      </c>
      <c r="B265" s="6" t="s">
        <v>180</v>
      </c>
      <c r="C265" s="26" t="n">
        <v>4.5</v>
      </c>
      <c r="I265" s="6" t="s">
        <v>590</v>
      </c>
    </row>
    <row r="266" customFormat="false" ht="15" hidden="false" customHeight="false" outlineLevel="1" collapsed="false">
      <c r="A266" s="19" t="s">
        <v>591</v>
      </c>
      <c r="B266" s="20"/>
      <c r="C266" s="20"/>
      <c r="D266" s="20"/>
      <c r="E266" s="20"/>
      <c r="F266" s="20"/>
      <c r="G266" s="20"/>
      <c r="H266" s="20"/>
    </row>
    <row r="267" customFormat="false" ht="15" hidden="false" customHeight="false" outlineLevel="2" collapsed="false">
      <c r="A267" s="3" t="s">
        <v>592</v>
      </c>
      <c r="B267" s="6" t="s">
        <v>593</v>
      </c>
      <c r="C267" s="22" t="n">
        <v>12</v>
      </c>
      <c r="I267" s="11" t="s">
        <v>594</v>
      </c>
    </row>
    <row r="268" customFormat="false" ht="15" hidden="false" customHeight="false" outlineLevel="2" collapsed="false">
      <c r="A268" s="3" t="s">
        <v>595</v>
      </c>
      <c r="B268" s="6"/>
      <c r="C268" s="43" t="s">
        <v>596</v>
      </c>
      <c r="I268" s="11" t="s">
        <v>597</v>
      </c>
    </row>
    <row r="269" customFormat="false" ht="15" hidden="false" customHeight="false" outlineLevel="2" collapsed="false">
      <c r="A269" s="3" t="s">
        <v>598</v>
      </c>
      <c r="B269" s="6"/>
      <c r="C269" s="43" t="s">
        <v>599</v>
      </c>
      <c r="I269" s="11" t="s">
        <v>600</v>
      </c>
    </row>
    <row r="270" customFormat="false" ht="15" hidden="false" customHeight="false" outlineLevel="2" collapsed="false">
      <c r="A270" s="3" t="s">
        <v>601</v>
      </c>
      <c r="B270" s="6"/>
      <c r="C270" s="43" t="s">
        <v>602</v>
      </c>
      <c r="I270" s="6" t="s">
        <v>603</v>
      </c>
    </row>
    <row r="271" customFormat="false" ht="15" hidden="false" customHeight="false" outlineLevel="2" collapsed="false">
      <c r="A271" s="3" t="s">
        <v>604</v>
      </c>
      <c r="B271" s="6" t="s">
        <v>180</v>
      </c>
      <c r="C271" s="32" t="n">
        <v>1</v>
      </c>
      <c r="I271" s="6"/>
    </row>
    <row r="272" customFormat="false" ht="15" hidden="false" customHeight="false" outlineLevel="2" collapsed="false">
      <c r="A272" s="3" t="s">
        <v>605</v>
      </c>
      <c r="B272" s="6"/>
      <c r="C272" s="43" t="s">
        <v>606</v>
      </c>
      <c r="I272" s="6" t="s">
        <v>607</v>
      </c>
    </row>
    <row r="273" customFormat="false" ht="15" hidden="false" customHeight="false" outlineLevel="2" collapsed="false">
      <c r="A273" s="3" t="s">
        <v>608</v>
      </c>
      <c r="B273" s="6"/>
      <c r="C273" s="43" t="s">
        <v>609</v>
      </c>
      <c r="I273" s="11" t="s">
        <v>610</v>
      </c>
    </row>
    <row r="274" customFormat="false" ht="15" hidden="false" customHeight="false" outlineLevel="2" collapsed="false">
      <c r="A274" s="3" t="s">
        <v>611</v>
      </c>
      <c r="B274" s="6"/>
      <c r="C274" s="43" t="s">
        <v>612</v>
      </c>
      <c r="I274" s="11" t="s">
        <v>613</v>
      </c>
    </row>
    <row r="275" customFormat="false" ht="15" hidden="false" customHeight="false" outlineLevel="2" collapsed="false">
      <c r="A275" s="3" t="s">
        <v>614</v>
      </c>
      <c r="B275" s="6" t="s">
        <v>180</v>
      </c>
      <c r="C275" s="32" t="n">
        <v>0.5</v>
      </c>
      <c r="I275" s="11" t="s">
        <v>615</v>
      </c>
    </row>
    <row r="276" customFormat="false" ht="15" hidden="false" customHeight="false" outlineLevel="2" collapsed="false">
      <c r="A276" s="14" t="s">
        <v>616</v>
      </c>
      <c r="B276" s="14" t="s">
        <v>54</v>
      </c>
      <c r="C276" s="28" t="s">
        <v>55</v>
      </c>
      <c r="D276" s="28" t="s">
        <v>56</v>
      </c>
      <c r="E276" s="28" t="s">
        <v>57</v>
      </c>
      <c r="F276" s="28" t="s">
        <v>138</v>
      </c>
      <c r="G276" s="28" t="s">
        <v>139</v>
      </c>
      <c r="I276" s="14" t="s">
        <v>202</v>
      </c>
    </row>
    <row r="277" customFormat="false" ht="15" hidden="false" customHeight="false" outlineLevel="2" collapsed="false">
      <c r="A277" s="3" t="s">
        <v>617</v>
      </c>
      <c r="B277" s="6"/>
      <c r="C277" s="43" t="s">
        <v>618</v>
      </c>
      <c r="D277" s="43" t="s">
        <v>619</v>
      </c>
      <c r="E277" s="43" t="s">
        <v>620</v>
      </c>
      <c r="F277" s="43" t="s">
        <v>621</v>
      </c>
      <c r="G277" s="43" t="s">
        <v>622</v>
      </c>
      <c r="I277" s="6" t="s">
        <v>623</v>
      </c>
    </row>
    <row r="278" customFormat="false" ht="15" hidden="false" customHeight="false" outlineLevel="2" collapsed="false">
      <c r="A278" s="3" t="s">
        <v>624</v>
      </c>
      <c r="B278" s="6" t="s">
        <v>180</v>
      </c>
      <c r="C278" s="32" t="n">
        <v>0.5</v>
      </c>
      <c r="D278" s="32" t="n">
        <v>1.5</v>
      </c>
      <c r="E278" s="32" t="n">
        <v>2.5</v>
      </c>
      <c r="F278" s="32" t="n">
        <v>3.5</v>
      </c>
      <c r="G278" s="32" t="n">
        <v>4.5</v>
      </c>
      <c r="I278" s="6" t="s">
        <v>623</v>
      </c>
    </row>
    <row r="279" customFormat="false" ht="15" hidden="false" customHeight="false" outlineLevel="2" collapsed="false">
      <c r="A279" s="3" t="s">
        <v>625</v>
      </c>
      <c r="B279" s="6" t="s">
        <v>180</v>
      </c>
      <c r="C279" s="32" t="n">
        <v>0</v>
      </c>
      <c r="D279" s="32" t="n">
        <v>0.5</v>
      </c>
      <c r="E279" s="32" t="n">
        <v>1.5</v>
      </c>
      <c r="F279" s="32" t="n">
        <v>2.5</v>
      </c>
      <c r="G279" s="32" t="n">
        <v>3.5</v>
      </c>
      <c r="I279" s="6" t="s">
        <v>623</v>
      </c>
    </row>
    <row r="280" customFormat="false" ht="15" hidden="false" customHeight="false" outlineLevel="1" collapsed="false">
      <c r="A280" s="19" t="s">
        <v>626</v>
      </c>
      <c r="B280" s="20"/>
      <c r="C280" s="20"/>
      <c r="D280" s="20"/>
      <c r="E280" s="20"/>
      <c r="F280" s="20"/>
      <c r="G280" s="20"/>
      <c r="H280" s="20"/>
    </row>
    <row r="281" customFormat="false" ht="15" hidden="false" customHeight="false" outlineLevel="2" collapsed="false">
      <c r="A281" s="3" t="s">
        <v>627</v>
      </c>
      <c r="B281" s="11" t="s">
        <v>42</v>
      </c>
      <c r="C281" s="24" t="n">
        <v>0.25</v>
      </c>
      <c r="I281" s="6" t="s">
        <v>628</v>
      </c>
    </row>
    <row r="282" customFormat="false" ht="15" hidden="false" customHeight="false" outlineLevel="2" collapsed="false">
      <c r="A282" s="3" t="s">
        <v>629</v>
      </c>
      <c r="B282" s="11" t="s">
        <v>42</v>
      </c>
      <c r="C282" s="24" t="n">
        <v>0.9</v>
      </c>
      <c r="I282" s="6" t="s">
        <v>630</v>
      </c>
    </row>
    <row r="283" customFormat="false" ht="15" hidden="false" customHeight="false" outlineLevel="2" collapsed="false">
      <c r="A283" s="3" t="s">
        <v>631</v>
      </c>
      <c r="B283" s="11" t="s">
        <v>42</v>
      </c>
      <c r="C283" s="24" t="n">
        <v>-0.15</v>
      </c>
      <c r="I283" s="6" t="s">
        <v>632</v>
      </c>
    </row>
    <row r="284" customFormat="false" ht="15" hidden="false" customHeight="false" outlineLevel="2" collapsed="false">
      <c r="A284" s="3" t="s">
        <v>633</v>
      </c>
      <c r="B284" s="11" t="s">
        <v>96</v>
      </c>
      <c r="C284" s="41" t="n">
        <v>1.5</v>
      </c>
      <c r="I284" s="6" t="s">
        <v>634</v>
      </c>
    </row>
    <row r="285" customFormat="false" ht="15" hidden="false" customHeight="false" outlineLevel="2" collapsed="false">
      <c r="A285" s="3" t="s">
        <v>635</v>
      </c>
      <c r="B285" s="11" t="s">
        <v>42</v>
      </c>
      <c r="C285" s="24" t="n">
        <v>-0.08</v>
      </c>
      <c r="I285" s="6" t="s">
        <v>636</v>
      </c>
    </row>
    <row r="286" customFormat="false" ht="15" hidden="false" customHeight="false" outlineLevel="2" collapsed="false">
      <c r="A286" s="3" t="s">
        <v>637</v>
      </c>
      <c r="B286" s="11" t="s">
        <v>42</v>
      </c>
      <c r="C286" s="24" t="n">
        <v>0.05</v>
      </c>
      <c r="I286" s="6" t="s">
        <v>638</v>
      </c>
    </row>
    <row r="287" customFormat="false" ht="15" hidden="false" customHeight="false" outlineLevel="2" collapsed="false">
      <c r="A287" s="3" t="s">
        <v>639</v>
      </c>
      <c r="B287" s="11" t="s">
        <v>42</v>
      </c>
      <c r="C287" s="24" t="n">
        <v>0.85</v>
      </c>
      <c r="I287" s="6" t="s">
        <v>640</v>
      </c>
    </row>
    <row r="289" customFormat="false" ht="15" hidden="false" customHeight="false" outlineLevel="0" collapsed="true">
      <c r="A289" s="7" t="s">
        <v>641</v>
      </c>
      <c r="B289" s="8"/>
      <c r="C289" s="8"/>
      <c r="D289" s="8"/>
      <c r="E289" s="8"/>
      <c r="F289" s="8"/>
      <c r="G289" s="8"/>
      <c r="H289" s="8"/>
    </row>
    <row r="290" customFormat="false" ht="15" hidden="true" customHeight="false" outlineLevel="1" collapsed="false">
      <c r="A290" s="4" t="s">
        <v>642</v>
      </c>
      <c r="B290" s="11" t="s">
        <v>59</v>
      </c>
      <c r="C290" s="25" t="n">
        <v>114.441</v>
      </c>
      <c r="I290" s="6" t="s">
        <v>643</v>
      </c>
    </row>
    <row r="291" customFormat="false" ht="15" hidden="true" customHeight="false" outlineLevel="1" collapsed="false">
      <c r="A291" s="3" t="s">
        <v>644</v>
      </c>
      <c r="B291" s="11" t="s">
        <v>59</v>
      </c>
      <c r="C291" s="25" t="n">
        <v>89.105</v>
      </c>
      <c r="I291" s="11" t="s">
        <v>645</v>
      </c>
    </row>
    <row r="292" customFormat="false" ht="15" hidden="true" customHeight="false" outlineLevel="1" collapsed="false">
      <c r="A292" s="3" t="s">
        <v>646</v>
      </c>
      <c r="B292" s="11" t="s">
        <v>59</v>
      </c>
      <c r="C292" s="25" t="n">
        <v>344.712</v>
      </c>
      <c r="I292" s="11" t="s">
        <v>647</v>
      </c>
    </row>
    <row r="293" customFormat="false" ht="15" hidden="true" customHeight="false" outlineLevel="1" collapsed="false">
      <c r="A293" s="4" t="s">
        <v>648</v>
      </c>
      <c r="B293" s="11" t="s">
        <v>59</v>
      </c>
      <c r="C293" s="25" t="n">
        <v>344.712</v>
      </c>
      <c r="I293" s="6" t="s">
        <v>649</v>
      </c>
    </row>
    <row r="294" customFormat="false" ht="15" hidden="true" customHeight="false" outlineLevel="1" collapsed="false">
      <c r="A294" s="4" t="s">
        <v>650</v>
      </c>
      <c r="B294" s="11" t="s">
        <v>59</v>
      </c>
      <c r="C294" s="25" t="n">
        <v>0</v>
      </c>
      <c r="I294" s="6" t="s">
        <v>651</v>
      </c>
    </row>
    <row r="295" customFormat="false" ht="15" hidden="true" customHeight="false" outlineLevel="1" collapsed="false">
      <c r="A295" s="3" t="s">
        <v>652</v>
      </c>
      <c r="B295" s="11" t="s">
        <v>59</v>
      </c>
      <c r="C295" s="25" t="n">
        <v>304.526</v>
      </c>
      <c r="I295" s="6" t="s">
        <v>653</v>
      </c>
    </row>
    <row r="296" customFormat="false" ht="15" hidden="true" customHeight="false" outlineLevel="1" collapsed="false">
      <c r="A296" s="3" t="s">
        <v>654</v>
      </c>
      <c r="B296" s="11" t="s">
        <v>59</v>
      </c>
      <c r="C296" s="25" t="n">
        <v>12.599</v>
      </c>
      <c r="I296" s="6" t="s">
        <v>655</v>
      </c>
    </row>
    <row r="297" customFormat="false" ht="15" hidden="true" customHeight="false" outlineLevel="1" collapsed="false">
      <c r="A297" s="4" t="s">
        <v>656</v>
      </c>
      <c r="B297" s="11" t="s">
        <v>59</v>
      </c>
      <c r="C297" s="25" t="n">
        <v>120</v>
      </c>
      <c r="I297" s="6" t="s">
        <v>657</v>
      </c>
    </row>
    <row r="298" customFormat="false" ht="15" hidden="true" customHeight="false" outlineLevel="1" collapsed="false">
      <c r="A298" s="3" t="s">
        <v>658</v>
      </c>
      <c r="B298" s="11" t="s">
        <v>59</v>
      </c>
      <c r="C298" s="25" t="n">
        <v>0</v>
      </c>
      <c r="I298" s="11" t="s">
        <v>659</v>
      </c>
    </row>
    <row r="299" customFormat="false" ht="15" hidden="true" customHeight="false" outlineLevel="1" collapsed="false">
      <c r="A299" s="3" t="s">
        <v>660</v>
      </c>
      <c r="B299" s="11" t="s">
        <v>59</v>
      </c>
      <c r="C299" s="25" t="n">
        <v>8.011</v>
      </c>
      <c r="I299" s="11" t="s">
        <v>661</v>
      </c>
    </row>
    <row r="300" customFormat="false" ht="15" hidden="true" customHeight="false" outlineLevel="1" collapsed="false">
      <c r="A300" s="3" t="s">
        <v>662</v>
      </c>
      <c r="B300" s="11" t="s">
        <v>59</v>
      </c>
      <c r="C300" s="25" t="n">
        <v>13.044</v>
      </c>
      <c r="I300" s="6" t="s">
        <v>663</v>
      </c>
    </row>
    <row r="301" customFormat="false" ht="15" hidden="true" customHeight="false" outlineLevel="1" collapsed="false">
      <c r="A301" s="3" t="s">
        <v>664</v>
      </c>
      <c r="B301" s="11" t="s">
        <v>59</v>
      </c>
      <c r="C301" s="25" t="n">
        <v>50.762</v>
      </c>
      <c r="I301" s="6" t="s">
        <v>665</v>
      </c>
    </row>
    <row r="302" customFormat="false" ht="15" hidden="true" customHeight="false" outlineLevel="1" collapsed="false">
      <c r="A302" s="4" t="s">
        <v>666</v>
      </c>
      <c r="B302" s="11" t="s">
        <v>59</v>
      </c>
      <c r="C302" s="25" t="n">
        <v>-20.275</v>
      </c>
      <c r="I302" s="6" t="s">
        <v>667</v>
      </c>
    </row>
    <row r="303" customFormat="false" ht="15" hidden="true" customHeight="false" outlineLevel="1" collapsed="false">
      <c r="A303" s="3" t="s">
        <v>668</v>
      </c>
      <c r="B303" s="11" t="s">
        <v>59</v>
      </c>
      <c r="C303" s="25" t="n">
        <v>-27.018</v>
      </c>
      <c r="I303" s="6" t="s">
        <v>669</v>
      </c>
    </row>
    <row r="304" customFormat="false" ht="15" hidden="true" customHeight="false" outlineLevel="1" collapsed="false">
      <c r="A304" s="3" t="s">
        <v>670</v>
      </c>
      <c r="B304" s="11" t="s">
        <v>59</v>
      </c>
      <c r="C304" s="25" t="n">
        <v>72.6</v>
      </c>
      <c r="I304" s="6" t="s">
        <v>671</v>
      </c>
    </row>
    <row r="305" customFormat="false" ht="15" hidden="true" customHeight="false" outlineLevel="1" collapsed="false">
      <c r="A305" s="4" t="s">
        <v>672</v>
      </c>
      <c r="B305" s="11" t="s">
        <v>59</v>
      </c>
      <c r="C305" s="25" t="n">
        <v>13.008</v>
      </c>
      <c r="I305" s="6" t="s">
        <v>673</v>
      </c>
    </row>
    <row r="306" customFormat="false" ht="15" hidden="true" customHeight="false" outlineLevel="1" collapsed="false">
      <c r="A306" s="4" t="s">
        <v>674</v>
      </c>
      <c r="B306" s="11" t="s">
        <v>59</v>
      </c>
      <c r="C306" s="25" t="n">
        <v>11.017</v>
      </c>
      <c r="I306" s="6" t="s">
        <v>675</v>
      </c>
    </row>
    <row r="307" customFormat="false" ht="15" hidden="true" customHeight="false" outlineLevel="1" collapsed="false">
      <c r="A307" s="4" t="s">
        <v>676</v>
      </c>
      <c r="B307" s="11" t="s">
        <v>39</v>
      </c>
      <c r="C307" s="25" t="n">
        <v>-0.7</v>
      </c>
      <c r="I307" s="11" t="s">
        <v>677</v>
      </c>
    </row>
    <row r="308" customFormat="false" ht="15" hidden="true" customHeight="false" outlineLevel="1" collapsed="false">
      <c r="A308" s="4" t="s">
        <v>678</v>
      </c>
      <c r="B308" s="11" t="s">
        <v>39</v>
      </c>
      <c r="C308" s="25" t="n">
        <v>-0.41</v>
      </c>
      <c r="I308" s="11" t="s">
        <v>679</v>
      </c>
    </row>
    <row r="309" customFormat="false" ht="15" hidden="true" customHeight="false" outlineLevel="1" collapsed="false">
      <c r="A309" s="3" t="s">
        <v>680</v>
      </c>
      <c r="B309" s="11" t="s">
        <v>59</v>
      </c>
      <c r="C309" s="25" t="n">
        <v>0</v>
      </c>
      <c r="I309" s="6" t="s">
        <v>681</v>
      </c>
    </row>
    <row r="310" customFormat="false" ht="15" hidden="true" customHeight="false" outlineLevel="1" collapsed="false">
      <c r="A310" s="3" t="s">
        <v>682</v>
      </c>
      <c r="B310" s="11" t="s">
        <v>59</v>
      </c>
      <c r="C310" s="25" t="n">
        <v>8.536</v>
      </c>
      <c r="I310" s="11" t="s">
        <v>683</v>
      </c>
    </row>
    <row r="311" customFormat="false" ht="15" hidden="true" customHeight="false" outlineLevel="1" collapsed="false">
      <c r="A311" s="4" t="s">
        <v>684</v>
      </c>
      <c r="B311" s="11" t="s">
        <v>59</v>
      </c>
      <c r="C311" s="25" t="n">
        <v>0</v>
      </c>
      <c r="I311" s="6" t="s">
        <v>649</v>
      </c>
    </row>
    <row r="313" customFormat="false" ht="15" hidden="false" customHeight="false" outlineLevel="0" collapsed="false">
      <c r="A313" s="7" t="s">
        <v>685</v>
      </c>
      <c r="B313" s="8"/>
      <c r="C313" s="8"/>
      <c r="D313" s="8"/>
      <c r="E313" s="8"/>
      <c r="F313" s="8"/>
      <c r="G313" s="8"/>
      <c r="H313" s="8"/>
      <c r="I313" s="6" t="s">
        <v>686</v>
      </c>
    </row>
    <row r="314" customFormat="false" ht="15" hidden="false" customHeight="false" outlineLevel="1" collapsed="false">
      <c r="A314" s="3" t="s">
        <v>687</v>
      </c>
      <c r="D314" s="12" t="n">
        <f aca="false">評價_DCF與目標價!C51</f>
        <v>16.8386490701346</v>
      </c>
      <c r="E314" s="9" t="n">
        <f aca="false">評價_DCF與目標價!C78</f>
        <v>0</v>
      </c>
    </row>
    <row r="315" customFormat="false" ht="15" hidden="false" customHeight="false" outlineLevel="1" collapsed="false">
      <c r="A315" s="3" t="s">
        <v>688</v>
      </c>
      <c r="C315" s="9" t="n">
        <v>1</v>
      </c>
      <c r="D315" s="44" t="n">
        <f t="dataTable" ref="D315:E317" dt2D="0" dtr="0" r1="C5"/>
        <v>10.0441745538188</v>
      </c>
      <c r="E315" s="45" t="n">
        <v>-1</v>
      </c>
    </row>
    <row r="316" customFormat="false" ht="15" hidden="false" customHeight="false" outlineLevel="1" collapsed="false">
      <c r="A316" s="3" t="s">
        <v>689</v>
      </c>
      <c r="C316" s="9" t="n">
        <v>2</v>
      </c>
      <c r="D316" s="44" t="n">
        <v>16.8386490701346</v>
      </c>
      <c r="E316" s="45" t="n">
        <v>0</v>
      </c>
    </row>
    <row r="317" customFormat="false" ht="15" hidden="false" customHeight="false" outlineLevel="1" collapsed="false">
      <c r="A317" s="3" t="s">
        <v>690</v>
      </c>
      <c r="C317" s="9" t="n">
        <v>3</v>
      </c>
      <c r="D317" s="44" t="n">
        <v>34.655938047323</v>
      </c>
      <c r="E317" s="45" t="n">
        <v>0</v>
      </c>
    </row>
    <row r="319" customFormat="false" ht="15" hidden="false" customHeight="false" outlineLevel="0" collapsed="false">
      <c r="A319" s="7" t="s">
        <v>691</v>
      </c>
      <c r="B319" s="8"/>
      <c r="C319" s="8"/>
      <c r="D319" s="8"/>
      <c r="E319" s="8"/>
      <c r="F319" s="8"/>
      <c r="G319" s="8"/>
      <c r="H319" s="8"/>
      <c r="I319" s="6" t="s">
        <v>692</v>
      </c>
    </row>
    <row r="320" customFormat="false" ht="15" hidden="false" customHeight="false" outlineLevel="1" collapsed="false">
      <c r="A320" s="14" t="s">
        <v>693</v>
      </c>
      <c r="B320" s="14" t="s">
        <v>54</v>
      </c>
      <c r="C320" s="14" t="s">
        <v>694</v>
      </c>
      <c r="D320" s="14"/>
      <c r="E320" s="14"/>
      <c r="F320" s="14" t="s">
        <v>695</v>
      </c>
      <c r="G320" s="14" t="s">
        <v>696</v>
      </c>
      <c r="H320" s="14"/>
      <c r="I320" s="14" t="s">
        <v>697</v>
      </c>
      <c r="J320" s="14" t="s">
        <v>698</v>
      </c>
    </row>
    <row r="321" customFormat="false" ht="15" hidden="false" customHeight="false" outlineLevel="1" collapsed="false">
      <c r="A321" s="3" t="s">
        <v>699</v>
      </c>
      <c r="B321" s="11" t="s">
        <v>39</v>
      </c>
      <c r="C321" s="39" t="n">
        <v>16.83</v>
      </c>
      <c r="F321" s="11" t="s">
        <v>612</v>
      </c>
      <c r="G321" s="11" t="s">
        <v>700</v>
      </c>
      <c r="I321" s="11" t="s">
        <v>701</v>
      </c>
      <c r="J321" s="6" t="s">
        <v>702</v>
      </c>
    </row>
    <row r="322" customFormat="false" ht="15" hidden="false" customHeight="false" outlineLevel="1" collapsed="false">
      <c r="A322" s="3" t="s">
        <v>703</v>
      </c>
      <c r="B322" s="11" t="s">
        <v>39</v>
      </c>
      <c r="C322" s="39" t="n">
        <v>38</v>
      </c>
      <c r="F322" s="11" t="s">
        <v>609</v>
      </c>
      <c r="G322" s="11" t="s">
        <v>704</v>
      </c>
      <c r="I322" s="11" t="s">
        <v>705</v>
      </c>
      <c r="J322" s="6"/>
    </row>
    <row r="323" customFormat="false" ht="15" hidden="false" customHeight="false" outlineLevel="1" collapsed="false">
      <c r="A323" s="3" t="s">
        <v>706</v>
      </c>
      <c r="B323" s="11" t="s">
        <v>39</v>
      </c>
      <c r="C323" s="39" t="n">
        <v>32</v>
      </c>
      <c r="F323" s="11" t="s">
        <v>609</v>
      </c>
      <c r="G323" s="11" t="s">
        <v>704</v>
      </c>
      <c r="I323" s="11" t="s">
        <v>705</v>
      </c>
      <c r="J323" s="6"/>
    </row>
    <row r="324" customFormat="false" ht="15" hidden="false" customHeight="false" outlineLevel="1" collapsed="false">
      <c r="A324" s="3" t="s">
        <v>707</v>
      </c>
      <c r="B324" s="11" t="s">
        <v>39</v>
      </c>
      <c r="C324" s="39" t="n">
        <v>50</v>
      </c>
      <c r="F324" s="11" t="s">
        <v>609</v>
      </c>
      <c r="G324" s="11" t="s">
        <v>704</v>
      </c>
      <c r="I324" s="11" t="s">
        <v>705</v>
      </c>
      <c r="J324" s="6"/>
    </row>
    <row r="325" customFormat="false" ht="15" hidden="false" customHeight="false" outlineLevel="1" collapsed="false">
      <c r="A325" s="3" t="s">
        <v>708</v>
      </c>
      <c r="B325" s="6" t="s">
        <v>125</v>
      </c>
      <c r="C325" s="21" t="n">
        <v>11</v>
      </c>
      <c r="F325" s="11" t="s">
        <v>609</v>
      </c>
      <c r="G325" s="11" t="s">
        <v>704</v>
      </c>
      <c r="I325" s="11" t="s">
        <v>705</v>
      </c>
      <c r="J325" s="6"/>
    </row>
    <row r="326" customFormat="false" ht="15" hidden="false" customHeight="false" outlineLevel="1" collapsed="false">
      <c r="A326" s="3" t="s">
        <v>709</v>
      </c>
      <c r="B326" s="6"/>
      <c r="C326" s="4" t="s">
        <v>710</v>
      </c>
      <c r="F326" s="11" t="s">
        <v>609</v>
      </c>
      <c r="G326" s="11" t="s">
        <v>704</v>
      </c>
      <c r="I326" s="11" t="s">
        <v>705</v>
      </c>
      <c r="J326" s="6"/>
    </row>
    <row r="327" customFormat="false" ht="15" hidden="false" customHeight="false" outlineLevel="1" collapsed="false">
      <c r="A327" s="3" t="s">
        <v>711</v>
      </c>
      <c r="B327" s="11" t="s">
        <v>39</v>
      </c>
      <c r="C327" s="39" t="n">
        <v>40.5</v>
      </c>
      <c r="F327" s="11" t="s">
        <v>609</v>
      </c>
      <c r="G327" s="11" t="s">
        <v>704</v>
      </c>
      <c r="I327" s="11" t="s">
        <v>712</v>
      </c>
      <c r="J327" s="6"/>
    </row>
    <row r="328" customFormat="false" ht="15" hidden="false" customHeight="false" outlineLevel="1" collapsed="false">
      <c r="A328" s="3" t="s">
        <v>713</v>
      </c>
      <c r="B328" s="6" t="s">
        <v>125</v>
      </c>
      <c r="C328" s="21" t="n">
        <v>10</v>
      </c>
      <c r="F328" s="11" t="s">
        <v>609</v>
      </c>
      <c r="G328" s="11" t="s">
        <v>704</v>
      </c>
      <c r="I328" s="11" t="s">
        <v>712</v>
      </c>
      <c r="J328" s="6"/>
    </row>
    <row r="329" customFormat="false" ht="15" hidden="false" customHeight="false" outlineLevel="1" collapsed="false">
      <c r="A329" s="3" t="s">
        <v>714</v>
      </c>
      <c r="B329" s="6"/>
      <c r="C329" s="4" t="s">
        <v>715</v>
      </c>
      <c r="F329" s="11" t="s">
        <v>609</v>
      </c>
      <c r="G329" s="11" t="s">
        <v>704</v>
      </c>
      <c r="I329" s="11" t="s">
        <v>712</v>
      </c>
      <c r="J329" s="6"/>
    </row>
    <row r="330" customFormat="false" ht="15" hidden="false" customHeight="false" outlineLevel="1" collapsed="false">
      <c r="A330" s="3" t="s">
        <v>716</v>
      </c>
      <c r="B330" s="11" t="s">
        <v>39</v>
      </c>
      <c r="C330" s="39" t="n">
        <v>40.45</v>
      </c>
      <c r="F330" s="11" t="s">
        <v>612</v>
      </c>
      <c r="G330" s="11" t="s">
        <v>704</v>
      </c>
      <c r="I330" s="11" t="s">
        <v>717</v>
      </c>
      <c r="J330" s="6"/>
    </row>
    <row r="331" customFormat="false" ht="15" hidden="false" customHeight="false" outlineLevel="1" collapsed="false">
      <c r="A331" s="3" t="s">
        <v>718</v>
      </c>
      <c r="B331" s="11" t="s">
        <v>39</v>
      </c>
      <c r="C331" s="39" t="n">
        <v>40.89</v>
      </c>
      <c r="F331" s="11" t="s">
        <v>609</v>
      </c>
      <c r="G331" s="11" t="s">
        <v>704</v>
      </c>
      <c r="I331" s="11" t="s">
        <v>719</v>
      </c>
      <c r="J331" s="11" t="s">
        <v>720</v>
      </c>
    </row>
    <row r="332" customFormat="false" ht="15" hidden="false" customHeight="false" outlineLevel="1" collapsed="false">
      <c r="A332" s="3" t="s">
        <v>721</v>
      </c>
      <c r="B332" s="6" t="s">
        <v>125</v>
      </c>
      <c r="C332" s="21" t="n">
        <v>8</v>
      </c>
      <c r="F332" s="11" t="s">
        <v>609</v>
      </c>
      <c r="G332" s="11" t="s">
        <v>704</v>
      </c>
      <c r="I332" s="11" t="s">
        <v>719</v>
      </c>
      <c r="J332" s="6"/>
    </row>
    <row r="333" customFormat="false" ht="15" hidden="false" customHeight="false" outlineLevel="1" collapsed="false">
      <c r="A333" s="3" t="s">
        <v>722</v>
      </c>
      <c r="B333" s="11" t="s">
        <v>39</v>
      </c>
      <c r="C333" s="39" t="n">
        <v>35.92</v>
      </c>
      <c r="F333" s="11" t="s">
        <v>609</v>
      </c>
      <c r="G333" s="11" t="s">
        <v>704</v>
      </c>
      <c r="I333" s="11" t="s">
        <v>723</v>
      </c>
      <c r="J333" s="6"/>
    </row>
    <row r="334" customFormat="false" ht="15" hidden="false" customHeight="false" outlineLevel="1" collapsed="false">
      <c r="A334" s="3" t="s">
        <v>724</v>
      </c>
      <c r="B334" s="11" t="s">
        <v>39</v>
      </c>
      <c r="C334" s="39" t="n">
        <v>32.33</v>
      </c>
      <c r="F334" s="11" t="s">
        <v>609</v>
      </c>
      <c r="G334" s="11" t="s">
        <v>704</v>
      </c>
      <c r="I334" s="11" t="s">
        <v>725</v>
      </c>
      <c r="J334" s="6" t="s">
        <v>726</v>
      </c>
    </row>
    <row r="335" customFormat="false" ht="15" hidden="false" customHeight="false" outlineLevel="1" collapsed="false">
      <c r="A335" s="3" t="s">
        <v>727</v>
      </c>
      <c r="B335" s="6" t="s">
        <v>125</v>
      </c>
      <c r="C335" s="21" t="n">
        <v>10</v>
      </c>
      <c r="F335" s="11" t="s">
        <v>609</v>
      </c>
      <c r="G335" s="11" t="s">
        <v>704</v>
      </c>
      <c r="I335" s="11" t="s">
        <v>725</v>
      </c>
      <c r="J335" s="6"/>
    </row>
    <row r="336" customFormat="false" ht="17.15" hidden="false" customHeight="false" outlineLevel="1" collapsed="false">
      <c r="A336" s="14" t="s">
        <v>728</v>
      </c>
      <c r="B336" s="14" t="s">
        <v>54</v>
      </c>
      <c r="C336" s="14" t="s">
        <v>694</v>
      </c>
      <c r="D336" s="14"/>
      <c r="E336" s="14"/>
      <c r="F336" s="14" t="s">
        <v>695</v>
      </c>
      <c r="G336" s="14" t="s">
        <v>696</v>
      </c>
      <c r="H336" s="14"/>
      <c r="I336" s="14" t="s">
        <v>697</v>
      </c>
      <c r="J336" s="14" t="s">
        <v>698</v>
      </c>
    </row>
    <row r="337" customFormat="false" ht="15" hidden="false" customHeight="false" outlineLevel="1" collapsed="false">
      <c r="A337" s="3" t="s">
        <v>729</v>
      </c>
      <c r="B337" s="6" t="s">
        <v>125</v>
      </c>
      <c r="C337" s="21" t="n">
        <v>0</v>
      </c>
      <c r="F337" s="11" t="s">
        <v>609</v>
      </c>
      <c r="G337" s="11" t="s">
        <v>704</v>
      </c>
      <c r="I337" s="11" t="s">
        <v>730</v>
      </c>
      <c r="J337" s="6"/>
    </row>
    <row r="338" customFormat="false" ht="15" hidden="false" customHeight="false" outlineLevel="1" collapsed="false">
      <c r="A338" s="3" t="s">
        <v>731</v>
      </c>
      <c r="B338" s="6" t="s">
        <v>125</v>
      </c>
      <c r="C338" s="21" t="n">
        <v>9</v>
      </c>
      <c r="F338" s="11" t="s">
        <v>609</v>
      </c>
      <c r="G338" s="11" t="s">
        <v>704</v>
      </c>
      <c r="I338" s="11" t="s">
        <v>730</v>
      </c>
      <c r="J338" s="6"/>
    </row>
    <row r="339" customFormat="false" ht="15" hidden="false" customHeight="false" outlineLevel="1" collapsed="false">
      <c r="A339" s="3" t="s">
        <v>732</v>
      </c>
      <c r="B339" s="6" t="s">
        <v>125</v>
      </c>
      <c r="C339" s="21" t="n">
        <v>1</v>
      </c>
      <c r="F339" s="11" t="s">
        <v>609</v>
      </c>
      <c r="G339" s="11" t="s">
        <v>704</v>
      </c>
      <c r="I339" s="11" t="s">
        <v>730</v>
      </c>
      <c r="J339" s="6"/>
    </row>
    <row r="340" customFormat="false" ht="15" hidden="false" customHeight="false" outlineLevel="1" collapsed="false">
      <c r="A340" s="3" t="s">
        <v>733</v>
      </c>
      <c r="B340" s="6" t="s">
        <v>125</v>
      </c>
      <c r="C340" s="21" t="n">
        <v>1</v>
      </c>
      <c r="F340" s="11" t="s">
        <v>609</v>
      </c>
      <c r="G340" s="11" t="s">
        <v>704</v>
      </c>
      <c r="I340" s="11" t="s">
        <v>730</v>
      </c>
      <c r="J340" s="6"/>
    </row>
    <row r="341" customFormat="false" ht="15" hidden="false" customHeight="false" outlineLevel="1" collapsed="false">
      <c r="A341" s="3" t="s">
        <v>734</v>
      </c>
      <c r="B341" s="6" t="s">
        <v>125</v>
      </c>
      <c r="C341" s="21" t="n">
        <v>0</v>
      </c>
      <c r="F341" s="11" t="s">
        <v>609</v>
      </c>
      <c r="G341" s="11" t="s">
        <v>704</v>
      </c>
      <c r="I341" s="11" t="s">
        <v>730</v>
      </c>
      <c r="J341" s="6"/>
    </row>
    <row r="342" customFormat="false" ht="15" hidden="false" customHeight="false" outlineLevel="1" collapsed="false">
      <c r="A342" s="3" t="s">
        <v>735</v>
      </c>
      <c r="B342" s="6" t="s">
        <v>125</v>
      </c>
      <c r="C342" s="21" t="n">
        <v>11</v>
      </c>
      <c r="F342" s="11" t="s">
        <v>609</v>
      </c>
      <c r="G342" s="11" t="s">
        <v>704</v>
      </c>
      <c r="I342" s="11" t="s">
        <v>730</v>
      </c>
      <c r="J342" s="6"/>
    </row>
    <row r="343" customFormat="false" ht="17.15" hidden="false" customHeight="false" outlineLevel="1" collapsed="false">
      <c r="A343" s="14" t="s">
        <v>736</v>
      </c>
      <c r="B343" s="14" t="s">
        <v>54</v>
      </c>
      <c r="C343" s="14" t="s">
        <v>694</v>
      </c>
      <c r="D343" s="14"/>
      <c r="E343" s="14"/>
      <c r="F343" s="14" t="s">
        <v>695</v>
      </c>
      <c r="G343" s="14" t="s">
        <v>696</v>
      </c>
      <c r="H343" s="14"/>
      <c r="I343" s="14" t="s">
        <v>697</v>
      </c>
      <c r="J343" s="14" t="s">
        <v>698</v>
      </c>
    </row>
    <row r="344" customFormat="false" ht="15" hidden="false" customHeight="false" outlineLevel="1" collapsed="false">
      <c r="A344" s="3" t="s">
        <v>737</v>
      </c>
      <c r="B344" s="11" t="s">
        <v>59</v>
      </c>
      <c r="C344" s="46" t="n">
        <v>137</v>
      </c>
      <c r="D344" s="46" t="n">
        <v>296</v>
      </c>
      <c r="E344" s="46" t="n">
        <v>530</v>
      </c>
      <c r="F344" s="11" t="s">
        <v>609</v>
      </c>
      <c r="G344" s="11" t="s">
        <v>704</v>
      </c>
      <c r="I344" s="11" t="s">
        <v>719</v>
      </c>
      <c r="J344" s="6"/>
    </row>
    <row r="345" customFormat="false" ht="15" hidden="false" customHeight="false" outlineLevel="1" collapsed="false">
      <c r="A345" s="3" t="s">
        <v>738</v>
      </c>
      <c r="B345" s="11" t="s">
        <v>59</v>
      </c>
      <c r="C345" s="46" t="n">
        <v>-43</v>
      </c>
      <c r="D345" s="46" t="n">
        <v>3</v>
      </c>
      <c r="E345" s="46" t="n">
        <v>56</v>
      </c>
      <c r="F345" s="11" t="s">
        <v>609</v>
      </c>
      <c r="G345" s="11" t="s">
        <v>704</v>
      </c>
      <c r="I345" s="11" t="s">
        <v>719</v>
      </c>
      <c r="J345" s="6"/>
    </row>
    <row r="346" customFormat="false" ht="15" hidden="false" customHeight="false" outlineLevel="1" collapsed="false">
      <c r="A346" s="3" t="s">
        <v>739</v>
      </c>
      <c r="B346" s="11" t="s">
        <v>59</v>
      </c>
      <c r="C346" s="46" t="n">
        <v>-556</v>
      </c>
      <c r="D346" s="46" t="n">
        <v>-484</v>
      </c>
      <c r="E346" s="46" t="n">
        <v>-848</v>
      </c>
      <c r="F346" s="11" t="s">
        <v>609</v>
      </c>
      <c r="G346" s="11" t="s">
        <v>704</v>
      </c>
      <c r="I346" s="11" t="s">
        <v>719</v>
      </c>
      <c r="J346" s="6"/>
    </row>
    <row r="347" customFormat="false" ht="15" hidden="false" customHeight="false" outlineLevel="1" collapsed="false">
      <c r="A347" s="3" t="s">
        <v>740</v>
      </c>
      <c r="B347" s="6"/>
      <c r="C347" s="3" t="s">
        <v>741</v>
      </c>
      <c r="F347" s="11" t="s">
        <v>609</v>
      </c>
      <c r="G347" s="11" t="s">
        <v>704</v>
      </c>
      <c r="I347" s="11" t="s">
        <v>719</v>
      </c>
      <c r="J347" s="6"/>
    </row>
    <row r="348" customFormat="false" ht="17.15" hidden="false" customHeight="false" outlineLevel="1" collapsed="false">
      <c r="A348" s="15" t="s">
        <v>742</v>
      </c>
      <c r="B348" s="14" t="s">
        <v>54</v>
      </c>
      <c r="C348" s="14" t="s">
        <v>694</v>
      </c>
      <c r="D348" s="14"/>
      <c r="E348" s="14"/>
      <c r="F348" s="14" t="s">
        <v>695</v>
      </c>
      <c r="G348" s="14" t="s">
        <v>696</v>
      </c>
      <c r="H348" s="14"/>
      <c r="I348" s="14" t="s">
        <v>697</v>
      </c>
      <c r="J348" s="14" t="s">
        <v>698</v>
      </c>
    </row>
    <row r="349" customFormat="false" ht="15" hidden="false" customHeight="false" outlineLevel="1" collapsed="false">
      <c r="A349" s="3" t="s">
        <v>743</v>
      </c>
      <c r="B349" s="11" t="s">
        <v>59</v>
      </c>
      <c r="C349" s="46" t="n">
        <v>138</v>
      </c>
      <c r="F349" s="11" t="s">
        <v>609</v>
      </c>
      <c r="G349" s="11" t="s">
        <v>704</v>
      </c>
      <c r="I349" s="11" t="s">
        <v>725</v>
      </c>
      <c r="J349" s="6"/>
    </row>
    <row r="350" customFormat="false" ht="15" hidden="false" customHeight="false" outlineLevel="1" collapsed="false">
      <c r="A350" s="3" t="s">
        <v>744</v>
      </c>
      <c r="B350" s="11" t="s">
        <v>59</v>
      </c>
      <c r="C350" s="46" t="n">
        <v>123</v>
      </c>
      <c r="D350" s="46" t="n">
        <v>150</v>
      </c>
      <c r="F350" s="11" t="s">
        <v>609</v>
      </c>
      <c r="G350" s="11" t="s">
        <v>704</v>
      </c>
      <c r="I350" s="11" t="s">
        <v>725</v>
      </c>
      <c r="J350" s="6"/>
    </row>
    <row r="351" customFormat="false" ht="15" hidden="false" customHeight="false" outlineLevel="1" collapsed="false">
      <c r="A351" s="3" t="s">
        <v>745</v>
      </c>
      <c r="B351" s="11" t="s">
        <v>39</v>
      </c>
      <c r="C351" s="39" t="n">
        <v>-0.63</v>
      </c>
      <c r="F351" s="11" t="s">
        <v>609</v>
      </c>
      <c r="G351" s="11" t="s">
        <v>704</v>
      </c>
      <c r="I351" s="11" t="s">
        <v>725</v>
      </c>
      <c r="J351" s="6"/>
    </row>
    <row r="352" customFormat="false" ht="15" hidden="false" customHeight="false" outlineLevel="1" collapsed="false">
      <c r="A352" s="3" t="s">
        <v>746</v>
      </c>
      <c r="B352" s="11" t="s">
        <v>39</v>
      </c>
      <c r="C352" s="39" t="n">
        <v>-0.92</v>
      </c>
      <c r="D352" s="39" t="n">
        <v>-0.33</v>
      </c>
      <c r="F352" s="11" t="s">
        <v>609</v>
      </c>
      <c r="G352" s="11" t="s">
        <v>704</v>
      </c>
      <c r="I352" s="11" t="s">
        <v>725</v>
      </c>
      <c r="J352" s="11" t="s">
        <v>747</v>
      </c>
    </row>
    <row r="353" customFormat="false" ht="15" hidden="false" customHeight="false" outlineLevel="1" collapsed="false">
      <c r="A353" s="14" t="s">
        <v>748</v>
      </c>
      <c r="B353" s="14" t="s">
        <v>54</v>
      </c>
      <c r="C353" s="14" t="s">
        <v>694</v>
      </c>
      <c r="D353" s="14"/>
      <c r="E353" s="14"/>
      <c r="F353" s="14" t="s">
        <v>695</v>
      </c>
      <c r="G353" s="14" t="s">
        <v>696</v>
      </c>
      <c r="H353" s="14"/>
      <c r="I353" s="14" t="s">
        <v>697</v>
      </c>
      <c r="J353" s="14" t="s">
        <v>698</v>
      </c>
    </row>
    <row r="354" customFormat="false" ht="15" hidden="false" customHeight="false" outlineLevel="1" collapsed="false">
      <c r="A354" s="3" t="s">
        <v>749</v>
      </c>
      <c r="B354" s="11" t="s">
        <v>39</v>
      </c>
      <c r="C354" s="39" t="n">
        <v>37</v>
      </c>
      <c r="F354" s="11" t="s">
        <v>609</v>
      </c>
      <c r="G354" s="11" t="s">
        <v>704</v>
      </c>
      <c r="I354" s="11" t="s">
        <v>730</v>
      </c>
      <c r="J354" s="11" t="s">
        <v>750</v>
      </c>
    </row>
    <row r="355" customFormat="false" ht="15" hidden="false" customHeight="false" outlineLevel="1" collapsed="false">
      <c r="A355" s="3" t="s">
        <v>751</v>
      </c>
      <c r="B355" s="11" t="s">
        <v>39</v>
      </c>
      <c r="C355" s="39" t="n">
        <v>32</v>
      </c>
      <c r="F355" s="11" t="s">
        <v>609</v>
      </c>
      <c r="G355" s="11" t="s">
        <v>704</v>
      </c>
      <c r="I355" s="11" t="s">
        <v>730</v>
      </c>
      <c r="J355" s="11" t="s">
        <v>752</v>
      </c>
    </row>
    <row r="356" customFormat="false" ht="15" hidden="false" customHeight="false" outlineLevel="1" collapsed="false">
      <c r="A356" s="3" t="s">
        <v>753</v>
      </c>
      <c r="B356" s="11" t="s">
        <v>39</v>
      </c>
      <c r="C356" s="39" t="n">
        <v>41</v>
      </c>
      <c r="F356" s="11" t="s">
        <v>609</v>
      </c>
      <c r="G356" s="11" t="s">
        <v>704</v>
      </c>
      <c r="I356" s="11" t="s">
        <v>730</v>
      </c>
      <c r="J356" s="11" t="s">
        <v>754</v>
      </c>
    </row>
    <row r="357" customFormat="false" ht="15" hidden="false" customHeight="false" outlineLevel="1" collapsed="false">
      <c r="A357" s="3" t="s">
        <v>755</v>
      </c>
      <c r="B357" s="11" t="s">
        <v>39</v>
      </c>
      <c r="C357" s="39" t="n">
        <v>36</v>
      </c>
      <c r="F357" s="11" t="s">
        <v>609</v>
      </c>
      <c r="G357" s="11" t="s">
        <v>704</v>
      </c>
      <c r="I357" s="11" t="s">
        <v>730</v>
      </c>
      <c r="J357" s="11" t="s">
        <v>756</v>
      </c>
    </row>
    <row r="358" customFormat="false" ht="15" hidden="false" customHeight="false" outlineLevel="1" collapsed="false">
      <c r="A358" s="3" t="s">
        <v>757</v>
      </c>
      <c r="B358" s="11" t="s">
        <v>39</v>
      </c>
      <c r="C358" s="39" t="n">
        <v>50</v>
      </c>
      <c r="F358" s="11" t="s">
        <v>609</v>
      </c>
      <c r="G358" s="11" t="s">
        <v>704</v>
      </c>
      <c r="I358" s="11" t="s">
        <v>730</v>
      </c>
      <c r="J358" s="11" t="s">
        <v>750</v>
      </c>
    </row>
    <row r="359" customFormat="false" ht="15" hidden="false" customHeight="false" outlineLevel="1" collapsed="false">
      <c r="A359" s="3" t="s">
        <v>758</v>
      </c>
      <c r="B359" s="11" t="s">
        <v>39</v>
      </c>
      <c r="C359" s="3" t="s">
        <v>759</v>
      </c>
      <c r="F359" s="11" t="s">
        <v>609</v>
      </c>
      <c r="G359" s="11" t="s">
        <v>704</v>
      </c>
      <c r="I359" s="11" t="s">
        <v>730</v>
      </c>
      <c r="J359" s="11" t="s">
        <v>760</v>
      </c>
    </row>
    <row r="360" customFormat="false" ht="15" hidden="false" customHeight="false" outlineLevel="1" collapsed="false">
      <c r="A360" s="14" t="s">
        <v>761</v>
      </c>
      <c r="B360" s="14" t="s">
        <v>54</v>
      </c>
      <c r="C360" s="14" t="s">
        <v>694</v>
      </c>
      <c r="D360" s="14"/>
      <c r="E360" s="14"/>
      <c r="F360" s="14" t="s">
        <v>695</v>
      </c>
      <c r="G360" s="14" t="s">
        <v>696</v>
      </c>
      <c r="H360" s="14"/>
      <c r="I360" s="14" t="s">
        <v>697</v>
      </c>
      <c r="J360" s="14" t="s">
        <v>698</v>
      </c>
    </row>
    <row r="361" customFormat="false" ht="15" hidden="false" customHeight="false" outlineLevel="1" collapsed="false">
      <c r="A361" s="3" t="s">
        <v>762</v>
      </c>
      <c r="B361" s="6"/>
      <c r="C361" s="4" t="s">
        <v>763</v>
      </c>
      <c r="F361" s="11" t="s">
        <v>609</v>
      </c>
      <c r="G361" s="6"/>
      <c r="I361" s="6" t="s">
        <v>764</v>
      </c>
      <c r="J361" s="6"/>
    </row>
    <row r="362" customFormat="false" ht="15" hidden="false" customHeight="false" outlineLevel="1" collapsed="false">
      <c r="A362" s="3" t="s">
        <v>765</v>
      </c>
      <c r="B362" s="6"/>
      <c r="C362" s="4" t="s">
        <v>766</v>
      </c>
      <c r="F362" s="11" t="s">
        <v>609</v>
      </c>
      <c r="G362" s="6"/>
      <c r="I362" s="6" t="s">
        <v>764</v>
      </c>
      <c r="J362" s="6"/>
    </row>
    <row r="363" customFormat="false" ht="15" hidden="false" customHeight="false" outlineLevel="1" collapsed="false">
      <c r="A363" s="3" t="s">
        <v>767</v>
      </c>
      <c r="B363" s="6"/>
      <c r="C363" s="4" t="s">
        <v>768</v>
      </c>
      <c r="F363" s="11" t="s">
        <v>609</v>
      </c>
      <c r="G363" s="6"/>
      <c r="I363" s="6" t="s">
        <v>764</v>
      </c>
      <c r="J363" s="6"/>
    </row>
    <row r="364" customFormat="false" ht="15" hidden="false" customHeight="false" outlineLevel="1" collapsed="false">
      <c r="A364" s="3" t="s">
        <v>769</v>
      </c>
      <c r="B364" s="6"/>
      <c r="C364" s="4" t="s">
        <v>770</v>
      </c>
      <c r="F364" s="11" t="s">
        <v>609</v>
      </c>
      <c r="G364" s="6"/>
      <c r="I364" s="6" t="s">
        <v>764</v>
      </c>
      <c r="J364" s="6"/>
    </row>
    <row r="365" customFormat="false" ht="15" hidden="false" customHeight="false" outlineLevel="1" collapsed="false">
      <c r="A365" s="3" t="s">
        <v>771</v>
      </c>
      <c r="B365" s="6"/>
      <c r="C365" s="3" t="s">
        <v>772</v>
      </c>
      <c r="F365" s="11" t="s">
        <v>609</v>
      </c>
      <c r="G365" s="6"/>
      <c r="I365" s="6" t="s">
        <v>764</v>
      </c>
      <c r="J365" s="6"/>
    </row>
    <row r="366" customFormat="false" ht="15" hidden="false" customHeight="false" outlineLevel="1" collapsed="false">
      <c r="A366" s="3" t="s">
        <v>773</v>
      </c>
      <c r="B366" s="6"/>
      <c r="C366" s="3" t="s">
        <v>774</v>
      </c>
      <c r="F366" s="11" t="s">
        <v>609</v>
      </c>
      <c r="G366" s="6"/>
      <c r="I366" s="6" t="s">
        <v>764</v>
      </c>
      <c r="J366" s="6"/>
    </row>
    <row r="367" customFormat="false" ht="15" hidden="false" customHeight="false" outlineLevel="1" collapsed="false">
      <c r="A367" s="3" t="s">
        <v>775</v>
      </c>
      <c r="B367" s="11" t="s">
        <v>42</v>
      </c>
      <c r="C367" s="24" t="n">
        <v>0.05</v>
      </c>
      <c r="I367" s="6" t="s">
        <v>776</v>
      </c>
    </row>
    <row r="368" customFormat="false" ht="15" hidden="false" customHeight="false" outlineLevel="1" collapsed="false">
      <c r="A368" s="3" t="s">
        <v>777</v>
      </c>
      <c r="B368" s="11" t="s">
        <v>71</v>
      </c>
      <c r="C368" s="24" t="n">
        <v>0.02</v>
      </c>
      <c r="I368" s="6" t="s">
        <v>778</v>
      </c>
    </row>
    <row r="370" customFormat="false" ht="15" hidden="false" customHeight="false" outlineLevel="0" collapsed="false">
      <c r="A370" s="7" t="s">
        <v>779</v>
      </c>
      <c r="B370" s="8"/>
      <c r="C370" s="8"/>
      <c r="D370" s="8"/>
      <c r="E370" s="8"/>
      <c r="F370" s="8"/>
      <c r="G370" s="8"/>
      <c r="H370" s="8"/>
    </row>
    <row r="371" customFormat="false" ht="15" hidden="false" customHeight="false" outlineLevel="1" collapsed="false">
      <c r="A371" s="14" t="s">
        <v>780</v>
      </c>
      <c r="B371" s="14" t="s">
        <v>54</v>
      </c>
      <c r="C371" s="15" t="s">
        <v>781</v>
      </c>
      <c r="D371" s="15" t="s">
        <v>782</v>
      </c>
      <c r="E371" s="15" t="s">
        <v>783</v>
      </c>
      <c r="F371" s="15" t="s">
        <v>784</v>
      </c>
      <c r="G371" s="15" t="s">
        <v>785</v>
      </c>
      <c r="H371" s="15" t="s">
        <v>786</v>
      </c>
      <c r="J371" s="14" t="s">
        <v>427</v>
      </c>
    </row>
    <row r="372" customFormat="false" ht="15" hidden="false" customHeight="false" outlineLevel="1" collapsed="false">
      <c r="A372" s="3" t="s">
        <v>787</v>
      </c>
      <c r="C372" s="22" t="n">
        <v>1</v>
      </c>
      <c r="D372" s="22" t="n">
        <v>1</v>
      </c>
      <c r="E372" s="22" t="n">
        <v>2</v>
      </c>
      <c r="F372" s="22" t="n">
        <v>2</v>
      </c>
      <c r="G372" s="22" t="n">
        <v>2</v>
      </c>
      <c r="H372" s="22" t="n">
        <v>2</v>
      </c>
      <c r="J372" s="6" t="s">
        <v>788</v>
      </c>
    </row>
    <row r="373" customFormat="false" ht="15" hidden="false" customHeight="false" outlineLevel="1" collapsed="false">
      <c r="A373" s="3" t="s">
        <v>789</v>
      </c>
      <c r="C373" s="18" t="n">
        <v>1</v>
      </c>
      <c r="J373" s="6" t="s">
        <v>790</v>
      </c>
    </row>
    <row r="374" customFormat="false" ht="15" hidden="false" customHeight="false" outlineLevel="1" collapsed="false">
      <c r="A374" s="3" t="s">
        <v>791</v>
      </c>
      <c r="B374" s="11" t="s">
        <v>59</v>
      </c>
      <c r="C374" s="46" t="n">
        <v>16.539</v>
      </c>
      <c r="J374" s="6" t="s">
        <v>792</v>
      </c>
    </row>
    <row r="375" customFormat="false" ht="15" hidden="false" customHeight="false" outlineLevel="1" collapsed="false">
      <c r="A375" s="3" t="s">
        <v>793</v>
      </c>
      <c r="B375" s="11" t="s">
        <v>142</v>
      </c>
      <c r="C375" s="21" t="n">
        <v>5.5</v>
      </c>
      <c r="J375" s="6" t="s">
        <v>794</v>
      </c>
    </row>
    <row r="376" customFormat="false" ht="15" hidden="false" customHeight="false" outlineLevel="1" collapsed="false">
      <c r="A376" s="3" t="s">
        <v>795</v>
      </c>
      <c r="B376" s="11" t="s">
        <v>59</v>
      </c>
      <c r="C376" s="46"/>
      <c r="D376" s="46"/>
      <c r="E376" s="46"/>
      <c r="F376" s="46"/>
      <c r="G376" s="46"/>
      <c r="H376" s="46"/>
      <c r="J376" s="6" t="s">
        <v>796</v>
      </c>
    </row>
    <row r="377" customFormat="false" ht="15" hidden="false" customHeight="false" outlineLevel="1" collapsed="false">
      <c r="A377" s="3" t="s">
        <v>797</v>
      </c>
      <c r="B377" s="11" t="s">
        <v>59</v>
      </c>
      <c r="C377" s="46"/>
      <c r="D377" s="46"/>
      <c r="E377" s="46"/>
      <c r="F377" s="46"/>
      <c r="G377" s="46"/>
      <c r="H377" s="46"/>
    </row>
    <row r="378" customFormat="false" ht="15" hidden="false" customHeight="false" outlineLevel="1" collapsed="false">
      <c r="A378" s="3" t="s">
        <v>798</v>
      </c>
      <c r="B378" s="11" t="s">
        <v>59</v>
      </c>
      <c r="C378" s="46"/>
      <c r="D378" s="46"/>
      <c r="E378" s="46"/>
      <c r="F378" s="46"/>
      <c r="G378" s="46"/>
      <c r="H378" s="46"/>
    </row>
    <row r="379" customFormat="false" ht="15" hidden="false" customHeight="false" outlineLevel="1" collapsed="false">
      <c r="A379" s="3" t="s">
        <v>799</v>
      </c>
      <c r="B379" s="11" t="s">
        <v>59</v>
      </c>
      <c r="C379" s="46"/>
      <c r="D379" s="46"/>
      <c r="E379" s="46"/>
      <c r="F379" s="46"/>
      <c r="G379" s="46"/>
      <c r="H379" s="46"/>
    </row>
    <row r="380" customFormat="false" ht="15" hidden="false" customHeight="false" outlineLevel="1" collapsed="false">
      <c r="A380" s="3" t="s">
        <v>800</v>
      </c>
      <c r="B380" s="11" t="s">
        <v>142</v>
      </c>
      <c r="C380" s="21"/>
      <c r="D380" s="21"/>
      <c r="E380" s="21"/>
      <c r="F380" s="21"/>
      <c r="G380" s="21"/>
      <c r="H380" s="21"/>
    </row>
    <row r="381" customFormat="false" ht="15" hidden="false" customHeight="false" outlineLevel="1" collapsed="false">
      <c r="A381" s="3" t="s">
        <v>801</v>
      </c>
      <c r="C381" s="27"/>
      <c r="D381" s="27"/>
      <c r="E381" s="27"/>
      <c r="F381" s="27"/>
      <c r="G381" s="27"/>
      <c r="H381" s="27"/>
    </row>
    <row r="382" customFormat="false" ht="15" hidden="false" customHeight="false" outlineLevel="1" collapsed="false">
      <c r="A382" s="3" t="s">
        <v>802</v>
      </c>
      <c r="C382" s="27"/>
      <c r="D382" s="27"/>
      <c r="E382" s="27"/>
      <c r="F382" s="27"/>
      <c r="G382" s="27"/>
      <c r="H382" s="27"/>
    </row>
    <row r="383" customFormat="false" ht="15" hidden="false" customHeight="false" outlineLevel="1" collapsed="false">
      <c r="A383" s="3" t="s">
        <v>803</v>
      </c>
      <c r="C383" s="27"/>
      <c r="D383" s="27"/>
      <c r="E383" s="27"/>
      <c r="F383" s="27"/>
      <c r="G383" s="27"/>
      <c r="H383" s="27"/>
    </row>
  </sheetData>
  <dataValidations count="1">
    <dataValidation allowBlank="false" error="請輸入 1–4" errorStyle="stop" errorTitle="錨定年度" operator="between" showDropDown="false" showErrorMessage="true" showInputMessage="false" sqref="C255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I1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7.35" hidden="false" customHeight="false" outlineLevel="0" collapsed="false">
      <c r="A1" s="5" t="s">
        <v>804</v>
      </c>
    </row>
    <row r="2" customFormat="false" ht="15" hidden="false" customHeight="false" outlineLevel="0" collapsed="false">
      <c r="A2" s="11" t="s">
        <v>805</v>
      </c>
    </row>
    <row r="4" customFormat="false" ht="15" hidden="false" customHeight="false" outlineLevel="0" collapsed="false">
      <c r="A4" s="14" t="s">
        <v>53</v>
      </c>
      <c r="B4" s="14" t="s">
        <v>54</v>
      </c>
      <c r="C4" s="28" t="s">
        <v>55</v>
      </c>
      <c r="D4" s="28" t="s">
        <v>56</v>
      </c>
      <c r="E4" s="28" t="s">
        <v>57</v>
      </c>
      <c r="F4" s="28" t="s">
        <v>138</v>
      </c>
      <c r="G4" s="28" t="s">
        <v>139</v>
      </c>
      <c r="I4" s="14" t="s">
        <v>806</v>
      </c>
    </row>
    <row r="5" customFormat="false" ht="15" hidden="false" customHeight="false" outlineLevel="0" collapsed="false">
      <c r="A5" s="47" t="s">
        <v>807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808</v>
      </c>
      <c r="B6" s="11" t="s">
        <v>59</v>
      </c>
      <c r="C6" s="32" t="n">
        <f aca="false">輸入與假設!$C$293+輸入與假設!C$175</f>
        <v>491.691025</v>
      </c>
      <c r="D6" s="32" t="n">
        <f aca="false">輸入與假設!D$175</f>
        <v>427.1456145</v>
      </c>
      <c r="E6" s="32" t="n">
        <f aca="false">輸入與假設!E$175</f>
        <v>56.385</v>
      </c>
      <c r="F6" s="32" t="n">
        <f aca="false">輸入與假設!F$175</f>
        <v>56.385</v>
      </c>
      <c r="G6" s="32" t="n">
        <f aca="false">輸入與假設!G$175</f>
        <v>127.046682</v>
      </c>
      <c r="I6" s="11" t="s">
        <v>809</v>
      </c>
    </row>
    <row r="7" customFormat="false" ht="15" hidden="false" customHeight="false" outlineLevel="1" collapsed="false">
      <c r="A7" s="3" t="s">
        <v>810</v>
      </c>
      <c r="B7" s="11" t="s">
        <v>42</v>
      </c>
      <c r="C7" s="48" t="n">
        <f aca="false">輸入與假設!C$152</f>
        <v>0.21</v>
      </c>
      <c r="D7" s="48" t="n">
        <f aca="false">輸入與假設!D$152</f>
        <v>0.21</v>
      </c>
      <c r="E7" s="48" t="n">
        <f aca="false">輸入與假設!E$152</f>
        <v>0.21</v>
      </c>
      <c r="F7" s="48" t="n">
        <f aca="false">輸入與假設!F$152</f>
        <v>0.21</v>
      </c>
      <c r="G7" s="48" t="n">
        <f aca="false">輸入與假設!G$152</f>
        <v>0.21</v>
      </c>
    </row>
    <row r="8" customFormat="false" ht="15" hidden="false" customHeight="false" outlineLevel="1" collapsed="false">
      <c r="A8" s="3" t="s">
        <v>811</v>
      </c>
      <c r="B8" s="11" t="s">
        <v>59</v>
      </c>
      <c r="C8" s="32" t="n">
        <f aca="false">(輸入與假設!C$165+輸入與假設!C$107)*C7</f>
        <v>30.86559525</v>
      </c>
      <c r="D8" s="32" t="n">
        <f aca="false">(輸入與假設!D$165+輸入與假設!D$107)*D7</f>
        <v>89.700579045</v>
      </c>
      <c r="E8" s="32" t="n">
        <f aca="false">(輸入與假設!E$165+輸入與假設!E$107)*E7</f>
        <v>11.84085</v>
      </c>
      <c r="F8" s="32" t="n">
        <f aca="false">(輸入與假設!F$165+輸入與假設!F$107)*F7</f>
        <v>11.84085</v>
      </c>
      <c r="G8" s="32" t="n">
        <f aca="false">(輸入與假設!G$165+輸入與假設!G$107)*G7</f>
        <v>7.6965525</v>
      </c>
      <c r="I8" s="6" t="s">
        <v>812</v>
      </c>
    </row>
    <row r="9" customFormat="false" ht="15" hidden="false" customHeight="false" outlineLevel="1" collapsed="false">
      <c r="A9" s="3" t="s">
        <v>813</v>
      </c>
      <c r="B9" s="11" t="s">
        <v>59</v>
      </c>
      <c r="C9" s="32" t="n">
        <f aca="false">輸入與假設!$C$149</f>
        <v>143.11</v>
      </c>
      <c r="D9" s="32" t="n">
        <f aca="false">C12</f>
        <v>165.03122025</v>
      </c>
      <c r="E9" s="32" t="n">
        <f aca="false">D12</f>
        <v>234.10289676375</v>
      </c>
      <c r="F9" s="32" t="n">
        <f aca="false">E12</f>
        <v>216.680884668281</v>
      </c>
      <c r="G9" s="32" t="n">
        <f aca="false">F12</f>
        <v>201.436624084746</v>
      </c>
      <c r="I9" s="11" t="s">
        <v>814</v>
      </c>
    </row>
    <row r="10" customFormat="false" ht="15" hidden="false" customHeight="false" outlineLevel="1" collapsed="false">
      <c r="A10" s="3" t="s">
        <v>815</v>
      </c>
      <c r="B10" s="11" t="s">
        <v>59</v>
      </c>
      <c r="C10" s="32" t="n">
        <f aca="false">輸入與假設!$C$150*(C9+0.5*C8)*運營_產能與收入!C7</f>
        <v>0</v>
      </c>
      <c r="D10" s="32" t="n">
        <f aca="false">輸入與假設!$C$150*(D9+0.5*D8)*運營_產能與收入!D7</f>
        <v>0</v>
      </c>
      <c r="E10" s="32" t="n">
        <f aca="false">輸入與假設!$C$150*(E9+0.5*E8)*運營_產能與收入!E7</f>
        <v>0</v>
      </c>
      <c r="F10" s="32" t="n">
        <f aca="false">輸入與假設!$C$150*(F9+0.5*F8)*運營_產能與收入!F7</f>
        <v>0</v>
      </c>
      <c r="G10" s="32" t="n">
        <f aca="false">輸入與假設!$C$150*(G9+0.5*G8)*運營_產能與收入!G7</f>
        <v>0</v>
      </c>
      <c r="I10" s="6" t="s">
        <v>816</v>
      </c>
    </row>
    <row r="11" customFormat="false" ht="15" hidden="false" customHeight="false" outlineLevel="1" collapsed="false">
      <c r="A11" s="3" t="s">
        <v>817</v>
      </c>
      <c r="B11" s="11" t="s">
        <v>59</v>
      </c>
      <c r="C11" s="32" t="n">
        <f aca="false">MIN(C9+C10,(C9+C10)/輸入與假設!$C$148*運營_產能與收入!C7)</f>
        <v>8.944375</v>
      </c>
      <c r="D11" s="32" t="n">
        <f aca="false">MIN(D9+D10,(D9+D10)/輸入與假設!$C$148*運營_產能與收入!D7)</f>
        <v>20.62890253125</v>
      </c>
      <c r="E11" s="32" t="n">
        <f aca="false">MIN(E9+E10,(E9+E10)/輸入與假設!$C$148*運營_產能與收入!E7)</f>
        <v>29.2628620954688</v>
      </c>
      <c r="F11" s="32" t="n">
        <f aca="false">MIN(F9+F10,(F9+F10)/輸入與假設!$C$148*運營_產能與收入!F7)</f>
        <v>27.0851105835352</v>
      </c>
      <c r="G11" s="32" t="n">
        <f aca="false">MIN(G9+G10,(G9+G10)/輸入與假設!$C$148*運營_產能與收入!G7)</f>
        <v>25.1795780105933</v>
      </c>
      <c r="I11" s="6" t="s">
        <v>818</v>
      </c>
    </row>
    <row r="12" customFormat="false" ht="15" hidden="false" customHeight="false" outlineLevel="1" collapsed="false">
      <c r="A12" s="3" t="s">
        <v>819</v>
      </c>
      <c r="B12" s="11" t="s">
        <v>59</v>
      </c>
      <c r="C12" s="32" t="n">
        <f aca="false">C9+C8+C10-C11</f>
        <v>165.03122025</v>
      </c>
      <c r="D12" s="32" t="n">
        <f aca="false">D9+D8+D10-D11</f>
        <v>234.10289676375</v>
      </c>
      <c r="E12" s="32" t="n">
        <f aca="false">E9+E8+E10-E11</f>
        <v>216.680884668281</v>
      </c>
      <c r="F12" s="32" t="n">
        <f aca="false">F9+F8+F10-F11</f>
        <v>201.436624084746</v>
      </c>
      <c r="G12" s="32" t="n">
        <f aca="false">G9+G8+G10-G11</f>
        <v>183.953598574153</v>
      </c>
      <c r="I12" s="6" t="s">
        <v>820</v>
      </c>
    </row>
    <row r="13" customFormat="false" ht="15" hidden="false" customHeight="false" outlineLevel="1" collapsed="false">
      <c r="A13" s="4" t="s">
        <v>821</v>
      </c>
      <c r="B13" s="11" t="s">
        <v>59</v>
      </c>
      <c r="C13" s="32" t="n">
        <f aca="false">輸入與假設!$C$292+輸入與假設!C$175</f>
        <v>491.691025</v>
      </c>
      <c r="D13" s="32" t="n">
        <f aca="false">輸入與假設!D$175</f>
        <v>427.1456145</v>
      </c>
      <c r="E13" s="32" t="n">
        <f aca="false">輸入與假設!E$175</f>
        <v>56.385</v>
      </c>
      <c r="F13" s="32" t="n">
        <f aca="false">輸入與假設!F$175</f>
        <v>56.385</v>
      </c>
      <c r="G13" s="32" t="n">
        <f aca="false">輸入與假設!G$175</f>
        <v>127.046682</v>
      </c>
      <c r="I13" s="11" t="s">
        <v>822</v>
      </c>
    </row>
    <row r="14" customFormat="false" ht="15" hidden="false" customHeight="false" outlineLevel="1" collapsed="false">
      <c r="A14" s="3" t="s">
        <v>823</v>
      </c>
      <c r="B14" s="11" t="s">
        <v>59</v>
      </c>
      <c r="C14" s="40" t="n">
        <f aca="false">輸入與假設!C$153</f>
        <v>3.268</v>
      </c>
      <c r="D14" s="40" t="n">
        <f aca="false">輸入與假設!D$153</f>
        <v>4.28</v>
      </c>
      <c r="E14" s="40" t="n">
        <f aca="false">輸入與假設!E$153</f>
        <v>2.465</v>
      </c>
      <c r="F14" s="40" t="n">
        <f aca="false">輸入與假設!F$153</f>
        <v>2.304</v>
      </c>
      <c r="G14" s="40" t="n">
        <f aca="false">輸入與假設!G$153</f>
        <v>2.358</v>
      </c>
      <c r="I14" s="6" t="s">
        <v>824</v>
      </c>
    </row>
    <row r="15" customFormat="false" ht="15" hidden="false" customHeight="false" outlineLevel="1" collapsed="false">
      <c r="A15" s="3" t="s">
        <v>825</v>
      </c>
      <c r="B15" s="11" t="s">
        <v>59</v>
      </c>
      <c r="C15" s="40" t="n">
        <f aca="false">運營_產能與收入!C71</f>
        <v>0.515999965016951</v>
      </c>
      <c r="D15" s="40" t="n">
        <f aca="false">運營_產能與收入!D71</f>
        <v>4.12799972013561</v>
      </c>
      <c r="E15" s="40" t="n">
        <f aca="false">運營_產能與收入!E71</f>
        <v>4.12799972013561</v>
      </c>
      <c r="F15" s="40" t="n">
        <f aca="false">運營_產能與收入!F71</f>
        <v>4.12799972013561</v>
      </c>
      <c r="G15" s="40" t="n">
        <f aca="false">運營_產能與收入!G71</f>
        <v>4.12799972013561</v>
      </c>
      <c r="I15" s="6" t="s">
        <v>826</v>
      </c>
    </row>
    <row r="16" customFormat="false" ht="15" hidden="false" customHeight="false" outlineLevel="1" collapsed="false">
      <c r="A16" s="4" t="s">
        <v>827</v>
      </c>
      <c r="B16" s="11" t="s">
        <v>59</v>
      </c>
      <c r="C16" s="40" t="n">
        <f aca="false">輸入與假設!C$172</f>
        <v>8.033084938725</v>
      </c>
      <c r="D16" s="40" t="n">
        <f aca="false">輸入與假設!D$172</f>
        <v>37.842479073861</v>
      </c>
      <c r="E16" s="40" t="n">
        <f aca="false">輸入與假設!E$172</f>
        <v>50.894960322822</v>
      </c>
      <c r="F16" s="40" t="n">
        <f aca="false">輸入與假設!F$172</f>
        <v>65.579644182822</v>
      </c>
      <c r="G16" s="40" t="n">
        <f aca="false">輸入與假設!G$172</f>
        <v>77.694508367322</v>
      </c>
      <c r="I16" s="6" t="s">
        <v>828</v>
      </c>
    </row>
    <row r="17" customFormat="false" ht="15" hidden="false" customHeight="false" outlineLevel="1" collapsed="false">
      <c r="A17" s="3" t="s">
        <v>829</v>
      </c>
      <c r="B17" s="11" t="s">
        <v>59</v>
      </c>
      <c r="C17" s="32" t="n">
        <f aca="false">C14+C15+C16</f>
        <v>11.817084903742</v>
      </c>
      <c r="D17" s="32" t="n">
        <f aca="false">D14+D15+D16</f>
        <v>46.2504787939966</v>
      </c>
      <c r="E17" s="32" t="n">
        <f aca="false">E14+E15+E16</f>
        <v>57.4879600429576</v>
      </c>
      <c r="F17" s="32" t="n">
        <f aca="false">F14+F15+F16</f>
        <v>72.0116439029576</v>
      </c>
      <c r="G17" s="32" t="n">
        <f aca="false">G14+G15+G16</f>
        <v>84.1805080874576</v>
      </c>
      <c r="I17" s="6" t="s">
        <v>830</v>
      </c>
    </row>
    <row r="18" customFormat="false" ht="15" hidden="false" customHeight="false" outlineLevel="1" collapsed="false">
      <c r="A18" s="3" t="s">
        <v>831</v>
      </c>
      <c r="B18" s="11" t="s">
        <v>59</v>
      </c>
      <c r="C18" s="40" t="n">
        <f aca="false">輸入與假設!C$225</f>
        <v>13.5867264456522</v>
      </c>
      <c r="D18" s="40" t="n">
        <f aca="false">輸入與假設!D$225</f>
        <v>51.1289587608696</v>
      </c>
      <c r="E18" s="40" t="n">
        <f aca="false">輸入與假設!E$225</f>
        <v>43.8367314545089</v>
      </c>
      <c r="F18" s="40" t="n">
        <f aca="false">輸入與假設!F$225</f>
        <v>40.0798150108696</v>
      </c>
      <c r="G18" s="40" t="n">
        <f aca="false">輸入與假設!G$225</f>
        <v>36.5861226018519</v>
      </c>
      <c r="I18" s="6" t="str">
        <f aca="false">"6/30 債務餘額的利息。FY26 全年利息＝1H 實際 8.011＋2H "&amp;TEXT(C18,"0.0")&amp;"＝"&amp;TEXT(8.011+C18,"0.00")&amp;"（見下方備忘）"</f>
        <v>6/30 債務餘額的利息。FY26 全年利息＝1H 實際 8.011＋2H 13.6＝21.60（見下方備忘）</v>
      </c>
    </row>
    <row r="19" customFormat="false" ht="15" hidden="false" customHeight="false" outlineLevel="1" collapsed="false">
      <c r="A19" s="3" t="s">
        <v>832</v>
      </c>
      <c r="B19" s="11" t="s">
        <v>59</v>
      </c>
      <c r="C19" s="32" t="n">
        <f aca="false">輸入與假設!$C$290</f>
        <v>114.441</v>
      </c>
      <c r="D19" s="32" t="n">
        <f aca="false">C54</f>
        <v>136.216575143009</v>
      </c>
      <c r="E19" s="32" t="n">
        <f aca="false">D54</f>
        <v>30</v>
      </c>
      <c r="F19" s="32" t="n">
        <f aca="false">E54</f>
        <v>30</v>
      </c>
      <c r="G19" s="32" t="n">
        <f aca="false">F54</f>
        <v>30</v>
      </c>
      <c r="I19" s="11" t="s">
        <v>833</v>
      </c>
    </row>
    <row r="20" customFormat="false" ht="15" hidden="false" customHeight="false" outlineLevel="1" collapsed="false">
      <c r="A20" s="3" t="s">
        <v>834</v>
      </c>
      <c r="B20" s="11" t="s">
        <v>42</v>
      </c>
      <c r="C20" s="34" t="n">
        <f aca="false">IF(輸入與假設!$C$218=1,輸入與假設!C$224+MAX(0,輸入與假設!$C$217-450)/100*0.004,輸入與假設!C$224)</f>
        <v>0.095</v>
      </c>
      <c r="D20" s="34" t="n">
        <f aca="false">IF(輸入與假設!$C$218=1,輸入與假設!D$224+MAX(0,輸入與假設!$C$217-450)/100*0.004,輸入與假設!D$224)</f>
        <v>0.095</v>
      </c>
      <c r="E20" s="34" t="n">
        <f aca="false">IF(輸入與假設!$C$218=1,輸入與假設!E$224+MAX(0,輸入與假設!$C$217-450)/100*0.004,輸入與假設!E$224)</f>
        <v>0.095</v>
      </c>
      <c r="F20" s="34" t="n">
        <f aca="false">IF(輸入與假設!$C$218=1,輸入與假設!F$224+MAX(0,輸入與假設!$C$217-450)/100*0.004,輸入與假設!F$224)</f>
        <v>0.095</v>
      </c>
      <c r="G20" s="34" t="n">
        <f aca="false">IF(輸入與假設!$C$218=1,輸入與假設!G$224+MAX(0,輸入與假設!$C$217-450)/100*0.004,輸入與假設!G$224)</f>
        <v>0.095</v>
      </c>
      <c r="I20" s="11" t="s">
        <v>835</v>
      </c>
    </row>
    <row r="21" customFormat="false" ht="15" hidden="false" customHeight="false" outlineLevel="1" collapsed="false">
      <c r="A21" s="3" t="s">
        <v>836</v>
      </c>
      <c r="B21" s="11" t="s">
        <v>59</v>
      </c>
      <c r="C21" s="32" t="n">
        <f aca="false">C88</f>
        <v>0</v>
      </c>
      <c r="D21" s="32" t="n">
        <f aca="false">D88</f>
        <v>4.17280982215727</v>
      </c>
      <c r="E21" s="32" t="n">
        <f aca="false">E88</f>
        <v>8.853198301908</v>
      </c>
      <c r="F21" s="32" t="n">
        <f aca="false">F88</f>
        <v>11.5732307222428</v>
      </c>
      <c r="G21" s="32" t="n">
        <f aca="false">G88</f>
        <v>14.2347097232531</v>
      </c>
      <c r="I21" s="6" t="s">
        <v>837</v>
      </c>
    </row>
    <row r="22" customFormat="false" ht="15" hidden="false" customHeight="false" outlineLevel="1" collapsed="false">
      <c r="A22" s="3" t="s">
        <v>838</v>
      </c>
      <c r="B22" s="11" t="s">
        <v>59</v>
      </c>
      <c r="C22" s="32" t="n">
        <f aca="false">C18+C21</f>
        <v>13.5867264456522</v>
      </c>
      <c r="D22" s="32" t="n">
        <f aca="false">D18+D21</f>
        <v>55.3017685830268</v>
      </c>
      <c r="E22" s="32" t="n">
        <f aca="false">E18+E21</f>
        <v>52.6899297564169</v>
      </c>
      <c r="F22" s="32" t="n">
        <f aca="false">F18+F21</f>
        <v>51.6530457331123</v>
      </c>
      <c r="G22" s="32" t="n">
        <f aca="false">G18+G21</f>
        <v>50.8208323251049</v>
      </c>
    </row>
    <row r="23" customFormat="false" ht="15" hidden="false" customHeight="false" outlineLevel="1" collapsed="false">
      <c r="A23" s="4" t="s">
        <v>839</v>
      </c>
      <c r="B23" s="11" t="s">
        <v>59</v>
      </c>
      <c r="C23" s="32" t="n">
        <f aca="false">輸入與假設!$C$294+輸入與假設!C$158</f>
        <v>0</v>
      </c>
      <c r="D23" s="32" t="n">
        <f aca="false">輸入與假設!D$158</f>
        <v>0</v>
      </c>
      <c r="E23" s="32" t="n">
        <f aca="false">輸入與假設!E$158</f>
        <v>0</v>
      </c>
      <c r="F23" s="32" t="n">
        <f aca="false">輸入與假設!F$158</f>
        <v>0</v>
      </c>
      <c r="G23" s="32" t="n">
        <f aca="false">輸入與假設!G$158</f>
        <v>0</v>
      </c>
      <c r="I23" s="11" t="s">
        <v>840</v>
      </c>
    </row>
    <row r="24" customFormat="false" ht="15" hidden="false" customHeight="false" outlineLevel="1" collapsed="false">
      <c r="A24" s="3" t="s">
        <v>841</v>
      </c>
      <c r="B24" s="11" t="s">
        <v>59</v>
      </c>
      <c r="C24" s="32" t="n">
        <f aca="false">輸入與假設!$C$309+4*輸入與假設!$C$202*運營_產能與收入!C7*(輸入與假設!$C$203+0+SUMPRODUCT(資產負債_既有債務!$D$20:$D$21*資產負債_既有債務!$H$15:$H$16*(資產負債_既有債務!$G$15:$G$16&lt;0)))+輸入與假設!C$222</f>
        <v>0</v>
      </c>
      <c r="D24" s="32" t="n">
        <f aca="false">4*輸入與假設!$C$202*運營_產能與收入!D7*(輸入與假設!$C$203+C91+SUMPRODUCT(資產負債_既有債務!$D$20:$D$21*資產負債_既有債務!$H$15:$H$16*(資產負債_既有債務!$G$15:$G$16&lt;1)))+輸入與假設!D$222</f>
        <v>0</v>
      </c>
      <c r="E24" s="32" t="n">
        <f aca="false">4*輸入與假設!$C$202*運營_產能與收入!E7*(輸入與假設!$C$203+D91+SUMPRODUCT(資產負債_既有債務!$D$20:$D$21*資產負債_既有債務!$H$15:$H$16*(資產負債_既有債務!$G$15:$G$16&lt;2)))+輸入與假設!E$222</f>
        <v>0</v>
      </c>
      <c r="F24" s="32" t="n">
        <f aca="false">4*輸入與假設!$C$202*運營_產能與收入!F7*(輸入與假設!$C$203+E91+SUMPRODUCT(資產負債_既有債務!$D$20:$D$21*資產負債_既有債務!$H$15:$H$16*(資產負債_既有債務!$G$15:$G$16&lt;3)))+輸入與假設!F$222</f>
        <v>0</v>
      </c>
      <c r="G24" s="32" t="n">
        <f aca="false">4*輸入與假設!$C$202*運營_產能與收入!G7*(輸入與假設!$C$203+F91+SUMPRODUCT(資產負債_既有債務!$D$20:$D$21*資產負債_既有債務!$H$15:$H$16*(資產負債_既有債務!$G$15:$G$16&lt;4)))+輸入與假設!G$222</f>
        <v>0</v>
      </c>
      <c r="I24" s="6" t="s">
        <v>842</v>
      </c>
    </row>
    <row r="25" customFormat="false" ht="15" hidden="false" customHeight="false" outlineLevel="1" collapsed="false">
      <c r="A25" s="3" t="s">
        <v>843</v>
      </c>
      <c r="B25" s="11" t="s">
        <v>59</v>
      </c>
      <c r="C25" s="32" t="n">
        <f aca="false">IF(輸入與假設!$C$130=1,運營_產能與收入!C9*8760*輸入與假設!C$132*輸入與假設!C$131/1000000*運營_產能與收入!C7,0)</f>
        <v>0</v>
      </c>
      <c r="D25" s="32" t="n">
        <f aca="false">IF(輸入與假設!$C$130=1,運營_產能與收入!D9*8760*輸入與假設!D$132*輸入與假設!D$131/1000000*運營_產能與收入!D7,0)</f>
        <v>0</v>
      </c>
      <c r="E25" s="32" t="n">
        <f aca="false">IF(輸入與假設!$C$130=1,運營_產能與收入!E9*8760*輸入與假設!E$132*輸入與假設!E$131/1000000*運營_產能與收入!E7,0)</f>
        <v>0</v>
      </c>
      <c r="F25" s="32" t="n">
        <f aca="false">IF(輸入與假設!$C$130=1,運營_產能與收入!F9*8760*輸入與假設!F$132*輸入與假設!F$131/1000000*運營_產能與收入!F7,0)</f>
        <v>0</v>
      </c>
      <c r="G25" s="32" t="n">
        <f aca="false">IF(輸入與假設!$C$130=1,運營_產能與收入!G9*8760*輸入與假設!G$132*輸入與假設!G$131/1000000*運營_產能與收入!G7,0)</f>
        <v>0</v>
      </c>
      <c r="I25" s="6" t="s">
        <v>844</v>
      </c>
    </row>
    <row r="26" customFormat="false" ht="15" hidden="false" customHeight="false" outlineLevel="1" collapsed="false">
      <c r="A26" s="3" t="s">
        <v>845</v>
      </c>
      <c r="B26" s="11" t="s">
        <v>59</v>
      </c>
      <c r="C26" s="32" t="n">
        <f aca="false">IF(輸入與假設!$C$130=1,運營_產能與收入!C9*輸入與假設!C$133*運營_產能與收入!C7,0)</f>
        <v>0</v>
      </c>
      <c r="D26" s="32" t="n">
        <f aca="false">IF(輸入與假設!$C$130=1,運營_產能與收入!D9*輸入與假設!D$133*運營_產能與收入!D7,0)</f>
        <v>0</v>
      </c>
      <c r="E26" s="32" t="n">
        <f aca="false">IF(輸入與假設!$C$130=1,運營_產能與收入!E9*輸入與假設!E$133*運營_產能與收入!E7,0)</f>
        <v>0</v>
      </c>
      <c r="F26" s="32" t="n">
        <f aca="false">IF(輸入與假設!$C$130=1,運營_產能與收入!F9*輸入與假設!F$133*運營_產能與收入!F7,0)</f>
        <v>0</v>
      </c>
      <c r="G26" s="32" t="n">
        <f aca="false">IF(輸入與假設!$C$130=1,運營_產能與收入!G9*輸入與假設!G$133*運營_產能與收入!G7,0)</f>
        <v>0</v>
      </c>
    </row>
    <row r="27" customFormat="false" ht="15" hidden="false" customHeight="false" outlineLevel="1" collapsed="false">
      <c r="A27" s="3" t="s">
        <v>846</v>
      </c>
      <c r="B27" s="11" t="s">
        <v>59</v>
      </c>
      <c r="C27" s="32" t="n">
        <f aca="false">輸入與假設!$C$296+IF(輸入與假設!$C$197=1,輸入與假設!C$223,0)+資產負債_既有債務!C32+資產負債_既有債務!C43</f>
        <v>17.972</v>
      </c>
      <c r="D27" s="32" t="n">
        <f aca="false">IF(輸入與假設!$C$197=1,輸入與假設!D$223,0)+資產負債_既有債務!D32+資產負債_既有債務!D43</f>
        <v>90.747</v>
      </c>
      <c r="E27" s="32" t="n">
        <f aca="false">IF(輸入與假設!$C$197=1,輸入與假設!E$223,0)+資產負債_既有債務!E32+資產負債_既有債務!E43</f>
        <v>36.9595</v>
      </c>
      <c r="F27" s="32" t="n">
        <f aca="false">IF(輸入與假設!$C$197=1,輸入與假設!F$223,0)+資產負債_既有債務!F32+資產負債_既有債務!F43</f>
        <v>51.6715</v>
      </c>
      <c r="G27" s="32" t="n">
        <f aca="false">IF(輸入與假設!$C$197=1,輸入與假設!G$223,0)+資產負債_既有債務!G32+資產負債_既有債務!G43</f>
        <v>30.7125</v>
      </c>
      <c r="I27" s="11" t="s">
        <v>847</v>
      </c>
    </row>
    <row r="28" customFormat="false" ht="15" hidden="false" customHeight="false" outlineLevel="1" collapsed="false">
      <c r="A28" s="4" t="s">
        <v>848</v>
      </c>
      <c r="B28" s="11" t="s">
        <v>59</v>
      </c>
      <c r="C28" s="32" t="n">
        <f aca="false">輸入與假設!$C$297</f>
        <v>120</v>
      </c>
      <c r="D28" s="32" t="n">
        <f aca="false">0</f>
        <v>0</v>
      </c>
      <c r="E28" s="32" t="n">
        <f aca="false">0</f>
        <v>0</v>
      </c>
      <c r="F28" s="32" t="n">
        <f aca="false">0</f>
        <v>0</v>
      </c>
      <c r="G28" s="32" t="n">
        <f aca="false">0</f>
        <v>0</v>
      </c>
      <c r="I28" s="6" t="s">
        <v>849</v>
      </c>
    </row>
    <row r="29" customFormat="false" ht="15" hidden="false" customHeight="false" outlineLevel="1" collapsed="false">
      <c r="A29" s="3" t="s">
        <v>850</v>
      </c>
      <c r="B29" s="11" t="s">
        <v>59</v>
      </c>
      <c r="C29" s="32" t="n">
        <f aca="false">輸入與假設!$C$216*MAX(0,運營_產能與收入!C50*輸入與假設!C$127+輸入與假設!C$51+輸入與假設!C$117-運營_產能與收入!C74-輸入與假設!C$176-輸入與假設!C$225)</f>
        <v>0</v>
      </c>
      <c r="D29" s="32" t="n">
        <f aca="false">輸入與假設!$C$216*MAX(0,運營_產能與收入!D50*輸入與假設!D$127+輸入與假設!D$51+輸入與假設!D$117-運營_產能與收入!D74-輸入與假設!D$176-輸入與假設!D$225)</f>
        <v>0</v>
      </c>
      <c r="E29" s="32" t="n">
        <f aca="false">輸入與假設!$C$216*MAX(0,運營_產能與收入!E50*輸入與假設!E$127+輸入與假設!E$51+輸入與假設!E$117-運營_產能與收入!E74-輸入與假設!E$176-輸入與假設!E$225)</f>
        <v>0</v>
      </c>
      <c r="F29" s="32" t="n">
        <f aca="false">輸入與假設!$C$216*MAX(0,運營_產能與收入!F50*輸入與假設!F$127+輸入與假設!F$51+輸入與假設!F$117-運營_產能與收入!F74-輸入與假設!F$176-輸入與假設!F$225)</f>
        <v>0</v>
      </c>
      <c r="G29" s="32" t="n">
        <f aca="false">輸入與假設!$C$216*MAX(0,運營_產能與收入!G50*輸入與假設!G$127+輸入與假設!G$51+輸入與假設!G$117-運營_產能與收入!G74-輸入與假設!G$176-輸入與假設!G$225)</f>
        <v>9.54087191283611</v>
      </c>
      <c r="I29" s="6" t="s">
        <v>851</v>
      </c>
    </row>
    <row r="30" customFormat="false" ht="15" hidden="false" customHeight="false" outlineLevel="1" collapsed="false">
      <c r="A30" s="2" t="s">
        <v>852</v>
      </c>
      <c r="B30" s="11" t="s">
        <v>59</v>
      </c>
      <c r="C30" s="36" t="n">
        <f aca="false">C13+C17+C22+C23+C25+C26+C27+C28+C29+C24</f>
        <v>655.066836349394</v>
      </c>
      <c r="D30" s="36" t="n">
        <f aca="false">D13+D17+D22+D23+D25+D26+D27+D28+D29+D24</f>
        <v>619.444861877023</v>
      </c>
      <c r="E30" s="36" t="n">
        <f aca="false">E13+E17+E22+E23+E25+E26+E27+E28+E29+E24</f>
        <v>203.522389799374</v>
      </c>
      <c r="F30" s="36" t="n">
        <f aca="false">F13+F17+F22+F23+F25+F26+F27+F28+F29+F24</f>
        <v>231.72118963607</v>
      </c>
      <c r="G30" s="36" t="n">
        <f aca="false">G13+G17+G22+G23+G25+G26+G27+G28+G29+G24</f>
        <v>302.301394325399</v>
      </c>
      <c r="I30" s="11" t="s">
        <v>853</v>
      </c>
    </row>
    <row r="31" customFormat="false" ht="15" hidden="false" customHeight="false" outlineLevel="0" collapsed="false">
      <c r="A31" s="47" t="s">
        <v>854</v>
      </c>
      <c r="B31" s="8"/>
      <c r="C31" s="8"/>
      <c r="D31" s="8"/>
      <c r="E31" s="8"/>
      <c r="F31" s="8"/>
      <c r="G31" s="8"/>
      <c r="H31" s="8"/>
    </row>
    <row r="32" customFormat="false" ht="15" hidden="false" customHeight="false" outlineLevel="1" collapsed="false">
      <c r="A32" s="4" t="s">
        <v>855</v>
      </c>
      <c r="B32" s="11" t="s">
        <v>59</v>
      </c>
      <c r="C32" s="40" t="n">
        <f aca="false">輸入與假設!$C$291</f>
        <v>89.105</v>
      </c>
      <c r="D32" s="40" t="n">
        <f aca="false">0</f>
        <v>0</v>
      </c>
      <c r="E32" s="40" t="n">
        <f aca="false">0</f>
        <v>0</v>
      </c>
      <c r="F32" s="40" t="n">
        <f aca="false">0</f>
        <v>0</v>
      </c>
      <c r="G32" s="40" t="n">
        <f aca="false">0</f>
        <v>0</v>
      </c>
      <c r="I32" s="6" t="s">
        <v>856</v>
      </c>
    </row>
    <row r="33" customFormat="false" ht="15" hidden="false" customHeight="false" outlineLevel="1" collapsed="false">
      <c r="A33" s="4" t="s">
        <v>857</v>
      </c>
      <c r="B33" s="11" t="s">
        <v>59</v>
      </c>
      <c r="C33" s="40" t="n">
        <f aca="false">運營_產能與收入!C52</f>
        <v>-0.916462115129947</v>
      </c>
      <c r="D33" s="40" t="n">
        <f aca="false">運營_產能與收入!D52</f>
        <v>3.86873350752723</v>
      </c>
      <c r="E33" s="40" t="n">
        <f aca="false">運營_產能與收入!E52</f>
        <v>2.2644478276584</v>
      </c>
      <c r="F33" s="40" t="n">
        <f aca="false">運營_產能與收入!F52</f>
        <v>0</v>
      </c>
      <c r="G33" s="40" t="n">
        <f aca="false">運營_產能與收入!G52</f>
        <v>0</v>
      </c>
    </row>
    <row r="34" customFormat="false" ht="15" hidden="false" customHeight="false" outlineLevel="1" collapsed="false">
      <c r="A34" s="3" t="s">
        <v>858</v>
      </c>
      <c r="B34" s="11" t="s">
        <v>59</v>
      </c>
      <c r="C34" s="40" t="n">
        <f aca="false">運營_產能與收入!C53</f>
        <v>-0.830109245538804</v>
      </c>
      <c r="D34" s="40" t="n">
        <f aca="false">運營_產能與收入!D53</f>
        <v>12.0210473022003</v>
      </c>
      <c r="E34" s="40" t="n">
        <f aca="false">運營_產能與收入!E53</f>
        <v>56.4728832068972</v>
      </c>
      <c r="F34" s="40" t="n">
        <f aca="false">運營_產能與收入!F53</f>
        <v>112.696067503924</v>
      </c>
      <c r="G34" s="40" t="n">
        <f aca="false">運營_產能與收入!G53</f>
        <v>177.696622027537</v>
      </c>
    </row>
    <row r="35" customFormat="false" ht="15" hidden="false" customHeight="false" outlineLevel="1" collapsed="false">
      <c r="A35" s="3" t="s">
        <v>859</v>
      </c>
      <c r="B35" s="11" t="s">
        <v>59</v>
      </c>
      <c r="C35" s="40" t="n">
        <f aca="false">輸入與假設!C$128</f>
        <v>-0</v>
      </c>
      <c r="D35" s="40" t="n">
        <f aca="false">輸入與假設!D$128</f>
        <v>0</v>
      </c>
      <c r="E35" s="40" t="n">
        <f aca="false">輸入與假設!E$128</f>
        <v>0</v>
      </c>
      <c r="F35" s="40" t="n">
        <f aca="false">輸入與假設!F$128</f>
        <v>0</v>
      </c>
      <c r="G35" s="40" t="n">
        <f aca="false">輸入與假設!G$128</f>
        <v>0</v>
      </c>
    </row>
    <row r="36" customFormat="false" ht="15" hidden="false" customHeight="false" outlineLevel="1" collapsed="false">
      <c r="A36" s="4" t="s">
        <v>860</v>
      </c>
      <c r="B36" s="11" t="s">
        <v>59</v>
      </c>
      <c r="C36" s="40" t="n">
        <f aca="false">輸入與假設!C$51</f>
        <v>0</v>
      </c>
      <c r="D36" s="40" t="n">
        <f aca="false">輸入與假設!D$51</f>
        <v>0</v>
      </c>
      <c r="E36" s="40" t="n">
        <f aca="false">輸入與假設!E$51</f>
        <v>0</v>
      </c>
      <c r="F36" s="40" t="n">
        <f aca="false">輸入與假設!F$51</f>
        <v>0</v>
      </c>
      <c r="G36" s="40" t="n">
        <f aca="false">輸入與假設!G$51</f>
        <v>0</v>
      </c>
      <c r="I36" s="6" t="s">
        <v>861</v>
      </c>
    </row>
    <row r="37" customFormat="false" ht="15" hidden="false" customHeight="false" outlineLevel="1" collapsed="false">
      <c r="A37" s="4" t="s">
        <v>862</v>
      </c>
      <c r="B37" s="11" t="s">
        <v>59</v>
      </c>
      <c r="C37" s="40" t="n">
        <f aca="false">輸入與假設!C$117</f>
        <v>19.7807626030717</v>
      </c>
      <c r="D37" s="40" t="n">
        <f aca="false">輸入與假設!D$117</f>
        <v>55.6856329673916</v>
      </c>
      <c r="E37" s="40" t="n">
        <f aca="false">輸入與假設!E$117</f>
        <v>88.5732688314977</v>
      </c>
      <c r="F37" s="40" t="n">
        <f aca="false">輸入與假設!F$117</f>
        <v>105.637462501631</v>
      </c>
      <c r="G37" s="40" t="n">
        <f aca="false">輸入與假設!G$117</f>
        <v>114.072229376767</v>
      </c>
      <c r="I37" s="11" t="s">
        <v>863</v>
      </c>
    </row>
    <row r="38" customFormat="false" ht="15" hidden="false" customHeight="false" outlineLevel="1" collapsed="false">
      <c r="A38" s="4" t="s">
        <v>864</v>
      </c>
      <c r="B38" s="11" t="s">
        <v>59</v>
      </c>
      <c r="C38" s="32" t="n">
        <f aca="false">-運營_產能與收入!C74</f>
        <v>-0</v>
      </c>
      <c r="D38" s="32" t="n">
        <f aca="false">-運營_產能與收入!D74</f>
        <v>-0</v>
      </c>
      <c r="E38" s="32" t="n">
        <f aca="false">-運營_產能與收入!E74</f>
        <v>-0</v>
      </c>
      <c r="F38" s="32" t="n">
        <f aca="false">-運營_產能與收入!F74</f>
        <v>-0</v>
      </c>
      <c r="G38" s="32" t="n">
        <f aca="false">-運營_產能與收入!G74</f>
        <v>-0</v>
      </c>
      <c r="I38" s="6" t="s">
        <v>865</v>
      </c>
    </row>
    <row r="39" customFormat="false" ht="15" hidden="false" customHeight="false" outlineLevel="1" collapsed="false">
      <c r="A39" s="3" t="s">
        <v>866</v>
      </c>
      <c r="B39" s="11" t="s">
        <v>59</v>
      </c>
      <c r="C39" s="32" t="n">
        <f aca="false">C8</f>
        <v>30.86559525</v>
      </c>
      <c r="D39" s="32" t="n">
        <f aca="false">D8</f>
        <v>89.700579045</v>
      </c>
      <c r="E39" s="32" t="n">
        <f aca="false">E8</f>
        <v>11.84085</v>
      </c>
      <c r="F39" s="32" t="n">
        <f aca="false">F8</f>
        <v>11.84085</v>
      </c>
      <c r="G39" s="32" t="n">
        <f aca="false">G8</f>
        <v>7.6965525</v>
      </c>
    </row>
    <row r="40" customFormat="false" ht="15" hidden="false" customHeight="false" outlineLevel="1" collapsed="false">
      <c r="A40" s="4" t="s">
        <v>867</v>
      </c>
      <c r="B40" s="11" t="s">
        <v>59</v>
      </c>
      <c r="C40" s="32" t="n">
        <f aca="false">-C11</f>
        <v>-8.944375</v>
      </c>
      <c r="D40" s="32" t="n">
        <f aca="false">-D11</f>
        <v>-20.62890253125</v>
      </c>
      <c r="E40" s="32" t="n">
        <f aca="false">-E11</f>
        <v>-29.2628620954688</v>
      </c>
      <c r="F40" s="32" t="n">
        <f aca="false">-F11</f>
        <v>-27.0851105835352</v>
      </c>
      <c r="G40" s="32" t="n">
        <f aca="false">-G11</f>
        <v>-25.1795780105933</v>
      </c>
      <c r="I40" s="6" t="s">
        <v>868</v>
      </c>
    </row>
    <row r="41" customFormat="false" ht="15" hidden="false" customHeight="false" outlineLevel="1" collapsed="false">
      <c r="A41" s="2" t="s">
        <v>869</v>
      </c>
      <c r="B41" s="11" t="s">
        <v>59</v>
      </c>
      <c r="C41" s="36" t="n">
        <f aca="false">C32+C33+C34+C35+C36+C37+C38+C39+C40</f>
        <v>129.060411492403</v>
      </c>
      <c r="D41" s="36" t="n">
        <f aca="false">D32+D33+D34+D35+D36+D37+D38+D39+D40</f>
        <v>140.647090290869</v>
      </c>
      <c r="E41" s="36" t="n">
        <f aca="false">E32+E33+E34+E35+E36+E37+E38+E39+E40</f>
        <v>129.888587770585</v>
      </c>
      <c r="F41" s="36" t="n">
        <f aca="false">F32+F33+F34+F35+F36+F37+F38+F39+F40</f>
        <v>203.08926942202</v>
      </c>
      <c r="G41" s="36" t="n">
        <f aca="false">G32+G33+G34+G35+G36+G37+G38+G39+G40</f>
        <v>274.285825893711</v>
      </c>
    </row>
    <row r="42" customFormat="false" ht="15" hidden="false" customHeight="false" outlineLevel="1" collapsed="false">
      <c r="A42" s="3" t="s">
        <v>870</v>
      </c>
      <c r="B42" s="11" t="s">
        <v>59</v>
      </c>
      <c r="C42" s="32" t="n">
        <f aca="false">輸入與假設!$C$298+IF(輸入與假設!$C$187=1,輸入與假設!$C$186,0)+SUM(輸入與假設!$C$181:$C$184)</f>
        <v>217.961</v>
      </c>
      <c r="D42" s="32" t="n">
        <f aca="false">0</f>
        <v>0</v>
      </c>
      <c r="E42" s="32" t="n">
        <f aca="false">0</f>
        <v>0</v>
      </c>
      <c r="F42" s="32" t="n">
        <f aca="false">0</f>
        <v>0</v>
      </c>
      <c r="G42" s="32" t="n">
        <f aca="false">0</f>
        <v>0</v>
      </c>
      <c r="I42" s="11" t="s">
        <v>871</v>
      </c>
    </row>
    <row r="43" customFormat="false" ht="15" hidden="false" customHeight="false" outlineLevel="1" collapsed="false">
      <c r="A43" s="4" t="s">
        <v>872</v>
      </c>
      <c r="B43" s="11" t="s">
        <v>59</v>
      </c>
      <c r="C43" s="40" t="n">
        <f aca="false">輸入與假設!$C$295</f>
        <v>304.526</v>
      </c>
      <c r="D43" s="40" t="n">
        <f aca="false">0</f>
        <v>0</v>
      </c>
      <c r="E43" s="40" t="n">
        <f aca="false">0</f>
        <v>0</v>
      </c>
      <c r="F43" s="40" t="n">
        <f aca="false">0</f>
        <v>0</v>
      </c>
      <c r="G43" s="40" t="n">
        <f aca="false">0</f>
        <v>0</v>
      </c>
      <c r="I43" s="6" t="s">
        <v>873</v>
      </c>
    </row>
    <row r="44" customFormat="false" ht="15" hidden="false" customHeight="false" outlineLevel="1" collapsed="false">
      <c r="A44" s="4" t="s">
        <v>874</v>
      </c>
      <c r="B44" s="11" t="s">
        <v>59</v>
      </c>
      <c r="C44" s="40" t="n">
        <f aca="false">資產負債_既有債務!C42</f>
        <v>0</v>
      </c>
      <c r="D44" s="40" t="n">
        <f aca="false">資產負債_既有債務!D42</f>
        <v>307.125</v>
      </c>
      <c r="E44" s="40" t="n">
        <f aca="false">資產負債_既有債務!E42</f>
        <v>0</v>
      </c>
      <c r="F44" s="40" t="n">
        <f aca="false">資產負債_既有債務!F42</f>
        <v>0</v>
      </c>
      <c r="G44" s="40" t="n">
        <f aca="false">資產負債_既有債務!G42</f>
        <v>0</v>
      </c>
      <c r="I44" s="6" t="s">
        <v>875</v>
      </c>
    </row>
    <row r="45" customFormat="false" ht="15" hidden="false" customHeight="false" outlineLevel="1" collapsed="false">
      <c r="A45" s="3" t="s">
        <v>876</v>
      </c>
      <c r="B45" s="11" t="s">
        <v>59</v>
      </c>
      <c r="C45" s="32" t="n">
        <f aca="false">C80</f>
        <v>0</v>
      </c>
      <c r="D45" s="32" t="n">
        <f aca="false">D80</f>
        <v>20</v>
      </c>
      <c r="E45" s="32" t="n">
        <f aca="false">E80</f>
        <v>22.1932972958052</v>
      </c>
      <c r="F45" s="32" t="n">
        <f aca="false">F80</f>
        <v>28.6319202140502</v>
      </c>
      <c r="G45" s="32" t="n">
        <f aca="false">G80</f>
        <v>28.0155684316873</v>
      </c>
      <c r="I45" s="6" t="s">
        <v>877</v>
      </c>
    </row>
    <row r="46" customFormat="false" ht="15" hidden="false" customHeight="false" outlineLevel="1" collapsed="false">
      <c r="A46" s="4" t="s">
        <v>878</v>
      </c>
      <c r="B46" s="11" t="s">
        <v>59</v>
      </c>
      <c r="C46" s="32" t="n">
        <f aca="false">C83</f>
        <v>0</v>
      </c>
      <c r="D46" s="32" t="n">
        <f aca="false">D83</f>
        <v>45.4561964431454</v>
      </c>
      <c r="E46" s="32" t="n">
        <f aca="false">E83</f>
        <v>51.4405047329847</v>
      </c>
      <c r="F46" s="32" t="n">
        <f aca="false">F83</f>
        <v>0</v>
      </c>
      <c r="G46" s="32" t="n">
        <f aca="false">G83</f>
        <v>0</v>
      </c>
      <c r="I46" s="6" t="s">
        <v>879</v>
      </c>
    </row>
    <row r="47" customFormat="false" ht="15" hidden="false" customHeight="false" outlineLevel="1" collapsed="false">
      <c r="A47" s="3" t="s">
        <v>880</v>
      </c>
      <c r="B47" s="11" t="s">
        <v>59</v>
      </c>
      <c r="C47" s="32" t="n">
        <f aca="false">C86</f>
        <v>0</v>
      </c>
      <c r="D47" s="32" t="n">
        <f aca="false">D86</f>
        <v>0</v>
      </c>
      <c r="E47" s="32" t="n">
        <f aca="false">E86</f>
        <v>0</v>
      </c>
      <c r="F47" s="32" t="n">
        <f aca="false">F86</f>
        <v>0</v>
      </c>
      <c r="G47" s="32" t="n">
        <f aca="false">G86</f>
        <v>0</v>
      </c>
      <c r="I47" s="6" t="s">
        <v>881</v>
      </c>
    </row>
    <row r="48" customFormat="false" ht="15" hidden="false" customHeight="false" outlineLevel="1" collapsed="false">
      <c r="A48" s="3" t="s">
        <v>882</v>
      </c>
      <c r="B48" s="11" t="s">
        <v>59</v>
      </c>
      <c r="C48" s="32" t="n">
        <f aca="false">C87</f>
        <v>0</v>
      </c>
      <c r="D48" s="32" t="n">
        <f aca="false">D87</f>
        <v>0</v>
      </c>
      <c r="E48" s="32" t="n">
        <f aca="false">E87</f>
        <v>0</v>
      </c>
      <c r="F48" s="32" t="n">
        <f aca="false">F87</f>
        <v>0</v>
      </c>
      <c r="G48" s="32" t="n">
        <f aca="false">G87</f>
        <v>0</v>
      </c>
      <c r="I48" s="6" t="s">
        <v>883</v>
      </c>
    </row>
    <row r="49" customFormat="false" ht="15" hidden="false" customHeight="false" outlineLevel="1" collapsed="false">
      <c r="A49" s="2" t="s">
        <v>884</v>
      </c>
      <c r="B49" s="11" t="s">
        <v>59</v>
      </c>
      <c r="C49" s="36" t="n">
        <f aca="false">C41+C42+C43+C44+C45+C46+C47+C48</f>
        <v>651.547411492403</v>
      </c>
      <c r="D49" s="36" t="n">
        <f aca="false">D41+D42+D43+D44+D45+D46+D47+D48</f>
        <v>513.228286734015</v>
      </c>
      <c r="E49" s="36" t="n">
        <f aca="false">E41+E42+E43+E44+E45+E46+E47+E48</f>
        <v>203.522389799374</v>
      </c>
      <c r="F49" s="36" t="n">
        <f aca="false">F41+F42+F43+F44+F45+F46+F47+F48</f>
        <v>231.72118963607</v>
      </c>
      <c r="G49" s="36" t="n">
        <f aca="false">G41+G42+G43+G44+G45+G46+G47+G48</f>
        <v>302.301394325399</v>
      </c>
    </row>
    <row r="50" customFormat="false" ht="15" hidden="false" customHeight="false" outlineLevel="0" collapsed="false">
      <c r="A50" s="47" t="s">
        <v>885</v>
      </c>
      <c r="B50" s="8"/>
      <c r="C50" s="8"/>
      <c r="D50" s="8"/>
      <c r="E50" s="8"/>
      <c r="F50" s="8"/>
      <c r="G50" s="8"/>
      <c r="H50" s="8"/>
    </row>
    <row r="51" customFormat="false" ht="15" hidden="false" customHeight="false" outlineLevel="1" collapsed="false">
      <c r="A51" s="3" t="s">
        <v>886</v>
      </c>
      <c r="B51" s="11" t="s">
        <v>59</v>
      </c>
      <c r="C51" s="32" t="n">
        <f aca="false">輸入與假設!$C$185-(輸入與假設!$C$290+輸入與假設!$C$291+輸入與假設!$C$295+輸入與假設!$C$298-輸入與假設!$C$292-輸入與假設!$C$294-輸入與假設!$C$296-輸入與假設!$C$297-輸入與假設!$C$309)</f>
        <v>25.295</v>
      </c>
      <c r="D51" s="32" t="n">
        <f aca="false">0</f>
        <v>0</v>
      </c>
      <c r="E51" s="32" t="n">
        <f aca="false">0</f>
        <v>0</v>
      </c>
      <c r="F51" s="32" t="n">
        <f aca="false">0</f>
        <v>0</v>
      </c>
      <c r="G51" s="32" t="n">
        <f aca="false">0</f>
        <v>0</v>
      </c>
      <c r="I51" s="6" t="s">
        <v>887</v>
      </c>
    </row>
    <row r="52" customFormat="false" ht="15" hidden="false" customHeight="false" outlineLevel="1" collapsed="false">
      <c r="A52" s="2" t="s">
        <v>888</v>
      </c>
      <c r="B52" s="11" t="s">
        <v>59</v>
      </c>
      <c r="C52" s="36" t="n">
        <f aca="false">C41-(C30-C27-C28)</f>
        <v>-388.034424856991</v>
      </c>
      <c r="D52" s="36" t="n">
        <f aca="false">D41-(D30-D27-D28)</f>
        <v>-388.050771586154</v>
      </c>
      <c r="E52" s="36" t="n">
        <f aca="false">E41-(E30-E27-E28)</f>
        <v>-36.6743020287899</v>
      </c>
      <c r="F52" s="36" t="n">
        <f aca="false">F41-(F30-F27-F28)</f>
        <v>23.0395797859498</v>
      </c>
      <c r="G52" s="36" t="n">
        <f aca="false">G41-(G30-G27-G28)</f>
        <v>2.69693156831272</v>
      </c>
      <c r="I52" s="6" t="s">
        <v>889</v>
      </c>
    </row>
    <row r="53" customFormat="false" ht="15" hidden="false" customHeight="false" outlineLevel="1" collapsed="false">
      <c r="A53" s="3" t="s">
        <v>890</v>
      </c>
      <c r="B53" s="11" t="s">
        <v>59</v>
      </c>
      <c r="C53" s="32" t="n">
        <f aca="false">C49-C30+C51</f>
        <v>21.7755751430089</v>
      </c>
      <c r="D53" s="32" t="n">
        <f aca="false">D49-D30+D51</f>
        <v>-106.216575143009</v>
      </c>
      <c r="E53" s="32" t="n">
        <f aca="false">E49-E30+E51</f>
        <v>0</v>
      </c>
      <c r="F53" s="32" t="n">
        <f aca="false">F49-F30+F51</f>
        <v>0</v>
      </c>
      <c r="G53" s="32" t="n">
        <f aca="false">G49-G30+G51</f>
        <v>0</v>
      </c>
    </row>
    <row r="54" customFormat="false" ht="15" hidden="false" customHeight="false" outlineLevel="1" collapsed="false">
      <c r="A54" s="2" t="s">
        <v>891</v>
      </c>
      <c r="B54" s="11" t="s">
        <v>59</v>
      </c>
      <c r="C54" s="36" t="n">
        <f aca="false">C19+C53</f>
        <v>136.216575143009</v>
      </c>
      <c r="D54" s="36" t="n">
        <f aca="false">D19+D53</f>
        <v>30</v>
      </c>
      <c r="E54" s="36" t="n">
        <f aca="false">E19+E53</f>
        <v>30</v>
      </c>
      <c r="F54" s="36" t="n">
        <f aca="false">F19+F53</f>
        <v>30</v>
      </c>
      <c r="G54" s="36" t="n">
        <f aca="false">G19+G53</f>
        <v>30</v>
      </c>
      <c r="I54" s="6" t="s">
        <v>892</v>
      </c>
    </row>
    <row r="56" customFormat="false" ht="15" hidden="false" customHeight="false" outlineLevel="0" collapsed="false">
      <c r="A56" s="47" t="s">
        <v>893</v>
      </c>
      <c r="B56" s="8"/>
      <c r="C56" s="8"/>
      <c r="D56" s="8"/>
      <c r="E56" s="8"/>
      <c r="F56" s="8"/>
      <c r="G56" s="8"/>
      <c r="H56" s="8"/>
    </row>
    <row r="57" customFormat="false" ht="15" hidden="false" customHeight="false" outlineLevel="1" collapsed="false">
      <c r="A57" s="3" t="s">
        <v>894</v>
      </c>
      <c r="B57" s="11" t="s">
        <v>42</v>
      </c>
      <c r="C57" s="24" t="n">
        <v>0.083</v>
      </c>
      <c r="I57" s="11" t="s">
        <v>895</v>
      </c>
    </row>
    <row r="58" customFormat="false" ht="15" hidden="false" customHeight="false" outlineLevel="1" collapsed="false">
      <c r="A58" s="3" t="s">
        <v>896</v>
      </c>
      <c r="B58" s="6" t="s">
        <v>180</v>
      </c>
      <c r="C58" s="26" t="n">
        <v>3</v>
      </c>
      <c r="I58" s="6" t="s">
        <v>897</v>
      </c>
    </row>
    <row r="59" customFormat="false" ht="15" hidden="false" customHeight="false" outlineLevel="1" collapsed="false">
      <c r="A59" s="3" t="s">
        <v>898</v>
      </c>
      <c r="B59" s="11" t="s">
        <v>59</v>
      </c>
      <c r="C59" s="32" t="n">
        <f aca="false">輸入與假設!D$153*(1+各期收支!$C$57)^(-(運營_產能與收入!$D$63-運營_產能與收入!$D$7/2-運營_產能與收入!$C$63))+輸入與假設!E$153*(1+各期收支!$C$57)^(-(運營_產能與收入!$E$63-運營_產能與收入!$E$7/2-運營_產能與收入!$C$63))+輸入與假設!F$153*(1+各期收支!$C$57)^(-(運營_產能與收入!$F$63-運營_產能與收入!$F$7/2-運營_產能與收入!$C$63))+輸入與假設!G$153*(1+各期收支!$C$57)^(-(運營_產能與收入!$G$63-運營_產能與收入!$G$7/2-運營_產能與收入!$C$63))+5.76/各期收支!$C$58*(1+各期收支!$C$57)^0.5*(1-(1+各期收支!$C$57)^(-各期收支!$C$58))/各期收支!$C$57*(1+各期收支!$C$57)^(-(運營_產能與收入!$G$63-運營_產能與收入!$C$63))</f>
        <v>13.6941882557438</v>
      </c>
      <c r="D59" s="32" t="n">
        <f aca="false">輸入與假設!E$153*(1+各期收支!$C$57)^(-(運營_產能與收入!$E$63-運營_產能與收入!$E$7/2-運營_產能與收入!$D$63))+輸入與假設!F$153*(1+各期收支!$C$57)^(-(運營_產能與收入!$F$63-運營_產能與收入!$F$7/2-運營_產能與收入!$D$63))+輸入與假設!G$153*(1+各期收支!$C$57)^(-(運營_產能與收入!$G$63-運營_產能與收入!$G$7/2-運營_產能與收入!$D$63))+5.76/各期收支!$C$58*(1+各期收支!$C$57)^0.5*(1-(1+各期收支!$C$57)^(-各期收支!$C$58))/各期收支!$C$57*(1+各期收支!$C$57)^(-(運營_產能與收入!$G$63-運營_產能與收入!$D$63))</f>
        <v>10.3767260433385</v>
      </c>
      <c r="E59" s="32" t="n">
        <f aca="false">輸入與假設!F$153*(1+各期收支!$C$57)^(-(運營_產能與收入!$F$63-運營_產能與收入!$F$7/2-運營_產能與收入!$E$63))+輸入與假設!G$153*(1+各期收支!$C$57)^(-(運營_產能與收入!$G$63-運營_產能與收入!$G$7/2-運營_產能與收入!$E$63))+5.76/各期收支!$C$58*(1+各期收支!$C$57)^0.5*(1-(1+各期收支!$C$57)^(-各期收支!$C$58))/各期收支!$C$57*(1+各期收支!$C$57)^(-(運營_產能與收入!$G$63-運營_產能與收入!$E$63))</f>
        <v>8.67273570686018</v>
      </c>
      <c r="F59" s="32" t="n">
        <f aca="false">輸入與假設!G$153*(1+各期收支!$C$57)^(-(運營_產能與收入!$G$63-運營_產能與收入!$G$7/2-運營_產能與收入!$F$63))+5.76/各期收支!$C$58*(1+各期收支!$C$57)^0.5*(1-(1+各期收支!$C$57)^(-各期收支!$C$58))/各期收支!$C$57*(1+各期收支!$C$57)^(-(運營_產能與收入!$G$63-運營_產能與收入!$F$63))</f>
        <v>6.99486250279496</v>
      </c>
      <c r="G59" s="32" t="n">
        <f aca="false">5.76/各期收支!$C$58*(1+各期收支!$C$57)^0.5*(1-(1+各期收支!$C$57)^(-各期收支!$C$58))/各期收支!$C$57*(1+各期收支!$C$57)^(-(運營_產能與收入!$G$63-運營_產能與收入!$G$63))</f>
        <v>5.12152948839229</v>
      </c>
      <c r="I59" s="6" t="s">
        <v>899</v>
      </c>
    </row>
    <row r="60" customFormat="false" ht="15" hidden="false" customHeight="false" outlineLevel="1" collapsed="false">
      <c r="A60" s="3" t="s">
        <v>900</v>
      </c>
      <c r="B60" s="11" t="s">
        <v>59</v>
      </c>
      <c r="C60" s="32" t="n">
        <f aca="false">IF(OR(運營_產能與收入!$C$62&lt;=0,運營_產能與收入!$C$68&lt;=0),1*輸入與假設!$C$26/輸入與假設!$C$28/輸入與假設!$C$29/4/((1+各期收支!$C$57)^0.25-1)*(MIN(MAX(0,輸入與假設!C$154-(輸入與假設!$C$27)),輸入與假設!$C$28)-(1+各期收支!$C$57)^(-(4*輸入與假設!$C$29-MAX(0,輸入與假設!C$154-(輸入與假設!$C$27)))/4)*(1-(1+各期收支!$C$57)^(-MIN(MAX(0,輸入與假設!C$154-(輸入與假設!$C$27)),輸入與假設!$C$28)/4))/(1-(1+各期收支!$C$57)^(-0.25))),(1-運營_產能與收入!$C$68)*輸入與假設!$C$26/輸入與假設!$C$28/輸入與假設!$C$29/4/((1+各期收支!$C$57)^0.25-1)*(MIN(MAX(0,輸入與假設!C$154-(輸入與假設!$C$27)),輸入與假設!$C$28)-(1+各期收支!$C$57)^(-(4*輸入與假設!$C$29-MAX(0,輸入與假設!C$154-(輸入與假設!$C$27)))/4)*(1-(1+各期收支!$C$57)^(-MIN(MAX(0,輸入與假設!C$154-(輸入與假設!$C$27)),輸入與假設!$C$28)/4))/(1-(1+各期收支!$C$57)^(-0.25)))+運營_產能與收入!$C$68*輸入與假設!$C$26/輸入與假設!$C$28/輸入與假設!$C$29/4/((1+各期收支!$C$57)^0.25-1)*(MIN(MAX(0,輸入與假設!C$154-(輸入與假設!$C$27+運營_產能與收入!$C$62/3)),輸入與假設!$C$28)-(1+各期收支!$C$57)^(-(4*輸入與假設!$C$29-MAX(0,輸入與假設!C$154-(輸入與假設!$C$27+運營_產能與收入!$C$62/3)))/4)*(1-(1+各期收支!$C$57)^(-MIN(MAX(0,輸入與假設!C$154-(輸入與假設!$C$27+運營_產能與收入!$C$62/3)),輸入與假設!$C$28)/4))/(1-(1+各期收支!$C$57)^(-0.25))))</f>
        <v>7.9631252680735</v>
      </c>
      <c r="D60" s="32" t="n">
        <f aca="false">IF(OR(運營_產能與收入!$C$62&lt;=0,運營_產能與收入!$C$68&lt;=0),1*輸入與假設!$C$26/輸入與假設!$C$28/輸入與假設!$C$29/4/((1+各期收支!$C$57)^0.25-1)*(MIN(MAX(0,輸入與假設!D$154-(輸入與假設!$C$27)),輸入與假設!$C$28)-(1+各期收支!$C$57)^(-(4*輸入與假設!$C$29-MAX(0,輸入與假設!D$154-(輸入與假設!$C$27)))/4)*(1-(1+各期收支!$C$57)^(-MIN(MAX(0,輸入與假設!D$154-(輸入與假設!$C$27)),輸入與假設!$C$28)/4))/(1-(1+各期收支!$C$57)^(-0.25))),(1-運營_產能與收入!$C$68)*輸入與假設!$C$26/輸入與假設!$C$28/輸入與假設!$C$29/4/((1+各期收支!$C$57)^0.25-1)*(MIN(MAX(0,輸入與假設!D$154-(輸入與假設!$C$27)),輸入與假設!$C$28)-(1+各期收支!$C$57)^(-(4*輸入與假設!$C$29-MAX(0,輸入與假設!D$154-(輸入與假設!$C$27)))/4)*(1-(1+各期收支!$C$57)^(-MIN(MAX(0,輸入與假設!D$154-(輸入與假設!$C$27)),輸入與假設!$C$28)/4))/(1-(1+各期收支!$C$57)^(-0.25)))+運營_產能與收入!$C$68*輸入與假設!$C$26/輸入與假設!$C$28/輸入與假設!$C$29/4/((1+各期收支!$C$57)^0.25-1)*(MIN(MAX(0,輸入與假設!D$154-(輸入與假設!$C$27+運營_產能與收入!$C$62/3)),輸入與假設!$C$28)-(1+各期收支!$C$57)^(-(4*輸入與假設!$C$29-MAX(0,輸入與假設!D$154-(輸入與假設!$C$27+運營_產能與收入!$C$62/3)))/4)*(1-(1+各期收支!$C$57)^(-MIN(MAX(0,輸入與假設!D$154-(輸入與假設!$C$27+運營_產能與收入!$C$62/3)),輸入與假設!$C$28)/4))/(1-(1+各期收支!$C$57)^(-0.25))))</f>
        <v>13.3713706016856</v>
      </c>
      <c r="E60" s="32" t="n">
        <f aca="false">IF(OR(運營_產能與收入!$C$62&lt;=0,運營_產能與收入!$C$68&lt;=0),1*輸入與假設!$C$26/輸入與假設!$C$28/輸入與假設!$C$29/4/((1+各期收支!$C$57)^0.25-1)*(MIN(MAX(0,輸入與假設!E$154-(輸入與假設!$C$27)),輸入與假設!$C$28)-(1+各期收支!$C$57)^(-(4*輸入與假設!$C$29-MAX(0,輸入與假設!E$154-(輸入與假設!$C$27)))/4)*(1-(1+各期收支!$C$57)^(-MIN(MAX(0,輸入與假設!E$154-(輸入與假設!$C$27)),輸入與假設!$C$28)/4))/(1-(1+各期收支!$C$57)^(-0.25))),(1-運營_產能與收入!$C$68)*輸入與假設!$C$26/輸入與假設!$C$28/輸入與假設!$C$29/4/((1+各期收支!$C$57)^0.25-1)*(MIN(MAX(0,輸入與假設!E$154-(輸入與假設!$C$27)),輸入與假設!$C$28)-(1+各期收支!$C$57)^(-(4*輸入與假設!$C$29-MAX(0,輸入與假設!E$154-(輸入與假設!$C$27)))/4)*(1-(1+各期收支!$C$57)^(-MIN(MAX(0,輸入與假設!E$154-(輸入與假設!$C$27)),輸入與假設!$C$28)/4))/(1-(1+各期收支!$C$57)^(-0.25)))+運營_產能與收入!$C$68*輸入與假設!$C$26/輸入與假設!$C$28/輸入與假設!$C$29/4/((1+各期收支!$C$57)^0.25-1)*(MIN(MAX(0,輸入與假設!E$154-(輸入與假設!$C$27+運營_產能與收入!$C$62/3)),輸入與假設!$C$28)-(1+各期收支!$C$57)^(-(4*輸入與假設!$C$29-MAX(0,輸入與假設!E$154-(輸入與假設!$C$27+運營_產能與收入!$C$62/3)))/4)*(1-(1+各期收支!$C$57)^(-MIN(MAX(0,輸入與假設!E$154-(輸入與假設!$C$27+運營_產能與收入!$C$62/3)),輸入與假設!$C$28)/4))/(1-(1+各期收支!$C$57)^(-0.25))))</f>
        <v>10.226844715561</v>
      </c>
      <c r="F60" s="32" t="n">
        <f aca="false">IF(OR(運營_產能與收入!$C$62&lt;=0,運營_產能與收入!$C$68&lt;=0),1*輸入與假設!$C$26/輸入與假設!$C$28/輸入與假設!$C$29/4/((1+各期收支!$C$57)^0.25-1)*(MIN(MAX(0,輸入與假設!F$154-(輸入與假設!$C$27)),輸入與假設!$C$28)-(1+各期收支!$C$57)^(-(4*輸入與假設!$C$29-MAX(0,輸入與假設!F$154-(輸入與假設!$C$27)))/4)*(1-(1+各期收支!$C$57)^(-MIN(MAX(0,輸入與假設!F$154-(輸入與假設!$C$27)),輸入與假設!$C$28)/4))/(1-(1+各期收支!$C$57)^(-0.25))),(1-運營_產能與收入!$C$68)*輸入與假設!$C$26/輸入與假設!$C$28/輸入與假設!$C$29/4/((1+各期收支!$C$57)^0.25-1)*(MIN(MAX(0,輸入與假設!F$154-(輸入與假設!$C$27)),輸入與假設!$C$28)-(1+各期收支!$C$57)^(-(4*輸入與假設!$C$29-MAX(0,輸入與假設!F$154-(輸入與假設!$C$27)))/4)*(1-(1+各期收支!$C$57)^(-MIN(MAX(0,輸入與假設!F$154-(輸入與假設!$C$27)),輸入與假設!$C$28)/4))/(1-(1+各期收支!$C$57)^(-0.25)))+運營_產能與收入!$C$68*輸入與假設!$C$26/輸入與假設!$C$28/輸入與假設!$C$29/4/((1+各期收支!$C$57)^0.25-1)*(MIN(MAX(0,輸入與假設!F$154-(輸入與假設!$C$27+運營_產能與收入!$C$62/3)),輸入與假設!$C$28)-(1+各期收支!$C$57)^(-(4*輸入與假設!$C$29-MAX(0,輸入與假設!F$154-(輸入與假設!$C$27+運營_產能與收入!$C$62/3)))/4)*(1-(1+各期收支!$C$57)^(-MIN(MAX(0,輸入與假設!F$154-(輸入與假設!$C$27+運營_產能與收入!$C$62/3)),輸入與假設!$C$28)/4))/(1-(1+各期收支!$C$57)^(-0.25))))</f>
        <v>6.82132318088799</v>
      </c>
      <c r="G60" s="32" t="n">
        <f aca="false">IF(OR(運營_產能與收入!$C$62&lt;=0,運營_產能與收入!$C$68&lt;=0),1*輸入與假設!$C$26/輸入與假設!$C$28/輸入與假設!$C$29/4/((1+各期收支!$C$57)^0.25-1)*(MIN(MAX(0,輸入與假設!G$154-(輸入與假設!$C$27)),輸入與假設!$C$28)-(1+各期收支!$C$57)^(-(4*輸入與假設!$C$29-MAX(0,輸入與假設!G$154-(輸入與假設!$C$27)))/4)*(1-(1+各期收支!$C$57)^(-MIN(MAX(0,輸入與假設!G$154-(輸入與假設!$C$27)),輸入與假設!$C$28)/4))/(1-(1+各期收支!$C$57)^(-0.25))),(1-運營_產能與收入!$C$68)*輸入與假設!$C$26/輸入與假設!$C$28/輸入與假設!$C$29/4/((1+各期收支!$C$57)^0.25-1)*(MIN(MAX(0,輸入與假設!G$154-(輸入與假設!$C$27)),輸入與假設!$C$28)-(1+各期收支!$C$57)^(-(4*輸入與假設!$C$29-MAX(0,輸入與假設!G$154-(輸入與假設!$C$27)))/4)*(1-(1+各期收支!$C$57)^(-MIN(MAX(0,輸入與假設!G$154-(輸入與假設!$C$27)),輸入與假設!$C$28)/4))/(1-(1+各期收支!$C$57)^(-0.25)))+運營_產能與收入!$C$68*輸入與假設!$C$26/輸入與假設!$C$28/輸入與假設!$C$29/4/((1+各期收支!$C$57)^0.25-1)*(MIN(MAX(0,輸入與假設!G$154-(輸入與假設!$C$27+運營_產能與收入!$C$62/3)),輸入與假設!$C$28)-(1+各期收支!$C$57)^(-(4*輸入與假設!$C$29-MAX(0,輸入與假設!G$154-(輸入與假設!$C$27+運營_產能與收入!$C$62/3)))/4)*(1-(1+各期收支!$C$57)^(-MIN(MAX(0,輸入與假設!G$154-(輸入與假設!$C$27+運營_產能與收入!$C$62/3)),輸入與假設!$C$28)/4))/(1-(1+各期收支!$C$57)^(-0.25))))</f>
        <v>3.13314335883717</v>
      </c>
      <c r="I60" s="6" t="s">
        <v>901</v>
      </c>
    </row>
    <row r="61" customFormat="false" ht="15" hidden="false" customHeight="false" outlineLevel="1" collapsed="false">
      <c r="A61" s="2" t="s">
        <v>902</v>
      </c>
      <c r="B61" s="11" t="s">
        <v>59</v>
      </c>
      <c r="C61" s="36" t="n">
        <f aca="false">C59+C60</f>
        <v>21.6573135238173</v>
      </c>
      <c r="D61" s="36" t="n">
        <f aca="false">D59+D60</f>
        <v>23.7480966450241</v>
      </c>
      <c r="E61" s="36" t="n">
        <f aca="false">E59+E60</f>
        <v>18.8995804224211</v>
      </c>
      <c r="F61" s="36" t="n">
        <f aca="false">F59+F60</f>
        <v>13.8161856836829</v>
      </c>
      <c r="G61" s="36" t="n">
        <f aca="false">G59+G60</f>
        <v>8.25467284722946</v>
      </c>
    </row>
    <row r="63" customFormat="false" ht="15" hidden="false" customHeight="false" outlineLevel="0" collapsed="false">
      <c r="A63" s="47" t="s">
        <v>903</v>
      </c>
      <c r="B63" s="8"/>
      <c r="C63" s="8"/>
      <c r="D63" s="8"/>
      <c r="E63" s="8"/>
      <c r="F63" s="8"/>
      <c r="G63" s="8"/>
      <c r="H63" s="8"/>
    </row>
    <row r="64" customFormat="false" ht="15" hidden="false" customHeight="false" outlineLevel="1" collapsed="false">
      <c r="A64" s="3" t="s">
        <v>904</v>
      </c>
      <c r="B64" s="11" t="s">
        <v>59</v>
      </c>
      <c r="C64" s="32" t="n">
        <f aca="false">C13+C17+C18+C23+C25+C26+C27+C28+C29+C24</f>
        <v>655.066836349394</v>
      </c>
      <c r="D64" s="32" t="n">
        <f aca="false">D13+D17+D18+D23+D25+D26+D27+D28+D29+D24</f>
        <v>615.272052054866</v>
      </c>
      <c r="E64" s="32" t="n">
        <f aca="false">E13+E17+E18+E23+E25+E26+E27+E28+E29+E24</f>
        <v>194.669191497466</v>
      </c>
      <c r="F64" s="32" t="n">
        <f aca="false">F13+F17+F18+F23+F25+F26+F27+F28+F29+F24</f>
        <v>220.147958913827</v>
      </c>
      <c r="G64" s="32" t="n">
        <f aca="false">G13+G17+G18+G23+G25+G26+G27+G28+G29+G24</f>
        <v>288.066684602146</v>
      </c>
      <c r="I64" s="6" t="s">
        <v>905</v>
      </c>
    </row>
    <row r="65" customFormat="false" ht="15" hidden="false" customHeight="false" outlineLevel="1" collapsed="false">
      <c r="A65" s="3" t="s">
        <v>906</v>
      </c>
      <c r="B65" s="11" t="s">
        <v>59</v>
      </c>
      <c r="C65" s="32" t="n">
        <f aca="false">0</f>
        <v>0</v>
      </c>
      <c r="D65" s="32" t="n">
        <f aca="false">C92</f>
        <v>0</v>
      </c>
      <c r="E65" s="32" t="n">
        <f aca="false">D92</f>
        <v>20</v>
      </c>
      <c r="F65" s="32" t="n">
        <f aca="false">E92</f>
        <v>42.1932972958052</v>
      </c>
      <c r="G65" s="32" t="n">
        <f aca="false">F92</f>
        <v>70.8252175098554</v>
      </c>
    </row>
    <row r="66" customFormat="false" ht="15" hidden="false" customHeight="false" outlineLevel="1" collapsed="false">
      <c r="A66" s="3" t="s">
        <v>907</v>
      </c>
      <c r="B66" s="11" t="s">
        <v>42</v>
      </c>
      <c r="C66" s="49" t="n">
        <f aca="false">C20*運營_產能與收入!C7</f>
        <v>0.0475</v>
      </c>
      <c r="D66" s="49" t="n">
        <f aca="false">D20*運營_產能與收入!D7</f>
        <v>0.095</v>
      </c>
      <c r="E66" s="49" t="n">
        <f aca="false">E20*運營_產能與收入!E7</f>
        <v>0.095</v>
      </c>
      <c r="F66" s="49" t="n">
        <f aca="false">F20*運營_產能與收入!F7</f>
        <v>0.095</v>
      </c>
      <c r="G66" s="49" t="n">
        <f aca="false">G20*運營_產能與收入!G7</f>
        <v>0.095</v>
      </c>
    </row>
    <row r="67" customFormat="false" ht="15" hidden="false" customHeight="false" outlineLevel="1" collapsed="false">
      <c r="A67" s="3" t="s">
        <v>908</v>
      </c>
      <c r="B67" s="11" t="s">
        <v>59</v>
      </c>
      <c r="C67" s="32" t="n">
        <f aca="false">0</f>
        <v>0</v>
      </c>
      <c r="D67" s="32" t="n">
        <f aca="false">C94</f>
        <v>0</v>
      </c>
      <c r="E67" s="32" t="n">
        <f aca="false">D94</f>
        <v>0</v>
      </c>
      <c r="F67" s="32" t="n">
        <f aca="false">E94</f>
        <v>0</v>
      </c>
      <c r="G67" s="32" t="n">
        <f aca="false">F94</f>
        <v>0</v>
      </c>
    </row>
    <row r="68" customFormat="false" ht="15" hidden="false" customHeight="false" outlineLevel="1" collapsed="false">
      <c r="A68" s="3" t="s">
        <v>909</v>
      </c>
      <c r="B68" s="11" t="s">
        <v>59</v>
      </c>
      <c r="C68" s="32" t="n">
        <f aca="false">0</f>
        <v>0</v>
      </c>
      <c r="D68" s="32" t="n">
        <f aca="false">C95</f>
        <v>0</v>
      </c>
      <c r="E68" s="32" t="n">
        <f aca="false">D95</f>
        <v>45.4561964431454</v>
      </c>
      <c r="F68" s="32" t="n">
        <f aca="false">E95</f>
        <v>96.8967011761301</v>
      </c>
      <c r="G68" s="32" t="n">
        <f aca="false">F95</f>
        <v>96.8967011761301</v>
      </c>
    </row>
    <row r="69" customFormat="false" ht="15" hidden="false" customHeight="false" outlineLevel="1" collapsed="false">
      <c r="A69" s="3" t="s">
        <v>910</v>
      </c>
      <c r="B69" s="11" t="s">
        <v>42</v>
      </c>
      <c r="C69" s="49" t="n">
        <f aca="false">輸入與假設!$C$213*運營_產能與收入!C7</f>
        <v>0.025</v>
      </c>
      <c r="D69" s="49" t="n">
        <f aca="false">輸入與假設!$C$213*運營_產能與收入!D7</f>
        <v>0.05</v>
      </c>
      <c r="E69" s="49" t="n">
        <f aca="false">輸入與假設!$C$213*運營_產能與收入!E7</f>
        <v>0.05</v>
      </c>
      <c r="F69" s="49" t="n">
        <f aca="false">輸入與假設!$C$213*運營_產能與收入!F7</f>
        <v>0.05</v>
      </c>
      <c r="G69" s="49" t="n">
        <f aca="false">輸入與假設!$C$213*運營_產能與收入!G7</f>
        <v>0.05</v>
      </c>
    </row>
    <row r="70" customFormat="false" ht="15" hidden="false" customHeight="false" outlineLevel="1" collapsed="false">
      <c r="A70" s="3" t="s">
        <v>911</v>
      </c>
      <c r="B70" s="11" t="s">
        <v>42</v>
      </c>
      <c r="C70" s="49" t="n">
        <f aca="false">(輸入與假設!$C$215+IF(輸入與假設!$C$218=1,MAX(0,輸入與假設!$C$217-輸入與假設!$C$219)/10000*輸入與假設!$C$220,0))*運營_產能與收入!C7</f>
        <v>0.06</v>
      </c>
      <c r="D70" s="49" t="n">
        <f aca="false">(輸入與假設!$C$215+IF(輸入與假設!$C$218=1,MAX(0,輸入與假設!$C$217-輸入與假設!$C$219)/10000*輸入與假設!$C$220,0))*運營_產能與收入!D7</f>
        <v>0.12</v>
      </c>
      <c r="E70" s="49" t="n">
        <f aca="false">(輸入與假設!$C$215+IF(輸入與假設!$C$218=1,MAX(0,輸入與假設!$C$217-輸入與假設!$C$219)/10000*輸入與假設!$C$220,0))*運營_產能與收入!E7</f>
        <v>0.12</v>
      </c>
      <c r="F70" s="49" t="n">
        <f aca="false">(輸入與假設!$C$215+IF(輸入與假設!$C$218=1,MAX(0,輸入與假設!$C$217-輸入與假設!$C$219)/10000*輸入與假設!$C$220,0))*運營_產能與收入!F7</f>
        <v>0.12</v>
      </c>
      <c r="G70" s="49" t="n">
        <f aca="false">(輸入與假設!$C$215+IF(輸入與假設!$C$218=1,MAX(0,輸入與假設!$C$217-輸入與假設!$C$219)/10000*輸入與假設!$C$220,0))*運營_產能與收入!G7</f>
        <v>0.12</v>
      </c>
    </row>
    <row r="71" customFormat="false" ht="15" hidden="false" customHeight="false" outlineLevel="1" collapsed="false">
      <c r="A71" s="3" t="s">
        <v>912</v>
      </c>
      <c r="B71" s="11" t="s">
        <v>59</v>
      </c>
      <c r="C71" s="32" t="n">
        <f aca="false">C19+C41+C42+C43+C44+C51-C64-C66*C65-C70*C67-C69*C68</f>
        <v>136.216575143009</v>
      </c>
      <c r="D71" s="32" t="n">
        <f aca="false">D19+D41+D42+D43+D44+D51-D64-D66*D65-D70*D67-D69*D68</f>
        <v>-31.2833866209882</v>
      </c>
      <c r="E71" s="32" t="n">
        <f aca="false">E19+E41+E42+E43+E44+E51-E64-E66*E65-E70*E67-E69*E68</f>
        <v>-38.9534135490392</v>
      </c>
      <c r="F71" s="32" t="n">
        <f aca="false">F19+F41+F42+F43+F44+F51-F64-F66*F65-F70*F67-F69*F68</f>
        <v>4.08811220628457</v>
      </c>
      <c r="G71" s="32" t="n">
        <f aca="false">G19+G41+G42+G43+G44+G51-G64-G66*G65-G70*G67-G69*G68</f>
        <v>4.64591056932302</v>
      </c>
    </row>
    <row r="72" customFormat="false" ht="15" hidden="false" customHeight="false" outlineLevel="1" collapsed="false">
      <c r="A72" s="2" t="s">
        <v>913</v>
      </c>
      <c r="B72" s="11" t="s">
        <v>59</v>
      </c>
      <c r="C72" s="36" t="n">
        <f aca="false">MAX(0,輸入與假設!$C$204-C71)</f>
        <v>0</v>
      </c>
      <c r="D72" s="36" t="n">
        <f aca="false">MAX(0,輸入與假設!$C$204-D71)</f>
        <v>61.2833866209882</v>
      </c>
      <c r="E72" s="36" t="n">
        <f aca="false">MAX(0,輸入與假設!$C$204-E71)</f>
        <v>68.9534135490391</v>
      </c>
      <c r="F72" s="36" t="n">
        <f aca="false">MAX(0,輸入與假設!$C$204-F71)</f>
        <v>25.9118877937154</v>
      </c>
      <c r="G72" s="36" t="n">
        <f aca="false">MAX(0,輸入與假設!$C$204-G71)</f>
        <v>25.354089430677</v>
      </c>
    </row>
    <row r="73" customFormat="false" ht="15" hidden="false" customHeight="false" outlineLevel="1" collapsed="false">
      <c r="A73" s="3" t="s">
        <v>914</v>
      </c>
      <c r="B73" s="11" t="s">
        <v>59</v>
      </c>
      <c r="C73" s="32" t="n">
        <f aca="false">輸入與假設!$C$31+輸入與假設!$C$32</f>
        <v>75.146</v>
      </c>
      <c r="D73" s="32" t="n">
        <f aca="false">C75</f>
        <v>151.4651372</v>
      </c>
      <c r="E73" s="32" t="n">
        <f aca="false">D75</f>
        <v>259.475862638</v>
      </c>
      <c r="F73" s="32" t="n">
        <f aca="false">E75</f>
        <v>358.007693762</v>
      </c>
      <c r="G73" s="32" t="n">
        <f aca="false">F75</f>
        <v>231.98525</v>
      </c>
      <c r="I73" s="11" t="s">
        <v>915</v>
      </c>
    </row>
    <row r="74" customFormat="false" ht="15" hidden="false" customHeight="false" outlineLevel="1" collapsed="false">
      <c r="A74" s="3" t="s">
        <v>916</v>
      </c>
      <c r="B74" s="11" t="s">
        <v>59</v>
      </c>
      <c r="C74" s="32" t="n">
        <f aca="false">MAX(0,運營_產能與收入!C24/運營_產能與收入!C7-0)*輸入與假設!$C$201</f>
        <v>117.5353872</v>
      </c>
      <c r="D74" s="32" t="n">
        <f aca="false">MAX(0,運營_產能與收入!D24/運營_產能與收入!D7-運營_產能與收入!C24/運營_產能與收入!C7)*輸入與假設!$C$201</f>
        <v>285.664725438</v>
      </c>
      <c r="E74" s="32" t="n">
        <f aca="false">MAX(0,運營_產能與收入!E24/運營_產能與收入!E7-運營_產能與收入!D24/運營_產能與收入!D7)*輸入與假設!$C$201</f>
        <v>364.795331124</v>
      </c>
      <c r="F74" s="32" t="n">
        <f aca="false">MAX(0,運營_產能與收入!F24/運營_產能與收入!F7-運營_產能與收入!E24/運營_產能與收入!E7)*輸入與假設!$C$201</f>
        <v>194.964056238</v>
      </c>
      <c r="G74" s="32" t="n">
        <f aca="false">MAX(0,運營_產能與收入!G24/運營_產能與收入!G7-運營_產能與收入!F24/運營_產能與收入!F7)*輸入與假設!$C$201</f>
        <v>145.5075</v>
      </c>
    </row>
    <row r="75" customFormat="false" ht="15" hidden="false" customHeight="false" outlineLevel="1" collapsed="false">
      <c r="A75" s="3" t="s">
        <v>917</v>
      </c>
      <c r="B75" s="11" t="s">
        <v>59</v>
      </c>
      <c r="C75" s="32" t="n">
        <f aca="false">C73-運營_產能與收入!C18-運營_產能與收入!C24+C74</f>
        <v>151.4651372</v>
      </c>
      <c r="D75" s="32" t="n">
        <f aca="false">D73-運營_產能與收入!D18-運營_產能與收入!D24+D74</f>
        <v>259.475862638</v>
      </c>
      <c r="E75" s="32" t="n">
        <f aca="false">E73-運營_產能與收入!E18-運營_產能與收入!E24+E74</f>
        <v>358.007693762</v>
      </c>
      <c r="F75" s="32" t="n">
        <f aca="false">F73-運營_產能與收入!F18-運營_產能與收入!F24+F74</f>
        <v>231.98525</v>
      </c>
      <c r="G75" s="32" t="n">
        <f aca="false">G73-運營_產能與收入!G18-運營_產能與收入!G24+G74</f>
        <v>8.00375000000003</v>
      </c>
      <c r="I75" s="6" t="s">
        <v>918</v>
      </c>
    </row>
    <row r="76" customFormat="false" ht="15" hidden="false" customHeight="false" outlineLevel="1" collapsed="false">
      <c r="A76" s="3" t="s">
        <v>919</v>
      </c>
      <c r="B76" s="11" t="s">
        <v>59</v>
      </c>
      <c r="C76" s="32" t="n">
        <f aca="false">IF(輸入與假設!$C$197=1,資產負債_既有債務!C28,資產負債_既有債務!$E$8)+資產負債_既有債務!$E$11+資產負債_既有債務!C33+資產負債_既有債務!C44</f>
        <v>460.677</v>
      </c>
      <c r="D76" s="32" t="n">
        <f aca="false">IF(輸入與假設!$C$197=1,資產負債_既有債務!D28,資產負債_既有債務!$E$8)+資產負債_既有債務!$E$11+資產負債_既有債務!D33+資產負債_既有債務!D44</f>
        <v>677.055</v>
      </c>
      <c r="E76" s="32" t="n">
        <f aca="false">IF(輸入與假設!$C$197=1,資產負債_既有債務!E28,資產負債_既有債務!$E$8)+資產負債_既有債務!$E$11+資產負債_既有債務!E33+資產負債_既有債務!E44</f>
        <v>640.0955</v>
      </c>
      <c r="F76" s="32" t="n">
        <f aca="false">IF(輸入與假設!$C$197=1,資產負債_既有債務!F28,資產負債_既有債務!$E$8)+資產負債_既有債務!$E$11+資產負債_既有債務!F33+資產負債_既有債務!F44</f>
        <v>588.424</v>
      </c>
      <c r="G76" s="32" t="n">
        <f aca="false">IF(輸入與假設!$C$197=1,資產負債_既有債務!G28,資產負債_既有債務!$E$8)+資產負債_既有債務!$E$11+資產負債_既有債務!G33+資產負債_既有債務!G44</f>
        <v>557.7115</v>
      </c>
      <c r="I76" s="6" t="s">
        <v>920</v>
      </c>
    </row>
    <row r="77" customFormat="false" ht="15" hidden="false" customHeight="false" outlineLevel="1" collapsed="false">
      <c r="A77" s="3" t="s">
        <v>921</v>
      </c>
      <c r="B77" s="11" t="s">
        <v>59</v>
      </c>
      <c r="C77" s="32" t="n">
        <f aca="false">IF(輸入與假設!$C$199="leaseAdj",輸入與假設!$C$200*(損益!C22+C17)/運營_產能與收入!C7-C61,IF(輸入與假設!$C$199="ebitda",輸入與假設!$C$200*損益!C22/運營_產能與收入!C7,輸入與假設!$C$198*C75))</f>
        <v>62.1272896682975</v>
      </c>
      <c r="D77" s="32" t="n">
        <f aca="false">IF(輸入與假設!$C$199="leaseAdj",輸入與假設!$C$200*(損益!D22+D17)/運營_產能與收入!D7-D61,IF(輸入與假設!$C$199="ebitda",輸入與假設!$C$200*損益!D22/運營_產能與收入!D7,輸入與假設!$C$198*D75))</f>
        <v>127.023915639475</v>
      </c>
      <c r="E77" s="32" t="n">
        <f aca="false">IF(輸入與假設!$C$199="leaseAdj",輸入與假設!$C$200*(損益!E22+E17)/運營_產能與收入!E7-E61,IF(輸入與假設!$C$199="ebitda",輸入與假設!$C$200*損益!E22/運營_產能與收入!E7,輸入與假設!$C$198*E75))</f>
        <v>451.332493738951</v>
      </c>
      <c r="F77" s="32" t="n">
        <f aca="false">IF(輸入與假設!$C$199="leaseAdj",輸入與假設!$C$200*(損益!F22+F17)/運營_產能與收入!F7-F61,IF(輸入與假設!$C$199="ebitda",輸入與假設!$C$200*損益!F22/運營_產能與收入!F7,輸入與假設!$C$198*F75))</f>
        <v>737.301151093993</v>
      </c>
      <c r="G77" s="32" t="n">
        <f aca="false">IF(輸入與假設!$C$199="leaseAdj",輸入與假設!$C$200*(損益!G22+G17)/運營_產能與收入!G7-G61,IF(輸入與假設!$C$199="ebitda",輸入與假設!$C$200*損益!G22/運營_產能與收入!G7,輸入與假設!$C$198*G75))</f>
        <v>1049.18833823155</v>
      </c>
      <c r="I77" s="11" t="s">
        <v>922</v>
      </c>
    </row>
    <row r="78" customFormat="false" ht="15" hidden="false" customHeight="false" outlineLevel="1" collapsed="false">
      <c r="A78" s="3" t="s">
        <v>923</v>
      </c>
      <c r="B78" s="11" t="s">
        <v>59</v>
      </c>
      <c r="C78" s="32" t="n">
        <f aca="false">IF(輸入與假設!$C$189=1,輸入與假設!$C$188,0)</f>
        <v>20</v>
      </c>
      <c r="D78" s="32" t="n">
        <f aca="false">C93</f>
        <v>20</v>
      </c>
      <c r="E78" s="32" t="n">
        <f aca="false">D93</f>
        <v>0</v>
      </c>
      <c r="F78" s="32" t="n">
        <f aca="false">E93</f>
        <v>0</v>
      </c>
      <c r="G78" s="32" t="n">
        <f aca="false">F93</f>
        <v>0</v>
      </c>
      <c r="I78" s="6" t="s">
        <v>924</v>
      </c>
    </row>
    <row r="79" customFormat="false" ht="15" hidden="false" customHeight="false" outlineLevel="1" collapsed="false">
      <c r="A79" s="3" t="s">
        <v>925</v>
      </c>
      <c r="B79" s="11" t="s">
        <v>59</v>
      </c>
      <c r="C79" s="32" t="n">
        <f aca="false">MAX(0,C77-(C76-資產負債_既有債務!C44+C65+C68),C78)</f>
        <v>20</v>
      </c>
      <c r="D79" s="32" t="n">
        <f aca="false">MAX(0,D77-(D76-資產負債_既有債務!D44+D65+D68),D78)</f>
        <v>20</v>
      </c>
      <c r="E79" s="32" t="n">
        <f aca="false">MAX(0,E77-(E76-資產負債_既有債務!E44+E65+E68),E78)</f>
        <v>22.1932972958052</v>
      </c>
      <c r="F79" s="32" t="n">
        <f aca="false">MAX(0,F77-(F76-資產負債_既有債務!F44+F65+F68),F78)</f>
        <v>255.487152622058</v>
      </c>
      <c r="G79" s="32" t="n">
        <f aca="false">MAX(0,G77-(G76-資產負債_既有債務!G44+G65+G68),G78)</f>
        <v>538.742419545562</v>
      </c>
      <c r="I79" s="6" t="s">
        <v>926</v>
      </c>
    </row>
    <row r="80" customFormat="false" ht="15" hidden="false" customHeight="false" outlineLevel="1" collapsed="false">
      <c r="A80" s="2" t="s">
        <v>927</v>
      </c>
      <c r="B80" s="11" t="s">
        <v>59</v>
      </c>
      <c r="C80" s="36" t="n">
        <f aca="false">MIN(C79,C72/(1-C66))</f>
        <v>0</v>
      </c>
      <c r="D80" s="36" t="n">
        <f aca="false">MIN(D79,D72/(1-D66))</f>
        <v>20</v>
      </c>
      <c r="E80" s="36" t="n">
        <f aca="false">MIN(E79,E72/(1-E66))</f>
        <v>22.1932972958052</v>
      </c>
      <c r="F80" s="36" t="n">
        <f aca="false">MIN(F79,F72/(1-F66))</f>
        <v>28.6319202140502</v>
      </c>
      <c r="G80" s="36" t="n">
        <f aca="false">MIN(G79,G72/(1-G66))</f>
        <v>28.0155684316873</v>
      </c>
      <c r="I80" s="6" t="s">
        <v>928</v>
      </c>
    </row>
    <row r="81" customFormat="false" ht="15" hidden="false" customHeight="false" outlineLevel="1" collapsed="false">
      <c r="A81" s="3" t="s">
        <v>929</v>
      </c>
      <c r="B81" s="11" t="s">
        <v>59</v>
      </c>
      <c r="C81" s="32" t="n">
        <f aca="false">MAX(0,C72+C66*C80-C80)</f>
        <v>0</v>
      </c>
      <c r="D81" s="32" t="n">
        <f aca="false">MAX(0,D72+D66*D80-D80)</f>
        <v>43.1833866209882</v>
      </c>
      <c r="E81" s="32" t="n">
        <f aca="false">MAX(0,E72+E66*E80-E80)</f>
        <v>48.8684794963355</v>
      </c>
      <c r="F81" s="32" t="n">
        <f aca="false">MAX(0,F72+F66*F80-F80)</f>
        <v>0</v>
      </c>
      <c r="G81" s="32" t="n">
        <f aca="false">MAX(0,G72+G66*G80-G80)</f>
        <v>0</v>
      </c>
    </row>
    <row r="82" customFormat="false" ht="15" hidden="false" customHeight="false" outlineLevel="1" collapsed="false">
      <c r="A82" s="3" t="s">
        <v>930</v>
      </c>
      <c r="B82" s="11" t="s">
        <v>59</v>
      </c>
      <c r="C82" s="32" t="n">
        <f aca="false">MAX(0,輸入與假設!$C$212)*運營_產能與收入!C7</f>
        <v>37.95</v>
      </c>
      <c r="D82" s="32" t="n">
        <f aca="false">MAX(0,輸入與假設!$C$212)*運營_產能與收入!D7</f>
        <v>75.9</v>
      </c>
      <c r="E82" s="32" t="n">
        <f aca="false">MAX(0,輸入與假設!$C$212)*運營_產能與收入!E7</f>
        <v>75.9</v>
      </c>
      <c r="F82" s="32" t="n">
        <f aca="false">MAX(0,輸入與假設!$C$212)*運營_產能與收入!F7</f>
        <v>75.9</v>
      </c>
      <c r="G82" s="32" t="n">
        <f aca="false">MAX(0,輸入與假設!$C$212)*運營_產能與收入!G7</f>
        <v>75.9</v>
      </c>
      <c r="I82" s="6" t="s">
        <v>931</v>
      </c>
    </row>
    <row r="83" customFormat="false" ht="15" hidden="false" customHeight="false" outlineLevel="1" collapsed="false">
      <c r="A83" s="2" t="s">
        <v>932</v>
      </c>
      <c r="B83" s="11" t="s">
        <v>59</v>
      </c>
      <c r="C83" s="36" t="n">
        <f aca="false">MIN(C82,C81/(1-C69))</f>
        <v>0</v>
      </c>
      <c r="D83" s="36" t="n">
        <f aca="false">MIN(D82,D81/(1-D69))</f>
        <v>45.4561964431454</v>
      </c>
      <c r="E83" s="36" t="n">
        <f aca="false">MIN(E82,E81/(1-E69))</f>
        <v>51.4405047329847</v>
      </c>
      <c r="F83" s="36" t="n">
        <f aca="false">MIN(F82,F81/(1-F69))</f>
        <v>0</v>
      </c>
      <c r="G83" s="36" t="n">
        <f aca="false">MIN(G82,G81/(1-G69))</f>
        <v>0</v>
      </c>
      <c r="I83" s="6" t="s">
        <v>933</v>
      </c>
    </row>
    <row r="84" customFormat="false" ht="15" hidden="false" customHeight="false" outlineLevel="1" collapsed="false">
      <c r="A84" s="3" t="s">
        <v>934</v>
      </c>
      <c r="B84" s="11" t="s">
        <v>59</v>
      </c>
      <c r="C84" s="32" t="n">
        <f aca="false">MAX(0,C81+C69*C83-C83)</f>
        <v>0</v>
      </c>
      <c r="D84" s="32" t="n">
        <f aca="false">MAX(0,D81+D69*D83-D83)</f>
        <v>0</v>
      </c>
      <c r="E84" s="32" t="n">
        <f aca="false">MAX(0,E81+E69*E83-E83)</f>
        <v>0</v>
      </c>
      <c r="F84" s="32" t="n">
        <f aca="false">MAX(0,F81+F69*F83-F83)</f>
        <v>0</v>
      </c>
      <c r="G84" s="32" t="n">
        <f aca="false">MAX(0,G81+G69*G83-G83)</f>
        <v>0</v>
      </c>
    </row>
    <row r="85" customFormat="false" ht="15" hidden="false" customHeight="false" outlineLevel="1" collapsed="false">
      <c r="A85" s="3" t="s">
        <v>935</v>
      </c>
      <c r="B85" s="11" t="s">
        <v>59</v>
      </c>
      <c r="C85" s="32" t="n">
        <f aca="false">IF(輸入與假設!$C$207&gt;=9,1E+099,輸入與假設!$C$207*輸入與假設!$C$205*輸入與假設!$C$208*運營_產能與收入!C7)</f>
        <v>37.968187158</v>
      </c>
      <c r="D85" s="32" t="n">
        <f aca="false">IF(輸入與假設!$C$207&gt;=9,1E+099,輸入與假設!$C$207*輸入與假設!$C$205*輸入與假設!$C$208*運營_產能與收入!D7)</f>
        <v>75.936374316</v>
      </c>
      <c r="E85" s="32" t="n">
        <f aca="false">IF(輸入與假設!$C$207&gt;=9,1E+099,輸入與假設!$C$207*輸入與假設!$C$205*輸入與假設!$C$208*運營_產能與收入!E7)</f>
        <v>75.936374316</v>
      </c>
      <c r="F85" s="32" t="n">
        <f aca="false">IF(輸入與假設!$C$207&gt;=9,1E+099,輸入與假設!$C$207*輸入與假設!$C$205*輸入與假設!$C$208*運營_產能與收入!F7)</f>
        <v>75.936374316</v>
      </c>
      <c r="G85" s="32" t="n">
        <f aca="false">IF(輸入與假設!$C$207&gt;=9,1E+099,輸入與假設!$C$207*輸入與假設!$C$205*輸入與假設!$C$208*運營_產能與收入!G7)</f>
        <v>75.936374316</v>
      </c>
      <c r="I85" s="6" t="s">
        <v>936</v>
      </c>
    </row>
    <row r="86" customFormat="false" ht="15" hidden="false" customHeight="false" outlineLevel="1" collapsed="false">
      <c r="A86" s="2" t="s">
        <v>937</v>
      </c>
      <c r="B86" s="11" t="s">
        <v>59</v>
      </c>
      <c r="C86" s="36" t="n">
        <f aca="false">MIN(C84,C85)</f>
        <v>0</v>
      </c>
      <c r="D86" s="36" t="n">
        <f aca="false">MIN(D84,D85)</f>
        <v>0</v>
      </c>
      <c r="E86" s="36" t="n">
        <f aca="false">MIN(E84,E85)</f>
        <v>0</v>
      </c>
      <c r="F86" s="36" t="n">
        <f aca="false">MIN(F84,F85)</f>
        <v>0</v>
      </c>
      <c r="G86" s="36" t="n">
        <f aca="false">MIN(G84,G85)</f>
        <v>0</v>
      </c>
    </row>
    <row r="87" customFormat="false" ht="15" hidden="false" customHeight="false" outlineLevel="1" collapsed="false">
      <c r="A87" s="2" t="s">
        <v>938</v>
      </c>
      <c r="B87" s="11" t="s">
        <v>59</v>
      </c>
      <c r="C87" s="36" t="n">
        <f aca="false">(C84-C86)/(1-C70)</f>
        <v>0</v>
      </c>
      <c r="D87" s="36" t="n">
        <f aca="false">(D84-D86)/(1-D70)</f>
        <v>0</v>
      </c>
      <c r="E87" s="36" t="n">
        <f aca="false">(E84-E86)/(1-E70)</f>
        <v>0</v>
      </c>
      <c r="F87" s="36" t="n">
        <f aca="false">(F84-F86)/(1-F70)</f>
        <v>0</v>
      </c>
      <c r="G87" s="36" t="n">
        <f aca="false">(G84-G86)/(1-G70)</f>
        <v>0</v>
      </c>
    </row>
    <row r="88" customFormat="false" ht="15" hidden="false" customHeight="false" outlineLevel="1" collapsed="false">
      <c r="A88" s="3" t="s">
        <v>939</v>
      </c>
      <c r="B88" s="11" t="s">
        <v>59</v>
      </c>
      <c r="C88" s="32" t="n">
        <f aca="false">C66*(C65+C80)+C70*(C67+C87)+C69*(C68+C83)</f>
        <v>0</v>
      </c>
      <c r="D88" s="32" t="n">
        <f aca="false">D66*(D65+D80)+D70*(D67+D87)+D69*(D68+D83)</f>
        <v>4.17280982215727</v>
      </c>
      <c r="E88" s="32" t="n">
        <f aca="false">E66*(E65+E80)+E70*(E67+E87)+E69*(E68+E83)</f>
        <v>8.853198301908</v>
      </c>
      <c r="F88" s="32" t="n">
        <f aca="false">F66*(F65+F80)+F70*(F67+F87)+F69*(F68+F83)</f>
        <v>11.5732307222428</v>
      </c>
      <c r="G88" s="32" t="n">
        <f aca="false">G66*(G65+G80)+G70*(G67+G87)+G69*(G68+G83)</f>
        <v>14.2347097232531</v>
      </c>
      <c r="I88" s="6" t="s">
        <v>940</v>
      </c>
    </row>
    <row r="89" customFormat="false" ht="15" hidden="false" customHeight="false" outlineLevel="1" collapsed="false">
      <c r="A89" s="3" t="s">
        <v>941</v>
      </c>
      <c r="B89" s="11" t="s">
        <v>39</v>
      </c>
      <c r="C89" s="50" t="n">
        <f aca="false">輸入與假設!$C$205*(1-輸入與假設!$C$206)</f>
        <v>15.147</v>
      </c>
      <c r="D89" s="50" t="n">
        <f aca="false">輸入與假設!$C$205*(1-輸入與假設!$C$206)</f>
        <v>15.147</v>
      </c>
      <c r="E89" s="50" t="n">
        <f aca="false">輸入與假設!$C$205*(1-輸入與假設!$C$206)</f>
        <v>15.147</v>
      </c>
      <c r="F89" s="50" t="n">
        <f aca="false">輸入與假設!$C$205*(1-輸入與假設!$C$206)</f>
        <v>15.147</v>
      </c>
      <c r="G89" s="50" t="n">
        <f aca="false">輸入與假設!$C$205*(1-輸入與假設!$C$206)</f>
        <v>15.147</v>
      </c>
    </row>
    <row r="90" customFormat="false" ht="15" hidden="false" customHeight="false" outlineLevel="1" collapsed="false">
      <c r="A90" s="3" t="s">
        <v>942</v>
      </c>
      <c r="B90" s="11" t="s">
        <v>475</v>
      </c>
      <c r="C90" s="51" t="n">
        <f aca="false">C86/C89</f>
        <v>0</v>
      </c>
      <c r="D90" s="51" t="n">
        <f aca="false">D86/D89</f>
        <v>0</v>
      </c>
      <c r="E90" s="51" t="n">
        <f aca="false">E86/E89</f>
        <v>0</v>
      </c>
      <c r="F90" s="51" t="n">
        <f aca="false">F86/F89</f>
        <v>0</v>
      </c>
      <c r="G90" s="51" t="n">
        <f aca="false">G86/G89</f>
        <v>0</v>
      </c>
    </row>
    <row r="91" customFormat="false" ht="15" hidden="false" customHeight="false" outlineLevel="1" collapsed="false">
      <c r="A91" s="2" t="s">
        <v>943</v>
      </c>
      <c r="B91" s="11" t="s">
        <v>475</v>
      </c>
      <c r="C91" s="52" t="n">
        <f aca="false">C90</f>
        <v>0</v>
      </c>
      <c r="D91" s="52" t="n">
        <f aca="false">C91+D90</f>
        <v>0</v>
      </c>
      <c r="E91" s="52" t="n">
        <f aca="false">D91+E90</f>
        <v>0</v>
      </c>
      <c r="F91" s="52" t="n">
        <f aca="false">E91+F90</f>
        <v>0</v>
      </c>
      <c r="G91" s="52" t="n">
        <f aca="false">F91+G90</f>
        <v>0</v>
      </c>
    </row>
    <row r="92" customFormat="false" ht="15" hidden="false" customHeight="false" outlineLevel="1" collapsed="false">
      <c r="A92" s="3" t="s">
        <v>944</v>
      </c>
      <c r="B92" s="11" t="s">
        <v>59</v>
      </c>
      <c r="C92" s="32" t="n">
        <f aca="false">C65+C80</f>
        <v>0</v>
      </c>
      <c r="D92" s="32" t="n">
        <f aca="false">D65+D80</f>
        <v>20</v>
      </c>
      <c r="E92" s="32" t="n">
        <f aca="false">E65+E80</f>
        <v>42.1932972958052</v>
      </c>
      <c r="F92" s="32" t="n">
        <f aca="false">F65+F80</f>
        <v>70.8252175098554</v>
      </c>
      <c r="G92" s="32" t="n">
        <f aca="false">G65+G80</f>
        <v>98.8407859415426</v>
      </c>
    </row>
    <row r="93" customFormat="false" ht="15" hidden="false" customHeight="false" outlineLevel="1" collapsed="false">
      <c r="A93" s="3" t="s">
        <v>945</v>
      </c>
      <c r="B93" s="11" t="s">
        <v>59</v>
      </c>
      <c r="C93" s="32" t="n">
        <f aca="false">C78-MIN(C78,C80)</f>
        <v>20</v>
      </c>
      <c r="D93" s="32" t="n">
        <f aca="false">D78-MIN(D78,D80)</f>
        <v>0</v>
      </c>
      <c r="E93" s="32" t="n">
        <f aca="false">E78-MIN(E78,E80)</f>
        <v>0</v>
      </c>
      <c r="F93" s="32" t="n">
        <f aca="false">F78-MIN(F78,F80)</f>
        <v>0</v>
      </c>
      <c r="G93" s="32" t="n">
        <f aca="false">G78-MIN(G78,G80)</f>
        <v>0</v>
      </c>
    </row>
    <row r="94" customFormat="false" ht="15" hidden="false" customHeight="false" outlineLevel="1" collapsed="false">
      <c r="A94" s="3" t="s">
        <v>946</v>
      </c>
      <c r="B94" s="11" t="s">
        <v>59</v>
      </c>
      <c r="C94" s="32" t="n">
        <f aca="false">C67+C87</f>
        <v>0</v>
      </c>
      <c r="D94" s="32" t="n">
        <f aca="false">D67+D87</f>
        <v>0</v>
      </c>
      <c r="E94" s="32" t="n">
        <f aca="false">E67+E87</f>
        <v>0</v>
      </c>
      <c r="F94" s="32" t="n">
        <f aca="false">F67+F87</f>
        <v>0</v>
      </c>
      <c r="G94" s="32" t="n">
        <f aca="false">G67+G87</f>
        <v>0</v>
      </c>
    </row>
    <row r="95" customFormat="false" ht="15" hidden="false" customHeight="false" outlineLevel="1" collapsed="false">
      <c r="A95" s="3" t="s">
        <v>947</v>
      </c>
      <c r="B95" s="11" t="s">
        <v>59</v>
      </c>
      <c r="C95" s="32" t="n">
        <f aca="false">C68+C83</f>
        <v>0</v>
      </c>
      <c r="D95" s="32" t="n">
        <f aca="false">D68+D83</f>
        <v>45.4561964431454</v>
      </c>
      <c r="E95" s="32" t="n">
        <f aca="false">E68+E83</f>
        <v>96.8967011761301</v>
      </c>
      <c r="F95" s="32" t="n">
        <f aca="false">F68+F83</f>
        <v>96.8967011761301</v>
      </c>
      <c r="G95" s="32" t="n">
        <f aca="false">G68+G83</f>
        <v>96.8967011761301</v>
      </c>
    </row>
    <row r="96" customFormat="false" ht="15" hidden="false" customHeight="false" outlineLevel="1" collapsed="false">
      <c r="A96" s="2" t="s">
        <v>948</v>
      </c>
      <c r="B96" s="11" t="s">
        <v>59</v>
      </c>
      <c r="C96" s="36" t="n">
        <f aca="false">C76+C92+C95+C94</f>
        <v>460.677</v>
      </c>
      <c r="D96" s="36" t="n">
        <f aca="false">D76+D92+D95+D94</f>
        <v>742.511196443146</v>
      </c>
      <c r="E96" s="36" t="n">
        <f aca="false">E76+E92+E95+E94</f>
        <v>779.185498471935</v>
      </c>
      <c r="F96" s="36" t="n">
        <f aca="false">F76+F92+F95+F94</f>
        <v>756.145918685986</v>
      </c>
      <c r="G96" s="36" t="n">
        <f aca="false">G76+G92+G95+G94</f>
        <v>753.448987117673</v>
      </c>
    </row>
    <row r="97" customFormat="false" ht="15" hidden="false" customHeight="false" outlineLevel="1" collapsed="false">
      <c r="A97" s="2" t="s">
        <v>949</v>
      </c>
      <c r="B97" s="11" t="s">
        <v>59</v>
      </c>
      <c r="C97" s="36" t="n">
        <f aca="false">C19+C41+C42+C43+C51-C64</f>
        <v>136.216575143009</v>
      </c>
      <c r="D97" s="36" t="n">
        <f aca="false">C97+D41+D42-D64</f>
        <v>-338.408386620988</v>
      </c>
      <c r="E97" s="36" t="n">
        <f aca="false">D97+E41+E42-E64</f>
        <v>-403.18899034787</v>
      </c>
      <c r="F97" s="36" t="n">
        <f aca="false">E97+F41+F42-F64</f>
        <v>-420.247679839677</v>
      </c>
      <c r="G97" s="36" t="n">
        <f aca="false">F97+G41+G42-G64</f>
        <v>-434.028538548112</v>
      </c>
      <c r="I97" s="6" t="s">
        <v>950</v>
      </c>
    </row>
    <row r="99" customFormat="false" ht="15" hidden="false" customHeight="false" outlineLevel="0" collapsed="true">
      <c r="A99" s="47" t="s">
        <v>951</v>
      </c>
      <c r="B99" s="8"/>
      <c r="C99" s="8"/>
      <c r="D99" s="8"/>
      <c r="E99" s="8"/>
      <c r="F99" s="8"/>
      <c r="G99" s="8"/>
      <c r="H99" s="8"/>
    </row>
    <row r="100" customFormat="false" ht="15" hidden="true" customHeight="false" outlineLevel="1" collapsed="false">
      <c r="A100" s="3" t="s">
        <v>952</v>
      </c>
      <c r="C100" s="53" t="n">
        <f aca="false">輸入與假設!$C$290</f>
        <v>114.441</v>
      </c>
    </row>
    <row r="101" customFormat="false" ht="15" hidden="true" customHeight="false" outlineLevel="1" collapsed="false">
      <c r="A101" s="3" t="s">
        <v>953</v>
      </c>
      <c r="C101" s="53" t="n">
        <f aca="false">SUM(C52:G52)</f>
        <v>-787.022987117673</v>
      </c>
    </row>
    <row r="102" customFormat="false" ht="15" hidden="true" customHeight="false" outlineLevel="1" collapsed="false">
      <c r="A102" s="3" t="s">
        <v>954</v>
      </c>
      <c r="C102" s="53" t="n">
        <f aca="false">SUM(C42:G42)</f>
        <v>217.961</v>
      </c>
    </row>
    <row r="103" customFormat="false" ht="15" hidden="true" customHeight="false" outlineLevel="1" collapsed="false">
      <c r="A103" s="3" t="s">
        <v>955</v>
      </c>
      <c r="C103" s="53" t="n">
        <f aca="false">SUM(C43:G43)</f>
        <v>304.526</v>
      </c>
    </row>
    <row r="104" customFormat="false" ht="15" hidden="true" customHeight="false" outlineLevel="1" collapsed="false">
      <c r="A104" s="4" t="s">
        <v>956</v>
      </c>
      <c r="C104" s="53" t="n">
        <f aca="false">-SUM(C28:G28)</f>
        <v>-120</v>
      </c>
    </row>
    <row r="105" customFormat="false" ht="15" hidden="true" customHeight="false" outlineLevel="1" collapsed="false">
      <c r="A105" s="3" t="s">
        <v>957</v>
      </c>
      <c r="C105" s="53" t="n">
        <f aca="false">SUM(C51:G51)</f>
        <v>25.295</v>
      </c>
    </row>
    <row r="106" customFormat="false" ht="15" hidden="true" customHeight="false" outlineLevel="1" collapsed="false">
      <c r="A106" s="3" t="s">
        <v>958</v>
      </c>
      <c r="C106" s="53" t="n">
        <f aca="false">SUM(C45:G45)+SUM(C46:G46)+SUM(C47:G47)+SUM(C48:G48)+SUM(C44:G44)</f>
        <v>502.862487117673</v>
      </c>
    </row>
    <row r="107" customFormat="false" ht="15" hidden="true" customHeight="false" outlineLevel="1" collapsed="false">
      <c r="A107" s="3" t="s">
        <v>959</v>
      </c>
      <c r="C107" s="53" t="n">
        <f aca="false">-SUM(C27:G27)</f>
        <v>-228.0625</v>
      </c>
    </row>
    <row r="108" customFormat="false" ht="15" hidden="true" customHeight="false" outlineLevel="1" collapsed="false">
      <c r="A108" s="2" t="s">
        <v>960</v>
      </c>
      <c r="C108" s="54" t="n">
        <f aca="false">SUM(C100:C107)</f>
        <v>30.0000000000001</v>
      </c>
    </row>
    <row r="109" customFormat="false" ht="15" hidden="true" customHeight="false" outlineLevel="1" collapsed="false">
      <c r="A109" s="3" t="s">
        <v>961</v>
      </c>
      <c r="C109" s="53" t="n">
        <f aca="false">G54</f>
        <v>30</v>
      </c>
    </row>
    <row r="110" customFormat="false" ht="15" hidden="true" customHeight="false" outlineLevel="1" collapsed="false">
      <c r="A110" s="2" t="s">
        <v>962</v>
      </c>
      <c r="C110" s="53" t="n">
        <f aca="false">C108-C109</f>
        <v>0</v>
      </c>
      <c r="I110" s="6" t="s">
        <v>963</v>
      </c>
    </row>
    <row r="112" customFormat="false" ht="15" hidden="false" customHeight="false" outlineLevel="0" collapsed="true">
      <c r="A112" s="7" t="s">
        <v>964</v>
      </c>
      <c r="B112" s="8"/>
      <c r="C112" s="8"/>
      <c r="D112" s="8"/>
      <c r="E112" s="8"/>
      <c r="F112" s="8"/>
      <c r="G112" s="8"/>
      <c r="H112" s="8"/>
    </row>
    <row r="113" customFormat="false" ht="15" hidden="true" customHeight="false" outlineLevel="1" collapsed="false">
      <c r="A113" s="4" t="s">
        <v>965</v>
      </c>
      <c r="C113" s="10" t="n">
        <f aca="false">運營_產能與收入!C31</f>
        <v>129.872431231938</v>
      </c>
      <c r="I113" s="6" t="s">
        <v>966</v>
      </c>
    </row>
    <row r="114" customFormat="false" ht="15" hidden="true" customHeight="false" outlineLevel="1" collapsed="false">
      <c r="A114" s="4" t="s">
        <v>967</v>
      </c>
      <c r="C114" s="10" t="n">
        <f aca="false">C6</f>
        <v>491.691025</v>
      </c>
      <c r="I114" s="6" t="s">
        <v>968</v>
      </c>
    </row>
    <row r="115" customFormat="false" ht="15" hidden="true" customHeight="false" outlineLevel="1" collapsed="false">
      <c r="A115" s="4" t="s">
        <v>969</v>
      </c>
      <c r="C115" s="10" t="n">
        <f aca="false">輸入與假設!$C$299+輸入與假設!C$225+C21</f>
        <v>21.5977264456522</v>
      </c>
      <c r="I115" s="6" t="s">
        <v>970</v>
      </c>
    </row>
    <row r="116" customFormat="false" ht="15" hidden="true" customHeight="false" outlineLevel="1" collapsed="false">
      <c r="A116" s="4" t="s">
        <v>971</v>
      </c>
      <c r="C116" s="10" t="n">
        <f aca="false">輸入與假設!$C$300+C17</f>
        <v>24.861084903742</v>
      </c>
      <c r="I116" s="11" t="s">
        <v>972</v>
      </c>
    </row>
    <row r="117" customFormat="false" ht="15" hidden="true" customHeight="false" outlineLevel="1" collapsed="false">
      <c r="A117" s="4" t="s">
        <v>973</v>
      </c>
      <c r="C117" s="10" t="n">
        <f aca="false">C27</f>
        <v>17.972</v>
      </c>
      <c r="I117" s="11" t="s">
        <v>974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Q1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12" min="3" style="0" width="14"/>
    <col collapsed="false" customWidth="true" hidden="false" outlineLevel="0" max="13" min="13" style="0" width="60"/>
  </cols>
  <sheetData>
    <row r="1" customFormat="false" ht="17.35" hidden="false" customHeight="false" outlineLevel="0" collapsed="false">
      <c r="A1" s="5" t="s">
        <v>975</v>
      </c>
    </row>
    <row r="2" customFormat="false" ht="15" hidden="false" customHeight="false" outlineLevel="0" collapsed="false">
      <c r="A2" s="6" t="s">
        <v>976</v>
      </c>
    </row>
    <row r="4" customFormat="false" ht="15" hidden="false" customHeight="false" outlineLevel="0" collapsed="false">
      <c r="A4" s="7" t="s">
        <v>977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customFormat="false" ht="17.15" hidden="false" customHeight="false" outlineLevel="1" collapsed="false">
      <c r="A5" s="14" t="s">
        <v>978</v>
      </c>
      <c r="B5" s="14" t="s">
        <v>54</v>
      </c>
      <c r="C5" s="14" t="s">
        <v>979</v>
      </c>
      <c r="D5" s="14" t="s">
        <v>980</v>
      </c>
      <c r="E5" s="14" t="s">
        <v>981</v>
      </c>
      <c r="F5" s="14" t="s">
        <v>982</v>
      </c>
      <c r="G5" s="14" t="s">
        <v>983</v>
      </c>
      <c r="H5" s="14" t="s">
        <v>984</v>
      </c>
      <c r="I5" s="14" t="s">
        <v>985</v>
      </c>
      <c r="J5" s="14" t="s">
        <v>986</v>
      </c>
      <c r="K5" s="14" t="s">
        <v>987</v>
      </c>
      <c r="L5" s="14" t="s">
        <v>988</v>
      </c>
      <c r="M5" s="14" t="s">
        <v>989</v>
      </c>
      <c r="N5" s="14" t="s">
        <v>990</v>
      </c>
      <c r="O5" s="14" t="s">
        <v>986</v>
      </c>
      <c r="P5" s="14" t="s">
        <v>987</v>
      </c>
      <c r="Q5" s="14" t="s">
        <v>991</v>
      </c>
    </row>
    <row r="6" customFormat="false" ht="15" hidden="false" customHeight="false" outlineLevel="1" collapsed="false">
      <c r="A6" s="3" t="s">
        <v>992</v>
      </c>
      <c r="B6" s="11" t="s">
        <v>59</v>
      </c>
      <c r="C6" s="55" t="n">
        <f aca="false">INDEX($C$22:$H$22,輸入與假設!$C$373)</f>
        <v>31.8831437439794</v>
      </c>
      <c r="D6" s="55" t="str">
        <f aca="false">INDEX($C$32:$H$32,輸入與假設!$C$373)</f>
        <v>不適用</v>
      </c>
      <c r="E6" s="56" t="str">
        <f aca="false">INDEX($C$41:$H$41,輸入與假設!$C$373)</f>
        <v>不適用</v>
      </c>
      <c r="F6" s="57" t="s">
        <v>993</v>
      </c>
      <c r="G6" s="57" t="s">
        <v>993</v>
      </c>
      <c r="H6" s="56" t="str">
        <f aca="false">INDEX($C$42:$H$42,輸入與假設!$C$373)</f>
        <v>不適用</v>
      </c>
      <c r="I6" s="55" t="str">
        <f aca="false">IF(ISNUMBER(INDEX($C$35:$H$35,輸入與假設!$C$373)),INDEX($C$35:$H$35,輸入與假設!$C$373),"待公布")</f>
        <v>待公布</v>
      </c>
      <c r="J6" s="56" t="str">
        <f aca="false">INDEX($C$43:$H$43,輸入與假設!$C$373)</f>
        <v/>
      </c>
      <c r="K6" s="56" t="str">
        <f aca="false">INDEX($C$44:$H$44,輸入與假設!$C$373)</f>
        <v/>
      </c>
      <c r="L6" s="56" t="str">
        <f aca="false">INDEX($C$45:$H$45,輸入與假設!$C$373)</f>
        <v/>
      </c>
      <c r="M6" s="56"/>
      <c r="N6" s="56"/>
      <c r="O6" s="56"/>
      <c r="P6" s="56"/>
      <c r="Q6" s="56"/>
    </row>
    <row r="7" customFormat="false" ht="15" hidden="false" customHeight="false" outlineLevel="1" collapsed="false">
      <c r="A7" s="3" t="s">
        <v>994</v>
      </c>
      <c r="B7" s="11" t="s">
        <v>59</v>
      </c>
      <c r="C7" s="55" t="n">
        <f aca="false">INDEX($C$28:$H$28,輸入與假設!$C$373)</f>
        <v>2.42555109227212</v>
      </c>
      <c r="D7" s="55" t="str">
        <f aca="false">INDEX($C$33:$H$33,輸入與假設!$C$373)</f>
        <v>不適用</v>
      </c>
      <c r="E7" s="55" t="str">
        <f aca="false">INDEX($C$46:$H$46,輸入與假設!$C$373)</f>
        <v>不適用</v>
      </c>
      <c r="F7" s="57" t="s">
        <v>993</v>
      </c>
      <c r="G7" s="57" t="s">
        <v>993</v>
      </c>
      <c r="H7" s="55" t="str">
        <f aca="false">INDEX($C$47:$H$47,輸入與假設!$C$373)</f>
        <v>不適用</v>
      </c>
      <c r="I7" s="55" t="str">
        <f aca="false">IF(ISNUMBER(INDEX($C$36:$H$36,輸入與假設!$C$373)),INDEX($C$36:$H$36,輸入與假設!$C$373),"待公布")</f>
        <v>待公布</v>
      </c>
      <c r="J7" s="55" t="str">
        <f aca="false">INDEX($C$48:$H$48,輸入與假設!$C$373)</f>
        <v/>
      </c>
      <c r="K7" s="55" t="str">
        <f aca="false">INDEX($C$49:$H$49,輸入與假設!$C$373)</f>
        <v/>
      </c>
      <c r="L7" s="55" t="str">
        <f aca="false">INDEX($C$50:$H$50,輸入與假設!$C$373)</f>
        <v/>
      </c>
      <c r="M7" s="56" t="str">
        <f aca="false">INDEX($C$51:$H$51,輸入與假設!$C$373)</f>
        <v>不適用</v>
      </c>
      <c r="N7" s="56" t="str">
        <f aca="false">INDEX($C$52:$H$52,輸入與假設!$C$373)</f>
        <v>不適用</v>
      </c>
      <c r="O7" s="56" t="str">
        <f aca="false">INDEX($C$53:$H$53,輸入與假設!$C$373)</f>
        <v/>
      </c>
      <c r="P7" s="56" t="str">
        <f aca="false">INDEX($C$54:$H$54,輸入與假設!$C$373)</f>
        <v/>
      </c>
      <c r="Q7" s="56" t="str">
        <f aca="false">INDEX($C$55:$H$55,輸入與假設!$C$373)</f>
        <v/>
      </c>
    </row>
    <row r="8" customFormat="false" ht="15" hidden="false" customHeight="false" outlineLevel="1" collapsed="false">
      <c r="A8" s="3" t="s">
        <v>995</v>
      </c>
      <c r="B8" s="11" t="s">
        <v>42</v>
      </c>
      <c r="C8" s="56" t="n">
        <f aca="false">INDEX($C$27:$H$27,輸入與假設!$C$373)</f>
        <v>0.0760762838115721</v>
      </c>
      <c r="D8" s="56" t="str">
        <f aca="false">INDEX($C$34:$H$34,輸入與假設!$C$373)</f>
        <v>不適用</v>
      </c>
      <c r="E8" s="56" t="str">
        <f aca="false">INDEX($C$56:$H$56,輸入與假設!$C$373)</f>
        <v>不適用</v>
      </c>
      <c r="F8" s="58" t="s">
        <v>993</v>
      </c>
      <c r="G8" s="58" t="s">
        <v>993</v>
      </c>
      <c r="H8" s="56" t="str">
        <f aca="false">INDEX($C$57:$H$57,輸入與假設!$C$373)</f>
        <v>不適用</v>
      </c>
      <c r="I8" s="56" t="str">
        <f aca="false">IF(ISNUMBER(INDEX($C$37:$H$37,輸入與假設!$C$373)),INDEX($C$37:$H$37,輸入與假設!$C$373),"待公布")</f>
        <v>待公布</v>
      </c>
      <c r="J8" s="56" t="str">
        <f aca="false">INDEX($C$58:$H$58,輸入與假設!$C$373)</f>
        <v/>
      </c>
      <c r="K8" s="56" t="str">
        <f aca="false">INDEX($C$59:$H$59,輸入與假設!$C$373)</f>
        <v/>
      </c>
      <c r="L8" s="56" t="str">
        <f aca="false">INDEX($C$60:$H$60,輸入與假設!$C$373)</f>
        <v/>
      </c>
      <c r="M8" s="56"/>
      <c r="N8" s="56"/>
      <c r="O8" s="56"/>
      <c r="P8" s="56"/>
      <c r="Q8" s="56"/>
    </row>
    <row r="9" customFormat="false" ht="15" hidden="false" customHeight="false" outlineLevel="1" collapsed="false">
      <c r="A9" s="3" t="s">
        <v>996</v>
      </c>
      <c r="B9" s="11" t="s">
        <v>59</v>
      </c>
      <c r="C9" s="55" t="n">
        <f aca="false">INDEX($C$30:$H$30,輸入與假設!$C$373)</f>
        <v>-10.9530678139779</v>
      </c>
      <c r="D9" s="57" t="s">
        <v>993</v>
      </c>
      <c r="E9" s="55" t="str">
        <f aca="false">INDEX($C$61:$H$61,輸入與假設!$C$373)</f>
        <v>不適用</v>
      </c>
      <c r="F9" s="57" t="s">
        <v>993</v>
      </c>
      <c r="G9" s="57" t="s">
        <v>993</v>
      </c>
      <c r="H9" s="55" t="str">
        <f aca="false">INDEX($C$62:$H$62,輸入與假設!$C$373)</f>
        <v>不適用</v>
      </c>
      <c r="I9" s="55" t="str">
        <f aca="false">IF(ISNUMBER(INDEX($C$38:$H$38,輸入與假設!$C$373)),INDEX($C$38:$H$38,輸入與假設!$C$373),"待公布")</f>
        <v>待公布</v>
      </c>
      <c r="J9" s="55" t="str">
        <f aca="false">INDEX($C$63:$H$63,輸入與假設!$C$373)</f>
        <v/>
      </c>
      <c r="K9" s="55" t="str">
        <f aca="false">INDEX($C$64:$H$64,輸入與假設!$C$373)</f>
        <v/>
      </c>
      <c r="L9" s="55" t="str">
        <f aca="false">INDEX($C$65:$H$65,輸入與假設!$C$373)</f>
        <v/>
      </c>
      <c r="M9" s="56" t="str">
        <f aca="false">INDEX($C$66:$H$66,輸入與假設!$C$373)</f>
        <v>不適用</v>
      </c>
      <c r="N9" s="56" t="str">
        <f aca="false">INDEX($C$67:$H$67,輸入與假設!$C$373)</f>
        <v>不適用</v>
      </c>
      <c r="O9" s="56" t="str">
        <f aca="false">INDEX($C$68:$H$68,輸入與假設!$C$373)</f>
        <v/>
      </c>
      <c r="P9" s="56" t="str">
        <f aca="false">INDEX($C$69:$H$69,輸入與假設!$C$373)</f>
        <v/>
      </c>
      <c r="Q9" s="56" t="str">
        <f aca="false">INDEX($C$70:$H$70,輸入與假設!$C$373)</f>
        <v/>
      </c>
    </row>
    <row r="10" customFormat="false" ht="15" hidden="false" customHeight="false" outlineLevel="1" collapsed="false">
      <c r="A10" s="3" t="s">
        <v>997</v>
      </c>
      <c r="B10" s="11" t="s">
        <v>59</v>
      </c>
      <c r="C10" s="55" t="n">
        <f aca="false">INDEX($C$31:$H$31,輸入與假設!$C$373)</f>
        <v>73.4895125</v>
      </c>
      <c r="D10" s="57" t="s">
        <v>993</v>
      </c>
      <c r="E10" s="56" t="str">
        <f aca="false">INDEX($C$71:$H$71,輸入與假設!$C$373)</f>
        <v>不適用</v>
      </c>
      <c r="F10" s="57" t="s">
        <v>993</v>
      </c>
      <c r="G10" s="57" t="s">
        <v>993</v>
      </c>
      <c r="H10" s="56" t="str">
        <f aca="false">INDEX($C$72:$H$72,輸入與假設!$C$373)</f>
        <v>不適用</v>
      </c>
      <c r="I10" s="55" t="str">
        <f aca="false">IF(ISNUMBER(INDEX($C$39:$H$39,輸入與假設!$C$373)),INDEX($C$39:$H$39,輸入與假設!$C$373),"待公布")</f>
        <v>待公布</v>
      </c>
      <c r="J10" s="56" t="str">
        <f aca="false">INDEX($C$73:$H$73,輸入與假設!$C$373)</f>
        <v/>
      </c>
      <c r="K10" s="56" t="str">
        <f aca="false">INDEX($C$74:$H$74,輸入與假設!$C$373)</f>
        <v/>
      </c>
      <c r="L10" s="56" t="str">
        <f aca="false">INDEX($C$75:$H$75,輸入與假設!$C$373)</f>
        <v/>
      </c>
      <c r="M10" s="56"/>
      <c r="N10" s="56"/>
      <c r="O10" s="56"/>
      <c r="P10" s="56"/>
      <c r="Q10" s="56"/>
    </row>
    <row r="11" customFormat="false" ht="15" hidden="false" customHeight="false" outlineLevel="1" collapsed="false">
      <c r="A11" s="3" t="s">
        <v>998</v>
      </c>
      <c r="B11" s="11" t="s">
        <v>142</v>
      </c>
      <c r="C11" s="59" t="n">
        <f aca="false">INDEX($C$19:$H$19,輸入與假設!$C$373)</f>
        <v>10.037</v>
      </c>
      <c r="D11" s="60" t="s">
        <v>993</v>
      </c>
      <c r="E11" s="59" t="str">
        <f aca="false">INDEX($C$76:$H$76,輸入與假設!$C$373)</f>
        <v>不適用</v>
      </c>
      <c r="F11" s="60" t="s">
        <v>993</v>
      </c>
      <c r="G11" s="60" t="s">
        <v>993</v>
      </c>
      <c r="H11" s="59" t="str">
        <f aca="false">INDEX($C$77:$H$77,輸入與假設!$C$373)</f>
        <v>不適用</v>
      </c>
      <c r="I11" s="59" t="str">
        <f aca="false">IF(ISNUMBER(INDEX($C$40:$H$40,輸入與假設!$C$373)),INDEX($C$40:$H$40,輸入與假設!$C$373),"待公布")</f>
        <v>待公布</v>
      </c>
      <c r="J11" s="59" t="str">
        <f aca="false">INDEX($C$78:$H$78,輸入與假設!$C$373)</f>
        <v/>
      </c>
      <c r="K11" s="59" t="str">
        <f aca="false">INDEX($C$79:$H$79,輸入與假設!$C$373)</f>
        <v/>
      </c>
      <c r="L11" s="59" t="str">
        <f aca="false">INDEX($C$80:$H$80,輸入與假設!$C$373)</f>
        <v/>
      </c>
      <c r="M11" s="56"/>
      <c r="N11" s="56"/>
      <c r="O11" s="56"/>
      <c r="P11" s="56"/>
      <c r="Q11" s="56"/>
    </row>
    <row r="12" customFormat="false" ht="15" hidden="false" customHeight="false" outlineLevel="1" collapsed="false">
      <c r="A12" s="2" t="s">
        <v>999</v>
      </c>
      <c r="C12" s="2" t="str">
        <f aca="false">INDEX($C$16:$H$16,輸入與假設!$C$373)</f>
        <v>Q3 2026</v>
      </c>
    </row>
    <row r="13" customFormat="false" ht="17.15" hidden="false" customHeight="false" outlineLevel="1" collapsed="false">
      <c r="A13" s="2" t="s">
        <v>1000</v>
      </c>
      <c r="C13" s="0" t="str">
        <f aca="false">IF(INDEX($C$117:$H$117,輸入與假設!$C$373)="","無（差距皆在 "&amp;IF(ROUND(ABS(輸入與假設!$C$367)*100,4)=INT(ROUND(ABS(輸入與假設!$C$367)*100,4)),TEXT(ROUND(ABS(輸入與假設!$C$367)*100,4),"0"),TEXT(ROUND(ABS(輸入與假設!$C$367)*100,4),"0.0"))&amp;"%"&amp;" 以內）",INDEX($C$117:$H$117,輸入與假設!$C$373))</f>
        <v>無（差距皆在 5% 以內）</v>
      </c>
    </row>
    <row r="15" customFormat="false" ht="15" hidden="false" customHeight="false" outlineLevel="0" collapsed="true">
      <c r="A15" s="7" t="s">
        <v>1001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customFormat="false" ht="15" hidden="true" customHeight="false" outlineLevel="1" collapsed="false">
      <c r="A16" s="14" t="s">
        <v>53</v>
      </c>
      <c r="B16" s="14" t="s">
        <v>54</v>
      </c>
      <c r="C16" s="15" t="s">
        <v>781</v>
      </c>
      <c r="D16" s="15" t="s">
        <v>782</v>
      </c>
      <c r="E16" s="15" t="s">
        <v>783</v>
      </c>
      <c r="F16" s="15" t="s">
        <v>784</v>
      </c>
      <c r="G16" s="15" t="s">
        <v>785</v>
      </c>
      <c r="H16" s="15" t="s">
        <v>786</v>
      </c>
    </row>
    <row r="17" customFormat="false" ht="15" hidden="true" customHeight="false" outlineLevel="1" collapsed="false">
      <c r="A17" s="3" t="s">
        <v>1002</v>
      </c>
      <c r="C17" s="61" t="n">
        <f aca="false">輸入與假設!C$372</f>
        <v>1</v>
      </c>
      <c r="D17" s="61" t="n">
        <f aca="false">輸入與假設!D$372</f>
        <v>1</v>
      </c>
      <c r="E17" s="61" t="n">
        <f aca="false">輸入與假設!E$372</f>
        <v>2</v>
      </c>
      <c r="F17" s="61" t="n">
        <f aca="false">輸入與假設!F$372</f>
        <v>2</v>
      </c>
      <c r="G17" s="61" t="n">
        <f aca="false">輸入與假設!G$372</f>
        <v>2</v>
      </c>
      <c r="H17" s="61" t="n">
        <f aca="false">輸入與假設!H$372</f>
        <v>2</v>
      </c>
      <c r="J17" s="11" t="s">
        <v>1003</v>
      </c>
    </row>
    <row r="18" customFormat="false" ht="15" hidden="true" customHeight="false" outlineLevel="1" collapsed="false">
      <c r="A18" s="3" t="s">
        <v>1004</v>
      </c>
      <c r="C18" s="22" t="n">
        <v>1</v>
      </c>
      <c r="D18" s="22" t="n">
        <v>2</v>
      </c>
      <c r="E18" s="22" t="n">
        <v>3</v>
      </c>
      <c r="F18" s="22" t="n">
        <v>4</v>
      </c>
      <c r="G18" s="22" t="n">
        <v>5</v>
      </c>
      <c r="H18" s="22" t="n">
        <v>6</v>
      </c>
      <c r="J18" s="11" t="s">
        <v>1005</v>
      </c>
    </row>
    <row r="19" customFormat="false" ht="15" hidden="true" customHeight="false" outlineLevel="1" collapsed="false">
      <c r="A19" s="3" t="s">
        <v>1006</v>
      </c>
      <c r="B19" s="11" t="s">
        <v>142</v>
      </c>
      <c r="C19" s="22" t="n">
        <f aca="false">輸入與假設!$C$375+(輸入與假設!C$43-輸入與假設!$C$375)*1/2</f>
        <v>10.037</v>
      </c>
      <c r="D19" s="22" t="n">
        <f aca="false">輸入與假設!$C$375+(輸入與假設!C$43-輸入與假設!$C$375)*2/2</f>
        <v>14.574</v>
      </c>
      <c r="E19" s="22" t="n">
        <f aca="false">輸入與假設!C$43+(輸入與假設!D$43-輸入與假設!C$43)*1/4</f>
        <v>15.0675</v>
      </c>
      <c r="F19" s="22" t="n">
        <f aca="false">輸入與假設!C$43+(輸入與假設!D$43-輸入與假設!C$43)*2/4</f>
        <v>15.561</v>
      </c>
      <c r="G19" s="22" t="n">
        <f aca="false">輸入與假設!C$43+(輸入與假設!D$43-輸入與假設!C$43)*3/4</f>
        <v>16.0545</v>
      </c>
      <c r="H19" s="22" t="n">
        <f aca="false">輸入與假設!C$43+(輸入與假設!D$43-輸入與假設!C$43)*4/4</f>
        <v>16.548</v>
      </c>
      <c r="J19" s="6" t="s">
        <v>1007</v>
      </c>
    </row>
    <row r="20" customFormat="false" ht="15" hidden="true" customHeight="false" outlineLevel="1" collapsed="false">
      <c r="A20" s="3" t="s">
        <v>1008</v>
      </c>
      <c r="B20" s="11" t="s">
        <v>142</v>
      </c>
      <c r="C20" s="22" t="n">
        <f aca="false">輸入與假設!$C$36+(運營_產能與收入!C$11-輸入與假設!$C$36)*1/4</f>
        <v>3.69375</v>
      </c>
      <c r="D20" s="22" t="n">
        <f aca="false">輸入與假設!$C$36+(運營_產能與收入!C$11-輸入與假設!$C$36)*3/4</f>
        <v>5.78125</v>
      </c>
      <c r="E20" s="22" t="n">
        <f aca="false">運營_產能與收入!C$11+(運營_產能與收入!D$11-運營_產能與收入!C$11)*1/8</f>
        <v>7.67125</v>
      </c>
      <c r="F20" s="22" t="n">
        <f aca="false">運營_產能與收入!C$11+(運營_產能與收入!D$11-運營_產能與收入!C$11)*3/8</f>
        <v>9.36375</v>
      </c>
      <c r="G20" s="22" t="n">
        <f aca="false">運營_產能與收入!C$11+(運營_產能與收入!D$11-運營_產能與收入!C$11)*5/8</f>
        <v>11.05625</v>
      </c>
      <c r="H20" s="22" t="n">
        <f aca="false">運營_產能與收入!C$11+(運營_產能與收入!D$11-運營_產能與收入!C$11)*7/8</f>
        <v>12.74875</v>
      </c>
      <c r="J20" s="6" t="s">
        <v>1009</v>
      </c>
    </row>
    <row r="21" customFormat="false" ht="15" hidden="true" customHeight="false" outlineLevel="1" collapsed="false">
      <c r="A21" s="3" t="s">
        <v>1010</v>
      </c>
      <c r="B21" s="11" t="s">
        <v>142</v>
      </c>
      <c r="C21" s="22" t="n">
        <f aca="false">C19-輸入與假設!$C$375</f>
        <v>4.537</v>
      </c>
      <c r="D21" s="22" t="n">
        <f aca="false">D19-C19</f>
        <v>4.537</v>
      </c>
      <c r="E21" s="22" t="n">
        <f aca="false">E19-輸入與假設!C$43</f>
        <v>0.493499999999999</v>
      </c>
      <c r="F21" s="22" t="n">
        <f aca="false">F19-E19</f>
        <v>0.493500000000001</v>
      </c>
      <c r="G21" s="22" t="n">
        <f aca="false">G19-F19</f>
        <v>0.493499999999997</v>
      </c>
      <c r="H21" s="22" t="n">
        <f aca="false">H19-G19</f>
        <v>0.493500000000001</v>
      </c>
      <c r="J21" s="11" t="s">
        <v>1011</v>
      </c>
    </row>
    <row r="22" customFormat="false" ht="15" hidden="true" customHeight="false" outlineLevel="1" collapsed="false">
      <c r="A22" s="3" t="s">
        <v>1012</v>
      </c>
      <c r="B22" s="11" t="s">
        <v>59</v>
      </c>
      <c r="C22" s="32" t="n">
        <f aca="false">輸入與假設!$C$374+1*(損益!C9-2*輸入與假設!$C$374)/3</f>
        <v>31.8831437439794</v>
      </c>
      <c r="D22" s="32" t="n">
        <f aca="false">輸入與假設!$C$374+2*(損益!C9-2*輸入與假設!$C$374)/3</f>
        <v>47.2272874879588</v>
      </c>
      <c r="E22" s="32" t="n">
        <f aca="false">損益!D9*E20/(E20+F20+G20+H20)</f>
        <v>52.2504508664659</v>
      </c>
      <c r="F22" s="32" t="n">
        <f aca="false">損益!D9*F20/(E20+F20+G20+H20)</f>
        <v>63.7784141177605</v>
      </c>
      <c r="G22" s="32" t="n">
        <f aca="false">損益!D9*G20/(E20+F20+G20+H20)</f>
        <v>75.3063773690551</v>
      </c>
      <c r="H22" s="32" t="n">
        <f aca="false">損益!D9*H20/(E20+F20+G20+H20)</f>
        <v>86.8343406203496</v>
      </c>
      <c r="J22" s="6" t="s">
        <v>1013</v>
      </c>
    </row>
    <row r="23" customFormat="false" ht="15" hidden="true" customHeight="false" outlineLevel="1" collapsed="false">
      <c r="A23" s="4" t="s">
        <v>1014</v>
      </c>
      <c r="C23" s="55" t="n">
        <f aca="false">C22+D22</f>
        <v>79.1104312319381</v>
      </c>
      <c r="D23" s="55" t="n">
        <f aca="false">E22+F22+G22+H22</f>
        <v>278.169582973631</v>
      </c>
      <c r="J23" s="6" t="s">
        <v>1015</v>
      </c>
    </row>
    <row r="24" customFormat="false" ht="15" hidden="true" customHeight="false" outlineLevel="1" collapsed="false">
      <c r="A24" s="4" t="s">
        <v>1016</v>
      </c>
      <c r="C24" s="55" t="n">
        <f aca="false">C22*C18+D22*D18</f>
        <v>126.337718719897</v>
      </c>
      <c r="D24" s="55" t="n">
        <f aca="false">E22*E18+F22*F18+G22*G18+H22*H18</f>
        <v>1309.40293963781</v>
      </c>
      <c r="J24" s="6" t="s">
        <v>1015</v>
      </c>
    </row>
    <row r="25" customFormat="false" ht="15" hidden="true" customHeight="false" outlineLevel="1" collapsed="false">
      <c r="A25" s="4" t="s">
        <v>1017</v>
      </c>
      <c r="C25" s="55" t="n">
        <f aca="false">損益!C22</f>
        <v>6.21272896682975</v>
      </c>
      <c r="D25" s="55" t="n">
        <f aca="false">損益!D22</f>
        <v>25.404783127895</v>
      </c>
      <c r="J25" s="6" t="s">
        <v>1015</v>
      </c>
    </row>
    <row r="26" customFormat="false" ht="15" hidden="true" customHeight="false" outlineLevel="1" collapsed="false">
      <c r="A26" s="4" t="s">
        <v>1018</v>
      </c>
      <c r="C26" s="62" t="n">
        <f aca="false">(C25*D24-C24*D25)/(C23*D24-C24*D23)</f>
        <v>0.0719621083357413</v>
      </c>
      <c r="D26" s="62" t="n">
        <f aca="false">(C23*D25-D23*C25)/(C23*D24-C24*D23)</f>
        <v>0.00411417547583077</v>
      </c>
      <c r="J26" s="6" t="s">
        <v>1019</v>
      </c>
    </row>
    <row r="27" customFormat="false" ht="15" hidden="true" customHeight="false" outlineLevel="1" collapsed="false">
      <c r="A27" s="4" t="s">
        <v>1020</v>
      </c>
      <c r="B27" s="11" t="s">
        <v>42</v>
      </c>
      <c r="C27" s="34" t="n">
        <f aca="false">$C$26+$D$26*C18</f>
        <v>0.0760762838115721</v>
      </c>
      <c r="D27" s="34" t="n">
        <f aca="false">$C$26+$D$26*D18</f>
        <v>0.0801904592874028</v>
      </c>
      <c r="E27" s="34" t="n">
        <f aca="false">$C$26+$D$26*E18</f>
        <v>0.0843046347632336</v>
      </c>
      <c r="F27" s="34" t="n">
        <f aca="false">$C$26+$D$26*F18</f>
        <v>0.0884188102390644</v>
      </c>
      <c r="G27" s="34" t="n">
        <f aca="false">$C$26+$D$26*G18</f>
        <v>0.0925329857148951</v>
      </c>
      <c r="H27" s="34" t="n">
        <f aca="false">$C$26+$D$26*H18</f>
        <v>0.0966471611907259</v>
      </c>
      <c r="J27" s="6" t="s">
        <v>1021</v>
      </c>
    </row>
    <row r="28" customFormat="false" ht="15" hidden="true" customHeight="false" outlineLevel="1" collapsed="false">
      <c r="A28" s="3" t="s">
        <v>1022</v>
      </c>
      <c r="B28" s="11" t="s">
        <v>59</v>
      </c>
      <c r="C28" s="32" t="n">
        <f aca="false">C22*C27</f>
        <v>2.42555109227212</v>
      </c>
      <c r="D28" s="32" t="n">
        <f aca="false">D22*D27</f>
        <v>3.78717787455762</v>
      </c>
      <c r="E28" s="32" t="n">
        <f aca="false">E22*E27</f>
        <v>4.40495517651169</v>
      </c>
      <c r="F28" s="32" t="n">
        <f aca="false">F22*F27</f>
        <v>5.63921149522673</v>
      </c>
      <c r="G28" s="32" t="n">
        <f aca="false">G22*G27</f>
        <v>6.96832394133127</v>
      </c>
      <c r="H28" s="32" t="n">
        <f aca="false">H22*H27</f>
        <v>8.39229251482533</v>
      </c>
    </row>
    <row r="29" customFormat="false" ht="15" hidden="true" customHeight="false" outlineLevel="1" collapsed="false">
      <c r="A29" s="3" t="s">
        <v>1023</v>
      </c>
      <c r="B29" s="11" t="s">
        <v>59</v>
      </c>
      <c r="C29" s="32" t="n">
        <f aca="false">(輸入與假設!C$173+運營_產能與收入!C$66*1/4)/輸入與假設!$C$139*輸入與假設!C$41/2+(輸入與假設!C$110+輸入與假設!C$107*1/4)/輸入與假設!$C$109*輸入與假設!C$41/2</f>
        <v>13.37861890625</v>
      </c>
      <c r="D29" s="32" t="n">
        <f aca="false">(輸入與假設!C$173+運營_產能與收入!C$66*3/4)/輸入與假設!$C$139*輸入與假設!C$41/2+(輸入與假設!C$110+輸入與假設!C$107*3/4)/輸入與假設!$C$109*輸入與假設!C$41/2</f>
        <v>15.06835671875</v>
      </c>
      <c r="E29" s="32" t="n">
        <f aca="false">(輸入與假設!D$173+運營_產能與收入!D$66*1/8)/輸入與假設!$C$139*輸入與假設!D$41/4+(輸入與假設!D$110+輸入與假設!D$107*1/8)/輸入與假設!$C$109*輸入與假設!D$41/4</f>
        <v>17.1032332710938</v>
      </c>
      <c r="F29" s="32" t="n">
        <f aca="false">(輸入與假設!D$173+運營_產能與收入!D$66*3/8)/輸入與假設!$C$139*輸入與假設!D$41/4+(輸入與假設!D$110+輸入與假設!D$107*3/8)/輸入與假設!$C$109*輸入與假設!D$41/4</f>
        <v>19.4832485632813</v>
      </c>
      <c r="G29" s="32" t="n">
        <f aca="false">(輸入與假設!D$173+運營_產能與收入!D$66*5/8)/輸入與假設!$C$139*輸入與假設!D$41/4+(輸入與假設!D$110+輸入與假設!D$107*5/8)/輸入與假設!$C$109*輸入與假設!D$41/4</f>
        <v>21.8632638554687</v>
      </c>
      <c r="H29" s="32" t="n">
        <f aca="false">(輸入與假設!D$173+運營_產能與收入!D$66*7/8)/輸入與假設!$C$139*輸入與假設!D$41/4+(輸入與假設!D$110+輸入與假設!D$107*7/8)/輸入與假設!$C$109*輸入與假設!D$41/4</f>
        <v>24.2432791476563</v>
      </c>
      <c r="J29" s="6" t="s">
        <v>1024</v>
      </c>
    </row>
    <row r="30" customFormat="false" ht="15" hidden="true" customHeight="false" outlineLevel="1" collapsed="false">
      <c r="A30" s="3" t="s">
        <v>1025</v>
      </c>
      <c r="B30" s="11" t="s">
        <v>59</v>
      </c>
      <c r="C30" s="32" t="n">
        <f aca="false">C28-C29</f>
        <v>-10.9530678139779</v>
      </c>
      <c r="D30" s="32" t="n">
        <f aca="false">D28-D29</f>
        <v>-11.2811788441924</v>
      </c>
      <c r="E30" s="32" t="n">
        <f aca="false">E28-E29</f>
        <v>-12.6982780945821</v>
      </c>
      <c r="F30" s="32" t="n">
        <f aca="false">F28-F29</f>
        <v>-13.8440370680545</v>
      </c>
      <c r="G30" s="32" t="n">
        <f aca="false">G28-G29</f>
        <v>-14.8949399141375</v>
      </c>
      <c r="H30" s="32" t="n">
        <f aca="false">H28-H29</f>
        <v>-15.8509866328309</v>
      </c>
      <c r="J30" s="6" t="s">
        <v>1026</v>
      </c>
    </row>
    <row r="31" customFormat="false" ht="15" hidden="true" customHeight="false" outlineLevel="1" collapsed="false">
      <c r="A31" s="4" t="s">
        <v>1027</v>
      </c>
      <c r="B31" s="11" t="s">
        <v>59</v>
      </c>
      <c r="C31" s="32" t="n">
        <f aca="false">IF((C21+D21)&gt;0,輸入與假設!C$175*C21/(C21+D21),輸入與假設!C$175/2)</f>
        <v>73.4895125</v>
      </c>
      <c r="D31" s="32" t="n">
        <f aca="false">IF((C21+D21)&gt;0,輸入與假設!C$175*D21/(C21+D21),輸入與假設!C$175/2)</f>
        <v>73.4895125</v>
      </c>
      <c r="E31" s="32" t="n">
        <f aca="false">IF((E21+F21+G21+H21)&gt;0,輸入與假設!D$175*E21/(E21+F21+G21+H21),輸入與假設!D$175/4)</f>
        <v>106.786403625</v>
      </c>
      <c r="F31" s="32" t="n">
        <f aca="false">IF((E21+F21+G21+H21)&gt;0,輸入與假設!D$175*F21/(E21+F21+G21+H21),輸入與假設!D$175/4)</f>
        <v>106.786403625</v>
      </c>
      <c r="G31" s="32" t="n">
        <f aca="false">IF((E21+F21+G21+H21)&gt;0,輸入與假設!D$175*G21/(E21+F21+G21+H21),輸入與假設!D$175/4)</f>
        <v>106.786403625</v>
      </c>
      <c r="H31" s="32" t="n">
        <f aca="false">IF((E21+F21+G21+H21)&gt;0,輸入與假設!D$175*H21/(E21+F21+G21+H21),輸入與假設!D$175/4)</f>
        <v>106.786403625</v>
      </c>
      <c r="J31" s="6" t="s">
        <v>1028</v>
      </c>
    </row>
    <row r="32" customFormat="false" ht="15" hidden="true" customHeight="false" outlineLevel="1" collapsed="false">
      <c r="A32" s="3" t="s">
        <v>1029</v>
      </c>
      <c r="B32" s="11" t="s">
        <v>59</v>
      </c>
      <c r="C32" s="63" t="s">
        <v>993</v>
      </c>
      <c r="D32" s="63" t="s">
        <v>993</v>
      </c>
      <c r="E32" s="63" t="s">
        <v>993</v>
      </c>
      <c r="F32" s="63" t="s">
        <v>993</v>
      </c>
      <c r="G32" s="63" t="s">
        <v>993</v>
      </c>
      <c r="H32" s="63" t="s">
        <v>993</v>
      </c>
      <c r="J32" s="11" t="s">
        <v>1030</v>
      </c>
    </row>
    <row r="33" customFormat="false" ht="15" hidden="true" customHeight="false" outlineLevel="1" collapsed="false">
      <c r="A33" s="3" t="s">
        <v>1031</v>
      </c>
      <c r="B33" s="11" t="s">
        <v>59</v>
      </c>
      <c r="C33" s="63" t="s">
        <v>993</v>
      </c>
      <c r="D33" s="63" t="s">
        <v>993</v>
      </c>
      <c r="E33" s="63" t="s">
        <v>993</v>
      </c>
      <c r="F33" s="63" t="s">
        <v>993</v>
      </c>
      <c r="G33" s="63" t="s">
        <v>993</v>
      </c>
      <c r="H33" s="63" t="s">
        <v>993</v>
      </c>
      <c r="J33" s="11" t="s">
        <v>1030</v>
      </c>
    </row>
    <row r="34" customFormat="false" ht="15" hidden="true" customHeight="false" outlineLevel="1" collapsed="false">
      <c r="A34" s="3" t="s">
        <v>1032</v>
      </c>
      <c r="B34" s="11" t="s">
        <v>42</v>
      </c>
      <c r="C34" s="64" t="s">
        <v>993</v>
      </c>
      <c r="D34" s="64" t="s">
        <v>993</v>
      </c>
      <c r="E34" s="64" t="s">
        <v>993</v>
      </c>
      <c r="F34" s="64" t="s">
        <v>993</v>
      </c>
      <c r="G34" s="64" t="s">
        <v>993</v>
      </c>
      <c r="H34" s="64" t="s">
        <v>993</v>
      </c>
      <c r="J34" s="6" t="s">
        <v>1033</v>
      </c>
    </row>
    <row r="35" customFormat="false" ht="15" hidden="true" customHeight="false" outlineLevel="1" collapsed="false">
      <c r="A35" s="3" t="s">
        <v>1034</v>
      </c>
      <c r="B35" s="11" t="s">
        <v>59</v>
      </c>
      <c r="C35" s="40" t="str">
        <f aca="false">IF(ISNUMBER(輸入與假設!C$376),輸入與假設!C$376,"")</f>
        <v/>
      </c>
      <c r="D35" s="40" t="str">
        <f aca="false">IF(ISNUMBER(輸入與假設!D$376),輸入與假設!D$376,"")</f>
        <v/>
      </c>
      <c r="E35" s="40" t="str">
        <f aca="false">IF(ISNUMBER(輸入與假設!E$376),輸入與假設!E$376,"")</f>
        <v/>
      </c>
      <c r="F35" s="40" t="str">
        <f aca="false">IF(ISNUMBER(輸入與假設!F$376),輸入與假設!F$376,"")</f>
        <v/>
      </c>
      <c r="G35" s="40" t="str">
        <f aca="false">IF(ISNUMBER(輸入與假設!G$376),輸入與假設!G$376,"")</f>
        <v/>
      </c>
      <c r="H35" s="40" t="str">
        <f aca="false">IF(ISNUMBER(輸入與假設!H$376),輸入與假設!H$376,"")</f>
        <v/>
      </c>
    </row>
    <row r="36" customFormat="false" ht="15" hidden="true" customHeight="false" outlineLevel="1" collapsed="false">
      <c r="A36" s="3" t="s">
        <v>1035</v>
      </c>
      <c r="B36" s="11" t="s">
        <v>59</v>
      </c>
      <c r="C36" s="40" t="str">
        <f aca="false">IF(ISNUMBER(輸入與假設!C$377),輸入與假設!C$377,"")</f>
        <v/>
      </c>
      <c r="D36" s="40" t="str">
        <f aca="false">IF(ISNUMBER(輸入與假設!D$377),輸入與假設!D$377,"")</f>
        <v/>
      </c>
      <c r="E36" s="40" t="str">
        <f aca="false">IF(ISNUMBER(輸入與假設!E$377),輸入與假設!E$377,"")</f>
        <v/>
      </c>
      <c r="F36" s="40" t="str">
        <f aca="false">IF(ISNUMBER(輸入與假設!F$377),輸入與假設!F$377,"")</f>
        <v/>
      </c>
      <c r="G36" s="40" t="str">
        <f aca="false">IF(ISNUMBER(輸入與假設!G$377),輸入與假設!G$377,"")</f>
        <v/>
      </c>
      <c r="H36" s="40" t="str">
        <f aca="false">IF(ISNUMBER(輸入與假設!H$377),輸入與假設!H$377,"")</f>
        <v/>
      </c>
    </row>
    <row r="37" customFormat="false" ht="15" hidden="true" customHeight="false" outlineLevel="1" collapsed="false">
      <c r="A37" s="3" t="s">
        <v>1036</v>
      </c>
      <c r="B37" s="11" t="s">
        <v>42</v>
      </c>
      <c r="C37" s="64" t="str">
        <f aca="false">IF(AND(ISNUMBER(輸入與假設!C$377),ISNUMBER(輸入與假設!C$376)),輸入與假設!C$377/輸入與假設!C$376,"")</f>
        <v/>
      </c>
      <c r="D37" s="64" t="str">
        <f aca="false">IF(AND(ISNUMBER(輸入與假設!D$377),ISNUMBER(輸入與假設!D$376)),輸入與假設!D$377/輸入與假設!D$376,"")</f>
        <v/>
      </c>
      <c r="E37" s="64" t="str">
        <f aca="false">IF(AND(ISNUMBER(輸入與假設!E$377),ISNUMBER(輸入與假設!E$376)),輸入與假設!E$377/輸入與假設!E$376,"")</f>
        <v/>
      </c>
      <c r="F37" s="64" t="str">
        <f aca="false">IF(AND(ISNUMBER(輸入與假設!F$377),ISNUMBER(輸入與假設!F$376)),輸入與假設!F$377/輸入與假設!F$376,"")</f>
        <v/>
      </c>
      <c r="G37" s="64" t="str">
        <f aca="false">IF(AND(ISNUMBER(輸入與假設!G$377),ISNUMBER(輸入與假設!G$376)),輸入與假設!G$377/輸入與假設!G$376,"")</f>
        <v/>
      </c>
      <c r="H37" s="64" t="str">
        <f aca="false">IF(AND(ISNUMBER(輸入與假設!H$377),ISNUMBER(輸入與假設!H$376)),輸入與假設!H$377/輸入與假設!H$376,"")</f>
        <v/>
      </c>
      <c r="J37" s="6" t="s">
        <v>1037</v>
      </c>
    </row>
    <row r="38" customFormat="false" ht="15" hidden="true" customHeight="false" outlineLevel="1" collapsed="false">
      <c r="A38" s="3" t="s">
        <v>1038</v>
      </c>
      <c r="B38" s="11" t="s">
        <v>59</v>
      </c>
      <c r="C38" s="40" t="str">
        <f aca="false">IF(ISNUMBER(輸入與假設!C$378),輸入與假設!C$378,"")</f>
        <v/>
      </c>
      <c r="D38" s="40" t="str">
        <f aca="false">IF(ISNUMBER(輸入與假設!D$378),輸入與假設!D$378,"")</f>
        <v/>
      </c>
      <c r="E38" s="40" t="str">
        <f aca="false">IF(ISNUMBER(輸入與假設!E$378),輸入與假設!E$378,"")</f>
        <v/>
      </c>
      <c r="F38" s="40" t="str">
        <f aca="false">IF(ISNUMBER(輸入與假設!F$378),輸入與假設!F$378,"")</f>
        <v/>
      </c>
      <c r="G38" s="40" t="str">
        <f aca="false">IF(ISNUMBER(輸入與假設!G$378),輸入與假設!G$378,"")</f>
        <v/>
      </c>
      <c r="H38" s="40" t="str">
        <f aca="false">IF(ISNUMBER(輸入與假設!H$378),輸入與假設!H$378,"")</f>
        <v/>
      </c>
    </row>
    <row r="39" customFormat="false" ht="15" hidden="true" customHeight="false" outlineLevel="1" collapsed="false">
      <c r="A39" s="3" t="s">
        <v>1039</v>
      </c>
      <c r="B39" s="11" t="s">
        <v>59</v>
      </c>
      <c r="C39" s="40" t="str">
        <f aca="false">IF(ISNUMBER(輸入與假設!C$379),輸入與假設!C$379,"")</f>
        <v/>
      </c>
      <c r="D39" s="40" t="str">
        <f aca="false">IF(ISNUMBER(輸入與假設!D$379),輸入與假設!D$379,"")</f>
        <v/>
      </c>
      <c r="E39" s="40" t="str">
        <f aca="false">IF(ISNUMBER(輸入與假設!E$379),輸入與假設!E$379,"")</f>
        <v/>
      </c>
      <c r="F39" s="40" t="str">
        <f aca="false">IF(ISNUMBER(輸入與假設!F$379),輸入與假設!F$379,"")</f>
        <v/>
      </c>
      <c r="G39" s="40" t="str">
        <f aca="false">IF(ISNUMBER(輸入與假設!G$379),輸入與假設!G$379,"")</f>
        <v/>
      </c>
      <c r="H39" s="40" t="str">
        <f aca="false">IF(ISNUMBER(輸入與假設!H$379),輸入與假設!H$379,"")</f>
        <v/>
      </c>
    </row>
    <row r="40" customFormat="false" ht="15" hidden="true" customHeight="false" outlineLevel="1" collapsed="false">
      <c r="A40" s="3" t="s">
        <v>1040</v>
      </c>
      <c r="B40" s="11" t="s">
        <v>142</v>
      </c>
      <c r="C40" s="40" t="str">
        <f aca="false">IF(ISNUMBER(輸入與假設!C$380),輸入與假設!C$380,"")</f>
        <v/>
      </c>
      <c r="D40" s="40" t="str">
        <f aca="false">IF(ISNUMBER(輸入與假設!D$380),輸入與假設!D$380,"")</f>
        <v/>
      </c>
      <c r="E40" s="40" t="str">
        <f aca="false">IF(ISNUMBER(輸入與假設!E$380),輸入與假設!E$380,"")</f>
        <v/>
      </c>
      <c r="F40" s="40" t="str">
        <f aca="false">IF(ISNUMBER(輸入與假設!F$380),輸入與假設!F$380,"")</f>
        <v/>
      </c>
      <c r="G40" s="40" t="str">
        <f aca="false">IF(ISNUMBER(輸入與假設!G$380),輸入與假設!G$380,"")</f>
        <v/>
      </c>
      <c r="H40" s="40" t="str">
        <f aca="false">IF(ISNUMBER(輸入與假設!H$380),輸入與假設!H$380,"")</f>
        <v/>
      </c>
    </row>
    <row r="41" customFormat="false" ht="15" hidden="true" customHeight="false" outlineLevel="1" collapsed="false">
      <c r="A41" s="3" t="s">
        <v>1041</v>
      </c>
      <c r="B41" s="11" t="s">
        <v>42</v>
      </c>
      <c r="C41" s="64" t="str">
        <f aca="false">IF(AND(ISNUMBER(C22),ISNUMBER(C32),C32&lt;&gt;0),C22/(C32)-1,"不適用")</f>
        <v>不適用</v>
      </c>
      <c r="D41" s="64" t="str">
        <f aca="false">IF(AND(ISNUMBER(D22),ISNUMBER(D32),D32&lt;&gt;0),D22/(D32)-1,"不適用")</f>
        <v>不適用</v>
      </c>
      <c r="E41" s="64" t="str">
        <f aca="false">IF(AND(ISNUMBER(E22),ISNUMBER(E32),E32&lt;&gt;0),E22/(E32)-1,"不適用")</f>
        <v>不適用</v>
      </c>
      <c r="F41" s="64" t="str">
        <f aca="false">IF(AND(ISNUMBER(F22),ISNUMBER(F32),F32&lt;&gt;0),F22/(F32)-1,"不適用")</f>
        <v>不適用</v>
      </c>
      <c r="G41" s="64" t="str">
        <f aca="false">IF(AND(ISNUMBER(G22),ISNUMBER(G32),G32&lt;&gt;0),G22/(G32)-1,"不適用")</f>
        <v>不適用</v>
      </c>
      <c r="H41" s="64" t="str">
        <f aca="false">IF(AND(ISNUMBER(H22),ISNUMBER(H32),H32&lt;&gt;0),H22/(H32)-1,"不適用")</f>
        <v>不適用</v>
      </c>
    </row>
    <row r="42" customFormat="false" ht="15" hidden="true" customHeight="false" outlineLevel="1" collapsed="false">
      <c r="A42" s="3" t="s">
        <v>1042</v>
      </c>
      <c r="B42" s="11" t="s">
        <v>42</v>
      </c>
      <c r="C42" s="64" t="s">
        <v>993</v>
      </c>
      <c r="D42" s="64" t="s">
        <v>993</v>
      </c>
      <c r="E42" s="64" t="s">
        <v>993</v>
      </c>
      <c r="F42" s="64" t="s">
        <v>993</v>
      </c>
      <c r="G42" s="64" t="s">
        <v>993</v>
      </c>
      <c r="H42" s="64" t="s">
        <v>993</v>
      </c>
    </row>
    <row r="43" customFormat="false" ht="15" hidden="true" customHeight="false" outlineLevel="1" collapsed="false">
      <c r="A43" s="3" t="s">
        <v>1043</v>
      </c>
      <c r="B43" s="11" t="s">
        <v>42</v>
      </c>
      <c r="C43" s="64" t="str">
        <f aca="false">IF(ISNUMBER(C35),IF(AND(ISNUMBER(C22),C22&lt;&gt;0),C35/(C22)-1,"不適用"),"")</f>
        <v/>
      </c>
      <c r="D43" s="64" t="str">
        <f aca="false">IF(ISNUMBER(D35),IF(AND(ISNUMBER(D22),D22&lt;&gt;0),D35/(D22)-1,"不適用"),"")</f>
        <v/>
      </c>
      <c r="E43" s="64" t="str">
        <f aca="false">IF(ISNUMBER(E35),IF(AND(ISNUMBER(E22),E22&lt;&gt;0),E35/(E22)-1,"不適用"),"")</f>
        <v/>
      </c>
      <c r="F43" s="64" t="str">
        <f aca="false">IF(ISNUMBER(F35),IF(AND(ISNUMBER(F22),F22&lt;&gt;0),F35/(F22)-1,"不適用"),"")</f>
        <v/>
      </c>
      <c r="G43" s="64" t="str">
        <f aca="false">IF(ISNUMBER(G35),IF(AND(ISNUMBER(G22),G22&lt;&gt;0),G35/(G22)-1,"不適用"),"")</f>
        <v/>
      </c>
      <c r="H43" s="64" t="str">
        <f aca="false">IF(ISNUMBER(H35),IF(AND(ISNUMBER(H22),H22&lt;&gt;0),H35/(H22)-1,"不適用"),"")</f>
        <v/>
      </c>
    </row>
    <row r="44" customFormat="false" ht="15" hidden="true" customHeight="false" outlineLevel="1" collapsed="false">
      <c r="A44" s="3" t="s">
        <v>1044</v>
      </c>
      <c r="B44" s="11" t="s">
        <v>42</v>
      </c>
      <c r="C44" s="64" t="str">
        <f aca="false">IF(ISNUMBER(C35),IF(AND(ISNUMBER(C32),C32&lt;&gt;0),C35/(C32)-1,"不適用"),"")</f>
        <v/>
      </c>
      <c r="D44" s="64" t="str">
        <f aca="false">IF(ISNUMBER(D35),IF(AND(ISNUMBER(D32),D32&lt;&gt;0),D35/(D32)-1,"不適用"),"")</f>
        <v/>
      </c>
      <c r="E44" s="64" t="str">
        <f aca="false">IF(ISNUMBER(E35),IF(AND(ISNUMBER(E32),E32&lt;&gt;0),E35/(E32)-1,"不適用"),"")</f>
        <v/>
      </c>
      <c r="F44" s="64" t="str">
        <f aca="false">IF(ISNUMBER(F35),IF(AND(ISNUMBER(F32),F32&lt;&gt;0),F35/(F32)-1,"不適用"),"")</f>
        <v/>
      </c>
      <c r="G44" s="64" t="str">
        <f aca="false">IF(ISNUMBER(G35),IF(AND(ISNUMBER(G32),G32&lt;&gt;0),G35/(G32)-1,"不適用"),"")</f>
        <v/>
      </c>
      <c r="H44" s="64" t="str">
        <f aca="false">IF(ISNUMBER(H35),IF(AND(ISNUMBER(H32),H32&lt;&gt;0),H35/(H32)-1,"不適用"),"")</f>
        <v/>
      </c>
    </row>
    <row r="45" customFormat="false" ht="15" hidden="true" customHeight="false" outlineLevel="1" collapsed="false">
      <c r="A45" s="3" t="s">
        <v>1045</v>
      </c>
      <c r="B45" s="11" t="s">
        <v>42</v>
      </c>
      <c r="C45" s="64" t="str">
        <f aca="false">IF(ISNUMBER(C35),"不適用","")</f>
        <v/>
      </c>
      <c r="D45" s="64" t="str">
        <f aca="false">IF(ISNUMBER(D35),"不適用","")</f>
        <v/>
      </c>
      <c r="E45" s="64" t="str">
        <f aca="false">IF(ISNUMBER(E35),"不適用","")</f>
        <v/>
      </c>
      <c r="F45" s="64" t="str">
        <f aca="false">IF(ISNUMBER(F35),"不適用","")</f>
        <v/>
      </c>
      <c r="G45" s="64" t="str">
        <f aca="false">IF(ISNUMBER(G35),"不適用","")</f>
        <v/>
      </c>
      <c r="H45" s="64" t="str">
        <f aca="false">IF(ISNUMBER(H35),"不適用","")</f>
        <v/>
      </c>
    </row>
    <row r="46" customFormat="false" ht="15" hidden="true" customHeight="false" outlineLevel="1" collapsed="false">
      <c r="A46" s="3" t="s">
        <v>1046</v>
      </c>
      <c r="B46" s="11" t="s">
        <v>59</v>
      </c>
      <c r="C46" s="63" t="str">
        <f aca="false">IF(AND(ISNUMBER(C28),ISNUMBER(C33)),C28-(C33),"不適用")</f>
        <v>不適用</v>
      </c>
      <c r="D46" s="63" t="str">
        <f aca="false">IF(AND(ISNUMBER(D28),ISNUMBER(D33)),D28-(D33),"不適用")</f>
        <v>不適用</v>
      </c>
      <c r="E46" s="63" t="str">
        <f aca="false">IF(AND(ISNUMBER(E28),ISNUMBER(E33)),E28-(E33),"不適用")</f>
        <v>不適用</v>
      </c>
      <c r="F46" s="63" t="str">
        <f aca="false">IF(AND(ISNUMBER(F28),ISNUMBER(F33)),F28-(F33),"不適用")</f>
        <v>不適用</v>
      </c>
      <c r="G46" s="63" t="str">
        <f aca="false">IF(AND(ISNUMBER(G28),ISNUMBER(G33)),G28-(G33),"不適用")</f>
        <v>不適用</v>
      </c>
      <c r="H46" s="63" t="str">
        <f aca="false">IF(AND(ISNUMBER(H28),ISNUMBER(H33)),H28-(H33),"不適用")</f>
        <v>不適用</v>
      </c>
    </row>
    <row r="47" customFormat="false" ht="15" hidden="true" customHeight="false" outlineLevel="1" collapsed="false">
      <c r="A47" s="3" t="s">
        <v>1047</v>
      </c>
      <c r="B47" s="11" t="s">
        <v>59</v>
      </c>
      <c r="C47" s="63" t="s">
        <v>993</v>
      </c>
      <c r="D47" s="63" t="s">
        <v>993</v>
      </c>
      <c r="E47" s="63" t="s">
        <v>993</v>
      </c>
      <c r="F47" s="63" t="s">
        <v>993</v>
      </c>
      <c r="G47" s="63" t="s">
        <v>993</v>
      </c>
      <c r="H47" s="63" t="s">
        <v>993</v>
      </c>
    </row>
    <row r="48" customFormat="false" ht="15" hidden="true" customHeight="false" outlineLevel="1" collapsed="false">
      <c r="A48" s="3" t="s">
        <v>1048</v>
      </c>
      <c r="B48" s="11" t="s">
        <v>59</v>
      </c>
      <c r="C48" s="63" t="str">
        <f aca="false">IF(ISNUMBER(C36),IF(AND(ISNUMBER(C28)),C36-(C28),"不適用"),"")</f>
        <v/>
      </c>
      <c r="D48" s="63" t="str">
        <f aca="false">IF(ISNUMBER(D36),IF(AND(ISNUMBER(D28)),D36-(D28),"不適用"),"")</f>
        <v/>
      </c>
      <c r="E48" s="63" t="str">
        <f aca="false">IF(ISNUMBER(E36),IF(AND(ISNUMBER(E28)),E36-(E28),"不適用"),"")</f>
        <v/>
      </c>
      <c r="F48" s="63" t="str">
        <f aca="false">IF(ISNUMBER(F36),IF(AND(ISNUMBER(F28)),F36-(F28),"不適用"),"")</f>
        <v/>
      </c>
      <c r="G48" s="63" t="str">
        <f aca="false">IF(ISNUMBER(G36),IF(AND(ISNUMBER(G28)),G36-(G28),"不適用"),"")</f>
        <v/>
      </c>
      <c r="H48" s="63" t="str">
        <f aca="false">IF(ISNUMBER(H36),IF(AND(ISNUMBER(H28)),H36-(H28),"不適用"),"")</f>
        <v/>
      </c>
    </row>
    <row r="49" customFormat="false" ht="15" hidden="true" customHeight="false" outlineLevel="1" collapsed="false">
      <c r="A49" s="3" t="s">
        <v>1049</v>
      </c>
      <c r="B49" s="11" t="s">
        <v>59</v>
      </c>
      <c r="C49" s="63" t="str">
        <f aca="false">IF(ISNUMBER(C36),IF(AND(ISNUMBER(C33)),C36-(C33),"不適用"),"")</f>
        <v/>
      </c>
      <c r="D49" s="63" t="str">
        <f aca="false">IF(ISNUMBER(D36),IF(AND(ISNUMBER(D33)),D36-(D33),"不適用"),"")</f>
        <v/>
      </c>
      <c r="E49" s="63" t="str">
        <f aca="false">IF(ISNUMBER(E36),IF(AND(ISNUMBER(E33)),E36-(E33),"不適用"),"")</f>
        <v/>
      </c>
      <c r="F49" s="63" t="str">
        <f aca="false">IF(ISNUMBER(F36),IF(AND(ISNUMBER(F33)),F36-(F33),"不適用"),"")</f>
        <v/>
      </c>
      <c r="G49" s="63" t="str">
        <f aca="false">IF(ISNUMBER(G36),IF(AND(ISNUMBER(G33)),G36-(G33),"不適用"),"")</f>
        <v/>
      </c>
      <c r="H49" s="63" t="str">
        <f aca="false">IF(ISNUMBER(H36),IF(AND(ISNUMBER(H33)),H36-(H33),"不適用"),"")</f>
        <v/>
      </c>
    </row>
    <row r="50" customFormat="false" ht="15" hidden="true" customHeight="false" outlineLevel="1" collapsed="false">
      <c r="A50" s="3" t="s">
        <v>1050</v>
      </c>
      <c r="B50" s="11" t="s">
        <v>59</v>
      </c>
      <c r="C50" s="63" t="str">
        <f aca="false">IF(ISNUMBER(C36),"不適用","")</f>
        <v/>
      </c>
      <c r="D50" s="63" t="str">
        <f aca="false">IF(ISNUMBER(D36),"不適用","")</f>
        <v/>
      </c>
      <c r="E50" s="63" t="str">
        <f aca="false">IF(ISNUMBER(E36),"不適用","")</f>
        <v/>
      </c>
      <c r="F50" s="63" t="str">
        <f aca="false">IF(ISNUMBER(F36),"不適用","")</f>
        <v/>
      </c>
      <c r="G50" s="63" t="str">
        <f aca="false">IF(ISNUMBER(G36),"不適用","")</f>
        <v/>
      </c>
      <c r="H50" s="63" t="str">
        <f aca="false">IF(ISNUMBER(H36),"不適用","")</f>
        <v/>
      </c>
    </row>
    <row r="51" customFormat="false" ht="15" hidden="true" customHeight="false" outlineLevel="1" collapsed="false">
      <c r="A51" s="3" t="s">
        <v>1051</v>
      </c>
      <c r="B51" s="11" t="s">
        <v>71</v>
      </c>
      <c r="C51" s="64" t="str">
        <f aca="false">IF(AND(ISNUMBER(C28),ISNUMBER(C22),C22&lt;&gt;0,ISNUMBER(C33),ISNUMBER(C32),C32&lt;&gt;0),C28/C22-C33/C32,"不適用")</f>
        <v>不適用</v>
      </c>
      <c r="D51" s="64" t="str">
        <f aca="false">IF(AND(ISNUMBER(D28),ISNUMBER(D22),D22&lt;&gt;0,ISNUMBER(D33),ISNUMBER(D32),D32&lt;&gt;0),D28/D22-D33/D32,"不適用")</f>
        <v>不適用</v>
      </c>
      <c r="E51" s="64" t="str">
        <f aca="false">IF(AND(ISNUMBER(E28),ISNUMBER(E22),E22&lt;&gt;0,ISNUMBER(E33),ISNUMBER(E32),E32&lt;&gt;0),E28/E22-E33/E32,"不適用")</f>
        <v>不適用</v>
      </c>
      <c r="F51" s="64" t="str">
        <f aca="false">IF(AND(ISNUMBER(F28),ISNUMBER(F22),F22&lt;&gt;0,ISNUMBER(F33),ISNUMBER(F32),F32&lt;&gt;0),F28/F22-F33/F32,"不適用")</f>
        <v>不適用</v>
      </c>
      <c r="G51" s="64" t="str">
        <f aca="false">IF(AND(ISNUMBER(G28),ISNUMBER(G22),G22&lt;&gt;0,ISNUMBER(G33),ISNUMBER(G32),G32&lt;&gt;0),G28/G22-G33/G32,"不適用")</f>
        <v>不適用</v>
      </c>
      <c r="H51" s="64" t="str">
        <f aca="false">IF(AND(ISNUMBER(H28),ISNUMBER(H22),H22&lt;&gt;0,ISNUMBER(H33),ISNUMBER(H32),H32&lt;&gt;0),H28/H22-H33/H32,"不適用")</f>
        <v>不適用</v>
      </c>
    </row>
    <row r="52" customFormat="false" ht="15" hidden="true" customHeight="false" outlineLevel="1" collapsed="false">
      <c r="A52" s="3" t="s">
        <v>1052</v>
      </c>
      <c r="B52" s="11" t="s">
        <v>71</v>
      </c>
      <c r="C52" s="64" t="s">
        <v>993</v>
      </c>
      <c r="D52" s="64" t="s">
        <v>993</v>
      </c>
      <c r="E52" s="64" t="s">
        <v>993</v>
      </c>
      <c r="F52" s="64" t="s">
        <v>993</v>
      </c>
      <c r="G52" s="64" t="s">
        <v>993</v>
      </c>
      <c r="H52" s="64" t="s">
        <v>993</v>
      </c>
    </row>
    <row r="53" customFormat="false" ht="15" hidden="true" customHeight="false" outlineLevel="1" collapsed="false">
      <c r="A53" s="3" t="s">
        <v>1053</v>
      </c>
      <c r="B53" s="11" t="s">
        <v>71</v>
      </c>
      <c r="C53" s="64" t="str">
        <f aca="false">IF(ISNUMBER(C36),IF(AND(ISNUMBER(C36),ISNUMBER(C35),C35&lt;&gt;0,ISNUMBER(C28),ISNUMBER(C22),C22&lt;&gt;0),C36/C35-C28/C22,"不適用"),"")</f>
        <v/>
      </c>
      <c r="D53" s="64" t="str">
        <f aca="false">IF(ISNUMBER(D36),IF(AND(ISNUMBER(D36),ISNUMBER(D35),D35&lt;&gt;0,ISNUMBER(D28),ISNUMBER(D22),D22&lt;&gt;0),D36/D35-D28/D22,"不適用"),"")</f>
        <v/>
      </c>
      <c r="E53" s="64" t="str">
        <f aca="false">IF(ISNUMBER(E36),IF(AND(ISNUMBER(E36),ISNUMBER(E35),E35&lt;&gt;0,ISNUMBER(E28),ISNUMBER(E22),E22&lt;&gt;0),E36/E35-E28/E22,"不適用"),"")</f>
        <v/>
      </c>
      <c r="F53" s="64" t="str">
        <f aca="false">IF(ISNUMBER(F36),IF(AND(ISNUMBER(F36),ISNUMBER(F35),F35&lt;&gt;0,ISNUMBER(F28),ISNUMBER(F22),F22&lt;&gt;0),F36/F35-F28/F22,"不適用"),"")</f>
        <v/>
      </c>
      <c r="G53" s="64" t="str">
        <f aca="false">IF(ISNUMBER(G36),IF(AND(ISNUMBER(G36),ISNUMBER(G35),G35&lt;&gt;0,ISNUMBER(G28),ISNUMBER(G22),G22&lt;&gt;0),G36/G35-G28/G22,"不適用"),"")</f>
        <v/>
      </c>
      <c r="H53" s="64" t="str">
        <f aca="false">IF(ISNUMBER(H36),IF(AND(ISNUMBER(H36),ISNUMBER(H35),H35&lt;&gt;0,ISNUMBER(H28),ISNUMBER(H22),H22&lt;&gt;0),H36/H35-H28/H22,"不適用"),"")</f>
        <v/>
      </c>
    </row>
    <row r="54" customFormat="false" ht="15" hidden="true" customHeight="false" outlineLevel="1" collapsed="false">
      <c r="A54" s="3" t="s">
        <v>1054</v>
      </c>
      <c r="B54" s="11" t="s">
        <v>71</v>
      </c>
      <c r="C54" s="64" t="str">
        <f aca="false">IF(ISNUMBER(C36),IF(AND(ISNUMBER(C36),ISNUMBER(C35),C35&lt;&gt;0,ISNUMBER(C33),ISNUMBER(C32),C32&lt;&gt;0),C36/C35-C33/C32,"不適用"),"")</f>
        <v/>
      </c>
      <c r="D54" s="64" t="str">
        <f aca="false">IF(ISNUMBER(D36),IF(AND(ISNUMBER(D36),ISNUMBER(D35),D35&lt;&gt;0,ISNUMBER(D33),ISNUMBER(D32),D32&lt;&gt;0),D36/D35-D33/D32,"不適用"),"")</f>
        <v/>
      </c>
      <c r="E54" s="64" t="str">
        <f aca="false">IF(ISNUMBER(E36),IF(AND(ISNUMBER(E36),ISNUMBER(E35),E35&lt;&gt;0,ISNUMBER(E33),ISNUMBER(E32),E32&lt;&gt;0),E36/E35-E33/E32,"不適用"),"")</f>
        <v/>
      </c>
      <c r="F54" s="64" t="str">
        <f aca="false">IF(ISNUMBER(F36),IF(AND(ISNUMBER(F36),ISNUMBER(F35),F35&lt;&gt;0,ISNUMBER(F33),ISNUMBER(F32),F32&lt;&gt;0),F36/F35-F33/F32,"不適用"),"")</f>
        <v/>
      </c>
      <c r="G54" s="64" t="str">
        <f aca="false">IF(ISNUMBER(G36),IF(AND(ISNUMBER(G36),ISNUMBER(G35),G35&lt;&gt;0,ISNUMBER(G33),ISNUMBER(G32),G32&lt;&gt;0),G36/G35-G33/G32,"不適用"),"")</f>
        <v/>
      </c>
      <c r="H54" s="64" t="str">
        <f aca="false">IF(ISNUMBER(H36),IF(AND(ISNUMBER(H36),ISNUMBER(H35),H35&lt;&gt;0,ISNUMBER(H33),ISNUMBER(H32),H32&lt;&gt;0),H36/H35-H33/H32,"不適用"),"")</f>
        <v/>
      </c>
    </row>
    <row r="55" customFormat="false" ht="15" hidden="true" customHeight="false" outlineLevel="1" collapsed="false">
      <c r="A55" s="3" t="s">
        <v>1055</v>
      </c>
      <c r="B55" s="11" t="s">
        <v>71</v>
      </c>
      <c r="C55" s="64" t="str">
        <f aca="false">IF(ISNUMBER(C36),"不適用","")</f>
        <v/>
      </c>
      <c r="D55" s="64" t="str">
        <f aca="false">IF(ISNUMBER(D36),"不適用","")</f>
        <v/>
      </c>
      <c r="E55" s="64" t="str">
        <f aca="false">IF(ISNUMBER(E36),"不適用","")</f>
        <v/>
      </c>
      <c r="F55" s="64" t="str">
        <f aca="false">IF(ISNUMBER(F36),"不適用","")</f>
        <v/>
      </c>
      <c r="G55" s="64" t="str">
        <f aca="false">IF(ISNUMBER(G36),"不適用","")</f>
        <v/>
      </c>
      <c r="H55" s="64" t="str">
        <f aca="false">IF(ISNUMBER(H36),"不適用","")</f>
        <v/>
      </c>
    </row>
    <row r="56" customFormat="false" ht="15" hidden="true" customHeight="false" outlineLevel="1" collapsed="false">
      <c r="A56" s="3" t="s">
        <v>1056</v>
      </c>
      <c r="B56" s="11" t="s">
        <v>71</v>
      </c>
      <c r="C56" s="64" t="str">
        <f aca="false">IF(AND(ISNUMBER(C27),ISNUMBER(C34)),C27-(C34),"不適用")</f>
        <v>不適用</v>
      </c>
      <c r="D56" s="64" t="str">
        <f aca="false">IF(AND(ISNUMBER(D27),ISNUMBER(D34)),D27-(D34),"不適用")</f>
        <v>不適用</v>
      </c>
      <c r="E56" s="64" t="str">
        <f aca="false">IF(AND(ISNUMBER(E27),ISNUMBER(E34)),E27-(E34),"不適用")</f>
        <v>不適用</v>
      </c>
      <c r="F56" s="64" t="str">
        <f aca="false">IF(AND(ISNUMBER(F27),ISNUMBER(F34)),F27-(F34),"不適用")</f>
        <v>不適用</v>
      </c>
      <c r="G56" s="64" t="str">
        <f aca="false">IF(AND(ISNUMBER(G27),ISNUMBER(G34)),G27-(G34),"不適用")</f>
        <v>不適用</v>
      </c>
      <c r="H56" s="64" t="str">
        <f aca="false">IF(AND(ISNUMBER(H27),ISNUMBER(H34)),H27-(H34),"不適用")</f>
        <v>不適用</v>
      </c>
    </row>
    <row r="57" customFormat="false" ht="15" hidden="true" customHeight="false" outlineLevel="1" collapsed="false">
      <c r="A57" s="3" t="s">
        <v>1057</v>
      </c>
      <c r="B57" s="11" t="s">
        <v>71</v>
      </c>
      <c r="C57" s="64" t="s">
        <v>993</v>
      </c>
      <c r="D57" s="64" t="s">
        <v>993</v>
      </c>
      <c r="E57" s="64" t="s">
        <v>993</v>
      </c>
      <c r="F57" s="64" t="s">
        <v>993</v>
      </c>
      <c r="G57" s="64" t="s">
        <v>993</v>
      </c>
      <c r="H57" s="64" t="s">
        <v>993</v>
      </c>
    </row>
    <row r="58" customFormat="false" ht="15" hidden="true" customHeight="false" outlineLevel="1" collapsed="false">
      <c r="A58" s="3" t="s">
        <v>1058</v>
      </c>
      <c r="B58" s="11" t="s">
        <v>71</v>
      </c>
      <c r="C58" s="64" t="str">
        <f aca="false">IF(ISNUMBER(C37),IF(AND(ISNUMBER(C27)),C37-(C27),"不適用"),"")</f>
        <v/>
      </c>
      <c r="D58" s="64" t="str">
        <f aca="false">IF(ISNUMBER(D37),IF(AND(ISNUMBER(D27)),D37-(D27),"不適用"),"")</f>
        <v/>
      </c>
      <c r="E58" s="64" t="str">
        <f aca="false">IF(ISNUMBER(E37),IF(AND(ISNUMBER(E27)),E37-(E27),"不適用"),"")</f>
        <v/>
      </c>
      <c r="F58" s="64" t="str">
        <f aca="false">IF(ISNUMBER(F37),IF(AND(ISNUMBER(F27)),F37-(F27),"不適用"),"")</f>
        <v/>
      </c>
      <c r="G58" s="64" t="str">
        <f aca="false">IF(ISNUMBER(G37),IF(AND(ISNUMBER(G27)),G37-(G27),"不適用"),"")</f>
        <v/>
      </c>
      <c r="H58" s="64" t="str">
        <f aca="false">IF(ISNUMBER(H37),IF(AND(ISNUMBER(H27)),H37-(H27),"不適用"),"")</f>
        <v/>
      </c>
    </row>
    <row r="59" customFormat="false" ht="15" hidden="true" customHeight="false" outlineLevel="1" collapsed="false">
      <c r="A59" s="3" t="s">
        <v>1059</v>
      </c>
      <c r="B59" s="11" t="s">
        <v>71</v>
      </c>
      <c r="C59" s="64" t="str">
        <f aca="false">IF(ISNUMBER(C37),IF(AND(ISNUMBER(C34)),C37-(C34),"不適用"),"")</f>
        <v/>
      </c>
      <c r="D59" s="64" t="str">
        <f aca="false">IF(ISNUMBER(D37),IF(AND(ISNUMBER(D34)),D37-(D34),"不適用"),"")</f>
        <v/>
      </c>
      <c r="E59" s="64" t="str">
        <f aca="false">IF(ISNUMBER(E37),IF(AND(ISNUMBER(E34)),E37-(E34),"不適用"),"")</f>
        <v/>
      </c>
      <c r="F59" s="64" t="str">
        <f aca="false">IF(ISNUMBER(F37),IF(AND(ISNUMBER(F34)),F37-(F34),"不適用"),"")</f>
        <v/>
      </c>
      <c r="G59" s="64" t="str">
        <f aca="false">IF(ISNUMBER(G37),IF(AND(ISNUMBER(G34)),G37-(G34),"不適用"),"")</f>
        <v/>
      </c>
      <c r="H59" s="64" t="str">
        <f aca="false">IF(ISNUMBER(H37),IF(AND(ISNUMBER(H34)),H37-(H34),"不適用"),"")</f>
        <v/>
      </c>
    </row>
    <row r="60" customFormat="false" ht="15" hidden="true" customHeight="false" outlineLevel="1" collapsed="false">
      <c r="A60" s="3" t="s">
        <v>1060</v>
      </c>
      <c r="B60" s="11" t="s">
        <v>71</v>
      </c>
      <c r="C60" s="64" t="str">
        <f aca="false">IF(ISNUMBER(C37),"不適用","")</f>
        <v/>
      </c>
      <c r="D60" s="64" t="str">
        <f aca="false">IF(ISNUMBER(D37),"不適用","")</f>
        <v/>
      </c>
      <c r="E60" s="64" t="str">
        <f aca="false">IF(ISNUMBER(E37),"不適用","")</f>
        <v/>
      </c>
      <c r="F60" s="64" t="str">
        <f aca="false">IF(ISNUMBER(F37),"不適用","")</f>
        <v/>
      </c>
      <c r="G60" s="64" t="str">
        <f aca="false">IF(ISNUMBER(G37),"不適用","")</f>
        <v/>
      </c>
      <c r="H60" s="64" t="str">
        <f aca="false">IF(ISNUMBER(H37),"不適用","")</f>
        <v/>
      </c>
    </row>
    <row r="61" customFormat="false" ht="15" hidden="true" customHeight="false" outlineLevel="1" collapsed="false">
      <c r="A61" s="3" t="s">
        <v>1061</v>
      </c>
      <c r="B61" s="11" t="s">
        <v>59</v>
      </c>
      <c r="C61" s="63" t="s">
        <v>993</v>
      </c>
      <c r="D61" s="63" t="s">
        <v>993</v>
      </c>
      <c r="E61" s="63" t="s">
        <v>993</v>
      </c>
      <c r="F61" s="63" t="s">
        <v>993</v>
      </c>
      <c r="G61" s="63" t="s">
        <v>993</v>
      </c>
      <c r="H61" s="63" t="s">
        <v>993</v>
      </c>
    </row>
    <row r="62" customFormat="false" ht="15" hidden="true" customHeight="false" outlineLevel="1" collapsed="false">
      <c r="A62" s="3" t="s">
        <v>1062</v>
      </c>
      <c r="B62" s="11" t="s">
        <v>59</v>
      </c>
      <c r="C62" s="63" t="s">
        <v>993</v>
      </c>
      <c r="D62" s="63" t="s">
        <v>993</v>
      </c>
      <c r="E62" s="63" t="s">
        <v>993</v>
      </c>
      <c r="F62" s="63" t="s">
        <v>993</v>
      </c>
      <c r="G62" s="63" t="s">
        <v>993</v>
      </c>
      <c r="H62" s="63" t="s">
        <v>993</v>
      </c>
    </row>
    <row r="63" customFormat="false" ht="15" hidden="true" customHeight="false" outlineLevel="1" collapsed="false">
      <c r="A63" s="3" t="s">
        <v>1063</v>
      </c>
      <c r="B63" s="11" t="s">
        <v>59</v>
      </c>
      <c r="C63" s="63" t="str">
        <f aca="false">IF(ISNUMBER(C38),IF(AND(ISNUMBER(C30)),C38-(C30),"不適用"),"")</f>
        <v/>
      </c>
      <c r="D63" s="63" t="str">
        <f aca="false">IF(ISNUMBER(D38),IF(AND(ISNUMBER(D30)),D38-(D30),"不適用"),"")</f>
        <v/>
      </c>
      <c r="E63" s="63" t="str">
        <f aca="false">IF(ISNUMBER(E38),IF(AND(ISNUMBER(E30)),E38-(E30),"不適用"),"")</f>
        <v/>
      </c>
      <c r="F63" s="63" t="str">
        <f aca="false">IF(ISNUMBER(F38),IF(AND(ISNUMBER(F30)),F38-(F30),"不適用"),"")</f>
        <v/>
      </c>
      <c r="G63" s="63" t="str">
        <f aca="false">IF(ISNUMBER(G38),IF(AND(ISNUMBER(G30)),G38-(G30),"不適用"),"")</f>
        <v/>
      </c>
      <c r="H63" s="63" t="str">
        <f aca="false">IF(ISNUMBER(H38),IF(AND(ISNUMBER(H30)),H38-(H30),"不適用"),"")</f>
        <v/>
      </c>
    </row>
    <row r="64" customFormat="false" ht="15" hidden="true" customHeight="false" outlineLevel="1" collapsed="false">
      <c r="A64" s="3" t="s">
        <v>1064</v>
      </c>
      <c r="B64" s="11" t="s">
        <v>59</v>
      </c>
      <c r="C64" s="63" t="str">
        <f aca="false">IF(ISNUMBER(C38),"不適用","")</f>
        <v/>
      </c>
      <c r="D64" s="63" t="str">
        <f aca="false">IF(ISNUMBER(D38),"不適用","")</f>
        <v/>
      </c>
      <c r="E64" s="63" t="str">
        <f aca="false">IF(ISNUMBER(E38),"不適用","")</f>
        <v/>
      </c>
      <c r="F64" s="63" t="str">
        <f aca="false">IF(ISNUMBER(F38),"不適用","")</f>
        <v/>
      </c>
      <c r="G64" s="63" t="str">
        <f aca="false">IF(ISNUMBER(G38),"不適用","")</f>
        <v/>
      </c>
      <c r="H64" s="63" t="str">
        <f aca="false">IF(ISNUMBER(H38),"不適用","")</f>
        <v/>
      </c>
    </row>
    <row r="65" customFormat="false" ht="15" hidden="true" customHeight="false" outlineLevel="1" collapsed="false">
      <c r="A65" s="3" t="s">
        <v>1065</v>
      </c>
      <c r="B65" s="11" t="s">
        <v>59</v>
      </c>
      <c r="C65" s="63" t="str">
        <f aca="false">IF(ISNUMBER(C38),"不適用","")</f>
        <v/>
      </c>
      <c r="D65" s="63" t="str">
        <f aca="false">IF(ISNUMBER(D38),"不適用","")</f>
        <v/>
      </c>
      <c r="E65" s="63" t="str">
        <f aca="false">IF(ISNUMBER(E38),"不適用","")</f>
        <v/>
      </c>
      <c r="F65" s="63" t="str">
        <f aca="false">IF(ISNUMBER(F38),"不適用","")</f>
        <v/>
      </c>
      <c r="G65" s="63" t="str">
        <f aca="false">IF(ISNUMBER(G38),"不適用","")</f>
        <v/>
      </c>
      <c r="H65" s="63" t="str">
        <f aca="false">IF(ISNUMBER(H38),"不適用","")</f>
        <v/>
      </c>
    </row>
    <row r="66" customFormat="false" ht="15" hidden="true" customHeight="false" outlineLevel="1" collapsed="false">
      <c r="A66" s="3" t="s">
        <v>1066</v>
      </c>
      <c r="B66" s="11" t="s">
        <v>71</v>
      </c>
      <c r="C66" s="64" t="s">
        <v>993</v>
      </c>
      <c r="D66" s="64" t="s">
        <v>993</v>
      </c>
      <c r="E66" s="64" t="s">
        <v>993</v>
      </c>
      <c r="F66" s="64" t="s">
        <v>993</v>
      </c>
      <c r="G66" s="64" t="s">
        <v>993</v>
      </c>
      <c r="H66" s="64" t="s">
        <v>993</v>
      </c>
    </row>
    <row r="67" customFormat="false" ht="15" hidden="true" customHeight="false" outlineLevel="1" collapsed="false">
      <c r="A67" s="3" t="s">
        <v>1067</v>
      </c>
      <c r="B67" s="11" t="s">
        <v>71</v>
      </c>
      <c r="C67" s="64" t="s">
        <v>993</v>
      </c>
      <c r="D67" s="64" t="s">
        <v>993</v>
      </c>
      <c r="E67" s="64" t="s">
        <v>993</v>
      </c>
      <c r="F67" s="64" t="s">
        <v>993</v>
      </c>
      <c r="G67" s="64" t="s">
        <v>993</v>
      </c>
      <c r="H67" s="64" t="s">
        <v>993</v>
      </c>
    </row>
    <row r="68" customFormat="false" ht="15" hidden="true" customHeight="false" outlineLevel="1" collapsed="false">
      <c r="A68" s="3" t="s">
        <v>1068</v>
      </c>
      <c r="B68" s="11" t="s">
        <v>71</v>
      </c>
      <c r="C68" s="64" t="str">
        <f aca="false">IF(ISNUMBER(C38),IF(AND(ISNUMBER(C38),ISNUMBER(C35),C35&lt;&gt;0,ISNUMBER(C30),ISNUMBER(C22),C22&lt;&gt;0),C38/C35-C30/C22,"不適用"),"")</f>
        <v/>
      </c>
      <c r="D68" s="64" t="str">
        <f aca="false">IF(ISNUMBER(D38),IF(AND(ISNUMBER(D38),ISNUMBER(D35),D35&lt;&gt;0,ISNUMBER(D30),ISNUMBER(D22),D22&lt;&gt;0),D38/D35-D30/D22,"不適用"),"")</f>
        <v/>
      </c>
      <c r="E68" s="64" t="str">
        <f aca="false">IF(ISNUMBER(E38),IF(AND(ISNUMBER(E38),ISNUMBER(E35),E35&lt;&gt;0,ISNUMBER(E30),ISNUMBER(E22),E22&lt;&gt;0),E38/E35-E30/E22,"不適用"),"")</f>
        <v/>
      </c>
      <c r="F68" s="64" t="str">
        <f aca="false">IF(ISNUMBER(F38),IF(AND(ISNUMBER(F38),ISNUMBER(F35),F35&lt;&gt;0,ISNUMBER(F30),ISNUMBER(F22),F22&lt;&gt;0),F38/F35-F30/F22,"不適用"),"")</f>
        <v/>
      </c>
      <c r="G68" s="64" t="str">
        <f aca="false">IF(ISNUMBER(G38),IF(AND(ISNUMBER(G38),ISNUMBER(G35),G35&lt;&gt;0,ISNUMBER(G30),ISNUMBER(G22),G22&lt;&gt;0),G38/G35-G30/G22,"不適用"),"")</f>
        <v/>
      </c>
      <c r="H68" s="64" t="str">
        <f aca="false">IF(ISNUMBER(H38),IF(AND(ISNUMBER(H38),ISNUMBER(H35),H35&lt;&gt;0,ISNUMBER(H30),ISNUMBER(H22),H22&lt;&gt;0),H38/H35-H30/H22,"不適用"),"")</f>
        <v/>
      </c>
    </row>
    <row r="69" customFormat="false" ht="15" hidden="true" customHeight="false" outlineLevel="1" collapsed="false">
      <c r="A69" s="3" t="s">
        <v>1069</v>
      </c>
      <c r="B69" s="11" t="s">
        <v>71</v>
      </c>
      <c r="C69" s="64" t="str">
        <f aca="false">IF(ISNUMBER(C38),"不適用","")</f>
        <v/>
      </c>
      <c r="D69" s="64" t="str">
        <f aca="false">IF(ISNUMBER(D38),"不適用","")</f>
        <v/>
      </c>
      <c r="E69" s="64" t="str">
        <f aca="false">IF(ISNUMBER(E38),"不適用","")</f>
        <v/>
      </c>
      <c r="F69" s="64" t="str">
        <f aca="false">IF(ISNUMBER(F38),"不適用","")</f>
        <v/>
      </c>
      <c r="G69" s="64" t="str">
        <f aca="false">IF(ISNUMBER(G38),"不適用","")</f>
        <v/>
      </c>
      <c r="H69" s="64" t="str">
        <f aca="false">IF(ISNUMBER(H38),"不適用","")</f>
        <v/>
      </c>
    </row>
    <row r="70" customFormat="false" ht="15" hidden="true" customHeight="false" outlineLevel="1" collapsed="false">
      <c r="A70" s="3" t="s">
        <v>1070</v>
      </c>
      <c r="B70" s="11" t="s">
        <v>71</v>
      </c>
      <c r="C70" s="64" t="str">
        <f aca="false">IF(ISNUMBER(C38),"不適用","")</f>
        <v/>
      </c>
      <c r="D70" s="64" t="str">
        <f aca="false">IF(ISNUMBER(D38),"不適用","")</f>
        <v/>
      </c>
      <c r="E70" s="64" t="str">
        <f aca="false">IF(ISNUMBER(E38),"不適用","")</f>
        <v/>
      </c>
      <c r="F70" s="64" t="str">
        <f aca="false">IF(ISNUMBER(F38),"不適用","")</f>
        <v/>
      </c>
      <c r="G70" s="64" t="str">
        <f aca="false">IF(ISNUMBER(G38),"不適用","")</f>
        <v/>
      </c>
      <c r="H70" s="64" t="str">
        <f aca="false">IF(ISNUMBER(H38),"不適用","")</f>
        <v/>
      </c>
    </row>
    <row r="71" customFormat="false" ht="15" hidden="true" customHeight="false" outlineLevel="1" collapsed="false">
      <c r="A71" s="3" t="s">
        <v>1071</v>
      </c>
      <c r="B71" s="11" t="s">
        <v>42</v>
      </c>
      <c r="C71" s="64" t="s">
        <v>993</v>
      </c>
      <c r="D71" s="64" t="s">
        <v>993</v>
      </c>
      <c r="E71" s="64" t="s">
        <v>993</v>
      </c>
      <c r="F71" s="64" t="s">
        <v>993</v>
      </c>
      <c r="G71" s="64" t="s">
        <v>993</v>
      </c>
      <c r="H71" s="64" t="s">
        <v>993</v>
      </c>
    </row>
    <row r="72" customFormat="false" ht="15" hidden="true" customHeight="false" outlineLevel="1" collapsed="false">
      <c r="A72" s="3" t="s">
        <v>1072</v>
      </c>
      <c r="B72" s="11" t="s">
        <v>42</v>
      </c>
      <c r="C72" s="64" t="s">
        <v>993</v>
      </c>
      <c r="D72" s="64" t="s">
        <v>993</v>
      </c>
      <c r="E72" s="64" t="s">
        <v>993</v>
      </c>
      <c r="F72" s="64" t="s">
        <v>993</v>
      </c>
      <c r="G72" s="64" t="s">
        <v>993</v>
      </c>
      <c r="H72" s="64" t="s">
        <v>993</v>
      </c>
    </row>
    <row r="73" customFormat="false" ht="15" hidden="true" customHeight="false" outlineLevel="1" collapsed="false">
      <c r="A73" s="3" t="s">
        <v>1073</v>
      </c>
      <c r="B73" s="11" t="s">
        <v>42</v>
      </c>
      <c r="C73" s="64" t="str">
        <f aca="false">IF(ISNUMBER(C39),IF(AND(ISNUMBER(C31),C31&lt;&gt;0),C39/(C31)-1,"不適用"),"")</f>
        <v/>
      </c>
      <c r="D73" s="64" t="str">
        <f aca="false">IF(ISNUMBER(D39),IF(AND(ISNUMBER(D31),D31&lt;&gt;0),D39/(D31)-1,"不適用"),"")</f>
        <v/>
      </c>
      <c r="E73" s="64" t="str">
        <f aca="false">IF(ISNUMBER(E39),IF(AND(ISNUMBER(E31),E31&lt;&gt;0),E39/(E31)-1,"不適用"),"")</f>
        <v/>
      </c>
      <c r="F73" s="64" t="str">
        <f aca="false">IF(ISNUMBER(F39),IF(AND(ISNUMBER(F31),F31&lt;&gt;0),F39/(F31)-1,"不適用"),"")</f>
        <v/>
      </c>
      <c r="G73" s="64" t="str">
        <f aca="false">IF(ISNUMBER(G39),IF(AND(ISNUMBER(G31),G31&lt;&gt;0),G39/(G31)-1,"不適用"),"")</f>
        <v/>
      </c>
      <c r="H73" s="64" t="str">
        <f aca="false">IF(ISNUMBER(H39),IF(AND(ISNUMBER(H31),H31&lt;&gt;0),H39/(H31)-1,"不適用"),"")</f>
        <v/>
      </c>
    </row>
    <row r="74" customFormat="false" ht="15" hidden="true" customHeight="false" outlineLevel="1" collapsed="false">
      <c r="A74" s="3" t="s">
        <v>1074</v>
      </c>
      <c r="B74" s="11" t="s">
        <v>42</v>
      </c>
      <c r="C74" s="64" t="str">
        <f aca="false">IF(ISNUMBER(C39),"不適用","")</f>
        <v/>
      </c>
      <c r="D74" s="64" t="str">
        <f aca="false">IF(ISNUMBER(D39),"不適用","")</f>
        <v/>
      </c>
      <c r="E74" s="64" t="str">
        <f aca="false">IF(ISNUMBER(E39),"不適用","")</f>
        <v/>
      </c>
      <c r="F74" s="64" t="str">
        <f aca="false">IF(ISNUMBER(F39),"不適用","")</f>
        <v/>
      </c>
      <c r="G74" s="64" t="str">
        <f aca="false">IF(ISNUMBER(G39),"不適用","")</f>
        <v/>
      </c>
      <c r="H74" s="64" t="str">
        <f aca="false">IF(ISNUMBER(H39),"不適用","")</f>
        <v/>
      </c>
    </row>
    <row r="75" customFormat="false" ht="15" hidden="true" customHeight="false" outlineLevel="1" collapsed="false">
      <c r="A75" s="3" t="s">
        <v>1075</v>
      </c>
      <c r="B75" s="11" t="s">
        <v>42</v>
      </c>
      <c r="C75" s="64" t="str">
        <f aca="false">IF(ISNUMBER(C39),"不適用","")</f>
        <v/>
      </c>
      <c r="D75" s="64" t="str">
        <f aca="false">IF(ISNUMBER(D39),"不適用","")</f>
        <v/>
      </c>
      <c r="E75" s="64" t="str">
        <f aca="false">IF(ISNUMBER(E39),"不適用","")</f>
        <v/>
      </c>
      <c r="F75" s="64" t="str">
        <f aca="false">IF(ISNUMBER(F39),"不適用","")</f>
        <v/>
      </c>
      <c r="G75" s="64" t="str">
        <f aca="false">IF(ISNUMBER(G39),"不適用","")</f>
        <v/>
      </c>
      <c r="H75" s="64" t="str">
        <f aca="false">IF(ISNUMBER(H39),"不適用","")</f>
        <v/>
      </c>
    </row>
    <row r="76" customFormat="false" ht="15" hidden="true" customHeight="false" outlineLevel="1" collapsed="false">
      <c r="A76" s="3" t="s">
        <v>1076</v>
      </c>
      <c r="B76" s="11" t="s">
        <v>142</v>
      </c>
      <c r="C76" s="65" t="s">
        <v>993</v>
      </c>
      <c r="D76" s="65" t="s">
        <v>993</v>
      </c>
      <c r="E76" s="65" t="s">
        <v>993</v>
      </c>
      <c r="F76" s="65" t="s">
        <v>993</v>
      </c>
      <c r="G76" s="65" t="s">
        <v>993</v>
      </c>
      <c r="H76" s="65" t="s">
        <v>993</v>
      </c>
    </row>
    <row r="77" customFormat="false" ht="15" hidden="true" customHeight="false" outlineLevel="1" collapsed="false">
      <c r="A77" s="3" t="s">
        <v>1077</v>
      </c>
      <c r="B77" s="11" t="s">
        <v>142</v>
      </c>
      <c r="C77" s="65" t="s">
        <v>993</v>
      </c>
      <c r="D77" s="65" t="s">
        <v>993</v>
      </c>
      <c r="E77" s="65" t="s">
        <v>993</v>
      </c>
      <c r="F77" s="65" t="s">
        <v>993</v>
      </c>
      <c r="G77" s="65" t="s">
        <v>993</v>
      </c>
      <c r="H77" s="65" t="s">
        <v>993</v>
      </c>
    </row>
    <row r="78" customFormat="false" ht="15" hidden="true" customHeight="false" outlineLevel="1" collapsed="false">
      <c r="A78" s="3" t="s">
        <v>1078</v>
      </c>
      <c r="B78" s="11" t="s">
        <v>142</v>
      </c>
      <c r="C78" s="65" t="str">
        <f aca="false">IF(ISNUMBER(C40),IF(AND(ISNUMBER(C19)),C40-(C19),"不適用"),"")</f>
        <v/>
      </c>
      <c r="D78" s="65" t="str">
        <f aca="false">IF(ISNUMBER(D40),IF(AND(ISNUMBER(D19)),D40-(D19),"不適用"),"")</f>
        <v/>
      </c>
      <c r="E78" s="65" t="str">
        <f aca="false">IF(ISNUMBER(E40),IF(AND(ISNUMBER(E19)),E40-(E19),"不適用"),"")</f>
        <v/>
      </c>
      <c r="F78" s="65" t="str">
        <f aca="false">IF(ISNUMBER(F40),IF(AND(ISNUMBER(F19)),F40-(F19),"不適用"),"")</f>
        <v/>
      </c>
      <c r="G78" s="65" t="str">
        <f aca="false">IF(ISNUMBER(G40),IF(AND(ISNUMBER(G19)),G40-(G19),"不適用"),"")</f>
        <v/>
      </c>
      <c r="H78" s="65" t="str">
        <f aca="false">IF(ISNUMBER(H40),IF(AND(ISNUMBER(H19)),H40-(H19),"不適用"),"")</f>
        <v/>
      </c>
    </row>
    <row r="79" customFormat="false" ht="15" hidden="true" customHeight="false" outlineLevel="1" collapsed="false">
      <c r="A79" s="3" t="s">
        <v>1079</v>
      </c>
      <c r="B79" s="11" t="s">
        <v>142</v>
      </c>
      <c r="C79" s="65" t="str">
        <f aca="false">IF(ISNUMBER(C40),"不適用","")</f>
        <v/>
      </c>
      <c r="D79" s="65" t="str">
        <f aca="false">IF(ISNUMBER(D40),"不適用","")</f>
        <v/>
      </c>
      <c r="E79" s="65" t="str">
        <f aca="false">IF(ISNUMBER(E40),"不適用","")</f>
        <v/>
      </c>
      <c r="F79" s="65" t="str">
        <f aca="false">IF(ISNUMBER(F40),"不適用","")</f>
        <v/>
      </c>
      <c r="G79" s="65" t="str">
        <f aca="false">IF(ISNUMBER(G40),"不適用","")</f>
        <v/>
      </c>
      <c r="H79" s="65" t="str">
        <f aca="false">IF(ISNUMBER(H40),"不適用","")</f>
        <v/>
      </c>
    </row>
    <row r="80" customFormat="false" ht="15" hidden="true" customHeight="false" outlineLevel="1" collapsed="false">
      <c r="A80" s="3" t="s">
        <v>1080</v>
      </c>
      <c r="B80" s="11" t="s">
        <v>142</v>
      </c>
      <c r="C80" s="65" t="str">
        <f aca="false">IF(ISNUMBER(C40),"不適用","")</f>
        <v/>
      </c>
      <c r="D80" s="65" t="str">
        <f aca="false">IF(ISNUMBER(D40),"不適用","")</f>
        <v/>
      </c>
      <c r="E80" s="65" t="str">
        <f aca="false">IF(ISNUMBER(E40),"不適用","")</f>
        <v/>
      </c>
      <c r="F80" s="65" t="str">
        <f aca="false">IF(ISNUMBER(F40),"不適用","")</f>
        <v/>
      </c>
      <c r="G80" s="65" t="str">
        <f aca="false">IF(ISNUMBER(G40),"不適用","")</f>
        <v/>
      </c>
      <c r="H80" s="65" t="str">
        <f aca="false">IF(ISNUMBER(H40),"不適用","")</f>
        <v/>
      </c>
    </row>
    <row r="81" customFormat="false" ht="15" hidden="true" customHeight="false" outlineLevel="1" collapsed="false">
      <c r="A81" s="3" t="s">
        <v>1081</v>
      </c>
      <c r="B81" s="11" t="s">
        <v>59</v>
      </c>
      <c r="C81" s="63" t="str">
        <f aca="false">IF(COUNT(C32,D32)=2,C32+D32,"不適用")</f>
        <v>不適用</v>
      </c>
      <c r="D81" s="63" t="str">
        <f aca="false">IF(COUNT(C32,D32)=2,C32+D32,"不適用")</f>
        <v>不適用</v>
      </c>
      <c r="E81" s="63" t="str">
        <f aca="false">IF(COUNT(E32,F32,G32,H32)=4,E32+F32+G32+H32,"不適用")</f>
        <v>不適用</v>
      </c>
      <c r="F81" s="63" t="str">
        <f aca="false">IF(COUNT(E32,F32,G32,H32)=4,E32+F32+G32+H32,"不適用")</f>
        <v>不適用</v>
      </c>
      <c r="G81" s="63" t="str">
        <f aca="false">IF(COUNT(E32,F32,G32,H32)=4,E32+F32+G32+H32,"不適用")</f>
        <v>不適用</v>
      </c>
      <c r="H81" s="63" t="str">
        <f aca="false">IF(COUNT(E32,F32,G32,H32)=4,E32+F32+G32+H32,"不適用")</f>
        <v>不適用</v>
      </c>
      <c r="J81" s="6" t="s">
        <v>1082</v>
      </c>
    </row>
    <row r="82" customFormat="false" ht="15" hidden="true" customHeight="false" outlineLevel="1" collapsed="false">
      <c r="A82" s="3" t="s">
        <v>1083</v>
      </c>
      <c r="B82" s="11" t="s">
        <v>59</v>
      </c>
      <c r="C82" s="63" t="str">
        <f aca="false">IF(AND(ISNUMBER(C81),C81&lt;&gt;0,ISNUMBER(C32),ISNUMBER(C22)),(損益!C9-C81)*(C32)/C81,"不適用")</f>
        <v>不適用</v>
      </c>
      <c r="D82" s="63" t="str">
        <f aca="false">IF(AND(ISNUMBER(D81),D81&lt;&gt;0,ISNUMBER(D32),ISNUMBER(D22)),(損益!C9-D81)*(D32)/D81,"不適用")</f>
        <v>不適用</v>
      </c>
      <c r="E82" s="63" t="str">
        <f aca="false">IF(AND(ISNUMBER(E81),E81&lt;&gt;0,ISNUMBER(E32),ISNUMBER(E22)),(損益!D9-E81)*(E32)/E81,"不適用")</f>
        <v>不適用</v>
      </c>
      <c r="F82" s="63" t="str">
        <f aca="false">IF(AND(ISNUMBER(F81),F81&lt;&gt;0,ISNUMBER(F32),ISNUMBER(F22)),(損益!D9-F81)*(F32)/F81,"不適用")</f>
        <v>不適用</v>
      </c>
      <c r="G82" s="63" t="str">
        <f aca="false">IF(AND(ISNUMBER(G81),G81&lt;&gt;0,ISNUMBER(G32),ISNUMBER(G22)),(損益!D9-G81)*(G32)/G81,"不適用")</f>
        <v>不適用</v>
      </c>
      <c r="H82" s="63" t="str">
        <f aca="false">IF(AND(ISNUMBER(H81),H81&lt;&gt;0,ISNUMBER(H32),ISNUMBER(H22)),(損益!D9-H81)*(H32)/H81,"不適用")</f>
        <v>不適用</v>
      </c>
      <c r="J82" s="11" t="s">
        <v>1084</v>
      </c>
    </row>
    <row r="83" customFormat="false" ht="15" hidden="true" customHeight="false" outlineLevel="1" collapsed="false">
      <c r="A83" s="3" t="s">
        <v>1085</v>
      </c>
      <c r="B83" s="11" t="s">
        <v>59</v>
      </c>
      <c r="C83" s="63" t="str">
        <f aca="false">IF(AND(ISNUMBER(C81),C81&lt;&gt;0,ISNUMBER(C32),ISNUMBER(C22)),(C22/損益!C9-(C32)/C81)*損益!C9,"不適用")</f>
        <v>不適用</v>
      </c>
      <c r="D83" s="63" t="str">
        <f aca="false">IF(AND(ISNUMBER(D81),D81&lt;&gt;0,ISNUMBER(D32),ISNUMBER(D22)),(D22/損益!C9-(D32)/D81)*損益!C9,"不適用")</f>
        <v>不適用</v>
      </c>
      <c r="E83" s="63" t="str">
        <f aca="false">IF(AND(ISNUMBER(E81),E81&lt;&gt;0,ISNUMBER(E32),ISNUMBER(E22)),(E22/損益!D9-(E32)/E81)*損益!D9,"不適用")</f>
        <v>不適用</v>
      </c>
      <c r="F83" s="63" t="str">
        <f aca="false">IF(AND(ISNUMBER(F81),F81&lt;&gt;0,ISNUMBER(F32),ISNUMBER(F22)),(F22/損益!D9-(F32)/F81)*損益!D9,"不適用")</f>
        <v>不適用</v>
      </c>
      <c r="G83" s="63" t="str">
        <f aca="false">IF(AND(ISNUMBER(G81),G81&lt;&gt;0,ISNUMBER(G32),ISNUMBER(G22)),(G22/損益!D9-(G32)/G81)*損益!D9,"不適用")</f>
        <v>不適用</v>
      </c>
      <c r="H83" s="63" t="str">
        <f aca="false">IF(AND(ISNUMBER(H81),H81&lt;&gt;0,ISNUMBER(H32),ISNUMBER(H22)),(H22/損益!D9-(H32)/H81)*損益!D9,"不適用")</f>
        <v>不適用</v>
      </c>
      <c r="J83" s="11" t="s">
        <v>1086</v>
      </c>
    </row>
    <row r="84" customFormat="false" ht="15" hidden="true" customHeight="false" outlineLevel="1" collapsed="false">
      <c r="A84" s="3" t="s">
        <v>1087</v>
      </c>
      <c r="C84" s="43" t="str">
        <f aca="false">IF(ISNUMBER(C41),IF(ABS(C41)&gt;輸入與假設!$C$367,IF(ISNUMBER(C82),IF(ABS(C83)&gt;ABS(C82),"營收 vs 共識 "&amp;IF(C41&lt;0,"−","+")&amp;TEXT(ABS(C41)*100,"#,##0.0")&amp;"%"&amp;"：拆法（分配 "&amp;IF(C83&lt;0,"−","+")&amp;IF(ABS(C83)&lt;0,"−","")&amp;"$"&amp;TEXT(ABS(ABS(C83)),"#,##0.0")&amp;"m"&amp;"（Q3 2026 占 2H26 "&amp;TEXT((C22/損益!C9)*100,"#,##0.0")&amp;"%"&amp;"，共識合計 "&amp;TEXT(((C32)/C81)*100,"#,##0.0")&amp;"%"&amp;"）；水準 "&amp;IF(C82&lt;0,"−","+")&amp;IF(ABS(C82)&lt;0,"−","")&amp;"$"&amp;TEXT(ABS(ABS(C82)),"#,##0.0")&amp;"m"&amp;"）","營收 vs 共識 "&amp;IF(C41&lt;0,"−","+")&amp;TEXT(ABS(C41)*100,"#,##0.0")&amp;"%"&amp;"：觀點（水準 "&amp;IF(C82&lt;0,"−","+")&amp;IF(ABS(C82)&lt;0,"−","")&amp;"$"&amp;TEXT(ABS(ABS(C82)),"#,##0.0")&amp;"m"&amp;"（2H26 模型 "&amp;IF(損益!C9&lt;0,"−","")&amp;"$"&amp;TEXT(ABS(損益!C9),"#,##0.0")&amp;"m"&amp;"，共識合計 "&amp;IF(C81&lt;0,"−","")&amp;"$"&amp;TEXT(ABS(C81),"#,##0.0")&amp;"m"&amp;"）；分配 "&amp;IF(C83&lt;0,"−","+")&amp;IF(ABS(C83)&lt;0,"−","")&amp;"$"&amp;TEXT(ABS(ABS(C83)),"#,##0.0")&amp;"m"&amp;"；"&amp;"雲端營收＝在役 MW × 每 MW 年收入（Tokenomics 正向推導），期初可計費 MW 以 Q2 經常性雲端營收年化校準；託管營收照已簽約合約排程；共識未揭露 MW 與單價假設"&amp;"）"),"營收 vs 共識 "&amp;IF(C41&lt;0,"−","+")&amp;TEXT(ABS(C41)*100,"#,##0.0")&amp;"%"&amp;"：觀點（"&amp;"雲端營收＝在役 MW × 每 MW 年收入（Tokenomics 正向推導），期初可計費 MW 以 Q2 經常性雲端營收年化校準；託管營收照已簽約合約排程；共識未揭露 MW 與單價假設"&amp;"）"),""),"")</f>
        <v/>
      </c>
      <c r="D84" s="43" t="str">
        <f aca="false">IF(ISNUMBER(D41),IF(ABS(D41)&gt;輸入與假設!$C$367,IF(ISNUMBER(D82),IF(ABS(D83)&gt;ABS(D82),"營收 vs 共識 "&amp;IF(D41&lt;0,"−","+")&amp;TEXT(ABS(D41)*100,"#,##0.0")&amp;"%"&amp;"：拆法（分配 "&amp;IF(D83&lt;0,"−","+")&amp;IF(ABS(D83)&lt;0,"−","")&amp;"$"&amp;TEXT(ABS(ABS(D83)),"#,##0.0")&amp;"m"&amp;"（Q4 2026 占 2H26 "&amp;TEXT((D22/損益!C9)*100,"#,##0.0")&amp;"%"&amp;"，共識合計 "&amp;TEXT(((D32)/D81)*100,"#,##0.0")&amp;"%"&amp;"）；水準 "&amp;IF(D82&lt;0,"−","+")&amp;IF(ABS(D82)&lt;0,"−","")&amp;"$"&amp;TEXT(ABS(ABS(D82)),"#,##0.0")&amp;"m"&amp;"）","營收 vs 共識 "&amp;IF(D41&lt;0,"−","+")&amp;TEXT(ABS(D41)*100,"#,##0.0")&amp;"%"&amp;"：觀點（水準 "&amp;IF(D82&lt;0,"−","+")&amp;IF(ABS(D82)&lt;0,"−","")&amp;"$"&amp;TEXT(ABS(ABS(D82)),"#,##0.0")&amp;"m"&amp;"（2H26 模型 "&amp;IF(損益!C9&lt;0,"−","")&amp;"$"&amp;TEXT(ABS(損益!C9),"#,##0.0")&amp;"m"&amp;"，共識合計 "&amp;IF(D81&lt;0,"−","")&amp;"$"&amp;TEXT(ABS(D81),"#,##0.0")&amp;"m"&amp;"）；分配 "&amp;IF(D83&lt;0,"−","+")&amp;IF(ABS(D83)&lt;0,"−","")&amp;"$"&amp;TEXT(ABS(ABS(D83)),"#,##0.0")&amp;"m"&amp;"；"&amp;"雲端營收＝在役 MW × 每 MW 年收入（Tokenomics 正向推導），期初可計費 MW 以 Q2 經常性雲端營收年化校準；託管營收照已簽約合約排程；共識未揭露 MW 與單價假設"&amp;"）"),"營收 vs 共識 "&amp;IF(D41&lt;0,"−","+")&amp;TEXT(ABS(D41)*100,"#,##0.0")&amp;"%"&amp;"：觀點（"&amp;"雲端營收＝在役 MW × 每 MW 年收入（Tokenomics 正向推導），期初可計費 MW 以 Q2 經常性雲端營收年化校準；託管營收照已簽約合約排程；共識未揭露 MW 與單價假設"&amp;"）"),""),"")</f>
        <v/>
      </c>
      <c r="E84" s="43" t="str">
        <f aca="false">IF(ISNUMBER(E41),IF(ABS(E41)&gt;輸入與假設!$C$367,IF(ISNUMBER(E82),IF(ABS(E83)&gt;ABS(E82),"營收 vs 共識 "&amp;IF(E41&lt;0,"−","+")&amp;TEXT(ABS(E41)*100,"#,##0.0")&amp;"%"&amp;"：拆法（分配 "&amp;IF(E83&lt;0,"−","+")&amp;IF(ABS(E83)&lt;0,"−","")&amp;"$"&amp;TEXT(ABS(ABS(E83)),"#,##0.0")&amp;"m"&amp;"（Q1 2027 占 FY27 "&amp;TEXT((E22/損益!D9)*100,"#,##0.0")&amp;"%"&amp;"，共識合計 "&amp;TEXT(((E32)/E81)*100,"#,##0.0")&amp;"%"&amp;"）；水準 "&amp;IF(E82&lt;0,"−","+")&amp;IF(ABS(E82)&lt;0,"−","")&amp;"$"&amp;TEXT(ABS(ABS(E82)),"#,##0.0")&amp;"m"&amp;"）","營收 vs 共識 "&amp;IF(E41&lt;0,"−","+")&amp;TEXT(ABS(E41)*100,"#,##0.0")&amp;"%"&amp;"：觀點（水準 "&amp;IF(E82&lt;0,"−","+")&amp;IF(ABS(E82)&lt;0,"−","")&amp;"$"&amp;TEXT(ABS(ABS(E82)),"#,##0.0")&amp;"m"&amp;"（FY27 模型 "&amp;IF(損益!D9&lt;0,"−","")&amp;"$"&amp;TEXT(ABS(損益!D9),"#,##0.0")&amp;"m"&amp;"，共識合計 "&amp;IF(E81&lt;0,"−","")&amp;"$"&amp;TEXT(ABS(E81),"#,##0.0")&amp;"m"&amp;"）；分配 "&amp;IF(E83&lt;0,"−","+")&amp;IF(ABS(E83)&lt;0,"−","")&amp;"$"&amp;TEXT(ABS(ABS(E83)),"#,##0.0")&amp;"m"&amp;"；"&amp;"雲端營收＝在役 MW × 每 MW 年收入（Tokenomics 正向推導），期初可計費 MW 以 Q2 經常性雲端營收年化校準；託管營收照已簽約合約排程；共識未揭露 MW 與單價假設"&amp;"）"),"營收 vs 共識 "&amp;IF(E41&lt;0,"−","+")&amp;TEXT(ABS(E41)*100,"#,##0.0")&amp;"%"&amp;"：觀點（"&amp;"雲端營收＝在役 MW × 每 MW 年收入（Tokenomics 正向推導），期初可計費 MW 以 Q2 經常性雲端營收年化校準；託管營收照已簽約合約排程；共識未揭露 MW 與單價假設"&amp;"）"),""),"")</f>
        <v/>
      </c>
      <c r="F84" s="43" t="str">
        <f aca="false">IF(ISNUMBER(F41),IF(ABS(F41)&gt;輸入與假設!$C$367,IF(ISNUMBER(F82),IF(ABS(F83)&gt;ABS(F82),"營收 vs 共識 "&amp;IF(F41&lt;0,"−","+")&amp;TEXT(ABS(F41)*100,"#,##0.0")&amp;"%"&amp;"：拆法（分配 "&amp;IF(F83&lt;0,"−","+")&amp;IF(ABS(F83)&lt;0,"−","")&amp;"$"&amp;TEXT(ABS(ABS(F83)),"#,##0.0")&amp;"m"&amp;"（Q2 2027 占 FY27 "&amp;TEXT((F22/損益!D9)*100,"#,##0.0")&amp;"%"&amp;"，共識合計 "&amp;TEXT(((F32)/F81)*100,"#,##0.0")&amp;"%"&amp;"）；水準 "&amp;IF(F82&lt;0,"−","+")&amp;IF(ABS(F82)&lt;0,"−","")&amp;"$"&amp;TEXT(ABS(ABS(F82)),"#,##0.0")&amp;"m"&amp;"）","營收 vs 共識 "&amp;IF(F41&lt;0,"−","+")&amp;TEXT(ABS(F41)*100,"#,##0.0")&amp;"%"&amp;"：觀點（水準 "&amp;IF(F82&lt;0,"−","+")&amp;IF(ABS(F82)&lt;0,"−","")&amp;"$"&amp;TEXT(ABS(ABS(F82)),"#,##0.0")&amp;"m"&amp;"（FY27 模型 "&amp;IF(損益!D9&lt;0,"−","")&amp;"$"&amp;TEXT(ABS(損益!D9),"#,##0.0")&amp;"m"&amp;"，共識合計 "&amp;IF(F81&lt;0,"−","")&amp;"$"&amp;TEXT(ABS(F81),"#,##0.0")&amp;"m"&amp;"）；分配 "&amp;IF(F83&lt;0,"−","+")&amp;IF(ABS(F83)&lt;0,"−","")&amp;"$"&amp;TEXT(ABS(ABS(F83)),"#,##0.0")&amp;"m"&amp;"；"&amp;"雲端營收＝在役 MW × 每 MW 年收入（Tokenomics 正向推導），期初可計費 MW 以 Q2 經常性雲端營收年化校準；託管營收照已簽約合約排程；共識未揭露 MW 與單價假設"&amp;"）"),"營收 vs 共識 "&amp;IF(F41&lt;0,"−","+")&amp;TEXT(ABS(F41)*100,"#,##0.0")&amp;"%"&amp;"：觀點（"&amp;"雲端營收＝在役 MW × 每 MW 年收入（Tokenomics 正向推導），期初可計費 MW 以 Q2 經常性雲端營收年化校準；託管營收照已簽約合約排程；共識未揭露 MW 與單價假設"&amp;"）"),""),"")</f>
        <v/>
      </c>
      <c r="G84" s="43" t="str">
        <f aca="false">IF(ISNUMBER(G41),IF(ABS(G41)&gt;輸入與假設!$C$367,IF(ISNUMBER(G82),IF(ABS(G83)&gt;ABS(G82),"營收 vs 共識 "&amp;IF(G41&lt;0,"−","+")&amp;TEXT(ABS(G41)*100,"#,##0.0")&amp;"%"&amp;"：拆法（分配 "&amp;IF(G83&lt;0,"−","+")&amp;IF(ABS(G83)&lt;0,"−","")&amp;"$"&amp;TEXT(ABS(ABS(G83)),"#,##0.0")&amp;"m"&amp;"（Q3 2027 占 FY27 "&amp;TEXT((G22/損益!D9)*100,"#,##0.0")&amp;"%"&amp;"，共識合計 "&amp;TEXT(((G32)/G81)*100,"#,##0.0")&amp;"%"&amp;"）；水準 "&amp;IF(G82&lt;0,"−","+")&amp;IF(ABS(G82)&lt;0,"−","")&amp;"$"&amp;TEXT(ABS(ABS(G82)),"#,##0.0")&amp;"m"&amp;"）","營收 vs 共識 "&amp;IF(G41&lt;0,"−","+")&amp;TEXT(ABS(G41)*100,"#,##0.0")&amp;"%"&amp;"：觀點（水準 "&amp;IF(G82&lt;0,"−","+")&amp;IF(ABS(G82)&lt;0,"−","")&amp;"$"&amp;TEXT(ABS(ABS(G82)),"#,##0.0")&amp;"m"&amp;"（FY27 模型 "&amp;IF(損益!D9&lt;0,"−","")&amp;"$"&amp;TEXT(ABS(損益!D9),"#,##0.0")&amp;"m"&amp;"，共識合計 "&amp;IF(G81&lt;0,"−","")&amp;"$"&amp;TEXT(ABS(G81),"#,##0.0")&amp;"m"&amp;"）；分配 "&amp;IF(G83&lt;0,"−","+")&amp;IF(ABS(G83)&lt;0,"−","")&amp;"$"&amp;TEXT(ABS(ABS(G83)),"#,##0.0")&amp;"m"&amp;"；"&amp;"雲端營收＝在役 MW × 每 MW 年收入（Tokenomics 正向推導），期初可計費 MW 以 Q2 經常性雲端營收年化校準；託管營收照已簽約合約排程；共識未揭露 MW 與單價假設"&amp;"）"),"營收 vs 共識 "&amp;IF(G41&lt;0,"−","+")&amp;TEXT(ABS(G41)*100,"#,##0.0")&amp;"%"&amp;"：觀點（"&amp;"雲端營收＝在役 MW × 每 MW 年收入（Tokenomics 正向推導），期初可計費 MW 以 Q2 經常性雲端營收年化校準；託管營收照已簽約合約排程；共識未揭露 MW 與單價假設"&amp;"）"),""),"")</f>
        <v/>
      </c>
      <c r="H84" s="43" t="str">
        <f aca="false">IF(ISNUMBER(H41),IF(ABS(H41)&gt;輸入與假設!$C$367,IF(ISNUMBER(H82),IF(ABS(H83)&gt;ABS(H82),"營收 vs 共識 "&amp;IF(H41&lt;0,"−","+")&amp;TEXT(ABS(H41)*100,"#,##0.0")&amp;"%"&amp;"：拆法（分配 "&amp;IF(H83&lt;0,"−","+")&amp;IF(ABS(H83)&lt;0,"−","")&amp;"$"&amp;TEXT(ABS(ABS(H83)),"#,##0.0")&amp;"m"&amp;"（Q4 2027 占 FY27 "&amp;TEXT((H22/損益!D9)*100,"#,##0.0")&amp;"%"&amp;"，共識合計 "&amp;TEXT(((H32)/H81)*100,"#,##0.0")&amp;"%"&amp;"）；水準 "&amp;IF(H82&lt;0,"−","+")&amp;IF(ABS(H82)&lt;0,"−","")&amp;"$"&amp;TEXT(ABS(ABS(H82)),"#,##0.0")&amp;"m"&amp;"）","營收 vs 共識 "&amp;IF(H41&lt;0,"−","+")&amp;TEXT(ABS(H41)*100,"#,##0.0")&amp;"%"&amp;"：觀點（水準 "&amp;IF(H82&lt;0,"−","+")&amp;IF(ABS(H82)&lt;0,"−","")&amp;"$"&amp;TEXT(ABS(ABS(H82)),"#,##0.0")&amp;"m"&amp;"（FY27 模型 "&amp;IF(損益!D9&lt;0,"−","")&amp;"$"&amp;TEXT(ABS(損益!D9),"#,##0.0")&amp;"m"&amp;"，共識合計 "&amp;IF(H81&lt;0,"−","")&amp;"$"&amp;TEXT(ABS(H81),"#,##0.0")&amp;"m"&amp;"）；分配 "&amp;IF(H83&lt;0,"−","+")&amp;IF(ABS(H83)&lt;0,"−","")&amp;"$"&amp;TEXT(ABS(ABS(H83)),"#,##0.0")&amp;"m"&amp;"；"&amp;"雲端營收＝在役 MW × 每 MW 年收入（Tokenomics 正向推導），期初可計費 MW 以 Q2 經常性雲端營收年化校準；託管營收照已簽約合約排程；共識未揭露 MW 與單價假設"&amp;"）"),"營收 vs 共識 "&amp;IF(H41&lt;0,"−","+")&amp;TEXT(ABS(H41)*100,"#,##0.0")&amp;"%"&amp;"：觀點（"&amp;"雲端營收＝在役 MW × 每 MW 年收入（Tokenomics 正向推導），期初可計費 MW 以 Q2 經常性雲端營收年化校準；託管營收照已簽約合約排程；共識未揭露 MW 與單價假設"&amp;"）"),""),"")</f>
        <v/>
      </c>
    </row>
    <row r="85" customFormat="false" ht="15" hidden="true" customHeight="false" outlineLevel="1" collapsed="false">
      <c r="A85" s="3" t="s">
        <v>1088</v>
      </c>
      <c r="C85" s="43" t="str">
        <f aca="false">IF(ISNUMBER(C41),IF(ABS(C41)&gt;輸入與假設!$C$367,IF(ISNUMBER(C82),IF(ABS(C83)&gt;ABS(C82),"拆法","觀點"),"觀點"),""),"")</f>
        <v/>
      </c>
      <c r="D85" s="43" t="str">
        <f aca="false">IF(ISNUMBER(D41),IF(ABS(D41)&gt;輸入與假設!$C$367,IF(ISNUMBER(D82),IF(ABS(D83)&gt;ABS(D82),"拆法","觀點"),"觀點"),""),"")</f>
        <v/>
      </c>
      <c r="E85" s="43" t="str">
        <f aca="false">IF(ISNUMBER(E41),IF(ABS(E41)&gt;輸入與假設!$C$367,IF(ISNUMBER(E82),IF(ABS(E83)&gt;ABS(E82),"拆法","觀點"),"觀點"),""),"")</f>
        <v/>
      </c>
      <c r="F85" s="43" t="str">
        <f aca="false">IF(ISNUMBER(F41),IF(ABS(F41)&gt;輸入與假設!$C$367,IF(ISNUMBER(F82),IF(ABS(F83)&gt;ABS(F82),"拆法","觀點"),"觀點"),""),"")</f>
        <v/>
      </c>
      <c r="G85" s="43" t="str">
        <f aca="false">IF(ISNUMBER(G41),IF(ABS(G41)&gt;輸入與假設!$C$367,IF(ISNUMBER(G82),IF(ABS(G83)&gt;ABS(G82),"拆法","觀點"),"觀點"),""),"")</f>
        <v/>
      </c>
      <c r="H85" s="43" t="str">
        <f aca="false">IF(ISNUMBER(H41),IF(ABS(H41)&gt;輸入與假設!$C$367,IF(ISNUMBER(H82),IF(ABS(H83)&gt;ABS(H82),"拆法","觀點"),"觀點"),""),"")</f>
        <v/>
      </c>
    </row>
    <row r="86" customFormat="false" ht="15" hidden="true" customHeight="false" outlineLevel="1" collapsed="false">
      <c r="A86" s="3" t="s">
        <v>1089</v>
      </c>
      <c r="C86" s="43"/>
      <c r="D86" s="43"/>
      <c r="E86" s="43"/>
      <c r="F86" s="43"/>
      <c r="G86" s="43"/>
      <c r="H86" s="43"/>
    </row>
    <row r="87" customFormat="false" ht="15" hidden="true" customHeight="false" outlineLevel="1" collapsed="false">
      <c r="A87" s="3" t="s">
        <v>1090</v>
      </c>
      <c r="C87" s="43"/>
      <c r="D87" s="43"/>
      <c r="E87" s="43"/>
      <c r="F87" s="43"/>
      <c r="G87" s="43"/>
      <c r="H87" s="43"/>
    </row>
    <row r="88" customFormat="false" ht="15" hidden="true" customHeight="false" outlineLevel="1" collapsed="false">
      <c r="A88" s="3" t="s">
        <v>1091</v>
      </c>
      <c r="C88" s="43" t="str">
        <f aca="false">IF(ISNUMBER(C43),IF(ABS(C43)&gt;輸入與假設!$C$367,"營收 實際 vs 模型 "&amp;IF(C43&lt;0,"−","+")&amp;TEXT(ABS(C43)*100,"#,##0.0")&amp;"%"&amp;"：觀點（"&amp;"雲端營收＝在役 MW × 每 MW 年收入（Tokenomics 正向推導），期初可計費 MW 以 Q2 經常性雲端營收年化校準；託管營收照已簽約合約排程；共識未揭露 MW 與單價假設"&amp;"）",""),"")</f>
        <v/>
      </c>
      <c r="D88" s="43" t="str">
        <f aca="false">IF(ISNUMBER(D43),IF(ABS(D43)&gt;輸入與假設!$C$367,"營收 實際 vs 模型 "&amp;IF(D43&lt;0,"−","+")&amp;TEXT(ABS(D43)*100,"#,##0.0")&amp;"%"&amp;"：觀點（"&amp;"雲端營收＝在役 MW × 每 MW 年收入（Tokenomics 正向推導），期初可計費 MW 以 Q2 經常性雲端營收年化校準；託管營收照已簽約合約排程；共識未揭露 MW 與單價假設"&amp;"）",""),"")</f>
        <v/>
      </c>
      <c r="E88" s="43" t="str">
        <f aca="false">IF(ISNUMBER(E43),IF(ABS(E43)&gt;輸入與假設!$C$367,"營收 實際 vs 模型 "&amp;IF(E43&lt;0,"−","+")&amp;TEXT(ABS(E43)*100,"#,##0.0")&amp;"%"&amp;"：觀點（"&amp;"雲端營收＝在役 MW × 每 MW 年收入（Tokenomics 正向推導），期初可計費 MW 以 Q2 經常性雲端營收年化校準；託管營收照已簽約合約排程；共識未揭露 MW 與單價假設"&amp;"）",""),"")</f>
        <v/>
      </c>
      <c r="F88" s="43" t="str">
        <f aca="false">IF(ISNUMBER(F43),IF(ABS(F43)&gt;輸入與假設!$C$367,"營收 實際 vs 模型 "&amp;IF(F43&lt;0,"−","+")&amp;TEXT(ABS(F43)*100,"#,##0.0")&amp;"%"&amp;"：觀點（"&amp;"雲端營收＝在役 MW × 每 MW 年收入（Tokenomics 正向推導），期初可計費 MW 以 Q2 經常性雲端營收年化校準；託管營收照已簽約合約排程；共識未揭露 MW 與單價假設"&amp;"）",""),"")</f>
        <v/>
      </c>
      <c r="G88" s="43" t="str">
        <f aca="false">IF(ISNUMBER(G43),IF(ABS(G43)&gt;輸入與假設!$C$367,"營收 實際 vs 模型 "&amp;IF(G43&lt;0,"−","+")&amp;TEXT(ABS(G43)*100,"#,##0.0")&amp;"%"&amp;"：觀點（"&amp;"雲端營收＝在役 MW × 每 MW 年收入（Tokenomics 正向推導），期初可計費 MW 以 Q2 經常性雲端營收年化校準；託管營收照已簽約合約排程；共識未揭露 MW 與單價假設"&amp;"）",""),"")</f>
        <v/>
      </c>
      <c r="H88" s="43" t="str">
        <f aca="false">IF(ISNUMBER(H43),IF(ABS(H43)&gt;輸入與假設!$C$367,"營收 實際 vs 模型 "&amp;IF(H43&lt;0,"−","+")&amp;TEXT(ABS(H43)*100,"#,##0.0")&amp;"%"&amp;"：觀點（"&amp;"雲端營收＝在役 MW × 每 MW 年收入（Tokenomics 正向推導），期初可計費 MW 以 Q2 經常性雲端營收年化校準；託管營收照已簽約合約排程；共識未揭露 MW 與單價假設"&amp;"）",""),"")</f>
        <v/>
      </c>
    </row>
    <row r="89" customFormat="false" ht="15" hidden="true" customHeight="false" outlineLevel="1" collapsed="false">
      <c r="A89" s="3" t="s">
        <v>1092</v>
      </c>
      <c r="C89" s="43" t="str">
        <f aca="false">IF(ISNUMBER(C43),IF(ABS(C43)&gt;輸入與假設!$C$367,"觀點",""),"")</f>
        <v/>
      </c>
      <c r="D89" s="43" t="str">
        <f aca="false">IF(ISNUMBER(D43),IF(ABS(D43)&gt;輸入與假設!$C$367,"觀點",""),"")</f>
        <v/>
      </c>
      <c r="E89" s="43" t="str">
        <f aca="false">IF(ISNUMBER(E43),IF(ABS(E43)&gt;輸入與假設!$C$367,"觀點",""),"")</f>
        <v/>
      </c>
      <c r="F89" s="43" t="str">
        <f aca="false">IF(ISNUMBER(F43),IF(ABS(F43)&gt;輸入與假設!$C$367,"觀點",""),"")</f>
        <v/>
      </c>
      <c r="G89" s="43" t="str">
        <f aca="false">IF(ISNUMBER(G43),IF(ABS(G43)&gt;輸入與假設!$C$367,"觀點",""),"")</f>
        <v/>
      </c>
      <c r="H89" s="43" t="str">
        <f aca="false">IF(ISNUMBER(H43),IF(ABS(H43)&gt;輸入與假設!$C$367,"觀點",""),"")</f>
        <v/>
      </c>
    </row>
    <row r="90" customFormat="false" ht="15" hidden="true" customHeight="false" outlineLevel="1" collapsed="false">
      <c r="A90" s="3" t="s">
        <v>1093</v>
      </c>
      <c r="B90" s="11" t="s">
        <v>59</v>
      </c>
      <c r="C90" s="63" t="str">
        <f aca="false">IF(COUNT(C33,D33)=2,C33+D33,"不適用")</f>
        <v>不適用</v>
      </c>
      <c r="D90" s="63" t="str">
        <f aca="false">IF(COUNT(C33,D33)=2,C33+D33,"不適用")</f>
        <v>不適用</v>
      </c>
      <c r="E90" s="63" t="str">
        <f aca="false">IF(COUNT(E33,F33,G33,H33)=4,E33+F33+G33+H33,"不適用")</f>
        <v>不適用</v>
      </c>
      <c r="F90" s="63" t="str">
        <f aca="false">IF(COUNT(E33,F33,G33,H33)=4,E33+F33+G33+H33,"不適用")</f>
        <v>不適用</v>
      </c>
      <c r="G90" s="63" t="str">
        <f aca="false">IF(COUNT(E33,F33,G33,H33)=4,E33+F33+G33+H33,"不適用")</f>
        <v>不適用</v>
      </c>
      <c r="H90" s="63" t="str">
        <f aca="false">IF(COUNT(E33,F33,G33,H33)=4,E33+F33+G33+H33,"不適用")</f>
        <v>不適用</v>
      </c>
      <c r="J90" s="6" t="s">
        <v>1082</v>
      </c>
    </row>
    <row r="91" customFormat="false" ht="15" hidden="true" customHeight="false" outlineLevel="1" collapsed="false">
      <c r="A91" s="3" t="s">
        <v>1094</v>
      </c>
      <c r="B91" s="11" t="s">
        <v>59</v>
      </c>
      <c r="C91" s="63" t="str">
        <f aca="false">IF(AND(ISNUMBER(C90),C90&lt;&gt;0,ISNUMBER(C33),ISNUMBER(C28)),(損益!C22-C90)*(C33)/C90,"不適用")</f>
        <v>不適用</v>
      </c>
      <c r="D91" s="63" t="str">
        <f aca="false">IF(AND(ISNUMBER(D90),D90&lt;&gt;0,ISNUMBER(D33),ISNUMBER(D28)),(損益!C22-D90)*(D33)/D90,"不適用")</f>
        <v>不適用</v>
      </c>
      <c r="E91" s="63" t="str">
        <f aca="false">IF(AND(ISNUMBER(E90),E90&lt;&gt;0,ISNUMBER(E33),ISNUMBER(E28)),(損益!D22-E90)*(E33)/E90,"不適用")</f>
        <v>不適用</v>
      </c>
      <c r="F91" s="63" t="str">
        <f aca="false">IF(AND(ISNUMBER(F90),F90&lt;&gt;0,ISNUMBER(F33),ISNUMBER(F28)),(損益!D22-F90)*(F33)/F90,"不適用")</f>
        <v>不適用</v>
      </c>
      <c r="G91" s="63" t="str">
        <f aca="false">IF(AND(ISNUMBER(G90),G90&lt;&gt;0,ISNUMBER(G33),ISNUMBER(G28)),(損益!D22-G90)*(G33)/G90,"不適用")</f>
        <v>不適用</v>
      </c>
      <c r="H91" s="63" t="str">
        <f aca="false">IF(AND(ISNUMBER(H90),H90&lt;&gt;0,ISNUMBER(H33),ISNUMBER(H28)),(損益!D22-H90)*(H33)/H90,"不適用")</f>
        <v>不適用</v>
      </c>
      <c r="J91" s="11" t="s">
        <v>1084</v>
      </c>
    </row>
    <row r="92" customFormat="false" ht="15" hidden="true" customHeight="false" outlineLevel="1" collapsed="false">
      <c r="A92" s="3" t="s">
        <v>1095</v>
      </c>
      <c r="B92" s="11" t="s">
        <v>59</v>
      </c>
      <c r="C92" s="63" t="str">
        <f aca="false">IF(AND(ISNUMBER(C90),C90&lt;&gt;0,ISNUMBER(C33),ISNUMBER(C28)),(C28/損益!C22-(C33)/C90)*損益!C22,"不適用")</f>
        <v>不適用</v>
      </c>
      <c r="D92" s="63" t="str">
        <f aca="false">IF(AND(ISNUMBER(D90),D90&lt;&gt;0,ISNUMBER(D33),ISNUMBER(D28)),(D28/損益!C22-(D33)/D90)*損益!C22,"不適用")</f>
        <v>不適用</v>
      </c>
      <c r="E92" s="63" t="str">
        <f aca="false">IF(AND(ISNUMBER(E90),E90&lt;&gt;0,ISNUMBER(E33),ISNUMBER(E28)),(E28/損益!D22-(E33)/E90)*損益!D22,"不適用")</f>
        <v>不適用</v>
      </c>
      <c r="F92" s="63" t="str">
        <f aca="false">IF(AND(ISNUMBER(F90),F90&lt;&gt;0,ISNUMBER(F33),ISNUMBER(F28)),(F28/損益!D22-(F33)/F90)*損益!D22,"不適用")</f>
        <v>不適用</v>
      </c>
      <c r="G92" s="63" t="str">
        <f aca="false">IF(AND(ISNUMBER(G90),G90&lt;&gt;0,ISNUMBER(G33),ISNUMBER(G28)),(G28/損益!D22-(G33)/G90)*損益!D22,"不適用")</f>
        <v>不適用</v>
      </c>
      <c r="H92" s="63" t="str">
        <f aca="false">IF(AND(ISNUMBER(H90),H90&lt;&gt;0,ISNUMBER(H33),ISNUMBER(H28)),(H28/損益!D22-(H33)/H90)*損益!D22,"不適用")</f>
        <v>不適用</v>
      </c>
      <c r="J92" s="11" t="s">
        <v>1086</v>
      </c>
    </row>
    <row r="93" customFormat="false" ht="15" hidden="true" customHeight="false" outlineLevel="1" collapsed="false">
      <c r="A93" s="3" t="s">
        <v>1096</v>
      </c>
      <c r="C93" s="43" t="str">
        <f aca="false">IF(ISNUMBER(C46),IF(IF(ISNUMBER(C51),ABS(C51)&gt;輸入與假設!$C$368,OR(AND(C33&lt;&gt;0,ABS(C46)&gt;輸入與假設!$C$367*ABS(C33)),AND(C33=0,C46&lt;&gt;0))),IF(ISNUMBER(C91),IF(ABS(C92)&gt;ABS(C91),"調整後 EBITDA vs 共識 "&amp;IF(C46&lt;0,"−","+")&amp;IF(ABS(C46)&lt;0,"−","")&amp;"$"&amp;TEXT(ABS(ABS(C46)),"#,##0.0")&amp;"m"&amp;IF(ISNUMBER(C51),"／"&amp;IF(C51&lt;0,"−","+")&amp;TEXT(ABS(C51)*100,"#,##0.0")&amp;"pt","")&amp;"：拆法（分配 "&amp;IF(C92&lt;0,"−","+")&amp;IF(ABS(C92)&lt;0,"−","")&amp;"$"&amp;TEXT(ABS(ABS(C92)),"#,##0.0")&amp;"m"&amp;"（Q3 2026 占 2H26 "&amp;TEXT((C28/損益!C22)*100,"#,##0.0")&amp;"%"&amp;"，共識合計 "&amp;TEXT(((C33)/C90)*100,"#,##0.0")&amp;"%"&amp;"）；水準 "&amp;IF(C91&lt;0,"−","+")&amp;IF(ABS(C91)&lt;0,"−","")&amp;"$"&amp;TEXT(ABS(ABS(C91)),"#,##0.0")&amp;"m"&amp;"）","調整後 EBITDA vs 共識 "&amp;IF(C46&lt;0,"−","+")&amp;IF(ABS(C46)&lt;0,"−","")&amp;"$"&amp;TEXT(ABS(ABS(C46)),"#,##0.0")&amp;"m"&amp;IF(ISNUMBER(C51),"／"&amp;IF(C51&lt;0,"−","+")&amp;TEXT(ABS(C51)*100,"#,##0.0")&amp;"pt","")&amp;"：觀點（水準 "&amp;IF(C91&lt;0,"−","+")&amp;IF(ABS(C91)&lt;0,"−","")&amp;"$"&amp;TEXT(ABS(ABS(C91)),"#,##0.0")&amp;"m"&amp;"（2H26 模型 "&amp;IF(損益!C22&lt;0,"−","")&amp;"$"&amp;TEXT(ABS(損益!C22),"#,##0.0")&amp;"m"&amp;"，共識合計 "&amp;IF(C90&lt;0,"−","")&amp;"$"&amp;TEXT(ABS(C90),"#,##0.0")&amp;"m"&amp;"）；分配 "&amp;IF(C92&lt;0,"−","+")&amp;IF(ABS(C92)&lt;0,"−","")&amp;"$"&amp;TEXT(ABS(ABS(C92)),"#,##0.0")&amp;"m"&amp;"；"&amp;"模型 EBITDA 率 "&amp;IF((C27)&lt;0,"−","")&amp;TEXT(ABS((C27))*100,"#,##0.0")&amp;"%"&amp;"（雲端起點以扣一次性後的經常性數字校準）"&amp;"）"),"調整後 EBITDA vs 共識 "&amp;IF(C46&lt;0,"−","+")&amp;IF(ABS(C46)&lt;0,"−","")&amp;"$"&amp;TEXT(ABS(ABS(C46)),"#,##0.0")&amp;"m"&amp;IF(ISNUMBER(C51),"／"&amp;IF(C51&lt;0,"−","+")&amp;TEXT(ABS(C51)*100,"#,##0.0")&amp;"pt","")&amp;"：觀點（"&amp;"模型 EBITDA 率 "&amp;IF((C27)&lt;0,"−","")&amp;TEXT(ABS((C27))*100,"#,##0.0")&amp;"%"&amp;"（雲端起點以扣一次性後的經常性數字校準）"&amp;"）"),""),"")</f>
        <v/>
      </c>
      <c r="D93" s="43" t="str">
        <f aca="false">IF(ISNUMBER(D46),IF(IF(ISNUMBER(D51),ABS(D51)&gt;輸入與假設!$C$368,OR(AND(D33&lt;&gt;0,ABS(D46)&gt;輸入與假設!$C$367*ABS(D33)),AND(D33=0,D46&lt;&gt;0))),IF(ISNUMBER(D91),IF(ABS(D92)&gt;ABS(D91),"調整後 EBITDA vs 共識 "&amp;IF(D46&lt;0,"−","+")&amp;IF(ABS(D46)&lt;0,"−","")&amp;"$"&amp;TEXT(ABS(ABS(D46)),"#,##0.0")&amp;"m"&amp;IF(ISNUMBER(D51),"／"&amp;IF(D51&lt;0,"−","+")&amp;TEXT(ABS(D51)*100,"#,##0.0")&amp;"pt","")&amp;"：拆法（分配 "&amp;IF(D92&lt;0,"−","+")&amp;IF(ABS(D92)&lt;0,"−","")&amp;"$"&amp;TEXT(ABS(ABS(D92)),"#,##0.0")&amp;"m"&amp;"（Q4 2026 占 2H26 "&amp;TEXT((D28/損益!C22)*100,"#,##0.0")&amp;"%"&amp;"，共識合計 "&amp;TEXT(((D33)/D90)*100,"#,##0.0")&amp;"%"&amp;"）；水準 "&amp;IF(D91&lt;0,"−","+")&amp;IF(ABS(D91)&lt;0,"−","")&amp;"$"&amp;TEXT(ABS(ABS(D91)),"#,##0.0")&amp;"m"&amp;"）","調整後 EBITDA vs 共識 "&amp;IF(D46&lt;0,"−","+")&amp;IF(ABS(D46)&lt;0,"−","")&amp;"$"&amp;TEXT(ABS(ABS(D46)),"#,##0.0")&amp;"m"&amp;IF(ISNUMBER(D51),"／"&amp;IF(D51&lt;0,"−","+")&amp;TEXT(ABS(D51)*100,"#,##0.0")&amp;"pt","")&amp;"：觀點（水準 "&amp;IF(D91&lt;0,"−","+")&amp;IF(ABS(D91)&lt;0,"−","")&amp;"$"&amp;TEXT(ABS(ABS(D91)),"#,##0.0")&amp;"m"&amp;"（2H26 模型 "&amp;IF(損益!C22&lt;0,"−","")&amp;"$"&amp;TEXT(ABS(損益!C22),"#,##0.0")&amp;"m"&amp;"，共識合計 "&amp;IF(D90&lt;0,"−","")&amp;"$"&amp;TEXT(ABS(D90),"#,##0.0")&amp;"m"&amp;"）；分配 "&amp;IF(D92&lt;0,"−","+")&amp;IF(ABS(D92)&lt;0,"−","")&amp;"$"&amp;TEXT(ABS(ABS(D92)),"#,##0.0")&amp;"m"&amp;"；"&amp;"模型 EBITDA 率 "&amp;IF((D27)&lt;0,"−","")&amp;TEXT(ABS((D27))*100,"#,##0.0")&amp;"%"&amp;"（雲端起點以扣一次性後的經常性數字校準）"&amp;"）"),"調整後 EBITDA vs 共識 "&amp;IF(D46&lt;0,"−","+")&amp;IF(ABS(D46)&lt;0,"−","")&amp;"$"&amp;TEXT(ABS(ABS(D46)),"#,##0.0")&amp;"m"&amp;IF(ISNUMBER(D51),"／"&amp;IF(D51&lt;0,"−","+")&amp;TEXT(ABS(D51)*100,"#,##0.0")&amp;"pt","")&amp;"：觀點（"&amp;"模型 EBITDA 率 "&amp;IF((D27)&lt;0,"−","")&amp;TEXT(ABS((D27))*100,"#,##0.0")&amp;"%"&amp;"（雲端起點以扣一次性後的經常性數字校準）"&amp;"）"),""),"")</f>
        <v/>
      </c>
      <c r="E93" s="43" t="str">
        <f aca="false">IF(ISNUMBER(E46),IF(IF(ISNUMBER(E51),ABS(E51)&gt;輸入與假設!$C$368,OR(AND(E33&lt;&gt;0,ABS(E46)&gt;輸入與假設!$C$367*ABS(E33)),AND(E33=0,E46&lt;&gt;0))),IF(ISNUMBER(E91),IF(ABS(E92)&gt;ABS(E91),"調整後 EBITDA vs 共識 "&amp;IF(E46&lt;0,"−","+")&amp;IF(ABS(E46)&lt;0,"−","")&amp;"$"&amp;TEXT(ABS(ABS(E46)),"#,##0.0")&amp;"m"&amp;IF(ISNUMBER(E51),"／"&amp;IF(E51&lt;0,"−","+")&amp;TEXT(ABS(E51)*100,"#,##0.0")&amp;"pt","")&amp;"：拆法（分配 "&amp;IF(E92&lt;0,"−","+")&amp;IF(ABS(E92)&lt;0,"−","")&amp;"$"&amp;TEXT(ABS(ABS(E92)),"#,##0.0")&amp;"m"&amp;"（Q1 2027 占 FY27 "&amp;TEXT((E28/損益!D22)*100,"#,##0.0")&amp;"%"&amp;"，共識合計 "&amp;TEXT(((E33)/E90)*100,"#,##0.0")&amp;"%"&amp;"）；水準 "&amp;IF(E91&lt;0,"−","+")&amp;IF(ABS(E91)&lt;0,"−","")&amp;"$"&amp;TEXT(ABS(ABS(E91)),"#,##0.0")&amp;"m"&amp;"）","調整後 EBITDA vs 共識 "&amp;IF(E46&lt;0,"−","+")&amp;IF(ABS(E46)&lt;0,"−","")&amp;"$"&amp;TEXT(ABS(ABS(E46)),"#,##0.0")&amp;"m"&amp;IF(ISNUMBER(E51),"／"&amp;IF(E51&lt;0,"−","+")&amp;TEXT(ABS(E51)*100,"#,##0.0")&amp;"pt","")&amp;"：觀點（水準 "&amp;IF(E91&lt;0,"−","+")&amp;IF(ABS(E91)&lt;0,"−","")&amp;"$"&amp;TEXT(ABS(ABS(E91)),"#,##0.0")&amp;"m"&amp;"（FY27 模型 "&amp;IF(損益!D22&lt;0,"−","")&amp;"$"&amp;TEXT(ABS(損益!D22),"#,##0.0")&amp;"m"&amp;"，共識合計 "&amp;IF(E90&lt;0,"−","")&amp;"$"&amp;TEXT(ABS(E90),"#,##0.0")&amp;"m"&amp;"）；分配 "&amp;IF(E92&lt;0,"−","+")&amp;IF(ABS(E92)&lt;0,"−","")&amp;"$"&amp;TEXT(ABS(ABS(E92)),"#,##0.0")&amp;"m"&amp;"；"&amp;"模型 EBITDA 率 "&amp;IF((E27)&lt;0,"−","")&amp;TEXT(ABS((E27))*100,"#,##0.0")&amp;"%"&amp;"（雲端起點以扣一次性後的經常性數字校準）"&amp;"）"),"調整後 EBITDA vs 共識 "&amp;IF(E46&lt;0,"−","+")&amp;IF(ABS(E46)&lt;0,"−","")&amp;"$"&amp;TEXT(ABS(ABS(E46)),"#,##0.0")&amp;"m"&amp;IF(ISNUMBER(E51),"／"&amp;IF(E51&lt;0,"−","+")&amp;TEXT(ABS(E51)*100,"#,##0.0")&amp;"pt","")&amp;"：觀點（"&amp;"模型 EBITDA 率 "&amp;IF((E27)&lt;0,"−","")&amp;TEXT(ABS((E27))*100,"#,##0.0")&amp;"%"&amp;"（雲端起點以扣一次性後的經常性數字校準）"&amp;"）"),""),"")</f>
        <v/>
      </c>
      <c r="F93" s="43" t="str">
        <f aca="false">IF(ISNUMBER(F46),IF(IF(ISNUMBER(F51),ABS(F51)&gt;輸入與假設!$C$368,OR(AND(F33&lt;&gt;0,ABS(F46)&gt;輸入與假設!$C$367*ABS(F33)),AND(F33=0,F46&lt;&gt;0))),IF(ISNUMBER(F91),IF(ABS(F92)&gt;ABS(F91),"調整後 EBITDA vs 共識 "&amp;IF(F46&lt;0,"−","+")&amp;IF(ABS(F46)&lt;0,"−","")&amp;"$"&amp;TEXT(ABS(ABS(F46)),"#,##0.0")&amp;"m"&amp;IF(ISNUMBER(F51),"／"&amp;IF(F51&lt;0,"−","+")&amp;TEXT(ABS(F51)*100,"#,##0.0")&amp;"pt","")&amp;"：拆法（分配 "&amp;IF(F92&lt;0,"−","+")&amp;IF(ABS(F92)&lt;0,"−","")&amp;"$"&amp;TEXT(ABS(ABS(F92)),"#,##0.0")&amp;"m"&amp;"（Q2 2027 占 FY27 "&amp;TEXT((F28/損益!D22)*100,"#,##0.0")&amp;"%"&amp;"，共識合計 "&amp;TEXT(((F33)/F90)*100,"#,##0.0")&amp;"%"&amp;"）；水準 "&amp;IF(F91&lt;0,"−","+")&amp;IF(ABS(F91)&lt;0,"−","")&amp;"$"&amp;TEXT(ABS(ABS(F91)),"#,##0.0")&amp;"m"&amp;"）","調整後 EBITDA vs 共識 "&amp;IF(F46&lt;0,"−","+")&amp;IF(ABS(F46)&lt;0,"−","")&amp;"$"&amp;TEXT(ABS(ABS(F46)),"#,##0.0")&amp;"m"&amp;IF(ISNUMBER(F51),"／"&amp;IF(F51&lt;0,"−","+")&amp;TEXT(ABS(F51)*100,"#,##0.0")&amp;"pt","")&amp;"：觀點（水準 "&amp;IF(F91&lt;0,"−","+")&amp;IF(ABS(F91)&lt;0,"−","")&amp;"$"&amp;TEXT(ABS(ABS(F91)),"#,##0.0")&amp;"m"&amp;"（FY27 模型 "&amp;IF(損益!D22&lt;0,"−","")&amp;"$"&amp;TEXT(ABS(損益!D22),"#,##0.0")&amp;"m"&amp;"，共識合計 "&amp;IF(F90&lt;0,"−","")&amp;"$"&amp;TEXT(ABS(F90),"#,##0.0")&amp;"m"&amp;"）；分配 "&amp;IF(F92&lt;0,"−","+")&amp;IF(ABS(F92)&lt;0,"−","")&amp;"$"&amp;TEXT(ABS(ABS(F92)),"#,##0.0")&amp;"m"&amp;"；"&amp;"模型 EBITDA 率 "&amp;IF((F27)&lt;0,"−","")&amp;TEXT(ABS((F27))*100,"#,##0.0")&amp;"%"&amp;"（雲端起點以扣一次性後的經常性數字校準）"&amp;"）"),"調整後 EBITDA vs 共識 "&amp;IF(F46&lt;0,"−","+")&amp;IF(ABS(F46)&lt;0,"−","")&amp;"$"&amp;TEXT(ABS(ABS(F46)),"#,##0.0")&amp;"m"&amp;IF(ISNUMBER(F51),"／"&amp;IF(F51&lt;0,"−","+")&amp;TEXT(ABS(F51)*100,"#,##0.0")&amp;"pt","")&amp;"：觀點（"&amp;"模型 EBITDA 率 "&amp;IF((F27)&lt;0,"−","")&amp;TEXT(ABS((F27))*100,"#,##0.0")&amp;"%"&amp;"（雲端起點以扣一次性後的經常性數字校準）"&amp;"）"),""),"")</f>
        <v/>
      </c>
      <c r="G93" s="43" t="str">
        <f aca="false">IF(ISNUMBER(G46),IF(IF(ISNUMBER(G51),ABS(G51)&gt;輸入與假設!$C$368,OR(AND(G33&lt;&gt;0,ABS(G46)&gt;輸入與假設!$C$367*ABS(G33)),AND(G33=0,G46&lt;&gt;0))),IF(ISNUMBER(G91),IF(ABS(G92)&gt;ABS(G91),"調整後 EBITDA vs 共識 "&amp;IF(G46&lt;0,"−","+")&amp;IF(ABS(G46)&lt;0,"−","")&amp;"$"&amp;TEXT(ABS(ABS(G46)),"#,##0.0")&amp;"m"&amp;IF(ISNUMBER(G51),"／"&amp;IF(G51&lt;0,"−","+")&amp;TEXT(ABS(G51)*100,"#,##0.0")&amp;"pt","")&amp;"：拆法（分配 "&amp;IF(G92&lt;0,"−","+")&amp;IF(ABS(G92)&lt;0,"−","")&amp;"$"&amp;TEXT(ABS(ABS(G92)),"#,##0.0")&amp;"m"&amp;"（Q3 2027 占 FY27 "&amp;TEXT((G28/損益!D22)*100,"#,##0.0")&amp;"%"&amp;"，共識合計 "&amp;TEXT(((G33)/G90)*100,"#,##0.0")&amp;"%"&amp;"）；水準 "&amp;IF(G91&lt;0,"−","+")&amp;IF(ABS(G91)&lt;0,"−","")&amp;"$"&amp;TEXT(ABS(ABS(G91)),"#,##0.0")&amp;"m"&amp;"）","調整後 EBITDA vs 共識 "&amp;IF(G46&lt;0,"−","+")&amp;IF(ABS(G46)&lt;0,"−","")&amp;"$"&amp;TEXT(ABS(ABS(G46)),"#,##0.0")&amp;"m"&amp;IF(ISNUMBER(G51),"／"&amp;IF(G51&lt;0,"−","+")&amp;TEXT(ABS(G51)*100,"#,##0.0")&amp;"pt","")&amp;"：觀點（水準 "&amp;IF(G91&lt;0,"−","+")&amp;IF(ABS(G91)&lt;0,"−","")&amp;"$"&amp;TEXT(ABS(ABS(G91)),"#,##0.0")&amp;"m"&amp;"（FY27 模型 "&amp;IF(損益!D22&lt;0,"−","")&amp;"$"&amp;TEXT(ABS(損益!D22),"#,##0.0")&amp;"m"&amp;"，共識合計 "&amp;IF(G90&lt;0,"−","")&amp;"$"&amp;TEXT(ABS(G90),"#,##0.0")&amp;"m"&amp;"）；分配 "&amp;IF(G92&lt;0,"−","+")&amp;IF(ABS(G92)&lt;0,"−","")&amp;"$"&amp;TEXT(ABS(ABS(G92)),"#,##0.0")&amp;"m"&amp;"；"&amp;"模型 EBITDA 率 "&amp;IF((G27)&lt;0,"−","")&amp;TEXT(ABS((G27))*100,"#,##0.0")&amp;"%"&amp;"（雲端起點以扣一次性後的經常性數字校準）"&amp;"）"),"調整後 EBITDA vs 共識 "&amp;IF(G46&lt;0,"−","+")&amp;IF(ABS(G46)&lt;0,"−","")&amp;"$"&amp;TEXT(ABS(ABS(G46)),"#,##0.0")&amp;"m"&amp;IF(ISNUMBER(G51),"／"&amp;IF(G51&lt;0,"−","+")&amp;TEXT(ABS(G51)*100,"#,##0.0")&amp;"pt","")&amp;"：觀點（"&amp;"模型 EBITDA 率 "&amp;IF((G27)&lt;0,"−","")&amp;TEXT(ABS((G27))*100,"#,##0.0")&amp;"%"&amp;"（雲端起點以扣一次性後的經常性數字校準）"&amp;"）"),""),"")</f>
        <v/>
      </c>
      <c r="H93" s="43" t="str">
        <f aca="false">IF(ISNUMBER(H46),IF(IF(ISNUMBER(H51),ABS(H51)&gt;輸入與假設!$C$368,OR(AND(H33&lt;&gt;0,ABS(H46)&gt;輸入與假設!$C$367*ABS(H33)),AND(H33=0,H46&lt;&gt;0))),IF(ISNUMBER(H91),IF(ABS(H92)&gt;ABS(H91),"調整後 EBITDA vs 共識 "&amp;IF(H46&lt;0,"−","+")&amp;IF(ABS(H46)&lt;0,"−","")&amp;"$"&amp;TEXT(ABS(ABS(H46)),"#,##0.0")&amp;"m"&amp;IF(ISNUMBER(H51),"／"&amp;IF(H51&lt;0,"−","+")&amp;TEXT(ABS(H51)*100,"#,##0.0")&amp;"pt","")&amp;"：拆法（分配 "&amp;IF(H92&lt;0,"−","+")&amp;IF(ABS(H92)&lt;0,"−","")&amp;"$"&amp;TEXT(ABS(ABS(H92)),"#,##0.0")&amp;"m"&amp;"（Q4 2027 占 FY27 "&amp;TEXT((H28/損益!D22)*100,"#,##0.0")&amp;"%"&amp;"，共識合計 "&amp;TEXT(((H33)/H90)*100,"#,##0.0")&amp;"%"&amp;"）；水準 "&amp;IF(H91&lt;0,"−","+")&amp;IF(ABS(H91)&lt;0,"−","")&amp;"$"&amp;TEXT(ABS(ABS(H91)),"#,##0.0")&amp;"m"&amp;"）","調整後 EBITDA vs 共識 "&amp;IF(H46&lt;0,"−","+")&amp;IF(ABS(H46)&lt;0,"−","")&amp;"$"&amp;TEXT(ABS(ABS(H46)),"#,##0.0")&amp;"m"&amp;IF(ISNUMBER(H51),"／"&amp;IF(H51&lt;0,"−","+")&amp;TEXT(ABS(H51)*100,"#,##0.0")&amp;"pt","")&amp;"：觀點（水準 "&amp;IF(H91&lt;0,"−","+")&amp;IF(ABS(H91)&lt;0,"−","")&amp;"$"&amp;TEXT(ABS(ABS(H91)),"#,##0.0")&amp;"m"&amp;"（FY27 模型 "&amp;IF(損益!D22&lt;0,"−","")&amp;"$"&amp;TEXT(ABS(損益!D22),"#,##0.0")&amp;"m"&amp;"，共識合計 "&amp;IF(H90&lt;0,"−","")&amp;"$"&amp;TEXT(ABS(H90),"#,##0.0")&amp;"m"&amp;"）；分配 "&amp;IF(H92&lt;0,"−","+")&amp;IF(ABS(H92)&lt;0,"−","")&amp;"$"&amp;TEXT(ABS(ABS(H92)),"#,##0.0")&amp;"m"&amp;"；"&amp;"模型 EBITDA 率 "&amp;IF((H27)&lt;0,"−","")&amp;TEXT(ABS((H27))*100,"#,##0.0")&amp;"%"&amp;"（雲端起點以扣一次性後的經常性數字校準）"&amp;"）"),"調整後 EBITDA vs 共識 "&amp;IF(H46&lt;0,"−","+")&amp;IF(ABS(H46)&lt;0,"−","")&amp;"$"&amp;TEXT(ABS(ABS(H46)),"#,##0.0")&amp;"m"&amp;IF(ISNUMBER(H51),"／"&amp;IF(H51&lt;0,"−","+")&amp;TEXT(ABS(H51)*100,"#,##0.0")&amp;"pt","")&amp;"：觀點（"&amp;"模型 EBITDA 率 "&amp;IF((H27)&lt;0,"−","")&amp;TEXT(ABS((H27))*100,"#,##0.0")&amp;"%"&amp;"（雲端起點以扣一次性後的經常性數字校準）"&amp;"）"),""),"")</f>
        <v/>
      </c>
    </row>
    <row r="94" customFormat="false" ht="15" hidden="true" customHeight="false" outlineLevel="1" collapsed="false">
      <c r="A94" s="3" t="s">
        <v>1097</v>
      </c>
      <c r="C94" s="43" t="str">
        <f aca="false">IF(ISNUMBER(C46),IF(IF(ISNUMBER(C51),ABS(C51)&gt;輸入與假設!$C$368,OR(AND(C33&lt;&gt;0,ABS(C46)&gt;輸入與假設!$C$367*ABS(C33)),AND(C33=0,C46&lt;&gt;0))),IF(ISNUMBER(C91),IF(ABS(C92)&gt;ABS(C91),"拆法","觀點"),"觀點"),""),"")</f>
        <v/>
      </c>
      <c r="D94" s="43" t="str">
        <f aca="false">IF(ISNUMBER(D46),IF(IF(ISNUMBER(D51),ABS(D51)&gt;輸入與假設!$C$368,OR(AND(D33&lt;&gt;0,ABS(D46)&gt;輸入與假設!$C$367*ABS(D33)),AND(D33=0,D46&lt;&gt;0))),IF(ISNUMBER(D91),IF(ABS(D92)&gt;ABS(D91),"拆法","觀點"),"觀點"),""),"")</f>
        <v/>
      </c>
      <c r="E94" s="43" t="str">
        <f aca="false">IF(ISNUMBER(E46),IF(IF(ISNUMBER(E51),ABS(E51)&gt;輸入與假設!$C$368,OR(AND(E33&lt;&gt;0,ABS(E46)&gt;輸入與假設!$C$367*ABS(E33)),AND(E33=0,E46&lt;&gt;0))),IF(ISNUMBER(E91),IF(ABS(E92)&gt;ABS(E91),"拆法","觀點"),"觀點"),""),"")</f>
        <v/>
      </c>
      <c r="F94" s="43" t="str">
        <f aca="false">IF(ISNUMBER(F46),IF(IF(ISNUMBER(F51),ABS(F51)&gt;輸入與假設!$C$368,OR(AND(F33&lt;&gt;0,ABS(F46)&gt;輸入與假設!$C$367*ABS(F33)),AND(F33=0,F46&lt;&gt;0))),IF(ISNUMBER(F91),IF(ABS(F92)&gt;ABS(F91),"拆法","觀點"),"觀點"),""),"")</f>
        <v/>
      </c>
      <c r="G94" s="43" t="str">
        <f aca="false">IF(ISNUMBER(G46),IF(IF(ISNUMBER(G51),ABS(G51)&gt;輸入與假設!$C$368,OR(AND(G33&lt;&gt;0,ABS(G46)&gt;輸入與假設!$C$367*ABS(G33)),AND(G33=0,G46&lt;&gt;0))),IF(ISNUMBER(G91),IF(ABS(G92)&gt;ABS(G91),"拆法","觀點"),"觀點"),""),"")</f>
        <v/>
      </c>
      <c r="H94" s="43" t="str">
        <f aca="false">IF(ISNUMBER(H46),IF(IF(ISNUMBER(H51),ABS(H51)&gt;輸入與假設!$C$368,OR(AND(H33&lt;&gt;0,ABS(H46)&gt;輸入與假設!$C$367*ABS(H33)),AND(H33=0,H46&lt;&gt;0))),IF(ISNUMBER(H91),IF(ABS(H92)&gt;ABS(H91),"拆法","觀點"),"觀點"),""),"")</f>
        <v/>
      </c>
    </row>
    <row r="95" customFormat="false" ht="15" hidden="true" customHeight="false" outlineLevel="1" collapsed="false">
      <c r="A95" s="3" t="s">
        <v>1098</v>
      </c>
      <c r="C95" s="43"/>
      <c r="D95" s="43"/>
      <c r="E95" s="43"/>
      <c r="F95" s="43"/>
      <c r="G95" s="43"/>
      <c r="H95" s="43"/>
    </row>
    <row r="96" customFormat="false" ht="15" hidden="true" customHeight="false" outlineLevel="1" collapsed="false">
      <c r="A96" s="3" t="s">
        <v>1099</v>
      </c>
      <c r="C96" s="43"/>
      <c r="D96" s="43"/>
      <c r="E96" s="43"/>
      <c r="F96" s="43"/>
      <c r="G96" s="43"/>
      <c r="H96" s="43"/>
    </row>
    <row r="97" customFormat="false" ht="15" hidden="true" customHeight="false" outlineLevel="1" collapsed="false">
      <c r="A97" s="3" t="s">
        <v>1100</v>
      </c>
      <c r="C97" s="43" t="str">
        <f aca="false">IF(ISNUMBER(C48),IF(IF(ISNUMBER(C53),ABS(C53)&gt;輸入與假設!$C$368,OR(AND(C28&lt;&gt;0,ABS(C48)&gt;輸入與假設!$C$367*ABS(C28)),AND(C28=0,C48&lt;&gt;0))),"調整後 EBITDA 實際 vs 模型 "&amp;IF(C48&lt;0,"−","+")&amp;IF(ABS(C48)&lt;0,"−","")&amp;"$"&amp;TEXT(ABS(ABS(C48)),"#,##0.0")&amp;"m"&amp;IF(ISNUMBER(C53),"／"&amp;IF(C53&lt;0,"−","+")&amp;TEXT(ABS(C53)*100,"#,##0.0")&amp;"pt","")&amp;"：觀點（"&amp;"模型 EBITDA 率 "&amp;IF((C27)&lt;0,"−","")&amp;TEXT(ABS((C27))*100,"#,##0.0")&amp;"%"&amp;"（雲端起點以扣一次性後的經常性數字校準）"&amp;"）",""),"")</f>
        <v/>
      </c>
      <c r="D97" s="43" t="str">
        <f aca="false">IF(ISNUMBER(D48),IF(IF(ISNUMBER(D53),ABS(D53)&gt;輸入與假設!$C$368,OR(AND(D28&lt;&gt;0,ABS(D48)&gt;輸入與假設!$C$367*ABS(D28)),AND(D28=0,D48&lt;&gt;0))),"調整後 EBITDA 實際 vs 模型 "&amp;IF(D48&lt;0,"−","+")&amp;IF(ABS(D48)&lt;0,"−","")&amp;"$"&amp;TEXT(ABS(ABS(D48)),"#,##0.0")&amp;"m"&amp;IF(ISNUMBER(D53),"／"&amp;IF(D53&lt;0,"−","+")&amp;TEXT(ABS(D53)*100,"#,##0.0")&amp;"pt","")&amp;"：觀點（"&amp;"模型 EBITDA 率 "&amp;IF((D27)&lt;0,"−","")&amp;TEXT(ABS((D27))*100,"#,##0.0")&amp;"%"&amp;"（雲端起點以扣一次性後的經常性數字校準）"&amp;"）",""),"")</f>
        <v/>
      </c>
      <c r="E97" s="43" t="str">
        <f aca="false">IF(ISNUMBER(E48),IF(IF(ISNUMBER(E53),ABS(E53)&gt;輸入與假設!$C$368,OR(AND(E28&lt;&gt;0,ABS(E48)&gt;輸入與假設!$C$367*ABS(E28)),AND(E28=0,E48&lt;&gt;0))),"調整後 EBITDA 實際 vs 模型 "&amp;IF(E48&lt;0,"−","+")&amp;IF(ABS(E48)&lt;0,"−","")&amp;"$"&amp;TEXT(ABS(ABS(E48)),"#,##0.0")&amp;"m"&amp;IF(ISNUMBER(E53),"／"&amp;IF(E53&lt;0,"−","+")&amp;TEXT(ABS(E53)*100,"#,##0.0")&amp;"pt","")&amp;"：觀點（"&amp;"模型 EBITDA 率 "&amp;IF((E27)&lt;0,"−","")&amp;TEXT(ABS((E27))*100,"#,##0.0")&amp;"%"&amp;"（雲端起點以扣一次性後的經常性數字校準）"&amp;"）",""),"")</f>
        <v/>
      </c>
      <c r="F97" s="43" t="str">
        <f aca="false">IF(ISNUMBER(F48),IF(IF(ISNUMBER(F53),ABS(F53)&gt;輸入與假設!$C$368,OR(AND(F28&lt;&gt;0,ABS(F48)&gt;輸入與假設!$C$367*ABS(F28)),AND(F28=0,F48&lt;&gt;0))),"調整後 EBITDA 實際 vs 模型 "&amp;IF(F48&lt;0,"−","+")&amp;IF(ABS(F48)&lt;0,"−","")&amp;"$"&amp;TEXT(ABS(ABS(F48)),"#,##0.0")&amp;"m"&amp;IF(ISNUMBER(F53),"／"&amp;IF(F53&lt;0,"−","+")&amp;TEXT(ABS(F53)*100,"#,##0.0")&amp;"pt","")&amp;"：觀點（"&amp;"模型 EBITDA 率 "&amp;IF((F27)&lt;0,"−","")&amp;TEXT(ABS((F27))*100,"#,##0.0")&amp;"%"&amp;"（雲端起點以扣一次性後的經常性數字校準）"&amp;"）",""),"")</f>
        <v/>
      </c>
      <c r="G97" s="43" t="str">
        <f aca="false">IF(ISNUMBER(G48),IF(IF(ISNUMBER(G53),ABS(G53)&gt;輸入與假設!$C$368,OR(AND(G28&lt;&gt;0,ABS(G48)&gt;輸入與假設!$C$367*ABS(G28)),AND(G28=0,G48&lt;&gt;0))),"調整後 EBITDA 實際 vs 模型 "&amp;IF(G48&lt;0,"−","+")&amp;IF(ABS(G48)&lt;0,"−","")&amp;"$"&amp;TEXT(ABS(ABS(G48)),"#,##0.0")&amp;"m"&amp;IF(ISNUMBER(G53),"／"&amp;IF(G53&lt;0,"−","+")&amp;TEXT(ABS(G53)*100,"#,##0.0")&amp;"pt","")&amp;"：觀點（"&amp;"模型 EBITDA 率 "&amp;IF((G27)&lt;0,"−","")&amp;TEXT(ABS((G27))*100,"#,##0.0")&amp;"%"&amp;"（雲端起點以扣一次性後的經常性數字校準）"&amp;"）",""),"")</f>
        <v/>
      </c>
      <c r="H97" s="43" t="str">
        <f aca="false">IF(ISNUMBER(H48),IF(IF(ISNUMBER(H53),ABS(H53)&gt;輸入與假設!$C$368,OR(AND(H28&lt;&gt;0,ABS(H48)&gt;輸入與假設!$C$367*ABS(H28)),AND(H28=0,H48&lt;&gt;0))),"調整後 EBITDA 實際 vs 模型 "&amp;IF(H48&lt;0,"−","+")&amp;IF(ABS(H48)&lt;0,"−","")&amp;"$"&amp;TEXT(ABS(ABS(H48)),"#,##0.0")&amp;"m"&amp;IF(ISNUMBER(H53),"／"&amp;IF(H53&lt;0,"−","+")&amp;TEXT(ABS(H53)*100,"#,##0.0")&amp;"pt","")&amp;"：觀點（"&amp;"模型 EBITDA 率 "&amp;IF((H27)&lt;0,"−","")&amp;TEXT(ABS((H27))*100,"#,##0.0")&amp;"%"&amp;"（雲端起點以扣一次性後的經常性數字校準）"&amp;"）",""),"")</f>
        <v/>
      </c>
    </row>
    <row r="98" customFormat="false" ht="15" hidden="true" customHeight="false" outlineLevel="1" collapsed="false">
      <c r="A98" s="3" t="s">
        <v>1101</v>
      </c>
      <c r="C98" s="43" t="str">
        <f aca="false">IF(ISNUMBER(C48),IF(IF(ISNUMBER(C53),ABS(C53)&gt;輸入與假設!$C$368,OR(AND(C28&lt;&gt;0,ABS(C48)&gt;輸入與假設!$C$367*ABS(C28)),AND(C28=0,C48&lt;&gt;0))),"觀點",""),"")</f>
        <v/>
      </c>
      <c r="D98" s="43" t="str">
        <f aca="false">IF(ISNUMBER(D48),IF(IF(ISNUMBER(D53),ABS(D53)&gt;輸入與假設!$C$368,OR(AND(D28&lt;&gt;0,ABS(D48)&gt;輸入與假設!$C$367*ABS(D28)),AND(D28=0,D48&lt;&gt;0))),"觀點",""),"")</f>
        <v/>
      </c>
      <c r="E98" s="43" t="str">
        <f aca="false">IF(ISNUMBER(E48),IF(IF(ISNUMBER(E53),ABS(E53)&gt;輸入與假設!$C$368,OR(AND(E28&lt;&gt;0,ABS(E48)&gt;輸入與假設!$C$367*ABS(E28)),AND(E28=0,E48&lt;&gt;0))),"觀點",""),"")</f>
        <v/>
      </c>
      <c r="F98" s="43" t="str">
        <f aca="false">IF(ISNUMBER(F48),IF(IF(ISNUMBER(F53),ABS(F53)&gt;輸入與假設!$C$368,OR(AND(F28&lt;&gt;0,ABS(F48)&gt;輸入與假設!$C$367*ABS(F28)),AND(F28=0,F48&lt;&gt;0))),"觀點",""),"")</f>
        <v/>
      </c>
      <c r="G98" s="43" t="str">
        <f aca="false">IF(ISNUMBER(G48),IF(IF(ISNUMBER(G53),ABS(G53)&gt;輸入與假設!$C$368,OR(AND(G28&lt;&gt;0,ABS(G48)&gt;輸入與假設!$C$367*ABS(G28)),AND(G28=0,G48&lt;&gt;0))),"觀點",""),"")</f>
        <v/>
      </c>
      <c r="H98" s="43" t="str">
        <f aca="false">IF(ISNUMBER(H48),IF(IF(ISNUMBER(H53),ABS(H53)&gt;輸入與假設!$C$368,OR(AND(H28&lt;&gt;0,ABS(H48)&gt;輸入與假設!$C$367*ABS(H28)),AND(H28=0,H48&lt;&gt;0))),"觀點",""),"")</f>
        <v/>
      </c>
    </row>
    <row r="99" customFormat="false" ht="15" hidden="true" customHeight="false" outlineLevel="1" collapsed="false">
      <c r="A99" s="3" t="s">
        <v>1102</v>
      </c>
      <c r="C99" s="43"/>
      <c r="D99" s="43"/>
      <c r="E99" s="43"/>
      <c r="F99" s="43"/>
      <c r="G99" s="43"/>
      <c r="H99" s="43"/>
    </row>
    <row r="100" customFormat="false" ht="15" hidden="true" customHeight="false" outlineLevel="1" collapsed="false">
      <c r="A100" s="3" t="s">
        <v>1103</v>
      </c>
      <c r="C100" s="43"/>
      <c r="D100" s="43"/>
      <c r="E100" s="43"/>
      <c r="F100" s="43"/>
      <c r="G100" s="43"/>
      <c r="H100" s="43"/>
    </row>
    <row r="101" customFormat="false" ht="15" hidden="true" customHeight="false" outlineLevel="1" collapsed="false">
      <c r="A101" s="3" t="s">
        <v>1104</v>
      </c>
      <c r="C101" s="43"/>
      <c r="D101" s="43"/>
      <c r="E101" s="43"/>
      <c r="F101" s="43"/>
      <c r="G101" s="43"/>
      <c r="H101" s="43"/>
    </row>
    <row r="102" customFormat="false" ht="15" hidden="true" customHeight="false" outlineLevel="1" collapsed="false">
      <c r="A102" s="3" t="s">
        <v>1105</v>
      </c>
      <c r="C102" s="43"/>
      <c r="D102" s="43"/>
      <c r="E102" s="43"/>
      <c r="F102" s="43"/>
      <c r="G102" s="43"/>
      <c r="H102" s="43"/>
    </row>
    <row r="103" customFormat="false" ht="15" hidden="true" customHeight="false" outlineLevel="1" collapsed="false">
      <c r="A103" s="3" t="s">
        <v>1106</v>
      </c>
      <c r="C103" s="43" t="str">
        <f aca="false">IF(ISNUMBER(C63),IF(IF(ISNUMBER(C68),ABS(C68)&gt;輸入與假設!$C$368,OR(AND(C30&lt;&gt;0,ABS(C63)&gt;輸入與假設!$C$367*ABS(C30)),AND(C30=0,C63&lt;&gt;0))),"調整後營業利益 實際 vs 模型 "&amp;IF(C63&lt;0,"−","+")&amp;IF(ABS(C63)&lt;0,"−","")&amp;"$"&amp;TEXT(ABS(ABS(C63)),"#,##0.0")&amp;"m"&amp;IF(ISNUMBER(C68),"／"&amp;IF(C68&lt;0,"−","+")&amp;TEXT(ABS(C68)*100,"#,##0.0")&amp;"pt","")&amp;"：已知限制（"&amp;"模型折舊 "&amp;IF((C29)&lt;0,"−","")&amp;TEXT(ABS((C29)),"#,##0.00")&amp;" 以校準後期初 PP&amp;E 與成長型 CapEx 計，未扣 SBC；與公司口徑不同"&amp;"）",""),"")</f>
        <v/>
      </c>
      <c r="D103" s="43" t="str">
        <f aca="false">IF(ISNUMBER(D63),IF(IF(ISNUMBER(D68),ABS(D68)&gt;輸入與假設!$C$368,OR(AND(D30&lt;&gt;0,ABS(D63)&gt;輸入與假設!$C$367*ABS(D30)),AND(D30=0,D63&lt;&gt;0))),"調整後營業利益 實際 vs 模型 "&amp;IF(D63&lt;0,"−","+")&amp;IF(ABS(D63)&lt;0,"−","")&amp;"$"&amp;TEXT(ABS(ABS(D63)),"#,##0.0")&amp;"m"&amp;IF(ISNUMBER(D68),"／"&amp;IF(D68&lt;0,"−","+")&amp;TEXT(ABS(D68)*100,"#,##0.0")&amp;"pt","")&amp;"：已知限制（"&amp;"模型折舊 "&amp;IF((D29)&lt;0,"−","")&amp;TEXT(ABS((D29)),"#,##0.00")&amp;" 以校準後期初 PP&amp;E 與成長型 CapEx 計，未扣 SBC；與公司口徑不同"&amp;"）",""),"")</f>
        <v/>
      </c>
      <c r="E103" s="43" t="str">
        <f aca="false">IF(ISNUMBER(E63),IF(IF(ISNUMBER(E68),ABS(E68)&gt;輸入與假設!$C$368,OR(AND(E30&lt;&gt;0,ABS(E63)&gt;輸入與假設!$C$367*ABS(E30)),AND(E30=0,E63&lt;&gt;0))),"調整後營業利益 實際 vs 模型 "&amp;IF(E63&lt;0,"−","+")&amp;IF(ABS(E63)&lt;0,"−","")&amp;"$"&amp;TEXT(ABS(ABS(E63)),"#,##0.0")&amp;"m"&amp;IF(ISNUMBER(E68),"／"&amp;IF(E68&lt;0,"−","+")&amp;TEXT(ABS(E68)*100,"#,##0.0")&amp;"pt","")&amp;"：已知限制（"&amp;"模型折舊 "&amp;IF((E29)&lt;0,"−","")&amp;TEXT(ABS((E29)),"#,##0.00")&amp;" 以校準後期初 PP&amp;E 與成長型 CapEx 計，未扣 SBC；與公司口徑不同"&amp;"）",""),"")</f>
        <v/>
      </c>
      <c r="F103" s="43" t="str">
        <f aca="false">IF(ISNUMBER(F63),IF(IF(ISNUMBER(F68),ABS(F68)&gt;輸入與假設!$C$368,OR(AND(F30&lt;&gt;0,ABS(F63)&gt;輸入與假設!$C$367*ABS(F30)),AND(F30=0,F63&lt;&gt;0))),"調整後營業利益 實際 vs 模型 "&amp;IF(F63&lt;0,"−","+")&amp;IF(ABS(F63)&lt;0,"−","")&amp;"$"&amp;TEXT(ABS(ABS(F63)),"#,##0.0")&amp;"m"&amp;IF(ISNUMBER(F68),"／"&amp;IF(F68&lt;0,"−","+")&amp;TEXT(ABS(F68)*100,"#,##0.0")&amp;"pt","")&amp;"：已知限制（"&amp;"模型折舊 "&amp;IF((F29)&lt;0,"−","")&amp;TEXT(ABS((F29)),"#,##0.00")&amp;" 以校準後期初 PP&amp;E 與成長型 CapEx 計，未扣 SBC；與公司口徑不同"&amp;"）",""),"")</f>
        <v/>
      </c>
      <c r="G103" s="43" t="str">
        <f aca="false">IF(ISNUMBER(G63),IF(IF(ISNUMBER(G68),ABS(G68)&gt;輸入與假設!$C$368,OR(AND(G30&lt;&gt;0,ABS(G63)&gt;輸入與假設!$C$367*ABS(G30)),AND(G30=0,G63&lt;&gt;0))),"調整後營業利益 實際 vs 模型 "&amp;IF(G63&lt;0,"−","+")&amp;IF(ABS(G63)&lt;0,"−","")&amp;"$"&amp;TEXT(ABS(ABS(G63)),"#,##0.0")&amp;"m"&amp;IF(ISNUMBER(G68),"／"&amp;IF(G68&lt;0,"−","+")&amp;TEXT(ABS(G68)*100,"#,##0.0")&amp;"pt","")&amp;"：已知限制（"&amp;"模型折舊 "&amp;IF((G29)&lt;0,"−","")&amp;TEXT(ABS((G29)),"#,##0.00")&amp;" 以校準後期初 PP&amp;E 與成長型 CapEx 計，未扣 SBC；與公司口徑不同"&amp;"）",""),"")</f>
        <v/>
      </c>
      <c r="H103" s="43" t="str">
        <f aca="false">IF(ISNUMBER(H63),IF(IF(ISNUMBER(H68),ABS(H68)&gt;輸入與假設!$C$368,OR(AND(H30&lt;&gt;0,ABS(H63)&gt;輸入與假設!$C$367*ABS(H30)),AND(H30=0,H63&lt;&gt;0))),"調整後營業利益 實際 vs 模型 "&amp;IF(H63&lt;0,"−","+")&amp;IF(ABS(H63)&lt;0,"−","")&amp;"$"&amp;TEXT(ABS(ABS(H63)),"#,##0.0")&amp;"m"&amp;IF(ISNUMBER(H68),"／"&amp;IF(H68&lt;0,"−","+")&amp;TEXT(ABS(H68)*100,"#,##0.0")&amp;"pt","")&amp;"：已知限制（"&amp;"模型折舊 "&amp;IF((H29)&lt;0,"−","")&amp;TEXT(ABS((H29)),"#,##0.00")&amp;" 以校準後期初 PP&amp;E 與成長型 CapEx 計，未扣 SBC；與公司口徑不同"&amp;"）",""),"")</f>
        <v/>
      </c>
    </row>
    <row r="104" customFormat="false" ht="15" hidden="true" customHeight="false" outlineLevel="1" collapsed="false">
      <c r="A104" s="3" t="s">
        <v>1107</v>
      </c>
      <c r="C104" s="43" t="str">
        <f aca="false">IF(ISNUMBER(C63),IF(IF(ISNUMBER(C68),ABS(C68)&gt;輸入與假設!$C$368,OR(AND(C30&lt;&gt;0,ABS(C63)&gt;輸入與假設!$C$367*ABS(C30)),AND(C30=0,C63&lt;&gt;0))),"已知限制",""),"")</f>
        <v/>
      </c>
      <c r="D104" s="43" t="str">
        <f aca="false">IF(ISNUMBER(D63),IF(IF(ISNUMBER(D68),ABS(D68)&gt;輸入與假設!$C$368,OR(AND(D30&lt;&gt;0,ABS(D63)&gt;輸入與假設!$C$367*ABS(D30)),AND(D30=0,D63&lt;&gt;0))),"已知限制",""),"")</f>
        <v/>
      </c>
      <c r="E104" s="43" t="str">
        <f aca="false">IF(ISNUMBER(E63),IF(IF(ISNUMBER(E68),ABS(E68)&gt;輸入與假設!$C$368,OR(AND(E30&lt;&gt;0,ABS(E63)&gt;輸入與假設!$C$367*ABS(E30)),AND(E30=0,E63&lt;&gt;0))),"已知限制",""),"")</f>
        <v/>
      </c>
      <c r="F104" s="43" t="str">
        <f aca="false">IF(ISNUMBER(F63),IF(IF(ISNUMBER(F68),ABS(F68)&gt;輸入與假設!$C$368,OR(AND(F30&lt;&gt;0,ABS(F63)&gt;輸入與假設!$C$367*ABS(F30)),AND(F30=0,F63&lt;&gt;0))),"已知限制",""),"")</f>
        <v/>
      </c>
      <c r="G104" s="43" t="str">
        <f aca="false">IF(ISNUMBER(G63),IF(IF(ISNUMBER(G68),ABS(G68)&gt;輸入與假設!$C$368,OR(AND(G30&lt;&gt;0,ABS(G63)&gt;輸入與假設!$C$367*ABS(G30)),AND(G30=0,G63&lt;&gt;0))),"已知限制",""),"")</f>
        <v/>
      </c>
      <c r="H104" s="43" t="str">
        <f aca="false">IF(ISNUMBER(H63),IF(IF(ISNUMBER(H68),ABS(H68)&gt;輸入與假設!$C$368,OR(AND(H30&lt;&gt;0,ABS(H63)&gt;輸入與假設!$C$367*ABS(H30)),AND(H30=0,H63&lt;&gt;0))),"已知限制",""),"")</f>
        <v/>
      </c>
    </row>
    <row r="105" customFormat="false" ht="15" hidden="true" customHeight="false" outlineLevel="1" collapsed="false">
      <c r="A105" s="3" t="s">
        <v>1108</v>
      </c>
      <c r="C105" s="43"/>
      <c r="D105" s="43"/>
      <c r="E105" s="43"/>
      <c r="F105" s="43"/>
      <c r="G105" s="43"/>
      <c r="H105" s="43"/>
    </row>
    <row r="106" customFormat="false" ht="15" hidden="true" customHeight="false" outlineLevel="1" collapsed="false">
      <c r="A106" s="3" t="s">
        <v>1109</v>
      </c>
      <c r="C106" s="43"/>
      <c r="D106" s="43"/>
      <c r="E106" s="43"/>
      <c r="F106" s="43"/>
      <c r="G106" s="43"/>
      <c r="H106" s="43"/>
    </row>
    <row r="107" customFormat="false" ht="15" hidden="true" customHeight="false" outlineLevel="1" collapsed="false">
      <c r="A107" s="3" t="s">
        <v>1110</v>
      </c>
      <c r="C107" s="43"/>
      <c r="D107" s="43"/>
      <c r="E107" s="43"/>
      <c r="F107" s="43"/>
      <c r="G107" s="43"/>
      <c r="H107" s="43"/>
    </row>
    <row r="108" customFormat="false" ht="15" hidden="true" customHeight="false" outlineLevel="1" collapsed="false">
      <c r="A108" s="3" t="s">
        <v>1111</v>
      </c>
      <c r="C108" s="43"/>
      <c r="D108" s="43"/>
      <c r="E108" s="43"/>
      <c r="F108" s="43"/>
      <c r="G108" s="43"/>
      <c r="H108" s="43"/>
    </row>
    <row r="109" customFormat="false" ht="15" hidden="true" customHeight="false" outlineLevel="1" collapsed="false">
      <c r="A109" s="3" t="s">
        <v>1112</v>
      </c>
      <c r="C109" s="43" t="str">
        <f aca="false">IF(ISNUMBER(C73),IF(ABS(C73)&gt;輸入與假設!$C$367,"CapEx（毛額） 實際 vs 模型 "&amp;IF(C73&lt;0,"−","+")&amp;TEXT(ABS(C73)*100,"#,##0.0")&amp;"%"&amp;"：觀點（"&amp;"雲端 CapEx 依新增已連網 MW × 每 MW GPU 成本（Tokenomics IF_CapexIT）；託管 CapEx 依站點建置排程"&amp;"）",""),"")</f>
        <v/>
      </c>
      <c r="D109" s="43" t="str">
        <f aca="false">IF(ISNUMBER(D73),IF(ABS(D73)&gt;輸入與假設!$C$367,"CapEx（毛額） 實際 vs 模型 "&amp;IF(D73&lt;0,"−","+")&amp;TEXT(ABS(D73)*100,"#,##0.0")&amp;"%"&amp;"：觀點（"&amp;"雲端 CapEx 依新增已連網 MW × 每 MW GPU 成本（Tokenomics IF_CapexIT）；託管 CapEx 依站點建置排程"&amp;"）",""),"")</f>
        <v/>
      </c>
      <c r="E109" s="43" t="str">
        <f aca="false">IF(ISNUMBER(E73),IF(ABS(E73)&gt;輸入與假設!$C$367,"CapEx（毛額） 實際 vs 模型 "&amp;IF(E73&lt;0,"−","+")&amp;TEXT(ABS(E73)*100,"#,##0.0")&amp;"%"&amp;"：觀點（"&amp;"雲端 CapEx 依新增已連網 MW × 每 MW GPU 成本（Tokenomics IF_CapexIT）；託管 CapEx 依站點建置排程"&amp;"）",""),"")</f>
        <v/>
      </c>
      <c r="F109" s="43" t="str">
        <f aca="false">IF(ISNUMBER(F73),IF(ABS(F73)&gt;輸入與假設!$C$367,"CapEx（毛額） 實際 vs 模型 "&amp;IF(F73&lt;0,"−","+")&amp;TEXT(ABS(F73)*100,"#,##0.0")&amp;"%"&amp;"：觀點（"&amp;"雲端 CapEx 依新增已連網 MW × 每 MW GPU 成本（Tokenomics IF_CapexIT）；託管 CapEx 依站點建置排程"&amp;"）",""),"")</f>
        <v/>
      </c>
      <c r="G109" s="43" t="str">
        <f aca="false">IF(ISNUMBER(G73),IF(ABS(G73)&gt;輸入與假設!$C$367,"CapEx（毛額） 實際 vs 模型 "&amp;IF(G73&lt;0,"−","+")&amp;TEXT(ABS(G73)*100,"#,##0.0")&amp;"%"&amp;"：觀點（"&amp;"雲端 CapEx 依新增已連網 MW × 每 MW GPU 成本（Tokenomics IF_CapexIT）；託管 CapEx 依站點建置排程"&amp;"）",""),"")</f>
        <v/>
      </c>
      <c r="H109" s="43" t="str">
        <f aca="false">IF(ISNUMBER(H73),IF(ABS(H73)&gt;輸入與假設!$C$367,"CapEx（毛額） 實際 vs 模型 "&amp;IF(H73&lt;0,"−","+")&amp;TEXT(ABS(H73)*100,"#,##0.0")&amp;"%"&amp;"：觀點（"&amp;"雲端 CapEx 依新增已連網 MW × 每 MW GPU 成本（Tokenomics IF_CapexIT）；託管 CapEx 依站點建置排程"&amp;"）",""),"")</f>
        <v/>
      </c>
    </row>
    <row r="110" customFormat="false" ht="15" hidden="true" customHeight="false" outlineLevel="1" collapsed="false">
      <c r="A110" s="3" t="s">
        <v>1113</v>
      </c>
      <c r="C110" s="43" t="str">
        <f aca="false">IF(ISNUMBER(C73),IF(ABS(C73)&gt;輸入與假設!$C$367,"觀點",""),"")</f>
        <v/>
      </c>
      <c r="D110" s="43" t="str">
        <f aca="false">IF(ISNUMBER(D73),IF(ABS(D73)&gt;輸入與假設!$C$367,"觀點",""),"")</f>
        <v/>
      </c>
      <c r="E110" s="43" t="str">
        <f aca="false">IF(ISNUMBER(E73),IF(ABS(E73)&gt;輸入與假設!$C$367,"觀點",""),"")</f>
        <v/>
      </c>
      <c r="F110" s="43" t="str">
        <f aca="false">IF(ISNUMBER(F73),IF(ABS(F73)&gt;輸入與假設!$C$367,"觀點",""),"")</f>
        <v/>
      </c>
      <c r="G110" s="43" t="str">
        <f aca="false">IF(ISNUMBER(G73),IF(ABS(G73)&gt;輸入與假設!$C$367,"觀點",""),"")</f>
        <v/>
      </c>
      <c r="H110" s="43" t="str">
        <f aca="false">IF(ISNUMBER(H73),IF(ABS(H73)&gt;輸入與假設!$C$367,"觀點",""),"")</f>
        <v/>
      </c>
    </row>
    <row r="111" customFormat="false" ht="15" hidden="true" customHeight="false" outlineLevel="1" collapsed="false">
      <c r="A111" s="3" t="s">
        <v>1114</v>
      </c>
      <c r="C111" s="43"/>
      <c r="D111" s="43"/>
      <c r="E111" s="43"/>
      <c r="F111" s="43"/>
      <c r="G111" s="43"/>
      <c r="H111" s="43"/>
    </row>
    <row r="112" customFormat="false" ht="15" hidden="true" customHeight="false" outlineLevel="1" collapsed="false">
      <c r="A112" s="3" t="s">
        <v>1115</v>
      </c>
      <c r="C112" s="43"/>
      <c r="D112" s="43"/>
      <c r="E112" s="43"/>
      <c r="F112" s="43"/>
      <c r="G112" s="43"/>
      <c r="H112" s="43"/>
    </row>
    <row r="113" customFormat="false" ht="15" hidden="true" customHeight="false" outlineLevel="1" collapsed="false">
      <c r="A113" s="3" t="s">
        <v>1116</v>
      </c>
      <c r="C113" s="43"/>
      <c r="D113" s="43"/>
      <c r="E113" s="43"/>
      <c r="F113" s="43"/>
      <c r="G113" s="43"/>
      <c r="H113" s="43"/>
    </row>
    <row r="114" customFormat="false" ht="15" hidden="true" customHeight="false" outlineLevel="1" collapsed="false">
      <c r="A114" s="3" t="s">
        <v>1117</v>
      </c>
      <c r="C114" s="43"/>
      <c r="D114" s="43"/>
      <c r="E114" s="43"/>
      <c r="F114" s="43"/>
      <c r="G114" s="43"/>
      <c r="H114" s="43"/>
    </row>
    <row r="115" customFormat="false" ht="15" hidden="true" customHeight="false" outlineLevel="1" collapsed="false">
      <c r="A115" s="3" t="s">
        <v>1118</v>
      </c>
      <c r="C115" s="43"/>
      <c r="D115" s="43"/>
      <c r="E115" s="43"/>
      <c r="F115" s="43"/>
      <c r="G115" s="43"/>
      <c r="H115" s="43"/>
    </row>
    <row r="116" customFormat="false" ht="15" hidden="true" customHeight="false" outlineLevel="1" collapsed="false">
      <c r="A116" s="3" t="s">
        <v>1119</v>
      </c>
      <c r="C116" s="43"/>
      <c r="D116" s="43"/>
      <c r="E116" s="43"/>
      <c r="F116" s="43"/>
      <c r="G116" s="43"/>
      <c r="H116" s="43"/>
    </row>
    <row r="117" customFormat="false" ht="15" hidden="true" customHeight="false" outlineLevel="1" collapsed="false">
      <c r="A117" s="3" t="s">
        <v>1120</v>
      </c>
      <c r="C117" s="43" t="str">
        <f aca="false">MID(IF(C84&lt;&gt;"","；"&amp;C84,"")&amp;IF(C86&lt;&gt;"","；"&amp;C86,"")&amp;IF(C88&lt;&gt;"","；"&amp;C88,"")&amp;IF(C93&lt;&gt;"","；"&amp;C93,"")&amp;IF(C95&lt;&gt;"","；"&amp;C95,"")&amp;IF(C97&lt;&gt;"","；"&amp;C97,"")&amp;IF(C99&lt;&gt;"","；"&amp;C99,"")&amp;IF(C101&lt;&gt;"","；"&amp;C101,"")&amp;IF(C103&lt;&gt;"","；"&amp;C103,"")&amp;IF(C105&lt;&gt;"","；"&amp;C105,"")&amp;IF(C107&lt;&gt;"","；"&amp;C107,"")&amp;IF(C109&lt;&gt;"","；"&amp;C109,"")&amp;IF(C111&lt;&gt;"","；"&amp;C111,"")&amp;IF(C113&lt;&gt;"","；"&amp;C113,"")&amp;IF(C115&lt;&gt;"","；"&amp;C115,""),2,9999)</f>
        <v/>
      </c>
      <c r="D117" s="43" t="str">
        <f aca="false">MID(IF(D84&lt;&gt;"","；"&amp;D84,"")&amp;IF(D86&lt;&gt;"","；"&amp;D86,"")&amp;IF(D88&lt;&gt;"","；"&amp;D88,"")&amp;IF(D93&lt;&gt;"","；"&amp;D93,"")&amp;IF(D95&lt;&gt;"","；"&amp;D95,"")&amp;IF(D97&lt;&gt;"","；"&amp;D97,"")&amp;IF(D99&lt;&gt;"","；"&amp;D99,"")&amp;IF(D101&lt;&gt;"","；"&amp;D101,"")&amp;IF(D103&lt;&gt;"","；"&amp;D103,"")&amp;IF(D105&lt;&gt;"","；"&amp;D105,"")&amp;IF(D107&lt;&gt;"","；"&amp;D107,"")&amp;IF(D109&lt;&gt;"","；"&amp;D109,"")&amp;IF(D111&lt;&gt;"","；"&amp;D111,"")&amp;IF(D113&lt;&gt;"","；"&amp;D113,"")&amp;IF(D115&lt;&gt;"","；"&amp;D115,""),2,9999)</f>
        <v/>
      </c>
      <c r="E117" s="43" t="str">
        <f aca="false">MID(IF(E84&lt;&gt;"","；"&amp;E84,"")&amp;IF(E86&lt;&gt;"","；"&amp;E86,"")&amp;IF(E88&lt;&gt;"","；"&amp;E88,"")&amp;IF(E93&lt;&gt;"","；"&amp;E93,"")&amp;IF(E95&lt;&gt;"","；"&amp;E95,"")&amp;IF(E97&lt;&gt;"","；"&amp;E97,"")&amp;IF(E99&lt;&gt;"","；"&amp;E99,"")&amp;IF(E101&lt;&gt;"","；"&amp;E101,"")&amp;IF(E103&lt;&gt;"","；"&amp;E103,"")&amp;IF(E105&lt;&gt;"","；"&amp;E105,"")&amp;IF(E107&lt;&gt;"","；"&amp;E107,"")&amp;IF(E109&lt;&gt;"","；"&amp;E109,"")&amp;IF(E111&lt;&gt;"","；"&amp;E111,"")&amp;IF(E113&lt;&gt;"","；"&amp;E113,"")&amp;IF(E115&lt;&gt;"","；"&amp;E115,""),2,9999)</f>
        <v/>
      </c>
      <c r="F117" s="43" t="str">
        <f aca="false">MID(IF(F84&lt;&gt;"","；"&amp;F84,"")&amp;IF(F86&lt;&gt;"","；"&amp;F86,"")&amp;IF(F88&lt;&gt;"","；"&amp;F88,"")&amp;IF(F93&lt;&gt;"","；"&amp;F93,"")&amp;IF(F95&lt;&gt;"","；"&amp;F95,"")&amp;IF(F97&lt;&gt;"","；"&amp;F97,"")&amp;IF(F99&lt;&gt;"","；"&amp;F99,"")&amp;IF(F101&lt;&gt;"","；"&amp;F101,"")&amp;IF(F103&lt;&gt;"","；"&amp;F103,"")&amp;IF(F105&lt;&gt;"","；"&amp;F105,"")&amp;IF(F107&lt;&gt;"","；"&amp;F107,"")&amp;IF(F109&lt;&gt;"","；"&amp;F109,"")&amp;IF(F111&lt;&gt;"","；"&amp;F111,"")&amp;IF(F113&lt;&gt;"","；"&amp;F113,"")&amp;IF(F115&lt;&gt;"","；"&amp;F115,""),2,9999)</f>
        <v/>
      </c>
      <c r="G117" s="43" t="str">
        <f aca="false">MID(IF(G84&lt;&gt;"","；"&amp;G84,"")&amp;IF(G86&lt;&gt;"","；"&amp;G86,"")&amp;IF(G88&lt;&gt;"","；"&amp;G88,"")&amp;IF(G93&lt;&gt;"","；"&amp;G93,"")&amp;IF(G95&lt;&gt;"","；"&amp;G95,"")&amp;IF(G97&lt;&gt;"","；"&amp;G97,"")&amp;IF(G99&lt;&gt;"","；"&amp;G99,"")&amp;IF(G101&lt;&gt;"","；"&amp;G101,"")&amp;IF(G103&lt;&gt;"","；"&amp;G103,"")&amp;IF(G105&lt;&gt;"","；"&amp;G105,"")&amp;IF(G107&lt;&gt;"","；"&amp;G107,"")&amp;IF(G109&lt;&gt;"","；"&amp;G109,"")&amp;IF(G111&lt;&gt;"","；"&amp;G111,"")&amp;IF(G113&lt;&gt;"","；"&amp;G113,"")&amp;IF(G115&lt;&gt;"","；"&amp;G115,""),2,9999)</f>
        <v/>
      </c>
      <c r="H117" s="43" t="str">
        <f aca="false">MID(IF(H84&lt;&gt;"","；"&amp;H84,"")&amp;IF(H86&lt;&gt;"","；"&amp;H86,"")&amp;IF(H88&lt;&gt;"","；"&amp;H88,"")&amp;IF(H93&lt;&gt;"","；"&amp;H93,"")&amp;IF(H95&lt;&gt;"","；"&amp;H95,"")&amp;IF(H97&lt;&gt;"","；"&amp;H97,"")&amp;IF(H99&lt;&gt;"","；"&amp;H99,"")&amp;IF(H101&lt;&gt;"","；"&amp;H101,"")&amp;IF(H103&lt;&gt;"","；"&amp;H103,"")&amp;IF(H105&lt;&gt;"","；"&amp;H105,"")&amp;IF(H107&lt;&gt;"","；"&amp;H107,"")&amp;IF(H109&lt;&gt;"","；"&amp;H109,"")&amp;IF(H111&lt;&gt;"","；"&amp;H111,"")&amp;IF(H113&lt;&gt;"","；"&amp;H113,"")&amp;IF(H115&lt;&gt;"","；"&amp;H115,""),2,9999)</f>
        <v/>
      </c>
    </row>
    <row r="118" customFormat="false" ht="15" hidden="true" customHeight="false" outlineLevel="1" collapsed="false">
      <c r="A118" s="3" t="s">
        <v>1121</v>
      </c>
      <c r="C118" s="43" t="str">
        <f aca="false">IF((C85&amp;IF(AND(C87&lt;&gt;"",C87&lt;&gt;C85),IF((C85)&lt;&gt;"","、","")&amp;C87,"")&amp;IF(AND(C89&lt;&gt;"",C89&lt;&gt;C85,C89&lt;&gt;C87),IF((C85&amp;C87)&lt;&gt;"","、","")&amp;C89,""))&lt;&gt;"","〔"&amp;(C85&amp;IF(AND(C87&lt;&gt;"",C87&lt;&gt;C85),IF((C85)&lt;&gt;"","、","")&amp;C87,"")&amp;IF(AND(C89&lt;&gt;"",C89&lt;&gt;C85,C89&lt;&gt;C87),IF((C85&amp;C87)&lt;&gt;"","、","")&amp;C89,""))&amp;"〕","")</f>
        <v/>
      </c>
      <c r="D118" s="43" t="str">
        <f aca="false">IF((D85&amp;IF(AND(D87&lt;&gt;"",D87&lt;&gt;D85),IF((D85)&lt;&gt;"","、","")&amp;D87,"")&amp;IF(AND(D89&lt;&gt;"",D89&lt;&gt;D85,D89&lt;&gt;D87),IF((D85&amp;D87)&lt;&gt;"","、","")&amp;D89,""))&lt;&gt;"","〔"&amp;(D85&amp;IF(AND(D87&lt;&gt;"",D87&lt;&gt;D85),IF((D85)&lt;&gt;"","、","")&amp;D87,"")&amp;IF(AND(D89&lt;&gt;"",D89&lt;&gt;D85,D89&lt;&gt;D87),IF((D85&amp;D87)&lt;&gt;"","、","")&amp;D89,""))&amp;"〕","")</f>
        <v/>
      </c>
      <c r="E118" s="43" t="str">
        <f aca="false">IF((E85&amp;IF(AND(E87&lt;&gt;"",E87&lt;&gt;E85),IF((E85)&lt;&gt;"","、","")&amp;E87,"")&amp;IF(AND(E89&lt;&gt;"",E89&lt;&gt;E85,E89&lt;&gt;E87),IF((E85&amp;E87)&lt;&gt;"","、","")&amp;E89,""))&lt;&gt;"","〔"&amp;(E85&amp;IF(AND(E87&lt;&gt;"",E87&lt;&gt;E85),IF((E85)&lt;&gt;"","、","")&amp;E87,"")&amp;IF(AND(E89&lt;&gt;"",E89&lt;&gt;E85,E89&lt;&gt;E87),IF((E85&amp;E87)&lt;&gt;"","、","")&amp;E89,""))&amp;"〕","")</f>
        <v/>
      </c>
      <c r="F118" s="43" t="str">
        <f aca="false">IF((F85&amp;IF(AND(F87&lt;&gt;"",F87&lt;&gt;F85),IF((F85)&lt;&gt;"","、","")&amp;F87,"")&amp;IF(AND(F89&lt;&gt;"",F89&lt;&gt;F85,F89&lt;&gt;F87),IF((F85&amp;F87)&lt;&gt;"","、","")&amp;F89,""))&lt;&gt;"","〔"&amp;(F85&amp;IF(AND(F87&lt;&gt;"",F87&lt;&gt;F85),IF((F85)&lt;&gt;"","、","")&amp;F87,"")&amp;IF(AND(F89&lt;&gt;"",F89&lt;&gt;F85,F89&lt;&gt;F87),IF((F85&amp;F87)&lt;&gt;"","、","")&amp;F89,""))&amp;"〕","")</f>
        <v/>
      </c>
      <c r="G118" s="43" t="str">
        <f aca="false">IF((G85&amp;IF(AND(G87&lt;&gt;"",G87&lt;&gt;G85),IF((G85)&lt;&gt;"","、","")&amp;G87,"")&amp;IF(AND(G89&lt;&gt;"",G89&lt;&gt;G85,G89&lt;&gt;G87),IF((G85&amp;G87)&lt;&gt;"","、","")&amp;G89,""))&lt;&gt;"","〔"&amp;(G85&amp;IF(AND(G87&lt;&gt;"",G87&lt;&gt;G85),IF((G85)&lt;&gt;"","、","")&amp;G87,"")&amp;IF(AND(G89&lt;&gt;"",G89&lt;&gt;G85,G89&lt;&gt;G87),IF((G85&amp;G87)&lt;&gt;"","、","")&amp;G89,""))&amp;"〕","")</f>
        <v/>
      </c>
      <c r="H118" s="43" t="str">
        <f aca="false">IF((H85&amp;IF(AND(H87&lt;&gt;"",H87&lt;&gt;H85),IF((H85)&lt;&gt;"","、","")&amp;H87,"")&amp;IF(AND(H89&lt;&gt;"",H89&lt;&gt;H85,H89&lt;&gt;H87),IF((H85&amp;H87)&lt;&gt;"","、","")&amp;H89,""))&lt;&gt;"","〔"&amp;(H85&amp;IF(AND(H87&lt;&gt;"",H87&lt;&gt;H85),IF((H85)&lt;&gt;"","、","")&amp;H87,"")&amp;IF(AND(H89&lt;&gt;"",H89&lt;&gt;H85,H89&lt;&gt;H87),IF((H85&amp;H87)&lt;&gt;"","、","")&amp;H89,""))&amp;"〕","")</f>
        <v/>
      </c>
    </row>
    <row r="119" customFormat="false" ht="15" hidden="true" customHeight="false" outlineLevel="1" collapsed="false">
      <c r="A119" s="3" t="s">
        <v>1122</v>
      </c>
      <c r="C119" s="43" t="str">
        <f aca="false">IF((C94&amp;IF(AND(C96&lt;&gt;"",C96&lt;&gt;C94),IF((C94)&lt;&gt;"","、","")&amp;C96,"")&amp;IF(AND(C98&lt;&gt;"",C98&lt;&gt;C94,C98&lt;&gt;C96),IF((C94&amp;C96)&lt;&gt;"","、","")&amp;C98,""))&lt;&gt;"","〔"&amp;(C94&amp;IF(AND(C96&lt;&gt;"",C96&lt;&gt;C94),IF((C94)&lt;&gt;"","、","")&amp;C96,"")&amp;IF(AND(C98&lt;&gt;"",C98&lt;&gt;C94,C98&lt;&gt;C96),IF((C94&amp;C96)&lt;&gt;"","、","")&amp;C98,""))&amp;"〕","")</f>
        <v/>
      </c>
      <c r="D119" s="43" t="str">
        <f aca="false">IF((D94&amp;IF(AND(D96&lt;&gt;"",D96&lt;&gt;D94),IF((D94)&lt;&gt;"","、","")&amp;D96,"")&amp;IF(AND(D98&lt;&gt;"",D98&lt;&gt;D94,D98&lt;&gt;D96),IF((D94&amp;D96)&lt;&gt;"","、","")&amp;D98,""))&lt;&gt;"","〔"&amp;(D94&amp;IF(AND(D96&lt;&gt;"",D96&lt;&gt;D94),IF((D94)&lt;&gt;"","、","")&amp;D96,"")&amp;IF(AND(D98&lt;&gt;"",D98&lt;&gt;D94,D98&lt;&gt;D96),IF((D94&amp;D96)&lt;&gt;"","、","")&amp;D98,""))&amp;"〕","")</f>
        <v/>
      </c>
      <c r="E119" s="43" t="str">
        <f aca="false">IF((E94&amp;IF(AND(E96&lt;&gt;"",E96&lt;&gt;E94),IF((E94)&lt;&gt;"","、","")&amp;E96,"")&amp;IF(AND(E98&lt;&gt;"",E98&lt;&gt;E94,E98&lt;&gt;E96),IF((E94&amp;E96)&lt;&gt;"","、","")&amp;E98,""))&lt;&gt;"","〔"&amp;(E94&amp;IF(AND(E96&lt;&gt;"",E96&lt;&gt;E94),IF((E94)&lt;&gt;"","、","")&amp;E96,"")&amp;IF(AND(E98&lt;&gt;"",E98&lt;&gt;E94,E98&lt;&gt;E96),IF((E94&amp;E96)&lt;&gt;"","、","")&amp;E98,""))&amp;"〕","")</f>
        <v/>
      </c>
      <c r="F119" s="43" t="str">
        <f aca="false">IF((F94&amp;IF(AND(F96&lt;&gt;"",F96&lt;&gt;F94),IF((F94)&lt;&gt;"","、","")&amp;F96,"")&amp;IF(AND(F98&lt;&gt;"",F98&lt;&gt;F94,F98&lt;&gt;F96),IF((F94&amp;F96)&lt;&gt;"","、","")&amp;F98,""))&lt;&gt;"","〔"&amp;(F94&amp;IF(AND(F96&lt;&gt;"",F96&lt;&gt;F94),IF((F94)&lt;&gt;"","、","")&amp;F96,"")&amp;IF(AND(F98&lt;&gt;"",F98&lt;&gt;F94,F98&lt;&gt;F96),IF((F94&amp;F96)&lt;&gt;"","、","")&amp;F98,""))&amp;"〕","")</f>
        <v/>
      </c>
      <c r="G119" s="43" t="str">
        <f aca="false">IF((G94&amp;IF(AND(G96&lt;&gt;"",G96&lt;&gt;G94),IF((G94)&lt;&gt;"","、","")&amp;G96,"")&amp;IF(AND(G98&lt;&gt;"",G98&lt;&gt;G94,G98&lt;&gt;G96),IF((G94&amp;G96)&lt;&gt;"","、","")&amp;G98,""))&lt;&gt;"","〔"&amp;(G94&amp;IF(AND(G96&lt;&gt;"",G96&lt;&gt;G94),IF((G94)&lt;&gt;"","、","")&amp;G96,"")&amp;IF(AND(G98&lt;&gt;"",G98&lt;&gt;G94,G98&lt;&gt;G96),IF((G94&amp;G96)&lt;&gt;"","、","")&amp;G98,""))&amp;"〕","")</f>
        <v/>
      </c>
      <c r="H119" s="43" t="str">
        <f aca="false">IF((H94&amp;IF(AND(H96&lt;&gt;"",H96&lt;&gt;H94),IF((H94)&lt;&gt;"","、","")&amp;H96,"")&amp;IF(AND(H98&lt;&gt;"",H98&lt;&gt;H94,H98&lt;&gt;H96),IF((H94&amp;H96)&lt;&gt;"","、","")&amp;H98,""))&lt;&gt;"","〔"&amp;(H94&amp;IF(AND(H96&lt;&gt;"",H96&lt;&gt;H94),IF((H94)&lt;&gt;"","、","")&amp;H96,"")&amp;IF(AND(H98&lt;&gt;"",H98&lt;&gt;H94,H98&lt;&gt;H96),IF((H94&amp;H96)&lt;&gt;"","、","")&amp;H98,""))&amp;"〕","")</f>
        <v/>
      </c>
    </row>
    <row r="120" customFormat="false" ht="15" hidden="true" customHeight="false" outlineLevel="1" collapsed="false">
      <c r="A120" s="3" t="s">
        <v>1123</v>
      </c>
      <c r="C120" s="43" t="str">
        <f aca="false">IF((C100&amp;IF(AND(C102&lt;&gt;"",C102&lt;&gt;C100),IF((C100)&lt;&gt;"","、","")&amp;C102,"")&amp;IF(AND(C104&lt;&gt;"",C104&lt;&gt;C100,C104&lt;&gt;C102),IF((C100&amp;C102)&lt;&gt;"","、","")&amp;C104,""))&lt;&gt;"","〔"&amp;(C100&amp;IF(AND(C102&lt;&gt;"",C102&lt;&gt;C100),IF((C100)&lt;&gt;"","、","")&amp;C102,"")&amp;IF(AND(C104&lt;&gt;"",C104&lt;&gt;C100,C104&lt;&gt;C102),IF((C100&amp;C102)&lt;&gt;"","、","")&amp;C104,""))&amp;"〕","")</f>
        <v/>
      </c>
      <c r="D120" s="43" t="str">
        <f aca="false">IF((D100&amp;IF(AND(D102&lt;&gt;"",D102&lt;&gt;D100),IF((D100)&lt;&gt;"","、","")&amp;D102,"")&amp;IF(AND(D104&lt;&gt;"",D104&lt;&gt;D100,D104&lt;&gt;D102),IF((D100&amp;D102)&lt;&gt;"","、","")&amp;D104,""))&lt;&gt;"","〔"&amp;(D100&amp;IF(AND(D102&lt;&gt;"",D102&lt;&gt;D100),IF((D100)&lt;&gt;"","、","")&amp;D102,"")&amp;IF(AND(D104&lt;&gt;"",D104&lt;&gt;D100,D104&lt;&gt;D102),IF((D100&amp;D102)&lt;&gt;"","、","")&amp;D104,""))&amp;"〕","")</f>
        <v/>
      </c>
      <c r="E120" s="43" t="str">
        <f aca="false">IF((E100&amp;IF(AND(E102&lt;&gt;"",E102&lt;&gt;E100),IF((E100)&lt;&gt;"","、","")&amp;E102,"")&amp;IF(AND(E104&lt;&gt;"",E104&lt;&gt;E100,E104&lt;&gt;E102),IF((E100&amp;E102)&lt;&gt;"","、","")&amp;E104,""))&lt;&gt;"","〔"&amp;(E100&amp;IF(AND(E102&lt;&gt;"",E102&lt;&gt;E100),IF((E100)&lt;&gt;"","、","")&amp;E102,"")&amp;IF(AND(E104&lt;&gt;"",E104&lt;&gt;E100,E104&lt;&gt;E102),IF((E100&amp;E102)&lt;&gt;"","、","")&amp;E104,""))&amp;"〕","")</f>
        <v/>
      </c>
      <c r="F120" s="43" t="str">
        <f aca="false">IF((F100&amp;IF(AND(F102&lt;&gt;"",F102&lt;&gt;F100),IF((F100)&lt;&gt;"","、","")&amp;F102,"")&amp;IF(AND(F104&lt;&gt;"",F104&lt;&gt;F100,F104&lt;&gt;F102),IF((F100&amp;F102)&lt;&gt;"","、","")&amp;F104,""))&lt;&gt;"","〔"&amp;(F100&amp;IF(AND(F102&lt;&gt;"",F102&lt;&gt;F100),IF((F100)&lt;&gt;"","、","")&amp;F102,"")&amp;IF(AND(F104&lt;&gt;"",F104&lt;&gt;F100,F104&lt;&gt;F102),IF((F100&amp;F102)&lt;&gt;"","、","")&amp;F104,""))&amp;"〕","")</f>
        <v/>
      </c>
      <c r="G120" s="43" t="str">
        <f aca="false">IF((G100&amp;IF(AND(G102&lt;&gt;"",G102&lt;&gt;G100),IF((G100)&lt;&gt;"","、","")&amp;G102,"")&amp;IF(AND(G104&lt;&gt;"",G104&lt;&gt;G100,G104&lt;&gt;G102),IF((G100&amp;G102)&lt;&gt;"","、","")&amp;G104,""))&lt;&gt;"","〔"&amp;(G100&amp;IF(AND(G102&lt;&gt;"",G102&lt;&gt;G100),IF((G100)&lt;&gt;"","、","")&amp;G102,"")&amp;IF(AND(G104&lt;&gt;"",G104&lt;&gt;G100,G104&lt;&gt;G102),IF((G100&amp;G102)&lt;&gt;"","、","")&amp;G104,""))&amp;"〕","")</f>
        <v/>
      </c>
      <c r="H120" s="43" t="str">
        <f aca="false">IF((H100&amp;IF(AND(H102&lt;&gt;"",H102&lt;&gt;H100),IF((H100)&lt;&gt;"","、","")&amp;H102,"")&amp;IF(AND(H104&lt;&gt;"",H104&lt;&gt;H100,H104&lt;&gt;H102),IF((H100&amp;H102)&lt;&gt;"","、","")&amp;H104,""))&lt;&gt;"","〔"&amp;(H100&amp;IF(AND(H102&lt;&gt;"",H102&lt;&gt;H100),IF((H100)&lt;&gt;"","、","")&amp;H102,"")&amp;IF(AND(H104&lt;&gt;"",H104&lt;&gt;H100,H104&lt;&gt;H102),IF((H100&amp;H102)&lt;&gt;"","、","")&amp;H104,""))&amp;"〕","")</f>
        <v/>
      </c>
    </row>
    <row r="121" customFormat="false" ht="15" hidden="true" customHeight="false" outlineLevel="1" collapsed="false">
      <c r="A121" s="3" t="s">
        <v>1124</v>
      </c>
      <c r="C121" s="43" t="str">
        <f aca="false">IF((C106&amp;IF(AND(C108&lt;&gt;"",C108&lt;&gt;C106),IF((C106)&lt;&gt;"","、","")&amp;C108,"")&amp;IF(AND(C110&lt;&gt;"",C110&lt;&gt;C106,C110&lt;&gt;C108),IF((C106&amp;C108)&lt;&gt;"","、","")&amp;C110,""))&lt;&gt;"","〔"&amp;(C106&amp;IF(AND(C108&lt;&gt;"",C108&lt;&gt;C106),IF((C106)&lt;&gt;"","、","")&amp;C108,"")&amp;IF(AND(C110&lt;&gt;"",C110&lt;&gt;C106,C110&lt;&gt;C108),IF((C106&amp;C108)&lt;&gt;"","、","")&amp;C110,""))&amp;"〕","")</f>
        <v/>
      </c>
      <c r="D121" s="43" t="str">
        <f aca="false">IF((D106&amp;IF(AND(D108&lt;&gt;"",D108&lt;&gt;D106),IF((D106)&lt;&gt;"","、","")&amp;D108,"")&amp;IF(AND(D110&lt;&gt;"",D110&lt;&gt;D106,D110&lt;&gt;D108),IF((D106&amp;D108)&lt;&gt;"","、","")&amp;D110,""))&lt;&gt;"","〔"&amp;(D106&amp;IF(AND(D108&lt;&gt;"",D108&lt;&gt;D106),IF((D106)&lt;&gt;"","、","")&amp;D108,"")&amp;IF(AND(D110&lt;&gt;"",D110&lt;&gt;D106,D110&lt;&gt;D108),IF((D106&amp;D108)&lt;&gt;"","、","")&amp;D110,""))&amp;"〕","")</f>
        <v/>
      </c>
      <c r="E121" s="43" t="str">
        <f aca="false">IF((E106&amp;IF(AND(E108&lt;&gt;"",E108&lt;&gt;E106),IF((E106)&lt;&gt;"","、","")&amp;E108,"")&amp;IF(AND(E110&lt;&gt;"",E110&lt;&gt;E106,E110&lt;&gt;E108),IF((E106&amp;E108)&lt;&gt;"","、","")&amp;E110,""))&lt;&gt;"","〔"&amp;(E106&amp;IF(AND(E108&lt;&gt;"",E108&lt;&gt;E106),IF((E106)&lt;&gt;"","、","")&amp;E108,"")&amp;IF(AND(E110&lt;&gt;"",E110&lt;&gt;E106,E110&lt;&gt;E108),IF((E106&amp;E108)&lt;&gt;"","、","")&amp;E110,""))&amp;"〕","")</f>
        <v/>
      </c>
      <c r="F121" s="43" t="str">
        <f aca="false">IF((F106&amp;IF(AND(F108&lt;&gt;"",F108&lt;&gt;F106),IF((F106)&lt;&gt;"","、","")&amp;F108,"")&amp;IF(AND(F110&lt;&gt;"",F110&lt;&gt;F106,F110&lt;&gt;F108),IF((F106&amp;F108)&lt;&gt;"","、","")&amp;F110,""))&lt;&gt;"","〔"&amp;(F106&amp;IF(AND(F108&lt;&gt;"",F108&lt;&gt;F106),IF((F106)&lt;&gt;"","、","")&amp;F108,"")&amp;IF(AND(F110&lt;&gt;"",F110&lt;&gt;F106,F110&lt;&gt;F108),IF((F106&amp;F108)&lt;&gt;"","、","")&amp;F110,""))&amp;"〕","")</f>
        <v/>
      </c>
      <c r="G121" s="43" t="str">
        <f aca="false">IF((G106&amp;IF(AND(G108&lt;&gt;"",G108&lt;&gt;G106),IF((G106)&lt;&gt;"","、","")&amp;G108,"")&amp;IF(AND(G110&lt;&gt;"",G110&lt;&gt;G106,G110&lt;&gt;G108),IF((G106&amp;G108)&lt;&gt;"","、","")&amp;G110,""))&lt;&gt;"","〔"&amp;(G106&amp;IF(AND(G108&lt;&gt;"",G108&lt;&gt;G106),IF((G106)&lt;&gt;"","、","")&amp;G108,"")&amp;IF(AND(G110&lt;&gt;"",G110&lt;&gt;G106,G110&lt;&gt;G108),IF((G106&amp;G108)&lt;&gt;"","、","")&amp;G110,""))&amp;"〕","")</f>
        <v/>
      </c>
      <c r="H121" s="43" t="str">
        <f aca="false">IF((H106&amp;IF(AND(H108&lt;&gt;"",H108&lt;&gt;H106),IF((H106)&lt;&gt;"","、","")&amp;H108,"")&amp;IF(AND(H110&lt;&gt;"",H110&lt;&gt;H106,H110&lt;&gt;H108),IF((H106&amp;H108)&lt;&gt;"","、","")&amp;H110,""))&lt;&gt;"","〔"&amp;(H106&amp;IF(AND(H108&lt;&gt;"",H108&lt;&gt;H106),IF((H106)&lt;&gt;"","、","")&amp;H108,"")&amp;IF(AND(H110&lt;&gt;"",H110&lt;&gt;H106,H110&lt;&gt;H108),IF((H106&amp;H108)&lt;&gt;"","、","")&amp;H110,""))&amp;"〕","")</f>
        <v/>
      </c>
    </row>
    <row r="122" customFormat="false" ht="15" hidden="true" customHeight="false" outlineLevel="1" collapsed="false">
      <c r="A122" s="3" t="s">
        <v>1125</v>
      </c>
      <c r="C122" s="43" t="str">
        <f aca="false">IF((C112&amp;IF(AND(C114&lt;&gt;"",C114&lt;&gt;C112),IF((C112)&lt;&gt;"","、","")&amp;C114,"")&amp;IF(AND(C116&lt;&gt;"",C116&lt;&gt;C112,C116&lt;&gt;C114),IF((C112&amp;C114)&lt;&gt;"","、","")&amp;C116,""))&lt;&gt;"","〔"&amp;(C112&amp;IF(AND(C114&lt;&gt;"",C114&lt;&gt;C112),IF((C112)&lt;&gt;"","、","")&amp;C114,"")&amp;IF(AND(C116&lt;&gt;"",C116&lt;&gt;C112,C116&lt;&gt;C114),IF((C112&amp;C114)&lt;&gt;"","、","")&amp;C116,""))&amp;"〕","")</f>
        <v/>
      </c>
      <c r="D122" s="43" t="str">
        <f aca="false">IF((D112&amp;IF(AND(D114&lt;&gt;"",D114&lt;&gt;D112),IF((D112)&lt;&gt;"","、","")&amp;D114,"")&amp;IF(AND(D116&lt;&gt;"",D116&lt;&gt;D112,D116&lt;&gt;D114),IF((D112&amp;D114)&lt;&gt;"","、","")&amp;D116,""))&lt;&gt;"","〔"&amp;(D112&amp;IF(AND(D114&lt;&gt;"",D114&lt;&gt;D112),IF((D112)&lt;&gt;"","、","")&amp;D114,"")&amp;IF(AND(D116&lt;&gt;"",D116&lt;&gt;D112,D116&lt;&gt;D114),IF((D112&amp;D114)&lt;&gt;"","、","")&amp;D116,""))&amp;"〕","")</f>
        <v/>
      </c>
      <c r="E122" s="43" t="str">
        <f aca="false">IF((E112&amp;IF(AND(E114&lt;&gt;"",E114&lt;&gt;E112),IF((E112)&lt;&gt;"","、","")&amp;E114,"")&amp;IF(AND(E116&lt;&gt;"",E116&lt;&gt;E112,E116&lt;&gt;E114),IF((E112&amp;E114)&lt;&gt;"","、","")&amp;E116,""))&lt;&gt;"","〔"&amp;(E112&amp;IF(AND(E114&lt;&gt;"",E114&lt;&gt;E112),IF((E112)&lt;&gt;"","、","")&amp;E114,"")&amp;IF(AND(E116&lt;&gt;"",E116&lt;&gt;E112,E116&lt;&gt;E114),IF((E112&amp;E114)&lt;&gt;"","、","")&amp;E116,""))&amp;"〕","")</f>
        <v/>
      </c>
      <c r="F122" s="43" t="str">
        <f aca="false">IF((F112&amp;IF(AND(F114&lt;&gt;"",F114&lt;&gt;F112),IF((F112)&lt;&gt;"","、","")&amp;F114,"")&amp;IF(AND(F116&lt;&gt;"",F116&lt;&gt;F112,F116&lt;&gt;F114),IF((F112&amp;F114)&lt;&gt;"","、","")&amp;F116,""))&lt;&gt;"","〔"&amp;(F112&amp;IF(AND(F114&lt;&gt;"",F114&lt;&gt;F112),IF((F112)&lt;&gt;"","、","")&amp;F114,"")&amp;IF(AND(F116&lt;&gt;"",F116&lt;&gt;F112,F116&lt;&gt;F114),IF((F112&amp;F114)&lt;&gt;"","、","")&amp;F116,""))&amp;"〕","")</f>
        <v/>
      </c>
      <c r="G122" s="43" t="str">
        <f aca="false">IF((G112&amp;IF(AND(G114&lt;&gt;"",G114&lt;&gt;G112),IF((G112)&lt;&gt;"","、","")&amp;G114,"")&amp;IF(AND(G116&lt;&gt;"",G116&lt;&gt;G112,G116&lt;&gt;G114),IF((G112&amp;G114)&lt;&gt;"","、","")&amp;G116,""))&lt;&gt;"","〔"&amp;(G112&amp;IF(AND(G114&lt;&gt;"",G114&lt;&gt;G112),IF((G112)&lt;&gt;"","、","")&amp;G114,"")&amp;IF(AND(G116&lt;&gt;"",G116&lt;&gt;G112,G116&lt;&gt;G114),IF((G112&amp;G114)&lt;&gt;"","、","")&amp;G116,""))&amp;"〕","")</f>
        <v/>
      </c>
      <c r="H122" s="43" t="str">
        <f aca="false">IF((H112&amp;IF(AND(H114&lt;&gt;"",H114&lt;&gt;H112),IF((H112)&lt;&gt;"","、","")&amp;H114,"")&amp;IF(AND(H116&lt;&gt;"",H116&lt;&gt;H112,H116&lt;&gt;H114),IF((H112&amp;H114)&lt;&gt;"","、","")&amp;H116,""))&lt;&gt;"","〔"&amp;(H112&amp;IF(AND(H114&lt;&gt;"",H114&lt;&gt;H112),IF((H112)&lt;&gt;"","、","")&amp;H114,"")&amp;IF(AND(H116&lt;&gt;"",H116&lt;&gt;H112,H116&lt;&gt;H114),IF((H112&amp;H114)&lt;&gt;"","、","")&amp;H116,""))&amp;"〕","")</f>
        <v/>
      </c>
    </row>
    <row r="123" customFormat="false" ht="15" hidden="true" customHeight="false" outlineLevel="1" collapsed="false">
      <c r="A123" s="3" t="s">
        <v>1126</v>
      </c>
      <c r="C123" s="43" t="str">
        <f aca="false">"營收：模型 "&amp;IF(ISNUMBER(C22),IF(C22&lt;0,"−","")&amp;"$"&amp;TEXT(ABS(C22),"#,##0.0")&amp;"m","不適用")&amp;IF(ISNUMBER(C32),"｜共識 "&amp;IF(C32&lt;0,"−","")&amp;"$"&amp;TEXT(ABS(C32),"#,##0.0")&amp;"m"&amp;"（"&amp;IF(ISNUMBER(C41),IF(C41&lt;0,"−","+")&amp;TEXT(ABS(C41)*100,"#,##0.0")&amp;"%","不適用")&amp;"）","")&amp;IF(ISNUMBER(C35),"｜實際 "&amp;IF(C35&lt;0,"−","")&amp;"$"&amp;TEXT(ABS(C35),"#,##0.0")&amp;"m"&amp;"（較模型 "&amp;IF(ISNUMBER(C43),IF(C43&lt;0,"−","+")&amp;TEXT(ABS(C43)*100,"#,##0.0")&amp;"%","不適用")&amp;IF(ISNUMBER(C32),"、較共識 "&amp;IF(ISNUMBER(C44),IF(C44&lt;0,"−","+")&amp;TEXT(ABS(C44)*100,"#,##0.0")&amp;"%","不適用"),"")&amp;"）","")&amp;C118</f>
        <v>營收：模型 $31.9m</v>
      </c>
      <c r="D123" s="43" t="str">
        <f aca="false">"營收：模型 "&amp;IF(ISNUMBER(D22),IF(D22&lt;0,"−","")&amp;"$"&amp;TEXT(ABS(D22),"#,##0.0")&amp;"m","不適用")&amp;IF(ISNUMBER(D32),"｜共識 "&amp;IF(D32&lt;0,"−","")&amp;"$"&amp;TEXT(ABS(D32),"#,##0.0")&amp;"m"&amp;"（"&amp;IF(ISNUMBER(D41),IF(D41&lt;0,"−","+")&amp;TEXT(ABS(D41)*100,"#,##0.0")&amp;"%","不適用")&amp;"）","")&amp;IF(ISNUMBER(D35),"｜實際 "&amp;IF(D35&lt;0,"−","")&amp;"$"&amp;TEXT(ABS(D35),"#,##0.0")&amp;"m"&amp;"（較模型 "&amp;IF(ISNUMBER(D43),IF(D43&lt;0,"−","+")&amp;TEXT(ABS(D43)*100,"#,##0.0")&amp;"%","不適用")&amp;IF(ISNUMBER(D32),"、較共識 "&amp;IF(ISNUMBER(D44),IF(D44&lt;0,"−","+")&amp;TEXT(ABS(D44)*100,"#,##0.0")&amp;"%","不適用"),"")&amp;"）","")&amp;D118</f>
        <v>營收：模型 $47.2m</v>
      </c>
      <c r="E123" s="43" t="str">
        <f aca="false">"營收：模型 "&amp;IF(ISNUMBER(E22),IF(E22&lt;0,"−","")&amp;"$"&amp;TEXT(ABS(E22),"#,##0.0")&amp;"m","不適用")&amp;IF(ISNUMBER(E32),"｜共識 "&amp;IF(E32&lt;0,"−","")&amp;"$"&amp;TEXT(ABS(E32),"#,##0.0")&amp;"m"&amp;"（"&amp;IF(ISNUMBER(E41),IF(E41&lt;0,"−","+")&amp;TEXT(ABS(E41)*100,"#,##0.0")&amp;"%","不適用")&amp;"）","")&amp;IF(ISNUMBER(E35),"｜實際 "&amp;IF(E35&lt;0,"−","")&amp;"$"&amp;TEXT(ABS(E35),"#,##0.0")&amp;"m"&amp;"（較模型 "&amp;IF(ISNUMBER(E43),IF(E43&lt;0,"−","+")&amp;TEXT(ABS(E43)*100,"#,##0.0")&amp;"%","不適用")&amp;IF(ISNUMBER(E32),"、較共識 "&amp;IF(ISNUMBER(E44),IF(E44&lt;0,"−","+")&amp;TEXT(ABS(E44)*100,"#,##0.0")&amp;"%","不適用"),"")&amp;"）","")&amp;E118</f>
        <v>營收：模型 $52.3m</v>
      </c>
      <c r="F123" s="43" t="str">
        <f aca="false">"營收：模型 "&amp;IF(ISNUMBER(F22),IF(F22&lt;0,"−","")&amp;"$"&amp;TEXT(ABS(F22),"#,##0.0")&amp;"m","不適用")&amp;IF(ISNUMBER(F32),"｜共識 "&amp;IF(F32&lt;0,"−","")&amp;"$"&amp;TEXT(ABS(F32),"#,##0.0")&amp;"m"&amp;"（"&amp;IF(ISNUMBER(F41),IF(F41&lt;0,"−","+")&amp;TEXT(ABS(F41)*100,"#,##0.0")&amp;"%","不適用")&amp;"）","")&amp;IF(ISNUMBER(F35),"｜實際 "&amp;IF(F35&lt;0,"−","")&amp;"$"&amp;TEXT(ABS(F35),"#,##0.0")&amp;"m"&amp;"（較模型 "&amp;IF(ISNUMBER(F43),IF(F43&lt;0,"−","+")&amp;TEXT(ABS(F43)*100,"#,##0.0")&amp;"%","不適用")&amp;IF(ISNUMBER(F32),"、較共識 "&amp;IF(ISNUMBER(F44),IF(F44&lt;0,"−","+")&amp;TEXT(ABS(F44)*100,"#,##0.0")&amp;"%","不適用"),"")&amp;"）","")&amp;F118</f>
        <v>營收：模型 $63.8m</v>
      </c>
      <c r="G123" s="43" t="str">
        <f aca="false">"營收：模型 "&amp;IF(ISNUMBER(G22),IF(G22&lt;0,"−","")&amp;"$"&amp;TEXT(ABS(G22),"#,##0.0")&amp;"m","不適用")&amp;IF(ISNUMBER(G32),"｜共識 "&amp;IF(G32&lt;0,"−","")&amp;"$"&amp;TEXT(ABS(G32),"#,##0.0")&amp;"m"&amp;"（"&amp;IF(ISNUMBER(G41),IF(G41&lt;0,"−","+")&amp;TEXT(ABS(G41)*100,"#,##0.0")&amp;"%","不適用")&amp;"）","")&amp;IF(ISNUMBER(G35),"｜實際 "&amp;IF(G35&lt;0,"−","")&amp;"$"&amp;TEXT(ABS(G35),"#,##0.0")&amp;"m"&amp;"（較模型 "&amp;IF(ISNUMBER(G43),IF(G43&lt;0,"−","+")&amp;TEXT(ABS(G43)*100,"#,##0.0")&amp;"%","不適用")&amp;IF(ISNUMBER(G32),"、較共識 "&amp;IF(ISNUMBER(G44),IF(G44&lt;0,"−","+")&amp;TEXT(ABS(G44)*100,"#,##0.0")&amp;"%","不適用"),"")&amp;"）","")&amp;G118</f>
        <v>營收：模型 $75.3m</v>
      </c>
      <c r="H123" s="43" t="str">
        <f aca="false">"營收：模型 "&amp;IF(ISNUMBER(H22),IF(H22&lt;0,"−","")&amp;"$"&amp;TEXT(ABS(H22),"#,##0.0")&amp;"m","不適用")&amp;IF(ISNUMBER(H32),"｜共識 "&amp;IF(H32&lt;0,"−","")&amp;"$"&amp;TEXT(ABS(H32),"#,##0.0")&amp;"m"&amp;"（"&amp;IF(ISNUMBER(H41),IF(H41&lt;0,"−","+")&amp;TEXT(ABS(H41)*100,"#,##0.0")&amp;"%","不適用")&amp;"）","")&amp;IF(ISNUMBER(H35),"｜實際 "&amp;IF(H35&lt;0,"−","")&amp;"$"&amp;TEXT(ABS(H35),"#,##0.0")&amp;"m"&amp;"（較模型 "&amp;IF(ISNUMBER(H43),IF(H43&lt;0,"−","+")&amp;TEXT(ABS(H43)*100,"#,##0.0")&amp;"%","不適用")&amp;IF(ISNUMBER(H32),"、較共識 "&amp;IF(ISNUMBER(H44),IF(H44&lt;0,"−","+")&amp;TEXT(ABS(H44)*100,"#,##0.0")&amp;"%","不適用"),"")&amp;"）","")&amp;H118</f>
        <v>營收：模型 $86.8m</v>
      </c>
    </row>
    <row r="124" customFormat="false" ht="15" hidden="true" customHeight="false" outlineLevel="1" collapsed="false">
      <c r="A124" s="3" t="s">
        <v>1127</v>
      </c>
      <c r="C124" s="43" t="str">
        <f aca="false">"調整後 EBITDA：模型 "&amp;IF(ISNUMBER(C28),IF(C28&lt;0,"−","")&amp;"$"&amp;TEXT(ABS(C28),"#,##0.0")&amp;"m","不適用")&amp;IF(ISNUMBER(C33),"｜共識 "&amp;IF(C33&lt;0,"−","")&amp;"$"&amp;TEXT(ABS(C33),"#,##0.0")&amp;"m"&amp;"（"&amp;IF(ISNUMBER(C46),IF(C46&lt;0,"−","+")&amp;IF(ABS(C46)&lt;0,"−","")&amp;"$"&amp;TEXT(ABS(ABS(C46)),"#,##0.0")&amp;"m"&amp;IF(ISNUMBER(C51),"／"&amp;IF(C51&lt;0,"−","+")&amp;TEXT(ABS(C51)*100,"#,##0.0")&amp;"pt",""),"不適用")&amp;"）","")&amp;IF(ISNUMBER(C36),"｜實際 "&amp;IF(C36&lt;0,"−","")&amp;"$"&amp;TEXT(ABS(C36),"#,##0.0")&amp;"m"&amp;"（較模型 "&amp;IF(ISNUMBER(C48),IF(C48&lt;0,"−","+")&amp;IF(ABS(C48)&lt;0,"−","")&amp;"$"&amp;TEXT(ABS(ABS(C48)),"#,##0.0")&amp;"m"&amp;IF(ISNUMBER(C53),"／"&amp;IF(C53&lt;0,"−","+")&amp;TEXT(ABS(C53)*100,"#,##0.0")&amp;"pt",""),"不適用")&amp;IF(ISNUMBER(C33),"、較共識 "&amp;IF(ISNUMBER(C49),IF(C49&lt;0,"−","+")&amp;IF(ABS(C49)&lt;0,"−","")&amp;"$"&amp;TEXT(ABS(ABS(C49)),"#,##0.0")&amp;"m"&amp;IF(ISNUMBER(C54),"／"&amp;IF(C54&lt;0,"−","+")&amp;TEXT(ABS(C54)*100,"#,##0.0")&amp;"pt",""),"不適用"),"")&amp;"）","")&amp;C119</f>
        <v>調整後 EBITDA：模型 $2.4m</v>
      </c>
      <c r="D124" s="43" t="str">
        <f aca="false">"調整後 EBITDA：模型 "&amp;IF(ISNUMBER(D28),IF(D28&lt;0,"−","")&amp;"$"&amp;TEXT(ABS(D28),"#,##0.0")&amp;"m","不適用")&amp;IF(ISNUMBER(D33),"｜共識 "&amp;IF(D33&lt;0,"−","")&amp;"$"&amp;TEXT(ABS(D33),"#,##0.0")&amp;"m"&amp;"（"&amp;IF(ISNUMBER(D46),IF(D46&lt;0,"−","+")&amp;IF(ABS(D46)&lt;0,"−","")&amp;"$"&amp;TEXT(ABS(ABS(D46)),"#,##0.0")&amp;"m"&amp;IF(ISNUMBER(D51),"／"&amp;IF(D51&lt;0,"−","+")&amp;TEXT(ABS(D51)*100,"#,##0.0")&amp;"pt",""),"不適用")&amp;"）","")&amp;IF(ISNUMBER(D36),"｜實際 "&amp;IF(D36&lt;0,"−","")&amp;"$"&amp;TEXT(ABS(D36),"#,##0.0")&amp;"m"&amp;"（較模型 "&amp;IF(ISNUMBER(D48),IF(D48&lt;0,"−","+")&amp;IF(ABS(D48)&lt;0,"−","")&amp;"$"&amp;TEXT(ABS(ABS(D48)),"#,##0.0")&amp;"m"&amp;IF(ISNUMBER(D53),"／"&amp;IF(D53&lt;0,"−","+")&amp;TEXT(ABS(D53)*100,"#,##0.0")&amp;"pt",""),"不適用")&amp;IF(ISNUMBER(D33),"、較共識 "&amp;IF(ISNUMBER(D49),IF(D49&lt;0,"−","+")&amp;IF(ABS(D49)&lt;0,"−","")&amp;"$"&amp;TEXT(ABS(ABS(D49)),"#,##0.0")&amp;"m"&amp;IF(ISNUMBER(D54),"／"&amp;IF(D54&lt;0,"−","+")&amp;TEXT(ABS(D54)*100,"#,##0.0")&amp;"pt",""),"不適用"),"")&amp;"）","")&amp;D119</f>
        <v>調整後 EBITDA：模型 $3.8m</v>
      </c>
      <c r="E124" s="43" t="str">
        <f aca="false">"調整後 EBITDA：模型 "&amp;IF(ISNUMBER(E28),IF(E28&lt;0,"−","")&amp;"$"&amp;TEXT(ABS(E28),"#,##0.0")&amp;"m","不適用")&amp;IF(ISNUMBER(E33),"｜共識 "&amp;IF(E33&lt;0,"−","")&amp;"$"&amp;TEXT(ABS(E33),"#,##0.0")&amp;"m"&amp;"（"&amp;IF(ISNUMBER(E46),IF(E46&lt;0,"−","+")&amp;IF(ABS(E46)&lt;0,"−","")&amp;"$"&amp;TEXT(ABS(ABS(E46)),"#,##0.0")&amp;"m"&amp;IF(ISNUMBER(E51),"／"&amp;IF(E51&lt;0,"−","+")&amp;TEXT(ABS(E51)*100,"#,##0.0")&amp;"pt",""),"不適用")&amp;"）","")&amp;IF(ISNUMBER(E36),"｜實際 "&amp;IF(E36&lt;0,"−","")&amp;"$"&amp;TEXT(ABS(E36),"#,##0.0")&amp;"m"&amp;"（較模型 "&amp;IF(ISNUMBER(E48),IF(E48&lt;0,"−","+")&amp;IF(ABS(E48)&lt;0,"−","")&amp;"$"&amp;TEXT(ABS(ABS(E48)),"#,##0.0")&amp;"m"&amp;IF(ISNUMBER(E53),"／"&amp;IF(E53&lt;0,"−","+")&amp;TEXT(ABS(E53)*100,"#,##0.0")&amp;"pt",""),"不適用")&amp;IF(ISNUMBER(E33),"、較共識 "&amp;IF(ISNUMBER(E49),IF(E49&lt;0,"−","+")&amp;IF(ABS(E49)&lt;0,"−","")&amp;"$"&amp;TEXT(ABS(ABS(E49)),"#,##0.0")&amp;"m"&amp;IF(ISNUMBER(E54),"／"&amp;IF(E54&lt;0,"−","+")&amp;TEXT(ABS(E54)*100,"#,##0.0")&amp;"pt",""),"不適用"),"")&amp;"）","")&amp;E119</f>
        <v>調整後 EBITDA：模型 $4.4m</v>
      </c>
      <c r="F124" s="43" t="str">
        <f aca="false">"調整後 EBITDA：模型 "&amp;IF(ISNUMBER(F28),IF(F28&lt;0,"−","")&amp;"$"&amp;TEXT(ABS(F28),"#,##0.0")&amp;"m","不適用")&amp;IF(ISNUMBER(F33),"｜共識 "&amp;IF(F33&lt;0,"−","")&amp;"$"&amp;TEXT(ABS(F33),"#,##0.0")&amp;"m"&amp;"（"&amp;IF(ISNUMBER(F46),IF(F46&lt;0,"−","+")&amp;IF(ABS(F46)&lt;0,"−","")&amp;"$"&amp;TEXT(ABS(ABS(F46)),"#,##0.0")&amp;"m"&amp;IF(ISNUMBER(F51),"／"&amp;IF(F51&lt;0,"−","+")&amp;TEXT(ABS(F51)*100,"#,##0.0")&amp;"pt",""),"不適用")&amp;"）","")&amp;IF(ISNUMBER(F36),"｜實際 "&amp;IF(F36&lt;0,"−","")&amp;"$"&amp;TEXT(ABS(F36),"#,##0.0")&amp;"m"&amp;"（較模型 "&amp;IF(ISNUMBER(F48),IF(F48&lt;0,"−","+")&amp;IF(ABS(F48)&lt;0,"−","")&amp;"$"&amp;TEXT(ABS(ABS(F48)),"#,##0.0")&amp;"m"&amp;IF(ISNUMBER(F53),"／"&amp;IF(F53&lt;0,"−","+")&amp;TEXT(ABS(F53)*100,"#,##0.0")&amp;"pt",""),"不適用")&amp;IF(ISNUMBER(F33),"、較共識 "&amp;IF(ISNUMBER(F49),IF(F49&lt;0,"−","+")&amp;IF(ABS(F49)&lt;0,"−","")&amp;"$"&amp;TEXT(ABS(ABS(F49)),"#,##0.0")&amp;"m"&amp;IF(ISNUMBER(F54),"／"&amp;IF(F54&lt;0,"−","+")&amp;TEXT(ABS(F54)*100,"#,##0.0")&amp;"pt",""),"不適用"),"")&amp;"）","")&amp;F119</f>
        <v>調整後 EBITDA：模型 $5.6m</v>
      </c>
      <c r="G124" s="43" t="str">
        <f aca="false">"調整後 EBITDA：模型 "&amp;IF(ISNUMBER(G28),IF(G28&lt;0,"−","")&amp;"$"&amp;TEXT(ABS(G28),"#,##0.0")&amp;"m","不適用")&amp;IF(ISNUMBER(G33),"｜共識 "&amp;IF(G33&lt;0,"−","")&amp;"$"&amp;TEXT(ABS(G33),"#,##0.0")&amp;"m"&amp;"（"&amp;IF(ISNUMBER(G46),IF(G46&lt;0,"−","+")&amp;IF(ABS(G46)&lt;0,"−","")&amp;"$"&amp;TEXT(ABS(ABS(G46)),"#,##0.0")&amp;"m"&amp;IF(ISNUMBER(G51),"／"&amp;IF(G51&lt;0,"−","+")&amp;TEXT(ABS(G51)*100,"#,##0.0")&amp;"pt",""),"不適用")&amp;"）","")&amp;IF(ISNUMBER(G36),"｜實際 "&amp;IF(G36&lt;0,"−","")&amp;"$"&amp;TEXT(ABS(G36),"#,##0.0")&amp;"m"&amp;"（較模型 "&amp;IF(ISNUMBER(G48),IF(G48&lt;0,"−","+")&amp;IF(ABS(G48)&lt;0,"−","")&amp;"$"&amp;TEXT(ABS(ABS(G48)),"#,##0.0")&amp;"m"&amp;IF(ISNUMBER(G53),"／"&amp;IF(G53&lt;0,"−","+")&amp;TEXT(ABS(G53)*100,"#,##0.0")&amp;"pt",""),"不適用")&amp;IF(ISNUMBER(G33),"、較共識 "&amp;IF(ISNUMBER(G49),IF(G49&lt;0,"−","+")&amp;IF(ABS(G49)&lt;0,"−","")&amp;"$"&amp;TEXT(ABS(ABS(G49)),"#,##0.0")&amp;"m"&amp;IF(ISNUMBER(G54),"／"&amp;IF(G54&lt;0,"−","+")&amp;TEXT(ABS(G54)*100,"#,##0.0")&amp;"pt",""),"不適用"),"")&amp;"）","")&amp;G119</f>
        <v>調整後 EBITDA：模型 $7.0m</v>
      </c>
      <c r="H124" s="43" t="str">
        <f aca="false">"調整後 EBITDA：模型 "&amp;IF(ISNUMBER(H28),IF(H28&lt;0,"−","")&amp;"$"&amp;TEXT(ABS(H28),"#,##0.0")&amp;"m","不適用")&amp;IF(ISNUMBER(H33),"｜共識 "&amp;IF(H33&lt;0,"−","")&amp;"$"&amp;TEXT(ABS(H33),"#,##0.0")&amp;"m"&amp;"（"&amp;IF(ISNUMBER(H46),IF(H46&lt;0,"−","+")&amp;IF(ABS(H46)&lt;0,"−","")&amp;"$"&amp;TEXT(ABS(ABS(H46)),"#,##0.0")&amp;"m"&amp;IF(ISNUMBER(H51),"／"&amp;IF(H51&lt;0,"−","+")&amp;TEXT(ABS(H51)*100,"#,##0.0")&amp;"pt",""),"不適用")&amp;"）","")&amp;IF(ISNUMBER(H36),"｜實際 "&amp;IF(H36&lt;0,"−","")&amp;"$"&amp;TEXT(ABS(H36),"#,##0.0")&amp;"m"&amp;"（較模型 "&amp;IF(ISNUMBER(H48),IF(H48&lt;0,"−","+")&amp;IF(ABS(H48)&lt;0,"−","")&amp;"$"&amp;TEXT(ABS(ABS(H48)),"#,##0.0")&amp;"m"&amp;IF(ISNUMBER(H53),"／"&amp;IF(H53&lt;0,"−","+")&amp;TEXT(ABS(H53)*100,"#,##0.0")&amp;"pt",""),"不適用")&amp;IF(ISNUMBER(H33),"、較共識 "&amp;IF(ISNUMBER(H49),IF(H49&lt;0,"−","+")&amp;IF(ABS(H49)&lt;0,"−","")&amp;"$"&amp;TEXT(ABS(ABS(H49)),"#,##0.0")&amp;"m"&amp;IF(ISNUMBER(H54),"／"&amp;IF(H54&lt;0,"−","+")&amp;TEXT(ABS(H54)*100,"#,##0.0")&amp;"pt",""),"不適用"),"")&amp;"）","")&amp;H119</f>
        <v>調整後 EBITDA：模型 $8.4m</v>
      </c>
    </row>
    <row r="125" customFormat="false" ht="15" hidden="true" customHeight="false" outlineLevel="1" collapsed="false">
      <c r="A125" s="3" t="s">
        <v>1128</v>
      </c>
      <c r="C125" s="43" t="str">
        <f aca="false">"EBITDA 率：模型 "&amp;IF(ISNUMBER(C27),IF(C27&lt;0,"−","")&amp;TEXT(ABS(C27)*100,"#,##0.0")&amp;"%","不適用")&amp;IF(ISNUMBER(C34),"｜共識 "&amp;IF(C34&lt;0,"−","")&amp;TEXT(ABS(C34)*100,"#,##0.0")&amp;"%"&amp;"（"&amp;IF(ISNUMBER(C56),IF(C56&lt;0,"−","+")&amp;TEXT(ABS(C56)*100,"#,##0.0")&amp;"pt","不適用")&amp;"）","")&amp;IF(ISNUMBER(C37),"｜實際 "&amp;IF(C37&lt;0,"−","")&amp;TEXT(ABS(C37)*100,"#,##0.0")&amp;"%"&amp;"（較模型 "&amp;IF(ISNUMBER(C58),IF(C58&lt;0,"−","+")&amp;TEXT(ABS(C58)*100,"#,##0.0")&amp;"pt","不適用")&amp;IF(ISNUMBER(C34),"、較共識 "&amp;IF(ISNUMBER(C59),IF(C59&lt;0,"−","+")&amp;TEXT(ABS(C59)*100,"#,##0.0")&amp;"pt","不適用"),"")&amp;"）","")</f>
        <v>EBITDA 率：模型 7.6%</v>
      </c>
      <c r="D125" s="43" t="str">
        <f aca="false">"EBITDA 率：模型 "&amp;IF(ISNUMBER(D27),IF(D27&lt;0,"−","")&amp;TEXT(ABS(D27)*100,"#,##0.0")&amp;"%","不適用")&amp;IF(ISNUMBER(D34),"｜共識 "&amp;IF(D34&lt;0,"−","")&amp;TEXT(ABS(D34)*100,"#,##0.0")&amp;"%"&amp;"（"&amp;IF(ISNUMBER(D56),IF(D56&lt;0,"−","+")&amp;TEXT(ABS(D56)*100,"#,##0.0")&amp;"pt","不適用")&amp;"）","")&amp;IF(ISNUMBER(D37),"｜實際 "&amp;IF(D37&lt;0,"−","")&amp;TEXT(ABS(D37)*100,"#,##0.0")&amp;"%"&amp;"（較模型 "&amp;IF(ISNUMBER(D58),IF(D58&lt;0,"−","+")&amp;TEXT(ABS(D58)*100,"#,##0.0")&amp;"pt","不適用")&amp;IF(ISNUMBER(D34),"、較共識 "&amp;IF(ISNUMBER(D59),IF(D59&lt;0,"−","+")&amp;TEXT(ABS(D59)*100,"#,##0.0")&amp;"pt","不適用"),"")&amp;"）","")</f>
        <v>EBITDA 率：模型 8.0%</v>
      </c>
      <c r="E125" s="43" t="str">
        <f aca="false">"EBITDA 率：模型 "&amp;IF(ISNUMBER(E27),IF(E27&lt;0,"−","")&amp;TEXT(ABS(E27)*100,"#,##0.0")&amp;"%","不適用")&amp;IF(ISNUMBER(E34),"｜共識 "&amp;IF(E34&lt;0,"−","")&amp;TEXT(ABS(E34)*100,"#,##0.0")&amp;"%"&amp;"（"&amp;IF(ISNUMBER(E56),IF(E56&lt;0,"−","+")&amp;TEXT(ABS(E56)*100,"#,##0.0")&amp;"pt","不適用")&amp;"）","")&amp;IF(ISNUMBER(E37),"｜實際 "&amp;IF(E37&lt;0,"−","")&amp;TEXT(ABS(E37)*100,"#,##0.0")&amp;"%"&amp;"（較模型 "&amp;IF(ISNUMBER(E58),IF(E58&lt;0,"−","+")&amp;TEXT(ABS(E58)*100,"#,##0.0")&amp;"pt","不適用")&amp;IF(ISNUMBER(E34),"、較共識 "&amp;IF(ISNUMBER(E59),IF(E59&lt;0,"−","+")&amp;TEXT(ABS(E59)*100,"#,##0.0")&amp;"pt","不適用"),"")&amp;"）","")</f>
        <v>EBITDA 率：模型 8.4%</v>
      </c>
      <c r="F125" s="43" t="str">
        <f aca="false">"EBITDA 率：模型 "&amp;IF(ISNUMBER(F27),IF(F27&lt;0,"−","")&amp;TEXT(ABS(F27)*100,"#,##0.0")&amp;"%","不適用")&amp;IF(ISNUMBER(F34),"｜共識 "&amp;IF(F34&lt;0,"−","")&amp;TEXT(ABS(F34)*100,"#,##0.0")&amp;"%"&amp;"（"&amp;IF(ISNUMBER(F56),IF(F56&lt;0,"−","+")&amp;TEXT(ABS(F56)*100,"#,##0.0")&amp;"pt","不適用")&amp;"）","")&amp;IF(ISNUMBER(F37),"｜實際 "&amp;IF(F37&lt;0,"−","")&amp;TEXT(ABS(F37)*100,"#,##0.0")&amp;"%"&amp;"（較模型 "&amp;IF(ISNUMBER(F58),IF(F58&lt;0,"−","+")&amp;TEXT(ABS(F58)*100,"#,##0.0")&amp;"pt","不適用")&amp;IF(ISNUMBER(F34),"、較共識 "&amp;IF(ISNUMBER(F59),IF(F59&lt;0,"−","+")&amp;TEXT(ABS(F59)*100,"#,##0.0")&amp;"pt","不適用"),"")&amp;"）","")</f>
        <v>EBITDA 率：模型 8.8%</v>
      </c>
      <c r="G125" s="43" t="str">
        <f aca="false">"EBITDA 率：模型 "&amp;IF(ISNUMBER(G27),IF(G27&lt;0,"−","")&amp;TEXT(ABS(G27)*100,"#,##0.0")&amp;"%","不適用")&amp;IF(ISNUMBER(G34),"｜共識 "&amp;IF(G34&lt;0,"−","")&amp;TEXT(ABS(G34)*100,"#,##0.0")&amp;"%"&amp;"（"&amp;IF(ISNUMBER(G56),IF(G56&lt;0,"−","+")&amp;TEXT(ABS(G56)*100,"#,##0.0")&amp;"pt","不適用")&amp;"）","")&amp;IF(ISNUMBER(G37),"｜實際 "&amp;IF(G37&lt;0,"−","")&amp;TEXT(ABS(G37)*100,"#,##0.0")&amp;"%"&amp;"（較模型 "&amp;IF(ISNUMBER(G58),IF(G58&lt;0,"−","+")&amp;TEXT(ABS(G58)*100,"#,##0.0")&amp;"pt","不適用")&amp;IF(ISNUMBER(G34),"、較共識 "&amp;IF(ISNUMBER(G59),IF(G59&lt;0,"−","+")&amp;TEXT(ABS(G59)*100,"#,##0.0")&amp;"pt","不適用"),"")&amp;"）","")</f>
        <v>EBITDA 率：模型 9.3%</v>
      </c>
      <c r="H125" s="43" t="str">
        <f aca="false">"EBITDA 率：模型 "&amp;IF(ISNUMBER(H27),IF(H27&lt;0,"−","")&amp;TEXT(ABS(H27)*100,"#,##0.0")&amp;"%","不適用")&amp;IF(ISNUMBER(H34),"｜共識 "&amp;IF(H34&lt;0,"−","")&amp;TEXT(ABS(H34)*100,"#,##0.0")&amp;"%"&amp;"（"&amp;IF(ISNUMBER(H56),IF(H56&lt;0,"−","+")&amp;TEXT(ABS(H56)*100,"#,##0.0")&amp;"pt","不適用")&amp;"）","")&amp;IF(ISNUMBER(H37),"｜實際 "&amp;IF(H37&lt;0,"−","")&amp;TEXT(ABS(H37)*100,"#,##0.0")&amp;"%"&amp;"（較模型 "&amp;IF(ISNUMBER(H58),IF(H58&lt;0,"−","+")&amp;TEXT(ABS(H58)*100,"#,##0.0")&amp;"pt","不適用")&amp;IF(ISNUMBER(H34),"、較共識 "&amp;IF(ISNUMBER(H59),IF(H59&lt;0,"−","+")&amp;TEXT(ABS(H59)*100,"#,##0.0")&amp;"pt","不適用"),"")&amp;"）","")</f>
        <v>EBITDA 率：模型 9.7%</v>
      </c>
    </row>
    <row r="126" customFormat="false" ht="15" hidden="true" customHeight="false" outlineLevel="1" collapsed="false">
      <c r="A126" s="3" t="s">
        <v>1129</v>
      </c>
      <c r="C126" s="43" t="str">
        <f aca="false">"調整後營業利益：模型 "&amp;IF(ISNUMBER(C30),IF(C30&lt;0,"−","")&amp;"$"&amp;TEXT(ABS(C30),"#,##0.0")&amp;"m","不適用")&amp;IF(ISNUMBER(C38),"｜實際 "&amp;IF(C38&lt;0,"−","")&amp;"$"&amp;TEXT(ABS(C38),"#,##0.0")&amp;"m"&amp;"（較模型 "&amp;IF(ISNUMBER(C63),IF(C63&lt;0,"−","+")&amp;IF(ABS(C63)&lt;0,"−","")&amp;"$"&amp;TEXT(ABS(ABS(C63)),"#,##0.0")&amp;"m"&amp;IF(ISNUMBER(C68),"／"&amp;IF(C68&lt;0,"−","+")&amp;TEXT(ABS(C68)*100,"#,##0.0")&amp;"pt",""),"不適用")&amp;"）","")&amp;C120</f>
        <v>調整後營業利益：模型 −$11.0m</v>
      </c>
      <c r="D126" s="43" t="str">
        <f aca="false">"調整後營業利益：模型 "&amp;IF(ISNUMBER(D30),IF(D30&lt;0,"−","")&amp;"$"&amp;TEXT(ABS(D30),"#,##0.0")&amp;"m","不適用")&amp;IF(ISNUMBER(D38),"｜實際 "&amp;IF(D38&lt;0,"−","")&amp;"$"&amp;TEXT(ABS(D38),"#,##0.0")&amp;"m"&amp;"（較模型 "&amp;IF(ISNUMBER(D63),IF(D63&lt;0,"−","+")&amp;IF(ABS(D63)&lt;0,"−","")&amp;"$"&amp;TEXT(ABS(ABS(D63)),"#,##0.0")&amp;"m"&amp;IF(ISNUMBER(D68),"／"&amp;IF(D68&lt;0,"−","+")&amp;TEXT(ABS(D68)*100,"#,##0.0")&amp;"pt",""),"不適用")&amp;"）","")&amp;D120</f>
        <v>調整後營業利益：模型 −$11.3m</v>
      </c>
      <c r="E126" s="43" t="str">
        <f aca="false">"調整後營業利益：模型 "&amp;IF(ISNUMBER(E30),IF(E30&lt;0,"−","")&amp;"$"&amp;TEXT(ABS(E30),"#,##0.0")&amp;"m","不適用")&amp;IF(ISNUMBER(E38),"｜實際 "&amp;IF(E38&lt;0,"−","")&amp;"$"&amp;TEXT(ABS(E38),"#,##0.0")&amp;"m"&amp;"（較模型 "&amp;IF(ISNUMBER(E63),IF(E63&lt;0,"−","+")&amp;IF(ABS(E63)&lt;0,"−","")&amp;"$"&amp;TEXT(ABS(ABS(E63)),"#,##0.0")&amp;"m"&amp;IF(ISNUMBER(E68),"／"&amp;IF(E68&lt;0,"−","+")&amp;TEXT(ABS(E68)*100,"#,##0.0")&amp;"pt",""),"不適用")&amp;"）","")&amp;E120</f>
        <v>調整後營業利益：模型 −$12.7m</v>
      </c>
      <c r="F126" s="43" t="str">
        <f aca="false">"調整後營業利益：模型 "&amp;IF(ISNUMBER(F30),IF(F30&lt;0,"−","")&amp;"$"&amp;TEXT(ABS(F30),"#,##0.0")&amp;"m","不適用")&amp;IF(ISNUMBER(F38),"｜實際 "&amp;IF(F38&lt;0,"−","")&amp;"$"&amp;TEXT(ABS(F38),"#,##0.0")&amp;"m"&amp;"（較模型 "&amp;IF(ISNUMBER(F63),IF(F63&lt;0,"−","+")&amp;IF(ABS(F63)&lt;0,"−","")&amp;"$"&amp;TEXT(ABS(ABS(F63)),"#,##0.0")&amp;"m"&amp;IF(ISNUMBER(F68),"／"&amp;IF(F68&lt;0,"−","+")&amp;TEXT(ABS(F68)*100,"#,##0.0")&amp;"pt",""),"不適用")&amp;"）","")&amp;F120</f>
        <v>調整後營業利益：模型 −$13.8m</v>
      </c>
      <c r="G126" s="43" t="str">
        <f aca="false">"調整後營業利益：模型 "&amp;IF(ISNUMBER(G30),IF(G30&lt;0,"−","")&amp;"$"&amp;TEXT(ABS(G30),"#,##0.0")&amp;"m","不適用")&amp;IF(ISNUMBER(G38),"｜實際 "&amp;IF(G38&lt;0,"−","")&amp;"$"&amp;TEXT(ABS(G38),"#,##0.0")&amp;"m"&amp;"（較模型 "&amp;IF(ISNUMBER(G63),IF(G63&lt;0,"−","+")&amp;IF(ABS(G63)&lt;0,"−","")&amp;"$"&amp;TEXT(ABS(ABS(G63)),"#,##0.0")&amp;"m"&amp;IF(ISNUMBER(G68),"／"&amp;IF(G68&lt;0,"−","+")&amp;TEXT(ABS(G68)*100,"#,##0.0")&amp;"pt",""),"不適用")&amp;"）","")&amp;G120</f>
        <v>調整後營業利益：模型 −$14.9m</v>
      </c>
      <c r="H126" s="43" t="str">
        <f aca="false">"調整後營業利益：模型 "&amp;IF(ISNUMBER(H30),IF(H30&lt;0,"−","")&amp;"$"&amp;TEXT(ABS(H30),"#,##0.0")&amp;"m","不適用")&amp;IF(ISNUMBER(H38),"｜實際 "&amp;IF(H38&lt;0,"−","")&amp;"$"&amp;TEXT(ABS(H38),"#,##0.0")&amp;"m"&amp;"（較模型 "&amp;IF(ISNUMBER(H63),IF(H63&lt;0,"−","+")&amp;IF(ABS(H63)&lt;0,"−","")&amp;"$"&amp;TEXT(ABS(ABS(H63)),"#,##0.0")&amp;"m"&amp;IF(ISNUMBER(H68),"／"&amp;IF(H68&lt;0,"−","+")&amp;TEXT(ABS(H68)*100,"#,##0.0")&amp;"pt",""),"不適用")&amp;"）","")&amp;H120</f>
        <v>調整後營業利益：模型 −$15.9m</v>
      </c>
    </row>
    <row r="127" customFormat="false" ht="15" hidden="true" customHeight="false" outlineLevel="1" collapsed="false">
      <c r="A127" s="3" t="s">
        <v>1130</v>
      </c>
      <c r="C127" s="43" t="str">
        <f aca="false">"CapEx（毛額）：模型 "&amp;IF(ISNUMBER(C31),IF(C31&lt;0,"−","")&amp;"$"&amp;TEXT(ABS(C31),"#,##0.0")&amp;"m","不適用")&amp;IF(ISNUMBER(C39),"｜實際 "&amp;IF(C39&lt;0,"−","")&amp;"$"&amp;TEXT(ABS(C39),"#,##0.0")&amp;"m"&amp;"（較模型 "&amp;IF(ISNUMBER(C73),IF(C73&lt;0,"−","+")&amp;TEXT(ABS(C73)*100,"#,##0.0")&amp;"%","不適用")&amp;"）","")&amp;C121</f>
        <v>CapEx（毛額）：模型 $73.5m</v>
      </c>
      <c r="D127" s="43" t="str">
        <f aca="false">"CapEx（毛額）：模型 "&amp;IF(ISNUMBER(D31),IF(D31&lt;0,"−","")&amp;"$"&amp;TEXT(ABS(D31),"#,##0.0")&amp;"m","不適用")&amp;IF(ISNUMBER(D39),"｜實際 "&amp;IF(D39&lt;0,"−","")&amp;"$"&amp;TEXT(ABS(D39),"#,##0.0")&amp;"m"&amp;"（較模型 "&amp;IF(ISNUMBER(D73),IF(D73&lt;0,"−","+")&amp;TEXT(ABS(D73)*100,"#,##0.0")&amp;"%","不適用")&amp;"）","")&amp;D121</f>
        <v>CapEx（毛額）：模型 $73.5m</v>
      </c>
      <c r="E127" s="43" t="str">
        <f aca="false">"CapEx（毛額）：模型 "&amp;IF(ISNUMBER(E31),IF(E31&lt;0,"−","")&amp;"$"&amp;TEXT(ABS(E31),"#,##0.0")&amp;"m","不適用")&amp;IF(ISNUMBER(E39),"｜實際 "&amp;IF(E39&lt;0,"−","")&amp;"$"&amp;TEXT(ABS(E39),"#,##0.0")&amp;"m"&amp;"（較模型 "&amp;IF(ISNUMBER(E73),IF(E73&lt;0,"−","+")&amp;TEXT(ABS(E73)*100,"#,##0.0")&amp;"%","不適用")&amp;"）","")&amp;E121</f>
        <v>CapEx（毛額）：模型 $106.8m</v>
      </c>
      <c r="F127" s="43" t="str">
        <f aca="false">"CapEx（毛額）：模型 "&amp;IF(ISNUMBER(F31),IF(F31&lt;0,"−","")&amp;"$"&amp;TEXT(ABS(F31),"#,##0.0")&amp;"m","不適用")&amp;IF(ISNUMBER(F39),"｜實際 "&amp;IF(F39&lt;0,"−","")&amp;"$"&amp;TEXT(ABS(F39),"#,##0.0")&amp;"m"&amp;"（較模型 "&amp;IF(ISNUMBER(F73),IF(F73&lt;0,"−","+")&amp;TEXT(ABS(F73)*100,"#,##0.0")&amp;"%","不適用")&amp;"）","")&amp;F121</f>
        <v>CapEx（毛額）：模型 $106.8m</v>
      </c>
      <c r="G127" s="43" t="str">
        <f aca="false">"CapEx（毛額）：模型 "&amp;IF(ISNUMBER(G31),IF(G31&lt;0,"−","")&amp;"$"&amp;TEXT(ABS(G31),"#,##0.0")&amp;"m","不適用")&amp;IF(ISNUMBER(G39),"｜實際 "&amp;IF(G39&lt;0,"−","")&amp;"$"&amp;TEXT(ABS(G39),"#,##0.0")&amp;"m"&amp;"（較模型 "&amp;IF(ISNUMBER(G73),IF(G73&lt;0,"−","+")&amp;TEXT(ABS(G73)*100,"#,##0.0")&amp;"%","不適用")&amp;"）","")&amp;G121</f>
        <v>CapEx（毛額）：模型 $106.8m</v>
      </c>
      <c r="H127" s="43" t="str">
        <f aca="false">"CapEx（毛額）：模型 "&amp;IF(ISNUMBER(H31),IF(H31&lt;0,"−","")&amp;"$"&amp;TEXT(ABS(H31),"#,##0.0")&amp;"m","不適用")&amp;IF(ISNUMBER(H39),"｜實際 "&amp;IF(H39&lt;0,"−","")&amp;"$"&amp;TEXT(ABS(H39),"#,##0.0")&amp;"m"&amp;"（較模型 "&amp;IF(ISNUMBER(H73),IF(H73&lt;0,"−","+")&amp;TEXT(ABS(H73)*100,"#,##0.0")&amp;"%","不適用")&amp;"）","")&amp;H121</f>
        <v>CapEx（毛額）：模型 $106.8m</v>
      </c>
    </row>
    <row r="128" customFormat="false" ht="15" hidden="true" customHeight="false" outlineLevel="1" collapsed="false">
      <c r="A128" s="3" t="s">
        <v>1131</v>
      </c>
      <c r="C128" s="43" t="str">
        <f aca="false">"季末雲端已連網 MW-IT：模型 "&amp;IF(ISNUMBER(C19),IF(C19&lt;0,"−","")&amp;TEXT(ABS(C19),"#,##0")&amp;" MW","不適用")&amp;IF(ISNUMBER(C40),"｜實際 "&amp;IF(C40&lt;0,"−","")&amp;TEXT(ABS(C40),"#,##0")&amp;" MW"&amp;"（較模型 "&amp;IF(ISNUMBER(C78),IF(C78&lt;0,"−","+")&amp;IF(ABS(C78)&lt;0,"−","")&amp;TEXT(ABS(ABS(C78)),"#,##0")&amp;" MW","不適用")&amp;"）","")&amp;C122</f>
        <v>季末雲端已連網 MW-IT：模型 10 MW</v>
      </c>
      <c r="D128" s="43" t="str">
        <f aca="false">"季末雲端已連網 MW-IT：模型 "&amp;IF(ISNUMBER(D19),IF(D19&lt;0,"−","")&amp;TEXT(ABS(D19),"#,##0")&amp;" MW","不適用")&amp;IF(ISNUMBER(D40),"｜實際 "&amp;IF(D40&lt;0,"−","")&amp;TEXT(ABS(D40),"#,##0")&amp;" MW"&amp;"（較模型 "&amp;IF(ISNUMBER(D78),IF(D78&lt;0,"−","+")&amp;IF(ABS(D78)&lt;0,"−","")&amp;TEXT(ABS(ABS(D78)),"#,##0")&amp;" MW","不適用")&amp;"）","")&amp;D122</f>
        <v>季末雲端已連網 MW-IT：模型 15 MW</v>
      </c>
      <c r="E128" s="43" t="str">
        <f aca="false">"季末雲端已連網 MW-IT：模型 "&amp;IF(ISNUMBER(E19),IF(E19&lt;0,"−","")&amp;TEXT(ABS(E19),"#,##0")&amp;" MW","不適用")&amp;IF(ISNUMBER(E40),"｜實際 "&amp;IF(E40&lt;0,"−","")&amp;TEXT(ABS(E40),"#,##0")&amp;" MW"&amp;"（較模型 "&amp;IF(ISNUMBER(E78),IF(E78&lt;0,"−","+")&amp;IF(ABS(E78)&lt;0,"−","")&amp;TEXT(ABS(ABS(E78)),"#,##0")&amp;" MW","不適用")&amp;"）","")&amp;E122</f>
        <v>季末雲端已連網 MW-IT：模型 15 MW</v>
      </c>
      <c r="F128" s="43" t="str">
        <f aca="false">"季末雲端已連網 MW-IT：模型 "&amp;IF(ISNUMBER(F19),IF(F19&lt;0,"−","")&amp;TEXT(ABS(F19),"#,##0")&amp;" MW","不適用")&amp;IF(ISNUMBER(F40),"｜實際 "&amp;IF(F40&lt;0,"−","")&amp;TEXT(ABS(F40),"#,##0")&amp;" MW"&amp;"（較模型 "&amp;IF(ISNUMBER(F78),IF(F78&lt;0,"−","+")&amp;IF(ABS(F78)&lt;0,"−","")&amp;TEXT(ABS(ABS(F78)),"#,##0")&amp;" MW","不適用")&amp;"）","")&amp;F122</f>
        <v>季末雲端已連網 MW-IT：模型 16 MW</v>
      </c>
      <c r="G128" s="43" t="str">
        <f aca="false">"季末雲端已連網 MW-IT：模型 "&amp;IF(ISNUMBER(G19),IF(G19&lt;0,"−","")&amp;TEXT(ABS(G19),"#,##0")&amp;" MW","不適用")&amp;IF(ISNUMBER(G40),"｜實際 "&amp;IF(G40&lt;0,"−","")&amp;TEXT(ABS(G40),"#,##0")&amp;" MW"&amp;"（較模型 "&amp;IF(ISNUMBER(G78),IF(G78&lt;0,"−","+")&amp;IF(ABS(G78)&lt;0,"−","")&amp;TEXT(ABS(ABS(G78)),"#,##0")&amp;" MW","不適用")&amp;"）","")&amp;G122</f>
        <v>季末雲端已連網 MW-IT：模型 16 MW</v>
      </c>
      <c r="H128" s="43" t="str">
        <f aca="false">"季末雲端已連網 MW-IT：模型 "&amp;IF(ISNUMBER(H19),IF(H19&lt;0,"−","")&amp;TEXT(ABS(H19),"#,##0")&amp;" MW","不適用")&amp;IF(ISNUMBER(H40),"｜實際 "&amp;IF(H40&lt;0,"−","")&amp;TEXT(ABS(H40),"#,##0")&amp;" MW"&amp;"（較模型 "&amp;IF(ISNUMBER(H78),IF(H78&lt;0,"−","+")&amp;IF(ABS(H78)&lt;0,"−","")&amp;TEXT(ABS(ABS(H78)),"#,##0")&amp;" MW","不適用")&amp;"）","")&amp;H122</f>
        <v>季末雲端已連網 MW-IT：模型 17 MW</v>
      </c>
    </row>
    <row r="129" customFormat="false" ht="15" hidden="true" customHeight="false" outlineLevel="1" collapsed="false"/>
    <row r="130" customFormat="false" ht="15" hidden="true" customHeight="false" outlineLevel="1" collapsed="false">
      <c r="A130" s="2" t="s">
        <v>1132</v>
      </c>
    </row>
    <row r="131" customFormat="false" ht="15" hidden="true" customHeight="false" outlineLevel="1" collapsed="false">
      <c r="A131" s="3" t="s">
        <v>1133</v>
      </c>
      <c r="C131" s="66" t="n">
        <f aca="false">C22+D22-損益!C9</f>
        <v>0</v>
      </c>
      <c r="D131" s="66" t="n">
        <f aca="false">E22+F22+G22+H22-損益!D9</f>
        <v>0</v>
      </c>
    </row>
    <row r="132" customFormat="false" ht="15" hidden="true" customHeight="false" outlineLevel="1" collapsed="false">
      <c r="A132" s="3" t="s">
        <v>1134</v>
      </c>
      <c r="C132" s="66" t="n">
        <f aca="false">C28+D28-損益!C22</f>
        <v>0</v>
      </c>
      <c r="D132" s="66" t="n">
        <f aca="false">E28+F28+G28+H28-損益!D22</f>
        <v>0</v>
      </c>
    </row>
    <row r="133" customFormat="false" ht="15" hidden="true" customHeight="false" outlineLevel="1" collapsed="false">
      <c r="A133" s="3" t="s">
        <v>1135</v>
      </c>
      <c r="C133" s="66" t="n">
        <f aca="false">C30+D30-損益!C12</f>
        <v>0</v>
      </c>
      <c r="D133" s="66" t="n">
        <f aca="false">E30+F30+G30+H30-損益!D12</f>
        <v>0</v>
      </c>
    </row>
    <row r="134" customFormat="false" ht="15" hidden="true" customHeight="false" outlineLevel="1" collapsed="false">
      <c r="A134" s="3" t="s">
        <v>1136</v>
      </c>
      <c r="C134" s="66" t="n">
        <f aca="false">C31+D31-輸入與假設!C$175</f>
        <v>0</v>
      </c>
      <c r="D134" s="66" t="n">
        <f aca="false">E31+F31+G31+H31-輸入與假設!D$175</f>
        <v>0</v>
      </c>
    </row>
    <row r="135" customFormat="false" ht="15" hidden="true" customHeight="false" outlineLevel="1" collapsed="false">
      <c r="A135" s="3" t="s">
        <v>1137</v>
      </c>
      <c r="C135" s="66" t="n">
        <f aca="false">C29+D29-輸入與假設!C$176</f>
        <v>0</v>
      </c>
      <c r="D135" s="66" t="n">
        <f aca="false">E29+F29+G29+H29-輸入與假設!D$176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21.6" hidden="false" customHeight="false" outlineLevel="0" collapsed="false">
      <c r="A1" s="5" t="s">
        <v>1138</v>
      </c>
    </row>
    <row r="2" customFormat="false" ht="15" hidden="false" customHeight="false" outlineLevel="0" collapsed="false">
      <c r="A2" s="6" t="s">
        <v>1139</v>
      </c>
    </row>
    <row r="3" customFormat="false" ht="15" hidden="false" customHeight="false" outlineLevel="0" collapsed="false">
      <c r="A3" s="11" t="s">
        <v>1140</v>
      </c>
    </row>
    <row r="5" customFormat="false" ht="15" hidden="false" customHeight="false" outlineLevel="0" collapsed="false">
      <c r="A5" s="14" t="s">
        <v>53</v>
      </c>
      <c r="B5" s="14" t="s">
        <v>54</v>
      </c>
      <c r="C5" s="28" t="s">
        <v>55</v>
      </c>
      <c r="D5" s="28" t="s">
        <v>56</v>
      </c>
      <c r="E5" s="28" t="s">
        <v>57</v>
      </c>
      <c r="F5" s="28" t="s">
        <v>138</v>
      </c>
      <c r="G5" s="28" t="s">
        <v>139</v>
      </c>
      <c r="I5" s="14" t="s">
        <v>806</v>
      </c>
    </row>
    <row r="6" customFormat="false" ht="15" hidden="false" customHeight="false" outlineLevel="0" collapsed="false">
      <c r="A6" s="3" t="s">
        <v>605</v>
      </c>
      <c r="B6" s="6"/>
      <c r="C6" s="63" t="str">
        <f aca="false">"2026-07-01~12-31"</f>
        <v>2026-07-01~12-31</v>
      </c>
      <c r="D6" s="63" t="str">
        <f aca="false">"2027 全年"</f>
        <v>2027 全年</v>
      </c>
      <c r="E6" s="63" t="str">
        <f aca="false">"2028 全年"</f>
        <v>2028 全年</v>
      </c>
      <c r="F6" s="63" t="str">
        <f aca="false">"2029 全年"</f>
        <v>2029 全年</v>
      </c>
      <c r="G6" s="63" t="str">
        <f aca="false">"2030 全年"</f>
        <v>2030 全年</v>
      </c>
      <c r="I6" s="11" t="s">
        <v>1141</v>
      </c>
    </row>
    <row r="7" customFormat="false" ht="15" hidden="false" customHeight="false" outlineLevel="0" collapsed="false">
      <c r="A7" s="3" t="s">
        <v>203</v>
      </c>
      <c r="B7" s="6"/>
      <c r="C7" s="40" t="n">
        <f aca="false">輸入與假設!C$41</f>
        <v>0.5</v>
      </c>
      <c r="D7" s="40" t="n">
        <f aca="false">輸入與假設!D$41</f>
        <v>1</v>
      </c>
      <c r="E7" s="40" t="n">
        <f aca="false">輸入與假設!E$41</f>
        <v>1</v>
      </c>
      <c r="F7" s="40" t="n">
        <f aca="false">輸入與假設!F$41</f>
        <v>1</v>
      </c>
      <c r="G7" s="40" t="n">
        <f aca="false">輸入與假設!G$41</f>
        <v>1</v>
      </c>
      <c r="I7" s="6" t="s">
        <v>1142</v>
      </c>
    </row>
    <row r="8" customFormat="false" ht="15" hidden="false" customHeight="false" outlineLevel="0" collapsed="false">
      <c r="A8" s="47" t="s">
        <v>1143</v>
      </c>
      <c r="B8" s="8"/>
      <c r="C8" s="8"/>
      <c r="D8" s="8"/>
      <c r="E8" s="8"/>
      <c r="F8" s="8"/>
      <c r="G8" s="8"/>
      <c r="H8" s="8"/>
    </row>
    <row r="9" customFormat="false" ht="15" hidden="false" customHeight="false" outlineLevel="1" collapsed="false">
      <c r="A9" s="4" t="s">
        <v>1144</v>
      </c>
      <c r="B9" s="11" t="s">
        <v>142</v>
      </c>
      <c r="C9" s="65" t="n">
        <f aca="false">MAX(0,輸入與假設!C$43)</f>
        <v>14.574</v>
      </c>
      <c r="D9" s="65" t="n">
        <f aca="false">MAX(輸入與假設!D$43,C9)</f>
        <v>16.548</v>
      </c>
      <c r="E9" s="65" t="n">
        <f aca="false">MAX(輸入與假設!E$43,D9)</f>
        <v>19.548</v>
      </c>
      <c r="F9" s="65" t="n">
        <f aca="false">MAX(輸入與假設!F$43,E9)</f>
        <v>22.548</v>
      </c>
      <c r="G9" s="65" t="n">
        <f aca="false">MAX(輸入與假設!G$43,F9)</f>
        <v>25.548</v>
      </c>
      <c r="I9" s="6" t="s">
        <v>1145</v>
      </c>
    </row>
    <row r="10" customFormat="false" ht="15" hidden="false" customHeight="false" outlineLevel="1" collapsed="false">
      <c r="A10" s="4" t="s">
        <v>1146</v>
      </c>
      <c r="B10" s="11" t="s">
        <v>142</v>
      </c>
      <c r="C10" s="65" t="n">
        <f aca="false">MIN(MAX(0,輸入與假設!C$44),C9)</f>
        <v>11</v>
      </c>
      <c r="D10" s="65" t="n">
        <f aca="false">MIN(MAX(0,輸入與假設!D$44),D9)</f>
        <v>14.46</v>
      </c>
      <c r="E10" s="65" t="n">
        <f aca="false">MIN(MAX(0,輸入與假設!E$44),E9)</f>
        <v>17.86</v>
      </c>
      <c r="F10" s="65" t="n">
        <f aca="false">MIN(MAX(0,輸入與假設!F$44),F9)</f>
        <v>20.56</v>
      </c>
      <c r="G10" s="65" t="n">
        <f aca="false">MIN(MAX(0,輸入與假設!G$44),G9)</f>
        <v>23.26</v>
      </c>
      <c r="I10" s="6" t="s">
        <v>1147</v>
      </c>
    </row>
    <row r="11" customFormat="false" ht="15" hidden="false" customHeight="false" outlineLevel="1" collapsed="false">
      <c r="A11" s="4" t="s">
        <v>1148</v>
      </c>
      <c r="B11" s="11" t="s">
        <v>142</v>
      </c>
      <c r="C11" s="65" t="n">
        <f aca="false">IF($C$62&lt;=0,$C$10,輸入與假設!$C$36+($C$10-輸入與假設!$C$36)*MAX(0,MIN(1,($C$63-$C$62/12-0)/$C$7))+($D$10-$C$10)*MAX(0,MIN(1,($C$63-$C$62/12-$C$63)/$D$7))+($E$10-$D$10)*MAX(0,MIN(1,($C$63-$C$62/12-$D$63)/$E$7))+($F$10-$E$10)*MAX(0,MIN(1,($C$63-$C$62/12-$E$63)/$F$7))+($G$10-$F$10)*MAX(0,MIN(1,($C$63-$C$62/12-$F$63)/$G$7)))</f>
        <v>6.825</v>
      </c>
      <c r="D11" s="65" t="n">
        <f aca="false">IF($C$62&lt;=0,$D$10,輸入與假設!$C$36+($C$10-輸入與假設!$C$36)*MAX(0,MIN(1,($D$63-$C$62/12-0)/$C$7))+($D$10-$C$10)*MAX(0,MIN(1,($D$63-$C$62/12-$C$63)/$D$7))+($E$10-$D$10)*MAX(0,MIN(1,($D$63-$C$62/12-$D$63)/$E$7))+($F$10-$E$10)*MAX(0,MIN(1,($D$63-$C$62/12-$E$63)/$F$7))+($G$10-$F$10)*MAX(0,MIN(1,($D$63-$C$62/12-$F$63)/$G$7)))</f>
        <v>13.595</v>
      </c>
      <c r="E11" s="65" t="n">
        <f aca="false">IF($C$62&lt;=0,$E$10,輸入與假設!$C$36+($C$10-輸入與假設!$C$36)*MAX(0,MIN(1,($E$63-$C$62/12-0)/$C$7))+($D$10-$C$10)*MAX(0,MIN(1,($E$63-$C$62/12-$C$63)/$D$7))+($E$10-$D$10)*MAX(0,MIN(1,($E$63-$C$62/12-$D$63)/$E$7))+($F$10-$E$10)*MAX(0,MIN(1,($E$63-$C$62/12-$E$63)/$F$7))+($G$10-$F$10)*MAX(0,MIN(1,($E$63-$C$62/12-$F$63)/$G$7)))</f>
        <v>17.01</v>
      </c>
      <c r="F11" s="65" t="n">
        <f aca="false">IF($C$62&lt;=0,$F$10,輸入與假設!$C$36+($C$10-輸入與假設!$C$36)*MAX(0,MIN(1,($F$63-$C$62/12-0)/$C$7))+($D$10-$C$10)*MAX(0,MIN(1,($F$63-$C$62/12-$C$63)/$D$7))+($E$10-$D$10)*MAX(0,MIN(1,($F$63-$C$62/12-$D$63)/$E$7))+($F$10-$E$10)*MAX(0,MIN(1,($F$63-$C$62/12-$E$63)/$F$7))+($G$10-$F$10)*MAX(0,MIN(1,($F$63-$C$62/12-$F$63)/$G$7)))</f>
        <v>19.885</v>
      </c>
      <c r="G11" s="65" t="n">
        <f aca="false">IF($C$62&lt;=0,$G$10,輸入與假設!$C$36+($C$10-輸入與假設!$C$36)*MAX(0,MIN(1,($G$63-$C$62/12-0)/$C$7))+($D$10-$C$10)*MAX(0,MIN(1,($G$63-$C$62/12-$C$63)/$D$7))+($E$10-$D$10)*MAX(0,MIN(1,($G$63-$C$62/12-$D$63)/$E$7))+($F$10-$E$10)*MAX(0,MIN(1,($G$63-$C$62/12-$E$63)/$F$7))+($G$10-$F$10)*MAX(0,MIN(1,($G$63-$C$62/12-$F$63)/$G$7)))</f>
        <v>22.585</v>
      </c>
      <c r="I11" s="6" t="s">
        <v>1149</v>
      </c>
    </row>
    <row r="12" customFormat="false" ht="15" hidden="false" customHeight="false" outlineLevel="1" collapsed="false">
      <c r="A12" s="3" t="s">
        <v>1150</v>
      </c>
      <c r="B12" s="11" t="s">
        <v>142</v>
      </c>
      <c r="C12" s="65" t="n">
        <f aca="false">輸入與假設!$C$36</f>
        <v>2.65</v>
      </c>
      <c r="D12" s="65" t="n">
        <f aca="false">C11</f>
        <v>6.825</v>
      </c>
      <c r="E12" s="65" t="n">
        <f aca="false">D11</f>
        <v>13.595</v>
      </c>
      <c r="F12" s="65" t="n">
        <f aca="false">E11</f>
        <v>17.01</v>
      </c>
      <c r="G12" s="65" t="n">
        <f aca="false">F11</f>
        <v>19.885</v>
      </c>
      <c r="I12" s="6" t="s">
        <v>1151</v>
      </c>
    </row>
    <row r="13" customFormat="false" ht="15" hidden="false" customHeight="false" outlineLevel="1" collapsed="false">
      <c r="A13" s="3" t="s">
        <v>1152</v>
      </c>
      <c r="B13" s="11" t="s">
        <v>142</v>
      </c>
      <c r="C13" s="65" t="n">
        <f aca="false">IF(輸入與假設!$C$37=1,(C12+C11)/2,C11)</f>
        <v>4.7375</v>
      </c>
      <c r="D13" s="65" t="n">
        <f aca="false">IF(輸入與假設!$C$37=1,(D12+D11)/2,D11)</f>
        <v>10.21</v>
      </c>
      <c r="E13" s="65" t="n">
        <f aca="false">IF(輸入與假設!$C$37=1,(E12+E11)/2,E11)</f>
        <v>15.3025</v>
      </c>
      <c r="F13" s="65" t="n">
        <f aca="false">IF(輸入與假設!$C$37=1,(F12+F11)/2,F11)</f>
        <v>18.4475</v>
      </c>
      <c r="G13" s="65" t="n">
        <f aca="false">IF(輸入與假設!$C$37=1,(G12+G11)/2,G11)</f>
        <v>21.235</v>
      </c>
      <c r="I13" s="6" t="s">
        <v>1153</v>
      </c>
    </row>
    <row r="14" customFormat="false" ht="15" hidden="false" customHeight="false" outlineLevel="1" collapsed="false">
      <c r="A14" s="3" t="s">
        <v>211</v>
      </c>
      <c r="B14" s="11" t="s">
        <v>42</v>
      </c>
      <c r="C14" s="48" t="n">
        <f aca="false">輸入與假設!C$45</f>
        <v>1</v>
      </c>
      <c r="D14" s="48" t="n">
        <f aca="false">輸入與假設!D$45</f>
        <v>1</v>
      </c>
      <c r="E14" s="48" t="n">
        <f aca="false">輸入與假設!E$45</f>
        <v>1</v>
      </c>
      <c r="F14" s="48" t="n">
        <f aca="false">輸入與假設!F$45</f>
        <v>1</v>
      </c>
      <c r="G14" s="48" t="n">
        <f aca="false">輸入與假設!G$45</f>
        <v>1</v>
      </c>
    </row>
    <row r="15" customFormat="false" ht="15" hidden="false" customHeight="false" outlineLevel="1" collapsed="false">
      <c r="A15" s="3" t="s">
        <v>213</v>
      </c>
      <c r="B15" s="11" t="s">
        <v>160</v>
      </c>
      <c r="C15" s="67" t="n">
        <f aca="false">輸入與假設!C$46</f>
        <v>17.4</v>
      </c>
      <c r="D15" s="67" t="n">
        <f aca="false">輸入與假設!D$46</f>
        <v>17.4</v>
      </c>
      <c r="E15" s="67" t="n">
        <f aca="false">輸入與假設!E$46</f>
        <v>17.4</v>
      </c>
      <c r="F15" s="67" t="n">
        <f aca="false">輸入與假設!F$46</f>
        <v>17.4</v>
      </c>
      <c r="G15" s="67" t="n">
        <f aca="false">輸入與假設!G$46</f>
        <v>17.4</v>
      </c>
    </row>
    <row r="16" customFormat="false" ht="15" hidden="false" customHeight="false" outlineLevel="1" collapsed="false">
      <c r="A16" s="3" t="s">
        <v>1154</v>
      </c>
      <c r="B16" s="11" t="s">
        <v>59</v>
      </c>
      <c r="C16" s="36" t="n">
        <f aca="false">C13*輸入與假設!C$46*輸入與假設!$C$39*輸入與假設!C$45*C7</f>
        <v>41.21625</v>
      </c>
      <c r="D16" s="36" t="n">
        <f aca="false">D13*輸入與假設!D$46*輸入與假設!$C$39*輸入與假設!D$45*D7</f>
        <v>177.654</v>
      </c>
      <c r="E16" s="36" t="n">
        <f aca="false">E13*輸入與假設!E$46*輸入與假設!$C$39*輸入與假設!E$45*E7</f>
        <v>266.2635</v>
      </c>
      <c r="F16" s="36" t="n">
        <f aca="false">F13*輸入與假設!F$46*輸入與假設!$C$39*輸入與假設!F$45*F7</f>
        <v>320.9865</v>
      </c>
      <c r="G16" s="36" t="n">
        <f aca="false">G13*輸入與假設!G$46*輸入與假設!$C$39*輸入與假設!G$45*G7</f>
        <v>369.489</v>
      </c>
      <c r="I16" s="6" t="s">
        <v>1155</v>
      </c>
    </row>
    <row r="17" customFormat="false" ht="15" hidden="false" customHeight="false" outlineLevel="0" collapsed="false">
      <c r="A17" s="47" t="s">
        <v>1156</v>
      </c>
      <c r="B17" s="8"/>
      <c r="C17" s="8"/>
      <c r="D17" s="8"/>
      <c r="E17" s="8"/>
      <c r="F17" s="8"/>
      <c r="G17" s="8"/>
      <c r="H17" s="8"/>
    </row>
    <row r="18" customFormat="false" ht="15" hidden="false" customHeight="false" outlineLevel="1" collapsed="false">
      <c r="A18" s="3" t="s">
        <v>1157</v>
      </c>
      <c r="B18" s="11" t="s">
        <v>59</v>
      </c>
      <c r="C18" s="63" t="n">
        <f aca="false">(輸入與假設!$C$31+輸入與假設!$C$32)*(輸入與假設!C$42/輸入與假設!$C$34)*輸入與假設!$C$33</f>
        <v>21.6270188</v>
      </c>
      <c r="D18" s="63" t="n">
        <f aca="false">(輸入與假設!$C$31+輸入與假設!$C$32)*(輸入與假設!D$42/輸入與假設!$C$34)*輸入與假設!$C$33</f>
        <v>43.253962454</v>
      </c>
      <c r="E18" s="63" t="n">
        <f aca="false">(輸入與假設!$C$31+輸入與假設!$C$32)*(輸入與假設!E$42/輸入與假設!$C$34)*輸入與假設!$C$33</f>
        <v>10.265018746</v>
      </c>
      <c r="F18" s="63" t="n">
        <f aca="false">(輸入與假設!$C$31+輸入與假設!$C$32)*(輸入與假設!F$42/輸入與假設!$C$34)*輸入與假設!$C$33</f>
        <v>0</v>
      </c>
      <c r="G18" s="63" t="n">
        <f aca="false">(輸入與假設!$C$31+輸入與假設!$C$32)*(輸入與假設!G$42/輸入與假設!$C$34)*輸入與假設!$C$33</f>
        <v>0</v>
      </c>
      <c r="I18" s="6" t="s">
        <v>1158</v>
      </c>
    </row>
    <row r="19" customFormat="false" ht="15" hidden="false" customHeight="false" outlineLevel="0" collapsed="false">
      <c r="A19" s="47" t="s">
        <v>1159</v>
      </c>
      <c r="B19" s="8"/>
      <c r="C19" s="8"/>
      <c r="D19" s="8"/>
      <c r="E19" s="8"/>
      <c r="F19" s="8"/>
      <c r="G19" s="8"/>
      <c r="H19" s="8"/>
    </row>
    <row r="20" customFormat="false" ht="15" hidden="false" customHeight="false" outlineLevel="1" collapsed="false">
      <c r="A20" s="3" t="s">
        <v>1160</v>
      </c>
      <c r="B20" s="11" t="s">
        <v>59</v>
      </c>
      <c r="C20" s="36" t="n">
        <f aca="false">MAX(0,C18-C16)</f>
        <v>0</v>
      </c>
      <c r="D20" s="36" t="n">
        <f aca="false">MAX(0,D18-D16)</f>
        <v>0</v>
      </c>
      <c r="E20" s="36" t="n">
        <f aca="false">MAX(0,E18-E16)</f>
        <v>0</v>
      </c>
      <c r="F20" s="36" t="n">
        <f aca="false">MAX(0,F18-F16)</f>
        <v>0</v>
      </c>
      <c r="G20" s="36" t="n">
        <f aca="false">MAX(0,G18-G16)</f>
        <v>0</v>
      </c>
      <c r="I20" s="6" t="s">
        <v>1161</v>
      </c>
    </row>
    <row r="21" customFormat="false" ht="15" hidden="false" customHeight="false" outlineLevel="1" collapsed="false">
      <c r="A21" s="3" t="s">
        <v>1162</v>
      </c>
      <c r="B21" s="11" t="s">
        <v>59</v>
      </c>
      <c r="C21" s="63" t="n">
        <f aca="false">C18-C20</f>
        <v>21.6270188</v>
      </c>
      <c r="D21" s="63" t="n">
        <f aca="false">D18-D20</f>
        <v>43.253962454</v>
      </c>
      <c r="E21" s="63" t="n">
        <f aca="false">E18-E20</f>
        <v>10.265018746</v>
      </c>
      <c r="F21" s="63" t="n">
        <f aca="false">F18-F20</f>
        <v>0</v>
      </c>
      <c r="G21" s="63" t="n">
        <f aca="false">G18-G20</f>
        <v>0</v>
      </c>
      <c r="I21" s="6" t="s">
        <v>1163</v>
      </c>
    </row>
    <row r="22" customFormat="false" ht="15" hidden="false" customHeight="false" outlineLevel="1" collapsed="false">
      <c r="A22" s="3" t="s">
        <v>1164</v>
      </c>
      <c r="B22" s="11" t="s">
        <v>59</v>
      </c>
      <c r="C22" s="63" t="n">
        <f aca="false">MAX(0,C16-C18)</f>
        <v>19.5892312</v>
      </c>
      <c r="D22" s="63" t="n">
        <f aca="false">MAX(0,D16-D18)</f>
        <v>134.400037546</v>
      </c>
      <c r="E22" s="63" t="n">
        <f aca="false">MAX(0,E16-E18)</f>
        <v>255.998481254</v>
      </c>
      <c r="F22" s="63" t="n">
        <f aca="false">MAX(0,F16-F18)</f>
        <v>320.9865</v>
      </c>
      <c r="G22" s="63" t="n">
        <f aca="false">MAX(0,G16-G18)</f>
        <v>369.489</v>
      </c>
      <c r="I22" s="6" t="s">
        <v>1165</v>
      </c>
    </row>
    <row r="23" customFormat="false" ht="15" hidden="false" customHeight="false" outlineLevel="1" collapsed="false">
      <c r="A23" s="3" t="s">
        <v>215</v>
      </c>
      <c r="B23" s="11" t="s">
        <v>42</v>
      </c>
      <c r="C23" s="48" t="n">
        <f aca="false">IF(輸入與假設!$C$38="mw",1,輸入與假設!C$47)</f>
        <v>1</v>
      </c>
      <c r="D23" s="48" t="n">
        <f aca="false">IF(輸入與假設!$C$38="mw",1,輸入與假設!D$47)</f>
        <v>1</v>
      </c>
      <c r="E23" s="48" t="n">
        <f aca="false">IF(輸入與假設!$C$38="mw",1,輸入與假設!E$47)</f>
        <v>1</v>
      </c>
      <c r="F23" s="48" t="n">
        <f aca="false">IF(輸入與假設!$C$38="mw",1,輸入與假設!F$47)</f>
        <v>1</v>
      </c>
      <c r="G23" s="48" t="n">
        <f aca="false">IF(輸入與假設!$C$38="mw",1,輸入與假設!G$47)</f>
        <v>1</v>
      </c>
      <c r="I23" s="11" t="s">
        <v>1166</v>
      </c>
    </row>
    <row r="24" customFormat="false" ht="15" hidden="false" customHeight="false" outlineLevel="1" collapsed="false">
      <c r="A24" s="3" t="s">
        <v>1167</v>
      </c>
      <c r="B24" s="11" t="s">
        <v>59</v>
      </c>
      <c r="C24" s="63" t="n">
        <f aca="false">C22*C23</f>
        <v>19.5892312</v>
      </c>
      <c r="D24" s="63" t="n">
        <f aca="false">D22*D23</f>
        <v>134.400037546</v>
      </c>
      <c r="E24" s="63" t="n">
        <f aca="false">E22*E23</f>
        <v>255.998481254</v>
      </c>
      <c r="F24" s="63" t="n">
        <f aca="false">F22*F23</f>
        <v>320.9865</v>
      </c>
      <c r="G24" s="63" t="n">
        <f aca="false">G22*G23</f>
        <v>369.489</v>
      </c>
      <c r="I24" s="6" t="s">
        <v>1168</v>
      </c>
    </row>
    <row r="25" customFormat="false" ht="15" hidden="false" customHeight="false" outlineLevel="1" collapsed="false">
      <c r="A25" s="3" t="s">
        <v>1169</v>
      </c>
      <c r="B25" s="11" t="s">
        <v>59</v>
      </c>
      <c r="C25" s="63" t="n">
        <f aca="false">MAX(0,C16-C21-C24)</f>
        <v>0</v>
      </c>
      <c r="D25" s="63" t="n">
        <f aca="false">MAX(0,D16-D21-D24)</f>
        <v>0</v>
      </c>
      <c r="E25" s="63" t="n">
        <f aca="false">MAX(0,E16-E21-E24)</f>
        <v>0</v>
      </c>
      <c r="F25" s="63" t="n">
        <f aca="false">MAX(0,F16-F21-F24)</f>
        <v>0</v>
      </c>
      <c r="G25" s="63" t="n">
        <f aca="false">MAX(0,G16-G21-G24)</f>
        <v>0</v>
      </c>
      <c r="I25" s="6" t="s">
        <v>1170</v>
      </c>
    </row>
    <row r="26" customFormat="false" ht="15" hidden="false" customHeight="false" outlineLevel="1" collapsed="false">
      <c r="A26" s="3" t="s">
        <v>1171</v>
      </c>
      <c r="B26" s="11" t="s">
        <v>59</v>
      </c>
      <c r="C26" s="36" t="n">
        <f aca="false">C21+C24</f>
        <v>41.21625</v>
      </c>
      <c r="D26" s="36" t="n">
        <f aca="false">D21+D24</f>
        <v>177.654</v>
      </c>
      <c r="E26" s="36" t="n">
        <f aca="false">E21+E24</f>
        <v>266.2635</v>
      </c>
      <c r="F26" s="36" t="n">
        <f aca="false">F21+F24</f>
        <v>320.9865</v>
      </c>
      <c r="G26" s="36" t="n">
        <f aca="false">G21+G24</f>
        <v>369.489</v>
      </c>
      <c r="I26" s="6" t="s">
        <v>1172</v>
      </c>
    </row>
    <row r="27" customFormat="false" ht="15" hidden="false" customHeight="false" outlineLevel="1" collapsed="false">
      <c r="A27" s="3" t="s">
        <v>1173</v>
      </c>
      <c r="B27" s="11" t="s">
        <v>59</v>
      </c>
      <c r="C27" s="63" t="n">
        <f aca="false">C26-C13*輸入與假設!C$46*輸入與假設!$C$39*輸入與假設!C$45*C7</f>
        <v>0</v>
      </c>
      <c r="D27" s="63" t="n">
        <f aca="false">D26-D13*輸入與假設!D$46*輸入與假設!$C$39*輸入與假設!D$45*D7</f>
        <v>0</v>
      </c>
      <c r="E27" s="63" t="n">
        <f aca="false">E26-E13*輸入與假設!E$46*輸入與假設!$C$39*輸入與假設!E$45*E7</f>
        <v>0</v>
      </c>
      <c r="F27" s="63" t="n">
        <f aca="false">F26-F13*輸入與假設!F$46*輸入與假設!$C$39*輸入與假設!F$45*F7</f>
        <v>0</v>
      </c>
      <c r="G27" s="63" t="n">
        <f aca="false">G26-G13*輸入與假設!G$46*輸入與假設!$C$39*輸入與假設!G$45*G7</f>
        <v>0</v>
      </c>
      <c r="I27" s="11" t="s">
        <v>1174</v>
      </c>
    </row>
    <row r="28" customFormat="false" ht="15" hidden="false" customHeight="false" outlineLevel="1" collapsed="false">
      <c r="A28" s="3" t="s">
        <v>1175</v>
      </c>
      <c r="B28" s="11" t="s">
        <v>42</v>
      </c>
      <c r="C28" s="64" t="n">
        <v>1</v>
      </c>
      <c r="D28" s="64" t="n">
        <v>1</v>
      </c>
      <c r="E28" s="64" t="n">
        <v>1</v>
      </c>
      <c r="F28" s="64" t="n">
        <v>0.5</v>
      </c>
      <c r="G28" s="64" t="n">
        <v>0</v>
      </c>
      <c r="I28" s="11" t="s">
        <v>1176</v>
      </c>
    </row>
    <row r="29" customFormat="false" ht="15" hidden="false" customHeight="false" outlineLevel="1" collapsed="false">
      <c r="A29" s="3" t="s">
        <v>1177</v>
      </c>
      <c r="B29" s="11" t="s">
        <v>59</v>
      </c>
      <c r="C29" s="63" t="n">
        <f aca="false">C26*C28</f>
        <v>41.21625</v>
      </c>
      <c r="D29" s="63" t="n">
        <f aca="false">D26*D28</f>
        <v>177.654</v>
      </c>
      <c r="E29" s="63" t="n">
        <f aca="false">E26*E28</f>
        <v>266.2635</v>
      </c>
      <c r="F29" s="63" t="n">
        <f aca="false">F26*F28</f>
        <v>160.49325</v>
      </c>
      <c r="G29" s="63" t="n">
        <f aca="false">G26*G28</f>
        <v>0</v>
      </c>
      <c r="I29" s="6" t="s">
        <v>1178</v>
      </c>
    </row>
    <row r="30" customFormat="false" ht="15" hidden="false" customHeight="false" outlineLevel="1" collapsed="false">
      <c r="A30" s="4" t="s">
        <v>1179</v>
      </c>
      <c r="B30" s="11" t="s">
        <v>59</v>
      </c>
      <c r="C30" s="40" t="n">
        <f aca="false">輸入與假設!$C$301</f>
        <v>50.762</v>
      </c>
      <c r="D30" s="40" t="n">
        <f aca="false">0</f>
        <v>0</v>
      </c>
      <c r="E30" s="40" t="n">
        <f aca="false">0</f>
        <v>0</v>
      </c>
      <c r="F30" s="40" t="n">
        <f aca="false">0</f>
        <v>0</v>
      </c>
      <c r="G30" s="40" t="n">
        <f aca="false">0</f>
        <v>0</v>
      </c>
      <c r="I30" s="11" t="s">
        <v>1180</v>
      </c>
    </row>
    <row r="31" customFormat="false" ht="15" hidden="false" customHeight="false" outlineLevel="1" collapsed="false">
      <c r="A31" s="4" t="s">
        <v>1181</v>
      </c>
      <c r="B31" s="11" t="s">
        <v>59</v>
      </c>
      <c r="C31" s="68" t="n">
        <f aca="false">C30+C26+輸入與假設!C$50+輸入與假設!C$115</f>
        <v>129.872431231938</v>
      </c>
      <c r="D31" s="36" t="n">
        <f aca="false">D30+D26+輸入與假設!D$50+輸入與假設!D$115</f>
        <v>278.169582973631</v>
      </c>
      <c r="E31" s="36" t="n">
        <f aca="false">E30+E26+輸入與假設!E$50+輸入與假設!E$115</f>
        <v>417.412422920645</v>
      </c>
      <c r="F31" s="36" t="n">
        <f aca="false">F30+F26+輸入與假設!F$50+輸入與假設!F$115</f>
        <v>491.920905342445</v>
      </c>
      <c r="G31" s="36" t="n">
        <f aca="false">G30+G26+輸入與假設!G$50+輸入與假設!G$115</f>
        <v>544.984737502719</v>
      </c>
      <c r="I31" s="11" t="s">
        <v>1182</v>
      </c>
    </row>
    <row r="32" customFormat="false" ht="15" hidden="false" customHeight="false" outlineLevel="1" collapsed="false"/>
    <row r="33" customFormat="false" ht="15" hidden="false" customHeight="false" outlineLevel="1" collapsed="true">
      <c r="A33" s="19" t="s">
        <v>1183</v>
      </c>
      <c r="B33" s="20"/>
      <c r="C33" s="20"/>
      <c r="D33" s="20"/>
      <c r="E33" s="20"/>
      <c r="F33" s="20"/>
      <c r="G33" s="20"/>
      <c r="H33" s="20"/>
    </row>
    <row r="34" customFormat="false" ht="17.15" hidden="true" customHeight="false" outlineLevel="2" collapsed="false">
      <c r="A34" s="14" t="s">
        <v>1184</v>
      </c>
      <c r="B34" s="14" t="s">
        <v>54</v>
      </c>
      <c r="C34" s="14" t="s">
        <v>1185</v>
      </c>
      <c r="D34" s="15" t="s">
        <v>1186</v>
      </c>
      <c r="E34" s="14" t="s">
        <v>1187</v>
      </c>
      <c r="I34" s="6" t="s">
        <v>1188</v>
      </c>
    </row>
    <row r="35" customFormat="false" ht="15" hidden="true" customHeight="false" outlineLevel="2" collapsed="false">
      <c r="A35" s="3" t="s">
        <v>1189</v>
      </c>
      <c r="B35" s="11" t="s">
        <v>1190</v>
      </c>
      <c r="C35" s="25" t="n">
        <v>19.27</v>
      </c>
      <c r="D35" s="40" t="n">
        <f aca="false">輸入與假設!C46*輸入與假設!$C$39</f>
        <v>17.4</v>
      </c>
      <c r="E35" s="64" t="n">
        <f aca="false">C35/D35</f>
        <v>1.10747126436782</v>
      </c>
      <c r="I35" s="11" t="s">
        <v>1191</v>
      </c>
    </row>
    <row r="36" customFormat="false" ht="15" hidden="true" customHeight="false" outlineLevel="2" collapsed="false">
      <c r="A36" s="3" t="s">
        <v>1192</v>
      </c>
      <c r="B36" s="11" t="s">
        <v>1190</v>
      </c>
      <c r="C36" s="25" t="n">
        <v>18.27</v>
      </c>
      <c r="D36" s="40" t="n">
        <f aca="false">輸入與假設!C46*輸入與假設!$C$39</f>
        <v>17.4</v>
      </c>
      <c r="E36" s="64" t="n">
        <f aca="false">C36/D36</f>
        <v>1.05</v>
      </c>
      <c r="I36" s="11" t="s">
        <v>1193</v>
      </c>
    </row>
    <row r="37" customFormat="false" ht="15" hidden="true" customHeight="false" outlineLevel="2" collapsed="false">
      <c r="A37" s="3" t="s">
        <v>1194</v>
      </c>
      <c r="B37" s="11" t="s">
        <v>1190</v>
      </c>
      <c r="C37" s="25" t="n">
        <v>14.8</v>
      </c>
      <c r="D37" s="40" t="n">
        <f aca="false">輸入與假設!C46*輸入與假設!$C$39</f>
        <v>17.4</v>
      </c>
      <c r="E37" s="64" t="n">
        <f aca="false">C37/D37</f>
        <v>0.850574712643678</v>
      </c>
      <c r="I37" s="11" t="s">
        <v>1195</v>
      </c>
    </row>
    <row r="38" customFormat="false" ht="15" hidden="true" customHeight="false" outlineLevel="2" collapsed="false">
      <c r="A38" s="3" t="s">
        <v>1196</v>
      </c>
      <c r="B38" s="11" t="s">
        <v>1190</v>
      </c>
      <c r="C38" s="25" t="n">
        <v>20.29</v>
      </c>
      <c r="D38" s="40" t="n">
        <f aca="false">輸入與假設!C46*輸入與假設!$C$39</f>
        <v>17.4</v>
      </c>
      <c r="E38" s="64" t="n">
        <f aca="false">C38/D38</f>
        <v>1.16609195402299</v>
      </c>
      <c r="I38" s="11" t="s">
        <v>1197</v>
      </c>
    </row>
    <row r="39" customFormat="false" ht="15" hidden="true" customHeight="false" outlineLevel="2" collapsed="false">
      <c r="A39" s="3" t="s">
        <v>1198</v>
      </c>
      <c r="B39" s="11" t="s">
        <v>1190</v>
      </c>
      <c r="C39" s="25" t="n">
        <v>11.83</v>
      </c>
      <c r="D39" s="40" t="n">
        <f aca="false">輸入與假設!C46*輸入與假設!$C$39</f>
        <v>17.4</v>
      </c>
      <c r="E39" s="64" t="n">
        <f aca="false">C39/D39</f>
        <v>0.679885057471264</v>
      </c>
      <c r="I39" s="11" t="s">
        <v>1199</v>
      </c>
    </row>
    <row r="40" customFormat="false" ht="15" hidden="true" customHeight="false" outlineLevel="2" collapsed="false">
      <c r="A40" s="3" t="s">
        <v>1200</v>
      </c>
      <c r="B40" s="11" t="s">
        <v>1190</v>
      </c>
      <c r="C40" s="25" t="n">
        <v>15.8</v>
      </c>
      <c r="D40" s="40" t="n">
        <f aca="false">輸入與假設!C46*輸入與假設!$C$39</f>
        <v>17.4</v>
      </c>
      <c r="E40" s="64" t="n">
        <f aca="false">C40/D40</f>
        <v>0.908045977011494</v>
      </c>
      <c r="I40" s="11" t="s">
        <v>1201</v>
      </c>
    </row>
    <row r="41" customFormat="false" ht="15" hidden="true" customHeight="false" outlineLevel="2" collapsed="false">
      <c r="A41" s="3" t="s">
        <v>1202</v>
      </c>
      <c r="B41" s="11" t="s">
        <v>1190</v>
      </c>
      <c r="C41" s="25" t="n">
        <v>8.8</v>
      </c>
      <c r="D41" s="40" t="n">
        <f aca="false">輸入與假設!C46*輸入與假設!$C$39</f>
        <v>17.4</v>
      </c>
      <c r="E41" s="64" t="n">
        <f aca="false">C41/D41</f>
        <v>0.505747126436782</v>
      </c>
      <c r="I41" s="11" t="s">
        <v>1203</v>
      </c>
    </row>
    <row r="42" customFormat="false" ht="15" hidden="true" customHeight="false" outlineLevel="2" collapsed="false">
      <c r="A42" s="3" t="s">
        <v>1204</v>
      </c>
      <c r="B42" s="11" t="s">
        <v>1190</v>
      </c>
      <c r="C42" s="25" t="n">
        <v>18.16</v>
      </c>
      <c r="D42" s="40" t="n">
        <f aca="false">輸入與假設!C46*輸入與假設!$C$39</f>
        <v>17.4</v>
      </c>
      <c r="E42" s="64" t="n">
        <f aca="false">C42/D42</f>
        <v>1.04367816091954</v>
      </c>
      <c r="I42" s="11" t="s">
        <v>1205</v>
      </c>
    </row>
    <row r="43" customFormat="false" ht="15" hidden="true" customHeight="false" outlineLevel="2" collapsed="false">
      <c r="A43" s="3" t="s">
        <v>1206</v>
      </c>
      <c r="B43" s="11" t="s">
        <v>1190</v>
      </c>
      <c r="C43" s="25" t="n">
        <v>8.37</v>
      </c>
      <c r="D43" s="40" t="n">
        <f aca="false">輸入與假設!C46*輸入與假設!$C$39</f>
        <v>17.4</v>
      </c>
      <c r="E43" s="64" t="n">
        <f aca="false">C43/D43</f>
        <v>0.481034482758621</v>
      </c>
      <c r="I43" s="11" t="s">
        <v>1207</v>
      </c>
    </row>
    <row r="44" customFormat="false" ht="15" hidden="false" customHeight="false" outlineLevel="0" collapsed="false">
      <c r="A44" s="47" t="s">
        <v>1208</v>
      </c>
      <c r="B44" s="8"/>
      <c r="C44" s="8"/>
      <c r="D44" s="8"/>
      <c r="E44" s="8"/>
      <c r="F44" s="8"/>
      <c r="G44" s="8"/>
      <c r="H44" s="8"/>
    </row>
    <row r="45" customFormat="false" ht="15" hidden="false" customHeight="false" outlineLevel="1" collapsed="false">
      <c r="A45" s="3" t="s">
        <v>217</v>
      </c>
      <c r="B45" s="11" t="s">
        <v>42</v>
      </c>
      <c r="C45" s="48" t="n">
        <f aca="false">輸入與假設!C$48</f>
        <v>0.005</v>
      </c>
      <c r="D45" s="48" t="n">
        <f aca="false">輸入與假設!D$48</f>
        <v>0.01</v>
      </c>
      <c r="E45" s="48" t="n">
        <f aca="false">輸入與假設!E$48</f>
        <v>0.015</v>
      </c>
      <c r="F45" s="48" t="n">
        <f aca="false">輸入與假設!F$48</f>
        <v>0.02</v>
      </c>
      <c r="G45" s="48" t="n">
        <f aca="false">輸入與假設!G$48</f>
        <v>0.025</v>
      </c>
    </row>
    <row r="46" customFormat="false" ht="15" hidden="false" customHeight="false" outlineLevel="1" collapsed="false">
      <c r="A46" s="3" t="s">
        <v>219</v>
      </c>
      <c r="B46" s="11" t="s">
        <v>42</v>
      </c>
      <c r="C46" s="48" t="n">
        <f aca="false">輸入與假設!C$49</f>
        <v>0.5</v>
      </c>
      <c r="D46" s="48" t="n">
        <f aca="false">輸入與假設!D$49</f>
        <v>0.5</v>
      </c>
      <c r="E46" s="48" t="n">
        <f aca="false">輸入與假設!E$49</f>
        <v>0.5</v>
      </c>
      <c r="F46" s="48" t="n">
        <f aca="false">輸入與假設!F$49</f>
        <v>0.5</v>
      </c>
      <c r="G46" s="48" t="n">
        <f aca="false">輸入與假設!G$49</f>
        <v>0.5</v>
      </c>
    </row>
    <row r="47" customFormat="false" ht="15" hidden="false" customHeight="false" outlineLevel="1" collapsed="false">
      <c r="A47" s="3" t="s">
        <v>1209</v>
      </c>
      <c r="B47" s="11" t="s">
        <v>59</v>
      </c>
      <c r="C47" s="63" t="n">
        <f aca="false">C21*輸入與假設!C$48*(1-輸入與假設!C$49)</f>
        <v>0.054067547</v>
      </c>
      <c r="D47" s="63" t="n">
        <f aca="false">D21*輸入與假設!D$48*(1-輸入與假設!D$49)</f>
        <v>0.21626981227</v>
      </c>
      <c r="E47" s="63" t="n">
        <f aca="false">E21*輸入與假設!E$48*(1-輸入與假設!E$49)</f>
        <v>0.076987640595</v>
      </c>
      <c r="F47" s="63" t="n">
        <f aca="false">F21*輸入與假設!F$48*(1-輸入與假設!F$49)</f>
        <v>0</v>
      </c>
      <c r="G47" s="63" t="n">
        <f aca="false">G21*輸入與假設!G$48*(1-輸入與假設!G$49)</f>
        <v>0</v>
      </c>
      <c r="I47" s="6" t="s">
        <v>1210</v>
      </c>
    </row>
    <row r="48" customFormat="false" ht="15" hidden="false" customHeight="false" outlineLevel="1" collapsed="false">
      <c r="A48" s="3" t="s">
        <v>1211</v>
      </c>
      <c r="B48" s="11" t="s">
        <v>59</v>
      </c>
      <c r="C48" s="63" t="n">
        <f aca="false">C21-C47</f>
        <v>21.572951253</v>
      </c>
      <c r="D48" s="63" t="n">
        <f aca="false">D21-D47</f>
        <v>43.03769264173</v>
      </c>
      <c r="E48" s="63" t="n">
        <f aca="false">E21-E47</f>
        <v>10.188031105405</v>
      </c>
      <c r="F48" s="63" t="n">
        <f aca="false">F21-F47</f>
        <v>0</v>
      </c>
      <c r="G48" s="63" t="n">
        <f aca="false">G21-G47</f>
        <v>0</v>
      </c>
    </row>
    <row r="49" customFormat="false" ht="15" hidden="false" customHeight="false" outlineLevel="1" collapsed="false">
      <c r="A49" s="4" t="s">
        <v>1212</v>
      </c>
      <c r="B49" s="11" t="s">
        <v>42</v>
      </c>
      <c r="C49" s="48" t="n">
        <f aca="false">輸入與假設!C$127</f>
        <v>-0.32919136593557</v>
      </c>
      <c r="D49" s="48" t="n">
        <f aca="false">輸入與假設!D$127</f>
        <v>-0.170448455084021</v>
      </c>
      <c r="E49" s="48" t="n">
        <f aca="false">輸入與假設!E$127</f>
        <v>0.00635922654172419</v>
      </c>
      <c r="F49" s="48" t="n">
        <f aca="false">輸入與假設!F$127</f>
        <v>0.130294475677847</v>
      </c>
      <c r="G49" s="48" t="n">
        <f aca="false">輸入與假設!G$127</f>
        <v>0.259183462212792</v>
      </c>
      <c r="I49" s="6" t="s">
        <v>1213</v>
      </c>
    </row>
    <row r="50" customFormat="false" ht="15" hidden="false" customHeight="false" outlineLevel="1" collapsed="false">
      <c r="A50" s="3" t="s">
        <v>1214</v>
      </c>
      <c r="B50" s="11" t="s">
        <v>59</v>
      </c>
      <c r="C50" s="63" t="n">
        <f aca="false">C26+輸入與假設!C$50</f>
        <v>41.21625</v>
      </c>
      <c r="D50" s="63" t="n">
        <f aca="false">D26+輸入與假設!D$50</f>
        <v>177.654</v>
      </c>
      <c r="E50" s="63" t="n">
        <f aca="false">E26+輸入與假設!E$50</f>
        <v>266.2635</v>
      </c>
      <c r="F50" s="63" t="n">
        <f aca="false">F26+輸入與假設!F$50</f>
        <v>320.9865</v>
      </c>
      <c r="G50" s="63" t="n">
        <f aca="false">G26+輸入與假設!G$50</f>
        <v>369.489</v>
      </c>
    </row>
    <row r="51" customFormat="false" ht="15" hidden="false" customHeight="false" outlineLevel="1" collapsed="false">
      <c r="A51" s="4" t="s">
        <v>1215</v>
      </c>
      <c r="B51" s="11" t="s">
        <v>42</v>
      </c>
      <c r="C51" s="69" t="n">
        <f aca="false">輸入與假設!C$127+各期收支!C17/MAX(10,C50)</f>
        <v>-0.042482</v>
      </c>
      <c r="D51" s="69" t="n">
        <f aca="false">輸入與假設!D$127+各期收支!D17/MAX(10,D50)</f>
        <v>0.08989175</v>
      </c>
      <c r="E51" s="69" t="n">
        <f aca="false">輸入與假設!E$127+各期收支!E17/MAX(10,E50)</f>
        <v>0.2222655</v>
      </c>
      <c r="F51" s="69" t="n">
        <f aca="false">輸入與假設!F$127+各期收支!F17/MAX(10,F50)</f>
        <v>0.35463925</v>
      </c>
      <c r="G51" s="69" t="n">
        <f aca="false">輸入與假設!G$127+各期收支!G17/MAX(10,G50)</f>
        <v>0.487013</v>
      </c>
      <c r="I51" s="6" t="s">
        <v>1216</v>
      </c>
    </row>
    <row r="52" customFormat="false" ht="15" hidden="false" customHeight="false" outlineLevel="1" collapsed="false">
      <c r="A52" s="4" t="s">
        <v>1217</v>
      </c>
      <c r="B52" s="11" t="s">
        <v>59</v>
      </c>
      <c r="C52" s="36" t="n">
        <f aca="false">C48*C51</f>
        <v>-0.916462115129947</v>
      </c>
      <c r="D52" s="36" t="n">
        <f aca="false">D48*D51</f>
        <v>3.86873350752723</v>
      </c>
      <c r="E52" s="36" t="n">
        <f aca="false">E48*E51</f>
        <v>2.2644478276584</v>
      </c>
      <c r="F52" s="36" t="n">
        <f aca="false">F48*F51</f>
        <v>0</v>
      </c>
      <c r="G52" s="36" t="n">
        <f aca="false">G48*G51</f>
        <v>0</v>
      </c>
      <c r="I52" s="11" t="s">
        <v>1218</v>
      </c>
    </row>
    <row r="53" customFormat="false" ht="15" hidden="false" customHeight="false" outlineLevel="1" collapsed="false">
      <c r="A53" s="3" t="s">
        <v>1219</v>
      </c>
      <c r="B53" s="11" t="s">
        <v>59</v>
      </c>
      <c r="C53" s="63" t="n">
        <f aca="false">C24*(1-輸入與假設!C$48*(1-輸入與假設!C$49))*C51</f>
        <v>-0.830109245538804</v>
      </c>
      <c r="D53" s="63" t="n">
        <f aca="false">D24*(1-輸入與假設!D$48*(1-輸入與假設!D$49))*D51</f>
        <v>12.0210473022003</v>
      </c>
      <c r="E53" s="63" t="n">
        <f aca="false">E24*(1-輸入與假設!E$48*(1-輸入與假設!E$49))*E51</f>
        <v>56.4728832068972</v>
      </c>
      <c r="F53" s="63" t="n">
        <f aca="false">F24*(1-輸入與假設!F$48*(1-輸入與假設!F$49))*F51</f>
        <v>112.696067503924</v>
      </c>
      <c r="G53" s="63" t="n">
        <f aca="false">G24*(1-輸入與假設!G$48*(1-輸入與假設!G$49))*G51</f>
        <v>177.696622027537</v>
      </c>
      <c r="I53" s="6" t="s">
        <v>1220</v>
      </c>
    </row>
    <row r="54" customFormat="false" ht="15" hidden="false" customHeight="false" outlineLevel="1" collapsed="false"/>
    <row r="55" customFormat="false" ht="15" hidden="false" customHeight="false" outlineLevel="1" collapsed="false">
      <c r="A55" s="2" t="s">
        <v>1221</v>
      </c>
    </row>
    <row r="56" customFormat="false" ht="15" hidden="false" customHeight="false" outlineLevel="1" collapsed="false">
      <c r="A56" s="6" t="s">
        <v>1222</v>
      </c>
    </row>
    <row r="58" customFormat="false" ht="15" hidden="false" customHeight="false" outlineLevel="0" collapsed="false">
      <c r="A58" s="47" t="s">
        <v>1223</v>
      </c>
      <c r="B58" s="8"/>
      <c r="C58" s="8"/>
      <c r="D58" s="8"/>
      <c r="E58" s="8"/>
      <c r="F58" s="8"/>
      <c r="G58" s="8"/>
      <c r="H58" s="8"/>
    </row>
    <row r="59" customFormat="false" ht="15" hidden="false" customHeight="false" outlineLevel="1" collapsed="false">
      <c r="A59" s="3" t="s">
        <v>1224</v>
      </c>
      <c r="B59" s="6" t="s">
        <v>593</v>
      </c>
      <c r="C59" s="26" t="n">
        <v>6</v>
      </c>
      <c r="I59" s="11" t="s">
        <v>1225</v>
      </c>
    </row>
    <row r="60" customFormat="false" ht="15" hidden="false" customHeight="false" outlineLevel="1" collapsed="false">
      <c r="A60" s="3" t="s">
        <v>1226</v>
      </c>
      <c r="B60" s="6" t="s">
        <v>593</v>
      </c>
      <c r="C60" s="26" t="n">
        <v>3</v>
      </c>
      <c r="I60" s="11" t="s">
        <v>1225</v>
      </c>
    </row>
    <row r="61" customFormat="false" ht="15" hidden="false" customHeight="false" outlineLevel="1" collapsed="false">
      <c r="A61" s="3" t="s">
        <v>1227</v>
      </c>
      <c r="B61" s="6" t="s">
        <v>593</v>
      </c>
      <c r="C61" s="26" t="n">
        <v>0</v>
      </c>
      <c r="I61" s="11" t="s">
        <v>1225</v>
      </c>
    </row>
    <row r="62" customFormat="false" ht="15" hidden="false" customHeight="false" outlineLevel="1" collapsed="false">
      <c r="A62" s="3" t="s">
        <v>1228</v>
      </c>
      <c r="B62" s="6" t="s">
        <v>593</v>
      </c>
      <c r="C62" s="70" t="n">
        <f aca="false">CHOOSE(輸入與假設!$C$5,運營_產能與收入!$C$59,運營_產能與收入!$C$60,運營_產能與收入!$C$61)</f>
        <v>3</v>
      </c>
      <c r="I62" s="6" t="s">
        <v>1229</v>
      </c>
    </row>
    <row r="63" customFormat="false" ht="15" hidden="false" customHeight="false" outlineLevel="1" collapsed="false">
      <c r="A63" s="3" t="s">
        <v>1230</v>
      </c>
      <c r="B63" s="6" t="s">
        <v>180</v>
      </c>
      <c r="C63" s="63" t="n">
        <f aca="false">SUM($C$7:C7)</f>
        <v>0.5</v>
      </c>
      <c r="D63" s="63" t="n">
        <f aca="false">SUM($C$7:D7)</f>
        <v>1.5</v>
      </c>
      <c r="E63" s="63" t="n">
        <f aca="false">SUM($C$7:E7)</f>
        <v>2.5</v>
      </c>
      <c r="F63" s="63" t="n">
        <f aca="false">SUM($C$7:F7)</f>
        <v>3.5</v>
      </c>
      <c r="G63" s="63" t="n">
        <f aca="false">SUM($C$7:G7)</f>
        <v>4.5</v>
      </c>
      <c r="I63" s="6" t="s">
        <v>1231</v>
      </c>
    </row>
    <row r="64" customFormat="false" ht="15" hidden="false" customHeight="false" outlineLevel="1" collapsed="false">
      <c r="A64" s="3" t="s">
        <v>1232</v>
      </c>
      <c r="B64" s="11" t="s">
        <v>59</v>
      </c>
      <c r="C64" s="63" t="n">
        <f aca="false">SUM(輸入與假設!$C$165:C$165)</f>
        <v>123.379025</v>
      </c>
      <c r="D64" s="63" t="n">
        <f aca="false">SUM(輸入與假設!$C$165:D$165)</f>
        <v>167.2296395</v>
      </c>
      <c r="E64" s="63" t="n">
        <f aca="false">SUM(輸入與假設!$C$165:E$165)</f>
        <v>223.6146395</v>
      </c>
      <c r="F64" s="63" t="n">
        <f aca="false">SUM(輸入與假設!$C$165:F$165)</f>
        <v>279.9996395</v>
      </c>
      <c r="G64" s="63" t="n">
        <f aca="false">SUM(輸入與假設!$C$165:G$165)</f>
        <v>316.6498895</v>
      </c>
      <c r="I64" s="11" t="s">
        <v>1233</v>
      </c>
    </row>
    <row r="65" customFormat="false" ht="15" hidden="false" customHeight="false" outlineLevel="1" collapsed="false">
      <c r="A65" s="3" t="s">
        <v>1234</v>
      </c>
      <c r="B65" s="11" t="s">
        <v>59</v>
      </c>
      <c r="C65" s="63" t="n">
        <f aca="false">IF($C$62&lt;=0,$C$64,0+($C$64-0)*MAX(0,MIN(1,($C$63-$C$62/12-0)/$C$7))+($D$64-$C$64)*MAX(0,MIN(1,($C$63-$C$62/12-$C$63)/$D$7))+($E$64-$D$64)*MAX(0,MIN(1,($C$63-$C$62/12-$D$63)/$E$7))+($F$64-$E$64)*MAX(0,MIN(1,($C$63-$C$62/12-$E$63)/$F$7))+($G$64-$F$64)*MAX(0,MIN(1,($C$63-$C$62/12-$F$63)/$G$7)))</f>
        <v>61.6895125</v>
      </c>
      <c r="D65" s="63" t="n">
        <f aca="false">IF($C$62&lt;=0,$D$64,0+($C$64-0)*MAX(0,MIN(1,($D$63-$C$62/12-0)/$C$7))+($D$64-$C$64)*MAX(0,MIN(1,($D$63-$C$62/12-$C$63)/$D$7))+($E$64-$D$64)*MAX(0,MIN(1,($D$63-$C$62/12-$D$63)/$E$7))+($F$64-$E$64)*MAX(0,MIN(1,($D$63-$C$62/12-$E$63)/$F$7))+($G$64-$F$64)*MAX(0,MIN(1,($D$63-$C$62/12-$F$63)/$G$7)))</f>
        <v>156.266985875</v>
      </c>
      <c r="E65" s="63" t="n">
        <f aca="false">IF($C$62&lt;=0,$E$64,0+($C$64-0)*MAX(0,MIN(1,($E$63-$C$62/12-0)/$C$7))+($D$64-$C$64)*MAX(0,MIN(1,($E$63-$C$62/12-$C$63)/$D$7))+($E$64-$D$64)*MAX(0,MIN(1,($E$63-$C$62/12-$D$63)/$E$7))+($F$64-$E$64)*MAX(0,MIN(1,($E$63-$C$62/12-$E$63)/$F$7))+($G$64-$F$64)*MAX(0,MIN(1,($E$63-$C$62/12-$F$63)/$G$7)))</f>
        <v>209.5183895</v>
      </c>
      <c r="F65" s="63" t="n">
        <f aca="false">IF($C$62&lt;=0,$F$64,0+($C$64-0)*MAX(0,MIN(1,($F$63-$C$62/12-0)/$C$7))+($D$64-$C$64)*MAX(0,MIN(1,($F$63-$C$62/12-$C$63)/$D$7))+($E$64-$D$64)*MAX(0,MIN(1,($F$63-$C$62/12-$D$63)/$E$7))+($F$64-$E$64)*MAX(0,MIN(1,($F$63-$C$62/12-$E$63)/$F$7))+($G$64-$F$64)*MAX(0,MIN(1,($F$63-$C$62/12-$F$63)/$G$7)))</f>
        <v>265.9033895</v>
      </c>
      <c r="G65" s="63" t="n">
        <f aca="false">IF($C$62&lt;=0,$G$64,0+($C$64-0)*MAX(0,MIN(1,($G$63-$C$62/12-0)/$C$7))+($D$64-$C$64)*MAX(0,MIN(1,($G$63-$C$62/12-$C$63)/$D$7))+($E$64-$D$64)*MAX(0,MIN(1,($G$63-$C$62/12-$D$63)/$E$7))+($F$64-$E$64)*MAX(0,MIN(1,($G$63-$C$62/12-$E$63)/$F$7))+($G$64-$F$64)*MAX(0,MIN(1,($G$63-$C$62/12-$F$63)/$G$7)))</f>
        <v>307.487327</v>
      </c>
      <c r="I65" s="6" t="s">
        <v>1235</v>
      </c>
    </row>
    <row r="66" customFormat="false" ht="15" hidden="false" customHeight="false" outlineLevel="1" collapsed="false">
      <c r="A66" s="3" t="s">
        <v>1236</v>
      </c>
      <c r="B66" s="11" t="s">
        <v>59</v>
      </c>
      <c r="C66" s="63" t="n">
        <f aca="false">C65</f>
        <v>61.6895125</v>
      </c>
      <c r="D66" s="63" t="n">
        <f aca="false">D65-C65</f>
        <v>94.577473375</v>
      </c>
      <c r="E66" s="63" t="n">
        <f aca="false">E65-D65</f>
        <v>53.251403625</v>
      </c>
      <c r="F66" s="63" t="n">
        <f aca="false">F65-E65</f>
        <v>56.385</v>
      </c>
      <c r="G66" s="63" t="n">
        <f aca="false">G65-F65</f>
        <v>41.5839375000001</v>
      </c>
      <c r="I66" s="6" t="s">
        <v>1237</v>
      </c>
    </row>
    <row r="67" customFormat="false" ht="15" hidden="false" customHeight="false" outlineLevel="1" collapsed="false">
      <c r="A67" s="3" t="s">
        <v>1238</v>
      </c>
      <c r="B67" s="11" t="s">
        <v>59</v>
      </c>
      <c r="C67" s="36" t="n">
        <f aca="false">C64-C65</f>
        <v>61.6895125</v>
      </c>
      <c r="D67" s="36" t="n">
        <f aca="false">D64-D65</f>
        <v>10.962653625</v>
      </c>
      <c r="E67" s="36" t="n">
        <f aca="false">E64-E65</f>
        <v>14.09625</v>
      </c>
      <c r="F67" s="36" t="n">
        <f aca="false">F64-F65</f>
        <v>14.09625</v>
      </c>
      <c r="G67" s="36" t="n">
        <f aca="false">G64-G65</f>
        <v>9.16256249999998</v>
      </c>
      <c r="I67" s="6" t="s">
        <v>1239</v>
      </c>
    </row>
    <row r="68" customFormat="false" ht="15" hidden="false" customHeight="false" outlineLevel="1" collapsed="false">
      <c r="A68" s="3" t="s">
        <v>1240</v>
      </c>
      <c r="B68" s="11" t="s">
        <v>42</v>
      </c>
      <c r="C68" s="24" t="n">
        <v>0.5</v>
      </c>
      <c r="I68" s="6" t="s">
        <v>1241</v>
      </c>
    </row>
    <row r="69" customFormat="false" ht="15" hidden="false" customHeight="false" outlineLevel="1" collapsed="false">
      <c r="A69" s="3" t="s">
        <v>1242</v>
      </c>
      <c r="B69" s="11" t="s">
        <v>42</v>
      </c>
      <c r="C69" s="24" t="n">
        <v>0</v>
      </c>
      <c r="I69" s="6" t="s">
        <v>1243</v>
      </c>
    </row>
    <row r="70" customFormat="false" ht="15" hidden="false" customHeight="false" outlineLevel="1" collapsed="false">
      <c r="A70" s="3" t="s">
        <v>1244</v>
      </c>
      <c r="B70" s="11" t="s">
        <v>59</v>
      </c>
      <c r="C70" s="63" t="n">
        <f aca="false">輸入與假設!$C$26/輸入與假設!$C$28/輸入與假設!$C$29/4*((MIN(MAX(0,輸入與假設!C$154-(輸入與假設!$C$27+運營_產能與收入!$C$62/3)),輸入與假設!$C$28)*(MIN(MAX(0,輸入與假設!C$154-(輸入與假設!$C$27+運營_產能與收入!$C$62/3)),輸入與假設!$C$28)+1)/2+輸入與假設!$C$28*MAX(0,MAX(0,輸入與假設!C$154-(輸入與假設!$C$27+運營_產能與收入!$C$62/3))-輸入與假設!$C$28))-(MIN(MAX(0,0-(輸入與假設!$C$27+運營_產能與收入!$C$62/3)),輸入與假設!$C$28)*(MIN(MAX(0,0-(輸入與假設!$C$27+運營_產能與收入!$C$62/3)),輸入與假設!$C$28)+1)/2+輸入與假設!$C$28*MAX(0,MAX(0,0-(輸入與假設!$C$27+運營_產能與收入!$C$62/3))-輸入與假設!$C$28)))</f>
        <v>0</v>
      </c>
      <c r="D70" s="63" t="n">
        <f aca="false">輸入與假設!$C$26/輸入與假設!$C$28/輸入與假設!$C$29/4*((MIN(MAX(0,輸入與假設!D$154-(輸入與假設!$C$27+運營_產能與收入!$C$62/3)),輸入與假設!$C$28)*(MIN(MAX(0,輸入與假設!D$154-(輸入與假設!$C$27+運營_產能與收入!$C$62/3)),輸入與假設!$C$28)+1)/2+輸入與假設!$C$28*MAX(0,MAX(0,輸入與假設!D$154-(輸入與假設!$C$27+運營_產能與收入!$C$62/3))-輸入與假設!$C$28))-(MIN(MAX(0,輸入與假設!C$154-(輸入與假設!$C$27+運營_產能與收入!$C$62/3)),輸入與假設!$C$28)*(MIN(MAX(0,輸入與假設!C$154-(輸入與假設!$C$27+運營_產能與收入!$C$62/3)),輸入與假設!$C$28)+1)/2+輸入與假設!$C$28*MAX(0,MAX(0,輸入與假設!C$154-(輸入與假設!$C$27+運營_產能與收入!$C$62/3))-輸入與假設!$C$28)))</f>
        <v>4.12799972013561</v>
      </c>
      <c r="E70" s="63" t="n">
        <f aca="false">輸入與假設!$C$26/輸入與假設!$C$28/輸入與假設!$C$29/4*((MIN(MAX(0,輸入與假設!E$154-(輸入與假設!$C$27+運營_產能與收入!$C$62/3)),輸入與假設!$C$28)*(MIN(MAX(0,輸入與假設!E$154-(輸入與假設!$C$27+運營_產能與收入!$C$62/3)),輸入與假設!$C$28)+1)/2+輸入與假設!$C$28*MAX(0,MAX(0,輸入與假設!E$154-(輸入與假設!$C$27+運營_產能與收入!$C$62/3))-輸入與假設!$C$28))-(MIN(MAX(0,輸入與假設!D$154-(輸入與假設!$C$27+運營_產能與收入!$C$62/3)),輸入與假設!$C$28)*(MIN(MAX(0,輸入與假設!D$154-(輸入與假設!$C$27+運營_產能與收入!$C$62/3)),輸入與假設!$C$28)+1)/2+輸入與假設!$C$28*MAX(0,MAX(0,輸入與假設!D$154-(輸入與假設!$C$27+運營_產能與收入!$C$62/3))-輸入與假設!$C$28)))</f>
        <v>4.12799972013561</v>
      </c>
      <c r="F70" s="63" t="n">
        <f aca="false">輸入與假設!$C$26/輸入與假設!$C$28/輸入與假設!$C$29/4*((MIN(MAX(0,輸入與假設!F$154-(輸入與假設!$C$27+運營_產能與收入!$C$62/3)),輸入與假設!$C$28)*(MIN(MAX(0,輸入與假設!F$154-(輸入與假設!$C$27+運營_產能與收入!$C$62/3)),輸入與假設!$C$28)+1)/2+輸入與假設!$C$28*MAX(0,MAX(0,輸入與假設!F$154-(輸入與假設!$C$27+運營_產能與收入!$C$62/3))-輸入與假設!$C$28))-(MIN(MAX(0,輸入與假設!E$154-(輸入與假設!$C$27+運營_產能與收入!$C$62/3)),輸入與假設!$C$28)*(MIN(MAX(0,輸入與假設!E$154-(輸入與假設!$C$27+運營_產能與收入!$C$62/3)),輸入與假設!$C$28)+1)/2+輸入與假設!$C$28*MAX(0,MAX(0,輸入與假設!E$154-(輸入與假設!$C$27+運營_產能與收入!$C$62/3))-輸入與假設!$C$28)))</f>
        <v>4.12799972013561</v>
      </c>
      <c r="G70" s="63" t="n">
        <f aca="false">輸入與假設!$C$26/輸入與假設!$C$28/輸入與假設!$C$29/4*((MIN(MAX(0,輸入與假設!G$154-(輸入與假設!$C$27+運營_產能與收入!$C$62/3)),輸入與假設!$C$28)*(MIN(MAX(0,輸入與假設!G$154-(輸入與假設!$C$27+運營_產能與收入!$C$62/3)),輸入與假設!$C$28)+1)/2+輸入與假設!$C$28*MAX(0,MAX(0,輸入與假設!G$154-(輸入與假設!$C$27+運營_產能與收入!$C$62/3))-輸入與假設!$C$28))-(MIN(MAX(0,輸入與假設!F$154-(輸入與假設!$C$27+運營_產能與收入!$C$62/3)),輸入與假設!$C$28)*(MIN(MAX(0,輸入與假設!F$154-(輸入與假設!$C$27+運營_產能與收入!$C$62/3)),輸入與假設!$C$28)+1)/2+輸入與假設!$C$28*MAX(0,MAX(0,輸入與假設!F$154-(輸入與假設!$C$27+運營_產能與收入!$C$62/3))-輸入與假設!$C$28)))</f>
        <v>4.12799972013561</v>
      </c>
      <c r="I70" s="6" t="s">
        <v>1245</v>
      </c>
    </row>
    <row r="71" customFormat="false" ht="15" hidden="false" customHeight="false" outlineLevel="1" collapsed="false">
      <c r="A71" s="3" t="s">
        <v>1246</v>
      </c>
      <c r="B71" s="11" t="s">
        <v>59</v>
      </c>
      <c r="C71" s="36" t="n">
        <f aca="false">IF(OR(運營_產能與收入!$C$62&lt;=0,運營_產能與收入!$C$68&lt;=0),輸入與假設!C$155,(1-運營_產能與收入!$C$68)*輸入與假設!C$155+運營_產能與收入!$C$68*C70)</f>
        <v>0.515999965016951</v>
      </c>
      <c r="D71" s="36" t="n">
        <f aca="false">IF(OR(運營_產能與收入!$C$62&lt;=0,運營_產能與收入!$C$68&lt;=0),輸入與假設!D$155,(1-運營_產能與收入!$C$68)*輸入與假設!D$155+運營_產能與收入!$C$68*D70)</f>
        <v>4.12799972013561</v>
      </c>
      <c r="E71" s="36" t="n">
        <f aca="false">IF(OR(運營_產能與收入!$C$62&lt;=0,運營_產能與收入!$C$68&lt;=0),輸入與假設!E$155,(1-運營_產能與收入!$C$68)*輸入與假設!E$155+運營_產能與收入!$C$68*E70)</f>
        <v>4.12799972013561</v>
      </c>
      <c r="F71" s="36" t="n">
        <f aca="false">IF(OR(運營_產能與收入!$C$62&lt;=0,運營_產能與收入!$C$68&lt;=0),輸入與假設!F$155,(1-運營_產能與收入!$C$68)*輸入與假設!F$155+運營_產能與收入!$C$68*F70)</f>
        <v>4.12799972013561</v>
      </c>
      <c r="G71" s="36" t="n">
        <f aca="false">IF(OR(運營_產能與收入!$C$62&lt;=0,運營_產能與收入!$C$68&lt;=0),輸入與假設!G$155,(1-運營_產能與收入!$C$68)*輸入與假設!G$155+運營_產能與收入!$C$68*G70)</f>
        <v>4.12799972013561</v>
      </c>
      <c r="I71" s="6" t="s">
        <v>1247</v>
      </c>
    </row>
    <row r="72" customFormat="false" ht="15" hidden="false" customHeight="false" outlineLevel="1" collapsed="false">
      <c r="A72" s="3" t="s">
        <v>1248</v>
      </c>
      <c r="B72" s="11" t="s">
        <v>59</v>
      </c>
      <c r="C72" s="63" t="n">
        <f aca="false">IF(輸入與假設!$C$37=1,(輸入與假設!$C$36+C10)/2,C10)*輸入與假設!C$46*輸入與假設!$C$39*輸入與假設!C$45*C7</f>
        <v>59.3775</v>
      </c>
      <c r="D72" s="63" t="n">
        <f aca="false">IF(輸入與假設!$C$37=1,(C10+D10)/2,D10)*輸入與假設!D$46*輸入與假設!$C$39*輸入與假設!D$45*D7</f>
        <v>221.502</v>
      </c>
      <c r="E72" s="63" t="n">
        <f aca="false">IF(輸入與假設!$C$37=1,(D10+E10)/2,E10)*輸入與假設!E$46*輸入與假設!$C$39*輸入與假設!E$45*E7</f>
        <v>281.184</v>
      </c>
      <c r="F72" s="63" t="n">
        <f aca="false">IF(輸入與假設!$C$37=1,(E10+F10)/2,F10)*輸入與假設!F$46*輸入與假設!$C$39*輸入與假設!F$45*F7</f>
        <v>334.254</v>
      </c>
      <c r="G72" s="63" t="n">
        <f aca="false">IF(輸入與假設!$C$37=1,(F10+G10)/2,G10)*輸入與假設!G$46*輸入與假設!$C$39*輸入與假設!G$45*G7</f>
        <v>381.234</v>
      </c>
      <c r="I72" s="6" t="s">
        <v>1249</v>
      </c>
    </row>
    <row r="73" customFormat="false" ht="15" hidden="false" customHeight="false" outlineLevel="1" collapsed="false">
      <c r="A73" s="3" t="s">
        <v>1250</v>
      </c>
      <c r="B73" s="11" t="s">
        <v>59</v>
      </c>
      <c r="C73" s="63" t="n">
        <f aca="false">IF(運營_產能與收入!$C$62&lt;=0,0,MAX(0,C72-C16))</f>
        <v>18.16125</v>
      </c>
      <c r="D73" s="63" t="n">
        <f aca="false">IF(運營_產能與收入!$C$62&lt;=0,0,MAX(0,D72-D16))</f>
        <v>43.848</v>
      </c>
      <c r="E73" s="63" t="n">
        <f aca="false">IF(運營_產能與收入!$C$62&lt;=0,0,MAX(0,E72-E16))</f>
        <v>14.9205</v>
      </c>
      <c r="F73" s="63" t="n">
        <f aca="false">IF(運營_產能與收入!$C$62&lt;=0,0,MAX(0,F72-F16))</f>
        <v>13.2675</v>
      </c>
      <c r="G73" s="63" t="n">
        <f aca="false">IF(運營_產能與收入!$C$62&lt;=0,0,MAX(0,G72-G16))</f>
        <v>11.745</v>
      </c>
      <c r="I73" s="6" t="s">
        <v>1251</v>
      </c>
    </row>
    <row r="74" customFormat="false" ht="15" hidden="false" customHeight="false" outlineLevel="1" collapsed="false">
      <c r="A74" s="3" t="s">
        <v>1252</v>
      </c>
      <c r="B74" s="11" t="s">
        <v>59</v>
      </c>
      <c r="C74" s="63" t="n">
        <f aca="false">運營_產能與收入!$C$69*C73</f>
        <v>0</v>
      </c>
      <c r="D74" s="63" t="n">
        <f aca="false">運營_產能與收入!$C$69*D73</f>
        <v>0</v>
      </c>
      <c r="E74" s="63" t="n">
        <f aca="false">運營_產能與收入!$C$69*E73</f>
        <v>0</v>
      </c>
      <c r="F74" s="63" t="n">
        <f aca="false">運營_產能與收入!$C$69*F73</f>
        <v>0</v>
      </c>
      <c r="G74" s="63" t="n">
        <f aca="false">運營_產能與收入!$C$69*G73</f>
        <v>0</v>
      </c>
      <c r="I74" s="6" t="s">
        <v>1253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K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12"/>
    <col collapsed="false" customWidth="true" hidden="false" outlineLevel="0" max="9" min="9" style="0" width="18"/>
    <col collapsed="false" customWidth="true" hidden="false" outlineLevel="0" max="10" min="10" style="0" width="26"/>
    <col collapsed="false" customWidth="true" hidden="false" outlineLevel="0" max="11" min="11" style="0" width="60"/>
  </cols>
  <sheetData>
    <row r="1" customFormat="false" ht="21.6" hidden="false" customHeight="false" outlineLevel="0" collapsed="false">
      <c r="A1" s="5" t="s">
        <v>1254</v>
      </c>
    </row>
    <row r="2" customFormat="false" ht="15" hidden="false" customHeight="false" outlineLevel="0" collapsed="false">
      <c r="A2" s="6" t="s">
        <v>1255</v>
      </c>
    </row>
    <row r="4" customFormat="false" ht="17.15" hidden="false" customHeight="false" outlineLevel="0" collapsed="false">
      <c r="A4" s="14" t="s">
        <v>1256</v>
      </c>
      <c r="B4" s="14" t="s">
        <v>1257</v>
      </c>
      <c r="C4" s="14" t="s">
        <v>1258</v>
      </c>
      <c r="D4" s="14" t="s">
        <v>1259</v>
      </c>
      <c r="E4" s="14" t="s">
        <v>1260</v>
      </c>
      <c r="F4" s="14" t="s">
        <v>1261</v>
      </c>
      <c r="G4" s="14" t="s">
        <v>1262</v>
      </c>
      <c r="H4" s="14" t="s">
        <v>1263</v>
      </c>
      <c r="I4" s="14" t="s">
        <v>1264</v>
      </c>
      <c r="J4" s="14" t="s">
        <v>1265</v>
      </c>
      <c r="K4" s="14" t="s">
        <v>427</v>
      </c>
    </row>
    <row r="5" customFormat="false" ht="15" hidden="false" customHeight="false" outlineLevel="0" collapsed="false">
      <c r="A5" s="3" t="s">
        <v>1266</v>
      </c>
      <c r="B5" s="6" t="s">
        <v>1267</v>
      </c>
      <c r="C5" s="21" t="n">
        <v>5.5</v>
      </c>
      <c r="D5" s="21" t="n">
        <v>5.5</v>
      </c>
      <c r="E5" s="71" t="s">
        <v>1268</v>
      </c>
      <c r="F5" s="71" t="s">
        <v>1268</v>
      </c>
      <c r="I5" s="6" t="s">
        <v>1269</v>
      </c>
      <c r="J5" s="11" t="s">
        <v>1270</v>
      </c>
      <c r="K5" s="11" t="s">
        <v>1271</v>
      </c>
    </row>
    <row r="6" customFormat="false" ht="15" hidden="false" customHeight="false" outlineLevel="0" collapsed="false">
      <c r="A6" s="3" t="s">
        <v>1272</v>
      </c>
      <c r="B6" s="6" t="s">
        <v>1273</v>
      </c>
      <c r="C6" s="21" t="n">
        <v>2.858</v>
      </c>
      <c r="D6" s="21" t="n">
        <v>0</v>
      </c>
      <c r="E6" s="71" t="s">
        <v>1268</v>
      </c>
      <c r="F6" s="71" t="s">
        <v>1268</v>
      </c>
      <c r="I6" s="11" t="s">
        <v>1274</v>
      </c>
      <c r="J6" s="11" t="s">
        <v>1270</v>
      </c>
      <c r="K6" s="11" t="s">
        <v>1275</v>
      </c>
    </row>
    <row r="7" customFormat="false" ht="15" hidden="false" customHeight="false" outlineLevel="0" collapsed="false">
      <c r="A7" s="3" t="s">
        <v>1276</v>
      </c>
      <c r="B7" s="6" t="s">
        <v>1277</v>
      </c>
      <c r="C7" s="21" t="n">
        <v>1.84</v>
      </c>
      <c r="D7" s="21" t="n">
        <v>0</v>
      </c>
      <c r="E7" s="71" t="s">
        <v>1268</v>
      </c>
      <c r="F7" s="71" t="s">
        <v>1268</v>
      </c>
      <c r="I7" s="11" t="s">
        <v>1278</v>
      </c>
      <c r="J7" s="11" t="s">
        <v>1270</v>
      </c>
      <c r="K7" s="11" t="s">
        <v>1279</v>
      </c>
    </row>
    <row r="8" customFormat="false" ht="15" hidden="false" customHeight="false" outlineLevel="0" collapsed="false">
      <c r="A8" s="3" t="s">
        <v>1280</v>
      </c>
      <c r="B8" s="6" t="s">
        <v>1281</v>
      </c>
      <c r="C8" s="21" t="n">
        <v>2.5</v>
      </c>
      <c r="D8" s="21" t="n">
        <v>0</v>
      </c>
      <c r="E8" s="71" t="s">
        <v>1268</v>
      </c>
      <c r="F8" s="71" t="s">
        <v>1268</v>
      </c>
      <c r="I8" s="11" t="s">
        <v>1282</v>
      </c>
      <c r="J8" s="11" t="s">
        <v>1270</v>
      </c>
      <c r="K8" s="11" t="s">
        <v>1283</v>
      </c>
    </row>
    <row r="9" customFormat="false" ht="15" hidden="false" customHeight="false" outlineLevel="0" collapsed="false">
      <c r="A9" s="3" t="s">
        <v>1284</v>
      </c>
      <c r="B9" s="6" t="s">
        <v>1285</v>
      </c>
      <c r="C9" s="21" t="n">
        <v>1.974</v>
      </c>
      <c r="D9" s="21" t="n">
        <v>0</v>
      </c>
      <c r="E9" s="71" t="s">
        <v>1268</v>
      </c>
      <c r="F9" s="71" t="s">
        <v>1268</v>
      </c>
      <c r="I9" s="11" t="s">
        <v>1286</v>
      </c>
      <c r="J9" s="11" t="s">
        <v>1270</v>
      </c>
      <c r="K9" s="11" t="s">
        <v>1287</v>
      </c>
    </row>
    <row r="10" customFormat="false" ht="15" hidden="false" customHeight="false" outlineLevel="0" collapsed="false">
      <c r="A10" s="2" t="s">
        <v>1288</v>
      </c>
      <c r="C10" s="72" t="n">
        <f aca="false">SUM(C5:C9)</f>
        <v>14.672</v>
      </c>
      <c r="D10" s="72" t="n">
        <f aca="false">SUM(D5:D9)</f>
        <v>5.5</v>
      </c>
      <c r="E10" s="54" t="n">
        <f aca="false">SUM(E5:E9)</f>
        <v>0</v>
      </c>
      <c r="G10" s="54" t="n">
        <f aca="false">SUM(G5:G9)</f>
        <v>0</v>
      </c>
      <c r="H10" s="73" t="n">
        <f aca="false">IF(I10&gt;0,G10/I10,0)</f>
        <v>0</v>
      </c>
      <c r="I10" s="45" t="n">
        <f aca="false">SUMPRODUCT(ISNUMBER(G5:G9)*C5:C9)</f>
        <v>0</v>
      </c>
      <c r="K10" s="6" t="s">
        <v>1289</v>
      </c>
    </row>
    <row r="12" customFormat="false" ht="15" hidden="false" customHeight="false" outlineLevel="0" collapsed="false">
      <c r="A12" s="47" t="s">
        <v>1290</v>
      </c>
      <c r="B12" s="8"/>
      <c r="C12" s="8"/>
      <c r="D12" s="8"/>
      <c r="E12" s="8"/>
      <c r="F12" s="8"/>
      <c r="G12" s="8"/>
      <c r="H12" s="8"/>
      <c r="I12" s="8"/>
      <c r="J12" s="8"/>
      <c r="K12" s="8"/>
    </row>
    <row r="13" customFormat="false" ht="15" hidden="false" customHeight="false" outlineLevel="1" collapsed="false">
      <c r="A13" s="3" t="s">
        <v>1291</v>
      </c>
      <c r="E13" s="25" t="n">
        <v>20.435</v>
      </c>
      <c r="K13" s="11" t="s">
        <v>1292</v>
      </c>
    </row>
    <row r="14" customFormat="false" ht="15" hidden="false" customHeight="false" outlineLevel="1" collapsed="false">
      <c r="A14" s="3" t="s">
        <v>1293</v>
      </c>
      <c r="E14" s="25" t="n">
        <v>20.296</v>
      </c>
      <c r="K14" s="11" t="s">
        <v>1294</v>
      </c>
    </row>
    <row r="15" customFormat="false" ht="15" hidden="false" customHeight="false" outlineLevel="1" collapsed="false">
      <c r="A15" s="3" t="s">
        <v>1295</v>
      </c>
      <c r="E15" s="25" t="n">
        <v>0</v>
      </c>
      <c r="K15" s="11" t="s">
        <v>1296</v>
      </c>
    </row>
    <row r="16" customFormat="false" ht="15" hidden="false" customHeight="false" outlineLevel="1" collapsed="false">
      <c r="A16" s="2" t="s">
        <v>1297</v>
      </c>
      <c r="E16" s="54" t="n">
        <f aca="false">SUM(E13:E15)</f>
        <v>40.731</v>
      </c>
      <c r="K16" s="6" t="s">
        <v>1298</v>
      </c>
    </row>
    <row r="17" customFormat="false" ht="15" hidden="false" customHeight="false" outlineLevel="1" collapsed="false">
      <c r="A17" s="3" t="s">
        <v>1299</v>
      </c>
      <c r="E17" s="53" t="n">
        <f aca="false">-E10</f>
        <v>-0</v>
      </c>
    </row>
    <row r="18" customFormat="false" ht="15" hidden="false" customHeight="false" outlineLevel="1" collapsed="false">
      <c r="A18" s="2" t="s">
        <v>1300</v>
      </c>
      <c r="E18" s="54" t="n">
        <f aca="false">E16+E17</f>
        <v>40.731</v>
      </c>
      <c r="K18" s="6" t="s">
        <v>1301</v>
      </c>
    </row>
    <row r="19" customFormat="false" ht="15" hidden="false" customHeight="false" outlineLevel="1" collapsed="false">
      <c r="A19" s="3" t="s">
        <v>1302</v>
      </c>
      <c r="E19" s="29" t="n">
        <f aca="false">IF(E16&lt;&gt;0,E18/E16,0)</f>
        <v>1</v>
      </c>
    </row>
    <row r="21" customFormat="false" ht="15" hidden="false" customHeight="false" outlineLevel="0" collapsed="false">
      <c r="A21" s="47" t="s">
        <v>1303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customFormat="false" ht="15" hidden="false" customHeight="false" outlineLevel="1" collapsed="false">
      <c r="A22" s="14" t="s">
        <v>53</v>
      </c>
      <c r="B22" s="14" t="s">
        <v>54</v>
      </c>
      <c r="C22" s="15" t="s">
        <v>55</v>
      </c>
      <c r="D22" s="15" t="s">
        <v>56</v>
      </c>
      <c r="E22" s="15" t="s">
        <v>57</v>
      </c>
      <c r="F22" s="15" t="s">
        <v>138</v>
      </c>
      <c r="G22" s="15" t="s">
        <v>139</v>
      </c>
    </row>
    <row r="23" customFormat="false" ht="15" hidden="false" customHeight="false" outlineLevel="1" collapsed="false">
      <c r="A23" s="3" t="s">
        <v>1304</v>
      </c>
      <c r="B23" s="11" t="s">
        <v>59</v>
      </c>
      <c r="C23" s="63" t="n">
        <f aca="false">各期收支!C17</f>
        <v>11.817084903742</v>
      </c>
      <c r="D23" s="63" t="n">
        <f aca="false">各期收支!D17</f>
        <v>46.2504787939966</v>
      </c>
      <c r="E23" s="63" t="n">
        <f aca="false">各期收支!E17</f>
        <v>57.4879600429576</v>
      </c>
      <c r="F23" s="63" t="n">
        <f aca="false">各期收支!F17</f>
        <v>72.0116439029576</v>
      </c>
      <c r="G23" s="63" t="n">
        <f aca="false">各期收支!G17</f>
        <v>84.1805080874576</v>
      </c>
    </row>
    <row r="24" customFormat="false" ht="15" hidden="false" customHeight="false" outlineLevel="1" collapsed="false">
      <c r="A24" s="3" t="s">
        <v>1305</v>
      </c>
      <c r="B24" s="11" t="s">
        <v>142</v>
      </c>
      <c r="C24" s="65" t="n">
        <f aca="false">(輸入與假設!C$160+輸入與假設!C$43)/2</f>
        <v>10.037</v>
      </c>
      <c r="D24" s="65" t="n">
        <f aca="false">(輸入與假設!D$160+輸入與假設!D$43)/2</f>
        <v>15.561</v>
      </c>
      <c r="E24" s="65" t="n">
        <f aca="false">(輸入與假設!E$160+輸入與假設!E$43)/2</f>
        <v>18.048</v>
      </c>
      <c r="F24" s="65" t="n">
        <f aca="false">(輸入與假設!F$160+輸入與假設!F$43)/2</f>
        <v>21.048</v>
      </c>
      <c r="G24" s="65" t="n">
        <f aca="false">(輸入與假設!G$160+輸入與假設!G$43)/2</f>
        <v>24.048</v>
      </c>
    </row>
    <row r="25" customFormat="false" ht="15" hidden="false" customHeight="false" outlineLevel="1" collapsed="false">
      <c r="A25" s="3" t="s">
        <v>203</v>
      </c>
      <c r="B25" s="6" t="s">
        <v>180</v>
      </c>
      <c r="C25" s="63" t="n">
        <f aca="false">輸入與假設!C$41</f>
        <v>0.5</v>
      </c>
      <c r="D25" s="63" t="n">
        <f aca="false">輸入與假設!D$41</f>
        <v>1</v>
      </c>
      <c r="E25" s="63" t="n">
        <f aca="false">輸入與假設!E$41</f>
        <v>1</v>
      </c>
      <c r="F25" s="63" t="n">
        <f aca="false">輸入與假設!F$41</f>
        <v>1</v>
      </c>
      <c r="G25" s="63" t="n">
        <f aca="false">輸入與假設!G$41</f>
        <v>1</v>
      </c>
    </row>
    <row r="26" customFormat="false" ht="15" hidden="false" customHeight="false" outlineLevel="1" collapsed="false">
      <c r="A26" s="2" t="s">
        <v>1306</v>
      </c>
      <c r="B26" s="11" t="s">
        <v>160</v>
      </c>
      <c r="C26" s="36" t="n">
        <f aca="false">C23/C25/C24</f>
        <v>2.35470457382524</v>
      </c>
      <c r="D26" s="36" t="n">
        <f aca="false">D23/D25/D24</f>
        <v>2.97220479365058</v>
      </c>
      <c r="E26" s="36" t="n">
        <f aca="false">E23/E25/E24</f>
        <v>3.18528147401139</v>
      </c>
      <c r="F26" s="36" t="n">
        <f aca="false">F23/F25/F24</f>
        <v>3.42130577266047</v>
      </c>
      <c r="G26" s="36" t="n">
        <f aca="false">G23/G25/G24</f>
        <v>3.50052013005063</v>
      </c>
      <c r="K26" s="11" t="s">
        <v>1307</v>
      </c>
    </row>
    <row r="27" customFormat="false" ht="15" hidden="false" customHeight="false" outlineLevel="1" collapsed="false">
      <c r="A27" s="3" t="s">
        <v>1308</v>
      </c>
      <c r="C27" s="24" t="n">
        <v>1</v>
      </c>
      <c r="K27" s="6" t="s">
        <v>1309</v>
      </c>
    </row>
    <row r="28" customFormat="false" ht="15" hidden="false" customHeight="false" outlineLevel="1" collapsed="false">
      <c r="A28" s="3" t="s">
        <v>1310</v>
      </c>
      <c r="B28" s="11" t="s">
        <v>59</v>
      </c>
      <c r="C28" s="63" t="n">
        <f aca="false">C24*運營_站點!$H$10*$C$27*C25</f>
        <v>0</v>
      </c>
      <c r="D28" s="63" t="n">
        <f aca="false">D24*運營_站點!$H$10*$C$27*D25</f>
        <v>0</v>
      </c>
      <c r="E28" s="63" t="n">
        <f aca="false">E24*運營_站點!$H$10*$C$27*E25</f>
        <v>0</v>
      </c>
      <c r="F28" s="63" t="n">
        <f aca="false">F24*運營_站點!$H$10*$C$27*F25</f>
        <v>0</v>
      </c>
      <c r="G28" s="63" t="n">
        <f aca="false">G24*運營_站點!$H$10*$C$27*G25</f>
        <v>0</v>
      </c>
      <c r="K28" s="6" t="s">
        <v>1311</v>
      </c>
    </row>
    <row r="29" customFormat="false" ht="15" hidden="false" customHeight="false" outlineLevel="1" collapsed="false">
      <c r="A29" s="2" t="s">
        <v>1312</v>
      </c>
      <c r="B29" s="11" t="s">
        <v>59</v>
      </c>
      <c r="C29" s="36" t="n">
        <f aca="false">C28-C23</f>
        <v>-11.817084903742</v>
      </c>
      <c r="D29" s="36" t="n">
        <f aca="false">D28-D23</f>
        <v>-46.2504787939966</v>
      </c>
      <c r="E29" s="36" t="n">
        <f aca="false">E28-E23</f>
        <v>-57.4879600429576</v>
      </c>
      <c r="F29" s="36" t="n">
        <f aca="false">F28-F23</f>
        <v>-72.0116439029576</v>
      </c>
      <c r="G29" s="36" t="n">
        <f aca="false">G28-G23</f>
        <v>-84.1805080874576</v>
      </c>
      <c r="K29" s="6" t="s">
        <v>1313</v>
      </c>
    </row>
    <row r="30" customFormat="false" ht="15" hidden="false" customHeight="false" outlineLevel="1" collapsed="false">
      <c r="A30" s="2" t="s">
        <v>1314</v>
      </c>
      <c r="C30" s="73" t="n">
        <f aca="false">SUM(C29:G29)</f>
        <v>-271.747675731111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8" min="3" style="0" width="13"/>
    <col collapsed="false" customWidth="true" hidden="false" outlineLevel="0" max="9" min="9" style="0" width="90"/>
  </cols>
  <sheetData>
    <row r="1" customFormat="false" ht="21.6" hidden="false" customHeight="false" outlineLevel="0" collapsed="false">
      <c r="A1" s="5" t="s">
        <v>1315</v>
      </c>
    </row>
    <row r="2" customFormat="false" ht="15" hidden="false" customHeight="false" outlineLevel="0" collapsed="false">
      <c r="A2" s="6" t="s">
        <v>1316</v>
      </c>
    </row>
    <row r="4" customFormat="false" ht="17.15" hidden="false" customHeight="false" outlineLevel="0" collapsed="false">
      <c r="A4" s="14" t="s">
        <v>1317</v>
      </c>
      <c r="B4" s="14" t="s">
        <v>1318</v>
      </c>
      <c r="C4" s="14" t="s">
        <v>1319</v>
      </c>
      <c r="D4" s="14" t="s">
        <v>1320</v>
      </c>
      <c r="E4" s="15" t="s">
        <v>1321</v>
      </c>
      <c r="F4" s="14" t="s">
        <v>1322</v>
      </c>
      <c r="I4" s="14" t="s">
        <v>698</v>
      </c>
    </row>
    <row r="5" customFormat="false" ht="15" hidden="false" customHeight="false" outlineLevel="0" collapsed="false">
      <c r="A5" s="4" t="s">
        <v>1323</v>
      </c>
      <c r="B5" s="6" t="s">
        <v>1324</v>
      </c>
      <c r="C5" s="11" t="s">
        <v>1325</v>
      </c>
      <c r="D5" s="24" t="n">
        <v>0.095</v>
      </c>
      <c r="E5" s="25" t="n">
        <v>80</v>
      </c>
      <c r="F5" s="63" t="n">
        <f aca="false">D5*E5</f>
        <v>7.6</v>
      </c>
      <c r="I5" s="6" t="s">
        <v>1326</v>
      </c>
    </row>
    <row r="6" customFormat="false" ht="15" hidden="false" customHeight="false" outlineLevel="0" collapsed="false">
      <c r="A6" s="4" t="s">
        <v>1327</v>
      </c>
      <c r="B6" s="6" t="s">
        <v>1328</v>
      </c>
      <c r="C6" s="11" t="s">
        <v>1329</v>
      </c>
      <c r="D6" s="24" t="n">
        <v>0.0792</v>
      </c>
      <c r="E6" s="25" t="n">
        <v>18</v>
      </c>
      <c r="F6" s="63" t="n">
        <f aca="false">D6*E6</f>
        <v>1.4256</v>
      </c>
      <c r="I6" s="11" t="s">
        <v>1330</v>
      </c>
    </row>
    <row r="7" customFormat="false" ht="15" hidden="false" customHeight="false" outlineLevel="0" collapsed="false">
      <c r="A7" s="4" t="s">
        <v>1331</v>
      </c>
      <c r="B7" s="6" t="s">
        <v>1332</v>
      </c>
      <c r="C7" s="11" t="s">
        <v>1333</v>
      </c>
      <c r="D7" s="24" t="n">
        <v>0.055</v>
      </c>
      <c r="E7" s="25" t="n">
        <v>26.2</v>
      </c>
      <c r="F7" s="63" t="n">
        <f aca="false">D7*E7</f>
        <v>1.441</v>
      </c>
      <c r="I7" s="11" t="s">
        <v>1334</v>
      </c>
    </row>
    <row r="8" customFormat="false" ht="15" hidden="false" customHeight="false" outlineLevel="0" collapsed="false">
      <c r="A8" s="2" t="s">
        <v>1335</v>
      </c>
      <c r="E8" s="54" t="n">
        <f aca="false">SUM(E5:E7)</f>
        <v>124.2</v>
      </c>
      <c r="F8" s="54" t="n">
        <f aca="false">SUM(F5:F7)</f>
        <v>10.4666</v>
      </c>
      <c r="I8" s="6" t="s">
        <v>1336</v>
      </c>
    </row>
    <row r="9" customFormat="false" ht="15" hidden="false" customHeight="false" outlineLevel="0" collapsed="false">
      <c r="A9" s="2" t="s">
        <v>1337</v>
      </c>
      <c r="D9" s="74" t="n">
        <f aca="false">F8/E8</f>
        <v>0.0842721417069243</v>
      </c>
      <c r="I9" s="6" t="s">
        <v>1338</v>
      </c>
    </row>
    <row r="11" customFormat="false" ht="15" hidden="false" customHeight="false" outlineLevel="0" collapsed="false">
      <c r="A11" s="3" t="s">
        <v>1339</v>
      </c>
      <c r="D11" s="75" t="n">
        <v>0</v>
      </c>
      <c r="E11" s="25" t="n">
        <v>0</v>
      </c>
      <c r="F11" s="10" t="n">
        <f aca="false">D11*E11</f>
        <v>0</v>
      </c>
      <c r="I11" s="11" t="s">
        <v>1340</v>
      </c>
    </row>
    <row r="13" customFormat="false" ht="15" hidden="false" customHeight="false" outlineLevel="0" collapsed="false">
      <c r="A13" s="47" t="s">
        <v>1341</v>
      </c>
      <c r="B13" s="8"/>
      <c r="C13" s="8"/>
      <c r="D13" s="8"/>
      <c r="E13" s="8"/>
      <c r="F13" s="8"/>
      <c r="G13" s="8"/>
      <c r="H13" s="8"/>
    </row>
    <row r="14" customFormat="false" ht="17.15" hidden="false" customHeight="false" outlineLevel="1" collapsed="false">
      <c r="A14" s="14" t="s">
        <v>425</v>
      </c>
      <c r="B14" s="14" t="s">
        <v>1319</v>
      </c>
      <c r="C14" s="14" t="s">
        <v>1342</v>
      </c>
      <c r="D14" s="14" t="s">
        <v>1343</v>
      </c>
      <c r="E14" s="14" t="s">
        <v>1344</v>
      </c>
      <c r="F14" s="14" t="s">
        <v>1345</v>
      </c>
      <c r="G14" s="14" t="s">
        <v>1346</v>
      </c>
      <c r="H14" s="14" t="s">
        <v>1347</v>
      </c>
      <c r="I14" s="14" t="s">
        <v>698</v>
      </c>
    </row>
    <row r="15" customFormat="false" ht="15" hidden="false" customHeight="false" outlineLevel="1" collapsed="false">
      <c r="A15" s="4" t="s">
        <v>1348</v>
      </c>
      <c r="B15" s="11" t="s">
        <v>1349</v>
      </c>
      <c r="C15" s="75" t="n">
        <v>0.045</v>
      </c>
      <c r="D15" s="23" t="n">
        <v>31.85</v>
      </c>
      <c r="E15" s="76" t="n">
        <v>1</v>
      </c>
      <c r="F15" s="39" t="n">
        <v>25.91</v>
      </c>
      <c r="G15" s="65" t="n">
        <v>5</v>
      </c>
      <c r="H15" s="21" t="n">
        <v>0</v>
      </c>
      <c r="I15" s="6" t="s">
        <v>1350</v>
      </c>
    </row>
    <row r="16" customFormat="false" ht="15" hidden="false" customHeight="false" outlineLevel="1" collapsed="false">
      <c r="A16" s="4" t="s">
        <v>1351</v>
      </c>
      <c r="B16" s="11" t="s">
        <v>1352</v>
      </c>
      <c r="C16" s="75" t="n">
        <v>0.05</v>
      </c>
      <c r="D16" s="23" t="n">
        <v>310</v>
      </c>
      <c r="E16" s="76" t="n">
        <v>1</v>
      </c>
      <c r="F16" s="39" t="n">
        <v>33.84</v>
      </c>
      <c r="G16" s="65" t="n">
        <v>5</v>
      </c>
      <c r="H16" s="21" t="n">
        <v>0</v>
      </c>
      <c r="I16" s="11" t="s">
        <v>1353</v>
      </c>
    </row>
    <row r="17" customFormat="false" ht="15" hidden="false" customHeight="false" outlineLevel="1" collapsed="false">
      <c r="I17" s="6" t="s">
        <v>1354</v>
      </c>
    </row>
    <row r="18" customFormat="false" ht="15" hidden="false" customHeight="false" outlineLevel="1" collapsed="false"/>
    <row r="19" customFormat="false" ht="15" hidden="false" customHeight="false" outlineLevel="1" collapsed="false">
      <c r="A19" s="14" t="s">
        <v>1355</v>
      </c>
      <c r="C19" s="14" t="s">
        <v>1356</v>
      </c>
      <c r="D19" s="14" t="s">
        <v>1357</v>
      </c>
      <c r="E19" s="14" t="s">
        <v>1358</v>
      </c>
      <c r="F19" s="14" t="s">
        <v>1359</v>
      </c>
      <c r="G19" s="14" t="s">
        <v>1360</v>
      </c>
      <c r="H19" s="14" t="s">
        <v>1361</v>
      </c>
      <c r="I19" s="14" t="s">
        <v>427</v>
      </c>
    </row>
    <row r="20" customFormat="false" ht="15" hidden="false" customHeight="false" outlineLevel="1" collapsed="false">
      <c r="A20" s="3" t="str">
        <f aca="false">A15</f>
        <v>4.50% 2031 可轉債（交換後剩餘）</v>
      </c>
      <c r="C20" s="30" t="n">
        <f aca="false">D15*E15</f>
        <v>31.85</v>
      </c>
      <c r="D20" s="30" t="n">
        <f aca="false">D15/F15</f>
        <v>1.22925511385565</v>
      </c>
      <c r="E20" s="50" t="n">
        <f aca="false">F15*E15</f>
        <v>25.91</v>
      </c>
      <c r="F20" s="65" t="n">
        <f aca="false">IF(OR(H15=1,E20&lt;輸入與假設!$C$205),1,0)</f>
        <v>0</v>
      </c>
      <c r="G20" s="65" t="n">
        <f aca="false">IF(OR(H15=1,E20&lt;輸入與假設!$C$228),1,0)</f>
        <v>0</v>
      </c>
      <c r="H20" s="65" t="n">
        <f aca="false">IF(OR(H15=1,E20&lt;評價_DCF與目標價!$C$66),1,0)</f>
        <v>0</v>
      </c>
    </row>
    <row r="21" customFormat="false" ht="15" hidden="false" customHeight="false" outlineLevel="1" collapsed="false">
      <c r="A21" s="3" t="str">
        <f aca="false">A16</f>
        <v>5.00% 2032 可轉債（2026-08）</v>
      </c>
      <c r="C21" s="30" t="n">
        <f aca="false">D16*E16</f>
        <v>310</v>
      </c>
      <c r="D21" s="30" t="n">
        <f aca="false">D16/F16</f>
        <v>9.16075650118203</v>
      </c>
      <c r="E21" s="50" t="n">
        <f aca="false">F16*E16</f>
        <v>33.84</v>
      </c>
      <c r="F21" s="65" t="n">
        <f aca="false">IF(OR(H16=1,E21&lt;輸入與假設!$C$205),1,0)</f>
        <v>0</v>
      </c>
      <c r="G21" s="65" t="n">
        <f aca="false">IF(OR(H16=1,E21&lt;輸入與假設!$C$228),1,0)</f>
        <v>0</v>
      </c>
      <c r="H21" s="65" t="n">
        <f aca="false">IF(OR(H16=1,E21&lt;評價_DCF與目標價!$C$66),1,0)</f>
        <v>0</v>
      </c>
    </row>
    <row r="22" customFormat="false" ht="15" hidden="false" customHeight="false" outlineLevel="1" collapsed="false">
      <c r="A22" s="2" t="s">
        <v>1362</v>
      </c>
      <c r="C22" s="77" t="n">
        <f aca="false">SUM(C20:C21)</f>
        <v>341.85</v>
      </c>
      <c r="D22" s="77" t="n">
        <f aca="false">SUM(D20:D21)</f>
        <v>10.3900116150377</v>
      </c>
      <c r="I22" s="6" t="s">
        <v>1363</v>
      </c>
    </row>
    <row r="24" customFormat="false" ht="15" hidden="false" customHeight="false" outlineLevel="0" collapsed="false">
      <c r="A24" s="47" t="s">
        <v>1364</v>
      </c>
      <c r="B24" s="8"/>
      <c r="C24" s="8"/>
      <c r="D24" s="8"/>
      <c r="E24" s="8"/>
      <c r="F24" s="8"/>
      <c r="G24" s="8"/>
      <c r="H24" s="8"/>
    </row>
    <row r="25" customFormat="false" ht="15" hidden="false" customHeight="false" outlineLevel="1" collapsed="false">
      <c r="A25" s="14" t="s">
        <v>53</v>
      </c>
      <c r="B25" s="14" t="s">
        <v>54</v>
      </c>
      <c r="C25" s="28" t="s">
        <v>55</v>
      </c>
      <c r="D25" s="28" t="s">
        <v>56</v>
      </c>
      <c r="E25" s="28" t="s">
        <v>57</v>
      </c>
      <c r="F25" s="28" t="s">
        <v>138</v>
      </c>
      <c r="G25" s="28" t="s">
        <v>139</v>
      </c>
      <c r="I25" s="14" t="s">
        <v>806</v>
      </c>
    </row>
    <row r="26" customFormat="false" ht="15" hidden="false" customHeight="false" outlineLevel="1" collapsed="false">
      <c r="A26" s="3" t="s">
        <v>1365</v>
      </c>
      <c r="B26" s="11" t="s">
        <v>59</v>
      </c>
      <c r="C26" s="63" t="n">
        <f aca="false">E8</f>
        <v>124.2</v>
      </c>
      <c r="D26" s="63" t="n">
        <f aca="false">C28</f>
        <v>118.827</v>
      </c>
      <c r="E26" s="63" t="n">
        <f aca="false">D28</f>
        <v>28.08</v>
      </c>
      <c r="F26" s="63" t="n">
        <f aca="false">E28</f>
        <v>21.833</v>
      </c>
      <c r="G26" s="63" t="n">
        <f aca="false">F28</f>
        <v>0.873999999999999</v>
      </c>
      <c r="I26" s="11" t="s">
        <v>1366</v>
      </c>
    </row>
    <row r="27" customFormat="false" ht="15" hidden="false" customHeight="false" outlineLevel="1" collapsed="false">
      <c r="A27" s="3" t="s">
        <v>1367</v>
      </c>
      <c r="B27" s="11" t="s">
        <v>59</v>
      </c>
      <c r="C27" s="40" t="n">
        <f aca="false">輸入與假設!C$223</f>
        <v>5.373</v>
      </c>
      <c r="D27" s="40" t="n">
        <f aca="false">輸入與假設!D$223</f>
        <v>90.747</v>
      </c>
      <c r="E27" s="40" t="n">
        <f aca="false">輸入與假設!E$223</f>
        <v>6.247</v>
      </c>
      <c r="F27" s="40" t="n">
        <f aca="false">輸入與假設!F$223</f>
        <v>20.959</v>
      </c>
      <c r="G27" s="40" t="n">
        <f aca="false">輸入與假設!G$223</f>
        <v>0</v>
      </c>
      <c r="I27" s="6" t="s">
        <v>1368</v>
      </c>
    </row>
    <row r="28" customFormat="false" ht="15" hidden="false" customHeight="false" outlineLevel="1" collapsed="false">
      <c r="A28" s="3" t="s">
        <v>1369</v>
      </c>
      <c r="B28" s="11" t="s">
        <v>59</v>
      </c>
      <c r="C28" s="63" t="n">
        <f aca="false">C26-C27</f>
        <v>118.827</v>
      </c>
      <c r="D28" s="63" t="n">
        <f aca="false">D26-D27</f>
        <v>28.08</v>
      </c>
      <c r="E28" s="63" t="n">
        <f aca="false">E26-E27</f>
        <v>21.833</v>
      </c>
      <c r="F28" s="63" t="n">
        <f aca="false">F26-F27</f>
        <v>0.873999999999999</v>
      </c>
      <c r="G28" s="63" t="n">
        <f aca="false">G26-G27</f>
        <v>0.873999999999999</v>
      </c>
    </row>
    <row r="29" customFormat="false" ht="15" hidden="false" customHeight="false" outlineLevel="1" collapsed="false">
      <c r="A29" s="3" t="s">
        <v>1370</v>
      </c>
      <c r="B29" s="11" t="s">
        <v>59</v>
      </c>
      <c r="C29" s="63" t="n">
        <f aca="false">(C26+C28)/2</f>
        <v>121.5135</v>
      </c>
      <c r="D29" s="63" t="n">
        <f aca="false">(D26+D28)/2</f>
        <v>73.4535</v>
      </c>
      <c r="E29" s="63" t="n">
        <f aca="false">(E26+E28)/2</f>
        <v>24.9565</v>
      </c>
      <c r="F29" s="63" t="n">
        <f aca="false">(F26+F28)/2</f>
        <v>11.3535</v>
      </c>
      <c r="G29" s="63" t="n">
        <f aca="false">(G26+G28)/2</f>
        <v>0.873999999999999</v>
      </c>
    </row>
    <row r="30" customFormat="false" ht="15" hidden="false" customHeight="false" outlineLevel="1" collapsed="false">
      <c r="A30" s="3" t="s">
        <v>1371</v>
      </c>
      <c r="B30" s="11" t="s">
        <v>59</v>
      </c>
      <c r="C30" s="63" t="n">
        <f aca="false">C29*資產負債_既有債務!$D$9*輸入與假設!C$41</f>
        <v>5.12010144565217</v>
      </c>
      <c r="D30" s="63" t="n">
        <f aca="false">D29*資產負債_既有債務!$D$9*輸入與假設!D$41</f>
        <v>6.19008376086957</v>
      </c>
      <c r="E30" s="63" t="n">
        <f aca="false">E29*資產負債_既有債務!$D$9*輸入與假設!E$41</f>
        <v>2.10313770450886</v>
      </c>
      <c r="F30" s="63" t="n">
        <f aca="false">F29*資產負債_既有債務!$D$9*輸入與假設!F$41</f>
        <v>0.956783760869565</v>
      </c>
      <c r="G30" s="63" t="n">
        <f aca="false">G29*資產負債_既有債務!$D$9*輸入與假設!G$41</f>
        <v>0.0736538518518518</v>
      </c>
      <c r="I30" s="6" t="s">
        <v>1372</v>
      </c>
    </row>
    <row r="31" customFormat="false" ht="15" hidden="false" customHeight="false" outlineLevel="1" collapsed="false">
      <c r="A31" s="3" t="s">
        <v>1373</v>
      </c>
      <c r="B31" s="11" t="s">
        <v>59</v>
      </c>
      <c r="C31" s="63" t="n">
        <f aca="false">資產負債_既有債務!$F$11*輸入與假設!C$41</f>
        <v>0</v>
      </c>
      <c r="D31" s="63" t="n">
        <f aca="false">資產負債_既有債務!$F$11*輸入與假設!D$41</f>
        <v>0</v>
      </c>
      <c r="E31" s="63" t="n">
        <f aca="false">資產負債_既有債務!$F$11*輸入與假設!E$41</f>
        <v>0</v>
      </c>
      <c r="F31" s="63" t="n">
        <f aca="false">資產負債_既有債務!$F$11*輸入與假設!F$41</f>
        <v>0</v>
      </c>
      <c r="G31" s="63" t="n">
        <f aca="false">資產負債_既有債務!$F$11*輸入與假設!G$41</f>
        <v>0</v>
      </c>
    </row>
    <row r="32" customFormat="false" ht="15" hidden="false" customHeight="false" outlineLevel="1" collapsed="false">
      <c r="A32" s="3" t="s">
        <v>1374</v>
      </c>
      <c r="B32" s="11" t="s">
        <v>59</v>
      </c>
      <c r="C32" s="63" t="n">
        <f aca="false">IF(輸入與假設!$C$197=1,SUMPRODUCT((1-資產負債_既有債務!$F$20:$F$21)*資產負債_既有債務!$C$20:$C$21*(資產負債_既有債務!$G$15:$G$16=0)),0)</f>
        <v>0</v>
      </c>
      <c r="D32" s="63" t="n">
        <f aca="false">IF(輸入與假設!$C$197=1,SUMPRODUCT((1-資產負債_既有債務!$F$20:$F$21)*資產負債_既有債務!$C$20:$C$21*(資產負債_既有債務!$G$15:$G$16=1)),0)</f>
        <v>0</v>
      </c>
      <c r="E32" s="63" t="n">
        <f aca="false">IF(輸入與假設!$C$197=1,SUMPRODUCT((1-資產負債_既有債務!$F$20:$F$21)*資產負債_既有債務!$C$20:$C$21*(資產負債_既有債務!$G$15:$G$16=2)),0)</f>
        <v>0</v>
      </c>
      <c r="F32" s="63" t="n">
        <f aca="false">IF(輸入與假設!$C$197=1,SUMPRODUCT((1-資產負債_既有債務!$F$20:$F$21)*資產負債_既有債務!$C$20:$C$21*(資產負債_既有債務!$G$15:$G$16=3)),0)</f>
        <v>0</v>
      </c>
      <c r="G32" s="63" t="n">
        <f aca="false">IF(輸入與假設!$C$197=1,SUMPRODUCT((1-資產負債_既有債務!$F$20:$F$21)*資產負債_既有債務!$C$20:$C$21*(資產負債_既有債務!$G$15:$G$16=4)),0)</f>
        <v>0</v>
      </c>
      <c r="I32" s="6" t="s">
        <v>1375</v>
      </c>
    </row>
    <row r="33" customFormat="false" ht="15" hidden="false" customHeight="false" outlineLevel="1" collapsed="false">
      <c r="A33" s="3" t="s">
        <v>1376</v>
      </c>
      <c r="B33" s="11" t="s">
        <v>59</v>
      </c>
      <c r="C33" s="63" t="n">
        <f aca="false">IF(輸入與假設!$C$197=1,SUMPRODUCT((1-資產負債_既有債務!$F$20:$F$21)*資產負債_既有債務!$C$20:$C$21*(資產負債_既有債務!$G$15:$G$16&gt;0)),SUMPRODUCT((1-資產負債_既有債務!$F$20:$F$21)*資產負債_既有債務!$C$20:$C$21))</f>
        <v>341.85</v>
      </c>
      <c r="D33" s="63" t="n">
        <f aca="false">IF(輸入與假設!$C$197=1,SUMPRODUCT((1-資產負債_既有債務!$F$20:$F$21)*資產負債_既有債務!$C$20:$C$21*(資產負債_既有債務!$G$15:$G$16&gt;1)),SUMPRODUCT((1-資產負債_既有債務!$F$20:$F$21)*資產負債_既有債務!$C$20:$C$21))</f>
        <v>341.85</v>
      </c>
      <c r="E33" s="63" t="n">
        <f aca="false">IF(輸入與假設!$C$197=1,SUMPRODUCT((1-資產負債_既有債務!$F$20:$F$21)*資產負債_既有債務!$C$20:$C$21*(資產負債_既有債務!$G$15:$G$16&gt;2)),SUMPRODUCT((1-資產負債_既有債務!$F$20:$F$21)*資產負債_既有債務!$C$20:$C$21))</f>
        <v>341.85</v>
      </c>
      <c r="F33" s="63" t="n">
        <f aca="false">IF(輸入與假設!$C$197=1,SUMPRODUCT((1-資產負債_既有債務!$F$20:$F$21)*資產負債_既有債務!$C$20:$C$21*(資產負債_既有債務!$G$15:$G$16&gt;3)),SUMPRODUCT((1-資產負債_既有債務!$F$20:$F$21)*資產負債_既有債務!$C$20:$C$21))</f>
        <v>341.85</v>
      </c>
      <c r="G33" s="63" t="n">
        <f aca="false">IF(輸入與假設!$C$197=1,SUMPRODUCT((1-資產負債_既有債務!$F$20:$F$21)*資產負債_既有債務!$C$20:$C$21*(資產負債_既有債務!$G$15:$G$16&gt;4)),SUMPRODUCT((1-資產負債_既有債務!$F$20:$F$21)*資產負債_既有債務!$C$20:$C$21))</f>
        <v>341.85</v>
      </c>
      <c r="I33" s="6" t="s">
        <v>1377</v>
      </c>
    </row>
    <row r="34" customFormat="false" ht="15" hidden="false" customHeight="false" outlineLevel="1" collapsed="false">
      <c r="A34" s="3" t="s">
        <v>1378</v>
      </c>
      <c r="B34" s="11" t="s">
        <v>59</v>
      </c>
      <c r="C34" s="63" t="n">
        <f aca="false">IF(輸入與假設!$C$197=1,SUMPRODUCT((1-資產負債_既有債務!$F$20:$F$21)*資產負債_既有債務!$D$15:$D$16*資產負債_既有債務!$C$15:$C$16*((資產負債_既有債務!$G$15:$G$16&gt;0)+0.5*(資產負債_既有債務!$G$15:$G$16=0))),SUMPRODUCT((1-資產負債_既有債務!$F$20:$F$21)*資產負債_既有債務!$D$15:$D$16*資產負債_既有債務!$C$15:$C$16))*輸入與假設!C$41</f>
        <v>8.466625</v>
      </c>
      <c r="D34" s="63" t="n">
        <f aca="false">IF(輸入與假設!$C$197=1,SUMPRODUCT((1-資產負債_既有債務!$F$20:$F$21)*資產負債_既有債務!$D$15:$D$16*資產負債_既有債務!$C$15:$C$16*((資產負債_既有債務!$G$15:$G$16&gt;1)+0.5*(資產負債_既有債務!$G$15:$G$16=1))),SUMPRODUCT((1-資產負債_既有債務!$F$20:$F$21)*資產負債_既有債務!$D$15:$D$16*資產負債_既有債務!$C$15:$C$16))*輸入與假設!D$41</f>
        <v>16.93325</v>
      </c>
      <c r="E34" s="63" t="n">
        <f aca="false">IF(輸入與假設!$C$197=1,SUMPRODUCT((1-資產負債_既有債務!$F$20:$F$21)*資產負債_既有債務!$D$15:$D$16*資產負債_既有債務!$C$15:$C$16*((資產負債_既有債務!$G$15:$G$16&gt;2)+0.5*(資產負債_既有債務!$G$15:$G$16=2))),SUMPRODUCT((1-資產負債_既有債務!$F$20:$F$21)*資產負債_既有債務!$D$15:$D$16*資產負債_既有債務!$C$15:$C$16))*輸入與假設!E$41</f>
        <v>16.93325</v>
      </c>
      <c r="F34" s="63" t="n">
        <f aca="false">IF(輸入與假設!$C$197=1,SUMPRODUCT((1-資產負債_既有債務!$F$20:$F$21)*資產負債_既有債務!$D$15:$D$16*資產負債_既有債務!$C$15:$C$16*((資產負債_既有債務!$G$15:$G$16&gt;3)+0.5*(資產負債_既有債務!$G$15:$G$16=3))),SUMPRODUCT((1-資產負債_既有債務!$F$20:$F$21)*資產負債_既有債務!$D$15:$D$16*資產負債_既有債務!$C$15:$C$16))*輸入與假設!F$41</f>
        <v>16.93325</v>
      </c>
      <c r="G34" s="63" t="n">
        <f aca="false">IF(輸入與假設!$C$197=1,SUMPRODUCT((1-資產負債_既有債務!$F$20:$F$21)*資產負債_既有債務!$D$15:$D$16*資產負債_既有債務!$C$15:$C$16*((資產負債_既有債務!$G$15:$G$16&gt;4)+0.5*(資產負債_既有債務!$G$15:$G$16=4))),SUMPRODUCT((1-資產負債_既有債務!$F$20:$F$21)*資產負債_既有債務!$D$15:$D$16*資產負債_既有債務!$C$15:$C$16))*輸入與假設!G$41</f>
        <v>16.93325</v>
      </c>
      <c r="I34" s="6" t="s">
        <v>1379</v>
      </c>
    </row>
    <row r="35" customFormat="false" ht="15" hidden="false" customHeight="false" outlineLevel="1" collapsed="false">
      <c r="A35" s="4" t="s">
        <v>1380</v>
      </c>
      <c r="B35" s="11" t="s">
        <v>59</v>
      </c>
      <c r="C35" s="25" t="n">
        <f aca="false">0</f>
        <v>0</v>
      </c>
      <c r="D35" s="25" t="n">
        <f aca="false">0</f>
        <v>0</v>
      </c>
      <c r="E35" s="25" t="n">
        <f aca="false">0</f>
        <v>0</v>
      </c>
      <c r="F35" s="25" t="n">
        <f aca="false">0</f>
        <v>0</v>
      </c>
      <c r="G35" s="25" t="n">
        <f aca="false">0</f>
        <v>0</v>
      </c>
      <c r="I35" s="6" t="s">
        <v>1381</v>
      </c>
    </row>
    <row r="36" customFormat="false" ht="15" hidden="false" customHeight="false" outlineLevel="1" collapsed="false">
      <c r="A36" s="3" t="s">
        <v>1382</v>
      </c>
      <c r="B36" s="11" t="s">
        <v>59</v>
      </c>
      <c r="C36" s="25" t="n">
        <f aca="false">0</f>
        <v>0</v>
      </c>
      <c r="D36" s="25" t="n">
        <f aca="false">1.9</f>
        <v>1.9</v>
      </c>
      <c r="E36" s="25" t="n">
        <f aca="false">0</f>
        <v>0</v>
      </c>
      <c r="F36" s="25" t="n">
        <f aca="false">0</f>
        <v>0</v>
      </c>
      <c r="G36" s="25" t="n">
        <f aca="false">0</f>
        <v>0</v>
      </c>
      <c r="I36" s="11" t="s">
        <v>1383</v>
      </c>
    </row>
    <row r="37" customFormat="false" ht="15" hidden="false" customHeight="false" outlineLevel="1" collapsed="false">
      <c r="A37" s="2" t="s">
        <v>1384</v>
      </c>
      <c r="B37" s="11" t="s">
        <v>59</v>
      </c>
      <c r="C37" s="36" t="n">
        <f aca="false">C30+C31+C34+C35+C36+C45</f>
        <v>13.5867264456522</v>
      </c>
      <c r="D37" s="36" t="n">
        <f aca="false">D30+D31+D34+D35+D36+D45</f>
        <v>51.1289587608696</v>
      </c>
      <c r="E37" s="36" t="n">
        <f aca="false">E30+E31+E34+E35+E36+E45</f>
        <v>43.8367314545089</v>
      </c>
      <c r="F37" s="36" t="n">
        <f aca="false">F30+F31+F34+F35+F36+F45</f>
        <v>40.0798150108696</v>
      </c>
      <c r="G37" s="36" t="n">
        <f aca="false">G30+G31+G34+G35+G36+G45</f>
        <v>36.5861226018519</v>
      </c>
      <c r="I37" s="6" t="s">
        <v>1385</v>
      </c>
    </row>
    <row r="39" customFormat="false" ht="15" hidden="false" customHeight="false" outlineLevel="0" collapsed="false">
      <c r="A39" s="7" t="s">
        <v>1386</v>
      </c>
      <c r="B39" s="8"/>
      <c r="C39" s="8"/>
      <c r="D39" s="8"/>
      <c r="E39" s="8"/>
      <c r="F39" s="8"/>
      <c r="G39" s="8"/>
      <c r="H39" s="8"/>
    </row>
    <row r="40" customFormat="false" ht="15" hidden="false" customHeight="false" outlineLevel="1" collapsed="false">
      <c r="A40" s="14" t="s">
        <v>53</v>
      </c>
      <c r="B40" s="14" t="s">
        <v>54</v>
      </c>
      <c r="C40" s="28" t="s">
        <v>55</v>
      </c>
      <c r="D40" s="28" t="s">
        <v>56</v>
      </c>
      <c r="E40" s="28" t="s">
        <v>57</v>
      </c>
      <c r="F40" s="28" t="s">
        <v>138</v>
      </c>
      <c r="G40" s="28" t="s">
        <v>139</v>
      </c>
      <c r="I40" s="14" t="s">
        <v>806</v>
      </c>
    </row>
    <row r="41" customFormat="false" ht="15" hidden="false" customHeight="false" outlineLevel="1" collapsed="false">
      <c r="A41" s="3" t="s">
        <v>1387</v>
      </c>
      <c r="B41" s="11" t="s">
        <v>59</v>
      </c>
      <c r="C41" s="63" t="n">
        <f aca="false">0</f>
        <v>0</v>
      </c>
      <c r="D41" s="63" t="n">
        <f aca="false">C44</f>
        <v>0</v>
      </c>
      <c r="E41" s="63" t="n">
        <f aca="false">D44</f>
        <v>307.125</v>
      </c>
      <c r="F41" s="63" t="n">
        <f aca="false">E44</f>
        <v>276.4125</v>
      </c>
      <c r="G41" s="63" t="n">
        <f aca="false">F44</f>
        <v>245.7</v>
      </c>
    </row>
    <row r="42" customFormat="false" ht="15" hidden="false" customHeight="false" outlineLevel="1" collapsed="false">
      <c r="A42" s="3" t="s">
        <v>1388</v>
      </c>
      <c r="B42" s="11" t="s">
        <v>59</v>
      </c>
      <c r="C42" s="63" t="n">
        <f aca="false">IF(輸入與假設!$C$194=0,輸入與假設!$C$193,0)</f>
        <v>0</v>
      </c>
      <c r="D42" s="63" t="n">
        <f aca="false">IF(輸入與假設!$C$194=1,輸入與假設!$C$193,0)</f>
        <v>307.125</v>
      </c>
      <c r="E42" s="63" t="n">
        <f aca="false">IF(輸入與假設!$C$194=2,輸入與假設!$C$193,0)</f>
        <v>0</v>
      </c>
      <c r="F42" s="63" t="n">
        <f aca="false">IF(輸入與假設!$C$194=3,輸入與假設!$C$193,0)</f>
        <v>0</v>
      </c>
      <c r="G42" s="63" t="n">
        <f aca="false">IF(輸入與假設!$C$194=4,輸入與假設!$C$193,0)</f>
        <v>0</v>
      </c>
      <c r="I42" s="6" t="s">
        <v>1389</v>
      </c>
    </row>
    <row r="43" customFormat="false" ht="15" hidden="false" customHeight="false" outlineLevel="1" collapsed="false">
      <c r="A43" s="3" t="s">
        <v>1390</v>
      </c>
      <c r="B43" s="11" t="s">
        <v>59</v>
      </c>
      <c r="C43" s="63" t="n">
        <f aca="false">IF(輸入與假設!$C$194&lt;0,MIN(C41,輸入與假設!$C$193/輸入與假設!$C$196*輸入與假設!C$41),0)</f>
        <v>0</v>
      </c>
      <c r="D43" s="63" t="n">
        <f aca="false">IF(輸入與假設!$C$194&lt;1,MIN(D41,輸入與假設!$C$193/輸入與假設!$C$196*輸入與假設!D$41),0)</f>
        <v>0</v>
      </c>
      <c r="E43" s="63" t="n">
        <f aca="false">IF(輸入與假設!$C$194&lt;2,MIN(E41,輸入與假設!$C$193/輸入與假設!$C$196*輸入與假設!E$41),0)</f>
        <v>30.7125</v>
      </c>
      <c r="F43" s="63" t="n">
        <f aca="false">IF(輸入與假設!$C$194&lt;3,MIN(F41,輸入與假設!$C$193/輸入與假設!$C$196*輸入與假設!F$41),0)</f>
        <v>30.7125</v>
      </c>
      <c r="G43" s="63" t="n">
        <f aca="false">IF(輸入與假設!$C$194&lt;4,MIN(G41,輸入與假設!$C$193/輸入與假設!$C$196*輸入與假設!G$41),0)</f>
        <v>30.7125</v>
      </c>
      <c r="I43" s="6" t="s">
        <v>1391</v>
      </c>
    </row>
    <row r="44" customFormat="false" ht="15" hidden="false" customHeight="false" outlineLevel="1" collapsed="false">
      <c r="A44" s="2" t="s">
        <v>1392</v>
      </c>
      <c r="B44" s="11" t="s">
        <v>59</v>
      </c>
      <c r="C44" s="36" t="n">
        <f aca="false">C41+C42-C43</f>
        <v>0</v>
      </c>
      <c r="D44" s="36" t="n">
        <f aca="false">D41+D42-D43</f>
        <v>307.125</v>
      </c>
      <c r="E44" s="36" t="n">
        <f aca="false">E41+E42-E43</f>
        <v>276.4125</v>
      </c>
      <c r="F44" s="36" t="n">
        <f aca="false">F41+F42-F43</f>
        <v>245.7</v>
      </c>
      <c r="G44" s="36" t="n">
        <f aca="false">G41+G42-G43</f>
        <v>214.9875</v>
      </c>
    </row>
    <row r="45" customFormat="false" ht="15" hidden="false" customHeight="false" outlineLevel="1" collapsed="false">
      <c r="A45" s="3" t="s">
        <v>1393</v>
      </c>
      <c r="B45" s="11" t="s">
        <v>59</v>
      </c>
      <c r="C45" s="63" t="n">
        <f aca="false">輸入與假設!$C$195*(C41+C42+C44)/2*輸入與假設!C$41</f>
        <v>0</v>
      </c>
      <c r="D45" s="63" t="n">
        <f aca="false">輸入與假設!$C$195*(D41+D42+D44)/2*輸入與假設!D$41</f>
        <v>26.105625</v>
      </c>
      <c r="E45" s="63" t="n">
        <f aca="false">輸入與假設!$C$195*(E41+E42+E44)/2*輸入與假設!E$41</f>
        <v>24.80034375</v>
      </c>
      <c r="F45" s="63" t="n">
        <f aca="false">輸入與假設!$C$195*(F41+F42+F44)/2*輸入與假設!F$41</f>
        <v>22.18978125</v>
      </c>
      <c r="G45" s="63" t="n">
        <f aca="false">輸入與假設!$C$195*(G41+G42+G44)/2*輸入與假設!G$41</f>
        <v>19.57921875</v>
      </c>
      <c r="I45" s="6" t="s">
        <v>1394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9" min="9" style="0" width="80"/>
  </cols>
  <sheetData>
    <row r="1" customFormat="false" ht="17.35" hidden="false" customHeight="false" outlineLevel="0" collapsed="false">
      <c r="A1" s="5" t="s">
        <v>1395</v>
      </c>
    </row>
    <row r="2" customFormat="false" ht="15" hidden="false" customHeight="false" outlineLevel="0" collapsed="false">
      <c r="A2" s="6" t="s">
        <v>1396</v>
      </c>
    </row>
    <row r="4" customFormat="false" ht="15" hidden="false" customHeight="false" outlineLevel="0" collapsed="false">
      <c r="A4" s="14" t="s">
        <v>53</v>
      </c>
      <c r="B4" s="14" t="s">
        <v>54</v>
      </c>
      <c r="C4" s="28" t="s">
        <v>55</v>
      </c>
      <c r="D4" s="28" t="s">
        <v>56</v>
      </c>
      <c r="E4" s="28" t="s">
        <v>57</v>
      </c>
      <c r="F4" s="28" t="s">
        <v>138</v>
      </c>
      <c r="G4" s="28" t="s">
        <v>139</v>
      </c>
      <c r="I4" s="14" t="s">
        <v>806</v>
      </c>
    </row>
    <row r="5" customFormat="false" ht="15" hidden="false" customHeight="false" outlineLevel="0" collapsed="false">
      <c r="A5" s="47" t="s">
        <v>423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1397</v>
      </c>
      <c r="B6" s="11" t="s">
        <v>59</v>
      </c>
      <c r="C6" s="63" t="n">
        <f aca="false">輸入與假設!$C$185</f>
        <v>56.056</v>
      </c>
      <c r="D6" s="63" t="n">
        <f aca="false">各期收支!C54</f>
        <v>136.216575143009</v>
      </c>
      <c r="E6" s="63" t="n">
        <f aca="false">各期收支!D54</f>
        <v>30</v>
      </c>
      <c r="F6" s="63" t="n">
        <f aca="false">各期收支!E54</f>
        <v>30</v>
      </c>
      <c r="G6" s="63" t="n">
        <f aca="false">各期收支!F54</f>
        <v>30</v>
      </c>
      <c r="I6" s="11" t="s">
        <v>1398</v>
      </c>
    </row>
    <row r="7" customFormat="false" ht="15" hidden="false" customHeight="false" outlineLevel="1" collapsed="false">
      <c r="A7" s="3" t="s">
        <v>1399</v>
      </c>
      <c r="B7" s="11" t="s">
        <v>59</v>
      </c>
      <c r="C7" s="63" t="n">
        <f aca="false">各期收支!C97-輸入與假設!$C$185</f>
        <v>80.1605751430089</v>
      </c>
      <c r="D7" s="63" t="n">
        <f aca="false">各期收支!D97-各期收支!C97</f>
        <v>-474.624961763997</v>
      </c>
      <c r="E7" s="63" t="n">
        <f aca="false">各期收支!E97-各期收支!D97</f>
        <v>-64.7806037268819</v>
      </c>
      <c r="F7" s="63" t="n">
        <f aca="false">各期收支!F97-各期收支!E97</f>
        <v>-17.0586894918074</v>
      </c>
      <c r="G7" s="63" t="n">
        <f aca="false">各期收支!G97-各期收支!F97</f>
        <v>-13.7808587084342</v>
      </c>
      <c r="I7" s="6" t="s">
        <v>1400</v>
      </c>
    </row>
    <row r="8" customFormat="false" ht="15" hidden="false" customHeight="false" outlineLevel="1" collapsed="false">
      <c r="A8" s="3" t="s">
        <v>1401</v>
      </c>
      <c r="B8" s="11" t="s">
        <v>59</v>
      </c>
      <c r="C8" s="63" t="n">
        <f aca="false">各期收支!C80</f>
        <v>0</v>
      </c>
      <c r="D8" s="63" t="n">
        <f aca="false">各期收支!D80</f>
        <v>20</v>
      </c>
      <c r="E8" s="63" t="n">
        <f aca="false">各期收支!E80</f>
        <v>22.1932972958052</v>
      </c>
      <c r="F8" s="63" t="n">
        <f aca="false">各期收支!F80</f>
        <v>28.6319202140502</v>
      </c>
      <c r="G8" s="63" t="n">
        <f aca="false">各期收支!G80</f>
        <v>28.0155684316873</v>
      </c>
    </row>
    <row r="9" customFormat="false" ht="15" hidden="false" customHeight="false" outlineLevel="1" collapsed="false">
      <c r="A9" s="3" t="s">
        <v>1402</v>
      </c>
      <c r="B9" s="11" t="s">
        <v>59</v>
      </c>
      <c r="C9" s="63" t="n">
        <f aca="false">各期收支!C83</f>
        <v>0</v>
      </c>
      <c r="D9" s="63" t="n">
        <f aca="false">各期收支!D83</f>
        <v>45.4561964431454</v>
      </c>
      <c r="E9" s="63" t="n">
        <f aca="false">各期收支!E83</f>
        <v>51.4405047329847</v>
      </c>
      <c r="F9" s="63" t="n">
        <f aca="false">各期收支!F83</f>
        <v>0</v>
      </c>
      <c r="G9" s="63" t="n">
        <f aca="false">各期收支!G83</f>
        <v>0</v>
      </c>
    </row>
    <row r="10" customFormat="false" ht="15" hidden="false" customHeight="false" outlineLevel="1" collapsed="false">
      <c r="A10" s="3" t="s">
        <v>1403</v>
      </c>
      <c r="B10" s="11" t="s">
        <v>59</v>
      </c>
      <c r="C10" s="63" t="n">
        <f aca="false">各期收支!C87</f>
        <v>0</v>
      </c>
      <c r="D10" s="63" t="n">
        <f aca="false">各期收支!D87</f>
        <v>0</v>
      </c>
      <c r="E10" s="63" t="n">
        <f aca="false">各期收支!E87</f>
        <v>0</v>
      </c>
      <c r="F10" s="63" t="n">
        <f aca="false">各期收支!F87</f>
        <v>0</v>
      </c>
      <c r="G10" s="63" t="n">
        <f aca="false">各期收支!G87</f>
        <v>0</v>
      </c>
    </row>
    <row r="11" customFormat="false" ht="15" hidden="false" customHeight="false" outlineLevel="1" collapsed="false">
      <c r="A11" s="3" t="s">
        <v>1404</v>
      </c>
      <c r="B11" s="11" t="s">
        <v>59</v>
      </c>
      <c r="C11" s="63" t="n">
        <f aca="false">各期收支!C86</f>
        <v>0</v>
      </c>
      <c r="D11" s="63" t="n">
        <f aca="false">各期收支!D86</f>
        <v>0</v>
      </c>
      <c r="E11" s="63" t="n">
        <f aca="false">各期收支!E86</f>
        <v>0</v>
      </c>
      <c r="F11" s="63" t="n">
        <f aca="false">各期收支!F86</f>
        <v>0</v>
      </c>
      <c r="G11" s="63" t="n">
        <f aca="false">各期收支!G86</f>
        <v>0</v>
      </c>
    </row>
    <row r="12" customFormat="false" ht="15" hidden="false" customHeight="false" outlineLevel="1" collapsed="false">
      <c r="A12" s="3" t="s">
        <v>1405</v>
      </c>
      <c r="B12" s="11" t="s">
        <v>59</v>
      </c>
      <c r="C12" s="63" t="n">
        <f aca="false">各期收支!C44</f>
        <v>0</v>
      </c>
      <c r="D12" s="63" t="n">
        <f aca="false">各期收支!D44</f>
        <v>307.125</v>
      </c>
      <c r="E12" s="63" t="n">
        <f aca="false">各期收支!E44</f>
        <v>0</v>
      </c>
      <c r="F12" s="63" t="n">
        <f aca="false">各期收支!F44</f>
        <v>0</v>
      </c>
      <c r="G12" s="63" t="n">
        <f aca="false">各期收支!G44</f>
        <v>0</v>
      </c>
    </row>
    <row r="13" customFormat="false" ht="15" hidden="false" customHeight="false" outlineLevel="1" collapsed="false">
      <c r="A13" s="3" t="s">
        <v>1406</v>
      </c>
      <c r="B13" s="11" t="s">
        <v>59</v>
      </c>
      <c r="C13" s="63" t="n">
        <f aca="false">-各期收支!C88</f>
        <v>-0</v>
      </c>
      <c r="D13" s="63" t="n">
        <f aca="false">-各期收支!D88</f>
        <v>-4.17280982215727</v>
      </c>
      <c r="E13" s="63" t="n">
        <f aca="false">-各期收支!E88</f>
        <v>-8.853198301908</v>
      </c>
      <c r="F13" s="63" t="n">
        <f aca="false">-各期收支!F88</f>
        <v>-11.5732307222428</v>
      </c>
      <c r="G13" s="63" t="n">
        <f aca="false">-各期收支!G88</f>
        <v>-14.2347097232531</v>
      </c>
    </row>
    <row r="14" customFormat="false" ht="15" hidden="false" customHeight="false" outlineLevel="1" collapsed="false">
      <c r="A14" s="2" t="s">
        <v>1407</v>
      </c>
      <c r="B14" s="11" t="s">
        <v>59</v>
      </c>
      <c r="C14" s="36" t="n">
        <f aca="false">SUM(C6:C13)</f>
        <v>136.216575143009</v>
      </c>
      <c r="D14" s="36" t="n">
        <f aca="false">SUM(D6:D13)</f>
        <v>30.0000000000001</v>
      </c>
      <c r="E14" s="36" t="n">
        <f aca="false">SUM(E6:E13)</f>
        <v>30</v>
      </c>
      <c r="F14" s="36" t="n">
        <f aca="false">SUM(F6:F13)</f>
        <v>30</v>
      </c>
      <c r="G14" s="36" t="n">
        <f aca="false">SUM(G6:G13)</f>
        <v>30</v>
      </c>
      <c r="I14" s="6" t="s">
        <v>1408</v>
      </c>
    </row>
    <row r="15" customFormat="false" ht="15" hidden="false" customHeight="false" outlineLevel="1" collapsed="false">
      <c r="A15" s="3" t="s">
        <v>1409</v>
      </c>
      <c r="B15" s="11" t="s">
        <v>59</v>
      </c>
      <c r="C15" s="63" t="n">
        <f aca="false">C14-各期收支!C54</f>
        <v>0</v>
      </c>
      <c r="D15" s="63" t="n">
        <f aca="false">D14-各期收支!D54</f>
        <v>0</v>
      </c>
      <c r="E15" s="63" t="n">
        <f aca="false">E14-各期收支!E54</f>
        <v>0</v>
      </c>
      <c r="F15" s="63" t="n">
        <f aca="false">F14-各期收支!F54</f>
        <v>0</v>
      </c>
      <c r="G15" s="63" t="n">
        <f aca="false">G14-各期收支!G54</f>
        <v>0</v>
      </c>
      <c r="I15" s="6" t="s">
        <v>1410</v>
      </c>
    </row>
    <row r="16" customFormat="false" ht="15" hidden="false" customHeight="false" outlineLevel="0" collapsed="false">
      <c r="A16" s="47" t="s">
        <v>1411</v>
      </c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1" collapsed="false">
      <c r="A17" s="3" t="s">
        <v>1412</v>
      </c>
      <c r="B17" s="11" t="s">
        <v>59</v>
      </c>
      <c r="C17" s="63" t="n">
        <f aca="false">資產負債_既有債務!$E$8+SUMPRODUCT((1-資產負債_既有債務!$F$20:$F$21)*資產負債_既有債務!$C$20:$C$21)</f>
        <v>466.05</v>
      </c>
      <c r="D17" s="63" t="n">
        <f aca="false">C20</f>
        <v>460.677</v>
      </c>
      <c r="E17" s="63" t="n">
        <f aca="false">D20</f>
        <v>677.055</v>
      </c>
      <c r="F17" s="63" t="n">
        <f aca="false">E20</f>
        <v>640.0955</v>
      </c>
      <c r="G17" s="63" t="n">
        <f aca="false">F20</f>
        <v>588.424</v>
      </c>
      <c r="I17" s="11" t="s">
        <v>1413</v>
      </c>
    </row>
    <row r="18" customFormat="false" ht="15" hidden="false" customHeight="false" outlineLevel="1" collapsed="false">
      <c r="A18" s="3" t="s">
        <v>1414</v>
      </c>
      <c r="B18" s="11" t="s">
        <v>59</v>
      </c>
      <c r="C18" s="63" t="n">
        <f aca="false">-IF(輸入與假設!$C$197=1,輸入與假設!C$223,0)-資產負債_既有債務!C32</f>
        <v>-5.373</v>
      </c>
      <c r="D18" s="63" t="n">
        <f aca="false">-IF(輸入與假設!$C$197=1,輸入與假設!D$223,0)-資產負債_既有債務!D32</f>
        <v>-90.747</v>
      </c>
      <c r="E18" s="63" t="n">
        <f aca="false">-IF(輸入與假設!$C$197=1,輸入與假設!E$223,0)-資產負債_既有債務!E32</f>
        <v>-6.247</v>
      </c>
      <c r="F18" s="63" t="n">
        <f aca="false">-IF(輸入與假設!$C$197=1,輸入與假設!F$223,0)-資產負債_既有債務!F32</f>
        <v>-20.959</v>
      </c>
      <c r="G18" s="63" t="n">
        <f aca="false">-IF(輸入與假設!$C$197=1,輸入與假設!G$223,0)-資產負債_既有債務!G32</f>
        <v>-0</v>
      </c>
    </row>
    <row r="19" customFormat="false" ht="15" hidden="false" customHeight="false" outlineLevel="1" collapsed="false">
      <c r="A19" s="3" t="s">
        <v>1415</v>
      </c>
      <c r="B19" s="11" t="s">
        <v>59</v>
      </c>
      <c r="C19" s="63" t="n">
        <f aca="false">資產負債_既有債務!C42-資產負債_既有債務!C43</f>
        <v>0</v>
      </c>
      <c r="D19" s="63" t="n">
        <f aca="false">資產負債_既有債務!D42-資產負債_既有債務!D43</f>
        <v>307.125</v>
      </c>
      <c r="E19" s="63" t="n">
        <f aca="false">資產負債_既有債務!E42-資產負債_既有債務!E43</f>
        <v>-30.7125</v>
      </c>
      <c r="F19" s="63" t="n">
        <f aca="false">資產負債_既有債務!F42-資產負債_既有債務!F43</f>
        <v>-30.7125</v>
      </c>
      <c r="G19" s="63" t="n">
        <f aca="false">資產負債_既有債務!G42-資產負債_既有債務!G43</f>
        <v>-30.7125</v>
      </c>
      <c r="I19" s="6" t="s">
        <v>1416</v>
      </c>
    </row>
    <row r="20" customFormat="false" ht="15" hidden="false" customHeight="false" outlineLevel="1" collapsed="false">
      <c r="A20" s="3" t="s">
        <v>1417</v>
      </c>
      <c r="B20" s="11" t="s">
        <v>59</v>
      </c>
      <c r="C20" s="63" t="n">
        <f aca="false">各期收支!C76-0</f>
        <v>460.677</v>
      </c>
      <c r="D20" s="63" t="n">
        <f aca="false">各期收支!D76-0</f>
        <v>677.055</v>
      </c>
      <c r="E20" s="63" t="n">
        <f aca="false">各期收支!E76-0</f>
        <v>640.0955</v>
      </c>
      <c r="F20" s="63" t="n">
        <f aca="false">各期收支!F76-0</f>
        <v>588.424</v>
      </c>
      <c r="G20" s="63" t="n">
        <f aca="false">各期收支!G76-0</f>
        <v>557.7115</v>
      </c>
      <c r="I20" s="6" t="s">
        <v>1418</v>
      </c>
    </row>
    <row r="21" customFormat="false" ht="15" hidden="false" customHeight="false" outlineLevel="1" collapsed="false">
      <c r="A21" s="3" t="s">
        <v>1419</v>
      </c>
      <c r="B21" s="11" t="s">
        <v>59</v>
      </c>
      <c r="C21" s="63" t="n">
        <f aca="false">0</f>
        <v>0</v>
      </c>
      <c r="D21" s="63" t="n">
        <f aca="false">0</f>
        <v>0</v>
      </c>
      <c r="E21" s="63" t="n">
        <f aca="false">0</f>
        <v>0</v>
      </c>
      <c r="F21" s="63" t="n">
        <f aca="false">0</f>
        <v>0</v>
      </c>
      <c r="G21" s="63" t="n">
        <f aca="false">0</f>
        <v>0</v>
      </c>
    </row>
    <row r="22" customFormat="false" ht="15" hidden="false" customHeight="false" outlineLevel="1" collapsed="false">
      <c r="A22" s="3" t="s">
        <v>1420</v>
      </c>
      <c r="B22" s="11" t="s">
        <v>59</v>
      </c>
      <c r="C22" s="63" t="n">
        <f aca="false">各期收支!C92</f>
        <v>0</v>
      </c>
      <c r="D22" s="63" t="n">
        <f aca="false">各期收支!D92</f>
        <v>20</v>
      </c>
      <c r="E22" s="63" t="n">
        <f aca="false">各期收支!E92</f>
        <v>42.1932972958052</v>
      </c>
      <c r="F22" s="63" t="n">
        <f aca="false">各期收支!F92</f>
        <v>70.8252175098554</v>
      </c>
      <c r="G22" s="63" t="n">
        <f aca="false">各期收支!G92</f>
        <v>98.8407859415426</v>
      </c>
    </row>
    <row r="23" customFormat="false" ht="15" hidden="false" customHeight="false" outlineLevel="1" collapsed="false">
      <c r="A23" s="3" t="s">
        <v>1421</v>
      </c>
      <c r="B23" s="11" t="s">
        <v>59</v>
      </c>
      <c r="C23" s="63" t="n">
        <f aca="false">各期收支!C95</f>
        <v>0</v>
      </c>
      <c r="D23" s="63" t="n">
        <f aca="false">各期收支!D95</f>
        <v>45.4561964431454</v>
      </c>
      <c r="E23" s="63" t="n">
        <f aca="false">各期收支!E95</f>
        <v>96.8967011761301</v>
      </c>
      <c r="F23" s="63" t="n">
        <f aca="false">各期收支!F95</f>
        <v>96.8967011761301</v>
      </c>
      <c r="G23" s="63" t="n">
        <f aca="false">各期收支!G95</f>
        <v>96.8967011761301</v>
      </c>
    </row>
    <row r="24" customFormat="false" ht="15" hidden="false" customHeight="false" outlineLevel="1" collapsed="false">
      <c r="A24" s="3" t="s">
        <v>1422</v>
      </c>
      <c r="B24" s="11" t="s">
        <v>59</v>
      </c>
      <c r="C24" s="63" t="n">
        <f aca="false">各期收支!C94</f>
        <v>0</v>
      </c>
      <c r="D24" s="63" t="n">
        <f aca="false">各期收支!D94</f>
        <v>0</v>
      </c>
      <c r="E24" s="63" t="n">
        <f aca="false">各期收支!E94</f>
        <v>0</v>
      </c>
      <c r="F24" s="63" t="n">
        <f aca="false">各期收支!F94</f>
        <v>0</v>
      </c>
      <c r="G24" s="63" t="n">
        <f aca="false">各期收支!G94</f>
        <v>0</v>
      </c>
    </row>
    <row r="25" customFormat="false" ht="15" hidden="false" customHeight="false" outlineLevel="1" collapsed="false">
      <c r="A25" s="2" t="s">
        <v>1423</v>
      </c>
      <c r="B25" s="11" t="s">
        <v>59</v>
      </c>
      <c r="C25" s="36" t="n">
        <f aca="false">SUM(C20:C24)</f>
        <v>460.677</v>
      </c>
      <c r="D25" s="36" t="n">
        <f aca="false">SUM(D20:D24)</f>
        <v>742.511196443146</v>
      </c>
      <c r="E25" s="36" t="n">
        <f aca="false">SUM(E20:E24)</f>
        <v>779.185498471935</v>
      </c>
      <c r="F25" s="36" t="n">
        <f aca="false">SUM(F20:F24)</f>
        <v>756.145918685986</v>
      </c>
      <c r="G25" s="36" t="n">
        <f aca="false">SUM(G20:G24)</f>
        <v>753.448987117673</v>
      </c>
      <c r="I25" s="6" t="s">
        <v>1424</v>
      </c>
    </row>
    <row r="26" customFormat="false" ht="15" hidden="false" customHeight="false" outlineLevel="1" collapsed="false">
      <c r="A26" s="2" t="s">
        <v>1425</v>
      </c>
      <c r="B26" s="11" t="s">
        <v>59</v>
      </c>
      <c r="C26" s="36" t="n">
        <f aca="false">C25-C14</f>
        <v>324.460424856991</v>
      </c>
      <c r="D26" s="36" t="n">
        <f aca="false">D25-D14</f>
        <v>712.511196443146</v>
      </c>
      <c r="E26" s="36" t="n">
        <f aca="false">E25-E14</f>
        <v>749.185498471935</v>
      </c>
      <c r="F26" s="36" t="n">
        <f aca="false">F25-F14</f>
        <v>726.145918685986</v>
      </c>
      <c r="G26" s="36" t="n">
        <f aca="false">G25-G14</f>
        <v>723.448987117673</v>
      </c>
    </row>
    <row r="27" customFormat="false" ht="15" hidden="false" customHeight="false" outlineLevel="0" collapsed="false">
      <c r="A27" s="47" t="s">
        <v>1426</v>
      </c>
      <c r="B27" s="8"/>
      <c r="C27" s="8"/>
      <c r="D27" s="8"/>
      <c r="E27" s="8"/>
      <c r="F27" s="8"/>
      <c r="G27" s="8"/>
      <c r="H27" s="8"/>
    </row>
    <row r="28" customFormat="false" ht="15" hidden="false" customHeight="false" outlineLevel="1" collapsed="false">
      <c r="A28" s="3" t="s">
        <v>1427</v>
      </c>
      <c r="B28" s="11" t="s">
        <v>475</v>
      </c>
      <c r="C28" s="51" t="n">
        <f aca="false">損益!C23</f>
        <v>39.33849</v>
      </c>
      <c r="D28" s="51" t="n">
        <f aca="false">損益!D23</f>
        <v>39.7318749</v>
      </c>
      <c r="E28" s="51" t="n">
        <f aca="false">損益!E23</f>
        <v>40.129193649</v>
      </c>
      <c r="F28" s="51" t="n">
        <f aca="false">損益!F23</f>
        <v>40.53048558549</v>
      </c>
      <c r="G28" s="51" t="n">
        <f aca="false">損益!G23</f>
        <v>40.9357904413449</v>
      </c>
    </row>
    <row r="29" customFormat="false" ht="15" hidden="false" customHeight="false" outlineLevel="1" collapsed="false">
      <c r="A29" s="3" t="s">
        <v>1428</v>
      </c>
      <c r="B29" s="11" t="s">
        <v>475</v>
      </c>
      <c r="C29" s="51" t="n">
        <f aca="false">各期收支!C90</f>
        <v>0</v>
      </c>
      <c r="D29" s="51" t="n">
        <f aca="false">各期收支!D90</f>
        <v>0</v>
      </c>
      <c r="E29" s="51" t="n">
        <f aca="false">各期收支!E90</f>
        <v>0</v>
      </c>
      <c r="F29" s="51" t="n">
        <f aca="false">各期收支!F90</f>
        <v>0</v>
      </c>
      <c r="G29" s="51" t="n">
        <f aca="false">各期收支!G90</f>
        <v>0</v>
      </c>
    </row>
    <row r="30" customFormat="false" ht="15" hidden="false" customHeight="false" outlineLevel="1" collapsed="false">
      <c r="A30" s="2" t="s">
        <v>1429</v>
      </c>
      <c r="B30" s="11" t="s">
        <v>475</v>
      </c>
      <c r="C30" s="52" t="n">
        <f aca="false">損益!C24</f>
        <v>39.33849</v>
      </c>
      <c r="D30" s="52" t="n">
        <f aca="false">損益!D24</f>
        <v>39.7318749</v>
      </c>
      <c r="E30" s="52" t="n">
        <f aca="false">損益!E24</f>
        <v>40.129193649</v>
      </c>
      <c r="F30" s="52" t="n">
        <f aca="false">損益!F24</f>
        <v>40.53048558549</v>
      </c>
      <c r="G30" s="52" t="n">
        <f aca="false">損益!G24</f>
        <v>40.9357904413449</v>
      </c>
      <c r="I30" s="6" t="s">
        <v>1430</v>
      </c>
    </row>
    <row r="31" customFormat="false" ht="15" hidden="false" customHeight="false" outlineLevel="0" collapsed="false">
      <c r="A31" s="47" t="s">
        <v>1431</v>
      </c>
      <c r="B31" s="8"/>
      <c r="C31" s="8"/>
      <c r="D31" s="8"/>
      <c r="E31" s="8"/>
      <c r="F31" s="8"/>
      <c r="G31" s="8"/>
      <c r="H31" s="8"/>
    </row>
    <row r="32" customFormat="false" ht="15" hidden="false" customHeight="false" outlineLevel="1" collapsed="false">
      <c r="A32" s="3" t="s">
        <v>917</v>
      </c>
      <c r="B32" s="11" t="s">
        <v>59</v>
      </c>
      <c r="C32" s="63" t="n">
        <f aca="false">各期收支!C75</f>
        <v>151.4651372</v>
      </c>
      <c r="D32" s="63" t="n">
        <f aca="false">各期收支!D75</f>
        <v>259.475862638</v>
      </c>
      <c r="E32" s="63" t="n">
        <f aca="false">各期收支!E75</f>
        <v>358.007693762</v>
      </c>
      <c r="F32" s="63" t="n">
        <f aca="false">各期收支!F75</f>
        <v>231.98525</v>
      </c>
      <c r="G32" s="63" t="n">
        <f aca="false">各期收支!G75</f>
        <v>8.00375000000003</v>
      </c>
    </row>
    <row r="33" customFormat="false" ht="15" hidden="false" customHeight="false" outlineLevel="1" collapsed="false">
      <c r="A33" s="3" t="s">
        <v>1432</v>
      </c>
      <c r="B33" s="11" t="s">
        <v>59</v>
      </c>
      <c r="C33" s="63" t="n">
        <f aca="false">各期收支!C77</f>
        <v>62.1272896682975</v>
      </c>
      <c r="D33" s="63" t="n">
        <f aca="false">各期收支!D77</f>
        <v>127.023915639475</v>
      </c>
      <c r="E33" s="63" t="n">
        <f aca="false">各期收支!E77</f>
        <v>451.332493738951</v>
      </c>
      <c r="F33" s="63" t="n">
        <f aca="false">各期收支!F77</f>
        <v>737.301151093993</v>
      </c>
      <c r="G33" s="63" t="n">
        <f aca="false">各期收支!G77</f>
        <v>1049.18833823155</v>
      </c>
    </row>
    <row r="34" customFormat="false" ht="15" hidden="false" customHeight="false" outlineLevel="1" collapsed="false">
      <c r="A34" s="3" t="s">
        <v>1433</v>
      </c>
      <c r="B34" s="11" t="s">
        <v>96</v>
      </c>
      <c r="C34" s="78" t="n">
        <f aca="false">C25/MAX(10,C32)</f>
        <v>3.04147217317544</v>
      </c>
      <c r="D34" s="78" t="n">
        <f aca="false">D25/MAX(10,D32)</f>
        <v>2.86158099213659</v>
      </c>
      <c r="E34" s="78" t="n">
        <f aca="false">E25/MAX(10,E32)</f>
        <v>2.17644903181866</v>
      </c>
      <c r="F34" s="78" t="n">
        <f aca="false">F25/MAX(10,F32)</f>
        <v>3.2594568779092</v>
      </c>
      <c r="G34" s="78" t="n">
        <f aca="false">G25/MAX(10,G32)</f>
        <v>75.3448987117673</v>
      </c>
      <c r="I34" s="6" t="s">
        <v>1434</v>
      </c>
    </row>
    <row r="35" customFormat="false" ht="15" hidden="false" customHeight="false" outlineLevel="1" collapsed="false">
      <c r="A35" s="3" t="s">
        <v>1435</v>
      </c>
      <c r="B35" s="11" t="s">
        <v>96</v>
      </c>
      <c r="C35" s="42" t="n">
        <f aca="false">C25/MAX(10,損益!C22/輸入與假設!C$41)</f>
        <v>37.0752532791621</v>
      </c>
      <c r="D35" s="42" t="n">
        <f aca="false">D25/MAX(10,損益!D22/輸入與假設!D$41)</f>
        <v>29.2272204295203</v>
      </c>
      <c r="E35" s="42" t="n">
        <f aca="false">E25/MAX(10,損益!E22/輸入與假設!E$41)</f>
        <v>8.63205629199184</v>
      </c>
      <c r="F35" s="42" t="n">
        <f aca="false">F25/MAX(10,損益!F22/輸入與假設!F$41)</f>
        <v>5.1277955931849</v>
      </c>
      <c r="G35" s="42" t="n">
        <f aca="false">G25/MAX(10,損益!G22/輸入與假設!G$41)</f>
        <v>3.59062791523038</v>
      </c>
      <c r="I35" s="11" t="s">
        <v>1436</v>
      </c>
    </row>
    <row r="36" customFormat="false" ht="15" hidden="false" customHeight="false" outlineLevel="1" collapsed="false">
      <c r="A36" s="3" t="s">
        <v>1437</v>
      </c>
      <c r="B36" s="11" t="s">
        <v>59</v>
      </c>
      <c r="C36" s="63" t="n">
        <f aca="false">各期收支!C61</f>
        <v>21.6573135238173</v>
      </c>
      <c r="D36" s="63" t="n">
        <f aca="false">各期收支!D61</f>
        <v>23.7480966450241</v>
      </c>
      <c r="E36" s="63" t="n">
        <f aca="false">各期收支!E61</f>
        <v>18.8995804224211</v>
      </c>
      <c r="F36" s="63" t="n">
        <f aca="false">各期收支!F61</f>
        <v>13.8161856836829</v>
      </c>
      <c r="G36" s="63" t="n">
        <f aca="false">各期收支!G61</f>
        <v>8.25467284722946</v>
      </c>
      <c r="I36" s="6" t="s">
        <v>1438</v>
      </c>
    </row>
    <row r="37" customFormat="false" ht="15" hidden="false" customHeight="false" outlineLevel="1" collapsed="false">
      <c r="A37" s="4" t="s">
        <v>1439</v>
      </c>
      <c r="B37" s="11" t="s">
        <v>59</v>
      </c>
      <c r="C37" s="63" t="n">
        <f aca="false">(損益!C22+各期收支!C17)/輸入與假設!C$41</f>
        <v>36.0596277411434</v>
      </c>
      <c r="D37" s="63" t="n">
        <f aca="false">(損益!D22+各期收支!D17)/輸入與假設!D$41</f>
        <v>71.6552619218916</v>
      </c>
      <c r="E37" s="63" t="n">
        <f aca="false">(損益!E22+各期收支!E17)/輸入與假設!E$41</f>
        <v>147.754458790748</v>
      </c>
      <c r="F37" s="63" t="n">
        <f aca="false">(損益!F22+各期收支!F17)/輸入與假設!F$41</f>
        <v>219.471874121756</v>
      </c>
      <c r="G37" s="63" t="n">
        <f aca="false">(損益!G22+各期收支!G17)/輸入與假設!G$41</f>
        <v>294.018175733767</v>
      </c>
    </row>
    <row r="38" customFormat="false" ht="15" hidden="false" customHeight="false" outlineLevel="1" collapsed="false">
      <c r="A38" s="2" t="s">
        <v>1440</v>
      </c>
      <c r="B38" s="11" t="s">
        <v>96</v>
      </c>
      <c r="C38" s="79" t="n">
        <f aca="false">(C25+C36)/MAX(10,C37)</f>
        <v>13.3760203235122</v>
      </c>
      <c r="D38" s="79" t="n">
        <f aca="false">(D25+D36)/MAX(10,D37)</f>
        <v>10.6936918871839</v>
      </c>
      <c r="E38" s="79" t="n">
        <f aca="false">(E25+E36)/MAX(10,E37)</f>
        <v>5.40142805453078</v>
      </c>
      <c r="F38" s="79" t="n">
        <f aca="false">(F25+F36)/MAX(10,F37)</f>
        <v>3.5082495533916</v>
      </c>
      <c r="G38" s="79" t="n">
        <f aca="false">(G25+G36)/MAX(10,G37)</f>
        <v>2.59066861449621</v>
      </c>
      <c r="I38" s="11" t="s">
        <v>1441</v>
      </c>
    </row>
    <row r="39" customFormat="false" ht="15" hidden="false" customHeight="false" outlineLevel="1" collapsed="false">
      <c r="A39" s="3" t="s">
        <v>1442</v>
      </c>
      <c r="B39" s="11" t="s">
        <v>96</v>
      </c>
      <c r="C39" s="78" t="n">
        <f aca="false">輸入與假設!$C$200-C38</f>
        <v>-8.37602032351217</v>
      </c>
      <c r="D39" s="78" t="n">
        <f aca="false">輸入與假設!$C$200-D38</f>
        <v>-5.6936918871839</v>
      </c>
      <c r="E39" s="78" t="n">
        <f aca="false">輸入與假設!$C$200-E38</f>
        <v>-0.401428054530777</v>
      </c>
      <c r="F39" s="78" t="n">
        <f aca="false">輸入與假設!$C$200-F38</f>
        <v>1.4917504466084</v>
      </c>
      <c r="G39" s="78" t="n">
        <f aca="false">輸入與假設!$C$200-G38</f>
        <v>2.40933138550379</v>
      </c>
      <c r="I39" s="6" t="s">
        <v>1443</v>
      </c>
    </row>
    <row r="40" customFormat="false" ht="15" hidden="false" customHeight="false" outlineLevel="1" collapsed="false">
      <c r="A40" s="3" t="s">
        <v>1435</v>
      </c>
      <c r="B40" s="11" t="s">
        <v>96</v>
      </c>
      <c r="C40" s="78" t="n">
        <f aca="false">C25/MAX(10,C37-各期收支!C17/運營_產能與收入!C7)</f>
        <v>37.0752532791621</v>
      </c>
      <c r="D40" s="78" t="n">
        <f aca="false">D25/MAX(10,D37-各期收支!D17/運營_產能與收入!D7)</f>
        <v>29.2272204295203</v>
      </c>
      <c r="E40" s="78" t="n">
        <f aca="false">E25/MAX(10,E37-各期收支!E17/運營_產能與收入!E7)</f>
        <v>8.63205629199184</v>
      </c>
      <c r="F40" s="78" t="n">
        <f aca="false">F25/MAX(10,F37-各期收支!F17/運營_產能與收入!F7)</f>
        <v>5.1277955931849</v>
      </c>
      <c r="G40" s="78" t="n">
        <f aca="false">G25/MAX(10,G37-各期收支!G17/運營_產能與收入!G7)</f>
        <v>3.59062791523038</v>
      </c>
      <c r="I40" s="6" t="s">
        <v>1444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pageSetUpPr fitToPage="fals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8" min="3" style="0" width="13"/>
    <col collapsed="false" customWidth="true" hidden="false" outlineLevel="0" max="9" min="9" style="0" width="86"/>
  </cols>
  <sheetData>
    <row r="1" customFormat="false" ht="21.6" hidden="false" customHeight="false" outlineLevel="0" collapsed="false">
      <c r="A1" s="5" t="s">
        <v>1445</v>
      </c>
    </row>
    <row r="2" customFormat="false" ht="15" hidden="false" customHeight="false" outlineLevel="0" collapsed="false">
      <c r="A2" s="6" t="s">
        <v>1446</v>
      </c>
    </row>
    <row r="4" customFormat="false" ht="15" hidden="false" customHeight="false" outlineLevel="0" collapsed="false">
      <c r="A4" s="2" t="s">
        <v>1447</v>
      </c>
    </row>
    <row r="5" customFormat="false" ht="17.15" hidden="false" customHeight="false" outlineLevel="0" collapsed="false">
      <c r="A5" s="14" t="s">
        <v>53</v>
      </c>
      <c r="B5" s="14" t="s">
        <v>54</v>
      </c>
      <c r="C5" s="15" t="s">
        <v>1448</v>
      </c>
      <c r="D5" s="15" t="s">
        <v>1449</v>
      </c>
      <c r="E5" s="15" t="s">
        <v>1450</v>
      </c>
      <c r="F5" s="15" t="s">
        <v>1451</v>
      </c>
      <c r="G5" s="15" t="s">
        <v>1452</v>
      </c>
      <c r="H5" s="14" t="s">
        <v>1453</v>
      </c>
    </row>
    <row r="6" customFormat="false" ht="15" hidden="false" customHeight="false" outlineLevel="0" collapsed="false">
      <c r="A6" s="3" t="s">
        <v>1454</v>
      </c>
      <c r="B6" s="11" t="s">
        <v>59</v>
      </c>
      <c r="C6" s="25" t="n">
        <v>3.268</v>
      </c>
      <c r="D6" s="25" t="n">
        <v>4.28</v>
      </c>
      <c r="E6" s="25" t="n">
        <v>2.465</v>
      </c>
      <c r="F6" s="25" t="n">
        <v>2.304</v>
      </c>
      <c r="G6" s="25" t="n">
        <v>2.358</v>
      </c>
      <c r="H6" s="25" t="n">
        <v>5.76</v>
      </c>
    </row>
    <row r="7" customFormat="false" ht="15" hidden="false" customHeight="false" outlineLevel="0" collapsed="false">
      <c r="A7" s="3" t="s">
        <v>1455</v>
      </c>
      <c r="B7" s="11" t="s">
        <v>59</v>
      </c>
      <c r="C7" s="25" t="n">
        <v>0</v>
      </c>
      <c r="D7" s="25" t="n">
        <v>0</v>
      </c>
      <c r="E7" s="25" t="n">
        <v>0</v>
      </c>
      <c r="F7" s="25" t="n">
        <v>0</v>
      </c>
      <c r="G7" s="25" t="n">
        <v>0</v>
      </c>
      <c r="H7" s="25" t="n">
        <v>0</v>
      </c>
    </row>
    <row r="8" customFormat="false" ht="15" hidden="false" customHeight="false" outlineLevel="0" collapsed="false">
      <c r="A8" s="2" t="s">
        <v>1456</v>
      </c>
      <c r="C8" s="54" t="n">
        <f aca="false">SUM(C6:C7)</f>
        <v>3.268</v>
      </c>
      <c r="D8" s="54" t="n">
        <f aca="false">SUM(D6:D7)</f>
        <v>4.28</v>
      </c>
      <c r="E8" s="54" t="n">
        <f aca="false">SUM(E6:E7)</f>
        <v>2.465</v>
      </c>
      <c r="F8" s="54" t="n">
        <f aca="false">SUM(F6:F7)</f>
        <v>2.304</v>
      </c>
      <c r="G8" s="54" t="n">
        <f aca="false">SUM(G6:G7)</f>
        <v>2.358</v>
      </c>
      <c r="H8" s="54" t="n">
        <f aca="false">SUM(H6:H7)</f>
        <v>5.76</v>
      </c>
      <c r="I8" s="6" t="s">
        <v>1457</v>
      </c>
    </row>
    <row r="10" customFormat="false" ht="15" hidden="false" customHeight="false" outlineLevel="0" collapsed="false">
      <c r="A10" s="2" t="s">
        <v>1458</v>
      </c>
    </row>
    <row r="11" customFormat="false" ht="17.15" hidden="false" customHeight="false" outlineLevel="0" collapsed="false">
      <c r="A11" s="14" t="s">
        <v>53</v>
      </c>
      <c r="B11" s="14" t="s">
        <v>54</v>
      </c>
      <c r="C11" s="15" t="s">
        <v>1448</v>
      </c>
      <c r="D11" s="15" t="s">
        <v>1449</v>
      </c>
      <c r="E11" s="15" t="s">
        <v>1450</v>
      </c>
      <c r="F11" s="15" t="s">
        <v>1451</v>
      </c>
      <c r="G11" s="15" t="s">
        <v>1452</v>
      </c>
      <c r="H11" s="14" t="s">
        <v>1453</v>
      </c>
    </row>
    <row r="12" customFormat="false" ht="15" hidden="false" customHeight="false" outlineLevel="0" collapsed="false">
      <c r="A12" s="3" t="s">
        <v>1459</v>
      </c>
      <c r="B12" s="11" t="s">
        <v>59</v>
      </c>
      <c r="C12" s="25" t="n">
        <v>5.373</v>
      </c>
      <c r="D12" s="25" t="n">
        <v>90.747</v>
      </c>
      <c r="E12" s="25" t="n">
        <v>6.247</v>
      </c>
      <c r="F12" s="25" t="n">
        <v>20.959</v>
      </c>
      <c r="G12" s="25" t="n">
        <v>0</v>
      </c>
      <c r="H12" s="25" t="n">
        <v>0</v>
      </c>
      <c r="I12" s="6" t="s">
        <v>1460</v>
      </c>
    </row>
    <row r="13" customFormat="false" ht="15" hidden="false" customHeight="false" outlineLevel="0" collapsed="false">
      <c r="A13" s="2" t="s">
        <v>1362</v>
      </c>
      <c r="C13" s="54" t="n">
        <f aca="false">SUM(C12:H12)</f>
        <v>123.326</v>
      </c>
    </row>
    <row r="15" customFormat="false" ht="15" hidden="false" customHeight="false" outlineLevel="0" collapsed="false">
      <c r="A15" s="2" t="s">
        <v>1461</v>
      </c>
    </row>
    <row r="16" customFormat="false" ht="15" hidden="false" customHeight="false" outlineLevel="0" collapsed="false">
      <c r="A16" s="14" t="s">
        <v>53</v>
      </c>
      <c r="B16" s="14" t="s">
        <v>54</v>
      </c>
      <c r="C16" s="14" t="s">
        <v>1462</v>
      </c>
      <c r="D16" s="14" t="s">
        <v>1264</v>
      </c>
      <c r="E16" s="14" t="s">
        <v>1463</v>
      </c>
      <c r="F16" s="14" t="s">
        <v>1464</v>
      </c>
    </row>
    <row r="17" customFormat="false" ht="15" hidden="false" customHeight="false" outlineLevel="0" collapsed="false">
      <c r="A17" s="3" t="s">
        <v>1465</v>
      </c>
      <c r="B17" s="11" t="s">
        <v>59</v>
      </c>
      <c r="C17" s="80" t="n">
        <v>20.296</v>
      </c>
      <c r="D17" s="6" t="s">
        <v>1466</v>
      </c>
      <c r="E17" s="6" t="s">
        <v>1467</v>
      </c>
      <c r="F17" s="6" t="s">
        <v>1468</v>
      </c>
    </row>
    <row r="18" customFormat="false" ht="15" hidden="false" customHeight="false" outlineLevel="0" collapsed="false">
      <c r="A18" s="3" t="s">
        <v>1469</v>
      </c>
      <c r="B18" s="11" t="s">
        <v>59</v>
      </c>
      <c r="C18" s="80" t="n">
        <v>0</v>
      </c>
      <c r="D18" s="6" t="s">
        <v>1470</v>
      </c>
      <c r="E18" s="6" t="s">
        <v>1467</v>
      </c>
      <c r="F18" s="6" t="s">
        <v>1468</v>
      </c>
    </row>
    <row r="19" customFormat="false" ht="15" hidden="false" customHeight="false" outlineLevel="0" collapsed="false">
      <c r="A19" s="3" t="s">
        <v>445</v>
      </c>
      <c r="B19" s="11" t="s">
        <v>59</v>
      </c>
      <c r="C19" s="80" t="n">
        <v>20</v>
      </c>
      <c r="D19" s="11" t="s">
        <v>1471</v>
      </c>
      <c r="E19" s="6" t="s">
        <v>1472</v>
      </c>
      <c r="F19" s="6" t="s">
        <v>1473</v>
      </c>
    </row>
    <row r="20" customFormat="false" ht="15" hidden="false" customHeight="false" outlineLevel="0" collapsed="false">
      <c r="A20" s="2" t="s">
        <v>1474</v>
      </c>
      <c r="C20" s="54" t="n">
        <f aca="false">C17+C18</f>
        <v>20.296</v>
      </c>
    </row>
    <row r="21" customFormat="false" ht="15" hidden="false" customHeight="false" outlineLevel="0" collapsed="false">
      <c r="A21" s="3" t="s">
        <v>1475</v>
      </c>
      <c r="C21" s="81" t="n">
        <f aca="false">SUM(各期收支!C15:G15)</f>
        <v>17.0279988455594</v>
      </c>
    </row>
    <row r="22" customFormat="false" ht="15" hidden="false" customHeight="false" outlineLevel="0" collapsed="false">
      <c r="A22" s="3" t="s">
        <v>1476</v>
      </c>
      <c r="C22" s="53" t="n">
        <f aca="false">MAX(0,輸入與假設!$C$26-C21)</f>
        <v>3.2680011544406</v>
      </c>
    </row>
    <row r="23" customFormat="false" ht="15" hidden="false" customHeight="false" outlineLevel="0" collapsed="false">
      <c r="A23" s="2" t="s">
        <v>1477</v>
      </c>
      <c r="C23" s="82" t="n">
        <f aca="false">(C21+C22)/C20</f>
        <v>1</v>
      </c>
      <c r="I23" s="6" t="s">
        <v>1478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A35A"/>
    <outlinePr summaryBelow="0" summaryRight="1"/>
    <pageSetUpPr fitToPage="false"/>
  </sheetPr>
  <dimension ref="A1:I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7.35" hidden="false" customHeight="false" outlineLevel="0" collapsed="false">
      <c r="A1" s="5" t="s">
        <v>1479</v>
      </c>
    </row>
    <row r="2" customFormat="false" ht="15" hidden="false" customHeight="false" outlineLevel="0" collapsed="false">
      <c r="A2" s="6" t="s">
        <v>1480</v>
      </c>
    </row>
    <row r="4" customFormat="false" ht="15" hidden="false" customHeight="false" outlineLevel="0" collapsed="false">
      <c r="A4" s="14" t="s">
        <v>53</v>
      </c>
      <c r="B4" s="14" t="s">
        <v>54</v>
      </c>
      <c r="C4" s="28" t="s">
        <v>55</v>
      </c>
      <c r="D4" s="28" t="s">
        <v>56</v>
      </c>
      <c r="E4" s="28" t="s">
        <v>57</v>
      </c>
      <c r="F4" s="28" t="s">
        <v>138</v>
      </c>
      <c r="G4" s="28" t="s">
        <v>139</v>
      </c>
      <c r="I4" s="14" t="s">
        <v>806</v>
      </c>
    </row>
    <row r="5" customFormat="false" ht="15" hidden="false" customHeight="false" outlineLevel="0" collapsed="false">
      <c r="A5" s="47" t="s">
        <v>1481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1482</v>
      </c>
      <c r="B6" s="11" t="s">
        <v>59</v>
      </c>
      <c r="C6" s="40" t="n">
        <f aca="false">運營_產能與收入!C26</f>
        <v>41.21625</v>
      </c>
      <c r="D6" s="40" t="n">
        <f aca="false">運營_產能與收入!D26</f>
        <v>177.654</v>
      </c>
      <c r="E6" s="40" t="n">
        <f aca="false">運營_產能與收入!E26</f>
        <v>266.2635</v>
      </c>
      <c r="F6" s="40" t="n">
        <f aca="false">運營_產能與收入!F26</f>
        <v>320.9865</v>
      </c>
      <c r="G6" s="40" t="n">
        <f aca="false">運營_產能與收入!G26</f>
        <v>369.489</v>
      </c>
      <c r="I6" s="6" t="s">
        <v>1483</v>
      </c>
    </row>
    <row r="7" customFormat="false" ht="15" hidden="false" customHeight="false" outlineLevel="1" collapsed="false">
      <c r="A7" s="3" t="s">
        <v>1484</v>
      </c>
      <c r="B7" s="11" t="s">
        <v>59</v>
      </c>
      <c r="C7" s="40" t="n">
        <f aca="false">輸入與假設!C$50</f>
        <v>0</v>
      </c>
      <c r="D7" s="40" t="n">
        <f aca="false">輸入與假設!D$50</f>
        <v>0</v>
      </c>
      <c r="E7" s="40" t="n">
        <f aca="false">輸入與假設!E$50</f>
        <v>0</v>
      </c>
      <c r="F7" s="40" t="n">
        <f aca="false">輸入與假設!F$50</f>
        <v>0</v>
      </c>
      <c r="G7" s="40" t="n">
        <f aca="false">輸入與假設!G$50</f>
        <v>0</v>
      </c>
    </row>
    <row r="8" customFormat="false" ht="15" hidden="false" customHeight="false" outlineLevel="1" collapsed="false">
      <c r="A8" s="3" t="s">
        <v>1485</v>
      </c>
      <c r="B8" s="11" t="s">
        <v>59</v>
      </c>
      <c r="C8" s="40" t="n">
        <f aca="false">輸入與假設!C$115</f>
        <v>37.8941812319381</v>
      </c>
      <c r="D8" s="40" t="n">
        <f aca="false">輸入與假設!D$115</f>
        <v>100.515582973631</v>
      </c>
      <c r="E8" s="40" t="n">
        <f aca="false">輸入與假設!E$115</f>
        <v>151.148922920645</v>
      </c>
      <c r="F8" s="40" t="n">
        <f aca="false">輸入與假設!F$115</f>
        <v>170.934405342445</v>
      </c>
      <c r="G8" s="40" t="n">
        <f aca="false">輸入與假設!G$115</f>
        <v>175.495737502719</v>
      </c>
      <c r="I8" s="11" t="s">
        <v>1486</v>
      </c>
    </row>
    <row r="9" customFormat="false" ht="15" hidden="false" customHeight="false" outlineLevel="1" collapsed="false">
      <c r="A9" s="2" t="s">
        <v>1487</v>
      </c>
      <c r="B9" s="11" t="s">
        <v>59</v>
      </c>
      <c r="C9" s="36" t="n">
        <f aca="false">C6+C7+C8</f>
        <v>79.1104312319381</v>
      </c>
      <c r="D9" s="36" t="n">
        <f aca="false">D6+D7+D8</f>
        <v>278.169582973631</v>
      </c>
      <c r="E9" s="36" t="n">
        <f aca="false">E6+E7+E8</f>
        <v>417.412422920645</v>
      </c>
      <c r="F9" s="36" t="n">
        <f aca="false">F6+F7+F8</f>
        <v>491.920905342445</v>
      </c>
      <c r="G9" s="36" t="n">
        <f aca="false">G6+G7+G8</f>
        <v>544.984737502719</v>
      </c>
    </row>
    <row r="10" customFormat="false" ht="15" hidden="false" customHeight="false" outlineLevel="1" collapsed="false">
      <c r="A10" s="4" t="s">
        <v>332</v>
      </c>
      <c r="B10" s="11" t="s">
        <v>42</v>
      </c>
      <c r="C10" s="48" t="n">
        <f aca="false">輸入與假設!C$127</f>
        <v>-0.32919136593557</v>
      </c>
      <c r="D10" s="48" t="n">
        <f aca="false">輸入與假設!D$127</f>
        <v>-0.170448455084021</v>
      </c>
      <c r="E10" s="48" t="n">
        <f aca="false">輸入與假設!E$127</f>
        <v>0.00635922654172419</v>
      </c>
      <c r="F10" s="48" t="n">
        <f aca="false">輸入與假設!F$127</f>
        <v>0.130294475677847</v>
      </c>
      <c r="G10" s="48" t="n">
        <f aca="false">輸入與假設!G$127</f>
        <v>0.259183462212792</v>
      </c>
    </row>
    <row r="11" customFormat="false" ht="15" hidden="false" customHeight="false" outlineLevel="1" collapsed="false">
      <c r="A11" s="3" t="s">
        <v>1488</v>
      </c>
      <c r="B11" s="11" t="s">
        <v>59</v>
      </c>
      <c r="C11" s="40" t="n">
        <f aca="false">運營_產能與收入!C74</f>
        <v>0</v>
      </c>
      <c r="D11" s="40" t="n">
        <f aca="false">運營_產能與收入!D74</f>
        <v>0</v>
      </c>
      <c r="E11" s="40" t="n">
        <f aca="false">運營_產能與收入!E74</f>
        <v>0</v>
      </c>
      <c r="F11" s="40" t="n">
        <f aca="false">運營_產能與收入!F74</f>
        <v>0</v>
      </c>
      <c r="G11" s="40" t="n">
        <f aca="false">運營_產能與收入!G74</f>
        <v>0</v>
      </c>
      <c r="I11" s="6" t="s">
        <v>865</v>
      </c>
    </row>
    <row r="12" customFormat="false" ht="15" hidden="false" customHeight="false" outlineLevel="1" collapsed="false">
      <c r="A12" s="3" t="s">
        <v>1489</v>
      </c>
      <c r="B12" s="11" t="s">
        <v>59</v>
      </c>
      <c r="C12" s="63" t="n">
        <f aca="false">(C6+C7)*輸入與假設!C$127+輸入與假設!C$51+輸入與假設!C$117-C11-輸入與假設!C$176</f>
        <v>-22.2342466581702</v>
      </c>
      <c r="D12" s="63" t="n">
        <f aca="false">(D6+D7)*輸入與假設!D$127+輸入與假設!D$51+輸入與假設!D$117-D11-輸入與假設!D$176</f>
        <v>-57.288241709605</v>
      </c>
      <c r="E12" s="63" t="n">
        <f aca="false">(E6+E7)*輸入與假設!E$127+輸入與假設!E$51+輸入與假設!E$117-E11-輸入與假設!E$176</f>
        <v>-16.7917887897099</v>
      </c>
      <c r="F12" s="63" t="n">
        <f aca="false">(F6+F7)*輸入與假設!F$127+輸入與假設!F$51+輸入與假設!F$117-F11-輸入與假設!F$176</f>
        <v>29.4383023187986</v>
      </c>
      <c r="G12" s="63" t="n">
        <f aca="false">(G6+G7)*輸入與假設!G$127+輸入與假設!G$51+輸入與假設!G$117-G11-輸入與假設!G$176</f>
        <v>82.0188459963095</v>
      </c>
      <c r="I12" s="6" t="s">
        <v>1490</v>
      </c>
    </row>
    <row r="13" customFormat="false" ht="15" hidden="false" customHeight="false" outlineLevel="1" collapsed="false">
      <c r="A13" s="3" t="s">
        <v>1491</v>
      </c>
      <c r="B13" s="11" t="s">
        <v>59</v>
      </c>
      <c r="C13" s="40" t="n">
        <f aca="false">各期收支!C22</f>
        <v>13.5867264456522</v>
      </c>
      <c r="D13" s="40" t="n">
        <f aca="false">各期收支!D22</f>
        <v>55.3017685830268</v>
      </c>
      <c r="E13" s="40" t="n">
        <f aca="false">各期收支!E22</f>
        <v>52.6899297564169</v>
      </c>
      <c r="F13" s="40" t="n">
        <f aca="false">各期收支!F22</f>
        <v>51.6530457331123</v>
      </c>
      <c r="G13" s="40" t="n">
        <f aca="false">各期收支!G22</f>
        <v>50.8208323251049</v>
      </c>
    </row>
    <row r="14" customFormat="false" ht="15" hidden="false" customHeight="false" outlineLevel="1" collapsed="false">
      <c r="A14" s="3" t="s">
        <v>1492</v>
      </c>
      <c r="B14" s="11" t="s">
        <v>59</v>
      </c>
      <c r="C14" s="40" t="n">
        <f aca="false">各期收支!C10</f>
        <v>0</v>
      </c>
      <c r="D14" s="40" t="n">
        <f aca="false">各期收支!D10</f>
        <v>0</v>
      </c>
      <c r="E14" s="40" t="n">
        <f aca="false">各期收支!E10</f>
        <v>0</v>
      </c>
      <c r="F14" s="40" t="n">
        <f aca="false">各期收支!F10</f>
        <v>0</v>
      </c>
      <c r="G14" s="40" t="n">
        <f aca="false">各期收支!G10</f>
        <v>0</v>
      </c>
      <c r="I14" s="6" t="s">
        <v>1493</v>
      </c>
    </row>
    <row r="15" customFormat="false" ht="15" hidden="false" customHeight="false" outlineLevel="1" collapsed="false">
      <c r="A15" s="3" t="s">
        <v>1494</v>
      </c>
      <c r="B15" s="11" t="s">
        <v>59</v>
      </c>
      <c r="C15" s="63" t="n">
        <f aca="false">C12-C13-C14</f>
        <v>-35.8209731038224</v>
      </c>
      <c r="D15" s="63" t="n">
        <f aca="false">D12-D13-D14</f>
        <v>-112.590010292632</v>
      </c>
      <c r="E15" s="63" t="n">
        <f aca="false">E12-E13-E14</f>
        <v>-69.4817185461267</v>
      </c>
      <c r="F15" s="63" t="n">
        <f aca="false">F12-F13-F14</f>
        <v>-22.2147434143137</v>
      </c>
      <c r="G15" s="63" t="n">
        <f aca="false">G12-G13-G14</f>
        <v>31.1980136712046</v>
      </c>
    </row>
    <row r="16" customFormat="false" ht="15" hidden="false" customHeight="false" outlineLevel="1" collapsed="false">
      <c r="A16" s="4" t="s">
        <v>1495</v>
      </c>
      <c r="B16" s="11" t="s">
        <v>59</v>
      </c>
      <c r="C16" s="63" t="n">
        <f aca="false">輸入與假設!$C$246</f>
        <v>0</v>
      </c>
      <c r="D16" s="63" t="n">
        <f aca="false">C18</f>
        <v>35.8209731038224</v>
      </c>
      <c r="E16" s="63" t="n">
        <f aca="false">D18</f>
        <v>148.410983396454</v>
      </c>
      <c r="F16" s="63" t="n">
        <f aca="false">E18</f>
        <v>217.892701942581</v>
      </c>
      <c r="G16" s="63" t="n">
        <f aca="false">F18</f>
        <v>240.107445356895</v>
      </c>
      <c r="I16" s="11" t="s">
        <v>1496</v>
      </c>
    </row>
    <row r="17" customFormat="false" ht="15" hidden="false" customHeight="false" outlineLevel="1" collapsed="false">
      <c r="A17" s="3" t="s">
        <v>1497</v>
      </c>
      <c r="B17" s="11" t="s">
        <v>59</v>
      </c>
      <c r="C17" s="63" t="n">
        <f aca="false">MIN(C16,MAX(0,C15)*輸入與假設!$C$247)</f>
        <v>0</v>
      </c>
      <c r="D17" s="63" t="n">
        <f aca="false">MIN(D16,MAX(0,D15)*輸入與假設!$C$247)</f>
        <v>0</v>
      </c>
      <c r="E17" s="63" t="n">
        <f aca="false">MIN(E16,MAX(0,E15)*輸入與假設!$C$247)</f>
        <v>0</v>
      </c>
      <c r="F17" s="63" t="n">
        <f aca="false">MIN(F16,MAX(0,F15)*輸入與假設!$C$247)</f>
        <v>0</v>
      </c>
      <c r="G17" s="63" t="n">
        <f aca="false">MIN(G16,MAX(0,G15)*輸入與假設!$C$247)</f>
        <v>24.9584109369637</v>
      </c>
      <c r="I17" s="6" t="s">
        <v>1498</v>
      </c>
    </row>
    <row r="18" customFormat="false" ht="15" hidden="false" customHeight="false" outlineLevel="1" collapsed="false">
      <c r="A18" s="4" t="s">
        <v>1499</v>
      </c>
      <c r="B18" s="11" t="s">
        <v>59</v>
      </c>
      <c r="C18" s="63" t="n">
        <f aca="false">C16-C17+MAX(0,-C15)</f>
        <v>35.8209731038224</v>
      </c>
      <c r="D18" s="63" t="n">
        <f aca="false">D16-D17+MAX(0,-D15)</f>
        <v>148.410983396454</v>
      </c>
      <c r="E18" s="63" t="n">
        <f aca="false">E16-E17+MAX(0,-E15)</f>
        <v>217.892701942581</v>
      </c>
      <c r="F18" s="63" t="n">
        <f aca="false">F16-F17+MAX(0,-F15)</f>
        <v>240.107445356895</v>
      </c>
      <c r="G18" s="63" t="n">
        <f aca="false">G16-G17+MAX(0,-G15)</f>
        <v>215.149034419931</v>
      </c>
    </row>
    <row r="19" customFormat="false" ht="15" hidden="false" customHeight="false" outlineLevel="1" collapsed="false">
      <c r="A19" s="3" t="s">
        <v>1500</v>
      </c>
      <c r="B19" s="11" t="s">
        <v>59</v>
      </c>
      <c r="C19" s="63" t="n">
        <f aca="false">MAX(0,C15-C17)*輸入與假設!$C$233</f>
        <v>0</v>
      </c>
      <c r="D19" s="63" t="n">
        <f aca="false">MAX(0,D15-D17)*輸入與假設!$C$233</f>
        <v>0</v>
      </c>
      <c r="E19" s="63" t="n">
        <f aca="false">MAX(0,E15-E17)*輸入與假設!$C$233</f>
        <v>0</v>
      </c>
      <c r="F19" s="63" t="n">
        <f aca="false">MAX(0,F15-F17)*輸入與假設!$C$233</f>
        <v>0</v>
      </c>
      <c r="G19" s="63" t="n">
        <f aca="false">MAX(0,G15-G17)*輸入與假設!$C$233</f>
        <v>1.31031657419059</v>
      </c>
      <c r="I19" s="6" t="s">
        <v>1501</v>
      </c>
    </row>
    <row r="20" customFormat="false" ht="15" hidden="false" customHeight="false" outlineLevel="1" collapsed="false">
      <c r="A20" s="2" t="s">
        <v>1502</v>
      </c>
      <c r="B20" s="11" t="s">
        <v>59</v>
      </c>
      <c r="C20" s="36" t="n">
        <f aca="false">C15-C19</f>
        <v>-35.8209731038224</v>
      </c>
      <c r="D20" s="36" t="n">
        <f aca="false">D15-D19</f>
        <v>-112.590010292632</v>
      </c>
      <c r="E20" s="36" t="n">
        <f aca="false">E15-E19</f>
        <v>-69.4817185461267</v>
      </c>
      <c r="F20" s="36" t="n">
        <f aca="false">F15-F19</f>
        <v>-22.2147434143137</v>
      </c>
      <c r="G20" s="36" t="n">
        <f aca="false">G15-G19</f>
        <v>29.887697097014</v>
      </c>
    </row>
    <row r="21" customFormat="false" ht="15" hidden="false" customHeight="false" outlineLevel="1" collapsed="false">
      <c r="A21" s="4" t="s">
        <v>672</v>
      </c>
      <c r="B21" s="11" t="s">
        <v>59</v>
      </c>
      <c r="C21" s="40" t="n">
        <f aca="false">輸入與假設!C$176</f>
        <v>28.446975625</v>
      </c>
      <c r="D21" s="40" t="n">
        <f aca="false">輸入與假設!D$176</f>
        <v>82.6930248375</v>
      </c>
      <c r="E21" s="40" t="n">
        <f aca="false">輸入與假設!E$176</f>
        <v>107.0582875375</v>
      </c>
      <c r="F21" s="40" t="n">
        <f aca="false">輸入與假設!F$176</f>
        <v>118.0219279</v>
      </c>
      <c r="G21" s="40" t="n">
        <f aca="false">輸入與假設!G$176</f>
        <v>127.81882165</v>
      </c>
      <c r="I21" s="6" t="s">
        <v>1503</v>
      </c>
    </row>
    <row r="22" customFormat="false" ht="15" hidden="false" customHeight="false" outlineLevel="1" collapsed="false">
      <c r="A22" s="83" t="s">
        <v>1504</v>
      </c>
      <c r="B22" s="11" t="s">
        <v>59</v>
      </c>
      <c r="C22" s="36" t="n">
        <f aca="false">C12+C21</f>
        <v>6.21272896682975</v>
      </c>
      <c r="D22" s="36" t="n">
        <f aca="false">D12+D21</f>
        <v>25.404783127895</v>
      </c>
      <c r="E22" s="36" t="n">
        <f aca="false">E12+E21</f>
        <v>90.2664987477901</v>
      </c>
      <c r="F22" s="36" t="n">
        <f aca="false">F12+F21</f>
        <v>147.460230218799</v>
      </c>
      <c r="G22" s="36" t="n">
        <f aca="false">G12+G21</f>
        <v>209.83766764631</v>
      </c>
    </row>
    <row r="23" customFormat="false" ht="15" hidden="false" customHeight="false" outlineLevel="1" collapsed="false">
      <c r="A23" s="3" t="s">
        <v>1505</v>
      </c>
      <c r="B23" s="11" t="s">
        <v>475</v>
      </c>
      <c r="C23" s="30" t="n">
        <f aca="false">評價_DCF與目標價!$C$69</f>
        <v>39.33849</v>
      </c>
      <c r="D23" s="30" t="n">
        <f aca="false">C23*(1+輸入與假設!$C$260)</f>
        <v>39.7318749</v>
      </c>
      <c r="E23" s="30" t="n">
        <f aca="false">D23*(1+輸入與假設!$C$260)</f>
        <v>40.129193649</v>
      </c>
      <c r="F23" s="30" t="n">
        <f aca="false">E23*(1+輸入與假設!$C$260)</f>
        <v>40.53048558549</v>
      </c>
      <c r="G23" s="30" t="n">
        <f aca="false">F23*(1+輸入與假設!$C$260)</f>
        <v>40.9357904413449</v>
      </c>
      <c r="I23" s="11" t="s">
        <v>1506</v>
      </c>
    </row>
    <row r="24" customFormat="false" ht="15" hidden="false" customHeight="false" outlineLevel="1" collapsed="false">
      <c r="A24" s="3" t="s">
        <v>1507</v>
      </c>
      <c r="B24" s="11" t="s">
        <v>475</v>
      </c>
      <c r="C24" s="30" t="n">
        <f aca="false">C23+各期收支!C91</f>
        <v>39.33849</v>
      </c>
      <c r="D24" s="30" t="n">
        <f aca="false">D23+各期收支!D91</f>
        <v>39.7318749</v>
      </c>
      <c r="E24" s="30" t="n">
        <f aca="false">E23+各期收支!E91</f>
        <v>40.129193649</v>
      </c>
      <c r="F24" s="30" t="n">
        <f aca="false">F23+各期收支!F91</f>
        <v>40.53048558549</v>
      </c>
      <c r="G24" s="30" t="n">
        <f aca="false">G23+各期收支!G91</f>
        <v>40.9357904413449</v>
      </c>
      <c r="I24" s="6" t="s">
        <v>1508</v>
      </c>
    </row>
    <row r="25" customFormat="false" ht="15" hidden="false" customHeight="false" outlineLevel="1" collapsed="false">
      <c r="A25" s="3" t="s">
        <v>1509</v>
      </c>
      <c r="B25" s="11" t="s">
        <v>39</v>
      </c>
      <c r="C25" s="50" t="n">
        <f aca="false">C20/C24</f>
        <v>-0.910583327011851</v>
      </c>
      <c r="D25" s="50" t="n">
        <f aca="false">D20/D24</f>
        <v>-2.83374521277957</v>
      </c>
      <c r="E25" s="50" t="n">
        <f aca="false">E20/E24</f>
        <v>-1.7314506529552</v>
      </c>
      <c r="F25" s="50" t="n">
        <f aca="false">F20/F24</f>
        <v>-0.548099611771408</v>
      </c>
      <c r="G25" s="50" t="n">
        <f aca="false">G20/G24</f>
        <v>0.730111640077863</v>
      </c>
      <c r="I25" s="11" t="s">
        <v>1510</v>
      </c>
    </row>
    <row r="27" customFormat="false" ht="15" hidden="false" customHeight="false" outlineLevel="0" collapsed="false">
      <c r="A27" s="47" t="s">
        <v>1511</v>
      </c>
      <c r="B27" s="8"/>
      <c r="C27" s="8"/>
      <c r="D27" s="8"/>
      <c r="E27" s="8"/>
      <c r="F27" s="8"/>
      <c r="G27" s="8"/>
      <c r="H27" s="8"/>
    </row>
    <row r="28" customFormat="false" ht="15" hidden="false" customHeight="false" outlineLevel="1" collapsed="false">
      <c r="A28" s="4" t="s">
        <v>1512</v>
      </c>
      <c r="B28" s="11" t="s">
        <v>59</v>
      </c>
      <c r="C28" s="40" t="n">
        <f aca="false">輸入與假設!$C$301</f>
        <v>50.762</v>
      </c>
      <c r="D28" s="40" t="n">
        <f aca="false">0</f>
        <v>0</v>
      </c>
      <c r="E28" s="40" t="n">
        <f aca="false">0</f>
        <v>0</v>
      </c>
      <c r="F28" s="40" t="n">
        <f aca="false">0</f>
        <v>0</v>
      </c>
      <c r="G28" s="40" t="n">
        <f aca="false">0</f>
        <v>0</v>
      </c>
    </row>
    <row r="29" customFormat="false" ht="15" hidden="false" customHeight="false" outlineLevel="1" collapsed="false">
      <c r="A29" s="2" t="s">
        <v>1513</v>
      </c>
      <c r="B29" s="11" t="s">
        <v>59</v>
      </c>
      <c r="C29" s="36" t="n">
        <f aca="false">C28+C9</f>
        <v>129.872431231938</v>
      </c>
      <c r="D29" s="36" t="n">
        <f aca="false">D28+D9</f>
        <v>278.169582973631</v>
      </c>
      <c r="E29" s="36" t="n">
        <f aca="false">E28+E9</f>
        <v>417.412422920645</v>
      </c>
      <c r="F29" s="36" t="n">
        <f aca="false">F28+F9</f>
        <v>491.920905342445</v>
      </c>
      <c r="G29" s="36" t="n">
        <f aca="false">G28+G9</f>
        <v>544.984737502719</v>
      </c>
      <c r="I29" s="11" t="s">
        <v>1514</v>
      </c>
    </row>
    <row r="30" customFormat="false" ht="15" hidden="false" customHeight="false" outlineLevel="1" collapsed="false">
      <c r="A30" s="3" t="s">
        <v>1515</v>
      </c>
      <c r="B30" s="11" t="s">
        <v>42</v>
      </c>
      <c r="C30" s="64" t="n">
        <f aca="false">C29/79.164-1</f>
        <v>0.640549128795136</v>
      </c>
      <c r="D30" s="64" t="n">
        <f aca="false">D29/C29-1</f>
        <v>1.14186783395816</v>
      </c>
      <c r="E30" s="64" t="n">
        <f aca="false">E29/D29-1</f>
        <v>0.500568173049362</v>
      </c>
      <c r="F30" s="64" t="n">
        <f aca="false">F29/E29-1</f>
        <v>0.178500874268339</v>
      </c>
      <c r="G30" s="64" t="n">
        <f aca="false">G29/F29-1</f>
        <v>0.107870658847754</v>
      </c>
      <c r="I30" s="11" t="s">
        <v>1516</v>
      </c>
    </row>
    <row r="31" customFormat="false" ht="15" hidden="false" customHeight="false" outlineLevel="1" collapsed="false">
      <c r="A31" s="3" t="s">
        <v>1517</v>
      </c>
      <c r="B31" s="11" t="s">
        <v>59</v>
      </c>
      <c r="C31" s="63" t="n">
        <f aca="false">輸入與假設!$C$302+C12</f>
        <v>-42.5092466581702</v>
      </c>
      <c r="D31" s="63" t="n">
        <f aca="false">D12</f>
        <v>-57.288241709605</v>
      </c>
      <c r="E31" s="63" t="n">
        <f aca="false">E12</f>
        <v>-16.7917887897099</v>
      </c>
      <c r="F31" s="63" t="n">
        <f aca="false">F12</f>
        <v>29.4383023187986</v>
      </c>
      <c r="G31" s="63" t="n">
        <f aca="false">G12</f>
        <v>82.0188459963095</v>
      </c>
    </row>
    <row r="32" customFormat="false" ht="15" hidden="false" customHeight="false" outlineLevel="1" collapsed="false">
      <c r="A32" s="3" t="s">
        <v>1518</v>
      </c>
      <c r="B32" s="11" t="s">
        <v>42</v>
      </c>
      <c r="C32" s="64" t="n">
        <f aca="false">C31/C29</f>
        <v>-0.327315399079989</v>
      </c>
      <c r="D32" s="64" t="n">
        <f aca="false">D31/D29</f>
        <v>-0.205947181921165</v>
      </c>
      <c r="E32" s="64" t="n">
        <f aca="false">E31/E29</f>
        <v>-0.0402282918946622</v>
      </c>
      <c r="F32" s="64" t="n">
        <f aca="false">F31/F29</f>
        <v>0.0598435683441944</v>
      </c>
      <c r="G32" s="64" t="n">
        <f aca="false">G31/G29</f>
        <v>0.150497510025958</v>
      </c>
    </row>
    <row r="33" customFormat="false" ht="15" hidden="false" customHeight="false" outlineLevel="1" collapsed="false">
      <c r="A33" s="3" t="s">
        <v>1519</v>
      </c>
      <c r="B33" s="11" t="s">
        <v>59</v>
      </c>
      <c r="C33" s="63" t="n">
        <f aca="false">輸入與假設!$C$305+C21</f>
        <v>41.454975625</v>
      </c>
      <c r="D33" s="63" t="n">
        <f aca="false">D21</f>
        <v>82.6930248375</v>
      </c>
      <c r="E33" s="63" t="n">
        <f aca="false">E21</f>
        <v>107.0582875375</v>
      </c>
      <c r="F33" s="63" t="n">
        <f aca="false">F21</f>
        <v>118.0219279</v>
      </c>
      <c r="G33" s="63" t="n">
        <f aca="false">G21</f>
        <v>127.81882165</v>
      </c>
      <c r="I33" s="11" t="s">
        <v>1520</v>
      </c>
    </row>
    <row r="34" customFormat="false" ht="15" hidden="false" customHeight="false" outlineLevel="1" collapsed="false">
      <c r="A34" s="2" t="s">
        <v>1521</v>
      </c>
      <c r="B34" s="11" t="s">
        <v>59</v>
      </c>
      <c r="C34" s="36" t="n">
        <f aca="false">C31+C33</f>
        <v>-1.05427103317025</v>
      </c>
      <c r="D34" s="36" t="n">
        <f aca="false">D31+D33</f>
        <v>25.404783127895</v>
      </c>
      <c r="E34" s="36" t="n">
        <f aca="false">E31+E33</f>
        <v>90.2664987477901</v>
      </c>
      <c r="F34" s="36" t="n">
        <f aca="false">F31+F33</f>
        <v>147.460230218799</v>
      </c>
      <c r="G34" s="36" t="n">
        <f aca="false">G31+G33</f>
        <v>209.83766764631</v>
      </c>
    </row>
    <row r="35" customFormat="false" ht="15" hidden="false" customHeight="false" outlineLevel="1" collapsed="false">
      <c r="A35" s="3" t="s">
        <v>1522</v>
      </c>
      <c r="B35" s="11" t="s">
        <v>59</v>
      </c>
      <c r="C35" s="63" t="n">
        <f aca="false">輸入與假設!$C$299+C13</f>
        <v>21.5977264456522</v>
      </c>
      <c r="D35" s="63" t="n">
        <f aca="false">D13</f>
        <v>55.3017685830268</v>
      </c>
      <c r="E35" s="63" t="n">
        <f aca="false">E13</f>
        <v>52.6899297564169</v>
      </c>
      <c r="F35" s="63" t="n">
        <f aca="false">F13</f>
        <v>51.6530457331123</v>
      </c>
      <c r="G35" s="63" t="n">
        <f aca="false">G13</f>
        <v>50.8208323251049</v>
      </c>
      <c r="I35" s="11" t="s">
        <v>1523</v>
      </c>
    </row>
    <row r="36" customFormat="false" ht="15" hidden="false" customHeight="false" outlineLevel="1" collapsed="false">
      <c r="A36" s="2" t="s">
        <v>1524</v>
      </c>
      <c r="B36" s="11" t="s">
        <v>59</v>
      </c>
      <c r="C36" s="36" t="n">
        <f aca="false">輸入與假設!$C$303+C20</f>
        <v>-62.8389731038224</v>
      </c>
      <c r="D36" s="36" t="n">
        <f aca="false">D20</f>
        <v>-112.590010292632</v>
      </c>
      <c r="E36" s="36" t="n">
        <f aca="false">E20</f>
        <v>-69.4817185461267</v>
      </c>
      <c r="F36" s="36" t="n">
        <f aca="false">F20</f>
        <v>-22.2147434143137</v>
      </c>
      <c r="G36" s="36" t="n">
        <f aca="false">G20</f>
        <v>29.887697097014</v>
      </c>
    </row>
    <row r="37" customFormat="false" ht="15" hidden="false" customHeight="false" outlineLevel="1" collapsed="false">
      <c r="A37" s="3" t="s">
        <v>1525</v>
      </c>
      <c r="B37" s="11" t="s">
        <v>42</v>
      </c>
      <c r="C37" s="64" t="n">
        <f aca="false">C36/C29</f>
        <v>-0.483851518815404</v>
      </c>
      <c r="D37" s="64" t="n">
        <f aca="false">D36/D29</f>
        <v>-0.404753133283105</v>
      </c>
      <c r="E37" s="64" t="n">
        <f aca="false">E36/E29</f>
        <v>-0.16645819513459</v>
      </c>
      <c r="F37" s="64" t="n">
        <f aca="false">F36/F29</f>
        <v>-0.045159177365819</v>
      </c>
      <c r="G37" s="64" t="n">
        <f aca="false">G36/G29</f>
        <v>0.0548413469961898</v>
      </c>
    </row>
    <row r="38" customFormat="false" ht="15" hidden="false" customHeight="false" outlineLevel="1" collapsed="false">
      <c r="A38" s="2" t="s">
        <v>1526</v>
      </c>
      <c r="B38" s="11" t="s">
        <v>39</v>
      </c>
      <c r="C38" s="84" t="n">
        <f aca="false">輸入與假設!$C$307+C20/C24</f>
        <v>-1.61058332701185</v>
      </c>
      <c r="D38" s="84" t="n">
        <f aca="false">D20/D24</f>
        <v>-2.83374521277957</v>
      </c>
      <c r="E38" s="84" t="n">
        <f aca="false">E20/E24</f>
        <v>-1.7314506529552</v>
      </c>
      <c r="F38" s="84" t="n">
        <f aca="false">F20/F24</f>
        <v>-0.548099611771408</v>
      </c>
      <c r="G38" s="84" t="n">
        <f aca="false">G20/G24</f>
        <v>0.730111640077863</v>
      </c>
      <c r="I38" s="11" t="s">
        <v>1527</v>
      </c>
    </row>
    <row r="39" customFormat="false" ht="15" hidden="false" customHeight="false" outlineLevel="1" collapsed="false">
      <c r="A39" s="3" t="s">
        <v>1528</v>
      </c>
      <c r="B39" s="11" t="s">
        <v>39</v>
      </c>
      <c r="C39" s="50" t="n">
        <f aca="false">輸入與假設!$C$308+(C20+輸入與假設!$C$261*輸入與假設!C$41)/C24</f>
        <v>-1.04052682255527</v>
      </c>
      <c r="D39" s="50" t="n">
        <f aca="false">(D20+輸入與假設!$C$261*輸入與假設!D$41)/D24</f>
        <v>-2.27917787722199</v>
      </c>
      <c r="E39" s="50" t="n">
        <f aca="false">(E20+輸入與假設!$C$261*輸入與假設!E$41)/E24</f>
        <v>-1.18237408309621</v>
      </c>
      <c r="F39" s="50" t="n">
        <f aca="false">(F20+輸入與假設!$C$261*輸入與假設!F$41)/F24</f>
        <v>-0.00445944359419266</v>
      </c>
      <c r="G39" s="50" t="n">
        <f aca="false">(G20+輸入與假設!$C$261*輸入與假設!G$41)/G24</f>
        <v>1.26836923233253</v>
      </c>
      <c r="I39" s="6" t="s">
        <v>1529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21.6" hidden="false" customHeight="false" outlineLevel="0" collapsed="false">
      <c r="A1" s="5" t="s">
        <v>1530</v>
      </c>
    </row>
    <row r="2" customFormat="false" ht="15" hidden="false" customHeight="false" outlineLevel="0" collapsed="false">
      <c r="A2" s="6" t="s">
        <v>1531</v>
      </c>
    </row>
    <row r="4" customFormat="false" ht="15" hidden="false" customHeight="false" outlineLevel="0" collapsed="false">
      <c r="A4" s="14" t="s">
        <v>53</v>
      </c>
      <c r="B4" s="14" t="s">
        <v>54</v>
      </c>
      <c r="C4" s="28" t="s">
        <v>55</v>
      </c>
      <c r="D4" s="28" t="s">
        <v>56</v>
      </c>
      <c r="E4" s="28" t="s">
        <v>57</v>
      </c>
      <c r="F4" s="28" t="s">
        <v>138</v>
      </c>
      <c r="G4" s="28" t="s">
        <v>139</v>
      </c>
      <c r="I4" s="14" t="s">
        <v>806</v>
      </c>
    </row>
    <row r="5" customFormat="false" ht="15" hidden="false" customHeight="false" outlineLevel="0" collapsed="false">
      <c r="A5" s="7" t="s">
        <v>1532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1533</v>
      </c>
      <c r="B6" s="11" t="s">
        <v>59</v>
      </c>
      <c r="C6" s="63" t="n">
        <f aca="false">輸入與假設!C$175-各期收支!C8</f>
        <v>116.11342975</v>
      </c>
      <c r="D6" s="63" t="n">
        <f aca="false">輸入與假設!D$175-各期收支!D8</f>
        <v>337.445035455</v>
      </c>
      <c r="E6" s="63" t="n">
        <f aca="false">輸入與假設!E$175-各期收支!E8</f>
        <v>44.54415</v>
      </c>
      <c r="F6" s="63" t="n">
        <f aca="false">輸入與假設!F$175-各期收支!F8</f>
        <v>44.54415</v>
      </c>
      <c r="G6" s="63" t="n">
        <f aca="false">輸入與假設!G$175-各期收支!G8</f>
        <v>119.3501295</v>
      </c>
      <c r="I6" s="11" t="s">
        <v>1534</v>
      </c>
    </row>
    <row r="7" customFormat="false" ht="15" hidden="false" customHeight="false" outlineLevel="1" collapsed="false">
      <c r="A7" s="3" t="s">
        <v>1535</v>
      </c>
      <c r="B7" s="11" t="s">
        <v>59</v>
      </c>
      <c r="C7" s="63" t="n">
        <f aca="false">79.164</f>
        <v>79.164</v>
      </c>
      <c r="D7" s="63" t="n">
        <f aca="false">50.762+損益!C9</f>
        <v>129.872431231938</v>
      </c>
      <c r="E7" s="63" t="n">
        <f aca="false">損益!D9</f>
        <v>278.169582973631</v>
      </c>
      <c r="F7" s="63" t="n">
        <f aca="false">損益!E9</f>
        <v>417.412422920645</v>
      </c>
      <c r="G7" s="63" t="n">
        <f aca="false">損益!F9</f>
        <v>491.920905342445</v>
      </c>
      <c r="I7" s="11" t="s">
        <v>1536</v>
      </c>
    </row>
    <row r="8" customFormat="false" ht="15" hidden="false" customHeight="false" outlineLevel="1" collapsed="false">
      <c r="A8" s="3" t="s">
        <v>1537</v>
      </c>
      <c r="B8" s="11" t="s">
        <v>59</v>
      </c>
      <c r="C8" s="40" t="n">
        <f aca="false">各期收支!C11</f>
        <v>8.944375</v>
      </c>
      <c r="D8" s="40" t="n">
        <f aca="false">各期收支!D11</f>
        <v>20.62890253125</v>
      </c>
      <c r="E8" s="40" t="n">
        <f aca="false">各期收支!E11</f>
        <v>29.2628620954688</v>
      </c>
      <c r="F8" s="40" t="n">
        <f aca="false">各期收支!F11</f>
        <v>27.0851105835352</v>
      </c>
      <c r="G8" s="40" t="n">
        <f aca="false">各期收支!G11</f>
        <v>25.1795780105933</v>
      </c>
      <c r="I8" s="6" t="s">
        <v>1538</v>
      </c>
    </row>
    <row r="9" customFormat="false" ht="15" hidden="false" customHeight="false" outlineLevel="1" collapsed="false">
      <c r="A9" s="3" t="s">
        <v>1539</v>
      </c>
      <c r="B9" s="11" t="s">
        <v>59</v>
      </c>
      <c r="C9" s="63" t="n">
        <f aca="false">輸入與假設!$C$248*MAX(0,損益!C9-C7)</f>
        <v>0</v>
      </c>
      <c r="D9" s="63" t="n">
        <f aca="false">輸入與假設!$C$248*MAX(0,損益!D9-D7)</f>
        <v>2.96594303483386</v>
      </c>
      <c r="E9" s="63" t="n">
        <f aca="false">輸入與假設!$C$248*MAX(0,損益!E9-E7)</f>
        <v>2.78485679894027</v>
      </c>
      <c r="F9" s="63" t="n">
        <f aca="false">輸入與假設!$C$248*MAX(0,損益!F9-F7)</f>
        <v>1.49016964843602</v>
      </c>
      <c r="G9" s="63" t="n">
        <f aca="false">輸入與假設!$C$248*MAX(0,損益!G9-G7)</f>
        <v>1.06127664320547</v>
      </c>
      <c r="I9" s="6" t="s">
        <v>1540</v>
      </c>
    </row>
    <row r="10" customFormat="false" ht="15" hidden="false" customHeight="false" outlineLevel="1" collapsed="false">
      <c r="A10" s="3" t="s">
        <v>1541</v>
      </c>
      <c r="B10" s="11" t="s">
        <v>59</v>
      </c>
      <c r="C10" s="63" t="n">
        <f aca="false">輸入與假設!$C$246</f>
        <v>0</v>
      </c>
      <c r="D10" s="63" t="n">
        <f aca="false">C12</f>
        <v>22.2342466581702</v>
      </c>
      <c r="E10" s="63" t="n">
        <f aca="false">D12</f>
        <v>79.5224883677752</v>
      </c>
      <c r="F10" s="63" t="n">
        <f aca="false">E12</f>
        <v>96.3142771574851</v>
      </c>
      <c r="G10" s="63" t="n">
        <f aca="false">F12</f>
        <v>72.7636353024462</v>
      </c>
      <c r="I10" s="11" t="s">
        <v>1542</v>
      </c>
    </row>
    <row r="11" customFormat="false" ht="15" hidden="false" customHeight="false" outlineLevel="1" collapsed="false">
      <c r="A11" s="3" t="s">
        <v>1543</v>
      </c>
      <c r="B11" s="11" t="s">
        <v>59</v>
      </c>
      <c r="C11" s="63" t="n">
        <f aca="false">MIN(C10,MAX(0,損益!C12)*輸入與假設!$C$247)</f>
        <v>0</v>
      </c>
      <c r="D11" s="63" t="n">
        <f aca="false">MIN(D10,MAX(0,損益!D12)*輸入與假設!$C$247)</f>
        <v>0</v>
      </c>
      <c r="E11" s="63" t="n">
        <f aca="false">MIN(E10,MAX(0,損益!E12)*輸入與假設!$C$247)</f>
        <v>0</v>
      </c>
      <c r="F11" s="63" t="n">
        <f aca="false">MIN(F10,MAX(0,損益!F12)*輸入與假設!$C$247)</f>
        <v>23.5506418550389</v>
      </c>
      <c r="G11" s="63" t="n">
        <f aca="false">MIN(G10,MAX(0,損益!G12)*輸入與假設!$C$247)</f>
        <v>65.6150767970476</v>
      </c>
    </row>
    <row r="12" customFormat="false" ht="15" hidden="false" customHeight="false" outlineLevel="1" collapsed="false">
      <c r="A12" s="3" t="s">
        <v>1544</v>
      </c>
      <c r="B12" s="11" t="s">
        <v>59</v>
      </c>
      <c r="C12" s="63" t="n">
        <f aca="false">C10-C11+MAX(0,-損益!C12)</f>
        <v>22.2342466581702</v>
      </c>
      <c r="D12" s="63" t="n">
        <f aca="false">D10-D11+MAX(0,-損益!D12)</f>
        <v>79.5224883677752</v>
      </c>
      <c r="E12" s="63" t="n">
        <f aca="false">E10-E11+MAX(0,-損益!E12)</f>
        <v>96.3142771574851</v>
      </c>
      <c r="F12" s="63" t="n">
        <f aca="false">F10-F11+MAX(0,-損益!F12)</f>
        <v>72.7636353024462</v>
      </c>
      <c r="G12" s="63" t="n">
        <f aca="false">G10-G11+MAX(0,-損益!G12)</f>
        <v>7.14855850539858</v>
      </c>
    </row>
    <row r="13" customFormat="false" ht="15" hidden="false" customHeight="false" outlineLevel="1" collapsed="false">
      <c r="A13" s="3" t="s">
        <v>1545</v>
      </c>
      <c r="B13" s="11" t="s">
        <v>59</v>
      </c>
      <c r="C13" s="63" t="n">
        <f aca="false">MAX(0,損益!C12-C11)*輸入與假設!$C$233</f>
        <v>0</v>
      </c>
      <c r="D13" s="63" t="n">
        <f aca="false">MAX(0,損益!D12-D11)*輸入與假設!$C$233</f>
        <v>0</v>
      </c>
      <c r="E13" s="63" t="n">
        <f aca="false">MAX(0,損益!E12-E11)*輸入與假設!$C$233</f>
        <v>0</v>
      </c>
      <c r="F13" s="63" t="n">
        <f aca="false">MAX(0,損益!F12-F11)*輸入與假設!$C$233</f>
        <v>1.23640869738954</v>
      </c>
      <c r="G13" s="63" t="n">
        <f aca="false">MAX(0,損益!G12-G11)*輸入與假設!$C$233</f>
        <v>3.444791531845</v>
      </c>
      <c r="I13" s="6" t="s">
        <v>1546</v>
      </c>
    </row>
    <row r="14" customFormat="false" ht="15" hidden="false" customHeight="false" outlineLevel="1" collapsed="false">
      <c r="A14" s="83" t="s">
        <v>1547</v>
      </c>
      <c r="B14" s="11" t="s">
        <v>59</v>
      </c>
      <c r="C14" s="36" t="n">
        <f aca="false">損益!C12-C13+損益!C21-C6-C9-C8</f>
        <v>-118.84507578317</v>
      </c>
      <c r="D14" s="36" t="n">
        <f aca="false">損益!D12-D13+損益!D21-D6-D9-D8</f>
        <v>-335.635097893189</v>
      </c>
      <c r="E14" s="36" t="n">
        <f aca="false">損益!E12-E13+損益!E21-E6-E9-E8</f>
        <v>13.6746298533811</v>
      </c>
      <c r="F14" s="36" t="n">
        <f aca="false">損益!F12-F13+損益!F21-F6-F9-F8</f>
        <v>73.1043912894379</v>
      </c>
      <c r="G14" s="36" t="n">
        <f aca="false">損益!G12-G13+損益!G21-G6-G9-G8</f>
        <v>60.8018919606658</v>
      </c>
      <c r="I14" s="6" t="s">
        <v>1548</v>
      </c>
    </row>
    <row r="15" customFormat="false" ht="15" hidden="false" customHeight="false" outlineLevel="1" collapsed="false">
      <c r="A15" s="3" t="s">
        <v>1549</v>
      </c>
      <c r="B15" s="6" t="s">
        <v>180</v>
      </c>
      <c r="C15" s="85" t="n">
        <f aca="false">輸入與假設!$C$278</f>
        <v>0.5</v>
      </c>
      <c r="D15" s="85" t="n">
        <f aca="false">輸入與假設!$D$278</f>
        <v>1.5</v>
      </c>
      <c r="E15" s="85" t="n">
        <f aca="false">輸入與假設!$E$278</f>
        <v>2.5</v>
      </c>
      <c r="F15" s="85" t="n">
        <f aca="false">輸入與假設!$F$278</f>
        <v>3.5</v>
      </c>
      <c r="G15" s="85" t="n">
        <f aca="false">輸入與假設!$G$278</f>
        <v>4.5</v>
      </c>
      <c r="I15" s="6" t="s">
        <v>1550</v>
      </c>
    </row>
    <row r="16" customFormat="false" ht="15" hidden="false" customHeight="false" outlineLevel="1" collapsed="false">
      <c r="A16" s="3" t="s">
        <v>1551</v>
      </c>
      <c r="B16" s="6"/>
      <c r="C16" s="51" t="n">
        <f aca="false">1/(1+輸入與假設!$C$243)^C15</f>
        <v>0.937136706569682</v>
      </c>
      <c r="D16" s="51" t="n">
        <f aca="false">1/(1+輸入與假設!$C$243)^D15</f>
        <v>0.823017077927284</v>
      </c>
      <c r="E16" s="51" t="n">
        <f aca="false">1/(1+輸入與假設!$C$243)^E15</f>
        <v>0.722794343462843</v>
      </c>
      <c r="F16" s="51" t="n">
        <f aca="false">1/(1+輸入與假設!$C$243)^F15</f>
        <v>0.634776211761721</v>
      </c>
      <c r="G16" s="51" t="n">
        <f aca="false">1/(1+輸入與假設!$C$243)^G15</f>
        <v>0.55747646984633</v>
      </c>
    </row>
    <row r="17" customFormat="false" ht="15" hidden="false" customHeight="false" outlineLevel="1" collapsed="false">
      <c r="A17" s="4" t="s">
        <v>1552</v>
      </c>
      <c r="B17" s="11" t="s">
        <v>59</v>
      </c>
      <c r="C17" s="63" t="n">
        <f aca="false">C14*C16</f>
        <v>-111.374082911465</v>
      </c>
      <c r="D17" s="63" t="n">
        <f aca="false">D14*D16</f>
        <v>-276.23341751789</v>
      </c>
      <c r="E17" s="63" t="n">
        <f aca="false">E14*E16</f>
        <v>9.88394510697198</v>
      </c>
      <c r="F17" s="63" t="n">
        <f aca="false">F14*F16</f>
        <v>46.404928565856</v>
      </c>
      <c r="G17" s="63" t="n">
        <f aca="false">G14*G16</f>
        <v>33.8956240902099</v>
      </c>
    </row>
    <row r="18" customFormat="false" ht="15" hidden="false" customHeight="false" outlineLevel="1" collapsed="false"/>
    <row r="19" customFormat="false" ht="15" hidden="false" customHeight="false" outlineLevel="1" collapsed="false">
      <c r="A19" s="3" t="s">
        <v>1553</v>
      </c>
      <c r="C19" s="10" t="n">
        <f aca="false">SUM(C17:G17)</f>
        <v>-297.423002666317</v>
      </c>
      <c r="I19" s="6" t="s">
        <v>1554</v>
      </c>
    </row>
    <row r="20" customFormat="false" ht="15" hidden="false" customHeight="false" outlineLevel="1" collapsed="false">
      <c r="A20" s="3" t="s">
        <v>1555</v>
      </c>
      <c r="C20" s="10" t="n">
        <f aca="false">G14+輸入與假設!G165*(1-各期收支!G7)+輸入與假設!G107*(1-各期收支!G7)</f>
        <v>89.7555894606658</v>
      </c>
      <c r="I20" s="11" t="s">
        <v>1556</v>
      </c>
    </row>
    <row r="21" customFormat="false" ht="15" hidden="false" customHeight="false" outlineLevel="1" collapsed="false">
      <c r="A21" s="3" t="s">
        <v>1557</v>
      </c>
      <c r="C21" s="53" t="n">
        <f aca="false">IF(C30=1,0,C20*(1+輸入與假設!$C$244)/(輸入與假設!$C$243-輸入與假設!$C$244))</f>
        <v>850.802262155734</v>
      </c>
      <c r="I21" s="6" t="s">
        <v>1558</v>
      </c>
    </row>
    <row r="22" customFormat="false" ht="15" hidden="false" customHeight="false" outlineLevel="1" collapsed="false">
      <c r="A22" s="3" t="s">
        <v>1559</v>
      </c>
      <c r="C22" s="53" t="n">
        <f aca="false">C21*G16</f>
        <v>474.302241643851</v>
      </c>
    </row>
    <row r="23" customFormat="false" ht="15" hidden="false" customHeight="false" outlineLevel="1" collapsed="false">
      <c r="A23" s="3" t="s">
        <v>1560</v>
      </c>
      <c r="C23" s="53" t="n">
        <f aca="false">C19+C22</f>
        <v>176.879238977534</v>
      </c>
    </row>
    <row r="24" customFormat="false" ht="15" hidden="false" customHeight="false" outlineLevel="1" collapsed="false">
      <c r="A24" s="3" t="s">
        <v>1561</v>
      </c>
      <c r="C24" s="10" t="n">
        <f aca="false">-評價_DCF與目標價!$C$70</f>
        <v>-192.033</v>
      </c>
      <c r="I24" s="6" t="s">
        <v>1562</v>
      </c>
    </row>
    <row r="25" customFormat="false" ht="15" hidden="false" customHeight="false" outlineLevel="1" collapsed="false">
      <c r="A25" s="3" t="s">
        <v>1563</v>
      </c>
      <c r="C25" s="53" t="n">
        <f aca="false">C23+C24</f>
        <v>-15.1537610224663</v>
      </c>
    </row>
    <row r="26" customFormat="false" ht="15" hidden="false" customHeight="false" outlineLevel="1" collapsed="false">
      <c r="A26" s="83" t="s">
        <v>1564</v>
      </c>
      <c r="C26" s="86" t="n">
        <f aca="false">IF(C30=1,0,IF(輸入與假設!$C$263=2,C32,C31))</f>
        <v>0</v>
      </c>
      <c r="I26" s="6" t="s">
        <v>1565</v>
      </c>
    </row>
    <row r="27" customFormat="false" ht="15" hidden="false" customHeight="false" outlineLevel="1" collapsed="false">
      <c r="A27" s="3" t="s">
        <v>1566</v>
      </c>
      <c r="C27" s="29" t="n">
        <f aca="false">C22/C23</f>
        <v>2.68150317914978</v>
      </c>
      <c r="I27" s="6" t="str">
        <f aca="false">"超過 "&amp;IF(ROUND(ABS(輸入與假設!$C$287)*100,4)=INT(ROUND(ABS(輸入與假設!$C$287)*100,4)),TEXT(ROUND(ABS(輸入與假設!$C$287)*100,4),"0"),TEXT(ROUND(ABS(輸入與假設!$C$287)*100,4),"0.0"))&amp;"%"&amp;" 表示結論由終值假設決定，不由現金流決定"</f>
        <v>超過 85% 表示結論由終值假設決定，不由現金流決定</v>
      </c>
    </row>
    <row r="28" customFormat="false" ht="15" hidden="false" customHeight="false" outlineLevel="1" collapsed="false">
      <c r="A28" s="3" t="s">
        <v>1567</v>
      </c>
      <c r="C28" s="53" t="n">
        <f aca="false">各期收支!C86/(1+輸入與假設!$C$243)^輸入與假設!$C$279+各期收支!D86/(1+輸入與假設!$C$243)^輸入與假設!$D$279+各期收支!E86/(1+輸入與假設!$C$243)^輸入與假設!$E$279+各期收支!F86/(1+輸入與假設!$C$243)^輸入與假設!$F$279+各期收支!G86/(1+輸入與假設!$C$243)^輸入與假設!$G$279</f>
        <v>0</v>
      </c>
      <c r="I28" s="6" t="s">
        <v>1568</v>
      </c>
    </row>
    <row r="29" customFormat="false" ht="15" hidden="false" customHeight="false" outlineLevel="1" collapsed="false">
      <c r="A29" s="3" t="s">
        <v>1569</v>
      </c>
      <c r="C29" s="87" t="n">
        <f aca="false">評價_DCF與目標價!$C$69+各期收支!G91</f>
        <v>39.33849</v>
      </c>
    </row>
    <row r="30" customFormat="false" ht="15" hidden="false" customHeight="false" outlineLevel="1" collapsed="false">
      <c r="A30" s="4" t="s">
        <v>1570</v>
      </c>
      <c r="C30" s="45" t="n">
        <f aca="false">IF(OR(輸入與假設!$C$243&lt;=輸入與假設!$C$244,C20&lt;=0),1,0)</f>
        <v>0</v>
      </c>
      <c r="I30" s="11" t="s">
        <v>1571</v>
      </c>
    </row>
    <row r="31" customFormat="false" ht="15" hidden="false" customHeight="false" outlineLevel="1" collapsed="false">
      <c r="A31" s="83" t="s">
        <v>1572</v>
      </c>
      <c r="C31" s="44" t="n">
        <f aca="false">MAX(0,(C25+C28)/C29)</f>
        <v>0</v>
      </c>
    </row>
    <row r="32" customFormat="false" ht="15" hidden="false" customHeight="false" outlineLevel="1" collapsed="false">
      <c r="A32" s="83" t="s">
        <v>1573</v>
      </c>
      <c r="C32" s="44" t="n">
        <f aca="false">IF((C23+C28)&lt;=0,0,IF(評價_DCF與目標價!$C$70&lt;=0,(C23+C28),(C23+C28)*NORMSDIST(C33)-評價_DCF與目標價!$C$70*EXP(-輸入與假設!$C$234*輸入與假設!$C$265)*NORMSDIST(C34))/C29)</f>
        <v>2.02564589849695</v>
      </c>
      <c r="I32" s="11" t="s">
        <v>1574</v>
      </c>
    </row>
    <row r="33" customFormat="false" ht="15" hidden="false" customHeight="false" outlineLevel="1" collapsed="false">
      <c r="A33" s="3" t="s">
        <v>1575</v>
      </c>
      <c r="C33" s="87" t="n">
        <f aca="false">IF(OR((C23+C28)&lt;=0,評價_DCF與目標價!$C$70&lt;=0),0,(LN((C23+C28)/評價_DCF與目標價!$C$70)+(輸入與假設!$C$234+輸入與假設!$C$264^2/2)*輸入與假設!$C$265)/(輸入與假設!$C$264*SQRT(輸入與假設!$C$265)))</f>
        <v>0.676418348582067</v>
      </c>
    </row>
    <row r="34" customFormat="false" ht="15" hidden="false" customHeight="false" outlineLevel="1" collapsed="false">
      <c r="A34" s="3" t="s">
        <v>1576</v>
      </c>
      <c r="C34" s="87" t="n">
        <f aca="false">C33-輸入與假設!$C$264*SQRT(輸入與假設!$C$265)</f>
        <v>-0.384241823197754</v>
      </c>
    </row>
    <row r="36" customFormat="false" ht="15" hidden="false" customHeight="false" outlineLevel="0" collapsed="false">
      <c r="A36" s="47" t="s">
        <v>1577</v>
      </c>
      <c r="B36" s="8"/>
      <c r="C36" s="8"/>
      <c r="D36" s="8"/>
      <c r="E36" s="8"/>
      <c r="F36" s="8"/>
      <c r="G36" s="8"/>
      <c r="H36" s="8"/>
    </row>
    <row r="37" customFormat="false" ht="15" hidden="false" customHeight="false" outlineLevel="1" collapsed="false">
      <c r="A37" s="3" t="s">
        <v>1578</v>
      </c>
      <c r="C37" s="88" t="str">
        <f aca="false">CHOOSE(輸入與假設!$C$255,"FY27","FY28","FY29","FY30")</f>
        <v>FY29</v>
      </c>
      <c r="I37" s="6" t="s">
        <v>1579</v>
      </c>
    </row>
    <row r="38" customFormat="false" ht="15" hidden="false" customHeight="false" outlineLevel="1" collapsed="false">
      <c r="A38" s="3" t="s">
        <v>1580</v>
      </c>
      <c r="C38" s="10" t="n">
        <f aca="false">INDEX(損益!$D$22:$G$22,1,輸入與假設!$C$255)</f>
        <v>147.460230218799</v>
      </c>
    </row>
    <row r="39" customFormat="false" ht="15" hidden="false" customHeight="false" outlineLevel="1" collapsed="false">
      <c r="A39" s="3" t="s">
        <v>1581</v>
      </c>
      <c r="C39" s="53" t="n">
        <f aca="false">C45*輸入與假設!$C$249+C44*輸入與假設!$C$254</f>
        <v>2442.91395321185</v>
      </c>
      <c r="I39" s="6" t="s">
        <v>1582</v>
      </c>
    </row>
    <row r="40" customFormat="false" ht="15" hidden="false" customHeight="false" outlineLevel="1" collapsed="false">
      <c r="A40" s="3" t="s">
        <v>1583</v>
      </c>
      <c r="C40" s="10" t="n">
        <f aca="false">INDEX(各期收支!$D$96:$G$96,1,輸入與假設!$C$255)-INDEX(各期收支!$D$54:$G$54,1,輸入與假設!$C$255)+評價_DCF與目標價!$C$71</f>
        <v>726.145918685986</v>
      </c>
      <c r="I40" s="6" t="s">
        <v>1584</v>
      </c>
    </row>
    <row r="41" customFormat="false" ht="15" hidden="false" customHeight="false" outlineLevel="1" collapsed="false">
      <c r="A41" s="3" t="s">
        <v>1585</v>
      </c>
      <c r="C41" s="89" t="n">
        <f aca="false">INDEX(損益!$D$24:$G$24,1,輸入與假設!$C$255)</f>
        <v>40.53048558549</v>
      </c>
      <c r="I41" s="6" t="s">
        <v>1586</v>
      </c>
    </row>
    <row r="42" customFormat="false" ht="15" hidden="false" customHeight="false" outlineLevel="1" collapsed="false">
      <c r="A42" s="3" t="s">
        <v>1587</v>
      </c>
      <c r="C42" s="89" t="n">
        <f aca="false">1/(1+輸入與假設!$C$243)^(輸入與假設!$C$255-輸入與假設!$C$275)</f>
        <v>0.722794343462843</v>
      </c>
      <c r="I42" s="6" t="s">
        <v>1588</v>
      </c>
    </row>
    <row r="43" customFormat="false" ht="15" hidden="false" customHeight="false" outlineLevel="1" collapsed="false">
      <c r="A43" s="4" t="s">
        <v>1589</v>
      </c>
      <c r="C43" s="44" t="n">
        <f aca="false">MAX(0,(C39-C40)/C41)*C42</f>
        <v>30.6157255820629</v>
      </c>
      <c r="I43" s="6" t="s">
        <v>1590</v>
      </c>
    </row>
    <row r="44" customFormat="false" ht="15" hidden="false" customHeight="false" outlineLevel="1" collapsed="false">
      <c r="A44" s="3" t="s">
        <v>1591</v>
      </c>
      <c r="C44" s="10" t="n">
        <f aca="false">INDEX(輸入與假設!$D$117:$G$117,1,輸入與假設!$C$255)</f>
        <v>105.637462501631</v>
      </c>
      <c r="I44" s="11" t="s">
        <v>1592</v>
      </c>
    </row>
    <row r="45" customFormat="false" ht="15" hidden="false" customHeight="false" outlineLevel="1" collapsed="false">
      <c r="A45" s="3" t="s">
        <v>1593</v>
      </c>
      <c r="C45" s="53" t="n">
        <f aca="false">C38-C44</f>
        <v>41.8227677171674</v>
      </c>
      <c r="I45" s="6" t="s">
        <v>1594</v>
      </c>
    </row>
    <row r="47" customFormat="false" ht="15" hidden="false" customHeight="false" outlineLevel="0" collapsed="false">
      <c r="A47" s="47" t="s">
        <v>1595</v>
      </c>
      <c r="B47" s="8"/>
      <c r="C47" s="8"/>
      <c r="D47" s="8"/>
      <c r="E47" s="8"/>
      <c r="F47" s="8"/>
      <c r="G47" s="8"/>
      <c r="H47" s="8"/>
    </row>
    <row r="48" customFormat="false" ht="15" hidden="false" customHeight="false" outlineLevel="1" collapsed="false">
      <c r="A48" s="4" t="s">
        <v>1596</v>
      </c>
      <c r="C48" s="12" t="n">
        <f aca="false">C26*(1+輸入與假設!$C$243)^輸入與假設!$C$271</f>
        <v>0</v>
      </c>
      <c r="I48" s="6" t="s">
        <v>1597</v>
      </c>
    </row>
    <row r="49" customFormat="false" ht="15" hidden="false" customHeight="false" outlineLevel="1" collapsed="false">
      <c r="A49" s="4" t="s">
        <v>1598</v>
      </c>
      <c r="C49" s="12" t="n">
        <f aca="false">C48*IF(C30=1,0,輸入與假設!$C$256)</f>
        <v>0</v>
      </c>
    </row>
    <row r="50" customFormat="false" ht="15" hidden="false" customHeight="false" outlineLevel="1" collapsed="false">
      <c r="A50" s="4" t="s">
        <v>1599</v>
      </c>
      <c r="C50" s="12" t="n">
        <f aca="false">C43*IF(C30=1,1,1-輸入與假設!$C$256)</f>
        <v>16.8386490701346</v>
      </c>
    </row>
    <row r="51" customFormat="false" ht="15" hidden="false" customHeight="false" outlineLevel="1" collapsed="false">
      <c r="A51" s="2" t="s">
        <v>1595</v>
      </c>
      <c r="C51" s="90" t="n">
        <f aca="false">SUM(C49:C50)</f>
        <v>16.8386490701346</v>
      </c>
      <c r="I51" s="6" t="s">
        <v>1600</v>
      </c>
    </row>
    <row r="52" customFormat="false" ht="15" hidden="false" customHeight="false" outlineLevel="1" collapsed="false">
      <c r="A52" s="3" t="s">
        <v>1601</v>
      </c>
      <c r="C52" s="12" t="n">
        <f aca="false">輸入與假設!$C$228</f>
        <v>16.83</v>
      </c>
    </row>
    <row r="53" customFormat="false" ht="15" hidden="false" customHeight="false" outlineLevel="1" collapsed="false">
      <c r="A53" s="3" t="s">
        <v>1602</v>
      </c>
      <c r="C53" s="29" t="n">
        <f aca="false">C51/C52-1</f>
        <v>0.000513907910554057</v>
      </c>
    </row>
    <row r="55" customFormat="false" ht="15" hidden="false" customHeight="false" outlineLevel="0" collapsed="false">
      <c r="A55" s="47" t="s">
        <v>1603</v>
      </c>
      <c r="B55" s="8"/>
      <c r="C55" s="8"/>
      <c r="D55" s="8"/>
      <c r="E55" s="8"/>
      <c r="F55" s="8"/>
      <c r="G55" s="8"/>
      <c r="H55" s="8"/>
    </row>
    <row r="56" customFormat="false" ht="15" hidden="false" customHeight="false" outlineLevel="1" collapsed="false">
      <c r="A56" s="3" t="s">
        <v>1604</v>
      </c>
      <c r="C56" s="91" t="n">
        <f aca="false">SUMPRODUCT(資產負債_既有債務!$D$20:$D$21*資產負債_既有債務!$G$20:$G$21)</f>
        <v>0</v>
      </c>
      <c r="I56" s="6" t="s">
        <v>1605</v>
      </c>
    </row>
    <row r="57" customFormat="false" ht="15" hidden="false" customHeight="false" outlineLevel="1" collapsed="false">
      <c r="A57" s="3" t="s">
        <v>1606</v>
      </c>
      <c r="C57" s="91" t="n">
        <f aca="false">輸入與假設!$C$229+C56</f>
        <v>39.33849</v>
      </c>
    </row>
    <row r="58" customFormat="false" ht="15" hidden="false" customHeight="false" outlineLevel="1" collapsed="false">
      <c r="A58" s="3" t="s">
        <v>1607</v>
      </c>
      <c r="C58" s="10" t="n">
        <f aca="false">輸入與假設!$C$230+SUMPRODUCT(資產負債_既有債務!$C$20:$C$21*(1-資產負債_既有債務!$G$20:$G$21))+輸入與假設!$C$232</f>
        <v>192.033</v>
      </c>
      <c r="I58" s="6" t="s">
        <v>1608</v>
      </c>
    </row>
    <row r="59" customFormat="false" ht="15" hidden="false" customHeight="false" outlineLevel="1" collapsed="false">
      <c r="A59" s="3" t="s">
        <v>1609</v>
      </c>
      <c r="C59" s="89" t="n">
        <f aca="false">C57+各期收支!G91</f>
        <v>39.33849</v>
      </c>
    </row>
    <row r="60" customFormat="false" ht="15" hidden="false" customHeight="false" outlineLevel="1" collapsed="false">
      <c r="A60" s="3" t="s">
        <v>1610</v>
      </c>
      <c r="C60" s="89" t="n">
        <f aca="false">IF(OR((C23+C28)&lt;=0,C58&lt;=0),0,(LN((C23+C28)/C58)+(輸入與假設!$C$234+輸入與假設!$C$264^2/2)*輸入與假設!$C$265)/(輸入與假設!$C$264*SQRT(輸入與假設!$C$265)))</f>
        <v>0.676418348582067</v>
      </c>
    </row>
    <row r="61" customFormat="false" ht="15" hidden="false" customHeight="false" outlineLevel="1" collapsed="false">
      <c r="A61" s="3" t="s">
        <v>1611</v>
      </c>
      <c r="C61" s="12" t="n">
        <f aca="false">IF(C30=1,0,IF(輸入與假設!$C$263=2,IF((C23+C28)&lt;=0,0,IF(C58&lt;=0,(C23+C28),(C23+C28)*NORMSDIST(C60)-C58*EXP(-輸入與假設!$C$234*輸入與假設!$C$265)*NORMSDIST(C60-輸入與假設!$C$264*SQRT(輸入與假設!$C$265)))/C59),MAX(0,(C23-C58+C28)/C59)))</f>
        <v>0</v>
      </c>
      <c r="I61" s="6" t="s">
        <v>1612</v>
      </c>
    </row>
    <row r="62" customFormat="false" ht="15" hidden="false" customHeight="false" outlineLevel="1" collapsed="false">
      <c r="A62" s="3" t="s">
        <v>1613</v>
      </c>
      <c r="C62" s="10" t="n">
        <f aca="false">INDEX(各期收支!$D$96:$G$96,1,輸入與假設!$C$255)-INDEX(各期收支!$D$54:$G$54,1,輸入與假設!$C$255)+SUMPRODUCT(資產負債_既有債務!$C$20:$C$21*(資產負債_既有債務!$F$20:$F$21-資產負債_既有債務!$G$20:$G$21))+輸入與假設!$C$232</f>
        <v>726.145918685986</v>
      </c>
      <c r="I62" s="6" t="s">
        <v>1614</v>
      </c>
    </row>
    <row r="63" customFormat="false" ht="15" hidden="false" customHeight="false" outlineLevel="1" collapsed="false">
      <c r="A63" s="3" t="s">
        <v>1615</v>
      </c>
      <c r="C63" s="89" t="n">
        <f aca="false">C57*(1+輸入與假設!$C$260)^輸入與假設!$C$255+INDEX(各期收支!$D$91:$G$91,1,輸入與假設!$C$255)</f>
        <v>40.53048558549</v>
      </c>
    </row>
    <row r="64" customFormat="false" ht="15" hidden="false" customHeight="false" outlineLevel="1" collapsed="false">
      <c r="A64" s="3" t="s">
        <v>1616</v>
      </c>
      <c r="C64" s="12" t="n">
        <f aca="false">MAX(0,(C39-C62)/C63)*C42</f>
        <v>30.6157255820629</v>
      </c>
    </row>
    <row r="65" customFormat="false" ht="15" hidden="false" customHeight="false" outlineLevel="1" collapsed="false">
      <c r="A65" s="2" t="s">
        <v>1617</v>
      </c>
      <c r="C65" s="86" t="n">
        <f aca="false">C61*(1+輸入與假設!$C$243)^輸入與假設!$C$271*IF(C30=1,0,輸入與假設!$C$256)+C64*IF(C30=1,1,1-輸入與假設!$C$256)</f>
        <v>16.8386490701346</v>
      </c>
    </row>
    <row r="66" customFormat="false" ht="15" hidden="false" customHeight="false" outlineLevel="1" collapsed="false">
      <c r="A66" s="2" t="s">
        <v>1618</v>
      </c>
      <c r="C66" s="86" t="n">
        <f aca="false">MIN(輸入與假設!$C$228,C65)</f>
        <v>16.83</v>
      </c>
      <c r="I66" s="6" t="s">
        <v>1619</v>
      </c>
    </row>
    <row r="67" customFormat="false" ht="15" hidden="false" customHeight="false" outlineLevel="1" collapsed="false">
      <c r="A67" s="3" t="s">
        <v>1620</v>
      </c>
      <c r="C67" s="91" t="n">
        <f aca="false">SUMPRODUCT(資產負債_既有債務!$D$20:$D$21*資產負債_既有債務!$H$20:$H$21)</f>
        <v>0</v>
      </c>
      <c r="I67" s="6" t="s">
        <v>1621</v>
      </c>
    </row>
    <row r="68" customFormat="false" ht="15" hidden="false" customHeight="false" outlineLevel="1" collapsed="false">
      <c r="A68" s="3" t="s">
        <v>1622</v>
      </c>
      <c r="C68" s="10" t="n">
        <f aca="false">SUMPRODUCT(資產負債_既有債務!$C$20:$C$21*(1-資產負債_既有債務!$H$20:$H$21))</f>
        <v>341.85</v>
      </c>
    </row>
    <row r="69" customFormat="false" ht="15" hidden="false" customHeight="false" outlineLevel="1" collapsed="false">
      <c r="A69" s="2" t="s">
        <v>1623</v>
      </c>
      <c r="C69" s="77" t="n">
        <f aca="false">輸入與假設!$C$229+C67</f>
        <v>39.33849</v>
      </c>
      <c r="I69" s="11" t="s">
        <v>1624</v>
      </c>
    </row>
    <row r="70" customFormat="false" ht="15" hidden="false" customHeight="false" outlineLevel="1" collapsed="false">
      <c r="A70" s="2" t="s">
        <v>1625</v>
      </c>
      <c r="C70" s="54" t="n">
        <f aca="false">輸入與假設!$C$230+C68+輸入與假設!$C$232</f>
        <v>192.033</v>
      </c>
      <c r="I70" s="11" t="s">
        <v>1626</v>
      </c>
    </row>
    <row r="71" customFormat="false" ht="15" hidden="false" customHeight="false" outlineLevel="1" collapsed="false">
      <c r="A71" s="3" t="s">
        <v>1627</v>
      </c>
      <c r="C71" s="10" t="n">
        <f aca="false">SUMPRODUCT(資產負債_既有債務!$C$20:$C$21*(資產負債_既有債務!$F$20:$F$21-資產負債_既有債務!$H$20:$H$21))+輸入與假設!$C$232</f>
        <v>0</v>
      </c>
      <c r="I71" s="6" t="s">
        <v>1628</v>
      </c>
    </row>
    <row r="72" customFormat="false" ht="15" hidden="false" customHeight="false" outlineLevel="1" collapsed="false">
      <c r="A72" s="4" t="s">
        <v>1629</v>
      </c>
      <c r="C72" s="3" t="str">
        <f aca="false">IF(C30=1,"DCF 失效，已以 EV/EBITDA 100% 計。",IF(AND(輸入與假設!$C$263&lt;&gt;2,C87&lt;0),"DCF 為 $0 仍計 "&amp;TEXT(輸入與假設!$C$256,"0%")&amp;" 權重的原因：DCF 沒有失效，而是算出的股權價值為負（每股約 −$"&amp;TEXT(ABS(C87),"0.0")&amp;"），代表自由現金流折現後的企業價值不足以償還淨負債。EV/EBITDA 沒有扣除 GPU 汰換與擴張支出，保留 DCF 權重，是為了讓目標價反映「EBITDA 付不起資本成本」。若不計 DCF，目標價為 $"&amp;TEXT(C43,"0.0")&amp;"（"&amp;CHOOSE(D86+2,"賣出","中立","買進")&amp;"）；"&amp;TEXT(輸入與假設!$C$256,"0%")&amp;"／"&amp;TEXT(1-輸入與假設!$C$256,"0%")&amp;" 為判斷值。",""))</f>
        <v>DCF 為 $0 仍計 45% 權重的原因：DCF 沒有失效，而是算出的股權價值為負（每股約 −$0.4），代表自由現金流折現後的企業價值不足以償還淨負債。EV/EBITDA 沒有扣除 GPU 汰換與擴張支出，保留 DCF 權重，是為了讓目標價反映「EBITDA 付不起資本成本」。若不計 DCF，目標價為 $30.6（中立）；45%／55% 為判斷值。</v>
      </c>
      <c r="I72" s="6" t="s">
        <v>1630</v>
      </c>
    </row>
    <row r="74" customFormat="false" ht="15" hidden="false" customHeight="false" outlineLevel="0" collapsed="false">
      <c r="A74" s="47" t="s">
        <v>1631</v>
      </c>
      <c r="B74" s="8"/>
      <c r="C74" s="8"/>
      <c r="D74" s="8"/>
      <c r="E74" s="8"/>
      <c r="F74" s="8"/>
      <c r="G74" s="8"/>
      <c r="H74" s="8"/>
    </row>
    <row r="75" customFormat="false" ht="15" hidden="false" customHeight="false" outlineLevel="1" collapsed="false">
      <c r="A75" s="3" t="s">
        <v>1632</v>
      </c>
      <c r="C75" s="12" t="n">
        <f aca="false">C51</f>
        <v>16.8386490701346</v>
      </c>
      <c r="I75" s="6" t="str">
        <f aca="false">"評等規則不變：空間 ≥"&amp;IF(ROUND(ABS(輸入與假設!$C$281)*100,4)=INT(ROUND(ABS(輸入與假設!$C$281)*100,4)),TEXT(ROUND(ABS(輸入與假設!$C$281)*100,4),"0"),TEXT(ROUND(ABS(輸入與假設!$C$281)*100,4),"0.0"))&amp;"%"&amp;" 且終值占比 &lt;"&amp;IF(ROUND(ABS(輸入與假設!$C$282)*100,4)=INT(ROUND(ABS(輸入與假設!$C$282)*100,4)),TEXT(ROUND(ABS(輸入與假設!$C$282)*100,4),"0"),TEXT(ROUND(ABS(輸入與假設!$C$282)*100,4),"0.0"))&amp;"%"&amp;"、股權募資 ≤"&amp;IF(輸入與假設!$C$284=INT(輸入與假設!$C$284),TEXT(輸入與假設!$C$284,"0"),TEXT(輸入與假設!$C$284,"0.0"))&amp;" 倍現市值 → 買進；空間 ≤−"&amp;IF(ROUND(ABS(輸入與假設!$C$283)*100,4)=INT(ROUND(ABS(輸入與假設!$C$283)*100,4)),TEXT(ROUND(ABS(輸入與假設!$C$283)*100,4),"0"),TEXT(ROUND(ABS(輸入與假設!$C$283)*100,4),"0.0"))&amp;"%"&amp;"，或股權募資 &gt;"&amp;IF(輸入與假設!$C$284=INT(輸入與假設!$C$284),TEXT(輸入與假設!$C$284,"0"),TEXT(輸入與假設!$C$284,"0.0"))&amp;" 倍且空間 ≤−"&amp;IF(ROUND(ABS(輸入與假設!$C$285)*100,4)=INT(ROUND(ABS(輸入與假設!$C$285)*100,4)),TEXT(ROUND(ABS(輸入與假設!$C$285)*100,4),"0"),TEXT(ROUND(ABS(輸入與假設!$C$285)*100,4),"0.0"))&amp;"%"&amp;" → 賣出；其餘中立"</f>
        <v>評等規則不變：空間 ≥25% 且終值占比 &lt;90%、股權募資 ≤1.5 倍現市值 → 買進；空間 ≤−15%，或股權募資 &gt;1.5 倍且空間 ≤−8% → 賣出；其餘中立</v>
      </c>
    </row>
    <row r="76" customFormat="false" ht="15" hidden="false" customHeight="false" outlineLevel="1" collapsed="false">
      <c r="A76" s="3" t="s">
        <v>1633</v>
      </c>
      <c r="C76" s="13" t="n">
        <f aca="false">C22/MAX(ABS(C23),1)*IF(C23=0,1,SIGN(C23))</f>
        <v>2.68150317914978</v>
      </c>
    </row>
    <row r="77" customFormat="false" ht="15" hidden="false" customHeight="false" outlineLevel="1" collapsed="false">
      <c r="A77" s="3" t="s">
        <v>1634</v>
      </c>
      <c r="C77" s="16" t="n">
        <f aca="false">SUM(各期收支!C86:G86)/(輸入與假設!$C$228*輸入與假設!$C$229)</f>
        <v>0</v>
      </c>
    </row>
    <row r="78" customFormat="false" ht="15" hidden="false" customHeight="false" outlineLevel="1" collapsed="false">
      <c r="A78" s="3" t="s">
        <v>1635</v>
      </c>
      <c r="C78" s="9" t="n">
        <f aca="false">IF(AND((C51/MAX(輸入與假設!$C$228,0.01)-1)&gt;=輸入與假設!$C$281,$C$76&lt;輸入與假設!$C$282,$C$77&lt;=輸入與假設!$C$284),1,IF(OR((C51/MAX(輸入與假設!$C$228,0.01)-1)&lt;=輸入與假設!$C$283,AND($C$77&gt;輸入與假設!$C$284,(C51/MAX(輸入與假設!$C$228,0.01)-1)&lt;=輸入與假設!$C$285)),-1,0))</f>
        <v>0</v>
      </c>
      <c r="D78" s="9" t="str">
        <f aca="false">CHOOSE(C78+2,"賣出","中立","買進")</f>
        <v>中立</v>
      </c>
    </row>
    <row r="79" customFormat="false" ht="15" hidden="false" customHeight="false" outlineLevel="1" collapsed="false">
      <c r="A79" s="3" t="s">
        <v>1636</v>
      </c>
      <c r="C79" s="12" t="n">
        <f aca="false">輸入與假設!$C$228*(1+輸入與假設!$C$283)</f>
        <v>14.3055</v>
      </c>
    </row>
    <row r="80" customFormat="false" ht="15" hidden="false" customHeight="false" outlineLevel="1" collapsed="false">
      <c r="A80" s="3" t="s">
        <v>1637</v>
      </c>
      <c r="C80" s="12" t="n">
        <f aca="false">輸入與假設!D315</f>
        <v>10.0441745538188</v>
      </c>
      <c r="D80" s="9" t="n">
        <f aca="false">輸入與假設!E315</f>
        <v>-1</v>
      </c>
      <c r="E80" s="12" t="n">
        <f aca="false">C80-$C$79</f>
        <v>-4.26132544618121</v>
      </c>
      <c r="I80" s="6" t="s">
        <v>1638</v>
      </c>
    </row>
    <row r="81" customFormat="false" ht="15" hidden="false" customHeight="false" outlineLevel="1" collapsed="false">
      <c r="A81" s="3" t="s">
        <v>1639</v>
      </c>
      <c r="C81" s="12" t="n">
        <f aca="false">輸入與假設!D316</f>
        <v>16.8386490701346</v>
      </c>
      <c r="D81" s="9" t="n">
        <f aca="false">輸入與假設!E316</f>
        <v>0</v>
      </c>
      <c r="E81" s="12" t="n">
        <f aca="false">C81-$C$79</f>
        <v>2.53314907013462</v>
      </c>
    </row>
    <row r="82" customFormat="false" ht="15" hidden="false" customHeight="false" outlineLevel="1" collapsed="false">
      <c r="A82" s="3" t="s">
        <v>1640</v>
      </c>
      <c r="C82" s="12" t="n">
        <f aca="false">輸入與假設!D317</f>
        <v>34.655938047323</v>
      </c>
      <c r="D82" s="9" t="n">
        <f aca="false">輸入與假設!E317</f>
        <v>0</v>
      </c>
      <c r="E82" s="12" t="n">
        <f aca="false">C82-$C$79</f>
        <v>20.350438047323</v>
      </c>
    </row>
    <row r="83" customFormat="false" ht="15" hidden="false" customHeight="false" outlineLevel="1" collapsed="false">
      <c r="A83" s="3" t="s">
        <v>1641</v>
      </c>
      <c r="C83" s="12" t="n">
        <f aca="false">MIN(C80,C82)</f>
        <v>10.0441745538188</v>
      </c>
      <c r="D83" s="12" t="n">
        <f aca="false">MAX(C80,C82)</f>
        <v>34.655938047323</v>
      </c>
    </row>
    <row r="84" customFormat="false" ht="15" hidden="false" customHeight="false" outlineLevel="1" collapsed="false">
      <c r="A84" s="3" t="s">
        <v>1642</v>
      </c>
      <c r="C84" s="16" t="n">
        <f aca="false">MIN(輸入與假設!$C$258,輸入與假設!$C$259)</f>
        <v>5</v>
      </c>
      <c r="D84" s="16" t="n">
        <f aca="false">MAX(輸入與假設!$C$258,輸入與假設!$C$259)</f>
        <v>6</v>
      </c>
    </row>
    <row r="85" customFormat="false" ht="15" hidden="false" customHeight="false" outlineLevel="1" collapsed="false">
      <c r="A85" s="3" t="s">
        <v>1643</v>
      </c>
      <c r="C85" s="12" t="n">
        <f aca="false">MIN(C48*IF(C30=1,0,輸入與假設!$C$256)+MAX(0,(C45*C84+C44*輸入與假設!$C$254-C40)/C41)*C42*IF(C30=1,1,1-輸入與假設!$C$256),C48*IF(C30=1,0,輸入與假設!$C$256)+MAX(0,(C45*D84+C44*輸入與假設!$C$254-C40)/C41)*C42*IF(C30=1,1,1-輸入與假設!$C$256))</f>
        <v>16.4284370353296</v>
      </c>
      <c r="D85" s="12" t="n">
        <f aca="false">MAX(C48*IF(C30=1,0,輸入與假設!$C$256)+MAX(0,(C45*C84+C44*輸入與假設!$C$254-C40)/C41)*C42*IF(C30=1,1,1-輸入與假設!$C$256),C48*IF(C30=1,0,輸入與假設!$C$256)+MAX(0,(C45*D84+C44*輸入與假設!$C$254-C40)/C41)*C42*IF(C30=1,1,1-輸入與假設!$C$256))</f>
        <v>16.8386490701346</v>
      </c>
      <c r="I85" s="6" t="s">
        <v>1644</v>
      </c>
    </row>
    <row r="86" customFormat="false" ht="15" hidden="false" customHeight="false" outlineLevel="1" collapsed="false">
      <c r="A86" s="3" t="s">
        <v>1645</v>
      </c>
      <c r="C86" s="12" t="n">
        <f aca="false">C43</f>
        <v>30.6157255820629</v>
      </c>
      <c r="D86" s="9" t="n">
        <f aca="false">IF(AND((C43/MAX(輸入與假設!$C$228,0.01)-1)&gt;=輸入與假設!$C$281,$C$76&lt;輸入與假設!$C$282,$C$77&lt;=輸入與假設!$C$284),1,IF(OR((C43/MAX(輸入與假設!$C$228,0.01)-1)&lt;=輸入與假設!$C$283,AND($C$77&gt;輸入與假設!$C$284,(C43/MAX(輸入與假設!$C$228,0.01)-1)&lt;=輸入與假設!$C$285)),-1,0))</f>
        <v>0</v>
      </c>
      <c r="E86" s="12" t="str">
        <f aca="false">CHOOSE(D86+2,"賣出","中立","買進")</f>
        <v>中立</v>
      </c>
    </row>
    <row r="87" customFormat="false" ht="15" hidden="false" customHeight="false" outlineLevel="1" collapsed="false">
      <c r="A87" s="3" t="s">
        <v>1646</v>
      </c>
      <c r="C87" s="12" t="n">
        <f aca="false">(C25+C28)/C29</f>
        <v>-0.385214608452593</v>
      </c>
    </row>
    <row r="88" customFormat="false" ht="15" hidden="false" customHeight="false" outlineLevel="1" collapsed="false">
      <c r="A88" s="3" t="s">
        <v>1647</v>
      </c>
      <c r="C88" s="3" t="str">
        <f aca="false">"目標價 $"&amp;TEXT(C51,"0.0")&amp;"（情境區間 $"&amp;TEXT(C83,"0.0")&amp;"–$"&amp;TEXT(D83,"0.0")&amp;"）"</f>
        <v>目標價 $16.8（情境區間 $10.0–$34.7）</v>
      </c>
    </row>
    <row r="89" customFormat="false" ht="15" hidden="false" customHeight="false" outlineLevel="1" collapsed="false">
      <c r="A89" s="3" t="s">
        <v>1648</v>
      </c>
      <c r="C89" s="3" t="str">
        <f aca="false">"方法區間（目前情境，"&amp;IF(C84=INT(C84),TEXT(C84,"0"),TEXT(C84,"0.0"))&amp;"–"&amp;IF(D84=INT(D84),TEXT(D84,"0"),TEXT(D84,"0.0"))&amp;"x）"</f>
        <v>方法區間（目前情境，5–6x）</v>
      </c>
    </row>
    <row r="90" customFormat="false" ht="15" hidden="false" customHeight="false" outlineLevel="1" collapsed="false">
      <c r="A90" s="3" t="s">
        <v>1649</v>
      </c>
      <c r="C90" s="3" t="str">
        <f aca="false">IF(ABS(輸入與假設!$C$249-D84)&lt;0.000000001,"目前點位位於方法區間上緣（"&amp;IF(D84=INT(D84),TEXT(D84,"0"),TEXT(D84,"0.0"))&amp;"x 為穩態倍數上緣）",IF(ABS(輸入與假設!$C$249-C84)&lt;0.000000001,"目前點位位於方法區間下緣（"&amp;IF(C84=INT(C84),TEXT(C84,"0"),TEXT(C84,"0.0"))&amp;"x）","目前點位"&amp;IF(AND(輸入與假設!$C$249&gt;C84,輸入與假設!$C$249&lt;D84),"位於方法區間內",IF(輸入與假設!$C$249&gt;D84,"高於方法區間上緣","低於方法區間下緣"))&amp;"（目前倍數 "&amp;IF(輸入與假設!$C$249=INT(輸入與假設!$C$249),TEXT(輸入與假設!$C$249,"0"),TEXT(輸入與假設!$C$249,"0.0"))&amp;"x）"))</f>
        <v>目前點位位於方法區間上緣（6x 為穩態倍數上緣）</v>
      </c>
    </row>
    <row r="91" customFormat="false" ht="15" hidden="false" customHeight="false" outlineLevel="1" collapsed="false">
      <c r="A91" s="2" t="s">
        <v>1650</v>
      </c>
      <c r="C91" s="3" t="str">
        <f aca="false">IF(D83&lt;輸入與假設!$C$228,"情境區間上緣 $"&amp;TEXT(D83,"0.0")&amp;" 低於現價 $"&amp;TEXT(輸入與假設!$C$228,"0.00")&amp;IF((D80&lt;&gt;-1)+(D81&lt;&gt;-1)+(D82&lt;&gt;-1)&gt;0,"，但"&amp;SUBSTITUTE(TRIM(IF(D80&lt;&gt;-1,"保守","")&amp;" "&amp;IF(D81&lt;&gt;-1,"基準","")&amp;" "&amp;IF(D82&lt;&gt;-1,"積極",""))," ","、")&amp;"情境未達賣出門檻 $"&amp;TEXT($C$79,"0.0"),"：賣出在三個擴張情境下都成立"),"情境區間上緣 $"&amp;TEXT(D83,"0.0")&amp;" 不低於現價 $"&amp;TEXT(輸入與假設!$C$228,"0.00")&amp;"：賣出並非在三個擴張情境下都成立")&amp;"。"&amp;IF(ABS(E80)&lt;輸入與假設!$C$286*輸入與假設!$C$228,"保守情境 $"&amp;TEXT(C80,"0.0")&amp;"，"&amp;IF(E80&lt;0,"距賣出門檻","高於賣出門檻")&amp;" $"&amp;TEXT($C$79,"0.0")&amp;" 僅 $"&amp;TEXT(ABS(E80),"0.0")&amp;"。","")&amp;IF(ABS(E81)&lt;輸入與假設!$C$286*輸入與假設!$C$228,"基準情境 $"&amp;TEXT(C81,"0.0")&amp;"，"&amp;IF(E81&lt;0,"距賣出門檻","高於賣出門檻")&amp;" $"&amp;TEXT($C$79,"0.0")&amp;" 僅 $"&amp;TEXT(ABS(E81),"0.0")&amp;"。","")&amp;IF(ABS(E82)&lt;輸入與假設!$C$286*輸入與假設!$C$228,"積極情境 $"&amp;TEXT(C82,"0.0")&amp;"，"&amp;IF(E82&lt;0,"距賣出門檻","高於賣出門檻")&amp;" $"&amp;TEXT($C$79,"0.0")&amp;" 僅 $"&amp;TEXT(ABS(E82),"0.0")&amp;"。","")</f>
        <v>情境區間上緣 $34.7 不低於現價 $16.83：賣出並非在三個擴張情境下都成立。</v>
      </c>
    </row>
    <row r="93" customFormat="false" ht="15" hidden="false" customHeight="false" outlineLevel="0" collapsed="false">
      <c r="A93" s="47" t="s">
        <v>1651</v>
      </c>
      <c r="B93" s="8"/>
      <c r="C93" s="8"/>
      <c r="D93" s="8"/>
      <c r="E93" s="8"/>
      <c r="F93" s="8"/>
      <c r="G93" s="8"/>
      <c r="H93" s="8"/>
    </row>
    <row r="94" customFormat="false" ht="17.15" hidden="false" customHeight="false" outlineLevel="1" collapsed="false">
      <c r="A94" s="14" t="s">
        <v>1652</v>
      </c>
      <c r="B94" s="14" t="s">
        <v>1653</v>
      </c>
      <c r="C94" s="15" t="s">
        <v>56</v>
      </c>
      <c r="D94" s="15" t="s">
        <v>57</v>
      </c>
      <c r="E94" s="15" t="s">
        <v>138</v>
      </c>
      <c r="F94" s="15" t="s">
        <v>139</v>
      </c>
      <c r="I94" s="11" t="s">
        <v>1654</v>
      </c>
    </row>
    <row r="95" customFormat="false" ht="15" hidden="false" customHeight="false" outlineLevel="1" collapsed="false">
      <c r="A95" s="3" t="s">
        <v>1655</v>
      </c>
      <c r="B95" s="92" t="n">
        <v>3.4</v>
      </c>
      <c r="C95" s="12" t="n">
        <f aca="false">MAX(0,((INDEX(損益!$D$22:$G$22,1,1)-INDEX(輸入與假設!$D$117:$G$117,1,1))*$B95+INDEX(輸入與假設!$D$117:$G$117,1,1)*輸入與假設!$C$254-(INDEX(各期收支!$D$96:$G$96,1,1)-INDEX(各期收支!$D$54:$G$54,1,1)+評價_DCF與目標價!$C$71))/INDEX(損益!$D$24:$G$24,1,1))/(1+輸入與假設!$C$243)^(1-輸入與假設!$C$275)</f>
        <v>8.01967187309178</v>
      </c>
      <c r="D95" s="12" t="n">
        <f aca="false">MAX(0,((INDEX(損益!$D$22:$G$22,1,2)-INDEX(輸入與假設!$D$117:$G$117,1,2))*$B95+INDEX(輸入與假設!$D$117:$G$117,1,2)*輸入與假設!$C$254-(INDEX(各期收支!$D$96:$G$96,1,2)-INDEX(各期收支!$D$54:$G$54,1,2)+評價_DCF與目標價!$C$71))/INDEX(損益!$D$24:$G$24,1,2))/(1+輸入與假設!$C$243)^(2-輸入與假設!$C$275)</f>
        <v>22.4466228991653</v>
      </c>
      <c r="E95" s="12" t="n">
        <f aca="false">MAX(0,((INDEX(損益!$D$22:$G$22,1,3)-INDEX(輸入與假設!$D$117:$G$117,1,3))*$B95+INDEX(輸入與假設!$D$117:$G$117,1,3)*輸入與假設!$C$254-(INDEX(各期收支!$D$96:$G$96,1,3)-INDEX(各期收支!$D$54:$G$54,1,3)+評價_DCF與目標價!$C$71))/INDEX(損益!$D$24:$G$24,1,3))/(1+輸入與假設!$C$243)^(3-輸入與假設!$C$275)</f>
        <v>28.6765414175299</v>
      </c>
      <c r="F95" s="12" t="n">
        <f aca="false">MAX(0,((INDEX(損益!$D$22:$G$22,1,4)-INDEX(輸入與假設!$D$117:$G$117,1,4))*$B95+INDEX(輸入與假設!$D$117:$G$117,1,4)*輸入與假設!$C$254-(INDEX(各期收支!$D$96:$G$96,1,4)-INDEX(各期收支!$D$54:$G$54,1,4)+評價_DCF與目標價!$C$71))/INDEX(損益!$D$24:$G$24,1,4))/(1+輸入與假設!$C$243)^(4-輸入與假設!$C$275)</f>
        <v>30.5349182252908</v>
      </c>
    </row>
    <row r="96" customFormat="false" ht="15" hidden="false" customHeight="false" outlineLevel="1" collapsed="false">
      <c r="A96" s="3" t="s">
        <v>1656</v>
      </c>
      <c r="B96" s="92" t="n">
        <v>4.5</v>
      </c>
      <c r="C96" s="12" t="n">
        <f aca="false">MAX(0,((INDEX(損益!$D$22:$G$22,1,1)-INDEX(輸入與假設!$D$117:$G$117,1,1))*$B96+INDEX(輸入與假設!$D$117:$G$117,1,1)*輸入與假設!$C$254-(INDEX(各期收支!$D$96:$G$96,1,1)-INDEX(各期收支!$D$54:$G$54,1,1)+評價_DCF與目標價!$C$71))/INDEX(損益!$D$24:$G$24,1,1))/(1+輸入與假設!$C$243)^(1-輸入與假設!$C$275)</f>
        <v>7.23402997830698</v>
      </c>
      <c r="D96" s="12" t="n">
        <f aca="false">MAX(0,((INDEX(損益!$D$22:$G$22,1,2)-INDEX(輸入與假設!$D$117:$G$117,1,2))*$B96+INDEX(輸入與假設!$D$117:$G$117,1,2)*輸入與假設!$C$254-(INDEX(各期收支!$D$96:$G$96,1,2)-INDEX(各期收支!$D$54:$G$54,1,2)+評價_DCF與目標價!$C$71))/INDEX(損益!$D$24:$G$24,1,2))/(1+輸入與假設!$C$243)^(2-輸入與假設!$C$275)</f>
        <v>22.4848223423231</v>
      </c>
      <c r="E96" s="12" t="n">
        <f aca="false">MAX(0,((INDEX(損益!$D$22:$G$22,1,3)-INDEX(輸入與假設!$D$117:$G$117,1,3))*$B96+INDEX(輸入與假設!$D$117:$G$117,1,3)*輸入與假設!$C$254-(INDEX(各期收支!$D$96:$G$96,1,3)-INDEX(各期收支!$D$54:$G$54,1,3)+評價_DCF與目標價!$C$71))/INDEX(損益!$D$24:$G$24,1,3))/(1+輸入與假設!$C$243)^(3-輸入與假設!$C$275)</f>
        <v>29.4969654871401</v>
      </c>
      <c r="F96" s="12" t="n">
        <f aca="false">MAX(0,((INDEX(損益!$D$22:$G$22,1,4)-INDEX(輸入與假設!$D$117:$G$117,1,4))*$B96+INDEX(輸入與假設!$D$117:$G$117,1,4)*輸入與假設!$C$254-(INDEX(各期收支!$D$96:$G$96,1,4)-INDEX(各期收支!$D$54:$G$54,1,4)+評價_DCF與目標價!$C$71))/INDEX(損益!$D$24:$G$24,1,4))/(1+輸入與假設!$C$243)^(4-輸入與假設!$C$275)</f>
        <v>32.1684175082837</v>
      </c>
    </row>
    <row r="97" customFormat="false" ht="15" hidden="false" customHeight="false" outlineLevel="1" collapsed="false">
      <c r="A97" s="3" t="s">
        <v>1657</v>
      </c>
      <c r="B97" s="92" t="n">
        <v>5</v>
      </c>
      <c r="C97" s="12" t="n">
        <f aca="false">MAX(0,((INDEX(損益!$D$22:$G$22,1,1)-INDEX(輸入與假設!$D$117:$G$117,1,1))*$B97+INDEX(輸入與假設!$D$117:$G$117,1,1)*輸入與假設!$C$254-(INDEX(各期收支!$D$96:$G$96,1,1)-INDEX(各期收支!$D$54:$G$54,1,1)+評價_DCF與目標價!$C$71))/INDEX(損益!$D$24:$G$24,1,1))/(1+輸入與假設!$C$243)^(1-輸入與假設!$C$275)</f>
        <v>6.87692002613207</v>
      </c>
      <c r="D97" s="12" t="n">
        <f aca="false">MAX(0,((INDEX(損益!$D$22:$G$22,1,2)-INDEX(輸入與假設!$D$117:$G$117,1,2))*$B97+INDEX(輸入與假設!$D$117:$G$117,1,2)*輸入與假設!$C$254-(INDEX(各期收支!$D$96:$G$96,1,2)-INDEX(各期收支!$D$54:$G$54,1,2)+評價_DCF與目標價!$C$71))/INDEX(損益!$D$24:$G$24,1,2))/(1+輸入與假設!$C$243)^(2-輸入與假設!$C$275)</f>
        <v>22.5021857255766</v>
      </c>
      <c r="E97" s="12" t="n">
        <f aca="false">MAX(0,((INDEX(損益!$D$22:$G$22,1,3)-INDEX(輸入與假設!$D$117:$G$117,1,3))*$B97+INDEX(輸入與假設!$D$117:$G$117,1,3)*輸入與假設!$C$254-(INDEX(各期收支!$D$96:$G$96,1,3)-INDEX(各期收支!$D$54:$G$54,1,3)+評價_DCF與目標價!$C$71))/INDEX(損益!$D$24:$G$24,1,3))/(1+輸入與假設!$C$243)^(3-輸入與假設!$C$275)</f>
        <v>29.869885518781</v>
      </c>
      <c r="F97" s="12" t="n">
        <f aca="false">MAX(0,((INDEX(損益!$D$22:$G$22,1,4)-INDEX(輸入與假設!$D$117:$G$117,1,4))*$B97+INDEX(輸入與假設!$D$117:$G$117,1,4)*輸入與假設!$C$254-(INDEX(各期收支!$D$96:$G$96,1,4)-INDEX(各期收支!$D$54:$G$54,1,4)+評價_DCF與目標價!$C$71))/INDEX(損益!$D$24:$G$24,1,4))/(1+輸入與假設!$C$243)^(4-輸入與假設!$C$275)</f>
        <v>32.9109171823714</v>
      </c>
    </row>
    <row r="98" customFormat="false" ht="15" hidden="false" customHeight="false" outlineLevel="1" collapsed="false">
      <c r="A98" s="3" t="s">
        <v>1658</v>
      </c>
      <c r="B98" s="92" t="n">
        <v>6</v>
      </c>
      <c r="C98" s="12" t="n">
        <f aca="false">MAX(0,((INDEX(損益!$D$22:$G$22,1,1)-INDEX(輸入與假設!$D$117:$G$117,1,1))*$B98+INDEX(輸入與假設!$D$117:$G$117,1,1)*輸入與假設!$C$254-(INDEX(各期收支!$D$96:$G$96,1,1)-INDEX(各期收支!$D$54:$G$54,1,1)+評價_DCF與目標價!$C$71))/INDEX(損益!$D$24:$G$24,1,1))/(1+輸入與假設!$C$243)^(1-輸入與假設!$C$275)</f>
        <v>6.16270012178225</v>
      </c>
      <c r="D98" s="12" t="n">
        <f aca="false">MAX(0,((INDEX(損益!$D$22:$G$22,1,2)-INDEX(輸入與假設!$D$117:$G$117,1,2))*$B98+INDEX(輸入與假設!$D$117:$G$117,1,2)*輸入與假設!$C$254-(INDEX(各期收支!$D$96:$G$96,1,2)-INDEX(各期收支!$D$54:$G$54,1,2)+評價_DCF與目標價!$C$71))/INDEX(損益!$D$24:$G$24,1,2))/(1+輸入與假設!$C$243)^(2-輸入與假設!$C$275)</f>
        <v>22.5369124920837</v>
      </c>
      <c r="E98" s="12" t="n">
        <f aca="false">MAX(0,((INDEX(損益!$D$22:$G$22,1,3)-INDEX(輸入與假設!$D$117:$G$117,1,3))*$B98+INDEX(輸入與假設!$D$117:$G$117,1,3)*輸入與假設!$C$254-(INDEX(各期收支!$D$96:$G$96,1,3)-INDEX(各期收支!$D$54:$G$54,1,3)+評價_DCF與目標價!$C$71))/INDEX(損益!$D$24:$G$24,1,3))/(1+輸入與假設!$C$243)^(3-輸入與假設!$C$275)</f>
        <v>30.6157255820629</v>
      </c>
      <c r="F98" s="12" t="n">
        <f aca="false">MAX(0,((INDEX(損益!$D$22:$G$22,1,4)-INDEX(輸入與假設!$D$117:$G$117,1,4))*$B98+INDEX(輸入與假設!$D$117:$G$117,1,4)*輸入與假設!$C$254-(INDEX(各期收支!$D$96:$G$96,1,4)-INDEX(各期收支!$D$54:$G$54,1,4)+評價_DCF與目標價!$C$71))/INDEX(損益!$D$24:$G$24,1,4))/(1+輸入與假設!$C$243)^(4-輸入與假設!$C$275)</f>
        <v>34.3959165305468</v>
      </c>
    </row>
    <row r="99" customFormat="false" ht="15" hidden="false" customHeight="false" outlineLevel="1" collapsed="false">
      <c r="A99" s="3" t="s">
        <v>1659</v>
      </c>
      <c r="B99" s="92" t="n">
        <v>7</v>
      </c>
      <c r="C99" s="12" t="n">
        <f aca="false">MAX(0,((INDEX(損益!$D$22:$G$22,1,1)-INDEX(輸入與假設!$D$117:$G$117,1,1))*$B99+INDEX(輸入與假設!$D$117:$G$117,1,1)*輸入與假設!$C$254-(INDEX(各期收支!$D$96:$G$96,1,1)-INDEX(各期收支!$D$54:$G$54,1,1)+評價_DCF與目標價!$C$71))/INDEX(損益!$D$24:$G$24,1,1))/(1+輸入與假設!$C$243)^(1-輸入與假設!$C$275)</f>
        <v>5.44848021743244</v>
      </c>
      <c r="D99" s="12" t="n">
        <f aca="false">MAX(0,((INDEX(損益!$D$22:$G$22,1,2)-INDEX(輸入與假設!$D$117:$G$117,1,2))*$B99+INDEX(輸入與假設!$D$117:$G$117,1,2)*輸入與假設!$C$254-(INDEX(各期收支!$D$96:$G$96,1,2)-INDEX(各期收支!$D$54:$G$54,1,2)+評價_DCF與目標價!$C$71))/INDEX(損益!$D$24:$G$24,1,2))/(1+輸入與假設!$C$243)^(2-輸入與假設!$C$275)</f>
        <v>22.5716392585908</v>
      </c>
      <c r="E99" s="12" t="n">
        <f aca="false">MAX(0,((INDEX(損益!$D$22:$G$22,1,3)-INDEX(輸入與假設!$D$117:$G$117,1,3))*$B99+INDEX(輸入與假設!$D$117:$G$117,1,3)*輸入與假設!$C$254-(INDEX(各期收支!$D$96:$G$96,1,3)-INDEX(各期收支!$D$54:$G$54,1,3)+評價_DCF與目標價!$C$71))/INDEX(損益!$D$24:$G$24,1,3))/(1+輸入與假設!$C$243)^(3-輸入與假設!$C$275)</f>
        <v>31.3615656453449</v>
      </c>
      <c r="F99" s="12" t="n">
        <f aca="false">MAX(0,((INDEX(損益!$D$22:$G$22,1,4)-INDEX(輸入與假設!$D$117:$G$117,1,4))*$B99+INDEX(輸入與假設!$D$117:$G$117,1,4)*輸入與假設!$C$254-(INDEX(各期收支!$D$96:$G$96,1,4)-INDEX(各期收支!$D$54:$G$54,1,4)+評價_DCF與目標價!$C$71))/INDEX(損益!$D$24:$G$24,1,4))/(1+輸入與假設!$C$243)^(4-輸入與假設!$C$275)</f>
        <v>35.8809158787221</v>
      </c>
    </row>
    <row r="100" customFormat="false" ht="15" hidden="false" customHeight="false" outlineLevel="1" collapsed="false"/>
    <row r="101" customFormat="false" ht="15" hidden="false" customHeight="false" outlineLevel="1" collapsed="false">
      <c r="A101" s="14" t="s">
        <v>1660</v>
      </c>
      <c r="B101" s="14" t="s">
        <v>1653</v>
      </c>
      <c r="C101" s="15" t="s">
        <v>56</v>
      </c>
      <c r="D101" s="15" t="s">
        <v>57</v>
      </c>
      <c r="E101" s="15" t="s">
        <v>138</v>
      </c>
      <c r="F101" s="15" t="s">
        <v>139</v>
      </c>
    </row>
    <row r="102" customFormat="false" ht="15" hidden="false" customHeight="false" outlineLevel="1" collapsed="false">
      <c r="A102" s="3" t="s">
        <v>1661</v>
      </c>
      <c r="B102" s="92" t="n">
        <v>3.4</v>
      </c>
      <c r="C102" s="12" t="n">
        <f aca="false">C48*IF(C30=1,0,輸入與假設!$C$256)+C95*IF(C30=1,1,1-輸入與假設!$C$256)</f>
        <v>4.41081953020048</v>
      </c>
      <c r="D102" s="12" t="n">
        <f aca="false">C48*IF(C30=1,0,輸入與假設!$C$256)+D95*IF(C30=1,1,1-輸入與假設!$C$256)</f>
        <v>12.3456425945409</v>
      </c>
      <c r="E102" s="12" t="n">
        <f aca="false">C48*IF(C30=1,0,輸入與假設!$C$256)+E95*IF(C30=1,1,1-輸入與假設!$C$256)</f>
        <v>15.7720977796415</v>
      </c>
      <c r="F102" s="12" t="n">
        <f aca="false">C48*IF(C30=1,0,輸入與假設!$C$256)+F95*IF(C30=1,1,1-輸入與假設!$C$256)</f>
        <v>16.7942050239099</v>
      </c>
    </row>
    <row r="103" customFormat="false" ht="15" hidden="false" customHeight="false" outlineLevel="1" collapsed="false">
      <c r="A103" s="3" t="s">
        <v>1662</v>
      </c>
      <c r="B103" s="92" t="n">
        <v>4.5</v>
      </c>
      <c r="C103" s="12" t="n">
        <f aca="false">C48*IF(C30=1,0,輸入與假設!$C$256)+C96*IF(C30=1,1,1-輸入與假設!$C$256)</f>
        <v>3.97871648806884</v>
      </c>
      <c r="D103" s="12" t="n">
        <f aca="false">C48*IF(C30=1,0,輸入與假設!$C$256)+D96*IF(C30=1,1,1-輸入與假設!$C$256)</f>
        <v>12.3666522882777</v>
      </c>
      <c r="E103" s="12" t="n">
        <f aca="false">C48*IF(C30=1,0,輸入與假設!$C$256)+E96*IF(C30=1,1,1-輸入與假設!$C$256)</f>
        <v>16.223331017927</v>
      </c>
      <c r="F103" s="12" t="n">
        <f aca="false">C48*IF(C30=1,0,輸入與假設!$C$256)+F96*IF(C30=1,1,1-輸入與假設!$C$256)</f>
        <v>17.692629629556</v>
      </c>
    </row>
    <row r="104" customFormat="false" ht="15" hidden="false" customHeight="false" outlineLevel="1" collapsed="false">
      <c r="A104" s="3" t="s">
        <v>1663</v>
      </c>
      <c r="B104" s="92" t="n">
        <v>5</v>
      </c>
      <c r="C104" s="12" t="n">
        <f aca="false">C48*IF(C30=1,0,輸入與假設!$C$256)+C97*IF(C30=1,1,1-輸入與假設!$C$256)</f>
        <v>3.78230601437264</v>
      </c>
      <c r="D104" s="12" t="n">
        <f aca="false">C48*IF(C30=1,0,輸入與假設!$C$256)+D97*IF(C30=1,1,1-輸入與假設!$C$256)</f>
        <v>12.3762021490671</v>
      </c>
      <c r="E104" s="12" t="n">
        <f aca="false">C48*IF(C30=1,0,輸入與假設!$C$256)+E97*IF(C30=1,1,1-輸入與假設!$C$256)</f>
        <v>16.4284370353296</v>
      </c>
      <c r="F104" s="12" t="n">
        <f aca="false">C48*IF(C30=1,0,輸入與假設!$C$256)+F97*IF(C30=1,1,1-輸入與假設!$C$256)</f>
        <v>18.1010044503043</v>
      </c>
    </row>
    <row r="105" customFormat="false" ht="15" hidden="false" customHeight="false" outlineLevel="1" collapsed="false">
      <c r="A105" s="3" t="s">
        <v>1664</v>
      </c>
      <c r="B105" s="92" t="n">
        <v>6</v>
      </c>
      <c r="C105" s="12" t="n">
        <f aca="false">C48*IF(C30=1,0,輸入與假設!$C$256)+C98*IF(C30=1,1,1-輸入與假設!$C$256)</f>
        <v>3.38948506698024</v>
      </c>
      <c r="D105" s="12" t="n">
        <f aca="false">C48*IF(C30=1,0,輸入與假設!$C$256)+D98*IF(C30=1,1,1-輸入與假設!$C$256)</f>
        <v>12.395301870646</v>
      </c>
      <c r="E105" s="12" t="n">
        <f aca="false">C48*IF(C30=1,0,輸入與假設!$C$256)+E98*IF(C30=1,1,1-輸入與假設!$C$256)</f>
        <v>16.8386490701346</v>
      </c>
      <c r="F105" s="12" t="n">
        <f aca="false">C48*IF(C30=1,0,輸入與假設!$C$256)+F98*IF(C30=1,1,1-輸入與假設!$C$256)</f>
        <v>18.9177540918007</v>
      </c>
    </row>
    <row r="106" customFormat="false" ht="15" hidden="false" customHeight="false" outlineLevel="1" collapsed="false">
      <c r="A106" s="3" t="s">
        <v>1665</v>
      </c>
      <c r="B106" s="92" t="n">
        <v>7</v>
      </c>
      <c r="C106" s="12" t="n">
        <f aca="false">C48*IF(C30=1,0,輸入與假設!$C$256)+C99*IF(C30=1,1,1-輸入與假設!$C$256)</f>
        <v>2.99666411958784</v>
      </c>
      <c r="D106" s="12" t="n">
        <f aca="false">C48*IF(C30=1,0,輸入與假設!$C$256)+D99*IF(C30=1,1,1-輸入與假設!$C$256)</f>
        <v>12.4144015922249</v>
      </c>
      <c r="E106" s="12" t="n">
        <f aca="false">C48*IF(C30=1,0,輸入與假設!$C$256)+E99*IF(C30=1,1,1-輸入與假設!$C$256)</f>
        <v>17.2488611049397</v>
      </c>
      <c r="F106" s="12" t="n">
        <f aca="false">C48*IF(C30=1,0,輸入與假設!$C$256)+F99*IF(C30=1,1,1-輸入與假設!$C$256)</f>
        <v>19.7345037332972</v>
      </c>
    </row>
  </sheetData>
  <conditionalFormatting sqref="C95:F99">
    <cfRule type="cellIs" priority="2" operator="greaterThanOrEqual" aboveAverage="0" equalAverage="0" bottom="0" percent="0" rank="0" text="" dxfId="0">
      <formula>輸入與假設!$C$228</formula>
    </cfRule>
  </conditionalFormatting>
  <conditionalFormatting sqref="C102:F106">
    <cfRule type="cellIs" priority="3" operator="greaterThanOrEqual" aboveAverage="0" equalAverage="0" bottom="0" percent="0" rank="0" text="" dxfId="0">
      <formula>輸入與假設!$C$228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70"/>
  </cols>
  <sheetData>
    <row r="1" customFormat="false" ht="21.6" hidden="false" customHeight="false" outlineLevel="0" collapsed="false">
      <c r="A1" s="5" t="s">
        <v>1666</v>
      </c>
    </row>
    <row r="2" customFormat="false" ht="15" hidden="false" customHeight="false" outlineLevel="0" collapsed="false">
      <c r="A2" s="6" t="s">
        <v>1667</v>
      </c>
    </row>
    <row r="4" customFormat="false" ht="15" hidden="false" customHeight="false" outlineLevel="0" collapsed="false">
      <c r="A4" s="47" t="s">
        <v>1668</v>
      </c>
      <c r="B4" s="8"/>
      <c r="C4" s="8"/>
      <c r="D4" s="8"/>
      <c r="E4" s="8"/>
      <c r="F4" s="8"/>
      <c r="G4" s="8"/>
    </row>
    <row r="5" customFormat="false" ht="15" hidden="false" customHeight="false" outlineLevel="1" collapsed="false">
      <c r="A5" s="3" t="s">
        <v>1601</v>
      </c>
      <c r="B5" s="93" t="n">
        <f aca="false">輸入與假設!$C$228</f>
        <v>16.83</v>
      </c>
    </row>
    <row r="6" customFormat="false" ht="15" hidden="false" customHeight="false" outlineLevel="1" collapsed="false">
      <c r="A6" s="3" t="s">
        <v>1669</v>
      </c>
      <c r="B6" s="93" t="n">
        <f aca="false">評價_DCF與目標價!C26</f>
        <v>0</v>
      </c>
    </row>
    <row r="7" customFormat="false" ht="15" hidden="false" customHeight="false" outlineLevel="1" collapsed="false">
      <c r="A7" s="2" t="s">
        <v>1670</v>
      </c>
      <c r="B7" s="90" t="n">
        <f aca="false">B6-B5</f>
        <v>-16.83</v>
      </c>
    </row>
    <row r="8" customFormat="false" ht="15" hidden="false" customHeight="false" outlineLevel="1" collapsed="false">
      <c r="A8" s="3" t="s">
        <v>1671</v>
      </c>
      <c r="B8" s="94" t="n">
        <f aca="false">輸入與假設!$C$39</f>
        <v>1</v>
      </c>
      <c r="C8" s="94" t="n">
        <f aca="false">輸入與假設!$C$141</f>
        <v>1</v>
      </c>
    </row>
    <row r="10" customFormat="false" ht="15" hidden="false" customHeight="false" outlineLevel="0" collapsed="false">
      <c r="A10" s="47" t="s">
        <v>1672</v>
      </c>
      <c r="B10" s="8"/>
      <c r="C10" s="8"/>
      <c r="D10" s="8"/>
      <c r="E10" s="8"/>
      <c r="F10" s="8"/>
      <c r="G10" s="8"/>
    </row>
    <row r="11" customFormat="false" ht="15" hidden="false" customHeight="false" outlineLevel="1" collapsed="false">
      <c r="A11" s="6" t="s">
        <v>1673</v>
      </c>
    </row>
    <row r="12" customFormat="false" ht="15" hidden="false" customHeight="false" outlineLevel="1" collapsed="false">
      <c r="A12" s="6" t="s">
        <v>1674</v>
      </c>
    </row>
    <row r="13" customFormat="false" ht="15" hidden="false" customHeight="false" outlineLevel="1" collapsed="false">
      <c r="A13" s="6" t="s">
        <v>1675</v>
      </c>
    </row>
    <row r="14" customFormat="false" ht="15" hidden="false" customHeight="false" outlineLevel="1" collapsed="false">
      <c r="A14" s="6" t="s">
        <v>1676</v>
      </c>
    </row>
    <row r="16" customFormat="false" ht="15" hidden="false" customHeight="false" outlineLevel="0" collapsed="false">
      <c r="A16" s="47" t="s">
        <v>1677</v>
      </c>
      <c r="B16" s="8"/>
      <c r="C16" s="8"/>
      <c r="D16" s="8"/>
      <c r="E16" s="8"/>
      <c r="F16" s="8"/>
      <c r="G16" s="8"/>
    </row>
    <row r="17" customFormat="false" ht="15" hidden="false" customHeight="false" outlineLevel="1" collapsed="false">
      <c r="A17" s="14" t="s">
        <v>1678</v>
      </c>
      <c r="B17" s="14" t="s">
        <v>1679</v>
      </c>
      <c r="C17" s="14" t="s">
        <v>1680</v>
      </c>
      <c r="D17" s="14" t="s">
        <v>1681</v>
      </c>
      <c r="G17" s="14" t="s">
        <v>1682</v>
      </c>
    </row>
    <row r="18" customFormat="false" ht="15" hidden="false" customHeight="false" outlineLevel="1" collapsed="false">
      <c r="A18" s="4" t="s">
        <v>1683</v>
      </c>
      <c r="B18" s="95" t="n">
        <v>17.4</v>
      </c>
      <c r="C18" s="95" t="n">
        <v>31.5283</v>
      </c>
      <c r="D18" s="56" t="n">
        <v>0.812</v>
      </c>
      <c r="G18" s="11" t="s">
        <v>1684</v>
      </c>
    </row>
    <row r="19" customFormat="false" ht="15" hidden="false" customHeight="false" outlineLevel="1" collapsed="false">
      <c r="A19" s="3" t="s">
        <v>1685</v>
      </c>
      <c r="B19" s="95" t="n">
        <v>37.59</v>
      </c>
      <c r="C19" s="95" t="n">
        <v>12.8425</v>
      </c>
      <c r="D19" s="56" t="n">
        <v>-0.6584</v>
      </c>
      <c r="G19" s="11" t="s">
        <v>1686</v>
      </c>
    </row>
    <row r="20" customFormat="false" ht="15" hidden="false" customHeight="false" outlineLevel="1" collapsed="false">
      <c r="A20" s="3" t="s">
        <v>324</v>
      </c>
      <c r="B20" s="56" t="n">
        <v>0.47</v>
      </c>
      <c r="C20" s="56" t="n">
        <v>0.8566</v>
      </c>
      <c r="D20" s="56" t="n">
        <v>0.3866</v>
      </c>
      <c r="G20" s="6" t="s">
        <v>1687</v>
      </c>
    </row>
    <row r="21" customFormat="false" ht="15" hidden="false" customHeight="false" outlineLevel="1" collapsed="false">
      <c r="A21" s="3" t="s">
        <v>1688</v>
      </c>
      <c r="B21" s="95" t="n">
        <v>17.4</v>
      </c>
      <c r="C21" s="95" t="n">
        <v>17.3821</v>
      </c>
      <c r="D21" s="56" t="n">
        <v>-0.001</v>
      </c>
      <c r="G21" s="6" t="s">
        <v>1689</v>
      </c>
    </row>
    <row r="23" customFormat="false" ht="15" hidden="false" customHeight="false" outlineLevel="0" collapsed="false">
      <c r="A23" s="47" t="s">
        <v>1690</v>
      </c>
      <c r="B23" s="8"/>
      <c r="C23" s="8"/>
      <c r="D23" s="8"/>
      <c r="E23" s="8"/>
      <c r="F23" s="8"/>
      <c r="G23" s="8"/>
    </row>
    <row r="24" customFormat="false" ht="17.15" hidden="false" customHeight="false" outlineLevel="1" collapsed="false">
      <c r="A24" s="14" t="s">
        <v>1691</v>
      </c>
      <c r="B24" s="96" t="n">
        <v>0.35</v>
      </c>
      <c r="C24" s="96" t="n">
        <v>0.47</v>
      </c>
      <c r="D24" s="96" t="n">
        <v>0.59</v>
      </c>
      <c r="E24" s="96" t="n">
        <v>0.7</v>
      </c>
      <c r="I24" s="6" t="s">
        <v>1692</v>
      </c>
    </row>
    <row r="25" customFormat="false" ht="15" hidden="false" customHeight="false" outlineLevel="1" collapsed="false">
      <c r="A25" s="4" t="s">
        <v>1693</v>
      </c>
      <c r="B25" s="95" t="n">
        <v>33.54</v>
      </c>
      <c r="C25" s="95" t="n">
        <v>25.09</v>
      </c>
      <c r="D25" s="95" t="n">
        <v>20.04</v>
      </c>
      <c r="E25" s="95" t="n">
        <v>16.92</v>
      </c>
    </row>
    <row r="26" customFormat="false" ht="15" hidden="false" customHeight="false" outlineLevel="1" collapsed="false">
      <c r="A26" s="4" t="s">
        <v>1694</v>
      </c>
      <c r="B26" s="95" t="n">
        <v>36.41</v>
      </c>
      <c r="C26" s="95" t="n">
        <v>27.24</v>
      </c>
      <c r="D26" s="95" t="n">
        <v>21.75</v>
      </c>
      <c r="E26" s="95" t="n">
        <v>18.37</v>
      </c>
    </row>
    <row r="27" customFormat="false" ht="15" hidden="false" customHeight="false" outlineLevel="1" collapsed="false">
      <c r="A27" s="4" t="s">
        <v>1695</v>
      </c>
      <c r="B27" s="95" t="n">
        <v>39.28</v>
      </c>
      <c r="C27" s="95" t="n">
        <v>29.38</v>
      </c>
      <c r="D27" s="95" t="n">
        <v>23.47</v>
      </c>
      <c r="E27" s="95" t="n">
        <v>19.81</v>
      </c>
    </row>
    <row r="28" customFormat="false" ht="15" hidden="false" customHeight="false" outlineLevel="1" collapsed="false">
      <c r="A28" s="4" t="s">
        <v>1696</v>
      </c>
      <c r="B28" s="95" t="n">
        <v>42.15</v>
      </c>
      <c r="C28" s="97" t="n">
        <v>31.53</v>
      </c>
      <c r="D28" s="95" t="n">
        <v>25.18</v>
      </c>
      <c r="E28" s="95" t="n">
        <v>21.26</v>
      </c>
    </row>
    <row r="29" customFormat="false" ht="15" hidden="false" customHeight="false" outlineLevel="1" collapsed="false">
      <c r="A29" s="4" t="s">
        <v>1697</v>
      </c>
      <c r="B29" s="95" t="n">
        <v>45.02</v>
      </c>
      <c r="C29" s="95" t="n">
        <v>33.67</v>
      </c>
      <c r="D29" s="95" t="n">
        <v>26.9</v>
      </c>
      <c r="E29" s="95" t="n">
        <v>22.71</v>
      </c>
    </row>
    <row r="30" customFormat="false" ht="15" hidden="false" customHeight="false" outlineLevel="1" collapsed="false">
      <c r="A30" s="6" t="s">
        <v>1698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pageSetUpPr fitToPage="false"/>
  </sheetPr>
  <dimension ref="A1:K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0"/>
    <col collapsed="false" customWidth="true" hidden="false" outlineLevel="0" max="7" min="6" style="0" width="13"/>
    <col collapsed="false" customWidth="true" hidden="false" outlineLevel="0" max="9" min="8" style="0" width="11"/>
    <col collapsed="false" customWidth="true" hidden="false" outlineLevel="0" max="10" min="10" style="0" width="18"/>
    <col collapsed="false" customWidth="true" hidden="false" outlineLevel="0" max="11" min="11" style="0" width="70"/>
    <col collapsed="false" customWidth="true" hidden="false" outlineLevel="0" max="12" min="12" style="0" width="4"/>
  </cols>
  <sheetData>
    <row r="1" customFormat="false" ht="21.6" hidden="false" customHeight="false" outlineLevel="0" collapsed="false">
      <c r="A1" s="5" t="s">
        <v>1699</v>
      </c>
    </row>
    <row r="2" customFormat="false" ht="15" hidden="false" customHeight="false" outlineLevel="0" collapsed="false">
      <c r="A2" s="11" t="s">
        <v>1700</v>
      </c>
    </row>
    <row r="4" customFormat="false" ht="17.15" hidden="false" customHeight="false" outlineLevel="0" collapsed="false">
      <c r="A4" s="14" t="s">
        <v>1701</v>
      </c>
      <c r="B4" s="14" t="s">
        <v>1702</v>
      </c>
      <c r="C4" s="14" t="s">
        <v>1703</v>
      </c>
      <c r="D4" s="15" t="s">
        <v>1704</v>
      </c>
      <c r="E4" s="15" t="s">
        <v>1705</v>
      </c>
      <c r="F4" s="98" t="s">
        <v>1706</v>
      </c>
      <c r="G4" s="14" t="s">
        <v>1707</v>
      </c>
      <c r="H4" s="15" t="s">
        <v>1708</v>
      </c>
      <c r="I4" s="15" t="s">
        <v>1709</v>
      </c>
      <c r="J4" s="14" t="s">
        <v>1710</v>
      </c>
      <c r="K4" s="14" t="s">
        <v>698</v>
      </c>
    </row>
    <row r="5" customFormat="false" ht="15" hidden="false" customHeight="false" outlineLevel="0" collapsed="false">
      <c r="A5" s="4" t="s">
        <v>1711</v>
      </c>
      <c r="B5" s="25" t="n">
        <v>49110</v>
      </c>
      <c r="C5" s="25" t="n">
        <v>46030</v>
      </c>
      <c r="D5" s="55" t="n">
        <f aca="false">B5+C5</f>
        <v>95140</v>
      </c>
      <c r="E5" s="25" t="n">
        <v>7590</v>
      </c>
      <c r="F5" s="99" t="n">
        <f aca="false">D5/E5</f>
        <v>12.5349143610013</v>
      </c>
      <c r="G5" s="100" t="n">
        <f aca="false">(D5+16540)/E5</f>
        <v>14.7140974967062</v>
      </c>
      <c r="H5" s="25" t="n">
        <f aca="false">-231+3991</f>
        <v>3760</v>
      </c>
      <c r="I5" s="100" t="n">
        <f aca="false">IF(H5&gt;0,D5/H5,"n/m")</f>
        <v>25.3031914893617</v>
      </c>
      <c r="J5" s="11" t="s">
        <v>1712</v>
      </c>
      <c r="K5" s="6" t="s">
        <v>1713</v>
      </c>
    </row>
    <row r="6" customFormat="false" ht="15" hidden="false" customHeight="false" outlineLevel="0" collapsed="false">
      <c r="A6" s="4" t="s">
        <v>1714</v>
      </c>
      <c r="B6" s="25" t="n">
        <v>68490</v>
      </c>
      <c r="C6" s="25" t="n">
        <v>2150</v>
      </c>
      <c r="D6" s="55" t="n">
        <f aca="false">B6+C6</f>
        <v>70640</v>
      </c>
      <c r="E6" s="25" t="n">
        <v>1360</v>
      </c>
      <c r="F6" s="99" t="n">
        <f aca="false">D6/E6</f>
        <v>51.9411764705882</v>
      </c>
      <c r="G6" s="100" t="n">
        <f aca="false">(D6+1625.3)/E6</f>
        <v>53.13625</v>
      </c>
      <c r="H6" s="25" t="n">
        <f aca="false">-612+418</f>
        <v>-194</v>
      </c>
      <c r="I6" s="100" t="str">
        <f aca="false">IF(H6&gt;0,D6/H6,"n/m")</f>
        <v>n/m</v>
      </c>
      <c r="J6" s="6" t="s">
        <v>1715</v>
      </c>
      <c r="K6" s="6" t="s">
        <v>1716</v>
      </c>
    </row>
    <row r="7" customFormat="false" ht="15" hidden="false" customHeight="false" outlineLevel="0" collapsed="false">
      <c r="A7" s="4" t="s">
        <v>1717</v>
      </c>
      <c r="B7" s="25" t="n">
        <v>18610</v>
      </c>
      <c r="C7" s="25" t="n">
        <v>1700</v>
      </c>
      <c r="D7" s="55" t="n">
        <f aca="false">B7+C7</f>
        <v>20310</v>
      </c>
      <c r="E7" s="25" t="n">
        <v>707</v>
      </c>
      <c r="F7" s="99" t="n">
        <f aca="false">D7/E7</f>
        <v>28.7270155586987</v>
      </c>
      <c r="G7" s="100" t="n">
        <f aca="false">(D7+3)/E7</f>
        <v>28.7312588401697</v>
      </c>
      <c r="H7" s="25" t="n">
        <f aca="false">-1047+418</f>
        <v>-629</v>
      </c>
      <c r="I7" s="100" t="str">
        <f aca="false">IF(H7&gt;0,D7/H7,"n/m")</f>
        <v>n/m</v>
      </c>
      <c r="J7" s="11" t="s">
        <v>1718</v>
      </c>
      <c r="K7" s="6" t="s">
        <v>1719</v>
      </c>
    </row>
    <row r="8" customFormat="false" ht="15" hidden="false" customHeight="false" outlineLevel="0" collapsed="false">
      <c r="A8" s="4" t="s">
        <v>1720</v>
      </c>
      <c r="B8" s="25" t="n">
        <v>6940</v>
      </c>
      <c r="C8" s="25" t="n">
        <v>7870</v>
      </c>
      <c r="D8" s="55" t="n">
        <f aca="false">B8+C8</f>
        <v>14810</v>
      </c>
      <c r="E8" s="25" t="n">
        <v>611.3</v>
      </c>
      <c r="F8" s="99" t="n">
        <f aca="false">D8/E8</f>
        <v>24.2270570914445</v>
      </c>
      <c r="G8" s="100" t="n">
        <f aca="false">(D8+66)/E8</f>
        <v>24.3350237199411</v>
      </c>
      <c r="H8" s="25" t="n">
        <f aca="false">-236+67</f>
        <v>-169</v>
      </c>
      <c r="I8" s="100" t="str">
        <f aca="false">IF(H8&gt;0,D8/H8,"n/m")</f>
        <v>n/m</v>
      </c>
      <c r="J8" s="6" t="s">
        <v>1721</v>
      </c>
      <c r="K8" s="6" t="s">
        <v>1722</v>
      </c>
    </row>
    <row r="9" customFormat="false" ht="15" hidden="false" customHeight="false" outlineLevel="0" collapsed="false">
      <c r="A9" s="4" t="s">
        <v>1723</v>
      </c>
      <c r="B9" s="25" t="n">
        <v>5750</v>
      </c>
      <c r="C9" s="25" t="n">
        <v>3680</v>
      </c>
      <c r="D9" s="55" t="n">
        <f aca="false">B9+C9</f>
        <v>9430</v>
      </c>
      <c r="E9" s="25" t="n">
        <v>440.3</v>
      </c>
      <c r="F9" s="99" t="n">
        <f aca="false">D9/E9</f>
        <v>21.4172155348626</v>
      </c>
      <c r="G9" s="100" t="n">
        <f aca="false">(D9+109)/E9</f>
        <v>21.6647740177152</v>
      </c>
      <c r="H9" s="25" t="n">
        <f aca="false">-561+63</f>
        <v>-498</v>
      </c>
      <c r="I9" s="100" t="str">
        <f aca="false">IF(H9&gt;0,D9/H9,"n/m")</f>
        <v>n/m</v>
      </c>
      <c r="J9" s="6" t="s">
        <v>1724</v>
      </c>
      <c r="K9" s="6" t="s">
        <v>1725</v>
      </c>
    </row>
    <row r="10" customFormat="false" ht="15" hidden="false" customHeight="false" outlineLevel="0" collapsed="false">
      <c r="A10" s="2" t="s">
        <v>1726</v>
      </c>
      <c r="F10" s="82" t="n">
        <f aca="false">MEDIAN(F5:F9)</f>
        <v>24.2270570914445</v>
      </c>
      <c r="G10" s="101" t="n">
        <f aca="false">MEDIAN(G5:G9)</f>
        <v>24.3350237199411</v>
      </c>
    </row>
    <row r="11" customFormat="false" ht="15" hidden="false" customHeight="false" outlineLevel="0" collapsed="false">
      <c r="A11" s="83" t="s">
        <v>1727</v>
      </c>
      <c r="B11" s="80" t="n">
        <v>759.364</v>
      </c>
      <c r="C11" s="81" t="n">
        <f aca="false">輸入與假設!$C$230+SUMPRODUCT(資產負債_既有債務!$C$20:$C$21*(1-資產負債_既有債務!$H$15:$H$16))+輸入與假設!$C$232</f>
        <v>192.033</v>
      </c>
      <c r="D11" s="53" t="n">
        <f aca="false">B11+C11</f>
        <v>951.397</v>
      </c>
      <c r="E11" s="80" t="n">
        <v>94.503</v>
      </c>
      <c r="F11" s="82" t="n">
        <f aca="false">D11/E11</f>
        <v>10.0673735225337</v>
      </c>
      <c r="G11" s="101" t="n">
        <f aca="false">(D11+15.376)/E11</f>
        <v>10.2300773520417</v>
      </c>
      <c r="H11" s="80" t="n">
        <f aca="false">-39.975+27.478</f>
        <v>-12.497</v>
      </c>
      <c r="I11" s="101" t="str">
        <f aca="false">IF(H11&gt;0,D11/H11,"n/m")</f>
        <v>n/m</v>
      </c>
      <c r="J11" s="11" t="s">
        <v>1728</v>
      </c>
      <c r="K11" s="11" t="s">
        <v>1729</v>
      </c>
    </row>
    <row r="12" customFormat="false" ht="15" hidden="false" customHeight="false" outlineLevel="0" collapsed="false">
      <c r="A12" s="4" t="s">
        <v>1730</v>
      </c>
      <c r="B12" s="53" t="n">
        <f aca="false">輸入與假設!$C$228*評價_DCF與目標價!$C$69</f>
        <v>662.0667867</v>
      </c>
      <c r="C12" s="53" t="n">
        <f aca="false">評價_DCF與目標價!$C$70</f>
        <v>192.033</v>
      </c>
      <c r="D12" s="53" t="n">
        <f aca="false">B12+C12</f>
        <v>854.0997867</v>
      </c>
      <c r="E12" s="81" t="n">
        <f aca="false">損益!D9</f>
        <v>278.169582973631</v>
      </c>
      <c r="F12" s="101" t="n">
        <f aca="false">D12/E12</f>
        <v>3.07042839684224</v>
      </c>
      <c r="G12" s="101" t="n">
        <f aca="false">(D12+15.376)/E12</f>
        <v>3.12570403063236</v>
      </c>
      <c r="H12" s="81" t="n">
        <f aca="false">損益!D22</f>
        <v>25.404783127895</v>
      </c>
      <c r="I12" s="101" t="n">
        <f aca="false">D12/H12</f>
        <v>33.6196448676698</v>
      </c>
      <c r="K12" s="6" t="s">
        <v>1731</v>
      </c>
    </row>
    <row r="14" customFormat="false" ht="15" hidden="false" customHeight="false" outlineLevel="0" collapsed="false">
      <c r="A14" s="6" t="s">
        <v>1732</v>
      </c>
    </row>
    <row r="15" customFormat="false" ht="15" hidden="false" customHeight="false" outlineLevel="0" collapsed="false">
      <c r="A15" s="11" t="s">
        <v>1733</v>
      </c>
    </row>
    <row r="16" customFormat="false" ht="15" hidden="false" customHeight="false" outlineLevel="0" collapsed="false">
      <c r="A16" s="6" t="s">
        <v>1734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0"/>
  </cols>
  <sheetData>
    <row r="1" customFormat="false" ht="17.35" hidden="false" customHeight="false" outlineLevel="0" collapsed="false">
      <c r="A1" s="5" t="s">
        <v>1735</v>
      </c>
    </row>
    <row r="3" customFormat="false" ht="15" hidden="false" customHeight="false" outlineLevel="0" collapsed="false">
      <c r="A3" s="14" t="s">
        <v>1736</v>
      </c>
      <c r="B3" s="14" t="s">
        <v>1737</v>
      </c>
      <c r="C3" s="14" t="s">
        <v>1738</v>
      </c>
      <c r="D3" s="14" t="s">
        <v>1739</v>
      </c>
      <c r="E3" s="14" t="s">
        <v>427</v>
      </c>
    </row>
    <row r="4" customFormat="false" ht="15" hidden="false" customHeight="false" outlineLevel="0" collapsed="false">
      <c r="A4" s="4" t="s">
        <v>189</v>
      </c>
      <c r="B4" s="13" t="n">
        <f aca="false">SUM(輸入與假設!C42:G42)</f>
        <v>1</v>
      </c>
      <c r="C4" s="102" t="n">
        <f aca="false">輸入與假設!$C$34</f>
        <v>1</v>
      </c>
      <c r="D4" s="2" t="str">
        <f aca="false">IF(ABS(B4-C4)&lt;0.0001,"通過","不一致")</f>
        <v>通過</v>
      </c>
      <c r="E4" s="6" t="s">
        <v>1740</v>
      </c>
    </row>
    <row r="5" customFormat="false" ht="15" hidden="false" customHeight="false" outlineLevel="0" collapsed="false">
      <c r="A5" s="3" t="s">
        <v>1741</v>
      </c>
      <c r="B5" s="10" t="n">
        <f aca="false">各期收支!C110</f>
        <v>0</v>
      </c>
      <c r="C5" s="6" t="n">
        <f aca="false">0</f>
        <v>0</v>
      </c>
      <c r="D5" s="2" t="str">
        <f aca="false">IF(ABS(B5)&lt;10,"通過","不一致")</f>
        <v>通過</v>
      </c>
      <c r="E5" s="6" t="s">
        <v>1742</v>
      </c>
    </row>
    <row r="6" customFormat="false" ht="15" hidden="false" customHeight="false" outlineLevel="0" collapsed="false">
      <c r="A6" s="4" t="s">
        <v>1743</v>
      </c>
      <c r="B6" s="9" t="n">
        <f aca="false">運營_產能與收入!G9-運營_產能與收入!G10</f>
        <v>2.288</v>
      </c>
      <c r="C6" s="11" t="s">
        <v>1744</v>
      </c>
      <c r="D6" s="2" t="str">
        <f aca="false">IF(B6&gt;=0,"通過","不一致")</f>
        <v>通過</v>
      </c>
      <c r="E6" s="6" t="s">
        <v>1745</v>
      </c>
    </row>
    <row r="7" customFormat="false" ht="15" hidden="false" customHeight="false" outlineLevel="0" collapsed="false">
      <c r="A7" s="4" t="s">
        <v>1746</v>
      </c>
      <c r="B7" s="10" t="n">
        <f aca="false">各期收支!C114</f>
        <v>491.691025</v>
      </c>
      <c r="C7" s="6" t="s">
        <v>1747</v>
      </c>
      <c r="D7" s="2" t="str">
        <f aca="false">"不適用"</f>
        <v>不適用</v>
      </c>
      <c r="E7" s="11" t="s">
        <v>1748</v>
      </c>
    </row>
    <row r="8" customFormat="false" ht="15" hidden="false" customHeight="false" outlineLevel="0" collapsed="false">
      <c r="A8" s="4" t="s">
        <v>1749</v>
      </c>
      <c r="B8" s="10" t="n">
        <f aca="false">各期收支!C113</f>
        <v>129.872431231938</v>
      </c>
      <c r="C8" s="6" t="s">
        <v>1747</v>
      </c>
      <c r="D8" s="2" t="str">
        <f aca="false">"不適用"</f>
        <v>不適用</v>
      </c>
      <c r="E8" s="11" t="s">
        <v>1750</v>
      </c>
    </row>
    <row r="9" customFormat="false" ht="15" hidden="false" customHeight="false" outlineLevel="0" collapsed="false">
      <c r="A9" s="4" t="s">
        <v>1751</v>
      </c>
      <c r="B9" s="45" t="n">
        <f aca="false">SUM(各期收支!C6:G6)/((運營_產能與收入!G9-輸入與假設!$C$36)/1000)/1000</f>
        <v>50.6006341820246</v>
      </c>
      <c r="C9" s="11" t="s">
        <v>1752</v>
      </c>
      <c r="D9" s="2" t="str">
        <f aca="false">IF(AND(B9&gt;=28,B9&lt;=51),"通過","觀察")</f>
        <v>通過</v>
      </c>
      <c r="E9" s="11" t="s">
        <v>1753</v>
      </c>
    </row>
    <row r="10" customFormat="false" ht="15" hidden="false" customHeight="false" outlineLevel="0" collapsed="false">
      <c r="A10" s="3" t="s">
        <v>1754</v>
      </c>
      <c r="B10" s="16" t="n">
        <f aca="false">資產負債_租賃承諾!C23</f>
        <v>1</v>
      </c>
      <c r="C10" s="11" t="s">
        <v>1755</v>
      </c>
      <c r="D10" s="2" t="str">
        <f aca="false">IF(B10&gt;=0.8,"通過","不一致")</f>
        <v>通過</v>
      </c>
      <c r="E10" s="6" t="s">
        <v>1756</v>
      </c>
    </row>
    <row r="11" customFormat="false" ht="15" hidden="false" customHeight="false" outlineLevel="0" collapsed="false">
      <c r="A11" s="4" t="s">
        <v>1757</v>
      </c>
      <c r="B11" s="10" t="n">
        <f aca="false">各期收支!C115</f>
        <v>21.5977264456522</v>
      </c>
      <c r="C11" s="11" t="s">
        <v>1758</v>
      </c>
      <c r="D11" s="2" t="str">
        <f aca="false">IF(B11&gt;=8,"通過","觀察")</f>
        <v>通過</v>
      </c>
      <c r="E11" s="6" t="str">
        <f aca="false">"1H 實際 8.011＋2H 模型 "&amp;TEXT(各期收支!C18,"0.0")&amp;"；公司未提供季度利息指引（不適用）"</f>
        <v>1H 實際 8.011＋2H 模型 13.6；公司未提供季度利息指引（不適用）</v>
      </c>
    </row>
    <row r="12" customFormat="false" ht="15" hidden="false" customHeight="false" outlineLevel="0" collapsed="false">
      <c r="A12" s="4" t="s">
        <v>1759</v>
      </c>
      <c r="B12" s="29" t="n">
        <f aca="false">SUM(運營_產能與收入!E24:G24)/SUM(運營_產能與收入!E26:G26)</f>
        <v>0.989270826478277</v>
      </c>
      <c r="C12" s="11" t="s">
        <v>1760</v>
      </c>
      <c r="D12" s="2" t="str">
        <f aca="false">IF(B12&lt;0.5,"通過","觀察")</f>
        <v>觀察</v>
      </c>
      <c r="E12" s="11" t="s">
        <v>1761</v>
      </c>
    </row>
    <row r="13" customFormat="false" ht="15" hidden="false" customHeight="false" outlineLevel="0" collapsed="false">
      <c r="A13" s="3" t="s">
        <v>1762</v>
      </c>
      <c r="B13" s="53" t="n">
        <f aca="false">損益!D6-運營_產能與收入!D26</f>
        <v>0</v>
      </c>
      <c r="C13" s="6" t="n">
        <f aca="false">0</f>
        <v>0</v>
      </c>
      <c r="D13" s="2" t="str">
        <f aca="false">IF(ABS(B13)&lt;1,"通過","不一致")</f>
        <v>通過</v>
      </c>
      <c r="E13" s="11" t="s">
        <v>1763</v>
      </c>
    </row>
    <row r="14" customFormat="false" ht="15" hidden="false" customHeight="false" outlineLevel="0" collapsed="false">
      <c r="A14" s="3" t="s">
        <v>1566</v>
      </c>
      <c r="B14" s="13" t="n">
        <f aca="false">評價_DCF與目標價!C27</f>
        <v>2.68150317914978</v>
      </c>
      <c r="C14" s="6" t="str">
        <f aca="false">"&lt;"&amp;IF(ROUND(ABS(輸入與假設!$C$287)*100,4)=INT(ROUND(ABS(輸入與假設!$C$287)*100,4)),TEXT(ROUND(ABS(輸入與假設!$C$287)*100,4),"0"),TEXT(ROUND(ABS(輸入與假設!$C$287)*100,4),"0.0"))&amp;"%"</f>
        <v>&lt;85%</v>
      </c>
      <c r="D14" s="2" t="str">
        <f aca="false">IF(B14&lt;輸入與假設!$C$287,"通過","觀察")</f>
        <v>觀察</v>
      </c>
      <c r="E14" s="6" t="s">
        <v>1764</v>
      </c>
    </row>
    <row r="15" customFormat="false" ht="15" hidden="false" customHeight="false" outlineLevel="0" collapsed="false">
      <c r="A15" s="4" t="s">
        <v>1765</v>
      </c>
      <c r="B15" s="103" t="n">
        <f aca="false">(損益!D22+損益!D11-輸入與假設!D117-輸入與假設!D51)/(損益!D6+損益!D7)-輸入與假設!D127</f>
        <v>0</v>
      </c>
      <c r="C15" s="6" t="n">
        <f aca="false">0</f>
        <v>0</v>
      </c>
      <c r="D15" s="2" t="str">
        <f aca="false">IF(ABS(B15)&lt;0.0001,"通過","不一致")</f>
        <v>通過</v>
      </c>
      <c r="E15" s="6" t="s">
        <v>1766</v>
      </c>
    </row>
    <row r="16" customFormat="false" ht="15" hidden="false" customHeight="false" outlineLevel="0" collapsed="false">
      <c r="A16" s="3" t="s">
        <v>1767</v>
      </c>
      <c r="B16" s="53" t="n">
        <f aca="false">(運營_產能與收入!D52+運營_產能與收入!D53+輸入與假設!D128+輸入與假設!D51+輸入與假設!D117-運營_產能與收入!D74-各期收支!D17)+(運營_產能與收入!D47+運營_產能與收入!D24*輸入與假設!D48*(1-輸入與假設!D49))*運營_產能與收入!D51-損益!D22</f>
        <v>0</v>
      </c>
      <c r="C16" s="6" t="n">
        <f aca="false">0</f>
        <v>0</v>
      </c>
      <c r="D16" s="2" t="str">
        <f aca="false">IF(ABS(B16)&lt;1,"通過","不一致")</f>
        <v>通過</v>
      </c>
      <c r="E16" s="6" t="s">
        <v>1768</v>
      </c>
    </row>
    <row r="17" customFormat="false" ht="15" hidden="false" customHeight="false" outlineLevel="0" collapsed="false">
      <c r="A17" s="4" t="s">
        <v>1769</v>
      </c>
      <c r="B17" s="45" t="n">
        <f aca="false">評價_DCF與目標價!C30</f>
        <v>0</v>
      </c>
      <c r="C17" s="11" t="s">
        <v>1770</v>
      </c>
      <c r="D17" s="2" t="str">
        <f aca="false">IF(B17=0,"通過","觀察")</f>
        <v>通過</v>
      </c>
      <c r="E17" s="6" t="s">
        <v>1771</v>
      </c>
    </row>
    <row r="18" customFormat="false" ht="15" hidden="false" customHeight="false" outlineLevel="0" collapsed="false">
      <c r="A18" s="3" t="s">
        <v>1772</v>
      </c>
      <c r="B18" s="53" t="n">
        <f aca="false">MIN(各期收支!C54:G54)</f>
        <v>30</v>
      </c>
      <c r="C18" s="11" t="s">
        <v>1773</v>
      </c>
      <c r="D18" s="2" t="str">
        <f aca="false">IF(B18&gt;=29,"通過","不一致")</f>
        <v>通過</v>
      </c>
      <c r="E18" s="6" t="s">
        <v>1774</v>
      </c>
    </row>
    <row r="19" customFormat="false" ht="15" hidden="false" customHeight="false" outlineLevel="0" collapsed="false">
      <c r="A19" s="3" t="s">
        <v>1775</v>
      </c>
      <c r="B19" s="101" t="n">
        <f aca="false">SUM(各期收支!C86:G86)/(輸入與假設!$C$228*輸入與假設!$C$229)</f>
        <v>0</v>
      </c>
      <c r="C19" s="6" t="str">
        <f aca="false">"≤"&amp;IF(輸入與假設!$C$284=INT(輸入與假設!$C$284),TEXT(輸入與假設!$C$284,"0"),TEXT(輸入與假設!$C$284,"0.0"))&amp;"x"</f>
        <v>≤1.5x</v>
      </c>
      <c r="D19" s="2" t="str">
        <f aca="false">IF(B19&lt;=輸入與假設!$C$284,"通過","觀察")</f>
        <v>通過</v>
      </c>
      <c r="E19" s="6" t="str">
        <f aca="false">"超過 "&amp;IF(輸入與假設!$C$284=INT(輸入與假設!$C$284),TEXT(輸入與假設!$C$284,"0"),TEXT(輸入與假設!$C$284,"0.0"))&amp;" 倍：市場吸收能力存疑，結論不得為買進"</f>
        <v>超過 1.5 倍：市場吸收能力存疑，結論不得為買進</v>
      </c>
    </row>
    <row r="20" customFormat="false" ht="15" hidden="false" customHeight="false" outlineLevel="0" collapsed="false">
      <c r="A20" s="3" t="s">
        <v>1776</v>
      </c>
      <c r="B20" s="53" t="n">
        <f aca="false">資產負債_既有債務!E8+SUMPRODUCT(資產負債_既有債務!$C$20:$C$21*(1-資產負債_既有債務!$H$15:$H$16))</f>
        <v>466.05</v>
      </c>
      <c r="C20" s="11" t="s">
        <v>1777</v>
      </c>
      <c r="D20" s="2" t="str">
        <f aca="false">IF(ABS(B20-466.05)&lt;10,"通過","不一致")</f>
        <v>通過</v>
      </c>
      <c r="E20" s="6" t="s">
        <v>1778</v>
      </c>
    </row>
    <row r="21" customFormat="false" ht="15" hidden="false" customHeight="false" outlineLevel="0" collapsed="false">
      <c r="A21" s="4" t="s">
        <v>1779</v>
      </c>
      <c r="B21" s="53" t="n">
        <f aca="false">輸入與假設!C163</f>
        <v>246.75805</v>
      </c>
      <c r="C21" s="6" t="s">
        <v>1747</v>
      </c>
      <c r="D21" s="2" t="str">
        <f aca="false">"不適用"</f>
        <v>不適用</v>
      </c>
      <c r="E21" s="6" t="s">
        <v>1780</v>
      </c>
    </row>
    <row r="22" customFormat="false" ht="15" hidden="false" customHeight="false" outlineLevel="0" collapsed="false">
      <c r="A22" s="4" t="s">
        <v>1781</v>
      </c>
      <c r="B22" s="53" t="n">
        <f aca="false">SUM(輸入與假設!C156:G156)</f>
        <v>0</v>
      </c>
      <c r="C22" s="6" t="n">
        <f aca="false">0</f>
        <v>0</v>
      </c>
      <c r="D22" s="2" t="str">
        <f aca="false">IF(ABS(B22-0)&lt;10,"通過","不一致")</f>
        <v>通過</v>
      </c>
      <c r="E22" s="6" t="s">
        <v>382</v>
      </c>
    </row>
    <row r="23" customFormat="false" ht="15" hidden="false" customHeight="false" outlineLevel="0" collapsed="false">
      <c r="A23" s="3" t="s">
        <v>1782</v>
      </c>
      <c r="B23" s="53" t="n">
        <f aca="false">運營_站點!G26</f>
        <v>3.50052013005063</v>
      </c>
      <c r="C23" s="6" t="s">
        <v>1783</v>
      </c>
      <c r="D23" s="2" t="str">
        <f aca="false">IF(B23&gt;=運營_站點!$H$10*運營_站點!$C$27*0.8,"通過","觀察")</f>
        <v>通過</v>
      </c>
      <c r="E23" s="6" t="s">
        <v>1784</v>
      </c>
    </row>
    <row r="24" customFormat="false" ht="15" hidden="false" customHeight="false" outlineLevel="0" collapsed="false">
      <c r="A24" s="3" t="s">
        <v>1785</v>
      </c>
      <c r="B24" s="53" t="n">
        <f aca="false">運營_站點!$C$30</f>
        <v>-271.747675731111</v>
      </c>
      <c r="C24" s="11" t="s">
        <v>1786</v>
      </c>
      <c r="D24" s="2" t="str">
        <f aca="false">IF(B24&lt;10,"通過","觀察")</f>
        <v>通過</v>
      </c>
      <c r="E24" s="6" t="s">
        <v>1787</v>
      </c>
    </row>
    <row r="25" customFormat="false" ht="15" hidden="false" customHeight="false" outlineLevel="0" collapsed="false">
      <c r="A25" s="3" t="s">
        <v>1788</v>
      </c>
      <c r="B25" s="10" t="n">
        <f aca="false">75.146*1-SUM(運營_產能與收入!C29:G29)</f>
        <v>-570.481</v>
      </c>
      <c r="C25" s="6" t="s">
        <v>1789</v>
      </c>
      <c r="D25" s="2" t="str">
        <f aca="false">"對照"</f>
        <v>對照</v>
      </c>
      <c r="E25" s="11" t="s">
        <v>1790</v>
      </c>
    </row>
    <row r="26" customFormat="false" ht="15" hidden="false" customHeight="false" outlineLevel="0" collapsed="false">
      <c r="A26" s="3" t="s">
        <v>1791</v>
      </c>
      <c r="B26" s="10" t="n">
        <f aca="false">輸入與假設!$C$118</f>
        <v>0</v>
      </c>
      <c r="C26" s="6" t="n">
        <f aca="false">0</f>
        <v>0</v>
      </c>
      <c r="D26" s="2" t="str">
        <f aca="false">IF(ABS(B26)&lt;0.000001,"通過","不一致")</f>
        <v>通過</v>
      </c>
      <c r="E26" s="6" t="s">
        <v>1792</v>
      </c>
    </row>
    <row r="27" customFormat="false" ht="15" hidden="false" customHeight="false" outlineLevel="0" collapsed="false">
      <c r="A27" s="3" t="s">
        <v>1793</v>
      </c>
      <c r="B27" s="10" t="n">
        <f aca="false">SUM(運營_產能與收入!C27:G27)</f>
        <v>0</v>
      </c>
      <c r="C27" s="6" t="n">
        <f aca="false">0</f>
        <v>0</v>
      </c>
      <c r="D27" s="2" t="str">
        <f aca="false">IF(ABS(B27)&lt;0.000001,"通過","不一致")</f>
        <v>通過</v>
      </c>
      <c r="E27" s="11" t="s">
        <v>1794</v>
      </c>
    </row>
    <row r="29" customFormat="false" ht="15" hidden="false" customHeight="false" outlineLevel="0" collapsed="false">
      <c r="A29" s="2" t="s">
        <v>1795</v>
      </c>
    </row>
    <row r="30" customFormat="false" ht="15" hidden="false" customHeight="false" outlineLevel="0" collapsed="false">
      <c r="A30" s="3" t="s">
        <v>1796</v>
      </c>
      <c r="B30" s="10" t="n">
        <f aca="false">SUM(運營_產能與收入!C18:G18)</f>
        <v>75.146</v>
      </c>
    </row>
    <row r="31" customFormat="false" ht="15" hidden="false" customHeight="false" outlineLevel="0" collapsed="false">
      <c r="A31" s="3" t="s">
        <v>1797</v>
      </c>
      <c r="B31" s="10" t="n">
        <f aca="false">SUM(運營_產能與收入!C20:G20)</f>
        <v>0</v>
      </c>
    </row>
    <row r="32" customFormat="false" ht="15" hidden="false" customHeight="false" outlineLevel="0" collapsed="false">
      <c r="A32" s="3" t="s">
        <v>1798</v>
      </c>
      <c r="B32" s="10" t="n">
        <f aca="false">SUM(運營_產能與收入!C24:G24)</f>
        <v>1100.46325</v>
      </c>
    </row>
    <row r="33" customFormat="false" ht="15" hidden="false" customHeight="false" outlineLevel="0" collapsed="false">
      <c r="A33" s="3" t="s">
        <v>1799</v>
      </c>
      <c r="B33" s="10" t="n">
        <f aca="false">SUM(輸入與假設!C175:G175)</f>
        <v>813.9413215</v>
      </c>
    </row>
    <row r="34" customFormat="false" ht="15" hidden="false" customHeight="false" outlineLevel="0" collapsed="false">
      <c r="A34" s="3" t="s">
        <v>1800</v>
      </c>
      <c r="B34" s="10" t="n">
        <f aca="false">SUM(各期收支!C17:G17)</f>
        <v>271.747675731111</v>
      </c>
    </row>
    <row r="35" customFormat="false" ht="15" hidden="false" customHeight="false" outlineLevel="0" collapsed="false">
      <c r="A35" s="3" t="s">
        <v>1801</v>
      </c>
      <c r="B35" s="10" t="n">
        <f aca="false">SUM(各期收支!C22:G22)</f>
        <v>224.052302843313</v>
      </c>
    </row>
    <row r="36" customFormat="false" ht="15" hidden="false" customHeight="false" outlineLevel="0" collapsed="false">
      <c r="A36" s="3" t="s">
        <v>1802</v>
      </c>
      <c r="B36" s="10" t="n">
        <f aca="false">SUM(輸入與假設!C223:G223)*輸入與假設!$C$197+SUM(資產負債_既有債務!C32:G32)</f>
        <v>123.326</v>
      </c>
    </row>
    <row r="37" customFormat="false" ht="15" hidden="false" customHeight="false" outlineLevel="0" collapsed="false">
      <c r="A37" s="3" t="s">
        <v>1803</v>
      </c>
      <c r="B37" s="10" t="n">
        <f aca="false">SUM(各期收支!C52:G52)-(輸入與假設!$C$291-輸入與假設!$C$292-輸入與假設!$C$294-輸入與假設!$C$309)</f>
        <v>-531.415987117673</v>
      </c>
    </row>
    <row r="38" customFormat="false" ht="15" hidden="false" customHeight="false" outlineLevel="0" collapsed="false">
      <c r="A38" s="4" t="s">
        <v>1804</v>
      </c>
      <c r="B38" s="10" t="n">
        <f aca="false">SUM(各期收支!C52:G52)</f>
        <v>-787.022987117673</v>
      </c>
    </row>
    <row r="39" customFormat="false" ht="15" hidden="false" customHeight="false" outlineLevel="0" collapsed="false">
      <c r="A39" s="3" t="s">
        <v>1407</v>
      </c>
      <c r="B39" s="10" t="n">
        <f aca="false">各期收支!G54</f>
        <v>30</v>
      </c>
    </row>
    <row r="40" customFormat="false" ht="15" hidden="false" customHeight="false" outlineLevel="0" collapsed="false">
      <c r="A40" s="4" t="s">
        <v>1805</v>
      </c>
      <c r="B40" s="12" t="n">
        <f aca="false">評價_DCF與目標價!C26</f>
        <v>0</v>
      </c>
    </row>
    <row r="41" customFormat="false" ht="15" hidden="false" customHeight="false" outlineLevel="0" collapsed="false">
      <c r="A41" s="3" t="s">
        <v>1595</v>
      </c>
      <c r="B41" s="12" t="n">
        <f aca="false">評價_DCF與目標價!C51</f>
        <v>16.8386490701346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0"/>
    <col collapsed="false" customWidth="true" hidden="false" outlineLevel="0" max="4" min="4" style="0" width="14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5" t="s">
        <v>1806</v>
      </c>
    </row>
    <row r="2" customFormat="false" ht="15" hidden="false" customHeight="false" outlineLevel="0" collapsed="false">
      <c r="A2" s="11" t="s">
        <v>1807</v>
      </c>
    </row>
    <row r="4" customFormat="false" ht="15" hidden="false" customHeight="false" outlineLevel="0" collapsed="false">
      <c r="A4" s="14" t="s">
        <v>1808</v>
      </c>
      <c r="B4" s="14" t="s">
        <v>422</v>
      </c>
      <c r="C4" s="14" t="s">
        <v>1809</v>
      </c>
      <c r="D4" s="14" t="s">
        <v>1810</v>
      </c>
      <c r="E4" s="14" t="s">
        <v>1811</v>
      </c>
    </row>
    <row r="5" customFormat="false" ht="72.35" hidden="false" customHeight="false" outlineLevel="0" collapsed="false">
      <c r="A5" s="104" t="s">
        <v>1812</v>
      </c>
      <c r="B5" s="104" t="s">
        <v>1813</v>
      </c>
      <c r="C5" s="105" t="s">
        <v>1814</v>
      </c>
      <c r="D5" s="106" t="s">
        <v>1815</v>
      </c>
      <c r="E5" s="105" t="s">
        <v>1816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5" t="s">
        <v>1817</v>
      </c>
    </row>
    <row r="3" customFormat="false" ht="15" hidden="false" customHeight="false" outlineLevel="0" collapsed="false">
      <c r="A3" s="14" t="s">
        <v>1818</v>
      </c>
      <c r="B3" s="14" t="s">
        <v>1819</v>
      </c>
    </row>
    <row r="4" customFormat="false" ht="45.75" hidden="false" customHeight="true" outlineLevel="0" collapsed="false">
      <c r="A4" s="83" t="s">
        <v>704</v>
      </c>
      <c r="B4" s="107" t="s">
        <v>1820</v>
      </c>
    </row>
    <row r="5" customFormat="false" ht="45.75" hidden="false" customHeight="true" outlineLevel="0" collapsed="false">
      <c r="A5" s="83" t="s">
        <v>704</v>
      </c>
      <c r="B5" s="105" t="s">
        <v>1821</v>
      </c>
    </row>
    <row r="6" customFormat="false" ht="45.75" hidden="false" customHeight="true" outlineLevel="0" collapsed="false">
      <c r="A6" s="83" t="s">
        <v>704</v>
      </c>
      <c r="B6" s="105" t="s">
        <v>1822</v>
      </c>
    </row>
    <row r="7" customFormat="false" ht="45.75" hidden="false" customHeight="true" outlineLevel="0" collapsed="false">
      <c r="A7" s="83" t="s">
        <v>704</v>
      </c>
      <c r="B7" s="105" t="s">
        <v>1823</v>
      </c>
    </row>
    <row r="8" customFormat="false" ht="45.75" hidden="false" customHeight="true" outlineLevel="0" collapsed="false">
      <c r="A8" s="83" t="s">
        <v>700</v>
      </c>
      <c r="B8" s="107" t="s">
        <v>1824</v>
      </c>
    </row>
    <row r="9" customFormat="false" ht="45.75" hidden="false" customHeight="true" outlineLevel="0" collapsed="false">
      <c r="A9" s="83" t="s">
        <v>704</v>
      </c>
      <c r="B9" s="105" t="s">
        <v>1825</v>
      </c>
    </row>
    <row r="10" customFormat="false" ht="45.75" hidden="false" customHeight="true" outlineLevel="0" collapsed="false">
      <c r="A10" s="83" t="s">
        <v>1826</v>
      </c>
      <c r="B10" s="105" t="s">
        <v>1827</v>
      </c>
    </row>
    <row r="11" customFormat="false" ht="45.75" hidden="false" customHeight="true" outlineLevel="0" collapsed="false">
      <c r="A11" s="83" t="s">
        <v>700</v>
      </c>
      <c r="B11" s="105" t="s">
        <v>1828</v>
      </c>
    </row>
    <row r="12" customFormat="false" ht="45.75" hidden="false" customHeight="true" outlineLevel="0" collapsed="false">
      <c r="A12" s="83" t="s">
        <v>700</v>
      </c>
      <c r="B12" s="105" t="s">
        <v>1829</v>
      </c>
    </row>
    <row r="13" customFormat="false" ht="45.75" hidden="false" customHeight="true" outlineLevel="0" collapsed="false">
      <c r="A13" s="83" t="s">
        <v>704</v>
      </c>
      <c r="B13" s="105" t="s">
        <v>1830</v>
      </c>
    </row>
    <row r="14" customFormat="false" ht="45.75" hidden="false" customHeight="true" outlineLevel="0" collapsed="false">
      <c r="A14" s="2" t="s">
        <v>1831</v>
      </c>
      <c r="B14" s="105" t="s">
        <v>1832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2026-10-08T03:31:44Z</dcterms:created>
  <dc:creator>openpyxl</dc:creator>
  <dc:description/>
  <dc:language>en-US</dc:language>
  <cp:lastModifiedBy/>
  <dcterms:modified xsi:type="dcterms:W3CDTF">2026-10-08T03:31:44Z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