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Q!$G$26</definedName>
    <definedName function="false" hidden="false" name="a25_gp" vbProcedure="false">Q!$G$14</definedName>
    <definedName function="false" hidden="false" name="a25_imp" vbProcedure="false">Q!$G$18</definedName>
    <definedName function="false" hidden="false" name="a25_ni" vbProcedure="false">Q!$G$24</definedName>
    <definedName function="false" hidden="false" name="a25_nonop" vbProcedure="false">Q!$G$21</definedName>
    <definedName function="false" hidden="false" name="a25_oi" vbProcedure="false">Q!$G$20</definedName>
    <definedName function="false" hidden="false" name="a25_opx" vbProcedure="false">Q!$G$19</definedName>
    <definedName function="false" hidden="false" name="a25_oth" vbProcedure="false">Q!$G$12</definedName>
    <definedName function="false" hidden="false" name="a25_pcb" vbProcedure="false">Q!$G$9</definedName>
    <definedName function="false" hidden="false" name="a25_prod" vbProcedure="false">Q!$G$5</definedName>
    <definedName function="false" hidden="false" name="a25_rd" vbProcedure="false">Q!$G$16</definedName>
    <definedName function="false" hidden="false" name="a25_rev" vbProcedure="false">Q!$G$4</definedName>
    <definedName function="false" hidden="false" name="a25_sga" vbProcedure="false">Q!$G$17</definedName>
    <definedName function="false" hidden="false" name="a25_sh" vbProcedure="false">Q!$G$27</definedName>
    <definedName function="false" hidden="false" name="a25_spc" vbProcedure="false">Q!$G$7</definedName>
    <definedName function="false" hidden="false" name="a25_spts" vbProcedure="false">Q!$G$8</definedName>
    <definedName function="false" hidden="false" name="a25_svc" vbProcedure="false">Q!$G$6</definedName>
    <definedName function="false" hidden="false" name="a25_sys" vbProcedure="false">Q!$G$11</definedName>
    <definedName function="false" hidden="false" name="a25_taxv" vbProcedure="false">Q!$G$22</definedName>
    <definedName function="false" hidden="false" name="a26_eps" vbProcedure="false">Q!$H$26</definedName>
    <definedName function="false" hidden="false" name="a26_gp" vbProcedure="false">Q!$H$14</definedName>
    <definedName function="false" hidden="false" name="a26_imp" vbProcedure="false">Q!$H$18</definedName>
    <definedName function="false" hidden="false" name="a26_ni" vbProcedure="false">Q!$H$24</definedName>
    <definedName function="false" hidden="false" name="a26_nonop" vbProcedure="false">Q!$H$21</definedName>
    <definedName function="false" hidden="false" name="a26_oi" vbProcedure="false">Q!$H$20</definedName>
    <definedName function="false" hidden="false" name="a26_opx" vbProcedure="false">Q!$H$19</definedName>
    <definedName function="false" hidden="false" name="a26_oth" vbProcedure="false">Q!$H$12</definedName>
    <definedName function="false" hidden="false" name="a26_pcb" vbProcedure="false">Q!$H$9</definedName>
    <definedName function="false" hidden="false" name="a26_prod" vbProcedure="false">Q!$H$5</definedName>
    <definedName function="false" hidden="false" name="a26_rd" vbProcedure="false">Q!$H$16</definedName>
    <definedName function="false" hidden="false" name="a26_rev" vbProcedure="false">Q!$H$4</definedName>
    <definedName function="false" hidden="false" name="a26_sga" vbProcedure="false">Q!$H$17</definedName>
    <definedName function="false" hidden="false" name="a26_sh" vbProcedure="false">Q!$H$27</definedName>
    <definedName function="false" hidden="false" name="a26_spc" vbProcedure="false">Q!$H$7</definedName>
    <definedName function="false" hidden="false" name="a26_spts" vbProcedure="false">Q!$H$8</definedName>
    <definedName function="false" hidden="false" name="a26_svc" vbProcedure="false">Q!$H$6</definedName>
    <definedName function="false" hidden="false" name="a26_sys" vbProcedure="false">Q!$H$11</definedName>
    <definedName function="false" hidden="false" name="a26_taxv" vbProcedure="false">Q!$H$22</definedName>
    <definedName function="false" hidden="false" name="ap26" vbProcedure="false">In!$E$8</definedName>
    <definedName function="false" hidden="false" name="ap26_hi" vbProcedure="false">In!$F$8</definedName>
    <definedName function="false" hidden="false" name="ap26_lo" vbProcedure="false">In!$D$8</definedName>
    <definedName function="false" hidden="false" name="ap_g26" vbProcedure="false">In!$E$9</definedName>
    <definedName function="false" hidden="false" name="bb" vbProcedure="false">In!$E$42</definedName>
    <definedName function="false" hidden="false" name="bb_hi" vbProcedure="false">In!$F$42</definedName>
    <definedName function="false" hidden="false" name="bb_lo" vbProcedure="false">In!$D$42</definedName>
    <definedName function="false" hidden="false" name="chn_cut" vbProcedure="false">In!$E$22</definedName>
    <definedName function="false" hidden="false" name="chn_cut_hi" vbProcedure="false">In!$F$22</definedName>
    <definedName function="false" hidden="false" name="chn_cut_lo" vbProcedure="false">In!$D$22</definedName>
    <definedName function="false" hidden="false" name="chn_sh24" vbProcedure="false">In!$E$21</definedName>
    <definedName function="false" hidden="false" name="chn_sh25" vbProcedure="false">In!$E$20</definedName>
    <definedName function="false" hidden="false" name="chn_sh26" vbProcedure="false">In!$E$19</definedName>
    <definedName function="false" hidden="false" name="cons_eps27" vbProcedure="false">In!$E$49</definedName>
    <definedName function="false" hidden="false" name="cons_eps28" vbProcedure="false">In!$E$51</definedName>
    <definedName function="false" hidden="false" name="cons_feps" vbProcedure="false">In!$E$67</definedName>
    <definedName function="false" hidden="false" name="cons_q2_rev" vbProcedure="false">In!$E$47</definedName>
    <definedName function="false" hidden="false" name="cons_rev27" vbProcedure="false">In!$E$48</definedName>
    <definedName function="false" hidden="false" name="cons_rev28" vbProcedure="false">In!$E$50</definedName>
    <definedName function="false" hidden="false" name="cons_tp" vbProcedure="false">In!$E$66</definedName>
    <definedName function="false" hidden="false" name="cy25_oth" vbProcedure="false">Units!$C$45</definedName>
    <definedName function="false" hidden="false" name="cy25_prod" vbProcedure="false">Units!$C$42</definedName>
    <definedName function="false" hidden="false" name="cy25_rev" vbProcedure="false">Units!$C$41</definedName>
    <definedName function="false" hidden="false" name="cy25_spc" vbProcedure="false">Units!$C$44</definedName>
    <definedName function="false" hidden="false" name="cy25_svc" vbProcedure="false">Units!$C$43</definedName>
    <definedName function="false" hidden="false" name="cy25_sys" vbProcedure="false">Units!$C$46</definedName>
    <definedName function="false" hidden="false" name="fl26" vbProcedure="false">In!$E$12</definedName>
    <definedName function="false" hidden="false" name="fl26_hi" vbProcedure="false">In!$F$12</definedName>
    <definedName function="false" hidden="false" name="fl26_lo" vbProcedure="false">In!$D$12</definedName>
    <definedName function="false" hidden="false" name="gm_inc" vbProcedure="false">In!$E$31</definedName>
    <definedName function="false" hidden="false" name="gm_inc_hi" vbProcedure="false">In!$F$31</definedName>
    <definedName function="false" hidden="false" name="gm_inc_lo" vbProcedure="false">In!$D$31</definedName>
    <definedName function="false" hidden="false" name="g_opex_A" vbProcedure="false">In!$E$35</definedName>
    <definedName function="false" hidden="false" name="g_opex_A_hi" vbProcedure="false">In!$F$35</definedName>
    <definedName function="false" hidden="false" name="g_opex_A_lo" vbProcedure="false">In!$D$35</definedName>
    <definedName function="false" hidden="false" name="g_opex_B" vbProcedure="false">In!$E$36</definedName>
    <definedName function="false" hidden="false" name="g_opex_B_hi" vbProcedure="false">In!$F$36</definedName>
    <definedName function="false" hidden="false" name="g_opex_B_lo" vbProcedure="false">In!$D$36</definedName>
    <definedName function="false" hidden="false" name="g_opex_C" vbProcedure="false">In!$E$37</definedName>
    <definedName function="false" hidden="false" name="g_opex_C_hi" vbProcedure="false">In!$F$37</definedName>
    <definedName function="false" hidden="false" name="g_opex_C_lo" vbProcedure="false">In!$D$37</definedName>
    <definedName function="false" hidden="false" name="g_oth26" vbProcedure="false">In!$E$7</definedName>
    <definedName function="false" hidden="false" name="g_oth26_hi" vbProcedure="false">In!$F$7</definedName>
    <definedName function="false" hidden="false" name="g_oth26_lo" vbProcedure="false">In!$D$7</definedName>
    <definedName function="false" hidden="false" name="g_oth_A" vbProcedure="false">In!$E$25</definedName>
    <definedName function="false" hidden="false" name="g_oth_A_hi" vbProcedure="false">In!$F$25</definedName>
    <definedName function="false" hidden="false" name="g_oth_A_lo" vbProcedure="false">In!$D$25</definedName>
    <definedName function="false" hidden="false" name="g_oth_B" vbProcedure="false">In!$E$27</definedName>
    <definedName function="false" hidden="false" name="g_oth_B_hi" vbProcedure="false">In!$F$27</definedName>
    <definedName function="false" hidden="false" name="g_oth_B_lo" vbProcedure="false">In!$D$27</definedName>
    <definedName function="false" hidden="false" name="g_oth_C" vbProcedure="false">In!$E$29</definedName>
    <definedName function="false" hidden="false" name="g_oth_C_hi" vbProcedure="false">In!$F$29</definedName>
    <definedName function="false" hidden="false" name="g_oth_C_lo" vbProcedure="false">In!$D$29</definedName>
    <definedName function="false" hidden="false" name="g_q1_eps" vbProcedure="false">In!$E$46</definedName>
    <definedName function="false" hidden="false" name="g_q1_eps_hi" vbProcedure="false">In!$F$46</definedName>
    <definedName function="false" hidden="false" name="g_q1_eps_lo" vbProcedure="false">In!$D$46</definedName>
    <definedName function="false" hidden="false" name="g_q1_gm" vbProcedure="false">In!$E$45</definedName>
    <definedName function="false" hidden="false" name="g_q1_gm_hi" vbProcedure="false">In!$F$45</definedName>
    <definedName function="false" hidden="false" name="g_q1_gm_lo" vbProcedure="false">In!$D$45</definedName>
    <definedName function="false" hidden="false" name="g_q1_rev" vbProcedure="false">In!$E$44</definedName>
    <definedName function="false" hidden="false" name="g_q1_rev_hi" vbProcedure="false">In!$F$44</definedName>
    <definedName function="false" hidden="false" name="g_q1_rev_lo" vbProcedure="false">In!$D$44</definedName>
    <definedName function="false" hidden="false" name="g_svc_A" vbProcedure="false">In!$E$24</definedName>
    <definedName function="false" hidden="false" name="g_svc_A_hi" vbProcedure="false">In!$F$24</definedName>
    <definedName function="false" hidden="false" name="g_svc_A_lo" vbProcedure="false">In!$D$24</definedName>
    <definedName function="false" hidden="false" name="g_svc_B" vbProcedure="false">In!$E$26</definedName>
    <definedName function="false" hidden="false" name="g_svc_B_hi" vbProcedure="false">In!$F$26</definedName>
    <definedName function="false" hidden="false" name="g_svc_B_lo" vbProcedure="false">In!$D$26</definedName>
    <definedName function="false" hidden="false" name="g_svc_C" vbProcedure="false">In!$E$28</definedName>
    <definedName function="false" hidden="false" name="g_svc_C_hi" vbProcedure="false">In!$F$28</definedName>
    <definedName function="false" hidden="false" name="g_svc_C_lo" vbProcedure="false">In!$D$28</definedName>
    <definedName function="false" hidden="false" name="g_svc_h2" vbProcedure="false">In!$E$6</definedName>
    <definedName function="false" hidden="false" name="g_svc_h2_hi" vbProcedure="false">In!$F$6</definedName>
    <definedName function="false" hidden="false" name="g_svc_h2_lo" vbProcedure="false">In!$D$6</definedName>
    <definedName function="false" hidden="false" name="h1_oth" vbProcedure="false">Units!$D$45</definedName>
    <definedName function="false" hidden="false" name="h1_prod" vbProcedure="false">Units!$D$42</definedName>
    <definedName function="false" hidden="false" name="h1_rev" vbProcedure="false">Units!$D$41</definedName>
    <definedName function="false" hidden="false" name="h1_spc" vbProcedure="false">Units!$D$44</definedName>
    <definedName function="false" hidden="false" name="h1_svc" vbProcedure="false">Units!$D$43</definedName>
    <definedName function="false" hidden="false" name="h1_sys" vbProcedure="false">Units!$D$46</definedName>
    <definedName function="false" hidden="false" name="h2up" vbProcedure="false">In!$E$5</definedName>
    <definedName function="false" hidden="false" name="h2up_hi" vbProcedure="false">In!$F$5</definedName>
    <definedName function="false" hidden="false" name="h2up_lo" vbProcedure="false">In!$D$5</definedName>
    <definedName function="false" hidden="false" name="kla_sh_pc" vbProcedure="false">In!$E$17</definedName>
    <definedName function="false" hidden="false" name="kla_sh_pc_hi" vbProcedure="false">In!$F$17</definedName>
    <definedName function="false" hidden="false" name="kla_sh_pc_lo" vbProcedure="false">In!$D$17</definedName>
    <definedName function="false" hidden="false" name="kla_wfe25" vbProcedure="false">In!$E$14</definedName>
    <definedName function="false" hidden="false" name="k_ap" vbProcedure="false">In!$E$10</definedName>
    <definedName function="false" hidden="false" name="k_ap_hi" vbProcedure="false">In!$F$10</definedName>
    <definedName function="false" hidden="false" name="k_ap_lo" vbProcedure="false">In!$D$10</definedName>
    <definedName function="false" hidden="false" name="m_mem" vbProcedure="false">In!$E$13</definedName>
    <definedName function="false" hidden="false" name="m_mem_hi" vbProcedure="false">In!$F$13</definedName>
    <definedName function="false" hidden="false" name="m_mem_lo" vbProcedure="false">In!$D$13</definedName>
    <definedName function="false" hidden="false" name="nim10" vbProcedure="false">In!$E$65</definedName>
    <definedName function="false" hidden="false" name="opex27" vbProcedure="false">In!$E$34</definedName>
    <definedName function="false" hidden="false" name="opex_q1" vbProcedure="false">In!$E$32</definedName>
    <definedName function="false" hidden="false" name="opex_step" vbProcedure="false">In!$E$33</definedName>
    <definedName function="false" hidden="false" name="opex_step_hi" vbProcedure="false">In!$F$33</definedName>
    <definedName function="false" hidden="false" name="opex_step_lo" vbProcedure="false">In!$D$33</definedName>
    <definedName function="false" hidden="false" name="oth_exp" vbProcedure="false">In!$E$39</definedName>
    <definedName function="false" hidden="false" name="oth_exp_hi" vbProcedure="false">In!$F$39</definedName>
    <definedName function="false" hidden="false" name="oth_exp_lo" vbProcedure="false">In!$D$39</definedName>
    <definedName function="false" hidden="false" name="pc_u" vbProcedure="false">In!$E$16</definedName>
    <definedName function="false" hidden="false" name="pc_u_hi" vbProcedure="false">In!$F$16</definedName>
    <definedName function="false" hidden="false" name="pc_u_lo" vbProcedure="false">In!$D$16</definedName>
    <definedName function="false" hidden="false" name="pe_mid" vbProcedure="false">Val!$B$48</definedName>
    <definedName function="false" hidden="false" name="pe_peak" vbProcedure="false">Val!$B$47</definedName>
    <definedName function="false" hidden="false" name="pe_trough" vbProcedure="false">Val!$B$49</definedName>
    <definedName function="false" hidden="false" name="pk_A" vbProcedure="false">In!$E$52</definedName>
    <definedName function="false" hidden="false" name="pk_B" vbProcedure="false">In!$E$53</definedName>
    <definedName function="false" hidden="false" name="pk_C" vbProcedure="false">In!$E$54</definedName>
    <definedName function="false" hidden="false" name="px" vbProcedure="false">In!$E$55</definedName>
    <definedName function="false" hidden="false" name="s25" vbProcedure="false">Units!$C$47</definedName>
    <definedName function="false" hidden="false" name="shares27" vbProcedure="false">In!$E$41</definedName>
    <definedName function="false" hidden="false" name="share_up" vbProcedure="false">In!$E$15</definedName>
    <definedName function="false" hidden="false" name="share_up_hi" vbProcedure="false">In!$F$15</definedName>
    <definedName function="false" hidden="false" name="share_up_lo" vbProcedure="false">In!$D$15</definedName>
    <definedName function="false" hidden="false" name="tax" vbProcedure="false">In!$E$40</definedName>
    <definedName function="false" hidden="false" name="tax_hi" vbProcedure="false">In!$F$40</definedName>
    <definedName function="false" hidden="false" name="tax_lo" vbProcedure="false">In!$D$40</definedName>
    <definedName function="false" hidden="false" name="tp_g" vbProcedure="false">In!$E$62</definedName>
    <definedName function="false" hidden="false" name="tp_r" vbProcedure="false">In!$E$61</definedName>
    <definedName function="false" hidden="false" name="tp_roe" vbProcedure="false">In!$E$63</definedName>
    <definedName function="false" hidden="false" name="tp_wA" vbProcedure="false">In!$E$56</definedName>
    <definedName function="false" hidden="false" name="tp_wB" vbProcedure="false">In!$E$57</definedName>
    <definedName function="false" hidden="false" name="tp_wC" vbProcedure="false">In!$E$58</definedName>
    <definedName function="false" hidden="false" name="tp_w_dcf" vbProcedure="false">In!$E$64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<sst xmlns="http://schemas.openxmlformats.org/spreadsheetml/2006/main" count="2961" uniqueCount="768">
  <si>
    <r>
      <rPr>
        <b val="true"/>
        <sz val="11"/>
        <rFont val="Cambria"/>
        <family val="0"/>
        <charset val="1"/>
      </rPr>
      <t xml:space="preserve">KLA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KLAC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：設備與材料——量測與檢測）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</si>
  <si>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KLA </t>
    </r>
    <r>
      <rPr>
        <sz val="11"/>
        <rFont val="Noto Sans CJK SC"/>
        <family val="2"/>
      </rPr>
      <t xml:space="preserve">的系統營收跟著晶圓廠設備支出（</t>
    </r>
    <r>
      <rPr>
        <sz val="11"/>
        <rFont val="Cambria"/>
        <family val="0"/>
        <charset val="1"/>
      </rPr>
      <t xml:space="preserve">WFE</t>
    </r>
    <r>
      <rPr>
        <sz val="11"/>
        <rFont val="Noto Sans CJK SC"/>
        <family val="2"/>
      </rPr>
      <t xml:space="preserve">）走，再乘上製程控制強度——先進製程與先進封裝每片晶圓需要更多量測與檢測。股價取決於設備市場在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年之後放緩時，強度上升與服務能否撐住盈餘，以及中國（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占營收 </t>
    </r>
    <r>
      <rPr>
        <sz val="11"/>
        <rFont val="Cambria"/>
        <family val="0"/>
        <charset val="1"/>
      </rPr>
      <t xml:space="preserve">30%</t>
    </r>
    <r>
      <rPr>
        <sz val="11"/>
        <rFont val="Noto Sans CJK SC"/>
        <family val="2"/>
      </rPr>
      <t xml:space="preserve">）的出口管制風險。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</si>
  <si>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2026-07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2027-06</t>
    </r>
    <r>
      <rPr>
        <sz val="11"/>
        <rFont val="Noto Sans CJK SC"/>
        <family val="2"/>
      </rPr>
      <t xml:space="preserve">，一半在 </t>
    </r>
    <r>
      <rPr>
        <sz val="11"/>
        <rFont val="Cambria"/>
        <family val="0"/>
        <charset val="1"/>
      </rPr>
      <t xml:space="preserve">CY2026</t>
    </r>
    <r>
      <rPr>
        <sz val="11"/>
        <rFont val="Noto Sans CJK SC"/>
        <family val="2"/>
      </rPr>
      <t xml:space="preserve">、一半在 </t>
    </r>
    <r>
      <rPr>
        <sz val="11"/>
        <rFont val="Cambria"/>
        <family val="0"/>
        <charset val="1"/>
      </rPr>
      <t xml:space="preserve">CY2027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CY(t−1) </t>
    </r>
    <r>
      <rPr>
        <sz val="11"/>
        <rFont val="Noto Sans CJK SC"/>
        <family val="2"/>
      </rPr>
      <t xml:space="preserve">下半＋</t>
    </r>
    <r>
      <rPr>
        <sz val="11"/>
        <rFont val="Cambria"/>
        <family val="0"/>
        <charset val="1"/>
      </rPr>
      <t xml:space="preserve">CY(t) </t>
    </r>
    <r>
      <rPr>
        <sz val="11"/>
        <rFont val="Noto Sans CJK SC"/>
        <family val="2"/>
      </rPr>
      <t xml:space="preserve">上半。金額百萬美元；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稀釋、</t>
    </r>
    <r>
      <rPr>
        <sz val="11"/>
        <rFont val="Cambria"/>
        <family val="0"/>
        <charset val="1"/>
      </rPr>
      <t xml:space="preserve">2026-06-12 </t>
    </r>
    <r>
      <rPr>
        <sz val="11"/>
        <rFont val="Noto Sans CJK SC"/>
        <family val="2"/>
      </rPr>
      <t xml:space="preserve">除權的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比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分割調整後。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第一季預定 </t>
    </r>
    <r>
      <rPr>
        <sz val="11"/>
        <rFont val="Cambria"/>
        <family val="0"/>
        <charset val="1"/>
      </rPr>
      <t xml:space="preserve">2026-10-28 </t>
    </r>
    <r>
      <rPr>
        <sz val="11"/>
        <rFont val="Noto Sans CJK SC"/>
        <family val="2"/>
      </rPr>
      <t xml:space="preserve">公布，建置日（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）尚未公布，故不納入。</t>
    </r>
  </si>
  <si>
    <t xml:space="preserve">驅動因子 → 推導量</t>
  </si>
  <si>
    <r>
      <rPr>
        <sz val="11"/>
        <rFont val="Noto Sans CJK SC"/>
        <family val="2"/>
      </rPr>
      <t xml:space="preserve">系統營收（日曆年）＝製程控制強度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加權前段 </t>
    </r>
    <r>
      <rPr>
        <sz val="11"/>
        <rFont val="Cambria"/>
        <family val="0"/>
        <charset val="1"/>
      </rPr>
      <t xml:space="preserve">WFE</t>
    </r>
    <r>
      <rPr>
        <sz val="11"/>
        <rFont val="Noto Sans CJK SC"/>
        <family val="2"/>
      </rPr>
      <t xml:space="preserve">（設備模型三情境；代工邏輯＋</t>
    </r>
    <r>
      <rPr>
        <sz val="11"/>
        <rFont val="Cambria"/>
        <family val="0"/>
        <charset val="1"/>
      </rPr>
      <t xml:space="preserve">m × </t>
    </r>
    <r>
      <rPr>
        <sz val="11"/>
        <rFont val="Noto Sans CJK SC"/>
        <family val="2"/>
      </rPr>
      <t xml:space="preserve">記憶體）＋先進封裝製程控制（封裝設備成長 </t>
    </r>
    <r>
      <rPr>
        <sz val="11"/>
        <rFont val="Cambria"/>
        <family val="0"/>
        <charset val="1"/>
      </rPr>
      <t xml:space="preserve">× 2 </t>
    </r>
    <r>
      <rPr>
        <sz val="11"/>
        <rFont val="Noto Sans CJK SC"/>
        <family val="2"/>
      </rPr>
      <t xml:space="preserve">倍）；強度以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錨點（上半實績＋公司「下半約高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」）校準，之後每年 </t>
    </r>
    <r>
      <rPr>
        <sz val="11"/>
        <rFont val="Cambria"/>
        <family val="0"/>
        <charset val="1"/>
      </rPr>
      <t xml:space="preserve">+pc_u</t>
    </r>
    <r>
      <rPr>
        <sz val="11"/>
        <rFont val="Noto Sans CJK SC"/>
        <family val="2"/>
      </rPr>
      <t xml:space="preserve">（公司 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模型：占 </t>
    </r>
    <r>
      <rPr>
        <sz val="11"/>
        <rFont val="Cambria"/>
        <family val="0"/>
        <charset val="1"/>
      </rPr>
      <t xml:space="preserve">WFE </t>
    </r>
    <r>
      <rPr>
        <sz val="11"/>
        <rFont val="Noto Sans CJK SC"/>
        <family val="2"/>
      </rPr>
      <t xml:space="preserve">比重 </t>
    </r>
    <r>
      <rPr>
        <sz val="11"/>
        <rFont val="Cambria"/>
        <family val="0"/>
        <charset val="1"/>
      </rPr>
      <t xml:space="preserve">+150bp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</si>
  <si>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服務、</t>
    </r>
    <r>
      <rPr>
        <sz val="11"/>
        <rFont val="Cambria"/>
        <family val="0"/>
        <charset val="1"/>
      </rPr>
      <t xml:space="preserve">SPTS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PCB</t>
    </r>
    <r>
      <rPr>
        <sz val="11"/>
        <rFont val="Noto Sans CJK SC"/>
        <family val="2"/>
      </rPr>
      <t xml:space="preserve">：前一年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，錨在公司長期目標）。毛利＝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毛利＋增量毛利率（兩點推導 </t>
    </r>
    <r>
      <rPr>
        <sz val="11"/>
        <rFont val="Cambria"/>
        <family val="0"/>
        <charset val="1"/>
      </rPr>
      <t xml:space="preserve">64.6%</t>
    </r>
    <r>
      <rPr>
        <sz val="11"/>
        <rFont val="Noto Sans CJK SC"/>
        <family val="2"/>
      </rPr>
      <t xml:space="preserve">，公司說 </t>
    </r>
    <r>
      <rPr>
        <sz val="11"/>
        <rFont val="Cambria"/>
        <family val="0"/>
        <charset val="1"/>
      </rPr>
      <t xml:space="preserve">60–65%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營收增量；營業費用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取公司說法，之後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成長率；不寫死利益率</t>
    </r>
  </si>
  <si>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：設備市場模型的三情境（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續增、</t>
    </r>
    <r>
      <rPr>
        <sz val="11"/>
        <rFont val="Cambria"/>
        <family val="0"/>
        <charset val="1"/>
      </rPr>
      <t xml:space="preserve">B 2028 </t>
    </r>
    <r>
      <rPr>
        <sz val="11"/>
        <rFont val="Noto Sans CJK SC"/>
        <family val="2"/>
      </rPr>
      <t xml:space="preserve">持平、</t>
    </r>
    <r>
      <rPr>
        <sz val="11"/>
        <rFont val="Cambria"/>
        <family val="0"/>
        <charset val="1"/>
      </rPr>
      <t xml:space="preserve">C 2028 −20%</t>
    </r>
    <r>
      <rPr>
        <sz val="11"/>
        <rFont val="Noto Sans CJK SC"/>
        <family val="2"/>
      </rPr>
      <t xml:space="preserve">），服務、兩事業與費用成長隨情境；中國出口管制只在 </t>
    </r>
    <r>
      <rPr>
        <sz val="11"/>
        <rFont val="Cambria"/>
        <family val="0"/>
        <charset val="1"/>
      </rPr>
      <t xml:space="preserve">Sens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</si>
  <si>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規則——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年（</t>
    </r>
    <r>
      <rPr>
        <sz val="11"/>
        <rFont val="Cambria"/>
        <family val="0"/>
        <charset val="1"/>
      </rPr>
      <t xml:space="preserve">2016–2025 </t>
    </r>
    <r>
      <rPr>
        <sz val="11"/>
        <rFont val="Noto Sans CJK SC"/>
        <family val="2"/>
      </rPr>
      <t xml:space="preserve">年底）當期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分位，見頂年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分位、中段中位數、谷底 </t>
    </r>
    <r>
      <rPr>
        <sz val="11"/>
        <rFont val="Cambria"/>
        <family val="0"/>
        <charset val="1"/>
      </rPr>
      <t xml:space="preserve">75 </t>
    </r>
    <r>
      <rPr>
        <sz val="11"/>
        <rFont val="Noto Sans CJK SC"/>
        <family val="2"/>
      </rPr>
      <t xml:space="preserve">分位；循環位置依設備股共用規則（各情境見頂年度讀設備市場模型：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見頂）。第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節為情境加權目標價。本版未做先驗，無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</si>
  <si>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</si>
  <si>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製程控制強度只有一個校準點（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錨點），強度上升率來自公司 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模型（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記憶體相對強度由公司「代工邏輯 </t>
    </r>
    <r>
      <rPr>
        <sz val="11"/>
        <rFont val="Cambria"/>
        <family val="0"/>
        <charset val="1"/>
      </rPr>
      <t xml:space="preserve">low-to-mid 60s</t>
    </r>
    <r>
      <rPr>
        <sz val="11"/>
        <rFont val="Noto Sans CJK SC"/>
        <family val="2"/>
      </rPr>
      <t xml:space="preserve">」一句推得；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系統營收＝產品 − 兩事業（兩事業的服務未揭露）；</t>
    </r>
    <r>
      <rPr>
        <sz val="11"/>
        <rFont val="Cambria"/>
        <family val="0"/>
        <charset val="1"/>
      </rPr>
      <t xml:space="preserve">(4) CY2027 </t>
    </r>
    <r>
      <rPr>
        <sz val="11"/>
        <rFont val="Noto Sans CJK SC"/>
        <family val="2"/>
      </rPr>
      <t xml:space="preserve">起上下半各 </t>
    </r>
    <r>
      <rPr>
        <sz val="11"/>
        <rFont val="Cambria"/>
        <family val="0"/>
        <charset val="1"/>
      </rPr>
      <t xml:space="preserve">1/2</t>
    </r>
    <r>
      <rPr>
        <sz val="11"/>
        <rFont val="Noto Sans CJK SC"/>
        <family val="2"/>
      </rPr>
      <t xml:space="preserve">，忽略年內斜率；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中國不在基準內另扣（設備模型 </t>
    </r>
    <r>
      <rPr>
        <sz val="11"/>
        <rFont val="Cambria"/>
        <family val="0"/>
        <charset val="1"/>
      </rPr>
      <t xml:space="preserve">WFE </t>
    </r>
    <r>
      <rPr>
        <sz val="11"/>
        <rFont val="Noto Sans CJK SC"/>
        <family val="2"/>
      </rPr>
      <t xml:space="preserve">已含），出口管制只在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共識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為非 </t>
    </r>
    <r>
      <rPr>
        <sz val="11"/>
        <rFont val="Cambria"/>
        <family val="0"/>
        <charset val="1"/>
      </rPr>
      <t xml:space="preserve">GAAP</t>
    </r>
    <r>
      <rPr>
        <sz val="11"/>
        <rFont val="Noto Sans CJK SC"/>
        <family val="2"/>
      </rPr>
      <t xml:space="preserve">，模型為 </t>
    </r>
    <r>
      <rPr>
        <sz val="11"/>
        <rFont val="Cambria"/>
        <family val="0"/>
        <charset val="1"/>
      </rPr>
      <t xml:space="preserve">GAAP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(7) 2026-10 </t>
    </r>
    <r>
      <rPr>
        <sz val="11"/>
        <rFont val="Noto Sans CJK SC"/>
        <family val="2"/>
      </rPr>
      <t xml:space="preserve">股價由約 </t>
    </r>
    <r>
      <rPr>
        <sz val="11"/>
        <rFont val="Cambria"/>
        <family val="0"/>
        <charset val="1"/>
      </rPr>
      <t xml:space="preserve">207 </t>
    </r>
    <r>
      <rPr>
        <sz val="11"/>
        <rFont val="Noto Sans CJK SC"/>
        <family val="2"/>
      </rPr>
      <t xml:space="preserve">跌到 </t>
    </r>
    <r>
      <rPr>
        <sz val="11"/>
        <rFont val="Cambria"/>
        <family val="0"/>
        <charset val="1"/>
      </rPr>
      <t xml:space="preserve">146</t>
    </r>
    <r>
      <rPr>
        <sz val="11"/>
        <rFont val="Noto Sans CJK SC"/>
        <family val="2"/>
      </rPr>
      <t xml:space="preserve">，原因未查明。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</si>
  <si>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）估值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頁新增「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目標價」（放在既有內容之後，不位移既有列）＝</t>
    </r>
    <r>
      <rPr>
        <sz val="11"/>
        <color theme="1"/>
        <rFont val="Calibri"/>
        <family val="2"/>
        <charset val="1"/>
      </rPr>
      <t xml:space="preserve">0.5 × DCF </t>
    </r>
    <r>
      <rPr>
        <sz val="11"/>
        <color theme="1"/>
        <rFont val="Noto Sans CJK SC"/>
        <family val="2"/>
      </rPr>
      <t xml:space="preserve">目標價（股東現金流＝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，情境權重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0.5 × Comparable </t>
    </r>
    <r>
      <rPr>
        <sz val="11"/>
        <color theme="1"/>
        <rFont val="Noto Sans CJK SC"/>
        <family val="2"/>
      </rPr>
      <t xml:space="preserve">目標價（同業前瞻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）；另列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單獨目標價、市場共識目標價與差距拆解、歷史分位檢查。原「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目標價與上檔空間」改名「舊法：規則值情境加權（參考）」，不再叫目標價。</t>
    </r>
  </si>
  <si>
    <r>
      <rPr>
        <sz val="11"/>
        <color theme="1"/>
        <rFont val="Noto Sans CJK SC"/>
        <family val="2"/>
      </rPr>
      <t xml:space="preserve">預估期間延伸到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頁底部延伸區塊，灰底）。情境對應：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＝不如預期（原為顆數情境）。本版未做先驗，無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</si>
  <si>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）。金額：百萬美元（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）；設備市場：十億美元（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找不到者寫「未找到」）；公司原文（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</si>
  <si>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給低／高區間，不當點估計用。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未使用。共識只放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，不作校準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</si>
  <si>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</si>
  <si>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</si>
  <si>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</si>
  <si>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</si>
  <si>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</si>
  <si>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</si>
  <si>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</si>
  <si>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</si>
  <si>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</si>
  <si>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CY2026 </t>
    </r>
    <r>
      <rPr>
        <b val="true"/>
        <sz val="11"/>
        <rFont val="Noto Sans CJK SC"/>
        <family val="2"/>
      </rPr>
      <t xml:space="preserve">錨點（上半年實績＋公司對下半年的說法）</t>
    </r>
  </si>
  <si>
    <t xml:space="preserve">h2up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</si>
  <si>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下半年營收較上半年增幅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</si>
  <si>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</si>
  <si>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</si>
  <si>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逐字稿）：下半年約比上半年高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</si>
  <si>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TIKR 2026-07-29 </t>
    </r>
    <r>
      <rPr>
        <sz val="11"/>
        <color theme="1"/>
        <rFont val="Noto Sans CJK SC"/>
        <family val="2"/>
      </rPr>
      <t xml:space="preserve">法說摘要（同）；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US$4.0B±0.2B </t>
    </r>
    <r>
      <rPr>
        <sz val="11"/>
        <color theme="1"/>
        <rFont val="Noto Sans CJK SC"/>
        <family val="2"/>
      </rPr>
      <t xml:space="preserve">與共識 </t>
    </r>
    <r>
      <rPr>
        <sz val="11"/>
        <color theme="1"/>
        <rFont val="Calibri"/>
        <family val="2"/>
        <charset val="1"/>
      </rPr>
      <t xml:space="preserve">FQ2-27 US$4.49B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8.49B</t>
    </r>
    <r>
      <rPr>
        <sz val="11"/>
        <color theme="1"/>
        <rFont val="Noto Sans CJK SC"/>
        <family val="2"/>
      </rPr>
      <t xml:space="preserve">＝上半年 </t>
    </r>
    <r>
      <rPr>
        <sz val="11"/>
        <color theme="1"/>
        <rFont val="Calibri"/>
        <family val="2"/>
        <charset val="1"/>
      </rPr>
      <t xml:space="preserve">7.07B×1.20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）；低／高為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區間</t>
    </r>
  </si>
  <si>
    <t xml:space="preserve">g_svc_h2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</si>
  <si>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下半年服務營收較上半年增幅</t>
    </r>
  </si>
  <si>
    <t xml:space="preserve">Assumed</t>
  </si>
  <si>
    <r>
      <rPr>
        <sz val="11"/>
        <color theme="1"/>
        <rFont val="Noto Sans CJK SC"/>
        <family val="2"/>
      </rPr>
      <t xml:space="preserve">無：公司稱服務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年成長在長期目標 </t>
    </r>
    <r>
      <rPr>
        <sz val="11"/>
        <color theme="1"/>
        <rFont val="Calibri"/>
        <family val="2"/>
        <charset val="1"/>
      </rPr>
      <t xml:space="preserve">13–15% </t>
    </r>
    <r>
      <rPr>
        <sz val="11"/>
        <color theme="1"/>
        <rFont val="Noto Sans CJK SC"/>
        <family val="2"/>
      </rPr>
      <t xml:space="preserve">的下緣</t>
    </r>
  </si>
  <si>
    <r>
      <rPr>
        <sz val="11"/>
        <color theme="1"/>
        <rFont val="Calibri"/>
        <family val="2"/>
        <charset val="1"/>
      </rPr>
      <t xml:space="preserve">6%≈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13% </t>
    </r>
    <r>
      <rPr>
        <sz val="11"/>
        <color theme="1"/>
        <rFont val="Noto Sans CJK SC"/>
        <family val="2"/>
      </rPr>
      <t xml:space="preserve">的半年版；只影響錨點中系統與服務的拆分</t>
    </r>
  </si>
  <si>
    <t xml:space="preserve">g_oth26</t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</si>
  <si>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兩事業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</si>
  <si>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</t>
    </r>
    <r>
      <rPr>
        <sz val="11"/>
        <color theme="1"/>
        <rFont val="Calibri"/>
        <family val="2"/>
        <charset val="1"/>
      </rPr>
      <t xml:space="preserve">Orbotech </t>
    </r>
    <r>
      <rPr>
        <sz val="11"/>
        <color theme="1"/>
        <rFont val="Noto Sans CJK SC"/>
        <family val="2"/>
      </rPr>
      <t xml:space="preserve">合計產品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成長 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以上</t>
    </r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</si>
  <si>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基期取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頁四季合計</t>
    </r>
  </si>
  <si>
    <t xml:space="preserve">ap26</t>
  </si>
  <si>
    <r>
      <rPr>
        <sz val="11"/>
        <color theme="1"/>
        <rFont val="Noto Sans CJK SC"/>
        <family val="2"/>
      </rPr>
      <t xml:space="preserve">先進封裝製程控制營收 </t>
    </r>
    <r>
      <rPr>
        <sz val="11"/>
        <color theme="1"/>
        <rFont val="Calibri"/>
        <family val="2"/>
        <charset val="1"/>
      </rPr>
      <t xml:space="preserve">CY2026</t>
    </r>
  </si>
  <si>
    <t xml:space="preserve">US$M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</si>
  <si>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逐字稿）：約 </t>
    </r>
    <r>
      <rPr>
        <sz val="11"/>
        <color theme="1"/>
        <rFont val="Calibri"/>
        <family val="2"/>
        <charset val="1"/>
      </rPr>
      <t xml:space="preserve">US$1.1B</t>
    </r>
    <r>
      <rPr>
        <sz val="11"/>
        <color theme="1"/>
        <rFont val="Noto Sans CJK SC"/>
        <family val="2"/>
      </rPr>
      <t xml:space="preserve">，年增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以上</t>
    </r>
  </si>
  <si>
    <r>
      <rPr>
        <sz val="11"/>
        <color theme="1"/>
        <rFont val="Calibri"/>
        <family val="2"/>
        <charset val="1"/>
      </rPr>
      <t xml:space="preserve">handsoff substack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2026-05-31</t>
    </r>
    <r>
      <rPr>
        <sz val="11"/>
        <color theme="1"/>
        <rFont val="Noto Sans CJK SC"/>
        <family val="2"/>
      </rPr>
      <t xml:space="preserve">，引公司 </t>
    </r>
    <r>
      <rPr>
        <sz val="11"/>
        <color theme="1"/>
        <rFont val="Calibri"/>
        <family val="2"/>
        <charset val="1"/>
      </rPr>
      <t xml:space="preserve">FQ3-26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1.3–1.4B</t>
    </r>
    <r>
      <rPr>
        <sz val="11"/>
        <color theme="1"/>
        <rFont val="Noto Sans CJK SC"/>
        <family val="2"/>
      </rPr>
      <t xml:space="preserve">（會計年度口徑，與 </t>
    </r>
    <r>
      <rPr>
        <sz val="11"/>
        <color theme="1"/>
        <rFont val="Calibri"/>
        <family val="2"/>
        <charset val="1"/>
      </rPr>
      <t xml:space="preserve">1.1B </t>
    </r>
    <r>
      <rPr>
        <sz val="11"/>
        <color theme="1"/>
        <rFont val="Noto Sans CJK SC"/>
        <family val="2"/>
      </rPr>
      <t xml:space="preserve">的日曆年口徑不同，未解）；高＝</t>
    </r>
    <r>
      <rPr>
        <sz val="11"/>
        <color theme="1"/>
        <rFont val="Calibri"/>
        <family val="2"/>
        <charset val="1"/>
      </rPr>
      <t xml:space="preserve">1.4B</t>
    </r>
  </si>
  <si>
    <t xml:space="preserve">ap_g26</t>
  </si>
  <si>
    <r>
      <rPr>
        <sz val="11"/>
        <color theme="1"/>
        <rFont val="Noto Sans CJK SC"/>
        <family val="2"/>
      </rPr>
      <t xml:space="preserve">先進封裝製程控制營收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</si>
  <si>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逐字稿）：年增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以上（取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</si>
  <si>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用於推 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基期＝</t>
    </r>
    <r>
      <rPr>
        <sz val="11"/>
        <color theme="1"/>
        <rFont val="Calibri"/>
        <family val="2"/>
        <charset val="1"/>
      </rPr>
      <t xml:space="preserve">ap26÷1.7</t>
    </r>
  </si>
  <si>
    <t xml:space="preserve">k_ap</t>
  </si>
  <si>
    <r>
      <rPr>
        <sz val="11"/>
        <color theme="1"/>
        <rFont val="Noto Sans CJK SC"/>
        <family val="2"/>
      </rPr>
      <t xml:space="preserve">先進封裝製程控制營收成長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先進封裝設備市場成長（倍數）</t>
    </r>
  </si>
  <si>
    <t xml:space="preserve">x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</si>
  <si>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逐字稿）：成長率接近封裝市場的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</si>
  <si>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r>
      <rPr>
        <sz val="11"/>
        <color theme="1"/>
        <rFont val="Noto Sans CJK SC"/>
        <family val="2"/>
      </rPr>
      <t xml:space="preserve">低＝與市場同速、高＝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）；下滑時同樣放大（</t>
    </r>
    <r>
      <rPr>
        <sz val="11"/>
        <color theme="1"/>
        <rFont val="Calibri"/>
        <family val="2"/>
        <charset val="1"/>
      </rPr>
      <t xml:space="preserve">β </t>
    </r>
    <r>
      <rPr>
        <sz val="11"/>
        <color theme="1"/>
        <rFont val="Noto Sans CJK SC"/>
        <family val="2"/>
      </rPr>
      <t xml:space="preserve">解讀，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</si>
  <si>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製程控制強度（系統營收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加權前段 </t>
    </r>
    <r>
      <rPr>
        <b val="true"/>
        <sz val="11"/>
        <rFont val="Cambria"/>
        <family val="0"/>
        <charset val="1"/>
      </rPr>
      <t xml:space="preserve">WFE</t>
    </r>
    <r>
      <rPr>
        <b val="true"/>
        <sz val="11"/>
        <rFont val="Noto Sans CJK SC"/>
        <family val="2"/>
      </rPr>
      <t xml:space="preserve">；以 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錨點校準）</t>
    </r>
  </si>
  <si>
    <t xml:space="preserve">fl26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</si>
  <si>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半導體製程控制系統營收中代工邏輯占比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</si>
  <si>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年代工邏輯「</t>
    </r>
    <r>
      <rPr>
        <sz val="11"/>
        <color theme="1"/>
        <rFont val="Calibri"/>
        <family val="2"/>
        <charset val="1"/>
      </rPr>
      <t xml:space="preserve">low to mid-60s</t>
    </r>
    <r>
      <rPr>
        <sz val="11"/>
        <color theme="1"/>
        <rFont val="Noto Sans CJK SC"/>
        <family val="2"/>
      </rPr>
      <t xml:space="preserve">」；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73%</t>
    </r>
    <r>
      <rPr>
        <sz val="11"/>
        <color theme="1"/>
        <rFont val="Noto Sans CJK SC"/>
        <family val="2"/>
      </rPr>
      <t xml:space="preserve">／記憶體 </t>
    </r>
    <r>
      <rPr>
        <sz val="11"/>
        <color theme="1"/>
        <rFont val="Calibri"/>
        <family val="2"/>
        <charset val="1"/>
      </rPr>
      <t xml:space="preserve">27%</t>
    </r>
  </si>
  <si>
    <r>
      <rPr>
        <sz val="11"/>
        <color theme="1"/>
        <rFont val="Noto Sans CJK SC"/>
        <family val="2"/>
      </rPr>
      <t xml:space="preserve">第二來源：未找到。取 </t>
    </r>
    <r>
      <rPr>
        <sz val="11"/>
        <color theme="1"/>
        <rFont val="Calibri"/>
        <family val="2"/>
        <charset val="1"/>
      </rPr>
      <t xml:space="preserve">63%</t>
    </r>
    <r>
      <rPr>
        <sz val="11"/>
        <color theme="1"/>
        <rFont val="Noto Sans CJK SC"/>
        <family val="2"/>
      </rPr>
      <t xml:space="preserve">；用來推記憶體相對強度</t>
    </r>
  </si>
  <si>
    <t xml:space="preserve">m_mem</t>
  </si>
  <si>
    <r>
      <rPr>
        <sz val="11"/>
        <color theme="1"/>
        <rFont val="Noto Sans CJK SC"/>
        <family val="2"/>
      </rPr>
      <t xml:space="preserve">記憶體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的製程控制強度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代工邏輯（相對倍數）</t>
    </r>
  </si>
  <si>
    <t xml:space="preserve">Derived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</si>
  <si>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1−</t>
    </r>
    <r>
      <rPr>
        <sz val="11"/>
        <color theme="1"/>
        <rFont val="Noto Sans CJK SC"/>
        <family val="2"/>
      </rPr>
      <t xml:space="preserve">代工邏輯占比）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代工邏輯占比 </t>
    </r>
    <r>
      <rPr>
        <sz val="11"/>
        <color theme="1"/>
        <rFont val="Calibri"/>
        <family val="2"/>
        <charset val="1"/>
      </rPr>
      <t xml:space="preserve">× CY2026 </t>
    </r>
    <r>
      <rPr>
        <sz val="11"/>
        <color theme="1"/>
        <rFont val="Noto Sans CJK SC"/>
        <family val="2"/>
      </rPr>
      <t xml:space="preserve">代工邏輯 </t>
    </r>
    <r>
      <rPr>
        <sz val="11"/>
        <color theme="1"/>
        <rFont val="Calibri"/>
        <family val="2"/>
        <charset val="1"/>
      </rPr>
      <t xml:space="preserve">WFE ÷ </t>
    </r>
    <r>
      <rPr>
        <sz val="11"/>
        <color theme="1"/>
        <rFont val="Noto Sans CJK SC"/>
        <family val="2"/>
      </rPr>
      <t xml:space="preserve">記憶體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（設備模型情境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</si>
  <si>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代工邏輯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＝先進邏輯＋其他代工邏輯＋其他前段（含光罩，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光罩檢測歸此）；低欄用 </t>
    </r>
    <r>
      <rPr>
        <sz val="11"/>
        <color theme="1"/>
        <rFont val="Calibri"/>
        <family val="2"/>
        <charset val="1"/>
      </rPr>
      <t xml:space="preserve">fl26 </t>
    </r>
    <r>
      <rPr>
        <sz val="11"/>
        <color theme="1"/>
        <rFont val="Noto Sans CJK SC"/>
        <family val="2"/>
      </rPr>
      <t xml:space="preserve">高值</t>
    </r>
  </si>
  <si>
    <t xml:space="preserve">kla_wfe25</t>
  </si>
  <si>
    <r>
      <rPr>
        <sz val="11"/>
        <color theme="1"/>
        <rFont val="Calibri"/>
        <family val="2"/>
        <charset val="1"/>
      </rPr>
      <t xml:space="preserve">CY2025 WFE</t>
    </r>
    <r>
      <rPr>
        <sz val="11"/>
        <color theme="1"/>
        <rFont val="Noto Sans CJK SC"/>
        <family val="2"/>
      </rPr>
      <t xml:space="preserve">（公司口徑，含先進封裝）</t>
    </r>
  </si>
  <si>
    <t xml:space="preserve">US$B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</si>
  <si>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US$120B</t>
    </r>
  </si>
  <si>
    <r>
      <rPr>
        <sz val="11"/>
        <color theme="1"/>
        <rFont val="Noto Sans CJK SC"/>
        <family val="2"/>
      </rPr>
      <t xml:space="preserve">設備模型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前段＋先進封裝＝</t>
    </r>
    <r>
      <rPr>
        <sz val="11"/>
        <color theme="1"/>
        <rFont val="Calibri"/>
        <family val="2"/>
        <charset val="1"/>
      </rPr>
      <t xml:space="preserve">120.0</t>
    </r>
    <r>
      <rPr>
        <sz val="11"/>
        <color theme="1"/>
        <rFont val="Noto Sans CJK SC"/>
        <family val="2"/>
      </rPr>
      <t xml:space="preserve">（相近）</t>
    </r>
  </si>
  <si>
    <t xml:space="preserve">share_up</t>
  </si>
  <si>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2025→2030 </t>
    </r>
    <r>
      <rPr>
        <sz val="11"/>
        <color theme="1"/>
        <rFont val="Noto Sans CJK SC"/>
        <family val="2"/>
      </rPr>
      <t xml:space="preserve">的提升</t>
    </r>
  </si>
  <si>
    <t xml:space="preserve">pt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</si>
  <si>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模型稱市占較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提升 </t>
    </r>
    <r>
      <rPr>
        <sz val="11"/>
        <color theme="1"/>
        <rFont val="Calibri"/>
        <family val="2"/>
        <charset val="1"/>
      </rPr>
      <t xml:space="preserve">150bp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</si>
  <si>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第二來源：未找到。低＝不提升、高＝</t>
    </r>
    <r>
      <rPr>
        <sz val="11"/>
        <color theme="1"/>
        <rFont val="Calibri"/>
        <family val="2"/>
        <charset val="1"/>
      </rPr>
      <t xml:space="preserve">300bp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）；公司未說明分母，本模型解讀為「半導體製程控制營收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」</t>
    </r>
  </si>
  <si>
    <t xml:space="preserve">pc_u</t>
  </si>
  <si>
    <t xml:space="preserve">製程控制強度年增（先進製程與先進封裝檢測強度上升）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</si>
  <si>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</si>
  <si>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[(CY2025 </t>
    </r>
    <r>
      <rPr>
        <sz val="11"/>
        <color theme="1"/>
        <rFont val="Noto Sans CJK SC"/>
        <family val="2"/>
      </rPr>
      <t xml:space="preserve">占比＋提升</t>
    </r>
    <r>
      <rPr>
        <sz val="11"/>
        <color theme="1"/>
        <rFont val="Calibri"/>
        <family val="2"/>
        <charset val="1"/>
      </rPr>
      <t xml:space="preserve">)÷CY2025 </t>
    </r>
    <r>
      <rPr>
        <sz val="11"/>
        <color theme="1"/>
        <rFont val="Noto Sans CJK SC"/>
        <family val="2"/>
      </rPr>
      <t xml:space="preserve">占比</t>
    </r>
    <r>
      <rPr>
        <sz val="11"/>
        <color theme="1"/>
        <rFont val="Calibri"/>
        <family val="2"/>
        <charset val="1"/>
      </rPr>
      <t xml:space="preserve">]^(1/5)−1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占比＝半導體製程控制營收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</si>
  <si>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起套用於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校準的強度</t>
    </r>
  </si>
  <si>
    <t xml:space="preserve">kla_sh_pc</t>
  </si>
  <si>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製程控制市占（顯示用：換算製程控制占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</si>
  <si>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handsoff substack 2026-05-31</t>
    </r>
    <r>
      <rPr>
        <sz val="11"/>
        <color theme="1"/>
        <rFont val="Noto Sans CJK SC"/>
        <family val="2"/>
      </rPr>
      <t xml:space="preserve">（引 </t>
    </r>
    <r>
      <rPr>
        <sz val="11"/>
        <color theme="1"/>
        <rFont val="Calibri"/>
        <family val="2"/>
        <charset val="1"/>
      </rPr>
      <t xml:space="preserve">BofA CY2025</t>
    </r>
    <r>
      <rPr>
        <sz val="11"/>
        <color theme="1"/>
        <rFont val="Noto Sans CJK SC"/>
        <family val="2"/>
      </rPr>
      <t xml:space="preserve">）：製程控制市占約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、晶圓檢測 </t>
    </r>
    <r>
      <rPr>
        <sz val="11"/>
        <color theme="1"/>
        <rFont val="Calibri"/>
        <family val="2"/>
        <charset val="1"/>
      </rPr>
      <t xml:space="preserve">81.9%</t>
    </r>
    <r>
      <rPr>
        <sz val="11"/>
        <color theme="1"/>
        <rFont val="Noto Sans CJK SC"/>
        <family val="2"/>
      </rPr>
      <t xml:space="preserve">（賣方）</t>
    </r>
  </si>
  <si>
    <t xml:space="preserve">第二來源：未找到。只用於顯示，不影響營收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</si>
  <si>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中國（重要變數；基準不另扣，風險放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）</t>
    </r>
  </si>
  <si>
    <t xml:space="preserve">chn_sh26</t>
  </si>
  <si>
    <r>
      <rPr>
        <sz val="11"/>
        <color theme="1"/>
        <rFont val="Noto Sans CJK SC"/>
        <family val="2"/>
      </rPr>
      <t xml:space="preserve">中國占營收 </t>
    </r>
    <r>
      <rPr>
        <sz val="11"/>
        <color theme="1"/>
        <rFont val="Calibri"/>
        <family val="2"/>
        <charset val="1"/>
      </rPr>
      <t xml:space="preserve">FY2026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</si>
  <si>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</si>
  <si>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KLA FY2026 10-K</t>
    </r>
    <r>
      <rPr>
        <sz val="11"/>
        <color theme="1"/>
        <rFont val="Noto Sans CJK SC"/>
        <family val="2"/>
      </rPr>
      <t xml:space="preserve">：中國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43%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</si>
  <si>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handsoff substack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FQ3-26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US$820M</t>
    </r>
    <r>
      <rPr>
        <sz val="11"/>
        <color theme="1"/>
        <rFont val="Noto Sans CJK SC"/>
        <family val="2"/>
      </rPr>
      <t xml:space="preserve">）</t>
    </r>
  </si>
  <si>
    <t xml:space="preserve">chn_sh25</t>
  </si>
  <si>
    <r>
      <rPr>
        <sz val="11"/>
        <color theme="1"/>
        <rFont val="Noto Sans CJK SC"/>
        <family val="2"/>
      </rPr>
      <t xml:space="preserve">中國占營收 </t>
    </r>
    <r>
      <rPr>
        <sz val="11"/>
        <color theme="1"/>
        <rFont val="Calibri"/>
        <family val="2"/>
        <charset val="1"/>
      </rPr>
      <t xml:space="preserve">FY2025</t>
    </r>
  </si>
  <si>
    <t xml:space="preserve">KLA FY2026 10-K</t>
  </si>
  <si>
    <t xml:space="preserve">—</t>
  </si>
  <si>
    <t xml:space="preserve">chn_sh24</t>
  </si>
  <si>
    <r>
      <rPr>
        <sz val="11"/>
        <color theme="1"/>
        <rFont val="Noto Sans CJK SC"/>
        <family val="2"/>
      </rPr>
      <t xml:space="preserve">中國占營收 </t>
    </r>
    <r>
      <rPr>
        <sz val="11"/>
        <color theme="1"/>
        <rFont val="Calibri"/>
        <family val="2"/>
        <charset val="1"/>
      </rPr>
      <t xml:space="preserve">FY2024</t>
    </r>
  </si>
  <si>
    <t xml:space="preserve">chn_cut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</si>
  <si>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起中國系統營收下降比例（出口管制）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</si>
  <si>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稱出口許可未獲准已傷及訂單；</t>
    </r>
    <r>
      <rPr>
        <sz val="11"/>
        <color theme="1"/>
        <rFont val="Calibri"/>
        <family val="2"/>
        <charset val="1"/>
      </rPr>
      <t xml:space="preserve">BIS </t>
    </r>
    <r>
      <rPr>
        <sz val="11"/>
        <color theme="1"/>
        <rFont val="Noto Sans CJK SC"/>
        <family val="2"/>
      </rPr>
      <t xml:space="preserve">子公司規則暫停一年至 </t>
    </r>
    <r>
      <rPr>
        <sz val="11"/>
        <color theme="1"/>
        <rFont val="Calibri"/>
        <family val="2"/>
        <charset val="1"/>
      </rPr>
      <t xml:space="preserve">2026-11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</si>
  <si>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（設備模型的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已含中國）；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</si>
  <si>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服務與 </t>
    </r>
    <r>
      <rPr>
        <b val="true"/>
        <sz val="11"/>
        <rFont val="Cambria"/>
        <family val="0"/>
        <charset val="1"/>
      </rPr>
      <t xml:space="preserve">SPTS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PCB</t>
    </r>
    <r>
      <rPr>
        <b val="true"/>
        <sz val="11"/>
        <rFont val="Noto Sans CJK SC"/>
        <family val="2"/>
      </rPr>
      <t xml:space="preserve">（會計年度，前一年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成長率）</t>
    </r>
  </si>
  <si>
    <t xml:space="preserve">g_svc_A</t>
  </si>
  <si>
    <r>
      <rPr>
        <sz val="11"/>
        <color theme="1"/>
        <rFont val="Noto Sans CJK SC"/>
        <family val="2"/>
      </rPr>
      <t xml:space="preserve">服務營收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</si>
  <si>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公司長期目標 </t>
    </r>
    <r>
      <rPr>
        <sz val="11"/>
        <color theme="1"/>
        <rFont val="Calibri"/>
        <family val="2"/>
        <charset val="1"/>
      </rPr>
      <t xml:space="preserve">13–15%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年預期在上緣；約 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為合約制（</t>
    </r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</si>
  <si>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+16.5%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取裝機量成長放緩</t>
    </r>
  </si>
  <si>
    <t xml:space="preserve">g_oth_A</t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</si>
  <si>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</si>
  <si>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EPC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high single digit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CY2026 Orbotech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&gt;25%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</si>
  <si>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+11.5%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</si>
  <si>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g_svc_B</t>
  </si>
  <si>
    <r>
      <rPr>
        <sz val="11"/>
        <color theme="1"/>
        <rFont val="Noto Sans CJK SC"/>
        <family val="2"/>
      </rPr>
      <t xml:space="preserve">服務營收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</si>
  <si>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g_oth_B</t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</si>
  <si>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</si>
  <si>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g_svc_C</t>
  </si>
  <si>
    <r>
      <rPr>
        <sz val="11"/>
        <color theme="1"/>
        <rFont val="Noto Sans CJK SC"/>
        <family val="2"/>
      </rPr>
      <t xml:space="preserve">服務營收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</si>
  <si>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g_oth_C</t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</si>
  <si>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</si>
  <si>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毛利與營業費用（不寫死利益率）</t>
    </r>
  </si>
  <si>
    <t xml:space="preserve">gm_inc</t>
  </si>
  <si>
    <r>
      <rPr>
        <sz val="11"/>
        <color theme="1"/>
        <rFont val="Noto Sans CJK SC"/>
        <family val="2"/>
      </rPr>
      <t xml:space="preserve">增量毛利率（毛利變動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營收變動；相對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</si>
  <si>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兩點：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</si>
  <si>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公司：增量毛利率 </t>
    </r>
    <r>
      <rPr>
        <sz val="11"/>
        <color theme="1"/>
        <rFont val="Calibri"/>
        <family val="2"/>
        <charset val="1"/>
      </rPr>
      <t xml:space="preserve">60–65%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逐字稿））＝低／高；記憶體定價逆風約 </t>
    </r>
    <r>
      <rPr>
        <sz val="11"/>
        <color theme="1"/>
        <rFont val="Calibri"/>
        <family val="2"/>
        <charset val="1"/>
      </rPr>
      <t xml:space="preserve">100bp</t>
    </r>
  </si>
  <si>
    <t xml:space="preserve">opex_q1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</si>
  <si>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FQ1-27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R&amp;D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</si>
  <si>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逐字稿）：約 </t>
    </r>
    <r>
      <rPr>
        <sz val="11"/>
        <color theme="1"/>
        <rFont val="Calibri"/>
        <family val="2"/>
        <charset val="1"/>
      </rPr>
      <t xml:space="preserve">US$690M</t>
    </r>
  </si>
  <si>
    <t xml:space="preserve">第二來源：未找到</t>
  </si>
  <si>
    <t xml:space="preserve">opex_step</t>
  </si>
  <si>
    <t xml:space="preserve">之後每季營業費用增加</t>
  </si>
  <si>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／季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</si>
  <si>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逐字稿）：每季增加約 </t>
    </r>
    <r>
      <rPr>
        <sz val="11"/>
        <color theme="1"/>
        <rFont val="Calibri"/>
        <family val="2"/>
        <charset val="1"/>
      </rPr>
      <t xml:space="preserve">US$15–20M</t>
    </r>
  </si>
  <si>
    <t xml:space="preserve">取中點</t>
  </si>
  <si>
    <t xml:space="preserve">opex27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</si>
  <si>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4×FQ1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6×</t>
    </r>
    <r>
      <rPr>
        <sz val="11"/>
        <color theme="1"/>
        <rFont val="Noto Sans CJK SC"/>
        <family val="2"/>
      </rPr>
      <t xml:space="preserve">每季增額）</t>
    </r>
  </si>
  <si>
    <r>
      <rPr>
        <sz val="11"/>
        <color theme="1"/>
        <rFont val="Calibri"/>
        <family val="2"/>
        <charset val="1"/>
      </rPr>
      <t xml:space="preserve">690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707.5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742.5</t>
    </r>
  </si>
  <si>
    <r>
      <rPr>
        <sz val="11"/>
        <color theme="1"/>
        <rFont val="Noto Sans CJK SC"/>
        <family val="2"/>
      </rPr>
      <t xml:space="preserve">三情境相同（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已大致決定）</t>
    </r>
  </si>
  <si>
    <t xml:space="preserve">g_opex_A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</si>
  <si>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</si>
  <si>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FY2026 +11.4%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指引隱含 </t>
    </r>
    <r>
      <rPr>
        <sz val="11"/>
        <color theme="1"/>
        <rFont val="Calibri"/>
        <family val="2"/>
        <charset val="1"/>
      </rPr>
      <t xml:space="preserve">+7.6%</t>
    </r>
  </si>
  <si>
    <t xml:space="preserve">g_opex_B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</si>
  <si>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</si>
  <si>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g_opex_C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</si>
  <si>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</si>
  <si>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營業外、稅、股數</t>
    </r>
  </si>
  <si>
    <t xml:space="preserve">oth_exp</t>
  </si>
  <si>
    <t xml:space="preserve">營業外淨額（利息與其他）每年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</si>
  <si>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逐字稿）：其他收支約每季 </t>
    </r>
    <r>
      <rPr>
        <sz val="11"/>
        <color theme="1"/>
        <rFont val="Calibri"/>
        <family val="2"/>
        <charset val="1"/>
      </rPr>
      <t xml:space="preserve">US$25M </t>
    </r>
    <r>
      <rPr>
        <sz val="11"/>
        <color theme="1"/>
        <rFont val="Noto Sans CJK SC"/>
        <family val="2"/>
      </rPr>
      <t xml:space="preserve">費用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</si>
  <si>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 −</t>
    </r>
    <r>
      <rPr>
        <sz val="11"/>
        <color theme="1"/>
        <rFont val="Calibri"/>
        <family val="2"/>
        <charset val="1"/>
      </rPr>
      <t xml:space="preserve">54.9</t>
    </r>
    <r>
      <rPr>
        <sz val="11"/>
        <color theme="1"/>
        <rFont val="Noto Sans CJK SC"/>
        <family val="2"/>
      </rPr>
      <t xml:space="preserve">（利息 −</t>
    </r>
    <r>
      <rPr>
        <sz val="11"/>
        <color theme="1"/>
        <rFont val="Calibri"/>
        <family val="2"/>
        <charset val="1"/>
      </rPr>
      <t xml:space="preserve">284.4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+229.6</t>
    </r>
    <r>
      <rPr>
        <sz val="11"/>
        <color theme="1"/>
        <rFont val="Noto Sans CJK SC"/>
        <family val="2"/>
      </rPr>
      <t xml:space="preserve">）；低／高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</si>
  <si>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</si>
  <si>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</si>
  <si>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逐字稿）：規劃稅率 </t>
    </r>
    <r>
      <rPr>
        <sz val="11"/>
        <color theme="1"/>
        <rFont val="Calibri"/>
        <family val="2"/>
        <charset val="1"/>
      </rPr>
      <t xml:space="preserve">14.5%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</si>
  <si>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13.8%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</si>
  <si>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shares27</t>
  </si>
  <si>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FY2027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</si>
  <si>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</si>
  <si>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指引稀釋股數 </t>
    </r>
    <r>
      <rPr>
        <sz val="11"/>
        <color theme="1"/>
        <rFont val="Calibri"/>
        <family val="2"/>
        <charset val="1"/>
      </rPr>
      <t xml:space="preserve">1,312M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</si>
  <si>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1,319.6M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FQ4-26 1,315.0M</t>
    </r>
  </si>
  <si>
    <t xml:space="preserve">bb</t>
  </si>
  <si>
    <r>
      <rPr>
        <sz val="11"/>
        <color theme="1"/>
        <rFont val="Noto Sans CJK SC"/>
        <family val="2"/>
      </rPr>
      <t xml:space="preserve">稀釋股數年減（買回）</t>
    </r>
    <r>
      <rPr>
        <sz val="11"/>
        <color theme="1"/>
        <rFont val="Calibri"/>
        <family val="2"/>
        <charset val="1"/>
      </rPr>
      <t xml:space="preserve">FY2028–29</t>
    </r>
  </si>
  <si>
    <r>
      <rPr>
        <sz val="11"/>
        <color theme="1"/>
        <rFont val="Calibri"/>
        <family val="2"/>
        <charset val="1"/>
      </rPr>
      <t xml:space="preserve">FY2025→FY2026 </t>
    </r>
    <r>
      <rPr>
        <sz val="11"/>
        <color theme="1"/>
        <rFont val="Noto Sans CJK SC"/>
        <family val="2"/>
      </rPr>
      <t xml:space="preserve">稀釋股數變化（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</si>
  <si>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</si>
  <si>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公司指引、共識（只供 </t>
    </r>
    <r>
      <rPr>
        <b val="true"/>
        <sz val="11"/>
        <rFont val="Cambria"/>
        <family val="0"/>
        <charset val="1"/>
      </rPr>
      <t xml:space="preserve">Recon</t>
    </r>
    <r>
      <rPr>
        <b val="true"/>
        <sz val="11"/>
        <rFont val="Noto Sans CJK SC"/>
        <family val="2"/>
      </rPr>
      <t xml:space="preserve">）、股價、循環位置、目標價權重</t>
    </r>
  </si>
  <si>
    <t xml:space="preserve">g_q1_rev</t>
  </si>
  <si>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營收指引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</si>
  <si>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</t>
    </r>
  </si>
  <si>
    <t xml:space="preserve">TIKR 2026-07-29</t>
  </si>
  <si>
    <t xml:space="preserve">g_q1_gm</t>
  </si>
  <si>
    <r>
      <rPr>
        <sz val="11"/>
        <color theme="1"/>
        <rFont val="Calibri"/>
        <family val="2"/>
        <charset val="1"/>
      </rPr>
      <t xml:space="preserve">FQ1-27 GAAP </t>
    </r>
    <r>
      <rPr>
        <sz val="11"/>
        <color theme="1"/>
        <rFont val="Noto Sans CJK SC"/>
        <family val="2"/>
      </rPr>
      <t xml:space="preserve">毛利率指引</t>
    </r>
  </si>
  <si>
    <t xml:space="preserve">同上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</si>
  <si>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 62.5%</t>
    </r>
  </si>
  <si>
    <t xml:space="preserve">g_q1_eps</t>
  </si>
  <si>
    <r>
      <rPr>
        <sz val="11"/>
        <color theme="1"/>
        <rFont val="Calibri"/>
        <family val="2"/>
        <charset val="1"/>
      </rPr>
      <t xml:space="preserve">FQ1-27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指引</t>
    </r>
  </si>
  <si>
    <t xml:space="preserve">US$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</si>
  <si>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 1.16±0.10</t>
    </r>
  </si>
  <si>
    <t xml:space="preserve">cons_q2_rev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</si>
  <si>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FQ2-27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</si>
  <si>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讀取；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位分析師）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</si>
  <si>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</si>
  <si>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</si>
  <si>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位）：</t>
    </r>
    <r>
      <rPr>
        <sz val="11"/>
        <color theme="1"/>
        <rFont val="Calibri"/>
        <family val="2"/>
        <charset val="1"/>
      </rPr>
      <t xml:space="preserve">18.14B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</si>
  <si>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18.1B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</si>
  <si>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</si>
  <si>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</si>
  <si>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位）：</t>
    </r>
    <r>
      <rPr>
        <sz val="11"/>
        <color theme="1"/>
        <rFont val="Calibri"/>
        <family val="2"/>
        <charset val="1"/>
      </rPr>
      <t xml:space="preserve">5.44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</si>
  <si>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位）：</t>
    </r>
    <r>
      <rPr>
        <sz val="11"/>
        <color theme="1"/>
        <rFont val="Calibri"/>
        <family val="2"/>
        <charset val="1"/>
      </rPr>
      <t xml:space="preserve">5.46</t>
    </r>
  </si>
  <si>
    <t xml:space="preserve">cons_rev28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</si>
  <si>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</si>
  <si>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位）：</t>
    </r>
    <r>
      <rPr>
        <sz val="11"/>
        <color theme="1"/>
        <rFont val="Calibri"/>
        <family val="2"/>
        <charset val="1"/>
      </rPr>
      <t xml:space="preserve">21.57B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</si>
  <si>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需付費）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</si>
  <si>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</si>
  <si>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</si>
  <si>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位）：</t>
    </r>
    <r>
      <rPr>
        <sz val="11"/>
        <color theme="1"/>
        <rFont val="Calibri"/>
        <family val="2"/>
        <charset val="1"/>
      </rPr>
      <t xml:space="preserve">6.74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</si>
  <si>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</si>
  <si>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</si>
  <si>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</si>
  <si>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</si>
  <si>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（理由見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</si>
  <si>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</si>
  <si>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</si>
  <si>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</si>
  <si>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</si>
  <si>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</si>
  <si>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</si>
  <si>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</si>
  <si>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</si>
  <si>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歷史股價：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145.61</t>
    </r>
  </si>
  <si>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145.61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tipranks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147.83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單日 −</t>
    </r>
    <r>
      <rPr>
        <sz val="11"/>
        <color theme="1"/>
        <rFont val="Calibri"/>
        <family val="2"/>
        <charset val="1"/>
      </rPr>
      <t xml:space="preserve">9.5%</t>
    </r>
    <r>
      <rPr>
        <sz val="11"/>
        <color theme="1"/>
        <rFont val="Noto Sans CJK SC"/>
        <family val="2"/>
      </rPr>
      <t xml:space="preserve">，原因未查明）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</si>
  <si>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</si>
  <si>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</si>
  <si>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</si>
  <si>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節檢查）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</si>
  <si>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</si>
  <si>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</si>
  <si>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</si>
  <si>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</si>
  <si>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</si>
  <si>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</si>
  <si>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</si>
  <si>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</si>
  <si>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</si>
  <si>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</si>
  <si>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</si>
  <si>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</si>
  <si>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</si>
  <si>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FY2024–FY2026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</si>
  <si>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FY2024 87.84%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100.77%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87.50%</t>
    </r>
  </si>
  <si>
    <r>
      <rPr>
        <sz val="11"/>
        <color theme="1"/>
        <rFont val="Noto Sans CJK SC"/>
        <family val="2"/>
      </rPr>
      <t xml:space="preserve">單一來源；高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來自大量回購使股東權益偏低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</si>
  <si>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</si>
  <si>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</si>
  <si>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</si>
  <si>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</si>
  <si>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，各年淨利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營收的平均）</t>
    </r>
  </si>
  <si>
    <r>
      <rPr>
        <sz val="11"/>
        <color theme="1"/>
        <rFont val="Calibri"/>
        <family val="2"/>
        <charset val="1"/>
      </rPr>
      <t xml:space="preserve">vcpscanner.com </t>
    </r>
    <r>
      <rPr>
        <sz val="11"/>
        <color theme="1"/>
        <rFont val="Noto Sans CJK SC"/>
        <family val="2"/>
      </rPr>
      <t xml:space="preserve">年度損益（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</si>
  <si>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頁實績核對；其餘年度單一來源（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35.6%</t>
    </r>
    <r>
      <rPr>
        <sz val="11"/>
        <color theme="1"/>
        <rFont val="Noto Sans CJK SC"/>
        <family val="2"/>
      </rPr>
      <t xml:space="preserve">，未納入）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</si>
  <si>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</si>
  <si>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</si>
  <si>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US$232.38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228.50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175–325</t>
    </r>
    <r>
      <rPr>
        <sz val="11"/>
        <color theme="1"/>
        <rFont val="Noto Sans CJK SC"/>
        <family val="2"/>
      </rPr>
      <t xml:space="preserve">），資料更新 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分割後）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</si>
  <si>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</si>
  <si>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</si>
  <si>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Yahoo 6.74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），約晚四個月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</si>
  <si>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實績（百萬美元；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為美元，</t>
    </r>
    <r>
      <rPr>
        <sz val="11"/>
        <color theme="1"/>
        <rFont val="Calibri"/>
        <family val="2"/>
        <charset val="1"/>
      </rPr>
      <t xml:space="preserve">2026-06-12 </t>
    </r>
    <r>
      <rPr>
        <sz val="11"/>
        <color theme="1"/>
        <rFont val="Noto Sans CJK SC"/>
        <family val="2"/>
      </rPr>
      <t xml:space="preserve">除權的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分割調整後）。會計年度 </t>
    </r>
    <r>
      <rPr>
        <sz val="11"/>
        <color theme="1"/>
        <rFont val="Calibri"/>
        <family val="2"/>
        <charset val="1"/>
      </rPr>
      <t xml:space="preserve">7–6 </t>
    </r>
    <r>
      <rPr>
        <sz val="11"/>
        <color theme="1"/>
        <rFont val="Noto Sans CJK SC"/>
        <family val="2"/>
      </rPr>
      <t xml:space="preserve">月：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。藍字＝輸入（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新聞稿）；黑字＝公式（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</si>
  <si>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）：預定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盤後公布（</t>
    </r>
    <r>
      <rPr>
        <sz val="11"/>
        <color theme="1"/>
        <rFont val="Calibri"/>
        <family val="2"/>
        <charset val="1"/>
      </rPr>
      <t xml:space="preserve">tipranks </t>
    </r>
    <r>
      <rPr>
        <sz val="11"/>
        <color theme="1"/>
        <rFont val="Noto Sans CJK SC"/>
        <family val="2"/>
      </rPr>
      <t xml:space="preserve">財報行事曆；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去年同季為 </t>
    </r>
    <r>
      <rPr>
        <sz val="11"/>
        <color theme="1"/>
        <rFont val="Calibri"/>
        <family val="2"/>
        <charset val="1"/>
      </rPr>
      <t xml:space="preserve">10-29</t>
    </r>
    <r>
      <rPr>
        <sz val="11"/>
        <color theme="1"/>
        <rFont val="Noto Sans CJK SC"/>
        <family val="2"/>
      </rPr>
      <t xml:space="preserve">）；建置日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尚未公布，故不納入，指引見下方。公布後更新本頁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欄</t>
    </r>
  </si>
  <si>
    <r>
      <rPr>
        <b val="true"/>
        <sz val="11"/>
        <rFont val="Cambria"/>
        <family val="0"/>
        <charset val="1"/>
      </rPr>
      <t xml:space="preserve">FQ3-25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2025-01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</si>
  <si>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FQ4-25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2025-04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</si>
  <si>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上半（</t>
    </r>
    <r>
      <rPr>
        <b val="true"/>
        <sz val="11"/>
        <rFont val="Cambria"/>
        <family val="0"/>
        <charset val="1"/>
      </rPr>
      <t xml:space="preserve">2025-07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12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FQ1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FQ2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</si>
  <si>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FQ3-26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2026-01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</si>
  <si>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FQ4-26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2026-04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</si>
  <si>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全年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</si>
  <si>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全年</t>
    </r>
  </si>
  <si>
    <r>
      <rPr>
        <b val="true"/>
        <sz val="11"/>
        <rFont val="Cambria"/>
        <family val="0"/>
        <charset val="1"/>
      </rPr>
      <t xml:space="preserve">FQ1-27</t>
    </r>
    <r>
      <rPr>
        <b val="true"/>
        <sz val="11"/>
        <rFont val="Noto Sans CJK SC"/>
        <family val="2"/>
      </rPr>
      <t xml:space="preserve">（未公布）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</si>
  <si>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</si>
  <si>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</si>
  <si>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Noto Sans CJK SC"/>
        <family val="2"/>
      </rPr>
      <t xml:space="preserve">預定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盤後公布，尚未公布</t>
    </r>
  </si>
  <si>
    <r>
      <rPr>
        <sz val="11"/>
        <color theme="1"/>
        <rFont val="Calibri"/>
        <family val="2"/>
        <charset val="1"/>
      </rPr>
      <t xml:space="preserve">FQ3-25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FQ3-26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2026-04-29</t>
    </r>
    <r>
      <rPr>
        <sz val="11"/>
        <color theme="1"/>
        <rFont val="Noto Sans CJK SC"/>
        <family val="2"/>
      </rPr>
      <t xml:space="preserve">）前年同期欄；</t>
    </r>
    <r>
      <rPr>
        <sz val="11"/>
        <color theme="1"/>
        <rFont val="Calibri"/>
        <family val="2"/>
        <charset val="1"/>
      </rPr>
      <t xml:space="preserve">FQ4-25</t>
    </r>
    <r>
      <rPr>
        <sz val="11"/>
        <color theme="1"/>
        <rFont val="Noto Sans CJK SC"/>
        <family val="2"/>
      </rPr>
      <t xml:space="preserve">、全年：</t>
    </r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）；上半＝九個月 </t>
    </r>
    <r>
      <rPr>
        <sz val="11"/>
        <color theme="1"/>
        <rFont val="Calibri"/>
        <family val="2"/>
        <charset val="1"/>
      </rPr>
      <t xml:space="preserve">9,921.9 − FQ3-26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</si>
  <si>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年度：</t>
    </r>
    <r>
      <rPr>
        <sz val="11"/>
        <color theme="1"/>
        <rFont val="Calibri"/>
        <family val="2"/>
        <charset val="1"/>
      </rPr>
      <t xml:space="preserve">FY2025 12,156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13,579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FQ2-26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3,297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FQ3-26 </t>
    </r>
    <r>
      <rPr>
        <sz val="11"/>
        <color theme="1"/>
        <rFont val="Noto Sans CJK SC"/>
        <family val="2"/>
      </rPr>
      <t xml:space="preserve">新聞稿）</t>
    </r>
  </si>
  <si>
    <t xml:space="preserve">產品營收</t>
  </si>
  <si>
    <r>
      <rPr>
        <sz val="11"/>
        <color theme="1"/>
        <rFont val="Noto Sans CJK SC"/>
        <family val="2"/>
      </rPr>
      <t xml:space="preserve">第二來源：未找到（年度服務占比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</si>
  <si>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服務營收</t>
  </si>
  <si>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：服務約占營收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3,125.9÷13,579.5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23.0%</t>
    </r>
    <r>
      <rPr>
        <sz val="11"/>
        <color theme="1"/>
        <rFont val="Noto Sans CJK SC"/>
        <family val="2"/>
      </rPr>
      <t xml:space="preserve">）</t>
    </r>
  </si>
  <si>
    <t xml:space="preserve">  事業別：半導體製程控制（含服務）</t>
  </si>
  <si>
    <t xml:space="preserve">同上（事業別表）</t>
  </si>
  <si>
    <r>
      <rPr>
        <sz val="11"/>
        <color theme="1"/>
        <rFont val="Noto Sans CJK SC"/>
        <family val="2"/>
      </rPr>
      <t xml:space="preserve">  事業別：特殊半導體製程（</t>
    </r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</si>
  <si>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事業別：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與元件檢測</t>
    </r>
  </si>
  <si>
    <r>
      <rPr>
        <sz val="11"/>
        <color theme="1"/>
        <rFont val="Noto Sans CJK SC"/>
        <family val="2"/>
      </rPr>
      <t xml:space="preserve">  匯率影響等（營收 − 三事業，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</si>
  <si>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公司事業別表另列 </t>
    </r>
    <r>
      <rPr>
        <sz val="11"/>
        <color theme="1"/>
        <rFont val="Calibri"/>
        <family val="2"/>
        <charset val="1"/>
      </rPr>
      <t xml:space="preserve">FX</t>
    </r>
    <r>
      <rPr>
        <sz val="11"/>
        <color theme="1"/>
        <rFont val="Noto Sans CJK SC"/>
        <family val="2"/>
      </rPr>
      <t xml:space="preserve">；四捨五入差</t>
    </r>
  </si>
  <si>
    <r>
      <rPr>
        <sz val="11"/>
        <color theme="1"/>
        <rFont val="Noto Sans CJK SC"/>
        <family val="2"/>
      </rPr>
      <t xml:space="preserve">半導體製程控制系統（產品營收 − </t>
    </r>
    <r>
      <rPr>
        <sz val="11"/>
        <color theme="1"/>
        <rFont val="Calibri"/>
        <family val="2"/>
        <charset val="1"/>
      </rPr>
      <t xml:space="preserve">SPTS − PCB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</si>
  <si>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產品營收扣兩事業全部營收（其服務部分未揭露，故系統略為低估、與服務合計不變）</t>
  </si>
  <si>
    <t xml:space="preserve">系統＋服務＋兩事業＝營收（恆等）</t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</si>
  <si>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</t>
    </r>
  </si>
  <si>
    <t xml:space="preserve">營業成本</t>
  </si>
  <si>
    <t xml:space="preserve">毛利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</si>
  <si>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年度毛利：</t>
    </r>
    <r>
      <rPr>
        <sz val="11"/>
        <color theme="1"/>
        <rFont val="Calibri"/>
        <family val="2"/>
        <charset val="1"/>
      </rPr>
      <t xml:space="preserve">FY2025 7,404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8,324</t>
    </r>
  </si>
  <si>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</si>
  <si>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FQ4-26 62.4%</t>
    </r>
  </si>
  <si>
    <t xml:space="preserve">研發費用</t>
  </si>
  <si>
    <t xml:space="preserve">銷管費用</t>
  </si>
  <si>
    <r>
      <rPr>
        <sz val="11"/>
        <color theme="1"/>
        <rFont val="Noto Sans CJK SC"/>
        <family val="2"/>
      </rPr>
      <t xml:space="preserve">法說稱 </t>
    </r>
    <r>
      <rPr>
        <sz val="11"/>
        <color theme="1"/>
        <rFont val="Calibri"/>
        <family val="2"/>
        <charset val="1"/>
      </rPr>
      <t xml:space="preserve">FQ4-26 SG&amp;A 283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</si>
  <si>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t xml:space="preserve">商譽與無形資產減損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</si>
  <si>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減損 </t>
    </r>
    <r>
      <rPr>
        <sz val="11"/>
        <color theme="1"/>
        <rFont val="Calibri"/>
        <family val="2"/>
        <charset val="1"/>
      </rPr>
      <t xml:space="preserve">239.1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FQ3-26 </t>
    </r>
    <r>
      <rPr>
        <sz val="11"/>
        <color theme="1"/>
        <rFont val="Noto Sans CJK SC"/>
        <family val="2"/>
      </rPr>
      <t xml:space="preserve">新聞稿九個月欄、</t>
    </r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新聞稿）</t>
    </r>
  </si>
  <si>
    <t xml:space="preserve">營業費用（研發＋銷管；不含減損）</t>
  </si>
  <si>
    <t xml:space="preserve">營業利益（毛利 − 營業費用 − 減損）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</si>
  <si>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年度營業利益：</t>
    </r>
    <r>
      <rPr>
        <sz val="11"/>
        <color theme="1"/>
        <rFont val="Calibri"/>
        <family val="2"/>
        <charset val="1"/>
      </rPr>
      <t xml:space="preserve">FY2026 5,661</t>
    </r>
    <r>
      <rPr>
        <sz val="11"/>
        <color theme="1"/>
        <rFont val="Noto Sans CJK SC"/>
        <family val="2"/>
      </rPr>
      <t xml:space="preserve">（相符）；</t>
    </r>
    <r>
      <rPr>
        <sz val="11"/>
        <color theme="1"/>
        <rFont val="Calibri"/>
        <family val="2"/>
        <charset val="1"/>
      </rPr>
      <t xml:space="preserve">FY2025 5,014</t>
    </r>
    <r>
      <rPr>
        <sz val="11"/>
        <color theme="1"/>
        <rFont val="Noto Sans CJK SC"/>
        <family val="2"/>
      </rPr>
      <t xml:space="preserve">（不含減損）</t>
    </r>
  </si>
  <si>
    <t xml:space="preserve">營業外淨額（其他收入 − 利息）</t>
  </si>
  <si>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）：利息 </t>
    </r>
    <r>
      <rPr>
        <sz val="11"/>
        <color theme="1"/>
        <rFont val="Calibri"/>
        <family val="2"/>
        <charset val="1"/>
      </rPr>
      <t xml:space="preserve">FY25 302.2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FY26 284.4</t>
    </r>
    <r>
      <rPr>
        <sz val="11"/>
        <color theme="1"/>
        <rFont val="Noto Sans CJK SC"/>
        <family val="2"/>
      </rPr>
      <t xml:space="preserve">；其他收入 </t>
    </r>
    <r>
      <rPr>
        <sz val="11"/>
        <color theme="1"/>
        <rFont val="Calibri"/>
        <family val="2"/>
        <charset val="1"/>
      </rPr>
      <t xml:space="preserve">171.5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229.6</t>
    </r>
  </si>
  <si>
    <t xml:space="preserve">所得稅</t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</si>
  <si>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</si>
  <si>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4,062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4,831</t>
    </r>
  </si>
  <si>
    <r>
      <rPr>
        <sz val="11"/>
        <color theme="1"/>
        <rFont val="Noto Sans CJK SC"/>
        <family val="2"/>
      </rPr>
      <t xml:space="preserve">檢查：稅前 − 稅 − 淨利（年度，應約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</si>
  <si>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稀釋，分割調整後）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</si>
  <si>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</si>
  <si>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新聞稿（分割後）：</t>
    </r>
    <r>
      <rPr>
        <sz val="11"/>
        <color theme="1"/>
        <rFont val="Calibri"/>
        <family val="2"/>
        <charset val="1"/>
      </rPr>
      <t xml:space="preserve">FQ4-25 0.91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3.04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3.66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FQ4-26 1.04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FQ3-26 </t>
    </r>
    <r>
      <rPr>
        <sz val="11"/>
        <color theme="1"/>
        <rFont val="Noto Sans CJK SC"/>
        <family val="2"/>
      </rPr>
      <t xml:space="preserve">新聞稿（分割前 </t>
    </r>
    <r>
      <rPr>
        <sz val="11"/>
        <color theme="1"/>
        <rFont val="Calibri"/>
        <family val="2"/>
        <charset val="1"/>
      </rPr>
      <t xml:space="preserve">÷10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FQ3-25 8.16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FQ3-26 9.12</t>
    </r>
    <r>
      <rPr>
        <sz val="11"/>
        <color theme="1"/>
        <rFont val="Noto Sans CJK SC"/>
        <family val="2"/>
      </rPr>
      <t xml:space="preserve">、九個月 </t>
    </r>
    <r>
      <rPr>
        <sz val="11"/>
        <color theme="1"/>
        <rFont val="Calibri"/>
        <family val="2"/>
        <charset val="1"/>
      </rPr>
      <t xml:space="preserve">26.26</t>
    </r>
  </si>
  <si>
    <r>
      <rPr>
        <sz val="11"/>
        <color theme="1"/>
        <rFont val="Calibri"/>
        <family val="2"/>
        <charset val="1"/>
      </rPr>
      <t xml:space="preserve">SEC XBRL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3.04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3.66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同</t>
    </r>
  </si>
  <si>
    <t xml:space="preserve">稀釋加權股數（百萬股，分割調整後）</t>
  </si>
  <si>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FQ3</t>
    </r>
    <r>
      <rPr>
        <sz val="11"/>
        <color theme="1"/>
        <rFont val="Noto Sans CJK SC"/>
        <family val="2"/>
      </rPr>
      <t xml:space="preserve">：分割前 </t>
    </r>
    <r>
      <rPr>
        <sz val="11"/>
        <color theme="1"/>
        <rFont val="Calibri"/>
        <family val="2"/>
        <charset val="1"/>
      </rPr>
      <t xml:space="preserve">133.30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131.75 ×10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</si>
  <si>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FY2026 − (</t>
    </r>
    <r>
      <rPr>
        <sz val="11"/>
        <color theme="1"/>
        <rFont val="Noto Sans CJK SC"/>
        <family val="2"/>
      </rPr>
      <t xml:space="preserve">上半＋</t>
    </r>
    <r>
      <rPr>
        <sz val="11"/>
        <color theme="1"/>
        <rFont val="Calibri"/>
        <family val="2"/>
        <charset val="1"/>
      </rPr>
      <t xml:space="preserve">FQ3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FQ4)</t>
    </r>
    <r>
      <rPr>
        <sz val="11"/>
        <color theme="1"/>
        <rFont val="Noto Sans CJK SC"/>
        <family val="2"/>
      </rPr>
      <t xml:space="preserve">（營收、產品、服務、淨利依序 </t>
    </r>
    <r>
      <rPr>
        <sz val="11"/>
        <color theme="1"/>
        <rFont val="Calibri"/>
        <family val="2"/>
        <charset val="1"/>
      </rPr>
      <t xml:space="preserve">B–E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</si>
  <si>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九個月與單季皆取新聞稿四捨五入值，差額為 </t>
    </r>
    <r>
      <rPr>
        <sz val="11"/>
        <color theme="1"/>
        <rFont val="Calibri"/>
        <family val="2"/>
        <charset val="1"/>
      </rPr>
      <t xml:space="preserve">0.1 </t>
    </r>
    <r>
      <rPr>
        <sz val="11"/>
        <color theme="1"/>
        <rFont val="Noto Sans CJK SC"/>
        <family val="2"/>
      </rPr>
      <t xml:space="preserve">以內的捨入差</t>
    </r>
  </si>
  <si>
    <r>
      <rPr>
        <b val="true"/>
        <sz val="11"/>
        <rFont val="Cambria"/>
        <family val="0"/>
        <charset val="1"/>
      </rPr>
      <t xml:space="preserve">FQ1-27 </t>
    </r>
    <r>
      <rPr>
        <b val="true"/>
        <sz val="11"/>
        <rFont val="Noto Sans CJK SC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2026-07-28</t>
    </r>
    <r>
      <rPr>
        <b val="true"/>
        <sz val="11"/>
        <rFont val="Noto Sans CJK SC"/>
        <family val="2"/>
      </rPr>
      <t xml:space="preserve">）</t>
    </r>
  </si>
  <si>
    <t xml:space="preserve">指引</t>
  </si>
  <si>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</si>
  <si>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</si>
  <si>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：毛利率 </t>
    </r>
    <r>
      <rPr>
        <sz val="11"/>
        <color theme="1"/>
        <rFont val="Calibri"/>
        <family val="2"/>
        <charset val="1"/>
      </rPr>
      <t xml:space="preserve">62.5%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1.16</t>
    </r>
    <r>
      <rPr>
        <sz val="11"/>
        <color theme="1"/>
        <rFont val="Noto Sans CJK SC"/>
        <family val="2"/>
      </rPr>
      <t xml:space="preserve">；稀釋股數 </t>
    </r>
    <r>
      <rPr>
        <sz val="11"/>
        <color theme="1"/>
        <rFont val="Calibri"/>
        <family val="2"/>
        <charset val="1"/>
      </rPr>
      <t xml:space="preserve">1,312M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</si>
  <si>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</si>
  <si>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</si>
  <si>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設備市場（十億美元，日曆年；讀 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成品三情境）與 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日曆年實績（百萬美元；由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頁各季加總）</t>
    </r>
  </si>
  <si>
    <t xml:space="preserve">CY2025</t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</si>
  <si>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</si>
  <si>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</si>
  <si>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</si>
  <si>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</si>
  <si>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</si>
  <si>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：設備市場（</t>
    </r>
    <r>
      <rPr>
        <b val="true"/>
        <sz val="11"/>
        <rFont val="Cambria"/>
        <family val="0"/>
        <charset val="1"/>
      </rPr>
      <t xml:space="preserve">markets/equipment 5A </t>
    </r>
    <r>
      <rPr>
        <b val="true"/>
        <sz val="11"/>
        <rFont val="Noto Sans CJK SC"/>
        <family val="2"/>
      </rPr>
      <t xml:space="preserve">區塊）</t>
    </r>
  </si>
  <si>
    <r>
      <rPr>
        <sz val="11"/>
        <color theme="1"/>
        <rFont val="Noto Sans CJK SC"/>
        <family val="2"/>
      </rPr>
      <t xml:space="preserve">  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</si>
  <si>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Mkt!C120:G120</t>
    </r>
  </si>
  <si>
    <t xml:space="preserve">  其他代工與邏輯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</si>
  <si>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Mkt!C121:G121</t>
    </r>
  </si>
  <si>
    <t xml:space="preserve">  其他前段（類比、功率、光罩等）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</si>
  <si>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Mkt!C124:G124</t>
    </r>
  </si>
  <si>
    <r>
      <rPr>
        <sz val="11"/>
        <color theme="1"/>
        <rFont val="Noto Sans CJK SC"/>
        <family val="2"/>
      </rPr>
      <t xml:space="preserve">  代工邏輯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小計（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</si>
  <si>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</si>
  <si>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Mkt!C122:G122</t>
    </r>
  </si>
  <si>
    <t xml:space="preserve">  NAND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</si>
  <si>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Mkt!C123:G123</t>
    </r>
  </si>
  <si>
    <r>
      <rPr>
        <sz val="11"/>
        <color theme="1"/>
        <rFont val="Noto Sans CJK SC"/>
        <family val="2"/>
      </rPr>
      <t xml:space="preserve">  記憶體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小計（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</si>
  <si>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先進封裝〔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</si>
  <si>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Mkt!C125:G125</t>
    </r>
  </si>
  <si>
    <t xml:space="preserve">  設備總額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</si>
  <si>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Mkt!C129:G129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</si>
  <si>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：設備市場（</t>
    </r>
    <r>
      <rPr>
        <b val="true"/>
        <sz val="11"/>
        <rFont val="Cambria"/>
        <family val="0"/>
        <charset val="1"/>
      </rPr>
      <t xml:space="preserve">markets/equipment 5B </t>
    </r>
    <r>
      <rPr>
        <b val="true"/>
        <sz val="11"/>
        <rFont val="Noto Sans CJK SC"/>
        <family val="2"/>
      </rPr>
      <t xml:space="preserve">區塊）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</si>
  <si>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Mkt!C139:G139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</si>
  <si>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Mkt!C140:G140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</si>
  <si>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Mkt!C143:G143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</si>
  <si>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Mkt!C141:G141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</si>
  <si>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Mkt!C142:G142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</si>
  <si>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Mkt!C144:G144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</si>
  <si>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Mkt!C148:G148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</si>
  <si>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：設備市場（</t>
    </r>
    <r>
      <rPr>
        <b val="true"/>
        <sz val="11"/>
        <rFont val="Cambria"/>
        <family val="0"/>
        <charset val="1"/>
      </rPr>
      <t xml:space="preserve">markets/equipment 5C </t>
    </r>
    <r>
      <rPr>
        <b val="true"/>
        <sz val="11"/>
        <rFont val="Noto Sans CJK SC"/>
        <family val="2"/>
      </rPr>
      <t xml:space="preserve">區塊）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</si>
  <si>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Mkt!C158:G158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</si>
  <si>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Mkt!C159:G159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</si>
  <si>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Mkt!C162:G162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</si>
  <si>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Mkt!C160:G160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</si>
  <si>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Mkt!C161:G161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</si>
  <si>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Mkt!C163:G163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</si>
  <si>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Mkt!C167:G167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</si>
  <si>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；對帳用）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</si>
  <si>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Mkt!C44:G44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；設備商協會，傾向樂觀）</t>
    </r>
  </si>
  <si>
    <r>
      <rPr>
        <b val="true"/>
        <sz val="11"/>
        <rFont val="Cambria"/>
        <family val="0"/>
        <charset val="1"/>
      </rPr>
      <t xml:space="preserve">KLA </t>
    </r>
    <r>
      <rPr>
        <b val="true"/>
        <sz val="11"/>
        <rFont val="Noto Sans CJK SC"/>
        <family val="2"/>
      </rPr>
      <t xml:space="preserve">日曆年實績（百萬美元；</t>
    </r>
    <r>
      <rPr>
        <b val="true"/>
        <sz val="11"/>
        <rFont val="Cambria"/>
        <family val="0"/>
        <charset val="1"/>
      </rPr>
      <t xml:space="preserve">CY2025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FQ3-25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FQ4-25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上半；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上半＝</t>
    </r>
    <r>
      <rPr>
        <b val="true"/>
        <sz val="11"/>
        <rFont val="Cambria"/>
        <family val="0"/>
        <charset val="1"/>
      </rPr>
      <t xml:space="preserve">FQ3-26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FQ4-26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</si>
  <si>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上半</t>
    </r>
  </si>
  <si>
    <t xml:space="preserve">產品</t>
  </si>
  <si>
    <t xml:space="preserve">服務</t>
  </si>
  <si>
    <t xml:space="preserve">半導體製程控制（事業別，含服務）</t>
  </si>
  <si>
    <r>
      <rPr>
        <sz val="11"/>
        <color theme="1"/>
        <rFont val="Noto Sans CJK SC"/>
        <family val="2"/>
      </rPr>
      <t xml:space="preserve">半導體製程控制系統（產品 − </t>
    </r>
    <r>
      <rPr>
        <sz val="11"/>
        <color theme="1"/>
        <rFont val="Calibri"/>
        <family val="2"/>
        <charset val="1"/>
      </rPr>
      <t xml:space="preserve">SPTS − PCB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</si>
  <si>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半導體製程控制營收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</si>
  <si>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pc_u</t>
    </r>
    <r>
      <rPr>
        <sz val="11"/>
        <color theme="1"/>
        <rFont val="Noto Sans CJK SC"/>
        <family val="2"/>
      </rPr>
      <t xml:space="preserve">（強度年增）的基期；公司稱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年較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提升 </t>
    </r>
    <r>
      <rPr>
        <sz val="11"/>
        <color theme="1"/>
        <rFont val="Calibri"/>
        <family val="2"/>
        <charset val="1"/>
      </rPr>
      <t xml:space="preserve">150bp</t>
    </r>
  </si>
  <si>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會計年度與日曆年：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CY(t−1) </t>
    </r>
    <r>
      <rPr>
        <sz val="11"/>
        <color theme="1"/>
        <rFont val="Noto Sans CJK SC"/>
        <family val="2"/>
      </rPr>
      <t xml:space="preserve">下半＋</t>
    </r>
    <r>
      <rPr>
        <sz val="11"/>
        <color theme="1"/>
        <rFont val="Calibri"/>
        <family val="2"/>
        <charset val="1"/>
      </rPr>
      <t xml:space="preserve">CY(t) </t>
    </r>
    <r>
      <rPr>
        <sz val="11"/>
        <color theme="1"/>
        <rFont val="Noto Sans CJK SC"/>
        <family val="2"/>
      </rPr>
      <t xml:space="preserve">上半。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起每年上下半各 </t>
    </r>
    <r>
      <rPr>
        <sz val="11"/>
        <color theme="1"/>
        <rFont val="Calibri"/>
        <family val="2"/>
        <charset val="1"/>
      </rPr>
      <t xml:space="preserve">1/2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，忽略年內斜率）；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的下半＝錨點 − 上半實績。</t>
    </r>
  </si>
  <si>
    <r>
      <rPr>
        <sz val="11"/>
        <color theme="1"/>
        <rFont val="Calibri"/>
        <family val="2"/>
        <charset val="1"/>
      </rPr>
      <t xml:space="preserve">PL — KLA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為美元）。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為實績，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為模型。三情境各一個完整推導區塊（見下方），本頁頂端為摘要</t>
    </r>
  </si>
  <si>
    <t xml:space="preserve">情境／項目</t>
  </si>
  <si>
    <t xml:space="preserve">FY2025A</t>
  </si>
  <si>
    <t xml:space="preserve">FY2026A</t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</si>
  <si>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</si>
  <si>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</si>
  <si>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</si>
  <si>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</si>
  <si>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：設備市場續增（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見頂）</t>
    </r>
  </si>
  <si>
    <t xml:space="preserve">  半導體製程控制系統</t>
  </si>
  <si>
    <t xml:space="preserve">  服務</t>
  </si>
  <si>
    <r>
      <rPr>
        <sz val="11"/>
        <color theme="1"/>
        <rFont val="Calibri"/>
        <family val="2"/>
        <charset val="1"/>
      </rPr>
      <t xml:space="preserve">  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</t>
    </r>
  </si>
  <si>
    <t xml:space="preserve">毛利率</t>
  </si>
  <si>
    <t xml:space="preserve">營業利益</t>
  </si>
  <si>
    <t xml:space="preserve">營業利益率</t>
  </si>
  <si>
    <t xml:space="preserve">淨利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</si>
  <si>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</si>
  <si>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</si>
  <si>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持平、</t>
    </r>
    <r>
      <rPr>
        <sz val="11"/>
        <color theme="1"/>
        <rFont val="Calibri"/>
        <family val="2"/>
        <charset val="1"/>
      </rPr>
      <t xml:space="preserve">2029 −5%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</si>
  <si>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</si>
  <si>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 </t>
    </r>
    <r>
      <rPr>
        <sz val="11"/>
        <color theme="1"/>
        <rFont val="Calibri"/>
        <family val="2"/>
        <charset val="1"/>
      </rPr>
      <t xml:space="preserve">2028 −20%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見頂）</t>
    </r>
  </si>
  <si>
    <r>
      <rPr>
        <b val="true"/>
        <sz val="11"/>
        <rFont val="Noto Sans CJK SC"/>
        <family val="2"/>
      </rPr>
      <t xml:space="preserve">核對：</t>
    </r>
    <r>
      <rPr>
        <b val="true"/>
        <sz val="11"/>
        <rFont val="Cambria"/>
        <family val="0"/>
        <charset val="1"/>
      </rPr>
      <t xml:space="preserve">FY2025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實績（應為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</si>
  <si>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</si>
  <si>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</si>
  <si>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</si>
  <si>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：設備市場續增（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見頂）</t>
    </r>
  </si>
  <si>
    <r>
      <rPr>
        <b val="true"/>
        <sz val="11"/>
        <rFont val="Cambria"/>
        <family val="0"/>
        <charset val="1"/>
      </rPr>
      <t xml:space="preserve">CY2025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FY2025A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</si>
  <si>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FY2026A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</si>
  <si>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</si>
  <si>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</si>
  <si>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FY2029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</si>
  <si>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CY2025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</si>
  <si>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加權前段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（代工邏輯＋</t>
    </r>
    <r>
      <rPr>
        <sz val="11"/>
        <color theme="1"/>
        <rFont val="Calibri"/>
        <family val="2"/>
        <charset val="1"/>
      </rPr>
      <t xml:space="preserve">m × </t>
    </r>
    <r>
      <rPr>
        <sz val="11"/>
        <color theme="1"/>
        <rFont val="Noto Sans CJK SC"/>
        <family val="2"/>
      </rPr>
      <t xml:space="preserve">記憶體）</t>
    </r>
  </si>
  <si>
    <r>
      <rPr>
        <sz val="11"/>
        <color theme="1"/>
        <rFont val="Noto Sans CJK SC"/>
        <family val="2"/>
      </rPr>
      <t xml:space="preserve">設備模型情境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＝記憶體相對強度</t>
    </r>
  </si>
  <si>
    <t xml:space="preserve">先進封裝設備市場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</si>
  <si>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錨點（上半實績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＋下半增幅））</t>
    </r>
  </si>
  <si>
    <r>
      <rPr>
        <sz val="11"/>
        <color theme="1"/>
        <rFont val="Noto Sans CJK SC"/>
        <family val="2"/>
      </rPr>
      <t xml:space="preserve">上半實績＋公司說法（下半約高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</si>
  <si>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服務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</si>
  <si>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CY2026 </t>
    </r>
    <r>
      <rPr>
        <sz val="11"/>
        <color theme="1"/>
        <rFont val="Noto Sans CJK SC"/>
        <family val="2"/>
      </rPr>
      <t xml:space="preserve">錨點</t>
    </r>
  </si>
  <si>
    <t xml:space="preserve">先進封裝製程控制系統營收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</si>
  <si>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起：前一年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 × </t>
    </r>
    <r>
      <rPr>
        <sz val="11"/>
        <color theme="1"/>
        <rFont val="Noto Sans CJK SC"/>
        <family val="2"/>
      </rPr>
      <t xml:space="preserve">封裝設備市場成長）</t>
    </r>
  </si>
  <si>
    <t xml:space="preserve">前段製程控制系統營收</t>
  </si>
  <si>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＝系統 − 先進封裝；之後＝強度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WFE</t>
    </r>
  </si>
  <si>
    <r>
      <rPr>
        <sz val="11"/>
        <color theme="1"/>
        <rFont val="Noto Sans CJK SC"/>
        <family val="2"/>
      </rPr>
      <t xml:space="preserve">製程控制強度（前段系統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加權前段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</si>
  <si>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校準；之後每年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pc_u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</si>
  <si>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半導體製程控制系統營收 </t>
    </r>
    <r>
      <rPr>
        <sz val="11"/>
        <color theme="1"/>
        <rFont val="Calibri"/>
        <family val="2"/>
        <charset val="1"/>
      </rPr>
      <t xml:space="preserve">CY</t>
    </r>
  </si>
  <si>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＝錨點 − 服務 − 兩事業；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中國占比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中國下降比例）</t>
    </r>
  </si>
  <si>
    <r>
      <rPr>
        <sz val="11"/>
        <color theme="1"/>
        <rFont val="Noto Sans CJK SC"/>
        <family val="2"/>
      </rPr>
      <t xml:space="preserve">顯示：製程控制占前段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（強度 </t>
    </r>
    <r>
      <rPr>
        <sz val="11"/>
        <color theme="1"/>
        <rFont val="Calibri"/>
        <family val="2"/>
        <charset val="1"/>
      </rPr>
      <t xml:space="preserve">÷ KLA </t>
    </r>
    <r>
      <rPr>
        <sz val="11"/>
        <color theme="1"/>
        <rFont val="Noto Sans CJK SC"/>
        <family val="2"/>
      </rPr>
      <t xml:space="preserve">市占）</t>
    </r>
  </si>
  <si>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58% </t>
    </r>
    <r>
      <rPr>
        <sz val="11"/>
        <color theme="1"/>
        <rFont val="Noto Sans CJK SC"/>
        <family val="2"/>
      </rPr>
      <t xml:space="preserve">為賣方數字，只供顯示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</si>
  <si>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FY2025A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CY(t−1) </t>
    </r>
    <r>
      <rPr>
        <b val="true"/>
        <sz val="11"/>
        <rFont val="Noto Sans CJK SC"/>
        <family val="2"/>
      </rPr>
      <t xml:space="preserve">下半＋</t>
    </r>
    <r>
      <rPr>
        <b val="true"/>
        <sz val="11"/>
        <rFont val="Cambria"/>
        <family val="0"/>
        <charset val="1"/>
      </rPr>
      <t xml:space="preserve">CY(t) </t>
    </r>
    <r>
      <rPr>
        <b val="true"/>
        <sz val="11"/>
        <rFont val="Noto Sans CJK SC"/>
        <family val="2"/>
      </rPr>
      <t xml:space="preserve">上半）</t>
    </r>
  </si>
  <si>
    <r>
      <rPr>
        <sz val="11"/>
        <color theme="1"/>
        <rFont val="Noto Sans CJK SC"/>
        <family val="2"/>
      </rPr>
      <t xml:space="preserve">半導體製程控制系統營收 </t>
    </r>
    <r>
      <rPr>
        <sz val="11"/>
        <color theme="1"/>
        <rFont val="Calibri"/>
        <family val="2"/>
        <charset val="1"/>
      </rPr>
      <t xml:space="preserve">FY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</si>
  <si>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下半（錨點 − 上半實績）＋</t>
    </r>
    <r>
      <rPr>
        <sz val="11"/>
        <color theme="1"/>
        <rFont val="Calibri"/>
        <family val="2"/>
        <charset val="1"/>
      </rPr>
      <t xml:space="preserve">1/2 CY2027</t>
    </r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</si>
  <si>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</si>
  <si>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＝實績（恆等）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</si>
  <si>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毛利＋增量毛利率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（營收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營收）</t>
    </r>
  </si>
  <si>
    <t xml:space="preserve">營業費用（研發＋銷管）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</si>
  <si>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含減損 </t>
    </r>
    <r>
      <rPr>
        <sz val="11"/>
        <color theme="1"/>
        <rFont val="Calibri"/>
        <family val="2"/>
        <charset val="1"/>
      </rPr>
      <t xml:space="preserve">239.1</t>
    </r>
  </si>
  <si>
    <t xml:space="preserve">營業外淨額</t>
  </si>
  <si>
    <t xml:space="preserve">稀釋股數</t>
  </si>
  <si>
    <r>
      <rPr>
        <sz val="11"/>
        <color theme="1"/>
        <rFont val="Noto Sans CJK SC"/>
        <family val="2"/>
      </rPr>
      <t xml:space="preserve">顯示：中國營收（</t>
    </r>
    <r>
      <rPr>
        <sz val="11"/>
        <color theme="1"/>
        <rFont val="Calibri"/>
        <family val="2"/>
        <charset val="1"/>
      </rPr>
      <t xml:space="preserve">× FY2026 </t>
    </r>
    <r>
      <rPr>
        <sz val="11"/>
        <color theme="1"/>
        <rFont val="Noto Sans CJK SC"/>
        <family val="2"/>
      </rPr>
      <t xml:space="preserve">中國占比；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起扣下降）</t>
    </r>
  </si>
  <si>
    <t xml:space="preserve">只供顯示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</si>
  <si>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：設備市場 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持平、</t>
    </r>
    <r>
      <rPr>
        <b val="true"/>
        <sz val="11"/>
        <rFont val="Cambria"/>
        <family val="0"/>
        <charset val="1"/>
      </rPr>
      <t xml:space="preserve">2029 −5%</t>
    </r>
  </si>
  <si>
    <r>
      <rPr>
        <sz val="11"/>
        <color theme="1"/>
        <rFont val="Noto Sans CJK SC"/>
        <family val="2"/>
      </rPr>
      <t xml:space="preserve">設備模型情境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＝記憶體相對強度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</si>
  <si>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：設備市場 </t>
    </r>
    <r>
      <rPr>
        <b val="true"/>
        <sz val="11"/>
        <rFont val="Cambria"/>
        <family val="0"/>
        <charset val="1"/>
      </rPr>
      <t xml:space="preserve">2028 −20%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見頂）</t>
    </r>
  </si>
  <si>
    <r>
      <rPr>
        <sz val="11"/>
        <color theme="1"/>
        <rFont val="Noto Sans CJK SC"/>
        <family val="2"/>
      </rPr>
      <t xml:space="preserve">設備模型情境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＝記憶體相對強度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</si>
  <si>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新增）：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</si>
  <si>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</si>
  <si>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</si>
  <si>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</si>
  <si>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</si>
  <si>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</si>
  <si>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</si>
  <si>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</si>
  <si>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</si>
  <si>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</si>
  <si>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</si>
  <si>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</si>
  <si>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</si>
  <si>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</si>
  <si>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分位。循環位置依設備股共用規則（第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一律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</si>
  <si>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「當期會計年度」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（年底所在會計年度，例如 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期）；另列「前期」（上一個已結束會計年度）。價格與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皆為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分割調整後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</si>
  <si>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加權）：見本頁第 </t>
    </r>
    <r>
      <rPr>
        <sz val="11"/>
        <color theme="1"/>
        <rFont val="Calibri"/>
        <family val="2"/>
        <charset val="1"/>
      </rPr>
      <t xml:space="preserve">94 </t>
    </r>
    <r>
      <rPr>
        <sz val="11"/>
        <color theme="1"/>
        <rFont val="Noto Sans CJK SC"/>
        <family val="2"/>
      </rPr>
      <t xml:space="preserve">列起「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目標價」（估值 </t>
    </r>
    <r>
      <rPr>
        <sz val="11"/>
        <color theme="1"/>
        <rFont val="Calibri"/>
        <family val="2"/>
        <charset val="1"/>
      </rPr>
      <t xml:space="preserve">v2 </t>
    </r>
    <r>
      <rPr>
        <sz val="11"/>
        <color theme="1"/>
        <rFont val="Noto Sans CJK SC"/>
        <family val="2"/>
      </rPr>
      <t xml:space="preserve">新增，放在既有內容之後以免位移既有列）；原「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目標價與上檔空間」改名為「舊法：規則值情境加權（參考）」</t>
    </r>
  </si>
  <si>
    <t xml:space="preserve">舊法：規則值情境加權（參考）</t>
  </si>
  <si>
    <t xml:space="preserve">數值</t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</si>
  <si>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</si>
  <si>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</si>
  <si>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</si>
  <si>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現價見第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</si>
  <si>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</si>
  <si>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節規則值（設備市場續增）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</si>
  <si>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</si>
  <si>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節規則值（設備市場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</si>
  <si>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</si>
  <si>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節規則值（設備市場 </t>
    </r>
    <r>
      <rPr>
        <sz val="11"/>
        <color theme="1"/>
        <rFont val="Calibri"/>
        <family val="2"/>
        <charset val="1"/>
      </rPr>
      <t xml:space="preserve">2028 −20%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</si>
  <si>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</si>
  <si>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規則值方法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</si>
  <si>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規則值：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2027-06 </t>
    </r>
    <r>
      <rPr>
        <sz val="11"/>
        <color theme="1"/>
        <rFont val="Noto Sans CJK SC"/>
        <family val="2"/>
      </rPr>
      <t xml:space="preserve">期）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× 2016–2025 </t>
    </r>
    <r>
      <rPr>
        <sz val="11"/>
        <color theme="1"/>
        <rFont val="Noto Sans CJK SC"/>
        <family val="2"/>
      </rPr>
      <t xml:space="preserve">年底當期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分位；設備股共用規則）。十年倍數含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前（</t>
    </r>
    <r>
      <rPr>
        <sz val="11"/>
        <color theme="1"/>
        <rFont val="Calibri"/>
        <family val="2"/>
        <charset val="1"/>
      </rPr>
      <t xml:space="preserve">2016–2018</t>
    </r>
    <r>
      <rPr>
        <sz val="11"/>
        <color theme="1"/>
        <rFont val="Noto Sans CJK SC"/>
        <family val="2"/>
      </rPr>
      <t xml:space="preserve">）低倍數期，偏誤方向為偏低（壓低目標價）；照規則計算，未另換倍數</t>
    </r>
  </si>
  <si>
    <r>
      <rPr>
        <sz val="11"/>
        <color theme="1"/>
        <rFont val="Noto Sans CJK SC"/>
        <family val="2"/>
      </rPr>
      <t xml:space="preserve">檢查：權重合計（應為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</si>
  <si>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公司公布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（會計年度，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稀釋，美元，分割調整後）— 兩個來源</t>
    </r>
  </si>
  <si>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月結束）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</si>
  <si>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SEC XBRL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；分割前 </t>
    </r>
    <r>
      <rPr>
        <b val="true"/>
        <sz val="11"/>
        <rFont val="Cambria"/>
        <family val="0"/>
        <charset val="1"/>
      </rPr>
      <t xml:space="preserve">÷10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</si>
  <si>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TTM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÷10</t>
    </r>
    <r>
      <rPr>
        <b val="true"/>
        <sz val="11"/>
        <rFont val="Noto Sans CJK SC"/>
        <family val="2"/>
      </rPr>
      <t xml:space="preserve">）</t>
    </r>
  </si>
  <si>
    <t xml:space="preserve">兩者差距</t>
  </si>
  <si>
    <r>
      <rPr>
        <sz val="11"/>
        <color theme="1"/>
        <rFont val="Calibri"/>
        <family val="2"/>
        <charset val="1"/>
      </rPr>
      <t xml:space="preserve">FY2016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</si>
  <si>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SEC companyconcept EarningsPerShareDiluted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年度值）</t>
    </r>
  </si>
  <si>
    <r>
      <rPr>
        <sz val="11"/>
        <color theme="1"/>
        <rFont val="Calibri"/>
        <family val="2"/>
        <charset val="1"/>
      </rPr>
      <t xml:space="preserve">FY2017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</si>
  <si>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</si>
  <si>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美國稅改一次性費用使 </t>
    </r>
    <r>
      <rPr>
        <sz val="11"/>
        <color theme="1"/>
        <rFont val="Calibri"/>
        <family val="2"/>
        <charset val="1"/>
      </rPr>
      <t xml:space="preserve">FY2018 </t>
    </r>
    <r>
      <rPr>
        <sz val="11"/>
        <color theme="1"/>
        <rFont val="Noto Sans CJK SC"/>
        <family val="2"/>
      </rPr>
      <t xml:space="preserve">偏低</t>
    </r>
  </si>
  <si>
    <r>
      <rPr>
        <sz val="11"/>
        <color theme="1"/>
        <rFont val="Calibri"/>
        <family val="2"/>
        <charset val="1"/>
      </rPr>
      <t xml:space="preserve">FY2019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</si>
  <si>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2020-06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</si>
  <si>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</si>
  <si>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</si>
  <si>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</si>
  <si>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</si>
  <si>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FY2026 10-K </t>
    </r>
    <r>
      <rPr>
        <sz val="11"/>
        <color theme="1"/>
        <rFont val="Noto Sans CJK SC"/>
        <family val="2"/>
      </rPr>
      <t xml:space="preserve">重編的分割後 </t>
    </r>
    <r>
      <rPr>
        <sz val="11"/>
        <color theme="1"/>
        <rFont val="Calibri"/>
        <family val="2"/>
        <charset val="1"/>
      </rPr>
      <t xml:space="preserve">2.03</t>
    </r>
    <r>
      <rPr>
        <sz val="11"/>
        <color theme="1"/>
        <rFont val="Noto Sans CJK SC"/>
        <family val="2"/>
      </rPr>
      <t xml:space="preserve">（分割前 </t>
    </r>
    <r>
      <rPr>
        <sz val="11"/>
        <color theme="1"/>
        <rFont val="Calibri"/>
        <family val="2"/>
        <charset val="1"/>
      </rPr>
      <t xml:space="preserve">20.28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</si>
  <si>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</si>
  <si>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分割前 </t>
    </r>
    <r>
      <rPr>
        <sz val="11"/>
        <color theme="1"/>
        <rFont val="Calibri"/>
        <family val="2"/>
        <charset val="1"/>
      </rPr>
      <t xml:space="preserve">30.37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</si>
  <si>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</si>
  <si>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macrotrends 2026-06 </t>
    </r>
    <r>
      <rPr>
        <sz val="11"/>
        <color theme="1"/>
        <rFont val="Noto Sans CJK SC"/>
        <family val="2"/>
      </rPr>
      <t xml:space="preserve">列異常，未用）；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</si>
  <si>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FY2026 EPS </t>
    </r>
    <r>
      <rPr>
        <b val="true"/>
        <sz val="11"/>
        <rFont val="Noto Sans CJK SC"/>
        <family val="2"/>
      </rPr>
      <t xml:space="preserve">改由 </t>
    </r>
    <r>
      <rPr>
        <b val="true"/>
        <sz val="11"/>
        <rFont val="Cambria"/>
        <family val="0"/>
        <charset val="1"/>
      </rPr>
      <t xml:space="preserve">Q </t>
    </r>
    <r>
      <rPr>
        <b val="true"/>
        <sz val="11"/>
        <rFont val="Noto Sans CJK SC"/>
        <family val="2"/>
      </rPr>
      <t xml:space="preserve">頁實績帶入第 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節（＝</t>
    </r>
    <r>
      <rPr>
        <b val="true"/>
        <sz val="11"/>
        <rFont val="Cambria"/>
        <family val="0"/>
        <charset val="1"/>
      </rPr>
      <t xml:space="preserve">a26_eps</t>
    </r>
    <r>
      <rPr>
        <b val="true"/>
        <sz val="11"/>
        <rFont val="Noto Sans CJK SC"/>
        <family val="2"/>
      </rPr>
      <t xml:space="preserve">）；其餘年度用來源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。兩來源差距皆來自四捨五入</t>
    </r>
  </si>
  <si>
    <r>
      <rPr>
        <b val="true"/>
        <sz val="11"/>
        <rFont val="Cambria"/>
        <family val="0"/>
        <charset val="1"/>
      </rPr>
      <t xml:space="preserve">2. 10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</si>
  <si>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</si>
  <si>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r>
      <rPr>
        <b val="true"/>
        <sz val="11"/>
        <rFont val="Noto Sans CJK SC"/>
        <family val="2"/>
      </rPr>
      <t xml:space="preserve">收盤價 </t>
    </r>
    <r>
      <rPr>
        <b val="true"/>
        <sz val="11"/>
        <rFont val="Cambria"/>
        <family val="0"/>
        <charset val="1"/>
      </rPr>
      <t xml:space="preserve">US$</t>
    </r>
    <r>
      <rPr>
        <b val="true"/>
        <sz val="11"/>
        <rFont val="Noto Sans CJK SC"/>
        <family val="2"/>
      </rPr>
      <t xml:space="preserve">（分割調整）</t>
    </r>
  </si>
  <si>
    <r>
      <rPr>
        <b val="true"/>
        <sz val="11"/>
        <rFont val="Noto Sans CJK SC"/>
        <family val="2"/>
      </rPr>
      <t xml:space="preserve">當期 </t>
    </r>
    <r>
      <rPr>
        <b val="true"/>
        <sz val="11"/>
        <rFont val="Cambria"/>
        <family val="0"/>
        <charset val="1"/>
      </rPr>
      <t xml:space="preserve">FY EPS</t>
    </r>
  </si>
  <si>
    <r>
      <rPr>
        <b val="true"/>
        <sz val="11"/>
        <rFont val="Noto Sans CJK SC"/>
        <family val="2"/>
      </rPr>
      <t xml:space="preserve">前期 </t>
    </r>
    <r>
      <rPr>
        <b val="true"/>
        <sz val="11"/>
        <rFont val="Cambria"/>
        <family val="0"/>
        <charset val="1"/>
      </rPr>
      <t xml:space="preserve">FY EPS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</si>
  <si>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當期（自算）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</si>
  <si>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前期（自算）</t>
    </r>
  </si>
  <si>
    <t xml:space="preserve">macrotrends TTM P/E</t>
  </si>
  <si>
    <r>
      <rPr>
        <b val="true"/>
        <sz val="11"/>
        <rFont val="Noto Sans CJK SC"/>
        <family val="2"/>
      </rPr>
      <t xml:space="preserve">自算當期 − </t>
    </r>
    <r>
      <rPr>
        <b val="true"/>
        <sz val="11"/>
        <rFont val="Cambria"/>
        <family val="0"/>
        <charset val="1"/>
      </rPr>
      <t xml:space="preserve">macrotrends</t>
    </r>
  </si>
  <si>
    <r>
      <rPr>
        <b val="true"/>
        <sz val="11"/>
        <rFont val="Noto Sans CJK SC"/>
        <family val="2"/>
      </rPr>
      <t xml:space="preserve">收盤價來源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÷10</t>
    </r>
    <r>
      <rPr>
        <b val="true"/>
        <sz val="11"/>
        <rFont val="Noto Sans CJK SC"/>
        <family val="2"/>
      </rPr>
      <t xml:space="preserve">，含股利調整）</t>
    </r>
  </si>
  <si>
    <t xml:space="preserve">來源／說明</t>
  </si>
  <si>
    <t xml:space="preserve">2016-12</t>
  </si>
  <si>
    <r>
      <rPr>
        <sz val="11"/>
        <color theme="1"/>
        <rFont val="Noto Sans CJK SC"/>
        <family val="2"/>
      </rPr>
      <t xml:space="preserve">收盤價：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」（未調整）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月收盤 </t>
    </r>
    <r>
      <rPr>
        <sz val="11"/>
        <color theme="1"/>
        <rFont val="Calibri"/>
        <family val="2"/>
        <charset val="1"/>
      </rPr>
      <t xml:space="preserve">÷10</t>
    </r>
  </si>
  <si>
    <t xml:space="preserve">2017-12</t>
  </si>
  <si>
    <t xml:space="preserve">2018-12</t>
  </si>
  <si>
    <r>
      <rPr>
        <sz val="11"/>
        <color theme="1"/>
        <rFont val="Noto Sans CJK SC"/>
        <family val="2"/>
      </rPr>
      <t xml:space="preserve">當期 </t>
    </r>
    <r>
      <rPr>
        <sz val="11"/>
        <color theme="1"/>
        <rFont val="Calibri"/>
        <family val="2"/>
        <charset val="1"/>
      </rPr>
      <t xml:space="preserve">P/E 11.9 </t>
    </r>
    <r>
      <rPr>
        <sz val="11"/>
        <color theme="1"/>
        <rFont val="Noto Sans CJK SC"/>
        <family val="2"/>
      </rPr>
      <t xml:space="preserve">為十年最低（</t>
    </r>
    <r>
      <rPr>
        <sz val="11"/>
        <color theme="1"/>
        <rFont val="Calibri"/>
        <family val="2"/>
        <charset val="1"/>
      </rPr>
      <t xml:space="preserve">2018Q4 </t>
    </r>
    <r>
      <rPr>
        <sz val="11"/>
        <color theme="1"/>
        <rFont val="Noto Sans CJK SC"/>
        <family val="2"/>
      </rPr>
      <t xml:space="preserve">記憶體循環下修）</t>
    </r>
  </si>
  <si>
    <t xml:space="preserve">2019-12</t>
  </si>
  <si>
    <t xml:space="preserve">2020-12</t>
  </si>
  <si>
    <t xml:space="preserve">2021-12</t>
  </si>
  <si>
    <t xml:space="preserve">2022-12</t>
  </si>
  <si>
    <t xml:space="preserve">2023-12</t>
  </si>
  <si>
    <t xml:space="preserve">2024-12</t>
  </si>
  <si>
    <t xml:space="preserve">2025-12</t>
  </si>
  <si>
    <r>
      <rPr>
        <sz val="11"/>
        <color theme="1"/>
        <rFont val="Noto Sans CJK SC"/>
        <family val="2"/>
      </rPr>
      <t xml:space="preserve">當期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3.66</t>
    </r>
    <r>
      <rPr>
        <sz val="11"/>
        <color theme="1"/>
        <rFont val="Noto Sans CJK SC"/>
        <family val="2"/>
      </rPr>
      <t xml:space="preserve">；最高 </t>
    </r>
    <r>
      <rPr>
        <sz val="11"/>
        <color theme="1"/>
        <rFont val="Calibri"/>
        <family val="2"/>
        <charset val="1"/>
      </rPr>
      <t xml:space="preserve">33.2</t>
    </r>
  </si>
  <si>
    <r>
      <rPr>
        <sz val="11"/>
        <color theme="1"/>
        <rFont val="Noto Sans CJK SC"/>
        <family val="2"/>
      </rPr>
      <t xml:space="preserve">收盤價來源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，年底收盤，未做股利調整）；來源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（含股利調整，故略低，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欄）。</t>
    </r>
    <r>
      <rPr>
        <sz val="11"/>
        <color theme="1"/>
        <rFont val="Calibri"/>
        <family val="2"/>
        <charset val="1"/>
      </rPr>
      <t xml:space="preserve">macrotrends P/E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口徑（年底已公布的近四季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），與自算的當期口徑不同，只作對照。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</si>
  <si>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分位</t>
    </r>
  </si>
  <si>
    <t xml:space="preserve">統計</t>
  </si>
  <si>
    <r>
      <rPr>
        <b val="true"/>
        <sz val="11"/>
        <rFont val="Cambria"/>
        <family val="0"/>
        <charset val="1"/>
      </rPr>
      <t xml:space="preserve">macrotrends P/E</t>
    </r>
    <r>
      <rPr>
        <b val="true"/>
        <sz val="11"/>
        <rFont val="Noto Sans CJK SC"/>
        <family val="2"/>
      </rPr>
      <t xml:space="preserve">（參考）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</si>
  <si>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</si>
  <si>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</si>
  <si>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</si>
  <si>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</si>
  <si>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</si>
  <si>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</si>
  <si>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</si>
  <si>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</si>
  <si>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sz val="11"/>
        <color theme="1"/>
        <rFont val="Noto Sans CJK SC"/>
        <family val="2"/>
      </rPr>
      <t xml:space="preserve">偏誤方向：</t>
    </r>
    <r>
      <rPr>
        <sz val="11"/>
        <color theme="1"/>
        <rFont val="Calibri"/>
        <family val="2"/>
        <charset val="1"/>
      </rPr>
      <t xml:space="preserve">2016–2018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需求出現前）當期 </t>
    </r>
    <r>
      <rPr>
        <sz val="11"/>
        <color theme="1"/>
        <rFont val="Calibri"/>
        <family val="2"/>
        <charset val="1"/>
      </rPr>
      <t xml:space="preserve">P/E 13.4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11.9 </t>
    </r>
    <r>
      <rPr>
        <sz val="11"/>
        <color theme="1"/>
        <rFont val="Noto Sans CJK SC"/>
        <family val="2"/>
      </rPr>
      <t xml:space="preserve">偏低，拉低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分位與中位數；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28.7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33.2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期高倍數。照規則計算，不另換倍數。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</si>
  <si>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</si>
  <si>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分位）。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月，上下半各一半；以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（結束年）。驗證：以 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加權的設備總額（</t>
    </r>
    <r>
      <rPr>
        <sz val="11"/>
        <color theme="1"/>
        <rFont val="Calibri"/>
        <family val="2"/>
        <charset val="1"/>
      </rPr>
      <t xml:space="preserve">1/2 CY(t−1)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1/2 CY(t)</t>
    </r>
    <r>
      <rPr>
        <sz val="11"/>
        <color theme="1"/>
        <rFont val="Noto Sans CJK SC"/>
        <family val="2"/>
      </rPr>
      <t xml:space="preserve">）的見頂會計年度與此判定一致（右表）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</si>
  <si>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</si>
  <si>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</si>
  <si>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</si>
  <si>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</si>
  <si>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</si>
  <si>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r>
      <rPr>
        <b val="true"/>
        <sz val="11"/>
        <rFont val="Cambria"/>
        <family val="0"/>
        <charset val="1"/>
      </rPr>
      <t xml:space="preserve">FY </t>
    </r>
    <r>
      <rPr>
        <b val="true"/>
        <sz val="11"/>
        <rFont val="Noto Sans CJK SC"/>
        <family val="2"/>
      </rPr>
      <t xml:space="preserve">加權設備總額 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</si>
  <si>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FY </t>
    </r>
    <r>
      <rPr>
        <b val="true"/>
        <sz val="11"/>
        <rFont val="Noto Sans CJK SC"/>
        <family val="2"/>
      </rPr>
      <t xml:space="preserve">加權設備總額 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</si>
  <si>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FY </t>
    </r>
    <r>
      <rPr>
        <b val="true"/>
        <sz val="11"/>
        <rFont val="Noto Sans CJK SC"/>
        <family val="2"/>
      </rPr>
      <t xml:space="preserve">加權見頂（</t>
    </r>
    <r>
      <rPr>
        <b val="true"/>
        <sz val="11"/>
        <rFont val="Cambria"/>
        <family val="0"/>
        <charset val="1"/>
      </rPr>
      <t xml:space="preserve">FY2027–29</t>
    </r>
    <r>
      <rPr>
        <b val="true"/>
        <sz val="11"/>
        <rFont val="Noto Sans CJK SC"/>
        <family val="2"/>
      </rPr>
      <t xml:space="preserve">）</t>
    </r>
  </si>
  <si>
    <t xml:space="preserve">A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</si>
  <si>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</si>
  <si>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</si>
  <si>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隱含股價（美元）：規則值＝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</si>
  <si>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</si>
  <si>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EPS</t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</si>
  <si>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</si>
  <si>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</si>
  <si>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</si>
  <si>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</si>
  <si>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</si>
  <si>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</si>
  <si>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</si>
  <si>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目前遠期 </t>
    </r>
    <r>
      <rPr>
        <b val="true"/>
        <sz val="11"/>
        <rFont val="Cambria"/>
        <family val="0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</si>
  <si>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</si>
  <si>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月內由 </t>
    </r>
    <r>
      <rPr>
        <sz val="11"/>
        <color theme="1"/>
        <rFont val="Calibri"/>
        <family val="2"/>
        <charset val="1"/>
      </rPr>
      <t xml:space="preserve">206.89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10-02</t>
    </r>
    <r>
      <rPr>
        <sz val="11"/>
        <color theme="1"/>
        <rFont val="Noto Sans CJK SC"/>
        <family val="2"/>
      </rPr>
      <t xml:space="preserve">）跌至 </t>
    </r>
    <r>
      <rPr>
        <sz val="11"/>
        <color theme="1"/>
        <rFont val="Calibri"/>
        <family val="2"/>
        <charset val="1"/>
      </rPr>
      <t xml:space="preserve">145.61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</si>
  <si>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</si>
  <si>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顯示 </t>
    </r>
    <r>
      <rPr>
        <sz val="11"/>
        <color theme="1"/>
        <rFont val="Calibri"/>
        <family val="2"/>
        <charset val="1"/>
      </rPr>
      <t xml:space="preserve">26.65x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</si>
  <si>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</si>
  <si>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</si>
  <si>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</si>
  <si>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</si>
  <si>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現價隱含倍數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規則倍數（情境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）— 以 </t>
    </r>
    <r>
      <rPr>
        <sz val="11"/>
        <color theme="1"/>
        <rFont val="Calibri"/>
        <family val="2"/>
        <charset val="1"/>
      </rPr>
      <t xml:space="preserve">FY2027 A EPS</t>
    </r>
  </si>
  <si>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＝現價高於規則給的倍數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</si>
  <si>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</si>
  <si>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</si>
  <si>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</si>
  <si>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</si>
  <si>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</si>
  <si>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</si>
  <si>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</si>
  <si>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</si>
  <si>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</si>
  <si>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</si>
  <si>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</si>
  <si>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</si>
  <si>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</si>
  <si>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</si>
  <si>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t xml:space="preserve">模型無折舊與資本支出項目，故不用（淨利＋折舊－資本支出）；設備股資本支出低（輕資產），此式偏誤小</t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</si>
  <si>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</si>
  <si>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</si>
  <si>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</si>
  <si>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；會計年度 </t>
    </r>
    <r>
      <rPr>
        <sz val="11"/>
        <color theme="1"/>
        <rFont val="Calibri"/>
        <family val="2"/>
        <charset val="1"/>
      </rPr>
      <t xml:space="preserve">7–6 </t>
    </r>
    <r>
      <rPr>
        <sz val="11"/>
        <color theme="1"/>
        <rFont val="Noto Sans CJK SC"/>
        <family val="2"/>
      </rPr>
      <t xml:space="preserve">月，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折現（略低估）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</si>
  <si>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</si>
  <si>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</si>
  <si>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</si>
  <si>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</si>
  <si>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</si>
  <si>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</si>
  <si>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</si>
  <si>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</si>
  <si>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</si>
  <si>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應用材料（</t>
    </r>
    <r>
      <rPr>
        <sz val="11"/>
        <color theme="1"/>
        <rFont val="Calibri"/>
        <family val="2"/>
        <charset val="1"/>
      </rPr>
      <t xml:space="preserve">Applied Materials</t>
    </r>
    <r>
      <rPr>
        <sz val="11"/>
        <color theme="1"/>
        <rFont val="Noto Sans CJK SC"/>
        <family val="2"/>
      </rPr>
      <t xml:space="preserve">）</t>
    </r>
  </si>
  <si>
    <t xml:space="preserve">AMAT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</si>
  <si>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</si>
  <si>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</si>
  <si>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科林研發（</t>
    </r>
    <r>
      <rPr>
        <sz val="11"/>
        <color theme="1"/>
        <rFont val="Calibri"/>
        <family val="2"/>
        <charset val="1"/>
      </rPr>
      <t xml:space="preserve">Lam Research</t>
    </r>
    <r>
      <rPr>
        <sz val="11"/>
        <color theme="1"/>
        <rFont val="Noto Sans CJK SC"/>
        <family val="2"/>
      </rPr>
      <t xml:space="preserve">）</t>
    </r>
  </si>
  <si>
    <t xml:space="preserve">LRCX</t>
  </si>
  <si>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（美國 </t>
    </r>
    <r>
      <rPr>
        <sz val="11"/>
        <color theme="1"/>
        <rFont val="Calibri"/>
        <family val="2"/>
        <charset val="1"/>
      </rPr>
      <t xml:space="preserve">ADR</t>
    </r>
    <r>
      <rPr>
        <sz val="11"/>
        <color theme="1"/>
        <rFont val="Noto Sans CJK SC"/>
        <family val="2"/>
      </rPr>
      <t xml:space="preserve">）</t>
    </r>
  </si>
  <si>
    <t xml:space="preserve">ASML</t>
  </si>
  <si>
    <r>
      <rPr>
        <sz val="11"/>
        <color theme="1"/>
        <rFont val="Noto Sans CJK SC"/>
        <family val="2"/>
      </rPr>
      <t xml:space="preserve">東京威力科創（</t>
    </r>
    <r>
      <rPr>
        <sz val="11"/>
        <color theme="1"/>
        <rFont val="Calibri"/>
        <family val="2"/>
        <charset val="1"/>
      </rPr>
      <t xml:space="preserve">Tokyo Electron</t>
    </r>
    <r>
      <rPr>
        <sz val="11"/>
        <color theme="1"/>
        <rFont val="Noto Sans CJK SC"/>
        <family val="2"/>
      </rPr>
      <t xml:space="preserve">）</t>
    </r>
  </si>
  <si>
    <t xml:space="preserve">8035.T</t>
  </si>
  <si>
    <t xml:space="preserve">2026-10-21</t>
  </si>
  <si>
    <t xml:space="preserve">Lasertec</t>
  </si>
  <si>
    <t xml:space="preserve">6920.T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</si>
  <si>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</si>
  <si>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前段設備與量測檢測同業：應用材料、科林研發、</t>
    </r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、東京威力科創、</t>
    </r>
    <r>
      <rPr>
        <sz val="11"/>
        <color theme="1"/>
        <rFont val="Calibri"/>
        <family val="2"/>
        <charset val="1"/>
      </rPr>
      <t xml:space="preserve">Lasertec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</si>
  <si>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</si>
  <si>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2028-06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7–6 </t>
    </r>
    <r>
      <rPr>
        <sz val="11"/>
        <color theme="1"/>
        <rFont val="Noto Sans CJK SC"/>
        <family val="2"/>
      </rPr>
      <t xml:space="preserve">月，依月份調整）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</si>
  <si>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</si>
  <si>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</si>
  <si>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</si>
  <si>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</si>
  <si>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</si>
  <si>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</si>
  <si>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</si>
  <si>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</si>
  <si>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</si>
  <si>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</si>
  <si>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</si>
  <si>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</si>
  <si>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Yahoo 6.74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），約晚四個月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</si>
  <si>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</si>
  <si>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</si>
  <si>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</si>
  <si>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</si>
  <si>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（當期口徑自算）的分位；只作檢查，不進目標價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</si>
  <si>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</si>
  <si>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GAAP 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為近三年平均（回購使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偏高、再投資率偏低），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：應用材料、科林研發、</t>
    </r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、東京威力科創、</t>
    </r>
    <r>
      <rPr>
        <sz val="11"/>
        <color theme="1"/>
        <rFont val="Calibri"/>
        <family val="2"/>
        <charset val="1"/>
      </rPr>
      <t xml:space="preserve">Lasertec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。偏誤：科磊製程控制份額高、歷史上享有溢價，用同業中位數偏低估。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</si>
  <si>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公司指引、共識、公司的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說法、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Noto Sans CJK SC"/>
        <family val="2"/>
      </rPr>
      <t xml:space="preserve">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</si>
  <si>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</si>
  <si>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</si>
  <si>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</si>
  <si>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</si>
  <si>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</si>
  <si>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</si>
  <si>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</si>
  <si>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</si>
  <si>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CY2026 </t>
    </r>
    <r>
      <rPr>
        <b val="true"/>
        <sz val="11"/>
        <rFont val="Noto Sans CJK SC"/>
        <family val="2"/>
      </rPr>
      <t xml:space="preserve">下半錨點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公司指引＋共識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</si>
  <si>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下半營收（錨點 − 上半實績）</t>
    </r>
    <r>
      <rPr>
        <sz val="11"/>
        <color theme="1"/>
        <rFont val="Calibri"/>
        <family val="2"/>
        <charset val="1"/>
      </rPr>
      <t xml:space="preserve">vs FQ1-27 </t>
    </r>
    <r>
      <rPr>
        <sz val="11"/>
        <color theme="1"/>
        <rFont val="Noto Sans CJK SC"/>
        <family val="2"/>
      </rPr>
      <t xml:space="preserve">指引＋共識 </t>
    </r>
    <r>
      <rPr>
        <sz val="11"/>
        <color theme="1"/>
        <rFont val="Calibri"/>
        <family val="2"/>
        <charset val="1"/>
      </rPr>
      <t xml:space="preserve">FQ2-27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</si>
  <si>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FQ1 4.0B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FQ2 4.49B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</si>
  <si>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錨點用公司「下半約高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」，非共識</t>
    </r>
  </si>
  <si>
    <r>
      <rPr>
        <b val="true"/>
        <sz val="11"/>
        <rFont val="Cambria"/>
        <family val="0"/>
        <charset val="1"/>
      </rPr>
      <t xml:space="preserve">B. FY2027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FY2028 vs </t>
    </r>
    <r>
      <rPr>
        <b val="true"/>
        <sz val="11"/>
        <rFont val="Noto Sans CJK SC"/>
        <family val="2"/>
      </rPr>
      <t xml:space="preserve">共識（</t>
    </r>
    <r>
      <rPr>
        <b val="true"/>
        <sz val="11"/>
        <rFont val="Cambria"/>
        <family val="0"/>
        <charset val="1"/>
      </rPr>
      <t xml:space="preserve">Yahoo Finance</t>
    </r>
    <r>
      <rPr>
        <b val="true"/>
        <sz val="11"/>
        <rFont val="Noto Sans CJK SC"/>
        <family val="2"/>
      </rPr>
      <t xml:space="preserve">；共識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為非 </t>
    </r>
    <r>
      <rPr>
        <b val="true"/>
        <sz val="11"/>
        <rFont val="Cambria"/>
        <family val="0"/>
        <charset val="1"/>
      </rPr>
      <t xml:space="preserve">GAAP</t>
    </r>
    <r>
      <rPr>
        <b val="true"/>
        <sz val="11"/>
        <rFont val="Noto Sans CJK SC"/>
        <family val="2"/>
      </rPr>
      <t xml:space="preserve">，模型為 </t>
    </r>
    <r>
      <rPr>
        <b val="true"/>
        <sz val="11"/>
        <rFont val="Cambria"/>
        <family val="0"/>
        <charset val="1"/>
      </rPr>
      <t xml:space="preserve">GAAP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</si>
  <si>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</si>
  <si>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18.14B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stockanalysis 18.1B</t>
    </r>
  </si>
  <si>
    <t xml:space="preserve">FY2027 EPS</t>
  </si>
  <si>
    <r>
      <rPr>
        <sz val="11"/>
        <color theme="1"/>
        <rFont val="Calibri"/>
        <family val="2"/>
        <charset val="1"/>
      </rPr>
      <t xml:space="preserve">Yahoo 5.44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5.46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</si>
  <si>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比非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低約 </t>
    </r>
    <r>
      <rPr>
        <sz val="11"/>
        <color theme="1"/>
        <rFont val="Calibri"/>
        <family val="2"/>
        <charset val="1"/>
      </rPr>
      <t xml:space="preserve">2–3%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3.66 vs 3.76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</si>
  <si>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</si>
  <si>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21.57B</t>
    </r>
    <r>
      <rPr>
        <sz val="11"/>
        <color theme="1"/>
        <rFont val="Noto Sans CJK SC"/>
        <family val="2"/>
      </rPr>
      <t xml:space="preserve">）</t>
    </r>
  </si>
  <si>
    <t xml:space="preserve">FY2028 EPS</t>
  </si>
  <si>
    <t xml:space="preserve">Yahoo 6.74</t>
  </si>
  <si>
    <r>
      <rPr>
        <b val="true"/>
        <sz val="11"/>
        <rFont val="Cambria"/>
        <family val="0"/>
        <charset val="1"/>
      </rPr>
      <t xml:space="preserve">C. WFE</t>
    </r>
    <r>
      <rPr>
        <b val="true"/>
        <sz val="11"/>
        <rFont val="Noto Sans CJK SC"/>
        <family val="2"/>
      </rPr>
      <t xml:space="preserve">：設備模型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公司說法、</t>
    </r>
    <r>
      <rPr>
        <b val="true"/>
        <sz val="11"/>
        <rFont val="Cambria"/>
        <family val="0"/>
        <charset val="1"/>
      </rPr>
      <t xml:space="preserve">SEMI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</si>
  <si>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CY2025 WFE</t>
    </r>
    <r>
      <rPr>
        <sz val="11"/>
        <color theme="1"/>
        <rFont val="Noto Sans CJK SC"/>
        <family val="2"/>
      </rPr>
      <t xml:space="preserve">（前段＋先進封裝）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公司約 </t>
    </r>
    <r>
      <rPr>
        <sz val="11"/>
        <color theme="1"/>
        <rFont val="Calibri"/>
        <family val="2"/>
        <charset val="1"/>
      </rPr>
      <t xml:space="preserve">120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</si>
  <si>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</t>
    </r>
  </si>
  <si>
    <r>
      <rPr>
        <sz val="11"/>
        <color theme="1"/>
        <rFont val="Noto Sans CJK SC"/>
        <family val="2"/>
      </rPr>
      <t xml:space="preserve">設備模型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實績校準</t>
    </r>
  </si>
  <si>
    <r>
      <rPr>
        <sz val="11"/>
        <color theme="1"/>
        <rFont val="Calibri"/>
        <family val="2"/>
        <charset val="1"/>
      </rPr>
      <t xml:space="preserve">CY2026 WFE</t>
    </r>
    <r>
      <rPr>
        <sz val="11"/>
        <color theme="1"/>
        <rFont val="Noto Sans CJK SC"/>
        <family val="2"/>
      </rPr>
      <t xml:space="preserve">（前段＋先進封裝）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</t>
    </r>
    <r>
      <rPr>
        <sz val="11"/>
        <color theme="1"/>
        <rFont val="Calibri"/>
        <family val="2"/>
        <charset val="1"/>
      </rPr>
      <t xml:space="preserve">low 150s</t>
    </r>
    <r>
      <rPr>
        <sz val="11"/>
        <color theme="1"/>
        <rFont val="Noto Sans CJK SC"/>
        <family val="2"/>
      </rPr>
      <t xml:space="preserve">」（取 </t>
    </r>
    <r>
      <rPr>
        <sz val="11"/>
        <color theme="1"/>
        <rFont val="Calibri"/>
        <family val="2"/>
        <charset val="1"/>
      </rPr>
      <t xml:space="preserve">152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</si>
  <si>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設備模型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比公司說法高；本模型以 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自身的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錨點校準強度，所以這個差異不進入營收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</si>
  <si>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前段 </t>
    </r>
    <r>
      <rPr>
        <sz val="11"/>
        <color theme="1"/>
        <rFont val="Calibri"/>
        <family val="2"/>
        <charset val="1"/>
      </rPr>
      <t xml:space="preserve">WFE vs SEMI WFE</t>
    </r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</si>
  <si>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（設備模型成品）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</si>
  <si>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前段 </t>
    </r>
    <r>
      <rPr>
        <sz val="11"/>
        <color theme="1"/>
        <rFont val="Calibri"/>
        <family val="2"/>
        <charset val="1"/>
      </rPr>
      <t xml:space="preserve">WFE vs SEMI WFE</t>
    </r>
    <r>
      <rPr>
        <sz val="11"/>
        <color theme="1"/>
        <rFont val="Noto Sans CJK SC"/>
        <family val="2"/>
      </rPr>
      <t xml:space="preserve">（年增連乘）</t>
    </r>
  </si>
  <si>
    <r>
      <rPr>
        <sz val="11"/>
        <color theme="1"/>
        <rFont val="Noto Sans CJK SC"/>
        <family val="2"/>
      </rPr>
      <t xml:space="preserve">公司引述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共識約 </t>
    </r>
    <r>
      <rPr>
        <sz val="11"/>
        <color theme="1"/>
        <rFont val="Calibri"/>
        <family val="2"/>
        <charset val="1"/>
      </rPr>
      <t xml:space="preserve">190B</t>
    </r>
    <r>
      <rPr>
        <sz val="11"/>
        <color theme="1"/>
        <rFont val="Noto Sans CJK SC"/>
        <family val="2"/>
      </rPr>
      <t xml:space="preserve">（含封裝；未確認）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</si>
  <si>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強度與市占（顯示；非獨立檢驗）</t>
    </r>
  </si>
  <si>
    <r>
      <rPr>
        <sz val="11"/>
        <color theme="1"/>
        <rFont val="Noto Sans CJK SC"/>
        <family val="2"/>
      </rPr>
      <t xml:space="preserve">製程控制強度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（前段系統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加權前段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</si>
  <si>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校準值見下一列；兩者差距反映設備模型 </t>
    </r>
    <r>
      <rPr>
        <sz val="11"/>
        <color theme="1"/>
        <rFont val="Calibri"/>
        <family val="2"/>
        <charset val="1"/>
      </rPr>
      <t xml:space="preserve">2026 WFE </t>
    </r>
    <r>
      <rPr>
        <sz val="11"/>
        <color theme="1"/>
        <rFont val="Noto Sans CJK SC"/>
        <family val="2"/>
      </rPr>
      <t xml:space="preserve">高於公司說法</t>
    </r>
  </si>
  <si>
    <r>
      <rPr>
        <sz val="11"/>
        <color theme="1"/>
        <rFont val="Noto Sans CJK SC"/>
        <family val="2"/>
      </rPr>
      <t xml:space="preserve">製程控制強度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（校準）</t>
    </r>
  </si>
  <si>
    <r>
      <rPr>
        <sz val="11"/>
        <color theme="1"/>
        <rFont val="Noto Sans CJK SC"/>
        <family val="2"/>
      </rPr>
      <t xml:space="preserve">製程控制占前段 </t>
    </r>
    <r>
      <rPr>
        <sz val="11"/>
        <color theme="1"/>
        <rFont val="Calibri"/>
        <family val="2"/>
        <charset val="1"/>
      </rPr>
      <t xml:space="preserve">WFE CY2026</t>
    </r>
    <r>
      <rPr>
        <sz val="11"/>
        <color theme="1"/>
        <rFont val="Noto Sans CJK SC"/>
        <family val="2"/>
      </rPr>
      <t xml:space="preserve">（強度 </t>
    </r>
    <r>
      <rPr>
        <sz val="11"/>
        <color theme="1"/>
        <rFont val="Calibri"/>
        <family val="2"/>
        <charset val="1"/>
      </rPr>
      <t xml:space="preserve">÷ KLA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</si>
  <si>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業界常見說法約 </t>
    </r>
    <r>
      <rPr>
        <sz val="11"/>
        <color theme="1"/>
        <rFont val="Calibri"/>
        <family val="2"/>
        <charset val="1"/>
      </rPr>
      <t xml:space="preserve">11–13%</t>
    </r>
    <r>
      <rPr>
        <sz val="11"/>
        <color theme="1"/>
        <rFont val="Noto Sans CJK SC"/>
        <family val="2"/>
      </rPr>
      <t xml:space="preserve">（未找到可引用來源）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</si>
  <si>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其他資訊（非對帳）</t>
    </r>
  </si>
  <si>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營收指引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</si>
  <si>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營收逐季上升，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屬正常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</si>
  <si>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中國營收（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× FY2026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</si>
  <si>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</si>
  <si>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</si>
  <si>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</si>
  <si>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US$M</t>
    </r>
  </si>
  <si>
    <t xml:space="preserve">FY2027 EPS US$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</si>
  <si>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</si>
  <si>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US$M</t>
    </r>
  </si>
  <si>
    <t xml:space="preserve">FY2028 EPS US$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</si>
  <si>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</si>
  <si>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</si>
  <si>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中國系統營收 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</si>
  <si>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出口管制擴大（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</si>
  <si>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中國系統營收 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</si>
  <si>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t xml:space="preserve">製程控制強度不再提升</t>
  </si>
  <si>
    <r>
      <rPr>
        <sz val="11"/>
        <color theme="1"/>
        <rFont val="Calibri"/>
        <family val="2"/>
        <charset val="1"/>
      </rPr>
      <t xml:space="preserve">pc_u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</si>
  <si>
    <t xml:space="preserve">製程控制強度提升加倍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</si>
  <si>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較 </t>
    </r>
    <r>
      <rPr>
        <sz val="11"/>
        <color theme="1"/>
        <rFont val="Calibri"/>
        <family val="2"/>
        <charset val="1"/>
      </rPr>
      <t xml:space="preserve">2025 +300bp</t>
    </r>
  </si>
  <si>
    <r>
      <rPr>
        <sz val="11"/>
        <color theme="1"/>
        <rFont val="Noto Sans CJK SC"/>
        <family val="2"/>
      </rPr>
      <t xml:space="preserve">下半年增幅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</si>
  <si>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錨點較低</t>
    </r>
  </si>
  <si>
    <r>
      <rPr>
        <sz val="11"/>
        <color theme="1"/>
        <rFont val="Noto Sans CJK SC"/>
        <family val="2"/>
      </rPr>
      <t xml:space="preserve">下半年增幅 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</si>
  <si>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Noto Sans CJK SC"/>
        <family val="2"/>
      </rPr>
      <t xml:space="preserve">記憶體相對強度 低（代工邏輯占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</si>
  <si>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記憶體相對強度 高（代工邏輯占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</si>
  <si>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先進封裝倍數 </t>
    </r>
    <r>
      <rPr>
        <sz val="11"/>
        <color theme="1"/>
        <rFont val="Calibri"/>
        <family val="2"/>
        <charset val="1"/>
      </rPr>
      <t xml:space="preserve">1.0x</t>
    </r>
  </si>
  <si>
    <t xml:space="preserve">與封裝市場同速</t>
  </si>
  <si>
    <r>
      <rPr>
        <sz val="11"/>
        <color theme="1"/>
        <rFont val="Noto Sans CJK SC"/>
        <family val="2"/>
      </rPr>
      <t xml:space="preserve">先進封裝倍數 </t>
    </r>
    <r>
      <rPr>
        <sz val="11"/>
        <color theme="1"/>
        <rFont val="Calibri"/>
        <family val="2"/>
        <charset val="1"/>
      </rPr>
      <t xml:space="preserve">2.5x</t>
    </r>
  </si>
  <si>
    <r>
      <rPr>
        <sz val="11"/>
        <color theme="1"/>
        <rFont val="Noto Sans CJK SC"/>
        <family val="2"/>
      </rPr>
      <t xml:space="preserve">先進封裝 </t>
    </r>
    <r>
      <rPr>
        <sz val="11"/>
        <color theme="1"/>
        <rFont val="Calibri"/>
        <family val="2"/>
        <charset val="1"/>
      </rPr>
      <t xml:space="preserve">CY2026 1.4B</t>
    </r>
  </si>
  <si>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substack </t>
    </r>
    <r>
      <rPr>
        <sz val="11"/>
        <color theme="1"/>
        <rFont val="Noto Sans CJK SC"/>
        <family val="2"/>
      </rPr>
      <t xml:space="preserve">會計年度口徑上緣</t>
    </r>
  </si>
  <si>
    <r>
      <rPr>
        <sz val="11"/>
        <color theme="1"/>
        <rFont val="Noto Sans CJK SC"/>
        <family val="2"/>
      </rPr>
      <t xml:space="preserve">增量毛利率 </t>
    </r>
    <r>
      <rPr>
        <sz val="11"/>
        <color theme="1"/>
        <rFont val="Calibri"/>
        <family val="2"/>
        <charset val="1"/>
      </rPr>
      <t xml:space="preserve">60%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</si>
  <si>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60–65% </t>
    </r>
    <r>
      <rPr>
        <sz val="11"/>
        <color theme="1"/>
        <rFont val="Noto Sans CJK SC"/>
        <family val="2"/>
      </rPr>
      <t xml:space="preserve">下緣</t>
    </r>
  </si>
  <si>
    <r>
      <rPr>
        <sz val="11"/>
        <color theme="1"/>
        <rFont val="Noto Sans CJK SC"/>
        <family val="2"/>
      </rPr>
      <t xml:space="preserve">增量毛利率 </t>
    </r>
    <r>
      <rPr>
        <sz val="11"/>
        <color theme="1"/>
        <rFont val="Calibri"/>
        <family val="2"/>
        <charset val="1"/>
      </rPr>
      <t xml:space="preserve">65%</t>
    </r>
  </si>
  <si>
    <t xml:space="preserve">上緣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</si>
  <si>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</si>
  <si>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11%</t>
    </r>
  </si>
  <si>
    <r>
      <rPr>
        <sz val="11"/>
        <color theme="1"/>
        <rFont val="Noto Sans CJK SC"/>
        <family val="2"/>
      </rPr>
      <t xml:space="preserve">服務年增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</si>
  <si>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Noto Sans CJK SC"/>
        <family val="2"/>
      </rPr>
      <t xml:space="preserve">服務年增 </t>
    </r>
    <r>
      <rPr>
        <sz val="11"/>
        <color theme="1"/>
        <rFont val="Calibri"/>
        <family val="2"/>
        <charset val="1"/>
      </rPr>
      <t xml:space="preserve">16%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</si>
  <si>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13%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</si>
  <si>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17%</t>
    </r>
  </si>
  <si>
    <r>
      <rPr>
        <sz val="11"/>
        <color theme="1"/>
        <rFont val="Noto Sans CJK SC"/>
        <family val="2"/>
      </rPr>
      <t xml:space="preserve">營業外 −</t>
    </r>
    <r>
      <rPr>
        <sz val="11"/>
        <color theme="1"/>
        <rFont val="Calibri"/>
        <family val="2"/>
        <charset val="1"/>
      </rPr>
      <t xml:space="preserve">200</t>
    </r>
  </si>
  <si>
    <t xml:space="preserve">股數不減</t>
  </si>
  <si>
    <t xml:space="preserve">買回停止</t>
  </si>
  <si>
    <r>
      <rPr>
        <sz val="11"/>
        <color theme="1"/>
        <rFont val="Noto Sans CJK SC"/>
        <family val="2"/>
      </rPr>
      <t xml:space="preserve">股數年減 </t>
    </r>
    <r>
      <rPr>
        <sz val="11"/>
        <color theme="1"/>
        <rFont val="Calibri"/>
        <family val="2"/>
        <charset val="1"/>
      </rPr>
      <t xml:space="preserve">2.5%</t>
    </r>
  </si>
  <si>
    <r>
      <rPr>
        <sz val="11"/>
        <color theme="1"/>
        <rFont val="Noto Sans CJK SC"/>
        <family val="2"/>
      </rPr>
      <t xml:space="preserve">設備市場情境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</si>
  <si>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持平、</t>
    </r>
    <r>
      <rPr>
        <sz val="11"/>
        <color theme="1"/>
        <rFont val="Calibri"/>
        <family val="2"/>
        <charset val="1"/>
      </rPr>
      <t xml:space="preserve">2029 −5%</t>
    </r>
    <r>
      <rPr>
        <sz val="11"/>
        <color theme="1"/>
        <rFont val="Noto Sans CJK SC"/>
        <family val="2"/>
      </rPr>
      <t xml:space="preserve">；服務、兩事業、費用成長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</si>
  <si>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設備市場情境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</si>
  <si>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2028 −20%</t>
    </r>
    <r>
      <rPr>
        <sz val="11"/>
        <color theme="1"/>
        <rFont val="Noto Sans CJK SC"/>
        <family val="2"/>
      </rPr>
      <t xml:space="preserve">；服務、兩事業、費用成長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</si>
  <si>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的一半是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下半（錨點，三情境相同），另一半是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（三情境的設備市場相同），所以情境差異到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才明顯；中國與強度假設自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起作用，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只吃一半。</t>
    </r>
  </si>
  <si>
    <r>
      <rPr>
        <b val="true"/>
        <sz val="11"/>
        <rFont val="Noto Sans CJK SC"/>
        <family val="2"/>
      </rPr>
      <t xml:space="preserve">案例區塊：中國系統營收 −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CY2027 </t>
    </r>
    <r>
      <rPr>
        <b val="true"/>
        <sz val="11"/>
        <rFont val="Noto Sans CJK SC"/>
        <family val="2"/>
      </rPr>
      <t xml:space="preserve">起）（情境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</si>
  <si>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案例區塊：中國系統營收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CY2027 </t>
    </r>
    <r>
      <rPr>
        <b val="true"/>
        <sz val="11"/>
        <rFont val="Noto Sans CJK SC"/>
        <family val="2"/>
      </rPr>
      <t xml:space="preserve">起）（情境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</si>
  <si>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案例區塊：製程控制強度不再提升（情境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</si>
  <si>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案例區塊：製程控制強度提升加倍（情境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</si>
  <si>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案例區塊：下半年增幅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</si>
  <si>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案例區塊：下半年增幅 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</si>
  <si>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案例區塊：記憶體相對強度 低（代工邏輯占 </t>
    </r>
    <r>
      <rPr>
        <b val="true"/>
        <sz val="11"/>
        <rFont val="Cambria"/>
        <family val="0"/>
        <charset val="1"/>
      </rPr>
      <t xml:space="preserve">66%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</si>
  <si>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案例區塊：記憶體相對強度 高（代工邏輯占 </t>
    </r>
    <r>
      <rPr>
        <b val="true"/>
        <sz val="11"/>
        <rFont val="Cambria"/>
        <family val="0"/>
        <charset val="1"/>
      </rPr>
      <t xml:space="preserve">60%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</si>
  <si>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案例區塊：先進封裝倍數 </t>
    </r>
    <r>
      <rPr>
        <b val="true"/>
        <sz val="11"/>
        <rFont val="Cambria"/>
        <family val="0"/>
        <charset val="1"/>
      </rPr>
      <t xml:space="preserve">1.0x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</si>
  <si>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案例區塊：先進封裝倍數 </t>
    </r>
    <r>
      <rPr>
        <b val="true"/>
        <sz val="11"/>
        <rFont val="Cambria"/>
        <family val="0"/>
        <charset val="1"/>
      </rPr>
      <t xml:space="preserve">2.5x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</si>
  <si>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案例區塊：先進封裝 </t>
    </r>
    <r>
      <rPr>
        <b val="true"/>
        <sz val="11"/>
        <rFont val="Cambria"/>
        <family val="0"/>
        <charset val="1"/>
      </rPr>
      <t xml:space="preserve">CY2026 1.4B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</si>
  <si>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案例區塊：增量毛利率 </t>
    </r>
    <r>
      <rPr>
        <b val="true"/>
        <sz val="11"/>
        <rFont val="Cambria"/>
        <family val="0"/>
        <charset val="1"/>
      </rPr>
      <t xml:space="preserve">60%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</si>
  <si>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案例區塊：增量毛利率 </t>
    </r>
    <r>
      <rPr>
        <b val="true"/>
        <sz val="11"/>
        <rFont val="Cambria"/>
        <family val="0"/>
        <charset val="1"/>
      </rPr>
      <t xml:space="preserve">65%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</si>
  <si>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 </t>
    </r>
    <r>
      <rPr>
        <b val="true"/>
        <sz val="11"/>
        <rFont val="Cambria"/>
        <family val="0"/>
        <charset val="1"/>
      </rPr>
      <t xml:space="preserve">FY2028–29 </t>
    </r>
    <r>
      <rPr>
        <b val="true"/>
        <sz val="11"/>
        <rFont val="Noto Sans CJK SC"/>
        <family val="2"/>
      </rPr>
      <t xml:space="preserve">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</si>
  <si>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 </t>
    </r>
    <r>
      <rPr>
        <b val="true"/>
        <sz val="11"/>
        <rFont val="Cambria"/>
        <family val="0"/>
        <charset val="1"/>
      </rPr>
      <t xml:space="preserve">FY2028–29 </t>
    </r>
    <r>
      <rPr>
        <b val="true"/>
        <sz val="11"/>
        <rFont val="Noto Sans CJK SC"/>
        <family val="2"/>
      </rPr>
      <t xml:space="preserve">年增 </t>
    </r>
    <r>
      <rPr>
        <b val="true"/>
        <sz val="11"/>
        <rFont val="Cambria"/>
        <family val="0"/>
        <charset val="1"/>
      </rPr>
      <t xml:space="preserve">11%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</si>
  <si>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案例區塊：服務年增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</si>
  <si>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案例區塊：服務年增 </t>
    </r>
    <r>
      <rPr>
        <b val="true"/>
        <sz val="11"/>
        <rFont val="Cambria"/>
        <family val="0"/>
        <charset val="1"/>
      </rPr>
      <t xml:space="preserve">16%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</si>
  <si>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13%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</si>
  <si>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17%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</si>
  <si>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案例區塊：營業外 −</t>
    </r>
    <r>
      <rPr>
        <b val="true"/>
        <sz val="11"/>
        <rFont val="Cambria"/>
        <family val="0"/>
        <charset val="1"/>
      </rPr>
      <t xml:space="preserve">200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</si>
  <si>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案例區塊：股數不減（情境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</si>
  <si>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案例區塊：股數年減 </t>
    </r>
    <r>
      <rPr>
        <b val="true"/>
        <sz val="11"/>
        <rFont val="Cambria"/>
        <family val="0"/>
        <charset val="1"/>
      </rPr>
      <t xml:space="preserve">2.5%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</si>
  <si>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</si>
  <si>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</si>
  <si>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</si>
  <si>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</si>
  <si>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</si>
  <si>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</si>
  <si>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</si>
  <si>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</si>
  <si>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</si>
  <si>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</si>
  <si>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</si>
  <si>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</si>
  <si>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</si>
  <si>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</si>
  <si>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Comparable 0.6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</si>
  <si>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</si>
  <si>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Comparable 0.2</t>
  </si>
  <si>
    <r>
      <rPr>
        <b val="true"/>
        <sz val="11"/>
        <rFont val="Noto Sans CJK SC"/>
        <family val="2"/>
      </rPr>
      <t xml:space="preserve">來源（</t>
    </r>
    <r>
      <rPr>
        <b val="true"/>
        <sz val="11"/>
        <rFont val="Cambria"/>
        <family val="0"/>
        <charset val="1"/>
      </rPr>
      <t xml:space="preserve">SEC </t>
    </r>
    <r>
      <rPr>
        <b val="true"/>
        <sz val="11"/>
        <rFont val="Noto Sans CJK SC"/>
        <family val="2"/>
      </rPr>
      <t xml:space="preserve">原文可開啟；法說數字取自逐字稿網站）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</si>
  <si>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 Exhibit 99.1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</si>
  <si>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https://www.sec.gov/Archives/edgar/data/0000319201/000031920126000024/exhibit991earningsrelease7.htm</t>
  </si>
  <si>
    <r>
      <rPr>
        <sz val="11"/>
        <color theme="1"/>
        <rFont val="Calibri"/>
        <family val="2"/>
        <charset val="1"/>
      </rPr>
      <t xml:space="preserve">KLA FQ3-26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 Exhibit 99.1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2026-04-29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</si>
  <si>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https://www.sec.gov/Archives/edgar/data/0000319201/000031920126000014/exhibit991earningsrelease3.htm</t>
  </si>
  <si>
    <r>
      <rPr>
        <sz val="11"/>
        <color theme="1"/>
        <rFont val="Calibri"/>
        <family val="2"/>
        <charset val="1"/>
      </rPr>
      <t xml:space="preserve">KLA FY2026 10-K</t>
    </r>
    <r>
      <rPr>
        <sz val="11"/>
        <color theme="1"/>
        <rFont val="Noto Sans CJK SC"/>
        <family val="2"/>
      </rPr>
      <t xml:space="preserve">（中國占比、服務占比、訂單、出口管制）</t>
    </r>
  </si>
  <si>
    <t xml:space="preserve">https://www.sec.gov/Archives/edgar/data/0000319201/000031920126000027/klac-20260630.htm</t>
  </si>
  <si>
    <r>
      <rPr>
        <sz val="11"/>
        <color theme="1"/>
        <rFont val="Calibri"/>
        <family val="2"/>
        <charset val="1"/>
      </rPr>
      <t xml:space="preserve">SEC XBRL companyconcept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EarningsPerShareDiluted</t>
    </r>
    <r>
      <rPr>
        <sz val="11"/>
        <color theme="1"/>
        <rFont val="Noto Sans CJK SC"/>
        <family val="2"/>
      </rPr>
      <t xml:space="preserve">（歷年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</si>
  <si>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https://data.sec.gov/api/xbrl/companyconcept/CIK0000319201/us-gaap/EarningsPerShareDiluted.json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</si>
  <si>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</si>
  <si>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https://www.marketbeat.com/earnings/reports/2026-7-28-kla-co-stock/</t>
  </si>
  <si>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</si>
  <si>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https://www.tikr.com/blog/kla-corporations-q4-earnings-hit-a-record-3-66-billion-the-guide-points-higher-still</t>
  </si>
  <si>
    <r>
      <rPr>
        <sz val="11"/>
        <color theme="1"/>
        <rFont val="Calibri"/>
        <family val="2"/>
        <charset val="1"/>
      </rPr>
      <t xml:space="preserve">MIAX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KLAC 10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分割通知（除權 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）</t>
    </r>
  </si>
  <si>
    <t xml:space="preserve">https://www.miaxglobal.com/sites/default/files/alert-files/KLAC_Split_58941.pdf</t>
  </si>
  <si>
    <r>
      <rPr>
        <sz val="11"/>
        <color theme="1"/>
        <rFont val="Calibri"/>
        <family val="2"/>
        <charset val="1"/>
      </rPr>
      <t xml:space="preserve">tipranks</t>
    </r>
    <r>
      <rPr>
        <sz val="11"/>
        <color theme="1"/>
        <rFont val="Noto Sans CJK SC"/>
        <family val="2"/>
      </rPr>
      <t xml:space="preserve">：財報日 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FQ1-27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月收盤價</t>
    </r>
  </si>
  <si>
    <t xml:space="preserve">https://www.tipranks.com/stocks/klac/earnings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</si>
  <si>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：股價歷史（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145.61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</si>
  <si>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https://stockanalysis.com/stocks/klac/history/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</si>
  <si>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：年度財報（</t>
    </r>
    <r>
      <rPr>
        <sz val="11"/>
        <color theme="1"/>
        <rFont val="Calibri"/>
        <family val="2"/>
        <charset val="1"/>
      </rPr>
      <t xml:space="preserve">FY2022–26</t>
    </r>
    <r>
      <rPr>
        <sz val="11"/>
        <color theme="1"/>
        <rFont val="Noto Sans CJK SC"/>
        <family val="2"/>
      </rPr>
      <t xml:space="preserve">）與共識（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</si>
  <si>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https://stockanalysis.com/stocks/klac/forecast/</t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</si>
  <si>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：共識（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FQ2</t>
    </r>
    <r>
      <rPr>
        <sz val="11"/>
        <color theme="1"/>
        <rFont val="Noto Sans CJK SC"/>
        <family val="2"/>
      </rPr>
      <t xml:space="preserve">）</t>
    </r>
  </si>
  <si>
    <t xml:space="preserve">https://finance.yahoo.com/quote/KLAC/analysis/</t>
  </si>
  <si>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：年底收盤價（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</t>
    </r>
  </si>
  <si>
    <t xml:space="preserve">https://www.digrin.com/stocks/detail/KLAC/price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</si>
  <si>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TTM EPS </t>
    </r>
    <r>
      <rPr>
        <sz val="11"/>
        <color theme="1"/>
        <rFont val="Noto Sans CJK SC"/>
        <family val="2"/>
      </rPr>
      <t xml:space="preserve">歷史</t>
    </r>
  </si>
  <si>
    <t xml:space="preserve">https://www.macrotrends.net/stocks/charts/KLAC/kla/pe-ratio</t>
  </si>
  <si>
    <r>
      <rPr>
        <sz val="11"/>
        <color theme="1"/>
        <rFont val="Calibri"/>
        <family val="2"/>
        <charset val="1"/>
      </rPr>
      <t xml:space="preserve">handsoff substack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2026-05-31</t>
    </r>
    <r>
      <rPr>
        <sz val="11"/>
        <color theme="1"/>
        <rFont val="Noto Sans CJK SC"/>
        <family val="2"/>
      </rPr>
      <t xml:space="preserve">；引 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）：製程控制市占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FQ3-26 </t>
    </r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24%</t>
    </r>
  </si>
  <si>
    <t xml:space="preserve">https://handsoff.substack.com/p/kla-beat-across-the-board-process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</si>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</sst>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%"/>
    <numFmt numFmtId="166" formatCode="0%"/>
    <numFmt numFmtId="167" formatCode="0.00"/>
    <numFmt numFmtId="168" formatCode="#,##0.0"/>
    <numFmt numFmtId="169" formatCode="0.0"/>
    <numFmt numFmtId="170" formatCode="0.000"/>
    <numFmt numFmtId="171" formatCode="#,##0"/>
    <numFmt numFmtId="172" formatCode="0.00%"/>
    <numFmt numFmtId="173" formatCode="#,##0.000"/>
    <numFmt numFmtId="174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7.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7.15" hidden="false" customHeight="false" outlineLevel="0" collapsed="false">
      <c r="A7" s="2" t="s">
        <v>4</v>
      </c>
    </row>
    <row r="8" customFormat="false" ht="17.15" hidden="false" customHeight="false" outlineLevel="0" collapsed="false">
      <c r="A8" s="2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2"/>
    </row>
    <row r="12" customFormat="false" ht="17.15" hidden="false" customHeight="false" outlineLevel="0" collapsed="false">
      <c r="A12" s="2" t="s">
        <v>8</v>
      </c>
    </row>
    <row r="13" customFormat="false" ht="17.15" hidden="false" customHeight="false" outlineLevel="0" collapsed="false">
      <c r="A13" s="2" t="s">
        <v>9</v>
      </c>
    </row>
    <row r="14" customFormat="false" ht="17.15" hidden="false" customHeight="false" outlineLevel="0" collapsed="false">
      <c r="A14" s="0" t="s">
        <v>10</v>
      </c>
    </row>
    <row r="15" customFormat="false" ht="17.15" hidden="false" customHeight="false" outlineLevel="0" collapsed="false">
      <c r="A15" s="5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12</v>
      </c>
    </row>
    <row r="2" customFormat="false" ht="17.15" hidden="false" customHeight="false" outlineLevel="0" collapsed="false">
      <c r="A2" s="5" t="s">
        <v>13</v>
      </c>
    </row>
    <row r="3" customFormat="false" ht="17.15" hidden="false" customHeight="false" outlineLevel="0" collapsed="false">
      <c r="A3" s="6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</row>
    <row r="4" customFormat="false" ht="17.15" hidden="false" customHeight="false" outlineLevel="0" collapsed="false">
      <c r="A4" s="1" t="s">
        <v>23</v>
      </c>
    </row>
    <row r="5" customFormat="false" ht="17.15" hidden="false" customHeight="false" outlineLevel="0" collapsed="false">
      <c r="A5" s="0" t="s">
        <v>24</v>
      </c>
      <c r="B5" s="0" t="s">
        <v>25</v>
      </c>
      <c r="C5" s="0" t="s">
        <v>26</v>
      </c>
      <c r="D5" s="7" t="n">
        <v>0.15</v>
      </c>
      <c r="E5" s="7" t="n">
        <v>0.2</v>
      </c>
      <c r="F5" s="7" t="n">
        <v>0.25</v>
      </c>
      <c r="G5" s="8" t="s">
        <v>27</v>
      </c>
      <c r="H5" s="8" t="s">
        <v>28</v>
      </c>
      <c r="I5" s="8" t="s">
        <v>29</v>
      </c>
    </row>
    <row r="6" customFormat="false" ht="17.15" hidden="false" customHeight="false" outlineLevel="0" collapsed="false">
      <c r="A6" s="0" t="s">
        <v>30</v>
      </c>
      <c r="B6" s="0" t="s">
        <v>31</v>
      </c>
      <c r="C6" s="0" t="s">
        <v>26</v>
      </c>
      <c r="D6" s="7" t="n">
        <v>0.03</v>
      </c>
      <c r="E6" s="7" t="n">
        <v>0.06</v>
      </c>
      <c r="F6" s="7" t="n">
        <v>0.09</v>
      </c>
      <c r="G6" s="8" t="s">
        <v>32</v>
      </c>
      <c r="H6" s="5" t="s">
        <v>33</v>
      </c>
      <c r="I6" s="8" t="s">
        <v>34</v>
      </c>
    </row>
    <row r="7" customFormat="false" ht="17.15" hidden="false" customHeight="false" outlineLevel="0" collapsed="false">
      <c r="A7" s="0" t="s">
        <v>35</v>
      </c>
      <c r="B7" s="0" t="s">
        <v>36</v>
      </c>
      <c r="C7" s="0" t="s">
        <v>26</v>
      </c>
      <c r="D7" s="7" t="n">
        <v>0.15</v>
      </c>
      <c r="E7" s="7" t="n">
        <v>0.25</v>
      </c>
      <c r="F7" s="7" t="n">
        <v>0.3</v>
      </c>
      <c r="G7" s="8" t="s">
        <v>27</v>
      </c>
      <c r="H7" s="8" t="s">
        <v>37</v>
      </c>
      <c r="I7" s="5" t="s">
        <v>38</v>
      </c>
    </row>
    <row r="8" customFormat="false" ht="17.15" hidden="false" customHeight="false" outlineLevel="0" collapsed="false">
      <c r="A8" s="0" t="s">
        <v>39</v>
      </c>
      <c r="B8" s="5" t="s">
        <v>40</v>
      </c>
      <c r="C8" s="0" t="s">
        <v>41</v>
      </c>
      <c r="D8" s="7" t="n">
        <v>1000</v>
      </c>
      <c r="E8" s="7" t="n">
        <v>1100</v>
      </c>
      <c r="F8" s="7" t="n">
        <v>1400</v>
      </c>
      <c r="G8" s="8" t="s">
        <v>27</v>
      </c>
      <c r="H8" s="8" t="s">
        <v>42</v>
      </c>
      <c r="I8" s="8" t="s">
        <v>43</v>
      </c>
    </row>
    <row r="9" customFormat="false" ht="17.15" hidden="false" customHeight="false" outlineLevel="0" collapsed="false">
      <c r="A9" s="0" t="s">
        <v>44</v>
      </c>
      <c r="B9" s="5" t="s">
        <v>45</v>
      </c>
      <c r="C9" s="0" t="s">
        <v>26</v>
      </c>
      <c r="E9" s="7" t="n">
        <v>0.7</v>
      </c>
      <c r="G9" s="8" t="s">
        <v>27</v>
      </c>
      <c r="H9" s="8" t="s">
        <v>46</v>
      </c>
      <c r="I9" s="5" t="s">
        <v>47</v>
      </c>
    </row>
    <row r="10" customFormat="false" ht="17.15" hidden="false" customHeight="false" outlineLevel="0" collapsed="false">
      <c r="A10" s="0" t="s">
        <v>48</v>
      </c>
      <c r="B10" s="5" t="s">
        <v>49</v>
      </c>
      <c r="C10" s="0" t="s">
        <v>50</v>
      </c>
      <c r="D10" s="7" t="n">
        <v>1</v>
      </c>
      <c r="E10" s="7" t="n">
        <v>2</v>
      </c>
      <c r="F10" s="7" t="n">
        <v>2.5</v>
      </c>
      <c r="G10" s="8" t="s">
        <v>27</v>
      </c>
      <c r="H10" s="8" t="s">
        <v>51</v>
      </c>
      <c r="I10" s="5" t="s">
        <v>52</v>
      </c>
    </row>
    <row r="11" customFormat="false" ht="17.15" hidden="false" customHeight="false" outlineLevel="0" collapsed="false">
      <c r="A11" s="1" t="s">
        <v>53</v>
      </c>
    </row>
    <row r="12" customFormat="false" ht="17.15" hidden="false" customHeight="false" outlineLevel="0" collapsed="false">
      <c r="A12" s="0" t="s">
        <v>54</v>
      </c>
      <c r="B12" s="0" t="s">
        <v>55</v>
      </c>
      <c r="C12" s="0" t="s">
        <v>26</v>
      </c>
      <c r="D12" s="7" t="n">
        <v>0.6</v>
      </c>
      <c r="E12" s="7" t="n">
        <v>0.63</v>
      </c>
      <c r="F12" s="7" t="n">
        <v>0.66</v>
      </c>
      <c r="G12" s="8" t="s">
        <v>27</v>
      </c>
      <c r="H12" s="8" t="s">
        <v>56</v>
      </c>
      <c r="I12" s="5" t="s">
        <v>57</v>
      </c>
    </row>
    <row r="13" customFormat="false" ht="17.15" hidden="false" customHeight="false" outlineLevel="0" collapsed="false">
      <c r="A13" s="0" t="s">
        <v>58</v>
      </c>
      <c r="B13" s="5" t="s">
        <v>59</v>
      </c>
      <c r="C13" s="0" t="s">
        <v>50</v>
      </c>
      <c r="D13" s="0" t="n">
        <f aca="false">(1-fl26_hi)/fl26_hi*Units!D8/Units!D11</f>
        <v>0.899386029593741</v>
      </c>
      <c r="E13" s="0" t="n">
        <f aca="false">(1-fl26)/fl26*Units!D8/Units!D11</f>
        <v>1.02535045950883</v>
      </c>
      <c r="F13" s="0" t="n">
        <f aca="false">(1-fl26_lo)/fl26_lo*Units!D8/Units!D11</f>
        <v>1.16391133241543</v>
      </c>
      <c r="G13" s="0" t="s">
        <v>60</v>
      </c>
      <c r="H13" s="5" t="s">
        <v>61</v>
      </c>
      <c r="I13" s="5" t="s">
        <v>62</v>
      </c>
    </row>
    <row r="14" customFormat="false" ht="17.15" hidden="false" customHeight="false" outlineLevel="0" collapsed="false">
      <c r="A14" s="0" t="s">
        <v>63</v>
      </c>
      <c r="B14" s="0" t="s">
        <v>64</v>
      </c>
      <c r="C14" s="0" t="s">
        <v>65</v>
      </c>
      <c r="E14" s="7" t="n">
        <v>120</v>
      </c>
      <c r="G14" s="8" t="s">
        <v>27</v>
      </c>
      <c r="H14" s="8" t="s">
        <v>66</v>
      </c>
      <c r="I14" s="5" t="s">
        <v>67</v>
      </c>
    </row>
    <row r="15" customFormat="false" ht="17.15" hidden="false" customHeight="false" outlineLevel="0" collapsed="false">
      <c r="A15" s="0" t="s">
        <v>68</v>
      </c>
      <c r="B15" s="0" t="s">
        <v>69</v>
      </c>
      <c r="C15" s="0" t="s">
        <v>70</v>
      </c>
      <c r="D15" s="7" t="n">
        <v>0</v>
      </c>
      <c r="E15" s="7" t="n">
        <v>0.015</v>
      </c>
      <c r="F15" s="7" t="n">
        <v>0.03</v>
      </c>
      <c r="G15" s="8" t="s">
        <v>27</v>
      </c>
      <c r="H15" s="8" t="s">
        <v>71</v>
      </c>
      <c r="I15" s="5" t="s">
        <v>72</v>
      </c>
    </row>
    <row r="16" customFormat="false" ht="17.15" hidden="false" customHeight="false" outlineLevel="0" collapsed="false">
      <c r="A16" s="0" t="s">
        <v>73</v>
      </c>
      <c r="B16" s="5" t="s">
        <v>74</v>
      </c>
      <c r="C16" s="0" t="s">
        <v>75</v>
      </c>
      <c r="D16" s="0" t="n">
        <f aca="false">((s25+share_up_lo)/s25)^(1/5)-1</f>
        <v>0</v>
      </c>
      <c r="E16" s="0" t="n">
        <f aca="false">((s25+share_up)/s25)^(1/5)-1</f>
        <v>0.0294607471749297</v>
      </c>
      <c r="F16" s="0" t="n">
        <f aca="false">((s25+share_up_hi)/s25)^(1/5)-1</f>
        <v>0.0558904951297272</v>
      </c>
      <c r="G16" s="0" t="s">
        <v>60</v>
      </c>
      <c r="H16" s="5" t="s">
        <v>76</v>
      </c>
      <c r="I16" s="5" t="s">
        <v>77</v>
      </c>
    </row>
    <row r="17" customFormat="false" ht="17.15" hidden="false" customHeight="false" outlineLevel="0" collapsed="false">
      <c r="A17" s="0" t="s">
        <v>78</v>
      </c>
      <c r="B17" s="0" t="s">
        <v>79</v>
      </c>
      <c r="C17" s="0" t="s">
        <v>26</v>
      </c>
      <c r="D17" s="7" t="n">
        <v>0.53</v>
      </c>
      <c r="E17" s="7" t="n">
        <v>0.58</v>
      </c>
      <c r="F17" s="7" t="n">
        <v>0.63</v>
      </c>
      <c r="G17" s="8" t="s">
        <v>27</v>
      </c>
      <c r="H17" s="8" t="s">
        <v>80</v>
      </c>
      <c r="I17" s="5" t="s">
        <v>81</v>
      </c>
    </row>
    <row r="18" customFormat="false" ht="17.15" hidden="false" customHeight="false" outlineLevel="0" collapsed="false">
      <c r="A18" s="1" t="s">
        <v>82</v>
      </c>
    </row>
    <row r="19" customFormat="false" ht="17.15" hidden="false" customHeight="false" outlineLevel="0" collapsed="false">
      <c r="A19" s="0" t="s">
        <v>83</v>
      </c>
      <c r="B19" s="5" t="s">
        <v>84</v>
      </c>
      <c r="C19" s="0" t="s">
        <v>26</v>
      </c>
      <c r="E19" s="7" t="n">
        <v>0.3</v>
      </c>
      <c r="G19" s="8" t="s">
        <v>85</v>
      </c>
      <c r="H19" s="8" t="s">
        <v>86</v>
      </c>
      <c r="I19" s="8" t="s">
        <v>87</v>
      </c>
    </row>
    <row r="20" customFormat="false" ht="17.15" hidden="false" customHeight="false" outlineLevel="0" collapsed="false">
      <c r="A20" s="0" t="s">
        <v>88</v>
      </c>
      <c r="B20" s="5" t="s">
        <v>89</v>
      </c>
      <c r="C20" s="0" t="s">
        <v>26</v>
      </c>
      <c r="E20" s="7" t="n">
        <v>0.33</v>
      </c>
      <c r="G20" s="8" t="s">
        <v>85</v>
      </c>
      <c r="H20" s="8" t="s">
        <v>90</v>
      </c>
      <c r="I20" s="8" t="s">
        <v>91</v>
      </c>
    </row>
    <row r="21" customFormat="false" ht="17.15" hidden="false" customHeight="false" outlineLevel="0" collapsed="false">
      <c r="A21" s="0" t="s">
        <v>92</v>
      </c>
      <c r="B21" s="5" t="s">
        <v>93</v>
      </c>
      <c r="C21" s="0" t="s">
        <v>26</v>
      </c>
      <c r="E21" s="7" t="n">
        <v>0.43</v>
      </c>
      <c r="G21" s="8" t="s">
        <v>85</v>
      </c>
      <c r="H21" s="8" t="s">
        <v>90</v>
      </c>
      <c r="I21" s="8" t="s">
        <v>91</v>
      </c>
    </row>
    <row r="22" customFormat="false" ht="17.15" hidden="false" customHeight="false" outlineLevel="0" collapsed="false">
      <c r="A22" s="0" t="s">
        <v>94</v>
      </c>
      <c r="B22" s="0" t="s">
        <v>95</v>
      </c>
      <c r="C22" s="0" t="s">
        <v>26</v>
      </c>
      <c r="D22" s="7" t="n">
        <v>0.25</v>
      </c>
      <c r="E22" s="7" t="n">
        <v>0</v>
      </c>
      <c r="F22" s="7" t="n">
        <v>0.5</v>
      </c>
      <c r="G22" s="8" t="s">
        <v>32</v>
      </c>
      <c r="H22" s="5" t="s">
        <v>96</v>
      </c>
      <c r="I22" s="5" t="s">
        <v>97</v>
      </c>
    </row>
    <row r="23" customFormat="false" ht="17.15" hidden="false" customHeight="false" outlineLevel="0" collapsed="false">
      <c r="A23" s="1" t="s">
        <v>98</v>
      </c>
    </row>
    <row r="24" customFormat="false" ht="17.15" hidden="false" customHeight="false" outlineLevel="0" collapsed="false">
      <c r="A24" s="0" t="s">
        <v>99</v>
      </c>
      <c r="B24" s="5" t="s">
        <v>100</v>
      </c>
      <c r="C24" s="0" t="s">
        <v>26</v>
      </c>
      <c r="D24" s="7" t="n">
        <v>0.12</v>
      </c>
      <c r="E24" s="7" t="n">
        <v>0.14</v>
      </c>
      <c r="F24" s="7" t="n">
        <v>0.16</v>
      </c>
      <c r="G24" s="8" t="s">
        <v>32</v>
      </c>
      <c r="H24" s="5" t="s">
        <v>101</v>
      </c>
      <c r="I24" s="8" t="s">
        <v>102</v>
      </c>
    </row>
    <row r="25" customFormat="false" ht="17.15" hidden="false" customHeight="false" outlineLevel="0" collapsed="false">
      <c r="A25" s="0" t="s">
        <v>103</v>
      </c>
      <c r="B25" s="0" t="s">
        <v>104</v>
      </c>
      <c r="C25" s="0" t="s">
        <v>26</v>
      </c>
      <c r="D25" s="7" t="n">
        <v>0.08</v>
      </c>
      <c r="E25" s="7" t="n">
        <v>0.12</v>
      </c>
      <c r="F25" s="7" t="n">
        <v>0.16</v>
      </c>
      <c r="G25" s="8" t="s">
        <v>32</v>
      </c>
      <c r="H25" s="5" t="s">
        <v>105</v>
      </c>
      <c r="I25" s="8" t="s">
        <v>106</v>
      </c>
    </row>
    <row r="26" customFormat="false" ht="17.15" hidden="false" customHeight="false" outlineLevel="0" collapsed="false">
      <c r="A26" s="0" t="s">
        <v>107</v>
      </c>
      <c r="B26" s="5" t="s">
        <v>108</v>
      </c>
      <c r="C26" s="0" t="s">
        <v>26</v>
      </c>
      <c r="D26" s="7" t="n">
        <v>0.1</v>
      </c>
      <c r="E26" s="7" t="n">
        <v>0.12</v>
      </c>
      <c r="F26" s="7" t="n">
        <v>0.14</v>
      </c>
      <c r="G26" s="8" t="s">
        <v>32</v>
      </c>
      <c r="H26" s="5" t="s">
        <v>101</v>
      </c>
      <c r="I26" s="8" t="s">
        <v>102</v>
      </c>
    </row>
    <row r="27" customFormat="false" ht="17.15" hidden="false" customHeight="false" outlineLevel="0" collapsed="false">
      <c r="A27" s="0" t="s">
        <v>109</v>
      </c>
      <c r="B27" s="0" t="s">
        <v>110</v>
      </c>
      <c r="C27" s="0" t="s">
        <v>26</v>
      </c>
      <c r="D27" s="7" t="n">
        <v>0.04</v>
      </c>
      <c r="E27" s="7" t="n">
        <v>0.08</v>
      </c>
      <c r="F27" s="7" t="n">
        <v>0.12</v>
      </c>
      <c r="G27" s="8" t="s">
        <v>32</v>
      </c>
      <c r="H27" s="5" t="s">
        <v>105</v>
      </c>
      <c r="I27" s="8" t="s">
        <v>106</v>
      </c>
    </row>
    <row r="28" customFormat="false" ht="17.15" hidden="false" customHeight="false" outlineLevel="0" collapsed="false">
      <c r="A28" s="0" t="s">
        <v>111</v>
      </c>
      <c r="B28" s="5" t="s">
        <v>112</v>
      </c>
      <c r="C28" s="0" t="s">
        <v>26</v>
      </c>
      <c r="D28" s="7" t="n">
        <v>0.08</v>
      </c>
      <c r="E28" s="7" t="n">
        <v>0.1</v>
      </c>
      <c r="F28" s="7" t="n">
        <v>0.12</v>
      </c>
      <c r="G28" s="8" t="s">
        <v>32</v>
      </c>
      <c r="H28" s="5" t="s">
        <v>101</v>
      </c>
      <c r="I28" s="8" t="s">
        <v>102</v>
      </c>
    </row>
    <row r="29" customFormat="false" ht="17.15" hidden="false" customHeight="false" outlineLevel="0" collapsed="false">
      <c r="A29" s="0" t="s">
        <v>113</v>
      </c>
      <c r="B29" s="0" t="s">
        <v>114</v>
      </c>
      <c r="C29" s="0" t="s">
        <v>26</v>
      </c>
      <c r="D29" s="7" t="n">
        <v>-0.04</v>
      </c>
      <c r="E29" s="7" t="n">
        <v>0</v>
      </c>
      <c r="F29" s="7" t="n">
        <v>0.04</v>
      </c>
      <c r="G29" s="8" t="s">
        <v>32</v>
      </c>
      <c r="H29" s="5" t="s">
        <v>105</v>
      </c>
      <c r="I29" s="8" t="s">
        <v>106</v>
      </c>
    </row>
    <row r="30" customFormat="false" ht="17.15" hidden="false" customHeight="false" outlineLevel="0" collapsed="false">
      <c r="A30" s="1" t="s">
        <v>115</v>
      </c>
    </row>
    <row r="31" customFormat="false" ht="17.15" hidden="false" customHeight="false" outlineLevel="0" collapsed="false">
      <c r="A31" s="0" t="s">
        <v>116</v>
      </c>
      <c r="B31" s="5" t="s">
        <v>117</v>
      </c>
      <c r="C31" s="0" t="s">
        <v>26</v>
      </c>
      <c r="D31" s="7" t="n">
        <v>0.6</v>
      </c>
      <c r="E31" s="8" t="n">
        <f aca="false">(a26_gp-a25_gp)/(a26_rev-a25_rev)</f>
        <v>0.646463816136145</v>
      </c>
      <c r="F31" s="7" t="n">
        <v>0.65</v>
      </c>
      <c r="G31" s="8" t="s">
        <v>60</v>
      </c>
      <c r="H31" s="5" t="s">
        <v>118</v>
      </c>
      <c r="I31" s="5" t="s">
        <v>119</v>
      </c>
    </row>
    <row r="32" customFormat="false" ht="17.15" hidden="false" customHeight="false" outlineLevel="0" collapsed="false">
      <c r="A32" s="0" t="s">
        <v>120</v>
      </c>
      <c r="B32" s="5" t="s">
        <v>121</v>
      </c>
      <c r="C32" s="0" t="s">
        <v>41</v>
      </c>
      <c r="E32" s="7" t="n">
        <v>690</v>
      </c>
      <c r="G32" s="8" t="s">
        <v>27</v>
      </c>
      <c r="H32" s="8" t="s">
        <v>122</v>
      </c>
      <c r="I32" s="5" t="s">
        <v>123</v>
      </c>
    </row>
    <row r="33" customFormat="false" ht="17.15" hidden="false" customHeight="false" outlineLevel="0" collapsed="false">
      <c r="A33" s="0" t="s">
        <v>124</v>
      </c>
      <c r="B33" s="5" t="s">
        <v>125</v>
      </c>
      <c r="C33" s="0" t="s">
        <v>126</v>
      </c>
      <c r="D33" s="7" t="n">
        <v>15</v>
      </c>
      <c r="E33" s="7" t="n">
        <v>17.5</v>
      </c>
      <c r="F33" s="7" t="n">
        <v>20</v>
      </c>
      <c r="G33" s="8" t="s">
        <v>27</v>
      </c>
      <c r="H33" s="8" t="s">
        <v>127</v>
      </c>
      <c r="I33" s="5" t="s">
        <v>128</v>
      </c>
    </row>
    <row r="34" customFormat="false" ht="17.15" hidden="false" customHeight="false" outlineLevel="0" collapsed="false">
      <c r="A34" s="0" t="s">
        <v>129</v>
      </c>
      <c r="B34" s="5" t="s">
        <v>130</v>
      </c>
      <c r="C34" s="0" t="s">
        <v>41</v>
      </c>
      <c r="E34" s="0" t="n">
        <f aca="false">4*opex_q1+6*opex_step</f>
        <v>2865</v>
      </c>
      <c r="G34" s="0" t="s">
        <v>60</v>
      </c>
      <c r="H34" s="0" t="s">
        <v>131</v>
      </c>
      <c r="I34" s="5" t="s">
        <v>132</v>
      </c>
    </row>
    <row r="35" customFormat="false" ht="17.15" hidden="false" customHeight="false" outlineLevel="0" collapsed="false">
      <c r="A35" s="0" t="s">
        <v>133</v>
      </c>
      <c r="B35" s="5" t="s">
        <v>134</v>
      </c>
      <c r="C35" s="0" t="s">
        <v>26</v>
      </c>
      <c r="D35" s="7" t="n">
        <v>0.05</v>
      </c>
      <c r="E35" s="7" t="n">
        <v>0.08</v>
      </c>
      <c r="F35" s="7" t="n">
        <v>0.11</v>
      </c>
      <c r="G35" s="8" t="s">
        <v>32</v>
      </c>
      <c r="H35" s="5" t="s">
        <v>135</v>
      </c>
      <c r="I35" s="8" t="s">
        <v>91</v>
      </c>
    </row>
    <row r="36" customFormat="false" ht="17.15" hidden="false" customHeight="false" outlineLevel="0" collapsed="false">
      <c r="A36" s="0" t="s">
        <v>136</v>
      </c>
      <c r="B36" s="5" t="s">
        <v>137</v>
      </c>
      <c r="C36" s="0" t="s">
        <v>26</v>
      </c>
      <c r="D36" s="7" t="n">
        <v>0.02</v>
      </c>
      <c r="E36" s="7" t="n">
        <v>0.05</v>
      </c>
      <c r="F36" s="7" t="n">
        <v>0.08</v>
      </c>
      <c r="G36" s="8" t="s">
        <v>32</v>
      </c>
      <c r="H36" s="5" t="s">
        <v>135</v>
      </c>
      <c r="I36" s="8" t="s">
        <v>91</v>
      </c>
    </row>
    <row r="37" customFormat="false" ht="17.15" hidden="false" customHeight="false" outlineLevel="0" collapsed="false">
      <c r="A37" s="0" t="s">
        <v>138</v>
      </c>
      <c r="B37" s="5" t="s">
        <v>139</v>
      </c>
      <c r="C37" s="0" t="s">
        <v>26</v>
      </c>
      <c r="D37" s="7" t="n">
        <v>-0.01</v>
      </c>
      <c r="E37" s="7" t="n">
        <v>0.02</v>
      </c>
      <c r="F37" s="7" t="n">
        <v>0.05</v>
      </c>
      <c r="G37" s="8" t="s">
        <v>32</v>
      </c>
      <c r="H37" s="5" t="s">
        <v>135</v>
      </c>
      <c r="I37" s="8" t="s">
        <v>91</v>
      </c>
    </row>
    <row r="38" customFormat="false" ht="17.15" hidden="false" customHeight="false" outlineLevel="0" collapsed="false">
      <c r="A38" s="1" t="s">
        <v>140</v>
      </c>
    </row>
    <row r="39" customFormat="false" ht="17.15" hidden="false" customHeight="false" outlineLevel="0" collapsed="false">
      <c r="A39" s="0" t="s">
        <v>141</v>
      </c>
      <c r="B39" s="5" t="s">
        <v>142</v>
      </c>
      <c r="C39" s="0" t="s">
        <v>41</v>
      </c>
      <c r="D39" s="7" t="n">
        <v>-200</v>
      </c>
      <c r="E39" s="7" t="n">
        <v>-100</v>
      </c>
      <c r="F39" s="7" t="n">
        <v>0</v>
      </c>
      <c r="G39" s="8" t="s">
        <v>27</v>
      </c>
      <c r="H39" s="8" t="s">
        <v>143</v>
      </c>
      <c r="I39" s="8" t="s">
        <v>144</v>
      </c>
    </row>
    <row r="40" customFormat="false" ht="17.15" hidden="false" customHeight="false" outlineLevel="0" collapsed="false">
      <c r="A40" s="0" t="s">
        <v>145</v>
      </c>
      <c r="B40" s="5" t="s">
        <v>146</v>
      </c>
      <c r="C40" s="0" t="s">
        <v>26</v>
      </c>
      <c r="D40" s="7" t="n">
        <v>0.13</v>
      </c>
      <c r="E40" s="7" t="n">
        <v>0.145</v>
      </c>
      <c r="F40" s="7" t="n">
        <v>0.17</v>
      </c>
      <c r="G40" s="8" t="s">
        <v>27</v>
      </c>
      <c r="H40" s="8" t="s">
        <v>147</v>
      </c>
      <c r="I40" s="8" t="s">
        <v>148</v>
      </c>
    </row>
    <row r="41" customFormat="false" ht="17.15" hidden="false" customHeight="false" outlineLevel="0" collapsed="false">
      <c r="A41" s="0" t="s">
        <v>149</v>
      </c>
      <c r="B41" s="5" t="s">
        <v>150</v>
      </c>
      <c r="C41" s="5" t="s">
        <v>151</v>
      </c>
      <c r="E41" s="7" t="n">
        <v>1312</v>
      </c>
      <c r="G41" s="8" t="s">
        <v>27</v>
      </c>
      <c r="H41" s="8" t="s">
        <v>152</v>
      </c>
      <c r="I41" s="8" t="s">
        <v>153</v>
      </c>
    </row>
    <row r="42" customFormat="false" ht="17.15" hidden="false" customHeight="false" outlineLevel="0" collapsed="false">
      <c r="A42" s="0" t="s">
        <v>154</v>
      </c>
      <c r="B42" s="5" t="s">
        <v>155</v>
      </c>
      <c r="C42" s="0" t="s">
        <v>26</v>
      </c>
      <c r="D42" s="7" t="n">
        <v>0</v>
      </c>
      <c r="E42" s="8" t="n">
        <f aca="false">1-a26_sh/a25_sh</f>
        <v>0.0133599800224598</v>
      </c>
      <c r="F42" s="7" t="n">
        <v>0.025</v>
      </c>
      <c r="G42" s="8" t="s">
        <v>60</v>
      </c>
      <c r="H42" s="8" t="s">
        <v>156</v>
      </c>
      <c r="I42" s="5" t="s">
        <v>157</v>
      </c>
    </row>
    <row r="43" customFormat="false" ht="17.15" hidden="false" customHeight="false" outlineLevel="0" collapsed="false">
      <c r="A43" s="1" t="s">
        <v>158</v>
      </c>
    </row>
    <row r="44" customFormat="false" ht="17.15" hidden="false" customHeight="false" outlineLevel="0" collapsed="false">
      <c r="A44" s="0" t="s">
        <v>159</v>
      </c>
      <c r="B44" s="0" t="s">
        <v>160</v>
      </c>
      <c r="C44" s="0" t="s">
        <v>41</v>
      </c>
      <c r="D44" s="7" t="n">
        <v>3800</v>
      </c>
      <c r="E44" s="7" t="n">
        <v>4000</v>
      </c>
      <c r="F44" s="7" t="n">
        <v>4200</v>
      </c>
      <c r="G44" s="8" t="s">
        <v>27</v>
      </c>
      <c r="H44" s="8" t="s">
        <v>161</v>
      </c>
      <c r="I44" s="8" t="s">
        <v>162</v>
      </c>
    </row>
    <row r="45" customFormat="false" ht="17.15" hidden="false" customHeight="false" outlineLevel="0" collapsed="false">
      <c r="A45" s="0" t="s">
        <v>163</v>
      </c>
      <c r="B45" s="0" t="s">
        <v>164</v>
      </c>
      <c r="C45" s="0" t="s">
        <v>26</v>
      </c>
      <c r="D45" s="7" t="n">
        <v>0.606</v>
      </c>
      <c r="E45" s="7" t="n">
        <v>0.616</v>
      </c>
      <c r="F45" s="7" t="n">
        <v>0.626</v>
      </c>
      <c r="G45" s="8" t="s">
        <v>27</v>
      </c>
      <c r="H45" s="5" t="s">
        <v>165</v>
      </c>
      <c r="I45" s="5" t="s">
        <v>166</v>
      </c>
    </row>
    <row r="46" customFormat="false" ht="17.15" hidden="false" customHeight="false" outlineLevel="0" collapsed="false">
      <c r="A46" s="0" t="s">
        <v>167</v>
      </c>
      <c r="B46" s="0" t="s">
        <v>168</v>
      </c>
      <c r="C46" s="0" t="s">
        <v>169</v>
      </c>
      <c r="D46" s="7" t="n">
        <v>1.04</v>
      </c>
      <c r="E46" s="7" t="n">
        <v>1.14</v>
      </c>
      <c r="F46" s="7" t="n">
        <v>1.24</v>
      </c>
      <c r="G46" s="8" t="s">
        <v>27</v>
      </c>
      <c r="H46" s="5" t="s">
        <v>165</v>
      </c>
      <c r="I46" s="5" t="s">
        <v>170</v>
      </c>
    </row>
    <row r="47" customFormat="false" ht="17.15" hidden="false" customHeight="false" outlineLevel="0" collapsed="false">
      <c r="A47" s="0" t="s">
        <v>171</v>
      </c>
      <c r="B47" s="5" t="s">
        <v>172</v>
      </c>
      <c r="C47" s="0" t="s">
        <v>41</v>
      </c>
      <c r="E47" s="7" t="n">
        <v>4490</v>
      </c>
      <c r="G47" s="8" t="s">
        <v>27</v>
      </c>
      <c r="H47" s="8" t="s">
        <v>173</v>
      </c>
      <c r="I47" s="5" t="s">
        <v>123</v>
      </c>
    </row>
    <row r="48" customFormat="false" ht="17.15" hidden="false" customHeight="false" outlineLevel="0" collapsed="false">
      <c r="A48" s="0" t="s">
        <v>174</v>
      </c>
      <c r="B48" s="5" t="s">
        <v>175</v>
      </c>
      <c r="C48" s="0" t="s">
        <v>41</v>
      </c>
      <c r="E48" s="7" t="n">
        <v>18140</v>
      </c>
      <c r="G48" s="8" t="s">
        <v>27</v>
      </c>
      <c r="H48" s="8" t="s">
        <v>176</v>
      </c>
      <c r="I48" s="8" t="s">
        <v>177</v>
      </c>
    </row>
    <row r="49" customFormat="false" ht="17.15" hidden="false" customHeight="false" outlineLevel="0" collapsed="false">
      <c r="A49" s="0" t="s">
        <v>178</v>
      </c>
      <c r="B49" s="5" t="s">
        <v>179</v>
      </c>
      <c r="C49" s="0" t="s">
        <v>169</v>
      </c>
      <c r="E49" s="7" t="n">
        <v>5.44</v>
      </c>
      <c r="G49" s="8" t="s">
        <v>27</v>
      </c>
      <c r="H49" s="8" t="s">
        <v>180</v>
      </c>
      <c r="I49" s="8" t="s">
        <v>181</v>
      </c>
    </row>
    <row r="50" customFormat="false" ht="17.15" hidden="false" customHeight="false" outlineLevel="0" collapsed="false">
      <c r="A50" s="0" t="s">
        <v>182</v>
      </c>
      <c r="B50" s="5" t="s">
        <v>183</v>
      </c>
      <c r="C50" s="0" t="s">
        <v>41</v>
      </c>
      <c r="E50" s="7" t="n">
        <v>21570</v>
      </c>
      <c r="G50" s="8" t="s">
        <v>27</v>
      </c>
      <c r="H50" s="8" t="s">
        <v>184</v>
      </c>
      <c r="I50" s="5" t="s">
        <v>185</v>
      </c>
    </row>
    <row r="51" customFormat="false" ht="17.15" hidden="false" customHeight="false" outlineLevel="0" collapsed="false">
      <c r="A51" s="0" t="s">
        <v>186</v>
      </c>
      <c r="B51" s="5" t="s">
        <v>187</v>
      </c>
      <c r="C51" s="0" t="s">
        <v>169</v>
      </c>
      <c r="E51" s="7" t="n">
        <v>6.74</v>
      </c>
      <c r="G51" s="8" t="s">
        <v>27</v>
      </c>
      <c r="H51" s="8" t="s">
        <v>188</v>
      </c>
      <c r="I51" s="5" t="s">
        <v>123</v>
      </c>
    </row>
    <row r="52" customFormat="false" ht="17.15" hidden="false" customHeight="false" outlineLevel="0" collapsed="false">
      <c r="A52" s="0" t="s">
        <v>189</v>
      </c>
      <c r="B52" s="5" t="s">
        <v>190</v>
      </c>
      <c r="C52" s="5" t="s">
        <v>191</v>
      </c>
      <c r="E52" s="7" t="n">
        <v>2029</v>
      </c>
      <c r="G52" s="8" t="s">
        <v>60</v>
      </c>
      <c r="H52" s="8" t="s">
        <v>192</v>
      </c>
      <c r="I52" s="5" t="s">
        <v>193</v>
      </c>
    </row>
    <row r="53" customFormat="false" ht="17.15" hidden="false" customHeight="false" outlineLevel="0" collapsed="false">
      <c r="A53" s="0" t="s">
        <v>194</v>
      </c>
      <c r="B53" s="5" t="s">
        <v>195</v>
      </c>
      <c r="C53" s="5" t="s">
        <v>191</v>
      </c>
      <c r="E53" s="7" t="n">
        <v>2028</v>
      </c>
      <c r="G53" s="8" t="s">
        <v>60</v>
      </c>
      <c r="H53" s="8" t="s">
        <v>196</v>
      </c>
      <c r="I53" s="5" t="s">
        <v>165</v>
      </c>
    </row>
    <row r="54" customFormat="false" ht="17.15" hidden="false" customHeight="false" outlineLevel="0" collapsed="false">
      <c r="A54" s="0" t="s">
        <v>197</v>
      </c>
      <c r="B54" s="5" t="s">
        <v>198</v>
      </c>
      <c r="C54" s="5" t="s">
        <v>191</v>
      </c>
      <c r="E54" s="7" t="n">
        <v>2027</v>
      </c>
      <c r="G54" s="8" t="s">
        <v>60</v>
      </c>
      <c r="H54" s="8" t="s">
        <v>199</v>
      </c>
      <c r="I54" s="5" t="s">
        <v>165</v>
      </c>
    </row>
    <row r="55" customFormat="false" ht="17.15" hidden="false" customHeight="false" outlineLevel="0" collapsed="false">
      <c r="A55" s="0" t="s">
        <v>200</v>
      </c>
      <c r="B55" s="5" t="s">
        <v>201</v>
      </c>
      <c r="C55" s="0" t="s">
        <v>169</v>
      </c>
      <c r="E55" s="7" t="n">
        <v>145.61</v>
      </c>
      <c r="G55" s="8" t="s">
        <v>85</v>
      </c>
      <c r="H55" s="8" t="s">
        <v>202</v>
      </c>
      <c r="I55" s="8" t="s">
        <v>203</v>
      </c>
    </row>
    <row r="56" customFormat="false" ht="17.15" hidden="false" customHeight="false" outlineLevel="0" collapsed="false">
      <c r="A56" s="0" t="s">
        <v>204</v>
      </c>
      <c r="B56" s="5" t="s">
        <v>205</v>
      </c>
      <c r="C56" s="0" t="s">
        <v>26</v>
      </c>
      <c r="E56" s="7" t="n">
        <v>0.3</v>
      </c>
      <c r="G56" s="8" t="s">
        <v>32</v>
      </c>
      <c r="H56" s="8" t="s">
        <v>206</v>
      </c>
      <c r="I56" s="5" t="s">
        <v>207</v>
      </c>
    </row>
    <row r="57" customFormat="false" ht="17.15" hidden="false" customHeight="false" outlineLevel="0" collapsed="false">
      <c r="A57" s="0" t="s">
        <v>208</v>
      </c>
      <c r="B57" s="5" t="s">
        <v>209</v>
      </c>
      <c r="C57" s="0" t="s">
        <v>26</v>
      </c>
      <c r="E57" s="7" t="n">
        <v>0.5</v>
      </c>
      <c r="G57" s="8" t="s">
        <v>32</v>
      </c>
      <c r="H57" s="8" t="s">
        <v>206</v>
      </c>
      <c r="I57" s="8" t="s">
        <v>91</v>
      </c>
    </row>
    <row r="58" customFormat="false" ht="17.15" hidden="false" customHeight="false" outlineLevel="0" collapsed="false">
      <c r="A58" s="0" t="s">
        <v>210</v>
      </c>
      <c r="B58" s="5" t="s">
        <v>211</v>
      </c>
      <c r="C58" s="0" t="s">
        <v>26</v>
      </c>
      <c r="E58" s="7" t="n">
        <v>0.2</v>
      </c>
      <c r="G58" s="8" t="s">
        <v>32</v>
      </c>
      <c r="H58" s="8" t="s">
        <v>206</v>
      </c>
      <c r="I58" s="8" t="s">
        <v>91</v>
      </c>
    </row>
    <row r="60" customFormat="false" ht="17.15" hidden="false" customHeight="false" outlineLevel="0" collapsed="false">
      <c r="A60" s="1" t="s">
        <v>212</v>
      </c>
    </row>
    <row r="61" customFormat="false" ht="17.15" hidden="false" customHeight="false" outlineLevel="0" collapsed="false">
      <c r="A61" s="0" t="s">
        <v>213</v>
      </c>
      <c r="B61" s="5" t="s">
        <v>214</v>
      </c>
      <c r="C61" s="0" t="s">
        <v>26</v>
      </c>
      <c r="E61" s="9" t="n">
        <v>0.1</v>
      </c>
      <c r="G61" s="8" t="s">
        <v>32</v>
      </c>
      <c r="H61" s="8" t="s">
        <v>215</v>
      </c>
      <c r="I61" s="8" t="s">
        <v>91</v>
      </c>
    </row>
    <row r="62" customFormat="false" ht="17.15" hidden="false" customHeight="false" outlineLevel="0" collapsed="false">
      <c r="A62" s="0" t="s">
        <v>216</v>
      </c>
      <c r="B62" s="5" t="s">
        <v>217</v>
      </c>
      <c r="C62" s="0" t="s">
        <v>26</v>
      </c>
      <c r="E62" s="9" t="n">
        <v>0.04</v>
      </c>
      <c r="G62" s="8" t="s">
        <v>32</v>
      </c>
      <c r="H62" s="8" t="s">
        <v>218</v>
      </c>
      <c r="I62" s="5" t="s">
        <v>219</v>
      </c>
    </row>
    <row r="63" customFormat="false" ht="17.15" hidden="false" customHeight="false" outlineLevel="0" collapsed="false">
      <c r="A63" s="0" t="s">
        <v>220</v>
      </c>
      <c r="B63" s="0" t="s">
        <v>221</v>
      </c>
      <c r="C63" s="0" t="s">
        <v>26</v>
      </c>
      <c r="E63" s="10" t="n">
        <f aca="false">AVERAGE(0.8784,1.0077,0.875)</f>
        <v>0.920366666666667</v>
      </c>
      <c r="G63" s="8" t="s">
        <v>60</v>
      </c>
      <c r="H63" s="8" t="s">
        <v>222</v>
      </c>
      <c r="I63" s="5" t="s">
        <v>223</v>
      </c>
    </row>
    <row r="64" customFormat="false" ht="17.15" hidden="false" customHeight="false" outlineLevel="0" collapsed="false">
      <c r="A64" s="0" t="s">
        <v>224</v>
      </c>
      <c r="B64" s="5" t="s">
        <v>225</v>
      </c>
      <c r="C64" s="0" t="s">
        <v>26</v>
      </c>
      <c r="E64" s="11" t="n">
        <v>0.5</v>
      </c>
      <c r="G64" s="8" t="s">
        <v>32</v>
      </c>
      <c r="H64" s="8" t="s">
        <v>226</v>
      </c>
      <c r="I64" s="8" t="s">
        <v>91</v>
      </c>
    </row>
    <row r="65" customFormat="false" ht="17.15" hidden="false" customHeight="false" outlineLevel="0" collapsed="false">
      <c r="A65" s="0" t="s">
        <v>227</v>
      </c>
      <c r="B65" s="5" t="s">
        <v>228</v>
      </c>
      <c r="C65" s="0" t="s">
        <v>26</v>
      </c>
      <c r="E65" s="10" t="n">
        <f aca="false">AVERAGE(0.70442/2.98,0.92608/3.48,0.80226/4.04,1.18/4.57,1.22/5.81,2.08/6.92,3.32/9.21,3.39/10.5,2.76/9.81,4.06/12.16)</f>
        <v>0.27684052421801</v>
      </c>
      <c r="G65" s="8" t="s">
        <v>60</v>
      </c>
      <c r="H65" s="8" t="s">
        <v>229</v>
      </c>
      <c r="I65" s="5" t="s">
        <v>230</v>
      </c>
    </row>
    <row r="66" customFormat="false" ht="17.15" hidden="false" customHeight="false" outlineLevel="0" collapsed="false">
      <c r="A66" s="0" t="s">
        <v>231</v>
      </c>
      <c r="B66" s="5" t="s">
        <v>232</v>
      </c>
      <c r="C66" s="0" t="s">
        <v>169</v>
      </c>
      <c r="E66" s="12" t="n">
        <v>232.38</v>
      </c>
      <c r="G66" s="8" t="s">
        <v>27</v>
      </c>
      <c r="H66" s="8" t="s">
        <v>233</v>
      </c>
      <c r="I66" s="5" t="s">
        <v>123</v>
      </c>
    </row>
    <row r="67" customFormat="false" ht="17.15" hidden="false" customHeight="false" outlineLevel="0" collapsed="false">
      <c r="A67" s="0" t="s">
        <v>234</v>
      </c>
      <c r="B67" s="5" t="s">
        <v>235</v>
      </c>
      <c r="C67" s="0" t="s">
        <v>169</v>
      </c>
      <c r="E67" s="13" t="n">
        <f aca="false">cons_eps28</f>
        <v>6.74</v>
      </c>
      <c r="G67" s="8" t="s">
        <v>27</v>
      </c>
      <c r="H67" s="5" t="s">
        <v>236</v>
      </c>
      <c r="I67" s="8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9" min="2" style="0" width="15"/>
    <col collapsed="false" customWidth="true" hidden="false" outlineLevel="0" max="10" min="10" style="0" width="18"/>
    <col collapsed="false" customWidth="true" hidden="false" outlineLevel="0" max="11" min="11" style="0" width="80"/>
    <col collapsed="false" customWidth="true" hidden="false" outlineLevel="0" max="12" min="12" style="0" width="60"/>
  </cols>
  <sheetData>
    <row r="1" customFormat="false" ht="17.15" hidden="false" customHeight="false" outlineLevel="0" collapsed="false">
      <c r="A1" s="0" t="s">
        <v>237</v>
      </c>
    </row>
    <row r="2" customFormat="false" ht="17.15" hidden="false" customHeight="false" outlineLevel="0" collapsed="false">
      <c r="A2" s="0" t="s">
        <v>238</v>
      </c>
    </row>
    <row r="3" customFormat="false" ht="17.15" hidden="false" customHeight="false" outlineLevel="0" collapsed="false">
      <c r="A3" s="6" t="s">
        <v>15</v>
      </c>
      <c r="B3" s="14" t="s">
        <v>239</v>
      </c>
      <c r="C3" s="14" t="s">
        <v>240</v>
      </c>
      <c r="D3" s="14" t="s">
        <v>241</v>
      </c>
      <c r="E3" s="14" t="s">
        <v>242</v>
      </c>
      <c r="F3" s="14" t="s">
        <v>243</v>
      </c>
      <c r="G3" s="14" t="s">
        <v>244</v>
      </c>
      <c r="H3" s="14" t="s">
        <v>245</v>
      </c>
      <c r="I3" s="14" t="s">
        <v>246</v>
      </c>
      <c r="J3" s="6" t="s">
        <v>20</v>
      </c>
      <c r="K3" s="6" t="s">
        <v>247</v>
      </c>
      <c r="L3" s="6" t="s">
        <v>22</v>
      </c>
    </row>
    <row r="4" customFormat="false" ht="17.15" hidden="false" customHeight="false" outlineLevel="0" collapsed="false">
      <c r="A4" s="5" t="s">
        <v>248</v>
      </c>
      <c r="B4" s="15" t="n">
        <v>3063</v>
      </c>
      <c r="C4" s="15" t="n">
        <v>3174.741</v>
      </c>
      <c r="D4" s="16" t="n">
        <f aca="false">9921.9-3415.1</f>
        <v>6506.8</v>
      </c>
      <c r="E4" s="15" t="n">
        <v>3415.1</v>
      </c>
      <c r="F4" s="15" t="n">
        <v>3657.556</v>
      </c>
      <c r="G4" s="15" t="n">
        <v>12156.162</v>
      </c>
      <c r="H4" s="15" t="n">
        <v>13579.476</v>
      </c>
      <c r="I4" s="5" t="s">
        <v>249</v>
      </c>
      <c r="J4" s="8" t="s">
        <v>85</v>
      </c>
      <c r="K4" s="8" t="s">
        <v>250</v>
      </c>
      <c r="L4" s="8" t="s">
        <v>251</v>
      </c>
    </row>
    <row r="5" customFormat="false" ht="17.15" hidden="false" customHeight="false" outlineLevel="0" collapsed="false">
      <c r="A5" s="5" t="s">
        <v>252</v>
      </c>
      <c r="B5" s="15" t="n">
        <v>2393.8</v>
      </c>
      <c r="C5" s="15" t="n">
        <v>2472.182</v>
      </c>
      <c r="D5" s="16" t="n">
        <f aca="false">7616.4-2640.3</f>
        <v>4976.1</v>
      </c>
      <c r="E5" s="15" t="n">
        <v>2640.3</v>
      </c>
      <c r="F5" s="15" t="n">
        <v>2837.151</v>
      </c>
      <c r="G5" s="15" t="n">
        <v>9472.854</v>
      </c>
      <c r="H5" s="15" t="n">
        <v>10453.537</v>
      </c>
      <c r="J5" s="8" t="s">
        <v>85</v>
      </c>
      <c r="K5" s="5" t="s">
        <v>165</v>
      </c>
      <c r="L5" s="5" t="s">
        <v>253</v>
      </c>
    </row>
    <row r="6" customFormat="false" ht="17.15" hidden="false" customHeight="false" outlineLevel="0" collapsed="false">
      <c r="A6" s="5" t="s">
        <v>254</v>
      </c>
      <c r="B6" s="15" t="n">
        <v>669.2</v>
      </c>
      <c r="C6" s="15" t="n">
        <v>702.559</v>
      </c>
      <c r="D6" s="16" t="n">
        <f aca="false">2305.5-774.8</f>
        <v>1530.7</v>
      </c>
      <c r="E6" s="15" t="n">
        <v>774.8</v>
      </c>
      <c r="F6" s="15" t="n">
        <v>820.405</v>
      </c>
      <c r="G6" s="15" t="n">
        <v>2683.308</v>
      </c>
      <c r="H6" s="15" t="n">
        <v>3125.939</v>
      </c>
      <c r="J6" s="8" t="s">
        <v>85</v>
      </c>
      <c r="K6" s="5" t="s">
        <v>165</v>
      </c>
      <c r="L6" s="8" t="s">
        <v>255</v>
      </c>
    </row>
    <row r="7" customFormat="false" ht="15" hidden="false" customHeight="false" outlineLevel="0" collapsed="false">
      <c r="A7" s="5" t="s">
        <v>256</v>
      </c>
      <c r="B7" s="15" t="n">
        <v>2738.8</v>
      </c>
      <c r="C7" s="15" t="n">
        <v>2877.647</v>
      </c>
      <c r="D7" s="16" t="n">
        <f aca="false">8988-3083.9</f>
        <v>5904.1</v>
      </c>
      <c r="E7" s="15" t="n">
        <v>3083.9</v>
      </c>
      <c r="F7" s="15" t="n">
        <v>3256.781</v>
      </c>
      <c r="G7" s="15" t="n">
        <v>10947.359</v>
      </c>
      <c r="H7" s="15" t="n">
        <v>12244.733</v>
      </c>
      <c r="J7" s="8" t="s">
        <v>85</v>
      </c>
      <c r="K7" s="5" t="s">
        <v>257</v>
      </c>
      <c r="L7" s="8" t="s">
        <v>91</v>
      </c>
    </row>
    <row r="8" customFormat="false" ht="17.15" hidden="false" customHeight="false" outlineLevel="0" collapsed="false">
      <c r="A8" s="5" t="s">
        <v>258</v>
      </c>
      <c r="B8" s="15" t="n">
        <v>156.5</v>
      </c>
      <c r="C8" s="15" t="n">
        <v>141.866</v>
      </c>
      <c r="D8" s="16" t="n">
        <f aca="false">424.4-164</f>
        <v>260.4</v>
      </c>
      <c r="E8" s="15" t="n">
        <v>164</v>
      </c>
      <c r="F8" s="15" t="n">
        <v>159.704</v>
      </c>
      <c r="G8" s="15" t="n">
        <v>587.107</v>
      </c>
      <c r="H8" s="15" t="n">
        <v>584.064</v>
      </c>
      <c r="J8" s="8" t="s">
        <v>85</v>
      </c>
      <c r="K8" s="5" t="s">
        <v>165</v>
      </c>
      <c r="L8" s="8" t="s">
        <v>91</v>
      </c>
    </row>
    <row r="9" customFormat="false" ht="17.15" hidden="false" customHeight="false" outlineLevel="0" collapsed="false">
      <c r="A9" s="5" t="s">
        <v>259</v>
      </c>
      <c r="B9" s="15" t="n">
        <v>168.6</v>
      </c>
      <c r="C9" s="15" t="n">
        <v>154.106</v>
      </c>
      <c r="D9" s="16" t="n">
        <f aca="false">509.3-167.6</f>
        <v>341.7</v>
      </c>
      <c r="E9" s="15" t="n">
        <v>167.6</v>
      </c>
      <c r="F9" s="15" t="n">
        <v>241.11</v>
      </c>
      <c r="G9" s="15" t="n">
        <v>621.721</v>
      </c>
      <c r="H9" s="15" t="n">
        <v>750.415</v>
      </c>
      <c r="J9" s="8" t="s">
        <v>85</v>
      </c>
      <c r="K9" s="5" t="s">
        <v>165</v>
      </c>
      <c r="L9" s="8" t="s">
        <v>91</v>
      </c>
    </row>
    <row r="10" customFormat="false" ht="17.15" hidden="false" customHeight="false" outlineLevel="0" collapsed="false">
      <c r="A10" s="5" t="s">
        <v>260</v>
      </c>
      <c r="B10" s="16" t="n">
        <f aca="false">B4-B7-B8-B9</f>
        <v>-0.900000000000176</v>
      </c>
      <c r="C10" s="16" t="n">
        <f aca="false">C4-C7-C8-C9</f>
        <v>1.12200000000004</v>
      </c>
      <c r="D10" s="16" t="n">
        <f aca="false">D4-D7-D8-D9</f>
        <v>0.599999999998886</v>
      </c>
      <c r="E10" s="16" t="n">
        <f aca="false">E4-E7-E8-E9</f>
        <v>-0.400000000000176</v>
      </c>
      <c r="F10" s="16" t="n">
        <f aca="false">F4-F7-F8-F9</f>
        <v>-0.0389999999999304</v>
      </c>
      <c r="G10" s="16" t="n">
        <f aca="false">G4-G7-G8-G9</f>
        <v>-0.025000000000091</v>
      </c>
      <c r="H10" s="16" t="n">
        <f aca="false">H4-H7-H8-H9</f>
        <v>0.264000000000465</v>
      </c>
      <c r="J10" s="8" t="s">
        <v>60</v>
      </c>
      <c r="K10" s="8" t="s">
        <v>91</v>
      </c>
      <c r="L10" s="5" t="s">
        <v>261</v>
      </c>
    </row>
    <row r="11" customFormat="false" ht="17.15" hidden="false" customHeight="false" outlineLevel="0" collapsed="false">
      <c r="A11" s="5" t="s">
        <v>262</v>
      </c>
      <c r="B11" s="16" t="n">
        <f aca="false">B5-B8-B9</f>
        <v>2068.7</v>
      </c>
      <c r="C11" s="16" t="n">
        <f aca="false">C5-C8-C9</f>
        <v>2176.21</v>
      </c>
      <c r="D11" s="16" t="n">
        <f aca="false">D5-D8-D9</f>
        <v>4374</v>
      </c>
      <c r="E11" s="16" t="n">
        <f aca="false">E5-E8-E9</f>
        <v>2308.7</v>
      </c>
      <c r="F11" s="16" t="n">
        <f aca="false">F5-F8-F9</f>
        <v>2436.337</v>
      </c>
      <c r="G11" s="16" t="n">
        <f aca="false">G5-G8-G9</f>
        <v>8264.026</v>
      </c>
      <c r="H11" s="16" t="n">
        <f aca="false">H5-H8-H9</f>
        <v>9119.058</v>
      </c>
      <c r="J11" s="8" t="s">
        <v>60</v>
      </c>
      <c r="K11" s="5" t="s">
        <v>263</v>
      </c>
      <c r="L11" s="5" t="s">
        <v>264</v>
      </c>
    </row>
    <row r="12" customFormat="false" ht="17.15" hidden="false" customHeight="false" outlineLevel="0" collapsed="false">
      <c r="A12" s="0" t="s">
        <v>265</v>
      </c>
      <c r="B12" s="16" t="n">
        <f aca="false">B8+B9</f>
        <v>325.1</v>
      </c>
      <c r="C12" s="16" t="n">
        <f aca="false">C8+C9</f>
        <v>295.972</v>
      </c>
      <c r="D12" s="16" t="n">
        <f aca="false">D8+D9</f>
        <v>602.1</v>
      </c>
      <c r="E12" s="16" t="n">
        <f aca="false">E8+E9</f>
        <v>331.6</v>
      </c>
      <c r="F12" s="16" t="n">
        <f aca="false">F8+F9</f>
        <v>400.814</v>
      </c>
      <c r="G12" s="16" t="n">
        <f aca="false">G8+G9</f>
        <v>1208.828</v>
      </c>
      <c r="H12" s="16" t="n">
        <f aca="false">H8+H9</f>
        <v>1334.479</v>
      </c>
      <c r="J12" s="8" t="s">
        <v>60</v>
      </c>
      <c r="K12" s="8" t="s">
        <v>91</v>
      </c>
      <c r="L12" s="8" t="s">
        <v>91</v>
      </c>
    </row>
    <row r="13" customFormat="false" ht="15" hidden="false" customHeight="false" outlineLevel="0" collapsed="false">
      <c r="A13" s="5" t="s">
        <v>266</v>
      </c>
      <c r="B13" s="15" t="n">
        <v>1175.7</v>
      </c>
      <c r="C13" s="15" t="n">
        <v>1207.286</v>
      </c>
      <c r="D13" s="16" t="n">
        <f aca="false">3842-1327.7</f>
        <v>2514.3</v>
      </c>
      <c r="E13" s="15" t="n">
        <v>1327.7</v>
      </c>
      <c r="F13" s="15" t="n">
        <v>1413.108</v>
      </c>
      <c r="G13" s="15" t="n">
        <v>4751.867</v>
      </c>
      <c r="H13" s="15" t="n">
        <v>5255.06</v>
      </c>
      <c r="J13" s="8" t="s">
        <v>85</v>
      </c>
      <c r="K13" s="5" t="s">
        <v>165</v>
      </c>
      <c r="L13" s="8" t="s">
        <v>91</v>
      </c>
    </row>
    <row r="14" customFormat="false" ht="17.15" hidden="false" customHeight="false" outlineLevel="0" collapsed="false">
      <c r="A14" s="5" t="s">
        <v>267</v>
      </c>
      <c r="B14" s="16" t="n">
        <f aca="false">B4-B13</f>
        <v>1887.3</v>
      </c>
      <c r="C14" s="16" t="n">
        <f aca="false">C4-C13</f>
        <v>1967.455</v>
      </c>
      <c r="D14" s="16" t="n">
        <f aca="false">D4-D13</f>
        <v>3992.5</v>
      </c>
      <c r="E14" s="16" t="n">
        <f aca="false">E4-E13</f>
        <v>2087.4</v>
      </c>
      <c r="F14" s="16" t="n">
        <f aca="false">F4-F13</f>
        <v>2244.448</v>
      </c>
      <c r="G14" s="16" t="n">
        <f aca="false">G4-G13</f>
        <v>7404.295</v>
      </c>
      <c r="H14" s="16" t="n">
        <f aca="false">H4-H13</f>
        <v>8324.416</v>
      </c>
      <c r="J14" s="8" t="s">
        <v>60</v>
      </c>
      <c r="K14" s="8" t="s">
        <v>91</v>
      </c>
      <c r="L14" s="8" t="s">
        <v>268</v>
      </c>
    </row>
    <row r="15" customFormat="false" ht="17.15" hidden="false" customHeight="false" outlineLevel="0" collapsed="false">
      <c r="A15" s="5" t="s">
        <v>269</v>
      </c>
      <c r="B15" s="10" t="n">
        <f aca="false">B14/B4</f>
        <v>0.616160626836435</v>
      </c>
      <c r="C15" s="10" t="n">
        <f aca="false">C14/C4</f>
        <v>0.61972141979456</v>
      </c>
      <c r="D15" s="10" t="n">
        <f aca="false">D14/D4</f>
        <v>0.613588860883998</v>
      </c>
      <c r="E15" s="10" t="n">
        <f aca="false">E14/E4</f>
        <v>0.611226611226611</v>
      </c>
      <c r="F15" s="10" t="n">
        <f aca="false">F14/F4</f>
        <v>0.613646927073707</v>
      </c>
      <c r="G15" s="10" t="n">
        <f aca="false">G14/G4</f>
        <v>0.609098085398994</v>
      </c>
      <c r="H15" s="10" t="n">
        <f aca="false">H14/H4</f>
        <v>0.613014522798965</v>
      </c>
      <c r="J15" s="8" t="s">
        <v>60</v>
      </c>
      <c r="K15" s="8" t="s">
        <v>91</v>
      </c>
      <c r="L15" s="5" t="s">
        <v>270</v>
      </c>
    </row>
    <row r="16" customFormat="false" ht="15" hidden="false" customHeight="false" outlineLevel="0" collapsed="false">
      <c r="A16" s="5" t="s">
        <v>271</v>
      </c>
      <c r="B16" s="15" t="n">
        <v>338</v>
      </c>
      <c r="C16" s="15" t="n">
        <v>352.989</v>
      </c>
      <c r="D16" s="16" t="n">
        <f aca="false">1133.1-388.8</f>
        <v>744.3</v>
      </c>
      <c r="E16" s="15" t="n">
        <v>388.8</v>
      </c>
      <c r="F16" s="15" t="n">
        <v>399.023</v>
      </c>
      <c r="G16" s="15" t="n">
        <v>1360.334</v>
      </c>
      <c r="H16" s="15" t="n">
        <v>1532.118</v>
      </c>
      <c r="J16" s="8" t="s">
        <v>85</v>
      </c>
      <c r="K16" s="5" t="s">
        <v>165</v>
      </c>
      <c r="L16" s="8" t="s">
        <v>91</v>
      </c>
    </row>
    <row r="17" customFormat="false" ht="17.15" hidden="false" customHeight="false" outlineLevel="0" collapsed="false">
      <c r="A17" s="5" t="s">
        <v>272</v>
      </c>
      <c r="B17" s="15" t="n">
        <v>248.9</v>
      </c>
      <c r="C17" s="15" t="n">
        <v>262.706</v>
      </c>
      <c r="D17" s="16" t="n">
        <f aca="false">840-291.1</f>
        <v>548.9</v>
      </c>
      <c r="E17" s="15" t="n">
        <v>291.1</v>
      </c>
      <c r="F17" s="15" t="n">
        <v>291.477</v>
      </c>
      <c r="G17" s="15" t="n">
        <v>1029.734</v>
      </c>
      <c r="H17" s="15" t="n">
        <v>1131.518</v>
      </c>
      <c r="J17" s="8" t="s">
        <v>85</v>
      </c>
      <c r="K17" s="5" t="s">
        <v>165</v>
      </c>
      <c r="L17" s="5" t="s">
        <v>273</v>
      </c>
    </row>
    <row r="18" customFormat="false" ht="17.15" hidden="false" customHeight="false" outlineLevel="0" collapsed="false">
      <c r="A18" s="5" t="s">
        <v>274</v>
      </c>
      <c r="B18" s="15" t="n">
        <v>0</v>
      </c>
      <c r="C18" s="15" t="n">
        <v>0</v>
      </c>
      <c r="D18" s="15" t="n">
        <v>0</v>
      </c>
      <c r="E18" s="15" t="n">
        <v>0</v>
      </c>
      <c r="F18" s="15" t="n">
        <v>0</v>
      </c>
      <c r="G18" s="15" t="n">
        <v>239.1</v>
      </c>
      <c r="H18" s="15" t="n">
        <v>0</v>
      </c>
      <c r="J18" s="8" t="s">
        <v>85</v>
      </c>
      <c r="K18" s="8" t="s">
        <v>275</v>
      </c>
      <c r="L18" s="8" t="s">
        <v>91</v>
      </c>
    </row>
    <row r="19" customFormat="false" ht="15" hidden="false" customHeight="false" outlineLevel="0" collapsed="false">
      <c r="A19" s="5" t="s">
        <v>276</v>
      </c>
      <c r="B19" s="16" t="n">
        <f aca="false">B16+B17</f>
        <v>586.9</v>
      </c>
      <c r="C19" s="16" t="n">
        <f aca="false">C16+C17</f>
        <v>615.695</v>
      </c>
      <c r="D19" s="16" t="n">
        <f aca="false">D16+D17</f>
        <v>1293.2</v>
      </c>
      <c r="E19" s="16" t="n">
        <f aca="false">E16+E17</f>
        <v>679.9</v>
      </c>
      <c r="F19" s="16" t="n">
        <f aca="false">F16+F17</f>
        <v>690.5</v>
      </c>
      <c r="G19" s="16" t="n">
        <f aca="false">G16+G17</f>
        <v>2390.068</v>
      </c>
      <c r="H19" s="16" t="n">
        <f aca="false">H16+H17</f>
        <v>2663.636</v>
      </c>
      <c r="J19" s="8" t="s">
        <v>60</v>
      </c>
      <c r="K19" s="8" t="s">
        <v>91</v>
      </c>
      <c r="L19" s="8" t="s">
        <v>91</v>
      </c>
    </row>
    <row r="20" customFormat="false" ht="17.15" hidden="false" customHeight="false" outlineLevel="0" collapsed="false">
      <c r="A20" s="5" t="s">
        <v>277</v>
      </c>
      <c r="B20" s="16" t="n">
        <f aca="false">B14-B19-B18</f>
        <v>1300.4</v>
      </c>
      <c r="C20" s="16" t="n">
        <f aca="false">C14-C19-C18</f>
        <v>1351.76</v>
      </c>
      <c r="D20" s="16" t="n">
        <f aca="false">D14-D19-D18</f>
        <v>2699.3</v>
      </c>
      <c r="E20" s="16" t="n">
        <f aca="false">E14-E19-E18</f>
        <v>1407.5</v>
      </c>
      <c r="F20" s="16" t="n">
        <f aca="false">F14-F19-F18</f>
        <v>1553.948</v>
      </c>
      <c r="G20" s="16" t="n">
        <f aca="false">G14-G19-G18</f>
        <v>4775.127</v>
      </c>
      <c r="H20" s="16" t="n">
        <f aca="false">H14-H19-H18</f>
        <v>5660.78</v>
      </c>
      <c r="J20" s="8" t="s">
        <v>60</v>
      </c>
      <c r="K20" s="8" t="s">
        <v>91</v>
      </c>
      <c r="L20" s="8" t="s">
        <v>278</v>
      </c>
    </row>
    <row r="21" customFormat="false" ht="17.15" hidden="false" customHeight="false" outlineLevel="0" collapsed="false">
      <c r="A21" s="5" t="s">
        <v>279</v>
      </c>
      <c r="G21" s="16" t="n">
        <f aca="false">171.487-302.166</f>
        <v>-130.679</v>
      </c>
      <c r="H21" s="16" t="n">
        <f aca="false">229.585-284.44</f>
        <v>-54.855</v>
      </c>
      <c r="J21" s="8" t="s">
        <v>85</v>
      </c>
      <c r="K21" s="8" t="s">
        <v>280</v>
      </c>
      <c r="L21" s="8" t="s">
        <v>91</v>
      </c>
    </row>
    <row r="22" customFormat="false" ht="15" hidden="false" customHeight="false" outlineLevel="0" collapsed="false">
      <c r="A22" s="5" t="s">
        <v>281</v>
      </c>
      <c r="G22" s="15" t="n">
        <v>582.805</v>
      </c>
      <c r="H22" s="15" t="n">
        <v>775.154</v>
      </c>
      <c r="J22" s="8" t="s">
        <v>85</v>
      </c>
      <c r="K22" s="5" t="s">
        <v>165</v>
      </c>
      <c r="L22" s="8" t="s">
        <v>91</v>
      </c>
    </row>
    <row r="23" customFormat="false" ht="15" hidden="false" customHeight="false" outlineLevel="0" collapsed="false">
      <c r="A23" s="5" t="s">
        <v>146</v>
      </c>
      <c r="G23" s="10" t="n">
        <f aca="false">G22/(G20+G21)</f>
        <v>0.125484234079055</v>
      </c>
      <c r="H23" s="10" t="n">
        <f aca="false">H22/(H20+H21)</f>
        <v>0.138274058250868</v>
      </c>
      <c r="J23" s="8" t="s">
        <v>60</v>
      </c>
      <c r="K23" s="8" t="s">
        <v>91</v>
      </c>
      <c r="L23" s="8" t="s">
        <v>91</v>
      </c>
    </row>
    <row r="24" customFormat="false" ht="17.15" hidden="false" customHeight="false" outlineLevel="0" collapsed="false">
      <c r="A24" s="5" t="s">
        <v>282</v>
      </c>
      <c r="B24" s="15" t="n">
        <v>1088.4</v>
      </c>
      <c r="C24" s="15" t="n">
        <v>1202.849</v>
      </c>
      <c r="D24" s="16" t="n">
        <f aca="false">3467.7-1201</f>
        <v>2266.7</v>
      </c>
      <c r="E24" s="15" t="n">
        <v>1201</v>
      </c>
      <c r="F24" s="15" t="n">
        <v>1363.059</v>
      </c>
      <c r="G24" s="15" t="n">
        <v>4061.643</v>
      </c>
      <c r="H24" s="15" t="n">
        <v>4830.771</v>
      </c>
      <c r="J24" s="8" t="s">
        <v>85</v>
      </c>
      <c r="K24" s="5" t="s">
        <v>165</v>
      </c>
      <c r="L24" s="8" t="s">
        <v>283</v>
      </c>
    </row>
    <row r="25" customFormat="false" ht="17.15" hidden="false" customHeight="false" outlineLevel="0" collapsed="false">
      <c r="A25" s="5" t="s">
        <v>284</v>
      </c>
      <c r="G25" s="17" t="n">
        <f aca="false">G20+G21-G22-G24</f>
        <v>0</v>
      </c>
      <c r="H25" s="17" t="n">
        <f aca="false">H20+H21-H22-H24</f>
        <v>0</v>
      </c>
      <c r="J25" s="8" t="s">
        <v>91</v>
      </c>
      <c r="K25" s="8" t="s">
        <v>91</v>
      </c>
      <c r="L25" s="8" t="s">
        <v>91</v>
      </c>
    </row>
    <row r="26" customFormat="false" ht="17.15" hidden="false" customHeight="false" outlineLevel="0" collapsed="false">
      <c r="A26" s="0" t="s">
        <v>285</v>
      </c>
      <c r="B26" s="18" t="n">
        <v>0.816</v>
      </c>
      <c r="C26" s="18" t="n">
        <v>0.91</v>
      </c>
      <c r="D26" s="19" t="n">
        <f aca="false">(26.26-9.12)/10</f>
        <v>1.714</v>
      </c>
      <c r="E26" s="18" t="n">
        <v>0.912</v>
      </c>
      <c r="F26" s="18" t="n">
        <v>1.04</v>
      </c>
      <c r="G26" s="18" t="n">
        <v>3.04</v>
      </c>
      <c r="H26" s="18" t="n">
        <v>3.66</v>
      </c>
      <c r="J26" s="8" t="s">
        <v>286</v>
      </c>
      <c r="K26" s="8" t="s">
        <v>287</v>
      </c>
      <c r="L26" s="8" t="s">
        <v>288</v>
      </c>
    </row>
    <row r="27" customFormat="false" ht="17.15" hidden="false" customHeight="false" outlineLevel="0" collapsed="false">
      <c r="A27" s="5" t="s">
        <v>289</v>
      </c>
      <c r="B27" s="15" t="n">
        <v>1333</v>
      </c>
      <c r="C27" s="15" t="n">
        <v>1327.341</v>
      </c>
      <c r="E27" s="15" t="n">
        <v>1317.5</v>
      </c>
      <c r="F27" s="15" t="n">
        <v>1314.986</v>
      </c>
      <c r="G27" s="15" t="n">
        <v>1337.502</v>
      </c>
      <c r="H27" s="15" t="n">
        <v>1319.633</v>
      </c>
      <c r="J27" s="8" t="s">
        <v>85</v>
      </c>
      <c r="K27" s="8" t="s">
        <v>290</v>
      </c>
      <c r="L27" s="8" t="s">
        <v>91</v>
      </c>
    </row>
    <row r="28" customFormat="false" ht="17.15" hidden="false" customHeight="false" outlineLevel="0" collapsed="false">
      <c r="A28" s="5" t="s">
        <v>291</v>
      </c>
      <c r="B28" s="13" t="n">
        <f aca="false">H4-D4-E4-F4</f>
        <v>0.0200000000013461</v>
      </c>
      <c r="C28" s="13" t="n">
        <f aca="false">H5-D5-E5-F5</f>
        <v>-0.0139999999992142</v>
      </c>
      <c r="D28" s="13" t="n">
        <f aca="false">H6-D6-E6-F6</f>
        <v>0.0339999999998781</v>
      </c>
      <c r="E28" s="13" t="n">
        <f aca="false">H24-D24-E24-F24</f>
        <v>0.0119999999999436</v>
      </c>
      <c r="J28" s="8" t="s">
        <v>91</v>
      </c>
      <c r="K28" s="5" t="s">
        <v>292</v>
      </c>
      <c r="L28" s="8" t="s">
        <v>91</v>
      </c>
    </row>
    <row r="30" customFormat="false" ht="17.15" hidden="false" customHeight="false" outlineLevel="0" collapsed="false">
      <c r="A30" s="1" t="s">
        <v>293</v>
      </c>
    </row>
    <row r="31" customFormat="false" ht="17.15" hidden="false" customHeight="false" outlineLevel="0" collapsed="false">
      <c r="A31" s="6" t="s">
        <v>15</v>
      </c>
      <c r="B31" s="6" t="s">
        <v>294</v>
      </c>
      <c r="C31" s="6" t="s">
        <v>17</v>
      </c>
      <c r="D31" s="6" t="s">
        <v>19</v>
      </c>
      <c r="E31" s="14"/>
      <c r="F31" s="14"/>
      <c r="G31" s="14"/>
      <c r="H31" s="14"/>
      <c r="I31" s="14"/>
      <c r="J31" s="6" t="s">
        <v>20</v>
      </c>
      <c r="K31" s="6" t="s">
        <v>247</v>
      </c>
      <c r="L31" s="6" t="s">
        <v>22</v>
      </c>
    </row>
    <row r="32" customFormat="false" ht="17.15" hidden="false" customHeight="false" outlineLevel="0" collapsed="false">
      <c r="A32" s="5" t="s">
        <v>295</v>
      </c>
      <c r="B32" s="20" t="n">
        <f aca="false">g_q1_rev</f>
        <v>4000</v>
      </c>
      <c r="C32" s="20" t="n">
        <f aca="false">g_q1_rev_lo</f>
        <v>3800</v>
      </c>
      <c r="D32" s="20" t="n">
        <f aca="false">g_q1_rev_hi</f>
        <v>4200</v>
      </c>
      <c r="J32" s="8" t="s">
        <v>27</v>
      </c>
      <c r="K32" s="8" t="s">
        <v>296</v>
      </c>
      <c r="L32" s="5" t="s">
        <v>297</v>
      </c>
    </row>
    <row r="33" customFormat="false" ht="17.15" hidden="false" customHeight="false" outlineLevel="0" collapsed="false">
      <c r="A33" s="0" t="s">
        <v>298</v>
      </c>
      <c r="B33" s="10" t="n">
        <f aca="false">g_q1_gm</f>
        <v>0.616</v>
      </c>
      <c r="C33" s="10" t="n">
        <f aca="false">g_q1_gm_lo</f>
        <v>0.606</v>
      </c>
      <c r="D33" s="10" t="n">
        <f aca="false">g_q1_gm_hi</f>
        <v>0.626</v>
      </c>
      <c r="J33" s="8" t="s">
        <v>27</v>
      </c>
      <c r="K33" s="8" t="s">
        <v>296</v>
      </c>
      <c r="L33" s="5" t="s">
        <v>297</v>
      </c>
    </row>
    <row r="34" customFormat="false" ht="17.15" hidden="false" customHeight="false" outlineLevel="0" collapsed="false">
      <c r="A34" s="0" t="s">
        <v>299</v>
      </c>
      <c r="B34" s="13" t="n">
        <f aca="false">g_q1_eps</f>
        <v>1.14</v>
      </c>
      <c r="C34" s="13" t="n">
        <f aca="false">g_q1_eps_lo</f>
        <v>1.04</v>
      </c>
      <c r="D34" s="13" t="n">
        <f aca="false">g_q1_eps_hi</f>
        <v>1.24</v>
      </c>
      <c r="J34" s="8" t="s">
        <v>27</v>
      </c>
      <c r="K34" s="8" t="s">
        <v>296</v>
      </c>
      <c r="L34" s="5" t="s">
        <v>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8" min="8" style="0" width="80"/>
  </cols>
  <sheetData>
    <row r="1" customFormat="false" ht="17.15" hidden="false" customHeight="false" outlineLevel="0" collapsed="false">
      <c r="A1" s="0" t="s">
        <v>300</v>
      </c>
    </row>
    <row r="3" customFormat="false" ht="15" hidden="false" customHeight="false" outlineLevel="0" collapsed="false">
      <c r="A3" s="6" t="s">
        <v>15</v>
      </c>
      <c r="B3" s="6" t="s">
        <v>16</v>
      </c>
      <c r="C3" s="14" t="s">
        <v>301</v>
      </c>
      <c r="D3" s="14" t="s">
        <v>302</v>
      </c>
      <c r="E3" s="14" t="s">
        <v>303</v>
      </c>
      <c r="F3" s="14" t="s">
        <v>304</v>
      </c>
      <c r="G3" s="14" t="s">
        <v>305</v>
      </c>
      <c r="H3" s="6" t="s">
        <v>306</v>
      </c>
    </row>
    <row r="4" customFormat="false" ht="17.15" hidden="false" customHeight="false" outlineLevel="0" collapsed="false">
      <c r="A4" s="3" t="s">
        <v>307</v>
      </c>
    </row>
    <row r="5" customFormat="false" ht="17.15" hidden="false" customHeight="false" outlineLevel="0" collapsed="false">
      <c r="A5" s="5" t="s">
        <v>308</v>
      </c>
      <c r="B5" s="0" t="s">
        <v>65</v>
      </c>
      <c r="C5" s="12" t="n">
        <v>36.0323364171573</v>
      </c>
      <c r="D5" s="12" t="n">
        <v>50.3248433305299</v>
      </c>
      <c r="E5" s="12" t="n">
        <v>60.7764307969723</v>
      </c>
      <c r="F5" s="12" t="n">
        <v>70.01614526073</v>
      </c>
      <c r="G5" s="12" t="n">
        <v>74.2094368815884</v>
      </c>
      <c r="H5" s="8" t="s">
        <v>309</v>
      </c>
    </row>
    <row r="6" customFormat="false" ht="17.15" hidden="false" customHeight="false" outlineLevel="0" collapsed="false">
      <c r="A6" s="5" t="s">
        <v>310</v>
      </c>
      <c r="B6" s="0" t="s">
        <v>65</v>
      </c>
      <c r="C6" s="12" t="n">
        <v>29.5690092514718</v>
      </c>
      <c r="D6" s="12" t="n">
        <v>31.9345299915896</v>
      </c>
      <c r="E6" s="12" t="n">
        <v>34.4892923909167</v>
      </c>
      <c r="F6" s="12" t="n">
        <v>37.2484357821901</v>
      </c>
      <c r="G6" s="12" t="n">
        <v>40.2283106447653</v>
      </c>
      <c r="H6" s="8" t="s">
        <v>311</v>
      </c>
    </row>
    <row r="7" customFormat="false" ht="17.15" hidden="false" customHeight="false" outlineLevel="0" collapsed="false">
      <c r="A7" s="5" t="s">
        <v>312</v>
      </c>
      <c r="B7" s="0" t="s">
        <v>65</v>
      </c>
      <c r="C7" s="12" t="n">
        <v>12.7467750295502</v>
      </c>
      <c r="D7" s="12" t="n">
        <v>17.0278249760553</v>
      </c>
      <c r="E7" s="12" t="n">
        <v>21.0229861332022</v>
      </c>
      <c r="F7" s="12" t="n">
        <v>23.6218237993404</v>
      </c>
      <c r="G7" s="12" t="n">
        <v>24.9603324658488</v>
      </c>
      <c r="H7" s="8" t="s">
        <v>313</v>
      </c>
    </row>
    <row r="8" customFormat="false" ht="17.15" hidden="false" customHeight="false" outlineLevel="0" collapsed="false">
      <c r="A8" s="5" t="s">
        <v>314</v>
      </c>
      <c r="B8" s="0" t="s">
        <v>65</v>
      </c>
      <c r="C8" s="13" t="n">
        <f aca="false">C5+C6+C7</f>
        <v>78.3481206981793</v>
      </c>
      <c r="D8" s="13" t="n">
        <f aca="false">D5+D6+D7</f>
        <v>99.2871982981748</v>
      </c>
      <c r="E8" s="13" t="n">
        <f aca="false">E5+E6+E7</f>
        <v>116.288709321091</v>
      </c>
      <c r="F8" s="13" t="n">
        <f aca="false">F5+F6+F7</f>
        <v>130.886404842261</v>
      </c>
      <c r="G8" s="13" t="n">
        <f aca="false">G5+G6+G7</f>
        <v>139.398079992203</v>
      </c>
    </row>
    <row r="9" customFormat="false" ht="17.15" hidden="false" customHeight="false" outlineLevel="0" collapsed="false">
      <c r="A9" s="0" t="s">
        <v>315</v>
      </c>
      <c r="B9" s="0" t="s">
        <v>65</v>
      </c>
      <c r="C9" s="12" t="n">
        <v>26.3761091658243</v>
      </c>
      <c r="D9" s="12" t="n">
        <v>39.3659468014757</v>
      </c>
      <c r="E9" s="12" t="n">
        <v>53.2587328153375</v>
      </c>
      <c r="F9" s="12" t="n">
        <v>59.5608998372386</v>
      </c>
      <c r="G9" s="12" t="n">
        <v>61.8312930912183</v>
      </c>
      <c r="H9" s="8" t="s">
        <v>316</v>
      </c>
    </row>
    <row r="10" customFormat="false" ht="17.15" hidden="false" customHeight="false" outlineLevel="0" collapsed="false">
      <c r="A10" s="0" t="s">
        <v>317</v>
      </c>
      <c r="B10" s="0" t="s">
        <v>65</v>
      </c>
      <c r="C10" s="12" t="n">
        <v>12.1726019800256</v>
      </c>
      <c r="D10" s="12" t="n">
        <v>17.5039054704765</v>
      </c>
      <c r="E10" s="12" t="n">
        <v>23.2480272411321</v>
      </c>
      <c r="F10" s="12" t="n">
        <v>26.181321629459</v>
      </c>
      <c r="G10" s="12" t="n">
        <v>27.674312771805</v>
      </c>
      <c r="H10" s="8" t="s">
        <v>318</v>
      </c>
    </row>
    <row r="11" customFormat="false" ht="17.15" hidden="false" customHeight="false" outlineLevel="0" collapsed="false">
      <c r="A11" s="5" t="s">
        <v>319</v>
      </c>
      <c r="B11" s="0" t="s">
        <v>65</v>
      </c>
      <c r="C11" s="13" t="n">
        <f aca="false">C9+C10</f>
        <v>38.5487111458499</v>
      </c>
      <c r="D11" s="13" t="n">
        <f aca="false">D9+D10</f>
        <v>56.8698522719522</v>
      </c>
      <c r="E11" s="13" t="n">
        <f aca="false">E9+E10</f>
        <v>76.5067600564696</v>
      </c>
      <c r="F11" s="13" t="n">
        <f aca="false">F9+F10</f>
        <v>85.7422214666976</v>
      </c>
      <c r="G11" s="13" t="n">
        <f aca="false">G9+G10</f>
        <v>89.5056058630233</v>
      </c>
    </row>
    <row r="12" customFormat="false" ht="17.15" hidden="false" customHeight="false" outlineLevel="0" collapsed="false">
      <c r="A12" s="5" t="s">
        <v>320</v>
      </c>
      <c r="B12" s="0" t="s">
        <v>65</v>
      </c>
      <c r="C12" s="12" t="n">
        <v>3.05656934306569</v>
      </c>
      <c r="D12" s="12" t="n">
        <v>3.35</v>
      </c>
      <c r="E12" s="12" t="n">
        <v>3.79539194286967</v>
      </c>
      <c r="F12" s="12" t="n">
        <v>4.3</v>
      </c>
      <c r="G12" s="12" t="n">
        <v>4.644</v>
      </c>
      <c r="H12" s="8" t="s">
        <v>321</v>
      </c>
    </row>
    <row r="13" customFormat="false" ht="17.15" hidden="false" customHeight="false" outlineLevel="0" collapsed="false">
      <c r="A13" s="5" t="s">
        <v>322</v>
      </c>
      <c r="B13" s="0" t="s">
        <v>65</v>
      </c>
      <c r="C13" s="12" t="n">
        <v>134.689359843138</v>
      </c>
      <c r="D13" s="12" t="n">
        <v>178.157050570127</v>
      </c>
      <c r="E13" s="12" t="n">
        <v>218.225535760082</v>
      </c>
      <c r="F13" s="12" t="n">
        <v>246.028626308958</v>
      </c>
      <c r="G13" s="12" t="n">
        <v>260.655685855226</v>
      </c>
      <c r="H13" s="8" t="s">
        <v>323</v>
      </c>
    </row>
    <row r="15" customFormat="false" ht="17.15" hidden="false" customHeight="false" outlineLevel="0" collapsed="false">
      <c r="A15" s="3" t="s">
        <v>324</v>
      </c>
    </row>
    <row r="16" customFormat="false" ht="17.15" hidden="false" customHeight="false" outlineLevel="0" collapsed="false">
      <c r="A16" s="5" t="s">
        <v>308</v>
      </c>
      <c r="B16" s="0" t="s">
        <v>65</v>
      </c>
      <c r="C16" s="12" t="n">
        <v>36.0323364171573</v>
      </c>
      <c r="D16" s="12" t="n">
        <v>50.3248433305299</v>
      </c>
      <c r="E16" s="12" t="n">
        <v>60.7764307969723</v>
      </c>
      <c r="F16" s="12" t="n">
        <v>60.7764307969723</v>
      </c>
      <c r="G16" s="12" t="n">
        <v>57.7376092571236</v>
      </c>
      <c r="H16" s="8" t="s">
        <v>325</v>
      </c>
    </row>
    <row r="17" customFormat="false" ht="17.15" hidden="false" customHeight="false" outlineLevel="0" collapsed="false">
      <c r="A17" s="5" t="s">
        <v>310</v>
      </c>
      <c r="B17" s="0" t="s">
        <v>65</v>
      </c>
      <c r="C17" s="12" t="n">
        <v>29.5690092514718</v>
      </c>
      <c r="D17" s="12" t="n">
        <v>31.9345299915896</v>
      </c>
      <c r="E17" s="12" t="n">
        <v>34.4892923909167</v>
      </c>
      <c r="F17" s="12" t="n">
        <v>34.4892923909167</v>
      </c>
      <c r="G17" s="12" t="n">
        <v>32.7648277713709</v>
      </c>
      <c r="H17" s="8" t="s">
        <v>326</v>
      </c>
    </row>
    <row r="18" customFormat="false" ht="17.15" hidden="false" customHeight="false" outlineLevel="0" collapsed="false">
      <c r="A18" s="5" t="s">
        <v>312</v>
      </c>
      <c r="B18" s="0" t="s">
        <v>65</v>
      </c>
      <c r="C18" s="12" t="n">
        <v>12.7467750295502</v>
      </c>
      <c r="D18" s="12" t="n">
        <v>17.0278249760553</v>
      </c>
      <c r="E18" s="12" t="n">
        <v>21.0229861332022</v>
      </c>
      <c r="F18" s="12" t="n">
        <v>21.0229861332022</v>
      </c>
      <c r="G18" s="12" t="n">
        <v>19.9718368265421</v>
      </c>
      <c r="H18" s="8" t="s">
        <v>327</v>
      </c>
    </row>
    <row r="19" customFormat="false" ht="17.15" hidden="false" customHeight="false" outlineLevel="0" collapsed="false">
      <c r="A19" s="5" t="s">
        <v>314</v>
      </c>
      <c r="B19" s="0" t="s">
        <v>65</v>
      </c>
      <c r="C19" s="13" t="n">
        <f aca="false">C16+C17+C18</f>
        <v>78.3481206981793</v>
      </c>
      <c r="D19" s="13" t="n">
        <f aca="false">D16+D17+D18</f>
        <v>99.2871982981748</v>
      </c>
      <c r="E19" s="13" t="n">
        <f aca="false">E16+E17+E18</f>
        <v>116.288709321091</v>
      </c>
      <c r="F19" s="13" t="n">
        <f aca="false">F16+F17+F18</f>
        <v>116.288709321091</v>
      </c>
      <c r="G19" s="13" t="n">
        <f aca="false">G16+G17+G18</f>
        <v>110.474273855037</v>
      </c>
    </row>
    <row r="20" customFormat="false" ht="17.15" hidden="false" customHeight="false" outlineLevel="0" collapsed="false">
      <c r="A20" s="0" t="s">
        <v>315</v>
      </c>
      <c r="B20" s="0" t="s">
        <v>65</v>
      </c>
      <c r="C20" s="12" t="n">
        <v>26.3761091658243</v>
      </c>
      <c r="D20" s="12" t="n">
        <v>39.3659468014757</v>
      </c>
      <c r="E20" s="12" t="n">
        <v>53.2587328153375</v>
      </c>
      <c r="F20" s="12" t="n">
        <v>53.2587328153375</v>
      </c>
      <c r="G20" s="12" t="n">
        <v>50.5957961745707</v>
      </c>
      <c r="H20" s="8" t="s">
        <v>328</v>
      </c>
    </row>
    <row r="21" customFormat="false" ht="17.15" hidden="false" customHeight="false" outlineLevel="0" collapsed="false">
      <c r="A21" s="0" t="s">
        <v>317</v>
      </c>
      <c r="B21" s="0" t="s">
        <v>65</v>
      </c>
      <c r="C21" s="12" t="n">
        <v>12.1726019800256</v>
      </c>
      <c r="D21" s="12" t="n">
        <v>17.5039054704765</v>
      </c>
      <c r="E21" s="12" t="n">
        <v>23.2480272411321</v>
      </c>
      <c r="F21" s="12" t="n">
        <v>23.2480272411321</v>
      </c>
      <c r="G21" s="12" t="n">
        <v>22.0856258790755</v>
      </c>
      <c r="H21" s="8" t="s">
        <v>329</v>
      </c>
    </row>
    <row r="22" customFormat="false" ht="17.15" hidden="false" customHeight="false" outlineLevel="0" collapsed="false">
      <c r="A22" s="5" t="s">
        <v>319</v>
      </c>
      <c r="B22" s="0" t="s">
        <v>65</v>
      </c>
      <c r="C22" s="13" t="n">
        <f aca="false">C20+C21</f>
        <v>38.5487111458499</v>
      </c>
      <c r="D22" s="13" t="n">
        <f aca="false">D20+D21</f>
        <v>56.8698522719522</v>
      </c>
      <c r="E22" s="13" t="n">
        <f aca="false">E20+E21</f>
        <v>76.5067600564696</v>
      </c>
      <c r="F22" s="13" t="n">
        <f aca="false">F20+F21</f>
        <v>76.5067600564696</v>
      </c>
      <c r="G22" s="13" t="n">
        <f aca="false">G20+G21</f>
        <v>72.6814220536462</v>
      </c>
    </row>
    <row r="23" customFormat="false" ht="17.15" hidden="false" customHeight="false" outlineLevel="0" collapsed="false">
      <c r="A23" s="5" t="s">
        <v>320</v>
      </c>
      <c r="B23" s="0" t="s">
        <v>65</v>
      </c>
      <c r="C23" s="12" t="n">
        <v>3.05656934306569</v>
      </c>
      <c r="D23" s="12" t="n">
        <v>3.35</v>
      </c>
      <c r="E23" s="12" t="n">
        <v>3.79539194286967</v>
      </c>
      <c r="F23" s="12" t="n">
        <v>3.79539194286967</v>
      </c>
      <c r="G23" s="12" t="n">
        <v>3.60562234572619</v>
      </c>
      <c r="H23" s="8" t="s">
        <v>330</v>
      </c>
    </row>
    <row r="24" customFormat="false" ht="17.15" hidden="false" customHeight="false" outlineLevel="0" collapsed="false">
      <c r="A24" s="5" t="s">
        <v>322</v>
      </c>
      <c r="B24" s="0" t="s">
        <v>65</v>
      </c>
      <c r="C24" s="12" t="n">
        <v>134.689359843138</v>
      </c>
      <c r="D24" s="12" t="n">
        <v>178.157050570127</v>
      </c>
      <c r="E24" s="12" t="n">
        <v>218.225535760082</v>
      </c>
      <c r="F24" s="12" t="n">
        <v>218.225535760082</v>
      </c>
      <c r="G24" s="12" t="n">
        <v>207.314258972078</v>
      </c>
      <c r="H24" s="8" t="s">
        <v>331</v>
      </c>
    </row>
    <row r="26" customFormat="false" ht="17.15" hidden="false" customHeight="false" outlineLevel="0" collapsed="false">
      <c r="A26" s="3" t="s">
        <v>332</v>
      </c>
    </row>
    <row r="27" customFormat="false" ht="17.15" hidden="false" customHeight="false" outlineLevel="0" collapsed="false">
      <c r="A27" s="5" t="s">
        <v>308</v>
      </c>
      <c r="B27" s="0" t="s">
        <v>65</v>
      </c>
      <c r="C27" s="12" t="n">
        <v>36.0323364171573</v>
      </c>
      <c r="D27" s="12" t="n">
        <v>50.3248433305299</v>
      </c>
      <c r="E27" s="12" t="n">
        <v>60.7764307969723</v>
      </c>
      <c r="F27" s="12" t="n">
        <v>48.6211446375778</v>
      </c>
      <c r="G27" s="12" t="n">
        <v>48.6211446375778</v>
      </c>
      <c r="H27" s="8" t="s">
        <v>333</v>
      </c>
    </row>
    <row r="28" customFormat="false" ht="17.15" hidden="false" customHeight="false" outlineLevel="0" collapsed="false">
      <c r="A28" s="5" t="s">
        <v>310</v>
      </c>
      <c r="B28" s="0" t="s">
        <v>65</v>
      </c>
      <c r="C28" s="12" t="n">
        <v>29.5690092514718</v>
      </c>
      <c r="D28" s="12" t="n">
        <v>31.9345299915896</v>
      </c>
      <c r="E28" s="12" t="n">
        <v>34.4892923909167</v>
      </c>
      <c r="F28" s="12" t="n">
        <v>27.5914339127334</v>
      </c>
      <c r="G28" s="12" t="n">
        <v>27.5914339127334</v>
      </c>
      <c r="H28" s="8" t="s">
        <v>334</v>
      </c>
    </row>
    <row r="29" customFormat="false" ht="17.15" hidden="false" customHeight="false" outlineLevel="0" collapsed="false">
      <c r="A29" s="5" t="s">
        <v>312</v>
      </c>
      <c r="B29" s="0" t="s">
        <v>65</v>
      </c>
      <c r="C29" s="12" t="n">
        <v>12.7467750295502</v>
      </c>
      <c r="D29" s="12" t="n">
        <v>17.0278249760553</v>
      </c>
      <c r="E29" s="12" t="n">
        <v>21.0229861332022</v>
      </c>
      <c r="F29" s="12" t="n">
        <v>16.8183889065618</v>
      </c>
      <c r="G29" s="12" t="n">
        <v>16.8183889065618</v>
      </c>
      <c r="H29" s="8" t="s">
        <v>335</v>
      </c>
    </row>
    <row r="30" customFormat="false" ht="17.15" hidden="false" customHeight="false" outlineLevel="0" collapsed="false">
      <c r="A30" s="5" t="s">
        <v>314</v>
      </c>
      <c r="B30" s="0" t="s">
        <v>65</v>
      </c>
      <c r="C30" s="13" t="n">
        <f aca="false">C27+C28+C29</f>
        <v>78.3481206981793</v>
      </c>
      <c r="D30" s="13" t="n">
        <f aca="false">D27+D28+D29</f>
        <v>99.2871982981748</v>
      </c>
      <c r="E30" s="13" t="n">
        <f aca="false">E27+E28+E29</f>
        <v>116.288709321091</v>
      </c>
      <c r="F30" s="13" t="n">
        <f aca="false">F27+F28+F29</f>
        <v>93.030967456873</v>
      </c>
      <c r="G30" s="13" t="n">
        <f aca="false">G27+G28+G29</f>
        <v>93.030967456873</v>
      </c>
    </row>
    <row r="31" customFormat="false" ht="17.15" hidden="false" customHeight="false" outlineLevel="0" collapsed="false">
      <c r="A31" s="0" t="s">
        <v>315</v>
      </c>
      <c r="B31" s="0" t="s">
        <v>65</v>
      </c>
      <c r="C31" s="12" t="n">
        <v>26.3761091658243</v>
      </c>
      <c r="D31" s="12" t="n">
        <v>39.3659468014757</v>
      </c>
      <c r="E31" s="12" t="n">
        <v>53.2587328153375</v>
      </c>
      <c r="F31" s="12" t="n">
        <v>42.60698625227</v>
      </c>
      <c r="G31" s="12" t="n">
        <v>42.60698625227</v>
      </c>
      <c r="H31" s="8" t="s">
        <v>336</v>
      </c>
    </row>
    <row r="32" customFormat="false" ht="17.15" hidden="false" customHeight="false" outlineLevel="0" collapsed="false">
      <c r="A32" s="0" t="s">
        <v>317</v>
      </c>
      <c r="B32" s="0" t="s">
        <v>65</v>
      </c>
      <c r="C32" s="12" t="n">
        <v>12.1726019800256</v>
      </c>
      <c r="D32" s="12" t="n">
        <v>17.5039054704765</v>
      </c>
      <c r="E32" s="12" t="n">
        <v>23.2480272411321</v>
      </c>
      <c r="F32" s="12" t="n">
        <v>18.5984217929057</v>
      </c>
      <c r="G32" s="12" t="n">
        <v>18.5984217929057</v>
      </c>
      <c r="H32" s="8" t="s">
        <v>337</v>
      </c>
    </row>
    <row r="33" customFormat="false" ht="17.15" hidden="false" customHeight="false" outlineLevel="0" collapsed="false">
      <c r="A33" s="5" t="s">
        <v>319</v>
      </c>
      <c r="B33" s="0" t="s">
        <v>65</v>
      </c>
      <c r="C33" s="13" t="n">
        <f aca="false">C31+C32</f>
        <v>38.5487111458499</v>
      </c>
      <c r="D33" s="13" t="n">
        <f aca="false">D31+D32</f>
        <v>56.8698522719522</v>
      </c>
      <c r="E33" s="13" t="n">
        <f aca="false">E31+E32</f>
        <v>76.5067600564696</v>
      </c>
      <c r="F33" s="13" t="n">
        <f aca="false">F31+F32</f>
        <v>61.2054080451757</v>
      </c>
      <c r="G33" s="13" t="n">
        <f aca="false">G31+G32</f>
        <v>61.2054080451757</v>
      </c>
    </row>
    <row r="34" customFormat="false" ht="17.15" hidden="false" customHeight="false" outlineLevel="0" collapsed="false">
      <c r="A34" s="5" t="s">
        <v>320</v>
      </c>
      <c r="B34" s="0" t="s">
        <v>65</v>
      </c>
      <c r="C34" s="12" t="n">
        <v>3.05656934306569</v>
      </c>
      <c r="D34" s="12" t="n">
        <v>3.35</v>
      </c>
      <c r="E34" s="12" t="n">
        <v>3.79539194286967</v>
      </c>
      <c r="F34" s="12" t="n">
        <v>3.03631355429574</v>
      </c>
      <c r="G34" s="12" t="n">
        <v>3.03631355429574</v>
      </c>
      <c r="H34" s="8" t="s">
        <v>338</v>
      </c>
    </row>
    <row r="35" customFormat="false" ht="17.15" hidden="false" customHeight="false" outlineLevel="0" collapsed="false">
      <c r="A35" s="5" t="s">
        <v>322</v>
      </c>
      <c r="B35" s="0" t="s">
        <v>65</v>
      </c>
      <c r="C35" s="12" t="n">
        <v>134.689359843138</v>
      </c>
      <c r="D35" s="12" t="n">
        <v>178.157050570127</v>
      </c>
      <c r="E35" s="12" t="n">
        <v>218.225535760082</v>
      </c>
      <c r="F35" s="12" t="n">
        <v>174.580428608066</v>
      </c>
      <c r="G35" s="12" t="n">
        <v>174.580428608066</v>
      </c>
      <c r="H35" s="8" t="s">
        <v>339</v>
      </c>
    </row>
    <row r="37" customFormat="false" ht="17.15" hidden="false" customHeight="false" outlineLevel="0" collapsed="false">
      <c r="A37" s="0" t="s">
        <v>340</v>
      </c>
      <c r="B37" s="0" t="s">
        <v>65</v>
      </c>
      <c r="C37" s="12" t="n">
        <v>116.896831844029</v>
      </c>
      <c r="D37" s="12" t="n">
        <v>143.9</v>
      </c>
      <c r="E37" s="12" t="n">
        <v>175.2702</v>
      </c>
      <c r="F37" s="12" t="n">
        <v>199.9832982</v>
      </c>
      <c r="G37" s="12" t="n">
        <v>215.981962056</v>
      </c>
      <c r="H37" s="8" t="s">
        <v>341</v>
      </c>
    </row>
    <row r="39" customFormat="false" ht="17.15" hidden="false" customHeight="false" outlineLevel="0" collapsed="false">
      <c r="A39" s="1" t="s">
        <v>342</v>
      </c>
    </row>
    <row r="40" customFormat="false" ht="17.15" hidden="false" customHeight="false" outlineLevel="0" collapsed="false">
      <c r="A40" s="6" t="s">
        <v>15</v>
      </c>
      <c r="B40" s="6" t="s">
        <v>16</v>
      </c>
      <c r="C40" s="14" t="s">
        <v>301</v>
      </c>
      <c r="D40" s="14" t="s">
        <v>343</v>
      </c>
      <c r="E40" s="14"/>
      <c r="F40" s="14"/>
      <c r="G40" s="14"/>
      <c r="H40" s="6" t="s">
        <v>306</v>
      </c>
    </row>
    <row r="41" customFormat="false" ht="15" hidden="false" customHeight="false" outlineLevel="0" collapsed="false">
      <c r="A41" s="5" t="s">
        <v>248</v>
      </c>
      <c r="B41" s="0" t="s">
        <v>41</v>
      </c>
      <c r="C41" s="16" t="n">
        <f aca="false">Q!B4+Q!C4+Q!D4</f>
        <v>12744.541</v>
      </c>
      <c r="D41" s="16" t="n">
        <f aca="false">Q!E4+Q!F4</f>
        <v>7072.656</v>
      </c>
    </row>
    <row r="42" customFormat="false" ht="15" hidden="false" customHeight="false" outlineLevel="0" collapsed="false">
      <c r="A42" s="5" t="s">
        <v>344</v>
      </c>
      <c r="B42" s="0" t="s">
        <v>41</v>
      </c>
      <c r="C42" s="16" t="n">
        <f aca="false">Q!B5+Q!C5+Q!D5</f>
        <v>9842.082</v>
      </c>
      <c r="D42" s="16" t="n">
        <f aca="false">Q!E5+Q!F5</f>
        <v>5477.451</v>
      </c>
    </row>
    <row r="43" customFormat="false" ht="15" hidden="false" customHeight="false" outlineLevel="0" collapsed="false">
      <c r="A43" s="5" t="s">
        <v>345</v>
      </c>
      <c r="B43" s="0" t="s">
        <v>41</v>
      </c>
      <c r="C43" s="16" t="n">
        <f aca="false">Q!B6+Q!C6+Q!D6</f>
        <v>2902.459</v>
      </c>
      <c r="D43" s="16" t="n">
        <f aca="false">Q!E6+Q!F6</f>
        <v>1595.205</v>
      </c>
    </row>
    <row r="44" customFormat="false" ht="15" hidden="false" customHeight="false" outlineLevel="0" collapsed="false">
      <c r="A44" s="5" t="s">
        <v>346</v>
      </c>
      <c r="B44" s="0" t="s">
        <v>41</v>
      </c>
      <c r="C44" s="16" t="n">
        <f aca="false">Q!B7+Q!C7+Q!D7</f>
        <v>11520.547</v>
      </c>
      <c r="D44" s="16" t="n">
        <f aca="false">Q!E7+Q!F7</f>
        <v>6340.681</v>
      </c>
    </row>
    <row r="45" customFormat="false" ht="17.15" hidden="false" customHeight="false" outlineLevel="0" collapsed="false">
      <c r="A45" s="0" t="s">
        <v>265</v>
      </c>
      <c r="B45" s="0" t="s">
        <v>41</v>
      </c>
      <c r="C45" s="16" t="n">
        <f aca="false">Q!B12+Q!C12+Q!D12</f>
        <v>1223.172</v>
      </c>
      <c r="D45" s="16" t="n">
        <f aca="false">Q!E12+Q!F12</f>
        <v>732.414</v>
      </c>
    </row>
    <row r="46" customFormat="false" ht="17.15" hidden="false" customHeight="false" outlineLevel="0" collapsed="false">
      <c r="A46" s="5" t="s">
        <v>347</v>
      </c>
      <c r="B46" s="0" t="s">
        <v>41</v>
      </c>
      <c r="C46" s="16" t="n">
        <f aca="false">Q!B11+Q!C11+Q!D11</f>
        <v>8618.91</v>
      </c>
      <c r="D46" s="16" t="n">
        <f aca="false">Q!E11+Q!F11</f>
        <v>4745.037</v>
      </c>
    </row>
    <row r="47" customFormat="false" ht="17.15" hidden="false" customHeight="false" outlineLevel="0" collapsed="false">
      <c r="A47" s="0" t="s">
        <v>348</v>
      </c>
      <c r="B47" s="0" t="s">
        <v>26</v>
      </c>
      <c r="C47" s="21" t="n">
        <f aca="false">cy25_spc/(kla_wfe25*1000)</f>
        <v>0.0960045583333333</v>
      </c>
      <c r="H47" s="8" t="s">
        <v>349</v>
      </c>
    </row>
    <row r="49" customFormat="false" ht="17.15" hidden="false" customHeight="false" outlineLevel="0" collapsed="false">
      <c r="A49" s="0" t="s">
        <v>350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8" min="8" style="0" width="60"/>
    <col collapsed="false" customWidth="true" hidden="false" outlineLevel="0" max="10" min="9" style="0" width="14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351</v>
      </c>
    </row>
    <row r="3" customFormat="false" ht="15" hidden="false" customHeight="false" outlineLevel="0" collapsed="false">
      <c r="A3" s="6" t="s">
        <v>352</v>
      </c>
      <c r="B3" s="6" t="s">
        <v>16</v>
      </c>
      <c r="C3" s="14" t="s">
        <v>353</v>
      </c>
      <c r="D3" s="14" t="s">
        <v>354</v>
      </c>
      <c r="E3" s="14" t="s">
        <v>355</v>
      </c>
      <c r="F3" s="14" t="s">
        <v>356</v>
      </c>
      <c r="G3" s="14" t="s">
        <v>357</v>
      </c>
      <c r="H3" s="6" t="s">
        <v>306</v>
      </c>
    </row>
    <row r="4" customFormat="false" ht="17.15" hidden="false" customHeight="false" outlineLevel="0" collapsed="false">
      <c r="A4" s="3" t="s">
        <v>358</v>
      </c>
      <c r="H4" s="5" t="s">
        <v>359</v>
      </c>
    </row>
    <row r="5" customFormat="false" ht="15" hidden="false" customHeight="false" outlineLevel="0" collapsed="false">
      <c r="A5" s="5" t="s">
        <v>248</v>
      </c>
      <c r="B5" s="0" t="s">
        <v>41</v>
      </c>
      <c r="C5" s="20" t="n">
        <f aca="false">C62</f>
        <v>12156.162</v>
      </c>
      <c r="D5" s="20" t="n">
        <f aca="false">D62</f>
        <v>13579.476</v>
      </c>
      <c r="E5" s="20" t="n">
        <f aca="false">E62</f>
        <v>17888.4147331423</v>
      </c>
      <c r="F5" s="20" t="n">
        <f aca="false">F62</f>
        <v>20543.7828301909</v>
      </c>
      <c r="G5" s="20" t="n">
        <f aca="false">G62</f>
        <v>23222.7632215746</v>
      </c>
    </row>
    <row r="6" customFormat="false" ht="15" hidden="false" customHeight="false" outlineLevel="0" collapsed="false">
      <c r="A6" s="5" t="s">
        <v>360</v>
      </c>
      <c r="B6" s="0" t="s">
        <v>41</v>
      </c>
      <c r="C6" s="20" t="n">
        <f aca="false">C59</f>
        <v>8264.026</v>
      </c>
      <c r="D6" s="20" t="n">
        <f aca="false">D59</f>
        <v>9119.058</v>
      </c>
      <c r="E6" s="20" t="n">
        <f aca="false">E59</f>
        <v>12830.2277931423</v>
      </c>
      <c r="F6" s="20" t="n">
        <f aca="false">F59</f>
        <v>14807.3420481909</v>
      </c>
      <c r="G6" s="20" t="n">
        <f aca="false">G59</f>
        <v>16716.7001392466</v>
      </c>
    </row>
    <row r="7" customFormat="false" ht="15" hidden="false" customHeight="false" outlineLevel="0" collapsed="false">
      <c r="A7" s="5" t="s">
        <v>361</v>
      </c>
      <c r="B7" s="0" t="s">
        <v>41</v>
      </c>
      <c r="C7" s="20" t="n">
        <f aca="false">C60</f>
        <v>2683.308</v>
      </c>
      <c r="D7" s="20" t="n">
        <f aca="false">D60</f>
        <v>3125.939</v>
      </c>
      <c r="E7" s="20" t="n">
        <f aca="false">E60</f>
        <v>3563.57046</v>
      </c>
      <c r="F7" s="20" t="n">
        <f aca="false">F60</f>
        <v>4062.4703244</v>
      </c>
      <c r="G7" s="20" t="n">
        <f aca="false">G60</f>
        <v>4631.216169816</v>
      </c>
    </row>
    <row r="8" customFormat="false" ht="17.15" hidden="false" customHeight="false" outlineLevel="0" collapsed="false">
      <c r="A8" s="0" t="s">
        <v>362</v>
      </c>
      <c r="B8" s="0" t="s">
        <v>41</v>
      </c>
      <c r="C8" s="20" t="n">
        <f aca="false">C61</f>
        <v>1208.828</v>
      </c>
      <c r="D8" s="20" t="n">
        <f aca="false">D61</f>
        <v>1334.479</v>
      </c>
      <c r="E8" s="20" t="n">
        <f aca="false">E61</f>
        <v>1494.61648</v>
      </c>
      <c r="F8" s="20" t="n">
        <f aca="false">F61</f>
        <v>1673.9704576</v>
      </c>
      <c r="G8" s="20" t="n">
        <f aca="false">G61</f>
        <v>1874.846912512</v>
      </c>
    </row>
    <row r="9" customFormat="false" ht="15" hidden="false" customHeight="false" outlineLevel="0" collapsed="false">
      <c r="A9" s="5" t="s">
        <v>363</v>
      </c>
      <c r="B9" s="0" t="s">
        <v>26</v>
      </c>
      <c r="C9" s="10" t="n">
        <f aca="false">C64</f>
        <v>0.609098085398994</v>
      </c>
      <c r="D9" s="10" t="n">
        <f aca="false">D64</f>
        <v>0.613014522798965</v>
      </c>
      <c r="E9" s="10" t="n">
        <f aca="false">E64</f>
        <v>0.621071746304063</v>
      </c>
      <c r="F9" s="10" t="n">
        <f aca="false">F64</f>
        <v>0.624353775359153</v>
      </c>
      <c r="G9" s="10" t="n">
        <f aca="false">G64</f>
        <v>0.62690439197308</v>
      </c>
    </row>
    <row r="10" customFormat="false" ht="15" hidden="false" customHeight="false" outlineLevel="0" collapsed="false">
      <c r="A10" s="5" t="s">
        <v>364</v>
      </c>
      <c r="B10" s="0" t="s">
        <v>41</v>
      </c>
      <c r="C10" s="20" t="n">
        <f aca="false">C66</f>
        <v>4775.127</v>
      </c>
      <c r="D10" s="20" t="n">
        <f aca="false">D66</f>
        <v>5660.78</v>
      </c>
      <c r="E10" s="20" t="n">
        <f aca="false">E66</f>
        <v>8244.98897692399</v>
      </c>
      <c r="F10" s="20" t="n">
        <f aca="false">F66</f>
        <v>9732.38837018824</v>
      </c>
      <c r="G10" s="20" t="n">
        <f aca="false">G66</f>
        <v>11216.716257356</v>
      </c>
    </row>
    <row r="11" customFormat="false" ht="15" hidden="false" customHeight="false" outlineLevel="0" collapsed="false">
      <c r="A11" s="5" t="s">
        <v>365</v>
      </c>
      <c r="B11" s="0" t="s">
        <v>26</v>
      </c>
      <c r="C11" s="10" t="n">
        <f aca="false">C67</f>
        <v>0.392815347475626</v>
      </c>
      <c r="D11" s="10" t="n">
        <f aca="false">D67</f>
        <v>0.416862918716451</v>
      </c>
      <c r="E11" s="10" t="n">
        <f aca="false">E67</f>
        <v>0.460912221676542</v>
      </c>
      <c r="F11" s="10" t="n">
        <f aca="false">F67</f>
        <v>0.473738865457905</v>
      </c>
      <c r="G11" s="10" t="n">
        <f aca="false">G67</f>
        <v>0.483005237160382</v>
      </c>
    </row>
    <row r="12" customFormat="false" ht="15" hidden="false" customHeight="false" outlineLevel="0" collapsed="false">
      <c r="A12" s="5" t="s">
        <v>366</v>
      </c>
      <c r="B12" s="0" t="s">
        <v>41</v>
      </c>
      <c r="C12" s="20" t="n">
        <f aca="false">C69</f>
        <v>4061.643</v>
      </c>
      <c r="D12" s="20" t="n">
        <f aca="false">D69</f>
        <v>4830.771</v>
      </c>
      <c r="E12" s="20" t="n">
        <f aca="false">E69</f>
        <v>6963.96557527001</v>
      </c>
      <c r="F12" s="20" t="n">
        <f aca="false">F69</f>
        <v>8235.69205651095</v>
      </c>
      <c r="G12" s="20" t="n">
        <f aca="false">G69</f>
        <v>9504.79240003942</v>
      </c>
    </row>
    <row r="13" customFormat="false" ht="17.15" hidden="false" customHeight="false" outlineLevel="0" collapsed="false">
      <c r="A13" s="0" t="s">
        <v>367</v>
      </c>
      <c r="B13" s="0" t="s">
        <v>169</v>
      </c>
      <c r="C13" s="13" t="n">
        <f aca="false">C71</f>
        <v>3.04</v>
      </c>
      <c r="D13" s="13" t="n">
        <f aca="false">D71</f>
        <v>3.66</v>
      </c>
      <c r="E13" s="13" t="n">
        <f aca="false">E71</f>
        <v>5.30790059090702</v>
      </c>
      <c r="F13" s="13" t="n">
        <f aca="false">F71</f>
        <v>6.36220321927337</v>
      </c>
      <c r="G13" s="13" t="n">
        <f aca="false">G71</f>
        <v>7.44202879372039</v>
      </c>
    </row>
    <row r="15" customFormat="false" ht="17.15" hidden="false" customHeight="false" outlineLevel="0" collapsed="false">
      <c r="A15" s="3" t="s">
        <v>368</v>
      </c>
      <c r="H15" s="5" t="s">
        <v>369</v>
      </c>
    </row>
    <row r="16" customFormat="false" ht="15" hidden="false" customHeight="false" outlineLevel="0" collapsed="false">
      <c r="A16" s="5" t="s">
        <v>248</v>
      </c>
      <c r="B16" s="0" t="s">
        <v>41</v>
      </c>
      <c r="C16" s="20" t="n">
        <f aca="false">C92</f>
        <v>12156.162</v>
      </c>
      <c r="D16" s="20" t="n">
        <f aca="false">D92</f>
        <v>13579.476</v>
      </c>
      <c r="E16" s="20" t="n">
        <f aca="false">E92</f>
        <v>17772.5167931423</v>
      </c>
      <c r="F16" s="20" t="n">
        <f aca="false">F92</f>
        <v>19319.4518797974</v>
      </c>
      <c r="G16" s="20" t="n">
        <f aca="false">G92</f>
        <v>19886.6040386385</v>
      </c>
    </row>
    <row r="17" customFormat="false" ht="15" hidden="false" customHeight="false" outlineLevel="0" collapsed="false">
      <c r="A17" s="5" t="s">
        <v>360</v>
      </c>
      <c r="B17" s="0" t="s">
        <v>41</v>
      </c>
      <c r="C17" s="20" t="n">
        <f aca="false">C89</f>
        <v>8264.026</v>
      </c>
      <c r="D17" s="20" t="n">
        <f aca="false">D89</f>
        <v>9119.058</v>
      </c>
      <c r="E17" s="20" t="n">
        <f aca="false">E89</f>
        <v>12830.2277931423</v>
      </c>
      <c r="F17" s="20" t="n">
        <f aca="false">F89</f>
        <v>13841.7376925974</v>
      </c>
      <c r="G17" s="20" t="n">
        <f aca="false">G89</f>
        <v>13813.8256011985</v>
      </c>
    </row>
    <row r="18" customFormat="false" ht="15" hidden="false" customHeight="false" outlineLevel="0" collapsed="false">
      <c r="A18" s="5" t="s">
        <v>361</v>
      </c>
      <c r="B18" s="0" t="s">
        <v>41</v>
      </c>
      <c r="C18" s="20" t="n">
        <f aca="false">C90</f>
        <v>2683.308</v>
      </c>
      <c r="D18" s="20" t="n">
        <f aca="false">D90</f>
        <v>3125.939</v>
      </c>
      <c r="E18" s="20" t="n">
        <f aca="false">E90</f>
        <v>3501.05168</v>
      </c>
      <c r="F18" s="20" t="n">
        <f aca="false">F90</f>
        <v>3921.1778816</v>
      </c>
      <c r="G18" s="20" t="n">
        <f aca="false">G90</f>
        <v>4391.719227392</v>
      </c>
    </row>
    <row r="19" customFormat="false" ht="17.15" hidden="false" customHeight="false" outlineLevel="0" collapsed="false">
      <c r="A19" s="0" t="s">
        <v>362</v>
      </c>
      <c r="B19" s="0" t="s">
        <v>41</v>
      </c>
      <c r="C19" s="20" t="n">
        <f aca="false">C91</f>
        <v>1208.828</v>
      </c>
      <c r="D19" s="20" t="n">
        <f aca="false">D91</f>
        <v>1334.479</v>
      </c>
      <c r="E19" s="20" t="n">
        <f aca="false">E91</f>
        <v>1441.23732</v>
      </c>
      <c r="F19" s="20" t="n">
        <f aca="false">F91</f>
        <v>1556.5363056</v>
      </c>
      <c r="G19" s="20" t="n">
        <f aca="false">G91</f>
        <v>1681.059210048</v>
      </c>
    </row>
    <row r="20" customFormat="false" ht="15" hidden="false" customHeight="false" outlineLevel="0" collapsed="false">
      <c r="A20" s="5" t="s">
        <v>363</v>
      </c>
      <c r="B20" s="0" t="s">
        <v>26</v>
      </c>
      <c r="C20" s="10" t="n">
        <f aca="false">C94</f>
        <v>0.609098085398994</v>
      </c>
      <c r="D20" s="10" t="n">
        <f aca="false">D94</f>
        <v>0.613014522798965</v>
      </c>
      <c r="E20" s="10" t="n">
        <f aca="false">E94</f>
        <v>0.620906159819035</v>
      </c>
      <c r="F20" s="10" t="n">
        <f aca="false">F94</f>
        <v>0.622952596515873</v>
      </c>
      <c r="G20" s="10" t="n">
        <f aca="false">G94</f>
        <v>0.623623120197982</v>
      </c>
    </row>
    <row r="21" customFormat="false" ht="15" hidden="false" customHeight="false" outlineLevel="0" collapsed="false">
      <c r="A21" s="5" t="s">
        <v>364</v>
      </c>
      <c r="B21" s="0" t="s">
        <v>41</v>
      </c>
      <c r="C21" s="20" t="n">
        <f aca="false">C96</f>
        <v>4775.127</v>
      </c>
      <c r="D21" s="20" t="n">
        <f aca="false">D96</f>
        <v>5660.78</v>
      </c>
      <c r="E21" s="20" t="n">
        <f aca="false">E96</f>
        <v>8170.06515234927</v>
      </c>
      <c r="F21" s="20" t="n">
        <f aca="false">F96</f>
        <v>9026.85271178325</v>
      </c>
      <c r="G21" s="20" t="n">
        <f aca="false">G96</f>
        <v>9243.0835607175</v>
      </c>
    </row>
    <row r="22" customFormat="false" ht="15" hidden="false" customHeight="false" outlineLevel="0" collapsed="false">
      <c r="A22" s="5" t="s">
        <v>365</v>
      </c>
      <c r="B22" s="0" t="s">
        <v>26</v>
      </c>
      <c r="C22" s="10" t="n">
        <f aca="false">C97</f>
        <v>0.392815347475626</v>
      </c>
      <c r="D22" s="10" t="n">
        <f aca="false">D97</f>
        <v>0.416862918716451</v>
      </c>
      <c r="E22" s="10" t="n">
        <f aca="false">E97</f>
        <v>0.459702204670404</v>
      </c>
      <c r="F22" s="10" t="n">
        <f aca="false">F97</f>
        <v>0.467241657162269</v>
      </c>
      <c r="G22" s="10" t="n">
        <f aca="false">G97</f>
        <v>0.464789440306588</v>
      </c>
    </row>
    <row r="23" customFormat="false" ht="15" hidden="false" customHeight="false" outlineLevel="0" collapsed="false">
      <c r="A23" s="5" t="s">
        <v>366</v>
      </c>
      <c r="B23" s="0" t="s">
        <v>41</v>
      </c>
      <c r="C23" s="20" t="n">
        <f aca="false">C99</f>
        <v>4061.643</v>
      </c>
      <c r="D23" s="20" t="n">
        <f aca="false">D99</f>
        <v>4830.771</v>
      </c>
      <c r="E23" s="20" t="n">
        <f aca="false">E99</f>
        <v>6899.90570525863</v>
      </c>
      <c r="F23" s="20" t="n">
        <f aca="false">F99</f>
        <v>7632.45906857467</v>
      </c>
      <c r="G23" s="20" t="n">
        <f aca="false">G99</f>
        <v>7817.33644441346</v>
      </c>
    </row>
    <row r="24" customFormat="false" ht="17.15" hidden="false" customHeight="false" outlineLevel="0" collapsed="false">
      <c r="A24" s="0" t="s">
        <v>367</v>
      </c>
      <c r="B24" s="0" t="s">
        <v>169</v>
      </c>
      <c r="C24" s="13" t="n">
        <f aca="false">C101</f>
        <v>3.04</v>
      </c>
      <c r="D24" s="13" t="n">
        <f aca="false">D101</f>
        <v>3.66</v>
      </c>
      <c r="E24" s="13" t="n">
        <f aca="false">E101</f>
        <v>5.25907447047151</v>
      </c>
      <c r="F24" s="13" t="n">
        <f aca="false">F101</f>
        <v>5.89619613310678</v>
      </c>
      <c r="G24" s="13" t="n">
        <f aca="false">G101</f>
        <v>6.12079048767898</v>
      </c>
    </row>
    <row r="26" customFormat="false" ht="17.15" hidden="false" customHeight="false" outlineLevel="0" collapsed="false">
      <c r="A26" s="3" t="s">
        <v>370</v>
      </c>
      <c r="H26" s="5" t="s">
        <v>371</v>
      </c>
    </row>
    <row r="27" customFormat="false" ht="15" hidden="false" customHeight="false" outlineLevel="0" collapsed="false">
      <c r="A27" s="5" t="s">
        <v>248</v>
      </c>
      <c r="B27" s="0" t="s">
        <v>41</v>
      </c>
      <c r="C27" s="20" t="n">
        <f aca="false">C122</f>
        <v>12156.162</v>
      </c>
      <c r="D27" s="20" t="n">
        <f aca="false">D122</f>
        <v>13579.476</v>
      </c>
      <c r="E27" s="20" t="n">
        <f aca="false">E122</f>
        <v>17603.2396931423</v>
      </c>
      <c r="F27" s="20" t="n">
        <f aca="false">F122</f>
        <v>17417.1075025776</v>
      </c>
      <c r="G27" s="20" t="n">
        <f aca="false">G122</f>
        <v>16583.4058876965</v>
      </c>
    </row>
    <row r="28" customFormat="false" ht="15" hidden="false" customHeight="false" outlineLevel="0" collapsed="false">
      <c r="A28" s="5" t="s">
        <v>360</v>
      </c>
      <c r="B28" s="0" t="s">
        <v>41</v>
      </c>
      <c r="C28" s="20" t="n">
        <f aca="false">C119</f>
        <v>8264.026</v>
      </c>
      <c r="D28" s="20" t="n">
        <f aca="false">D119</f>
        <v>9119.058</v>
      </c>
      <c r="E28" s="20" t="n">
        <f aca="false">E119</f>
        <v>12830.2277931423</v>
      </c>
      <c r="F28" s="20" t="n">
        <f aca="false">F119</f>
        <v>12300.2423125776</v>
      </c>
      <c r="G28" s="20" t="n">
        <f aca="false">G119</f>
        <v>11088.3020786965</v>
      </c>
    </row>
    <row r="29" customFormat="false" ht="15" hidden="false" customHeight="false" outlineLevel="0" collapsed="false">
      <c r="A29" s="5" t="s">
        <v>361</v>
      </c>
      <c r="B29" s="0" t="s">
        <v>41</v>
      </c>
      <c r="C29" s="20" t="n">
        <f aca="false">C120</f>
        <v>2683.308</v>
      </c>
      <c r="D29" s="20" t="n">
        <f aca="false">D120</f>
        <v>3125.939</v>
      </c>
      <c r="E29" s="20" t="n">
        <f aca="false">E120</f>
        <v>3438.5329</v>
      </c>
      <c r="F29" s="20" t="n">
        <f aca="false">F120</f>
        <v>3782.38619</v>
      </c>
      <c r="G29" s="20" t="n">
        <f aca="false">G120</f>
        <v>4160.624809</v>
      </c>
    </row>
    <row r="30" customFormat="false" ht="17.15" hidden="false" customHeight="false" outlineLevel="0" collapsed="false">
      <c r="A30" s="0" t="s">
        <v>362</v>
      </c>
      <c r="B30" s="0" t="s">
        <v>41</v>
      </c>
      <c r="C30" s="20" t="n">
        <f aca="false">C121</f>
        <v>1208.828</v>
      </c>
      <c r="D30" s="20" t="n">
        <f aca="false">D121</f>
        <v>1334.479</v>
      </c>
      <c r="E30" s="20" t="n">
        <f aca="false">E121</f>
        <v>1334.479</v>
      </c>
      <c r="F30" s="20" t="n">
        <f aca="false">F121</f>
        <v>1334.479</v>
      </c>
      <c r="G30" s="20" t="n">
        <f aca="false">G121</f>
        <v>1334.479</v>
      </c>
    </row>
    <row r="31" customFormat="false" ht="15" hidden="false" customHeight="false" outlineLevel="0" collapsed="false">
      <c r="A31" s="5" t="s">
        <v>363</v>
      </c>
      <c r="B31" s="0" t="s">
        <v>26</v>
      </c>
      <c r="C31" s="10" t="n">
        <f aca="false">C124</f>
        <v>0.609098085398994</v>
      </c>
      <c r="D31" s="10" t="n">
        <f aca="false">D124</f>
        <v>0.613014522798965</v>
      </c>
      <c r="E31" s="10" t="n">
        <f aca="false">E124</f>
        <v>0.62066039108444</v>
      </c>
      <c r="F31" s="10" t="n">
        <f aca="false">F124</f>
        <v>0.62038463645479</v>
      </c>
      <c r="G31" s="10" t="n">
        <f aca="false">G124</f>
        <v>0.619073551484528</v>
      </c>
    </row>
    <row r="32" customFormat="false" ht="15" hidden="false" customHeight="false" outlineLevel="0" collapsed="false">
      <c r="A32" s="5" t="s">
        <v>364</v>
      </c>
      <c r="B32" s="0" t="s">
        <v>41</v>
      </c>
      <c r="C32" s="20" t="n">
        <f aca="false">C126</f>
        <v>4775.127</v>
      </c>
      <c r="D32" s="20" t="n">
        <f aca="false">D126</f>
        <v>5660.78</v>
      </c>
      <c r="E32" s="20" t="n">
        <f aca="false">E126</f>
        <v>8060.63363229881</v>
      </c>
      <c r="F32" s="20" t="n">
        <f aca="false">F126</f>
        <v>7883.00590608061</v>
      </c>
      <c r="G32" s="20" t="n">
        <f aca="false">G126</f>
        <v>7285.60197860571</v>
      </c>
    </row>
    <row r="33" customFormat="false" ht="15" hidden="false" customHeight="false" outlineLevel="0" collapsed="false">
      <c r="A33" s="5" t="s">
        <v>365</v>
      </c>
      <c r="B33" s="0" t="s">
        <v>26</v>
      </c>
      <c r="C33" s="10" t="n">
        <f aca="false">C127</f>
        <v>0.392815347475626</v>
      </c>
      <c r="D33" s="10" t="n">
        <f aca="false">D127</f>
        <v>0.416862918716451</v>
      </c>
      <c r="E33" s="10" t="n">
        <f aca="false">E127</f>
        <v>0.457906258893868</v>
      </c>
      <c r="F33" s="10" t="n">
        <f aca="false">F127</f>
        <v>0.452601323435248</v>
      </c>
      <c r="G33" s="10" t="n">
        <f aca="false">G127</f>
        <v>0.439330860496577</v>
      </c>
    </row>
    <row r="34" customFormat="false" ht="15" hidden="false" customHeight="false" outlineLevel="0" collapsed="false">
      <c r="A34" s="5" t="s">
        <v>366</v>
      </c>
      <c r="B34" s="0" t="s">
        <v>41</v>
      </c>
      <c r="C34" s="20" t="n">
        <f aca="false">C129</f>
        <v>4061.643</v>
      </c>
      <c r="D34" s="20" t="n">
        <f aca="false">D129</f>
        <v>4830.771</v>
      </c>
      <c r="E34" s="20" t="n">
        <f aca="false">E129</f>
        <v>6806.34175561548</v>
      </c>
      <c r="F34" s="20" t="n">
        <f aca="false">F129</f>
        <v>6654.47004969892</v>
      </c>
      <c r="G34" s="20" t="n">
        <f aca="false">G129</f>
        <v>6143.68969170788</v>
      </c>
    </row>
    <row r="35" customFormat="false" ht="17.15" hidden="false" customHeight="false" outlineLevel="0" collapsed="false">
      <c r="A35" s="0" t="s">
        <v>367</v>
      </c>
      <c r="B35" s="0" t="s">
        <v>169</v>
      </c>
      <c r="C35" s="13" t="n">
        <f aca="false">C131</f>
        <v>3.04</v>
      </c>
      <c r="D35" s="13" t="n">
        <f aca="false">D131</f>
        <v>3.66</v>
      </c>
      <c r="E35" s="13" t="n">
        <f aca="false">E131</f>
        <v>5.18776048446302</v>
      </c>
      <c r="F35" s="13" t="n">
        <f aca="false">F131</f>
        <v>5.14068404722369</v>
      </c>
      <c r="G35" s="13" t="n">
        <f aca="false">G131</f>
        <v>4.81036446258243</v>
      </c>
    </row>
    <row r="37" customFormat="false" ht="17.15" hidden="false" customHeight="false" outlineLevel="0" collapsed="false">
      <c r="A37" s="3" t="s">
        <v>372</v>
      </c>
    </row>
    <row r="38" customFormat="false" ht="17.15" hidden="false" customHeight="false" outlineLevel="0" collapsed="false">
      <c r="A38" s="5" t="s">
        <v>373</v>
      </c>
      <c r="C38" s="19" t="n">
        <f aca="false">ABS(C5-a25_rev)+ABS(D5-a26_rev)</f>
        <v>0</v>
      </c>
    </row>
    <row r="39" customFormat="false" ht="17.15" hidden="false" customHeight="false" outlineLevel="0" collapsed="false">
      <c r="A39" s="5" t="s">
        <v>374</v>
      </c>
      <c r="C39" s="19" t="n">
        <f aca="false">ABS(C16-a25_rev)+ABS(D16-a26_rev)</f>
        <v>0</v>
      </c>
    </row>
    <row r="40" customFormat="false" ht="17.15" hidden="false" customHeight="false" outlineLevel="0" collapsed="false">
      <c r="A40" s="5" t="s">
        <v>375</v>
      </c>
      <c r="C40" s="19" t="n">
        <f aca="false">ABS(C27-a25_rev)+ABS(D27-a26_rev)</f>
        <v>0</v>
      </c>
    </row>
    <row r="45" customFormat="false" ht="17.15" hidden="false" customHeight="false" outlineLevel="0" collapsed="false">
      <c r="A45" s="3" t="s">
        <v>376</v>
      </c>
    </row>
    <row r="46" customFormat="false" ht="17.15" hidden="false" customHeight="false" outlineLevel="0" collapsed="false">
      <c r="A46" s="6" t="s">
        <v>15</v>
      </c>
      <c r="B46" s="6" t="s">
        <v>16</v>
      </c>
      <c r="C46" s="14" t="s">
        <v>377</v>
      </c>
      <c r="D46" s="14" t="s">
        <v>378</v>
      </c>
      <c r="E46" s="14" t="s">
        <v>379</v>
      </c>
      <c r="F46" s="14" t="s">
        <v>380</v>
      </c>
      <c r="G46" s="14" t="s">
        <v>381</v>
      </c>
      <c r="H46" s="6" t="s">
        <v>306</v>
      </c>
    </row>
    <row r="47" customFormat="false" ht="17.15" hidden="false" customHeight="false" outlineLevel="0" collapsed="false">
      <c r="A47" s="1" t="s">
        <v>382</v>
      </c>
    </row>
    <row r="48" customFormat="false" ht="17.15" hidden="false" customHeight="false" outlineLevel="0" collapsed="false">
      <c r="A48" s="5" t="s">
        <v>383</v>
      </c>
      <c r="B48" s="0" t="s">
        <v>41</v>
      </c>
      <c r="C48" s="16" t="n">
        <f aca="false">(Units!C8+m_mem*Units!C11)*1000</f>
        <v>117874.05938505</v>
      </c>
      <c r="D48" s="16" t="n">
        <f aca="false">(Units!D8+m_mem*Units!D11)*1000</f>
        <v>157598.72745742</v>
      </c>
      <c r="E48" s="16" t="n">
        <f aca="false">(Units!E8+m_mem*Units!E11)*1000</f>
        <v>194734.950900524</v>
      </c>
      <c r="F48" s="16" t="n">
        <f aca="false">(Units!F8+m_mem*Units!F11)*1000</f>
        <v>218802.231022447</v>
      </c>
      <c r="G48" s="16" t="n">
        <f aca="false">(Units!G8+m_mem*Units!G11)*1000</f>
        <v>231172.69409247</v>
      </c>
      <c r="H48" s="5" t="s">
        <v>384</v>
      </c>
    </row>
    <row r="49" customFormat="false" ht="15" hidden="false" customHeight="false" outlineLevel="0" collapsed="false">
      <c r="A49" s="5" t="s">
        <v>385</v>
      </c>
      <c r="B49" s="0" t="s">
        <v>41</v>
      </c>
      <c r="C49" s="16" t="n">
        <f aca="false">Units!C12*1000</f>
        <v>3056.56934306569</v>
      </c>
      <c r="D49" s="16" t="n">
        <f aca="false">Units!D12*1000</f>
        <v>3350</v>
      </c>
      <c r="E49" s="16" t="n">
        <f aca="false">Units!E12*1000</f>
        <v>3795.39194286967</v>
      </c>
      <c r="F49" s="16" t="n">
        <f aca="false">Units!F12*1000</f>
        <v>4300</v>
      </c>
      <c r="G49" s="16" t="n">
        <f aca="false">Units!G12*1000</f>
        <v>4644</v>
      </c>
    </row>
    <row r="50" customFormat="false" ht="17.15" hidden="false" customHeight="false" outlineLevel="0" collapsed="false">
      <c r="A50" s="5" t="s">
        <v>386</v>
      </c>
      <c r="B50" s="0" t="s">
        <v>41</v>
      </c>
      <c r="D50" s="16" t="n">
        <f aca="false">h1_rev*(2+h2up)</f>
        <v>15559.8432</v>
      </c>
      <c r="H50" s="5" t="s">
        <v>387</v>
      </c>
    </row>
    <row r="51" customFormat="false" ht="17.15" hidden="false" customHeight="false" outlineLevel="0" collapsed="false">
      <c r="A51" s="5" t="s">
        <v>388</v>
      </c>
      <c r="B51" s="0" t="s">
        <v>41</v>
      </c>
      <c r="D51" s="16" t="n">
        <f aca="false">h1_svc*(2+g_svc_h2)</f>
        <v>3286.1223</v>
      </c>
    </row>
    <row r="52" customFormat="false" ht="17.15" hidden="false" customHeight="false" outlineLevel="0" collapsed="false">
      <c r="A52" s="0" t="s">
        <v>389</v>
      </c>
      <c r="B52" s="0" t="s">
        <v>41</v>
      </c>
      <c r="D52" s="16" t="n">
        <f aca="false">cy25_oth*(1+g_oth26)</f>
        <v>1528.965</v>
      </c>
    </row>
    <row r="53" customFormat="false" ht="17.15" hidden="false" customHeight="false" outlineLevel="0" collapsed="false">
      <c r="A53" s="5" t="s">
        <v>390</v>
      </c>
      <c r="B53" s="0" t="s">
        <v>41</v>
      </c>
      <c r="C53" s="16" t="n">
        <f aca="false">ap26/(1+ap_g26)</f>
        <v>647.058823529412</v>
      </c>
      <c r="D53" s="16" t="n">
        <f aca="false">ap26</f>
        <v>1100</v>
      </c>
      <c r="E53" s="16" t="n">
        <f aca="false">D53*(1+k_ap*(E49/D49-1))</f>
        <v>1392.49620128754</v>
      </c>
      <c r="F53" s="16" t="n">
        <f aca="false">E53*(1+k_ap*(F49/E49-1))</f>
        <v>1762.76879145476</v>
      </c>
      <c r="G53" s="16" t="n">
        <f aca="false">F53*(1+k_ap*(G49/F49-1))</f>
        <v>2044.81179808753</v>
      </c>
      <c r="H53" s="8" t="s">
        <v>391</v>
      </c>
    </row>
    <row r="54" customFormat="false" ht="17.15" hidden="false" customHeight="false" outlineLevel="0" collapsed="false">
      <c r="A54" s="5" t="s">
        <v>392</v>
      </c>
      <c r="B54" s="0" t="s">
        <v>41</v>
      </c>
      <c r="C54" s="16" t="n">
        <f aca="false">C56-C53</f>
        <v>7971.85117647059</v>
      </c>
      <c r="D54" s="16" t="n">
        <f aca="false">D56-D53</f>
        <v>9644.7559</v>
      </c>
      <c r="E54" s="16" t="n">
        <f aca="false">E55*E48</f>
        <v>12268.521584997</v>
      </c>
      <c r="F54" s="16" t="n">
        <f aca="false">F55*F48</f>
        <v>14190.8975186426</v>
      </c>
      <c r="G54" s="16" t="n">
        <f aca="false">G55*G48</f>
        <v>15434.9221703084</v>
      </c>
      <c r="H54" s="8" t="s">
        <v>393</v>
      </c>
    </row>
    <row r="55" customFormat="false" ht="17.15" hidden="false" customHeight="false" outlineLevel="0" collapsed="false">
      <c r="A55" s="5" t="s">
        <v>394</v>
      </c>
      <c r="B55" s="0" t="s">
        <v>26</v>
      </c>
      <c r="C55" s="21" t="n">
        <f aca="false">C54/C48</f>
        <v>0.0676302421250259</v>
      </c>
      <c r="D55" s="21" t="n">
        <f aca="false">D54/D48</f>
        <v>0.0611981838660836</v>
      </c>
      <c r="E55" s="21" t="n">
        <f aca="false">$D55*(1+pc_u)^1</f>
        <v>0.0630011280885271</v>
      </c>
      <c r="F55" s="21" t="n">
        <f aca="false">$D55*(1+pc_u)^2</f>
        <v>0.0648571883948786</v>
      </c>
      <c r="G55" s="21" t="n">
        <f aca="false">$D55*(1+pc_u)^3</f>
        <v>0.0667679296246569</v>
      </c>
      <c r="H55" s="8" t="s">
        <v>395</v>
      </c>
    </row>
    <row r="56" customFormat="false" ht="17.15" hidden="false" customHeight="false" outlineLevel="0" collapsed="false">
      <c r="A56" s="5" t="s">
        <v>396</v>
      </c>
      <c r="B56" s="0" t="s">
        <v>41</v>
      </c>
      <c r="C56" s="16" t="n">
        <f aca="false">cy25_sys</f>
        <v>8618.91</v>
      </c>
      <c r="D56" s="16" t="n">
        <f aca="false">D50-D51-D52</f>
        <v>10744.7559</v>
      </c>
      <c r="E56" s="16" t="n">
        <f aca="false">(E54+E53)*(1-chn_sh26*chn_cut)</f>
        <v>13661.0177862845</v>
      </c>
      <c r="F56" s="16" t="n">
        <f aca="false">(F54+F53)*(1-chn_sh26*chn_cut)</f>
        <v>15953.6663100973</v>
      </c>
      <c r="G56" s="16" t="n">
        <f aca="false">(G54+G53)*(1-chn_sh26*chn_cut)</f>
        <v>17479.7339683959</v>
      </c>
      <c r="H56" s="8" t="s">
        <v>397</v>
      </c>
    </row>
    <row r="57" customFormat="false" ht="17.15" hidden="false" customHeight="false" outlineLevel="0" collapsed="false">
      <c r="A57" s="5" t="s">
        <v>398</v>
      </c>
      <c r="B57" s="0" t="s">
        <v>26</v>
      </c>
      <c r="C57" s="10" t="n">
        <f aca="false">C55/kla_sh_pc</f>
        <v>0.116603865732803</v>
      </c>
      <c r="D57" s="10" t="n">
        <f aca="false">D55/kla_sh_pc</f>
        <v>0.105514110113937</v>
      </c>
      <c r="E57" s="10" t="n">
        <f aca="false">E55/kla_sh_pc</f>
        <v>0.108622634635392</v>
      </c>
      <c r="F57" s="10" t="n">
        <f aca="false">F55/kla_sh_pc</f>
        <v>0.11182273861186</v>
      </c>
      <c r="G57" s="10" t="n">
        <f aca="false">G55/kla_sh_pc</f>
        <v>0.115117120042512</v>
      </c>
      <c r="H57" s="8" t="s">
        <v>399</v>
      </c>
    </row>
    <row r="58" customFormat="false" ht="17.15" hidden="false" customHeight="false" outlineLevel="0" collapsed="false">
      <c r="A58" s="1" t="s">
        <v>400</v>
      </c>
    </row>
    <row r="59" customFormat="false" ht="17.15" hidden="false" customHeight="false" outlineLevel="0" collapsed="false">
      <c r="A59" s="5" t="s">
        <v>401</v>
      </c>
      <c r="B59" s="0" t="s">
        <v>41</v>
      </c>
      <c r="C59" s="16" t="n">
        <f aca="false">a25_sys</f>
        <v>8264.026</v>
      </c>
      <c r="D59" s="16" t="n">
        <f aca="false">a26_sys</f>
        <v>9119.058</v>
      </c>
      <c r="E59" s="16" t="n">
        <f aca="false">(D56-h1_sys)+0.5*E56</f>
        <v>12830.2277931423</v>
      </c>
      <c r="F59" s="16" t="n">
        <f aca="false">0.5*E56+0.5*F56</f>
        <v>14807.3420481909</v>
      </c>
      <c r="G59" s="16" t="n">
        <f aca="false">0.5*F56+0.5*G56</f>
        <v>16716.7001392466</v>
      </c>
      <c r="H59" s="8" t="s">
        <v>402</v>
      </c>
    </row>
    <row r="60" customFormat="false" ht="15" hidden="false" customHeight="false" outlineLevel="0" collapsed="false">
      <c r="A60" s="5" t="s">
        <v>254</v>
      </c>
      <c r="B60" s="0" t="s">
        <v>41</v>
      </c>
      <c r="C60" s="16" t="n">
        <f aca="false">a25_svc</f>
        <v>2683.308</v>
      </c>
      <c r="D60" s="16" t="n">
        <f aca="false">a26_svc</f>
        <v>3125.939</v>
      </c>
      <c r="E60" s="16" t="n">
        <f aca="false">D60*(1+g_svc_A)</f>
        <v>3563.57046</v>
      </c>
      <c r="F60" s="16" t="n">
        <f aca="false">E60*(1+g_svc_A)</f>
        <v>4062.4703244</v>
      </c>
      <c r="G60" s="16" t="n">
        <f aca="false">F60*(1+g_svc_A)</f>
        <v>4631.216169816</v>
      </c>
    </row>
    <row r="61" customFormat="false" ht="17.15" hidden="false" customHeight="false" outlineLevel="0" collapsed="false">
      <c r="A61" s="0" t="s">
        <v>403</v>
      </c>
      <c r="B61" s="0" t="s">
        <v>41</v>
      </c>
      <c r="C61" s="16" t="n">
        <f aca="false">a25_oth</f>
        <v>1208.828</v>
      </c>
      <c r="D61" s="16" t="n">
        <f aca="false">a26_oth</f>
        <v>1334.479</v>
      </c>
      <c r="E61" s="16" t="n">
        <f aca="false">D61*(1+g_oth_A)</f>
        <v>1494.61648</v>
      </c>
      <c r="F61" s="16" t="n">
        <f aca="false">E61*(1+g_oth_A)</f>
        <v>1673.9704576</v>
      </c>
      <c r="G61" s="16" t="n">
        <f aca="false">F61*(1+g_oth_A)</f>
        <v>1874.846912512</v>
      </c>
    </row>
    <row r="62" customFormat="false" ht="17.15" hidden="false" customHeight="false" outlineLevel="0" collapsed="false">
      <c r="A62" s="5" t="s">
        <v>248</v>
      </c>
      <c r="B62" s="0" t="s">
        <v>41</v>
      </c>
      <c r="C62" s="16" t="n">
        <f aca="false">C59+C60+C61</f>
        <v>12156.162</v>
      </c>
      <c r="D62" s="16" t="n">
        <f aca="false">D59+D60+D61</f>
        <v>13579.476</v>
      </c>
      <c r="E62" s="16" t="n">
        <f aca="false">E59+E60+E61</f>
        <v>17888.4147331423</v>
      </c>
      <c r="F62" s="16" t="n">
        <f aca="false">F59+F60+F61</f>
        <v>20543.7828301909</v>
      </c>
      <c r="G62" s="16" t="n">
        <f aca="false">G59+G60+G61</f>
        <v>23222.7632215746</v>
      </c>
      <c r="H62" s="8" t="s">
        <v>404</v>
      </c>
    </row>
    <row r="63" customFormat="false" ht="17.15" hidden="false" customHeight="false" outlineLevel="0" collapsed="false">
      <c r="A63" s="5" t="s">
        <v>267</v>
      </c>
      <c r="B63" s="0" t="s">
        <v>41</v>
      </c>
      <c r="C63" s="16" t="n">
        <f aca="false">a25_gp</f>
        <v>7404.295</v>
      </c>
      <c r="D63" s="16" t="n">
        <f aca="false">a26_gp</f>
        <v>8324.416</v>
      </c>
      <c r="E63" s="16" t="n">
        <f aca="false">a26_gp+gm_inc*(E62-a26_rev)</f>
        <v>11109.988976924</v>
      </c>
      <c r="F63" s="16" t="n">
        <f aca="false">a26_gp+gm_inc*(F62-a26_rev)</f>
        <v>12826.5883701882</v>
      </c>
      <c r="G63" s="16" t="n">
        <f aca="false">a26_gp+gm_inc*(G62-a26_rev)</f>
        <v>14558.452257356</v>
      </c>
      <c r="H63" s="8" t="s">
        <v>405</v>
      </c>
    </row>
    <row r="64" customFormat="false" ht="15" hidden="false" customHeight="false" outlineLevel="0" collapsed="false">
      <c r="A64" s="5" t="s">
        <v>363</v>
      </c>
      <c r="B64" s="0" t="s">
        <v>26</v>
      </c>
      <c r="C64" s="10" t="n">
        <f aca="false">C63/C62</f>
        <v>0.609098085398994</v>
      </c>
      <c r="D64" s="10" t="n">
        <f aca="false">D63/D62</f>
        <v>0.613014522798965</v>
      </c>
      <c r="E64" s="10" t="n">
        <f aca="false">E63/E62</f>
        <v>0.621071746304063</v>
      </c>
      <c r="F64" s="10" t="n">
        <f aca="false">F63/F62</f>
        <v>0.624353775359153</v>
      </c>
      <c r="G64" s="10" t="n">
        <f aca="false">G63/G62</f>
        <v>0.62690439197308</v>
      </c>
    </row>
    <row r="65" customFormat="false" ht="15" hidden="false" customHeight="false" outlineLevel="0" collapsed="false">
      <c r="A65" s="5" t="s">
        <v>406</v>
      </c>
      <c r="B65" s="0" t="s">
        <v>41</v>
      </c>
      <c r="C65" s="16" t="n">
        <f aca="false">a25_opx</f>
        <v>2390.068</v>
      </c>
      <c r="D65" s="16" t="n">
        <f aca="false">a26_opx</f>
        <v>2663.636</v>
      </c>
      <c r="E65" s="16" t="n">
        <f aca="false">opex27</f>
        <v>2865</v>
      </c>
      <c r="F65" s="16" t="n">
        <f aca="false">E65*(1+g_opex_A)</f>
        <v>3094.2</v>
      </c>
      <c r="G65" s="16" t="n">
        <f aca="false">F65*(1+g_opex_A)</f>
        <v>3341.736</v>
      </c>
    </row>
    <row r="66" customFormat="false" ht="17.15" hidden="false" customHeight="false" outlineLevel="0" collapsed="false">
      <c r="A66" s="5" t="s">
        <v>364</v>
      </c>
      <c r="B66" s="0" t="s">
        <v>41</v>
      </c>
      <c r="C66" s="16" t="n">
        <f aca="false">a25_oi</f>
        <v>4775.127</v>
      </c>
      <c r="D66" s="16" t="n">
        <f aca="false">D63-D65</f>
        <v>5660.78</v>
      </c>
      <c r="E66" s="16" t="n">
        <f aca="false">E63-E65</f>
        <v>8244.98897692399</v>
      </c>
      <c r="F66" s="16" t="n">
        <f aca="false">F63-F65</f>
        <v>9732.38837018824</v>
      </c>
      <c r="G66" s="16" t="n">
        <f aca="false">G63-G65</f>
        <v>11216.716257356</v>
      </c>
      <c r="H66" s="8" t="s">
        <v>407</v>
      </c>
    </row>
    <row r="67" customFormat="false" ht="15" hidden="false" customHeight="false" outlineLevel="0" collapsed="false">
      <c r="A67" s="5" t="s">
        <v>365</v>
      </c>
      <c r="B67" s="0" t="s">
        <v>26</v>
      </c>
      <c r="C67" s="10" t="n">
        <f aca="false">C66/C62</f>
        <v>0.392815347475626</v>
      </c>
      <c r="D67" s="10" t="n">
        <f aca="false">D66/D62</f>
        <v>0.416862918716451</v>
      </c>
      <c r="E67" s="10" t="n">
        <f aca="false">E66/E62</f>
        <v>0.460912221676542</v>
      </c>
      <c r="F67" s="10" t="n">
        <f aca="false">F66/F62</f>
        <v>0.473738865457905</v>
      </c>
      <c r="G67" s="10" t="n">
        <f aca="false">G66/G62</f>
        <v>0.483005237160382</v>
      </c>
    </row>
    <row r="68" customFormat="false" ht="15" hidden="false" customHeight="false" outlineLevel="0" collapsed="false">
      <c r="A68" s="5" t="s">
        <v>408</v>
      </c>
      <c r="B68" s="0" t="s">
        <v>41</v>
      </c>
      <c r="C68" s="16" t="n">
        <f aca="false">a25_nonop</f>
        <v>-130.679</v>
      </c>
      <c r="D68" s="16" t="n">
        <f aca="false">a26_nonop</f>
        <v>-54.855</v>
      </c>
      <c r="E68" s="16" t="n">
        <f aca="false">oth_exp</f>
        <v>-100</v>
      </c>
      <c r="F68" s="16" t="n">
        <f aca="false">oth_exp</f>
        <v>-100</v>
      </c>
      <c r="G68" s="16" t="n">
        <f aca="false">oth_exp</f>
        <v>-100</v>
      </c>
    </row>
    <row r="69" customFormat="false" ht="15" hidden="false" customHeight="false" outlineLevel="0" collapsed="false">
      <c r="A69" s="5" t="s">
        <v>366</v>
      </c>
      <c r="B69" s="0" t="s">
        <v>41</v>
      </c>
      <c r="C69" s="16" t="n">
        <f aca="false">a25_ni</f>
        <v>4061.643</v>
      </c>
      <c r="D69" s="16" t="n">
        <f aca="false">a26_ni</f>
        <v>4830.771</v>
      </c>
      <c r="E69" s="16" t="n">
        <f aca="false">(E66+E68)*(1-tax)</f>
        <v>6963.96557527001</v>
      </c>
      <c r="F69" s="16" t="n">
        <f aca="false">(F66+F68)*(1-tax)</f>
        <v>8235.69205651095</v>
      </c>
      <c r="G69" s="16" t="n">
        <f aca="false">(G66+G68)*(1-tax)</f>
        <v>9504.79240003942</v>
      </c>
    </row>
    <row r="70" customFormat="false" ht="15" hidden="false" customHeight="false" outlineLevel="0" collapsed="false">
      <c r="A70" s="5" t="s">
        <v>409</v>
      </c>
      <c r="B70" s="5" t="s">
        <v>151</v>
      </c>
      <c r="C70" s="16" t="n">
        <f aca="false">a25_sh</f>
        <v>1337.502</v>
      </c>
      <c r="D70" s="16" t="n">
        <f aca="false">a26_sh</f>
        <v>1319.633</v>
      </c>
      <c r="E70" s="16" t="n">
        <f aca="false">shares27</f>
        <v>1312</v>
      </c>
      <c r="F70" s="16" t="n">
        <f aca="false">E70*(1-bb)</f>
        <v>1294.47170621053</v>
      </c>
      <c r="G70" s="16" t="n">
        <f aca="false">F70*(1-bb)</f>
        <v>1277.17759007592</v>
      </c>
    </row>
    <row r="71" customFormat="false" ht="17.15" hidden="false" customHeight="false" outlineLevel="0" collapsed="false">
      <c r="A71" s="0" t="s">
        <v>367</v>
      </c>
      <c r="B71" s="0" t="s">
        <v>169</v>
      </c>
      <c r="C71" s="13" t="n">
        <f aca="false">a25_eps</f>
        <v>3.04</v>
      </c>
      <c r="D71" s="13" t="n">
        <f aca="false">a26_eps</f>
        <v>3.66</v>
      </c>
      <c r="E71" s="13" t="n">
        <f aca="false">E69/E70</f>
        <v>5.30790059090702</v>
      </c>
      <c r="F71" s="13" t="n">
        <f aca="false">F69/F70</f>
        <v>6.36220321927337</v>
      </c>
      <c r="G71" s="13" t="n">
        <f aca="false">G69/G70</f>
        <v>7.44202879372039</v>
      </c>
    </row>
    <row r="72" customFormat="false" ht="17.15" hidden="false" customHeight="false" outlineLevel="0" collapsed="false">
      <c r="A72" s="5" t="s">
        <v>410</v>
      </c>
      <c r="B72" s="0" t="s">
        <v>41</v>
      </c>
      <c r="D72" s="20" t="n">
        <f aca="false">a26_rev*chn_sh26</f>
        <v>4073.8428</v>
      </c>
      <c r="E72" s="20" t="n">
        <f aca="false">E62*chn_sh26*(1-chn_cut*IF(2027=2027,0.5,1))</f>
        <v>5366.52441994268</v>
      </c>
      <c r="F72" s="20" t="n">
        <f aca="false">F62*chn_sh26*(1-chn_cut*IF(2028=2027,0.5,1))</f>
        <v>6163.13484905728</v>
      </c>
      <c r="G72" s="20" t="n">
        <f aca="false">G62*chn_sh26*(1-chn_cut*IF(2029=2027,0.5,1))</f>
        <v>6966.82896647238</v>
      </c>
      <c r="H72" s="5" t="s">
        <v>411</v>
      </c>
    </row>
    <row r="75" customFormat="false" ht="17.15" hidden="false" customHeight="false" outlineLevel="0" collapsed="false">
      <c r="A75" s="3" t="s">
        <v>412</v>
      </c>
    </row>
    <row r="76" customFormat="false" ht="17.15" hidden="false" customHeight="false" outlineLevel="0" collapsed="false">
      <c r="A76" s="6" t="s">
        <v>15</v>
      </c>
      <c r="B76" s="6" t="s">
        <v>16</v>
      </c>
      <c r="C76" s="14" t="s">
        <v>377</v>
      </c>
      <c r="D76" s="14" t="s">
        <v>378</v>
      </c>
      <c r="E76" s="14" t="s">
        <v>379</v>
      </c>
      <c r="F76" s="14" t="s">
        <v>380</v>
      </c>
      <c r="G76" s="14" t="s">
        <v>381</v>
      </c>
      <c r="H76" s="6" t="s">
        <v>306</v>
      </c>
    </row>
    <row r="77" customFormat="false" ht="17.15" hidden="false" customHeight="false" outlineLevel="0" collapsed="false">
      <c r="A77" s="1" t="s">
        <v>382</v>
      </c>
    </row>
    <row r="78" customFormat="false" ht="17.15" hidden="false" customHeight="false" outlineLevel="0" collapsed="false">
      <c r="A78" s="5" t="s">
        <v>383</v>
      </c>
      <c r="B78" s="0" t="s">
        <v>41</v>
      </c>
      <c r="C78" s="16" t="n">
        <f aca="false">(Units!C19+m_mem*Units!C22)*1000</f>
        <v>117874.05938505</v>
      </c>
      <c r="D78" s="16" t="n">
        <f aca="false">(Units!D19+m_mem*Units!D22)*1000</f>
        <v>157598.72745742</v>
      </c>
      <c r="E78" s="16" t="n">
        <f aca="false">(Units!E19+m_mem*Units!E22)*1000</f>
        <v>194734.950900524</v>
      </c>
      <c r="F78" s="16" t="n">
        <f aca="false">(Units!F19+m_mem*Units!F22)*1000</f>
        <v>194734.950900524</v>
      </c>
      <c r="G78" s="16" t="n">
        <f aca="false">(Units!G19+m_mem*Units!G22)*1000</f>
        <v>184998.203355498</v>
      </c>
      <c r="H78" s="5" t="s">
        <v>413</v>
      </c>
    </row>
    <row r="79" customFormat="false" ht="15" hidden="false" customHeight="false" outlineLevel="0" collapsed="false">
      <c r="A79" s="5" t="s">
        <v>385</v>
      </c>
      <c r="B79" s="0" t="s">
        <v>41</v>
      </c>
      <c r="C79" s="16" t="n">
        <f aca="false">Units!C23*1000</f>
        <v>3056.56934306569</v>
      </c>
      <c r="D79" s="16" t="n">
        <f aca="false">Units!D23*1000</f>
        <v>3350</v>
      </c>
      <c r="E79" s="16" t="n">
        <f aca="false">Units!E23*1000</f>
        <v>3795.39194286967</v>
      </c>
      <c r="F79" s="16" t="n">
        <f aca="false">Units!F23*1000</f>
        <v>3795.39194286967</v>
      </c>
      <c r="G79" s="16" t="n">
        <f aca="false">Units!G23*1000</f>
        <v>3605.62234572619</v>
      </c>
    </row>
    <row r="80" customFormat="false" ht="17.15" hidden="false" customHeight="false" outlineLevel="0" collapsed="false">
      <c r="A80" s="5" t="s">
        <v>386</v>
      </c>
      <c r="B80" s="0" t="s">
        <v>41</v>
      </c>
      <c r="D80" s="16" t="n">
        <f aca="false">h1_rev*(2+h2up)</f>
        <v>15559.8432</v>
      </c>
      <c r="H80" s="5" t="s">
        <v>387</v>
      </c>
    </row>
    <row r="81" customFormat="false" ht="17.15" hidden="false" customHeight="false" outlineLevel="0" collapsed="false">
      <c r="A81" s="5" t="s">
        <v>388</v>
      </c>
      <c r="B81" s="0" t="s">
        <v>41</v>
      </c>
      <c r="D81" s="16" t="n">
        <f aca="false">h1_svc*(2+g_svc_h2)</f>
        <v>3286.1223</v>
      </c>
    </row>
    <row r="82" customFormat="false" ht="17.15" hidden="false" customHeight="false" outlineLevel="0" collapsed="false">
      <c r="A82" s="0" t="s">
        <v>389</v>
      </c>
      <c r="B82" s="0" t="s">
        <v>41</v>
      </c>
      <c r="D82" s="16" t="n">
        <f aca="false">cy25_oth*(1+g_oth26)</f>
        <v>1528.965</v>
      </c>
    </row>
    <row r="83" customFormat="false" ht="17.15" hidden="false" customHeight="false" outlineLevel="0" collapsed="false">
      <c r="A83" s="5" t="s">
        <v>390</v>
      </c>
      <c r="B83" s="0" t="s">
        <v>41</v>
      </c>
      <c r="C83" s="16" t="n">
        <f aca="false">ap26/(1+ap_g26)</f>
        <v>647.058823529412</v>
      </c>
      <c r="D83" s="16" t="n">
        <f aca="false">ap26</f>
        <v>1100</v>
      </c>
      <c r="E83" s="16" t="n">
        <f aca="false">D83*(1+k_ap*(E79/D79-1))</f>
        <v>1392.49620128754</v>
      </c>
      <c r="F83" s="16" t="n">
        <f aca="false">E83*(1+k_ap*(F79/E79-1))</f>
        <v>1392.49620128754</v>
      </c>
      <c r="G83" s="16" t="n">
        <f aca="false">F83*(1+k_ap*(G79/F79-1))</f>
        <v>1253.24658115879</v>
      </c>
      <c r="H83" s="8" t="s">
        <v>391</v>
      </c>
    </row>
    <row r="84" customFormat="false" ht="17.15" hidden="false" customHeight="false" outlineLevel="0" collapsed="false">
      <c r="A84" s="5" t="s">
        <v>392</v>
      </c>
      <c r="B84" s="0" t="s">
        <v>41</v>
      </c>
      <c r="C84" s="16" t="n">
        <f aca="false">C86-C83</f>
        <v>7971.85117647059</v>
      </c>
      <c r="D84" s="16" t="n">
        <f aca="false">D86-D83</f>
        <v>9644.7559</v>
      </c>
      <c r="E84" s="16" t="n">
        <f aca="false">E85*E78</f>
        <v>12268.521584997</v>
      </c>
      <c r="F84" s="16" t="n">
        <f aca="false">F85*F78</f>
        <v>12629.9613976227</v>
      </c>
      <c r="G84" s="16" t="n">
        <f aca="false">G85*G78</f>
        <v>12351.9470223279</v>
      </c>
      <c r="H84" s="8" t="s">
        <v>393</v>
      </c>
    </row>
    <row r="85" customFormat="false" ht="17.15" hidden="false" customHeight="false" outlineLevel="0" collapsed="false">
      <c r="A85" s="5" t="s">
        <v>394</v>
      </c>
      <c r="B85" s="0" t="s">
        <v>26</v>
      </c>
      <c r="C85" s="21" t="n">
        <f aca="false">C84/C78</f>
        <v>0.0676302421250259</v>
      </c>
      <c r="D85" s="21" t="n">
        <f aca="false">D84/D78</f>
        <v>0.0611981838660836</v>
      </c>
      <c r="E85" s="21" t="n">
        <f aca="false">$D85*(1+pc_u)^1</f>
        <v>0.0630011280885271</v>
      </c>
      <c r="F85" s="21" t="n">
        <f aca="false">$D85*(1+pc_u)^2</f>
        <v>0.0648571883948786</v>
      </c>
      <c r="G85" s="21" t="n">
        <f aca="false">$D85*(1+pc_u)^3</f>
        <v>0.0667679296246569</v>
      </c>
      <c r="H85" s="8" t="s">
        <v>395</v>
      </c>
    </row>
    <row r="86" customFormat="false" ht="17.15" hidden="false" customHeight="false" outlineLevel="0" collapsed="false">
      <c r="A86" s="5" t="s">
        <v>396</v>
      </c>
      <c r="B86" s="0" t="s">
        <v>41</v>
      </c>
      <c r="C86" s="16" t="n">
        <f aca="false">cy25_sys</f>
        <v>8618.91</v>
      </c>
      <c r="D86" s="16" t="n">
        <f aca="false">D80-D81-D82</f>
        <v>10744.7559</v>
      </c>
      <c r="E86" s="16" t="n">
        <f aca="false">(E84+E83)*(1-chn_sh26*chn_cut)</f>
        <v>13661.0177862845</v>
      </c>
      <c r="F86" s="16" t="n">
        <f aca="false">(F84+F83)*(1-chn_sh26*chn_cut)</f>
        <v>14022.4575989103</v>
      </c>
      <c r="G86" s="16" t="n">
        <f aca="false">(G84+G83)*(1-chn_sh26*chn_cut)</f>
        <v>13605.1936034867</v>
      </c>
      <c r="H86" s="8" t="s">
        <v>397</v>
      </c>
    </row>
    <row r="87" customFormat="false" ht="17.15" hidden="false" customHeight="false" outlineLevel="0" collapsed="false">
      <c r="A87" s="5" t="s">
        <v>398</v>
      </c>
      <c r="B87" s="0" t="s">
        <v>26</v>
      </c>
      <c r="C87" s="10" t="n">
        <f aca="false">C85/kla_sh_pc</f>
        <v>0.116603865732803</v>
      </c>
      <c r="D87" s="10" t="n">
        <f aca="false">D85/kla_sh_pc</f>
        <v>0.105514110113937</v>
      </c>
      <c r="E87" s="10" t="n">
        <f aca="false">E85/kla_sh_pc</f>
        <v>0.108622634635392</v>
      </c>
      <c r="F87" s="10" t="n">
        <f aca="false">F85/kla_sh_pc</f>
        <v>0.11182273861186</v>
      </c>
      <c r="G87" s="10" t="n">
        <f aca="false">G85/kla_sh_pc</f>
        <v>0.115117120042512</v>
      </c>
      <c r="H87" s="8" t="s">
        <v>399</v>
      </c>
    </row>
    <row r="88" customFormat="false" ht="17.15" hidden="false" customHeight="false" outlineLevel="0" collapsed="false">
      <c r="A88" s="1" t="s">
        <v>400</v>
      </c>
    </row>
    <row r="89" customFormat="false" ht="17.15" hidden="false" customHeight="false" outlineLevel="0" collapsed="false">
      <c r="A89" s="5" t="s">
        <v>401</v>
      </c>
      <c r="B89" s="0" t="s">
        <v>41</v>
      </c>
      <c r="C89" s="16" t="n">
        <f aca="false">a25_sys</f>
        <v>8264.026</v>
      </c>
      <c r="D89" s="16" t="n">
        <f aca="false">a26_sys</f>
        <v>9119.058</v>
      </c>
      <c r="E89" s="16" t="n">
        <f aca="false">(D86-h1_sys)+0.5*E86</f>
        <v>12830.2277931423</v>
      </c>
      <c r="F89" s="16" t="n">
        <f aca="false">0.5*E86+0.5*F86</f>
        <v>13841.7376925974</v>
      </c>
      <c r="G89" s="16" t="n">
        <f aca="false">0.5*F86+0.5*G86</f>
        <v>13813.8256011985</v>
      </c>
      <c r="H89" s="8" t="s">
        <v>402</v>
      </c>
    </row>
    <row r="90" customFormat="false" ht="15" hidden="false" customHeight="false" outlineLevel="0" collapsed="false">
      <c r="A90" s="5" t="s">
        <v>254</v>
      </c>
      <c r="B90" s="0" t="s">
        <v>41</v>
      </c>
      <c r="C90" s="16" t="n">
        <f aca="false">a25_svc</f>
        <v>2683.308</v>
      </c>
      <c r="D90" s="16" t="n">
        <f aca="false">a26_svc</f>
        <v>3125.939</v>
      </c>
      <c r="E90" s="16" t="n">
        <f aca="false">D90*(1+g_svc_B)</f>
        <v>3501.05168</v>
      </c>
      <c r="F90" s="16" t="n">
        <f aca="false">E90*(1+g_svc_B)</f>
        <v>3921.1778816</v>
      </c>
      <c r="G90" s="16" t="n">
        <f aca="false">F90*(1+g_svc_B)</f>
        <v>4391.719227392</v>
      </c>
    </row>
    <row r="91" customFormat="false" ht="17.15" hidden="false" customHeight="false" outlineLevel="0" collapsed="false">
      <c r="A91" s="0" t="s">
        <v>403</v>
      </c>
      <c r="B91" s="0" t="s">
        <v>41</v>
      </c>
      <c r="C91" s="16" t="n">
        <f aca="false">a25_oth</f>
        <v>1208.828</v>
      </c>
      <c r="D91" s="16" t="n">
        <f aca="false">a26_oth</f>
        <v>1334.479</v>
      </c>
      <c r="E91" s="16" t="n">
        <f aca="false">D91*(1+g_oth_B)</f>
        <v>1441.23732</v>
      </c>
      <c r="F91" s="16" t="n">
        <f aca="false">E91*(1+g_oth_B)</f>
        <v>1556.5363056</v>
      </c>
      <c r="G91" s="16" t="n">
        <f aca="false">F91*(1+g_oth_B)</f>
        <v>1681.059210048</v>
      </c>
    </row>
    <row r="92" customFormat="false" ht="17.15" hidden="false" customHeight="false" outlineLevel="0" collapsed="false">
      <c r="A92" s="5" t="s">
        <v>248</v>
      </c>
      <c r="B92" s="0" t="s">
        <v>41</v>
      </c>
      <c r="C92" s="16" t="n">
        <f aca="false">C89+C90+C91</f>
        <v>12156.162</v>
      </c>
      <c r="D92" s="16" t="n">
        <f aca="false">D89+D90+D91</f>
        <v>13579.476</v>
      </c>
      <c r="E92" s="16" t="n">
        <f aca="false">E89+E90+E91</f>
        <v>17772.5167931423</v>
      </c>
      <c r="F92" s="16" t="n">
        <f aca="false">F89+F90+F91</f>
        <v>19319.4518797974</v>
      </c>
      <c r="G92" s="16" t="n">
        <f aca="false">G89+G90+G91</f>
        <v>19886.6040386385</v>
      </c>
      <c r="H92" s="8" t="s">
        <v>404</v>
      </c>
    </row>
    <row r="93" customFormat="false" ht="17.15" hidden="false" customHeight="false" outlineLevel="0" collapsed="false">
      <c r="A93" s="5" t="s">
        <v>267</v>
      </c>
      <c r="B93" s="0" t="s">
        <v>41</v>
      </c>
      <c r="C93" s="16" t="n">
        <f aca="false">a25_gp</f>
        <v>7404.295</v>
      </c>
      <c r="D93" s="16" t="n">
        <f aca="false">a26_gp</f>
        <v>8324.416</v>
      </c>
      <c r="E93" s="16" t="n">
        <f aca="false">a26_gp+gm_inc*(E92-a26_rev)</f>
        <v>11035.0651523493</v>
      </c>
      <c r="F93" s="16" t="n">
        <f aca="false">a26_gp+gm_inc*(F92-a26_rev)</f>
        <v>12035.1027117832</v>
      </c>
      <c r="G93" s="16" t="n">
        <f aca="false">a26_gp+gm_inc*(G92-a26_rev)</f>
        <v>12401.7460607175</v>
      </c>
      <c r="H93" s="8" t="s">
        <v>405</v>
      </c>
    </row>
    <row r="94" customFormat="false" ht="15" hidden="false" customHeight="false" outlineLevel="0" collapsed="false">
      <c r="A94" s="5" t="s">
        <v>363</v>
      </c>
      <c r="B94" s="0" t="s">
        <v>26</v>
      </c>
      <c r="C94" s="10" t="n">
        <f aca="false">C93/C92</f>
        <v>0.609098085398994</v>
      </c>
      <c r="D94" s="10" t="n">
        <f aca="false">D93/D92</f>
        <v>0.613014522798965</v>
      </c>
      <c r="E94" s="10" t="n">
        <f aca="false">E93/E92</f>
        <v>0.620906159819035</v>
      </c>
      <c r="F94" s="10" t="n">
        <f aca="false">F93/F92</f>
        <v>0.622952596515873</v>
      </c>
      <c r="G94" s="10" t="n">
        <f aca="false">G93/G92</f>
        <v>0.623623120197982</v>
      </c>
    </row>
    <row r="95" customFormat="false" ht="15" hidden="false" customHeight="false" outlineLevel="0" collapsed="false">
      <c r="A95" s="5" t="s">
        <v>406</v>
      </c>
      <c r="B95" s="0" t="s">
        <v>41</v>
      </c>
      <c r="C95" s="16" t="n">
        <f aca="false">a25_opx</f>
        <v>2390.068</v>
      </c>
      <c r="D95" s="16" t="n">
        <f aca="false">a26_opx</f>
        <v>2663.636</v>
      </c>
      <c r="E95" s="16" t="n">
        <f aca="false">opex27</f>
        <v>2865</v>
      </c>
      <c r="F95" s="16" t="n">
        <f aca="false">E95*(1+g_opex_B)</f>
        <v>3008.25</v>
      </c>
      <c r="G95" s="16" t="n">
        <f aca="false">F95*(1+g_opex_B)</f>
        <v>3158.6625</v>
      </c>
    </row>
    <row r="96" customFormat="false" ht="17.15" hidden="false" customHeight="false" outlineLevel="0" collapsed="false">
      <c r="A96" s="5" t="s">
        <v>364</v>
      </c>
      <c r="B96" s="0" t="s">
        <v>41</v>
      </c>
      <c r="C96" s="16" t="n">
        <f aca="false">a25_oi</f>
        <v>4775.127</v>
      </c>
      <c r="D96" s="16" t="n">
        <f aca="false">D93-D95</f>
        <v>5660.78</v>
      </c>
      <c r="E96" s="16" t="n">
        <f aca="false">E93-E95</f>
        <v>8170.06515234927</v>
      </c>
      <c r="F96" s="16" t="n">
        <f aca="false">F93-F95</f>
        <v>9026.85271178325</v>
      </c>
      <c r="G96" s="16" t="n">
        <f aca="false">G93-G95</f>
        <v>9243.0835607175</v>
      </c>
      <c r="H96" s="8" t="s">
        <v>407</v>
      </c>
    </row>
    <row r="97" customFormat="false" ht="15" hidden="false" customHeight="false" outlineLevel="0" collapsed="false">
      <c r="A97" s="5" t="s">
        <v>365</v>
      </c>
      <c r="B97" s="0" t="s">
        <v>26</v>
      </c>
      <c r="C97" s="10" t="n">
        <f aca="false">C96/C92</f>
        <v>0.392815347475626</v>
      </c>
      <c r="D97" s="10" t="n">
        <f aca="false">D96/D92</f>
        <v>0.416862918716451</v>
      </c>
      <c r="E97" s="10" t="n">
        <f aca="false">E96/E92</f>
        <v>0.459702204670404</v>
      </c>
      <c r="F97" s="10" t="n">
        <f aca="false">F96/F92</f>
        <v>0.467241657162269</v>
      </c>
      <c r="G97" s="10" t="n">
        <f aca="false">G96/G92</f>
        <v>0.464789440306588</v>
      </c>
    </row>
    <row r="98" customFormat="false" ht="15" hidden="false" customHeight="false" outlineLevel="0" collapsed="false">
      <c r="A98" s="5" t="s">
        <v>408</v>
      </c>
      <c r="B98" s="0" t="s">
        <v>41</v>
      </c>
      <c r="C98" s="16" t="n">
        <f aca="false">a25_nonop</f>
        <v>-130.679</v>
      </c>
      <c r="D98" s="16" t="n">
        <f aca="false">a26_nonop</f>
        <v>-54.855</v>
      </c>
      <c r="E98" s="16" t="n">
        <f aca="false">oth_exp</f>
        <v>-100</v>
      </c>
      <c r="F98" s="16" t="n">
        <f aca="false">oth_exp</f>
        <v>-100</v>
      </c>
      <c r="G98" s="16" t="n">
        <f aca="false">oth_exp</f>
        <v>-100</v>
      </c>
    </row>
    <row r="99" customFormat="false" ht="15" hidden="false" customHeight="false" outlineLevel="0" collapsed="false">
      <c r="A99" s="5" t="s">
        <v>366</v>
      </c>
      <c r="B99" s="0" t="s">
        <v>41</v>
      </c>
      <c r="C99" s="16" t="n">
        <f aca="false">a25_ni</f>
        <v>4061.643</v>
      </c>
      <c r="D99" s="16" t="n">
        <f aca="false">a26_ni</f>
        <v>4830.771</v>
      </c>
      <c r="E99" s="16" t="n">
        <f aca="false">(E96+E98)*(1-tax)</f>
        <v>6899.90570525863</v>
      </c>
      <c r="F99" s="16" t="n">
        <f aca="false">(F96+F98)*(1-tax)</f>
        <v>7632.45906857467</v>
      </c>
      <c r="G99" s="16" t="n">
        <f aca="false">(G96+G98)*(1-tax)</f>
        <v>7817.33644441346</v>
      </c>
    </row>
    <row r="100" customFormat="false" ht="15" hidden="false" customHeight="false" outlineLevel="0" collapsed="false">
      <c r="A100" s="5" t="s">
        <v>409</v>
      </c>
      <c r="B100" s="5" t="s">
        <v>151</v>
      </c>
      <c r="C100" s="16" t="n">
        <f aca="false">a25_sh</f>
        <v>1337.502</v>
      </c>
      <c r="D100" s="16" t="n">
        <f aca="false">a26_sh</f>
        <v>1319.633</v>
      </c>
      <c r="E100" s="16" t="n">
        <f aca="false">shares27</f>
        <v>1312</v>
      </c>
      <c r="F100" s="16" t="n">
        <f aca="false">E100*(1-bb)</f>
        <v>1294.47170621053</v>
      </c>
      <c r="G100" s="16" t="n">
        <f aca="false">F100*(1-bb)</f>
        <v>1277.17759007592</v>
      </c>
    </row>
    <row r="101" customFormat="false" ht="17.15" hidden="false" customHeight="false" outlineLevel="0" collapsed="false">
      <c r="A101" s="0" t="s">
        <v>367</v>
      </c>
      <c r="B101" s="0" t="s">
        <v>169</v>
      </c>
      <c r="C101" s="13" t="n">
        <f aca="false">a25_eps</f>
        <v>3.04</v>
      </c>
      <c r="D101" s="13" t="n">
        <f aca="false">a26_eps</f>
        <v>3.66</v>
      </c>
      <c r="E101" s="13" t="n">
        <f aca="false">E99/E100</f>
        <v>5.25907447047151</v>
      </c>
      <c r="F101" s="13" t="n">
        <f aca="false">F99/F100</f>
        <v>5.89619613310678</v>
      </c>
      <c r="G101" s="13" t="n">
        <f aca="false">G99/G100</f>
        <v>6.12079048767898</v>
      </c>
    </row>
    <row r="102" customFormat="false" ht="17.15" hidden="false" customHeight="false" outlineLevel="0" collapsed="false">
      <c r="A102" s="5" t="s">
        <v>410</v>
      </c>
      <c r="B102" s="0" t="s">
        <v>41</v>
      </c>
      <c r="D102" s="20" t="n">
        <f aca="false">a26_rev*chn_sh26</f>
        <v>4073.8428</v>
      </c>
      <c r="E102" s="20" t="n">
        <f aca="false">E92*chn_sh26*(1-chn_cut*IF(2027=2027,0.5,1))</f>
        <v>5331.75503794268</v>
      </c>
      <c r="F102" s="20" t="n">
        <f aca="false">F92*chn_sh26*(1-chn_cut*IF(2028=2027,0.5,1))</f>
        <v>5795.83556393922</v>
      </c>
      <c r="G102" s="20" t="n">
        <f aca="false">G92*chn_sh26*(1-chn_cut*IF(2029=2027,0.5,1))</f>
        <v>5965.98121159154</v>
      </c>
      <c r="H102" s="5" t="s">
        <v>411</v>
      </c>
    </row>
    <row r="105" customFormat="false" ht="17.15" hidden="false" customHeight="false" outlineLevel="0" collapsed="false">
      <c r="A105" s="3" t="s">
        <v>414</v>
      </c>
    </row>
    <row r="106" customFormat="false" ht="17.15" hidden="false" customHeight="false" outlineLevel="0" collapsed="false">
      <c r="A106" s="6" t="s">
        <v>15</v>
      </c>
      <c r="B106" s="6" t="s">
        <v>16</v>
      </c>
      <c r="C106" s="14" t="s">
        <v>377</v>
      </c>
      <c r="D106" s="14" t="s">
        <v>378</v>
      </c>
      <c r="E106" s="14" t="s">
        <v>379</v>
      </c>
      <c r="F106" s="14" t="s">
        <v>380</v>
      </c>
      <c r="G106" s="14" t="s">
        <v>381</v>
      </c>
      <c r="H106" s="6" t="s">
        <v>306</v>
      </c>
    </row>
    <row r="107" customFormat="false" ht="17.15" hidden="false" customHeight="false" outlineLevel="0" collapsed="false">
      <c r="A107" s="1" t="s">
        <v>382</v>
      </c>
    </row>
    <row r="108" customFormat="false" ht="17.15" hidden="false" customHeight="false" outlineLevel="0" collapsed="false">
      <c r="A108" s="5" t="s">
        <v>383</v>
      </c>
      <c r="B108" s="0" t="s">
        <v>41</v>
      </c>
      <c r="C108" s="16" t="n">
        <f aca="false">(Units!C30+m_mem*Units!C33)*1000</f>
        <v>117874.05938505</v>
      </c>
      <c r="D108" s="16" t="n">
        <f aca="false">(Units!D30+m_mem*Units!D33)*1000</f>
        <v>157598.72745742</v>
      </c>
      <c r="E108" s="16" t="n">
        <f aca="false">(Units!E30+m_mem*Units!E33)*1000</f>
        <v>194734.950900524</v>
      </c>
      <c r="F108" s="16" t="n">
        <f aca="false">(Units!F30+m_mem*Units!F33)*1000</f>
        <v>155787.960720419</v>
      </c>
      <c r="G108" s="16" t="n">
        <f aca="false">(Units!G30+m_mem*Units!G33)*1000</f>
        <v>155787.960720419</v>
      </c>
      <c r="H108" s="5" t="s">
        <v>415</v>
      </c>
    </row>
    <row r="109" customFormat="false" ht="15" hidden="false" customHeight="false" outlineLevel="0" collapsed="false">
      <c r="A109" s="5" t="s">
        <v>385</v>
      </c>
      <c r="B109" s="0" t="s">
        <v>41</v>
      </c>
      <c r="C109" s="16" t="n">
        <f aca="false">Units!C34*1000</f>
        <v>3056.56934306569</v>
      </c>
      <c r="D109" s="16" t="n">
        <f aca="false">Units!D34*1000</f>
        <v>3350</v>
      </c>
      <c r="E109" s="16" t="n">
        <f aca="false">Units!E34*1000</f>
        <v>3795.39194286967</v>
      </c>
      <c r="F109" s="16" t="n">
        <f aca="false">Units!F34*1000</f>
        <v>3036.31355429574</v>
      </c>
      <c r="G109" s="16" t="n">
        <f aca="false">Units!G34*1000</f>
        <v>3036.31355429574</v>
      </c>
    </row>
    <row r="110" customFormat="false" ht="17.15" hidden="false" customHeight="false" outlineLevel="0" collapsed="false">
      <c r="A110" s="5" t="s">
        <v>386</v>
      </c>
      <c r="B110" s="0" t="s">
        <v>41</v>
      </c>
      <c r="D110" s="16" t="n">
        <f aca="false">h1_rev*(2+h2up)</f>
        <v>15559.8432</v>
      </c>
      <c r="H110" s="5" t="s">
        <v>387</v>
      </c>
    </row>
    <row r="111" customFormat="false" ht="17.15" hidden="false" customHeight="false" outlineLevel="0" collapsed="false">
      <c r="A111" s="5" t="s">
        <v>388</v>
      </c>
      <c r="B111" s="0" t="s">
        <v>41</v>
      </c>
      <c r="D111" s="16" t="n">
        <f aca="false">h1_svc*(2+g_svc_h2)</f>
        <v>3286.1223</v>
      </c>
    </row>
    <row r="112" customFormat="false" ht="17.15" hidden="false" customHeight="false" outlineLevel="0" collapsed="false">
      <c r="A112" s="0" t="s">
        <v>389</v>
      </c>
      <c r="B112" s="0" t="s">
        <v>41</v>
      </c>
      <c r="D112" s="16" t="n">
        <f aca="false">cy25_oth*(1+g_oth26)</f>
        <v>1528.965</v>
      </c>
    </row>
    <row r="113" customFormat="false" ht="17.15" hidden="false" customHeight="false" outlineLevel="0" collapsed="false">
      <c r="A113" s="5" t="s">
        <v>390</v>
      </c>
      <c r="B113" s="0" t="s">
        <v>41</v>
      </c>
      <c r="C113" s="16" t="n">
        <f aca="false">ap26/(1+ap_g26)</f>
        <v>647.058823529412</v>
      </c>
      <c r="D113" s="16" t="n">
        <f aca="false">ap26</f>
        <v>1100</v>
      </c>
      <c r="E113" s="16" t="n">
        <f aca="false">D113*(1+k_ap*(E109/D109-1))</f>
        <v>1392.49620128754</v>
      </c>
      <c r="F113" s="16" t="n">
        <f aca="false">E113*(1+k_ap*(F109/E109-1))</f>
        <v>835.49772077253</v>
      </c>
      <c r="G113" s="16" t="n">
        <f aca="false">F113*(1+k_ap*(G109/F109-1))</f>
        <v>835.49772077253</v>
      </c>
      <c r="H113" s="8" t="s">
        <v>391</v>
      </c>
    </row>
    <row r="114" customFormat="false" ht="17.15" hidden="false" customHeight="false" outlineLevel="0" collapsed="false">
      <c r="A114" s="5" t="s">
        <v>392</v>
      </c>
      <c r="B114" s="0" t="s">
        <v>41</v>
      </c>
      <c r="C114" s="16" t="n">
        <f aca="false">C116-C113</f>
        <v>7971.85117647059</v>
      </c>
      <c r="D114" s="16" t="n">
        <f aca="false">D116-D113</f>
        <v>9644.7559</v>
      </c>
      <c r="E114" s="16" t="n">
        <f aca="false">E115*E108</f>
        <v>12268.521584997</v>
      </c>
      <c r="F114" s="16" t="n">
        <f aca="false">F115*F108</f>
        <v>10103.9691180982</v>
      </c>
      <c r="G114" s="16" t="n">
        <f aca="false">G115*G108</f>
        <v>10401.6395977498</v>
      </c>
      <c r="H114" s="8" t="s">
        <v>393</v>
      </c>
    </row>
    <row r="115" customFormat="false" ht="17.15" hidden="false" customHeight="false" outlineLevel="0" collapsed="false">
      <c r="A115" s="5" t="s">
        <v>394</v>
      </c>
      <c r="B115" s="0" t="s">
        <v>26</v>
      </c>
      <c r="C115" s="21" t="n">
        <f aca="false">C114/C108</f>
        <v>0.0676302421250259</v>
      </c>
      <c r="D115" s="21" t="n">
        <f aca="false">D114/D108</f>
        <v>0.0611981838660836</v>
      </c>
      <c r="E115" s="21" t="n">
        <f aca="false">$D115*(1+pc_u)^1</f>
        <v>0.0630011280885271</v>
      </c>
      <c r="F115" s="21" t="n">
        <f aca="false">$D115*(1+pc_u)^2</f>
        <v>0.0648571883948786</v>
      </c>
      <c r="G115" s="21" t="n">
        <f aca="false">$D115*(1+pc_u)^3</f>
        <v>0.0667679296246569</v>
      </c>
      <c r="H115" s="8" t="s">
        <v>395</v>
      </c>
    </row>
    <row r="116" customFormat="false" ht="17.15" hidden="false" customHeight="false" outlineLevel="0" collapsed="false">
      <c r="A116" s="5" t="s">
        <v>396</v>
      </c>
      <c r="B116" s="0" t="s">
        <v>41</v>
      </c>
      <c r="C116" s="16" t="n">
        <f aca="false">cy25_sys</f>
        <v>8618.91</v>
      </c>
      <c r="D116" s="16" t="n">
        <f aca="false">D110-D111-D112</f>
        <v>10744.7559</v>
      </c>
      <c r="E116" s="16" t="n">
        <f aca="false">(E114+E113)*(1-chn_sh26*chn_cut)</f>
        <v>13661.0177862845</v>
      </c>
      <c r="F116" s="16" t="n">
        <f aca="false">(F114+F113)*(1-chn_sh26*chn_cut)</f>
        <v>10939.4668388707</v>
      </c>
      <c r="G116" s="16" t="n">
        <f aca="false">(G114+G113)*(1-chn_sh26*chn_cut)</f>
        <v>11237.1373185223</v>
      </c>
      <c r="H116" s="8" t="s">
        <v>397</v>
      </c>
    </row>
    <row r="117" customFormat="false" ht="17.15" hidden="false" customHeight="false" outlineLevel="0" collapsed="false">
      <c r="A117" s="5" t="s">
        <v>398</v>
      </c>
      <c r="B117" s="0" t="s">
        <v>26</v>
      </c>
      <c r="C117" s="10" t="n">
        <f aca="false">C115/kla_sh_pc</f>
        <v>0.116603865732803</v>
      </c>
      <c r="D117" s="10" t="n">
        <f aca="false">D115/kla_sh_pc</f>
        <v>0.105514110113937</v>
      </c>
      <c r="E117" s="10" t="n">
        <f aca="false">E115/kla_sh_pc</f>
        <v>0.108622634635392</v>
      </c>
      <c r="F117" s="10" t="n">
        <f aca="false">F115/kla_sh_pc</f>
        <v>0.11182273861186</v>
      </c>
      <c r="G117" s="10" t="n">
        <f aca="false">G115/kla_sh_pc</f>
        <v>0.115117120042512</v>
      </c>
      <c r="H117" s="8" t="s">
        <v>399</v>
      </c>
    </row>
    <row r="118" customFormat="false" ht="17.15" hidden="false" customHeight="false" outlineLevel="0" collapsed="false">
      <c r="A118" s="1" t="s">
        <v>400</v>
      </c>
    </row>
    <row r="119" customFormat="false" ht="17.15" hidden="false" customHeight="false" outlineLevel="0" collapsed="false">
      <c r="A119" s="5" t="s">
        <v>401</v>
      </c>
      <c r="B119" s="0" t="s">
        <v>41</v>
      </c>
      <c r="C119" s="16" t="n">
        <f aca="false">a25_sys</f>
        <v>8264.026</v>
      </c>
      <c r="D119" s="16" t="n">
        <f aca="false">a26_sys</f>
        <v>9119.058</v>
      </c>
      <c r="E119" s="16" t="n">
        <f aca="false">(D116-h1_sys)+0.5*E116</f>
        <v>12830.2277931423</v>
      </c>
      <c r="F119" s="16" t="n">
        <f aca="false">0.5*E116+0.5*F116</f>
        <v>12300.2423125776</v>
      </c>
      <c r="G119" s="16" t="n">
        <f aca="false">0.5*F116+0.5*G116</f>
        <v>11088.3020786965</v>
      </c>
      <c r="H119" s="8" t="s">
        <v>402</v>
      </c>
    </row>
    <row r="120" customFormat="false" ht="15" hidden="false" customHeight="false" outlineLevel="0" collapsed="false">
      <c r="A120" s="5" t="s">
        <v>254</v>
      </c>
      <c r="B120" s="0" t="s">
        <v>41</v>
      </c>
      <c r="C120" s="16" t="n">
        <f aca="false">a25_svc</f>
        <v>2683.308</v>
      </c>
      <c r="D120" s="16" t="n">
        <f aca="false">a26_svc</f>
        <v>3125.939</v>
      </c>
      <c r="E120" s="16" t="n">
        <f aca="false">D120*(1+g_svc_C)</f>
        <v>3438.5329</v>
      </c>
      <c r="F120" s="16" t="n">
        <f aca="false">E120*(1+g_svc_C)</f>
        <v>3782.38619</v>
      </c>
      <c r="G120" s="16" t="n">
        <f aca="false">F120*(1+g_svc_C)</f>
        <v>4160.624809</v>
      </c>
    </row>
    <row r="121" customFormat="false" ht="17.15" hidden="false" customHeight="false" outlineLevel="0" collapsed="false">
      <c r="A121" s="0" t="s">
        <v>403</v>
      </c>
      <c r="B121" s="0" t="s">
        <v>41</v>
      </c>
      <c r="C121" s="16" t="n">
        <f aca="false">a25_oth</f>
        <v>1208.828</v>
      </c>
      <c r="D121" s="16" t="n">
        <f aca="false">a26_oth</f>
        <v>1334.479</v>
      </c>
      <c r="E121" s="16" t="n">
        <f aca="false">D121*(1+g_oth_C)</f>
        <v>1334.479</v>
      </c>
      <c r="F121" s="16" t="n">
        <f aca="false">E121*(1+g_oth_C)</f>
        <v>1334.479</v>
      </c>
      <c r="G121" s="16" t="n">
        <f aca="false">F121*(1+g_oth_C)</f>
        <v>1334.479</v>
      </c>
    </row>
    <row r="122" customFormat="false" ht="17.15" hidden="false" customHeight="false" outlineLevel="0" collapsed="false">
      <c r="A122" s="5" t="s">
        <v>248</v>
      </c>
      <c r="B122" s="0" t="s">
        <v>41</v>
      </c>
      <c r="C122" s="16" t="n">
        <f aca="false">C119+C120+C121</f>
        <v>12156.162</v>
      </c>
      <c r="D122" s="16" t="n">
        <f aca="false">D119+D120+D121</f>
        <v>13579.476</v>
      </c>
      <c r="E122" s="16" t="n">
        <f aca="false">E119+E120+E121</f>
        <v>17603.2396931423</v>
      </c>
      <c r="F122" s="16" t="n">
        <f aca="false">F119+F120+F121</f>
        <v>17417.1075025776</v>
      </c>
      <c r="G122" s="16" t="n">
        <f aca="false">G119+G120+G121</f>
        <v>16583.4058876965</v>
      </c>
      <c r="H122" s="8" t="s">
        <v>404</v>
      </c>
    </row>
    <row r="123" customFormat="false" ht="17.15" hidden="false" customHeight="false" outlineLevel="0" collapsed="false">
      <c r="A123" s="5" t="s">
        <v>267</v>
      </c>
      <c r="B123" s="0" t="s">
        <v>41</v>
      </c>
      <c r="C123" s="16" t="n">
        <f aca="false">a25_gp</f>
        <v>7404.295</v>
      </c>
      <c r="D123" s="16" t="n">
        <f aca="false">a26_gp</f>
        <v>8324.416</v>
      </c>
      <c r="E123" s="16" t="n">
        <f aca="false">a26_gp+gm_inc*(E122-a26_rev)</f>
        <v>10925.6336322988</v>
      </c>
      <c r="F123" s="16" t="n">
        <f aca="false">a26_gp+gm_inc*(F122-a26_rev)</f>
        <v>10805.3059060806</v>
      </c>
      <c r="G123" s="16" t="n">
        <f aca="false">a26_gp+gm_inc*(G122-a26_rev)</f>
        <v>10266.3479786057</v>
      </c>
      <c r="H123" s="8" t="s">
        <v>405</v>
      </c>
    </row>
    <row r="124" customFormat="false" ht="15" hidden="false" customHeight="false" outlineLevel="0" collapsed="false">
      <c r="A124" s="5" t="s">
        <v>363</v>
      </c>
      <c r="B124" s="0" t="s">
        <v>26</v>
      </c>
      <c r="C124" s="10" t="n">
        <f aca="false">C123/C122</f>
        <v>0.609098085398994</v>
      </c>
      <c r="D124" s="10" t="n">
        <f aca="false">D123/D122</f>
        <v>0.613014522798965</v>
      </c>
      <c r="E124" s="10" t="n">
        <f aca="false">E123/E122</f>
        <v>0.62066039108444</v>
      </c>
      <c r="F124" s="10" t="n">
        <f aca="false">F123/F122</f>
        <v>0.62038463645479</v>
      </c>
      <c r="G124" s="10" t="n">
        <f aca="false">G123/G122</f>
        <v>0.619073551484528</v>
      </c>
    </row>
    <row r="125" customFormat="false" ht="15" hidden="false" customHeight="false" outlineLevel="0" collapsed="false">
      <c r="A125" s="5" t="s">
        <v>406</v>
      </c>
      <c r="B125" s="0" t="s">
        <v>41</v>
      </c>
      <c r="C125" s="16" t="n">
        <f aca="false">a25_opx</f>
        <v>2390.068</v>
      </c>
      <c r="D125" s="16" t="n">
        <f aca="false">a26_opx</f>
        <v>2663.636</v>
      </c>
      <c r="E125" s="16" t="n">
        <f aca="false">opex27</f>
        <v>2865</v>
      </c>
      <c r="F125" s="16" t="n">
        <f aca="false">E125*(1+g_opex_C)</f>
        <v>2922.3</v>
      </c>
      <c r="G125" s="16" t="n">
        <f aca="false">F125*(1+g_opex_C)</f>
        <v>2980.746</v>
      </c>
    </row>
    <row r="126" customFormat="false" ht="17.15" hidden="false" customHeight="false" outlineLevel="0" collapsed="false">
      <c r="A126" s="5" t="s">
        <v>364</v>
      </c>
      <c r="B126" s="0" t="s">
        <v>41</v>
      </c>
      <c r="C126" s="16" t="n">
        <f aca="false">a25_oi</f>
        <v>4775.127</v>
      </c>
      <c r="D126" s="16" t="n">
        <f aca="false">D123-D125</f>
        <v>5660.78</v>
      </c>
      <c r="E126" s="16" t="n">
        <f aca="false">E123-E125</f>
        <v>8060.63363229881</v>
      </c>
      <c r="F126" s="16" t="n">
        <f aca="false">F123-F125</f>
        <v>7883.00590608061</v>
      </c>
      <c r="G126" s="16" t="n">
        <f aca="false">G123-G125</f>
        <v>7285.60197860571</v>
      </c>
      <c r="H126" s="8" t="s">
        <v>407</v>
      </c>
    </row>
    <row r="127" customFormat="false" ht="15" hidden="false" customHeight="false" outlineLevel="0" collapsed="false">
      <c r="A127" s="5" t="s">
        <v>365</v>
      </c>
      <c r="B127" s="0" t="s">
        <v>26</v>
      </c>
      <c r="C127" s="10" t="n">
        <f aca="false">C126/C122</f>
        <v>0.392815347475626</v>
      </c>
      <c r="D127" s="10" t="n">
        <f aca="false">D126/D122</f>
        <v>0.416862918716451</v>
      </c>
      <c r="E127" s="10" t="n">
        <f aca="false">E126/E122</f>
        <v>0.457906258893868</v>
      </c>
      <c r="F127" s="10" t="n">
        <f aca="false">F126/F122</f>
        <v>0.452601323435248</v>
      </c>
      <c r="G127" s="10" t="n">
        <f aca="false">G126/G122</f>
        <v>0.439330860496577</v>
      </c>
    </row>
    <row r="128" customFormat="false" ht="15" hidden="false" customHeight="false" outlineLevel="0" collapsed="false">
      <c r="A128" s="5" t="s">
        <v>408</v>
      </c>
      <c r="B128" s="0" t="s">
        <v>41</v>
      </c>
      <c r="C128" s="16" t="n">
        <f aca="false">a25_nonop</f>
        <v>-130.679</v>
      </c>
      <c r="D128" s="16" t="n">
        <f aca="false">a26_nonop</f>
        <v>-54.855</v>
      </c>
      <c r="E128" s="16" t="n">
        <f aca="false">oth_exp</f>
        <v>-100</v>
      </c>
      <c r="F128" s="16" t="n">
        <f aca="false">oth_exp</f>
        <v>-100</v>
      </c>
      <c r="G128" s="16" t="n">
        <f aca="false">oth_exp</f>
        <v>-100</v>
      </c>
    </row>
    <row r="129" customFormat="false" ht="15" hidden="false" customHeight="false" outlineLevel="0" collapsed="false">
      <c r="A129" s="5" t="s">
        <v>366</v>
      </c>
      <c r="B129" s="0" t="s">
        <v>41</v>
      </c>
      <c r="C129" s="16" t="n">
        <f aca="false">a25_ni</f>
        <v>4061.643</v>
      </c>
      <c r="D129" s="16" t="n">
        <f aca="false">a26_ni</f>
        <v>4830.771</v>
      </c>
      <c r="E129" s="16" t="n">
        <f aca="false">(E126+E128)*(1-tax)</f>
        <v>6806.34175561548</v>
      </c>
      <c r="F129" s="16" t="n">
        <f aca="false">(F126+F128)*(1-tax)</f>
        <v>6654.47004969892</v>
      </c>
      <c r="G129" s="16" t="n">
        <f aca="false">(G126+G128)*(1-tax)</f>
        <v>6143.68969170788</v>
      </c>
    </row>
    <row r="130" customFormat="false" ht="15" hidden="false" customHeight="false" outlineLevel="0" collapsed="false">
      <c r="A130" s="5" t="s">
        <v>409</v>
      </c>
      <c r="B130" s="5" t="s">
        <v>151</v>
      </c>
      <c r="C130" s="16" t="n">
        <f aca="false">a25_sh</f>
        <v>1337.502</v>
      </c>
      <c r="D130" s="16" t="n">
        <f aca="false">a26_sh</f>
        <v>1319.633</v>
      </c>
      <c r="E130" s="16" t="n">
        <f aca="false">shares27</f>
        <v>1312</v>
      </c>
      <c r="F130" s="16" t="n">
        <f aca="false">E130*(1-bb)</f>
        <v>1294.47170621053</v>
      </c>
      <c r="G130" s="16" t="n">
        <f aca="false">F130*(1-bb)</f>
        <v>1277.17759007592</v>
      </c>
    </row>
    <row r="131" customFormat="false" ht="17.15" hidden="false" customHeight="false" outlineLevel="0" collapsed="false">
      <c r="A131" s="0" t="s">
        <v>367</v>
      </c>
      <c r="B131" s="0" t="s">
        <v>169</v>
      </c>
      <c r="C131" s="13" t="n">
        <f aca="false">a25_eps</f>
        <v>3.04</v>
      </c>
      <c r="D131" s="13" t="n">
        <f aca="false">a26_eps</f>
        <v>3.66</v>
      </c>
      <c r="E131" s="13" t="n">
        <f aca="false">E129/E130</f>
        <v>5.18776048446302</v>
      </c>
      <c r="F131" s="13" t="n">
        <f aca="false">F129/F130</f>
        <v>5.14068404722369</v>
      </c>
      <c r="G131" s="13" t="n">
        <f aca="false">G129/G130</f>
        <v>4.81036446258243</v>
      </c>
    </row>
    <row r="132" customFormat="false" ht="17.15" hidden="false" customHeight="false" outlineLevel="0" collapsed="false">
      <c r="A132" s="5" t="s">
        <v>410</v>
      </c>
      <c r="B132" s="0" t="s">
        <v>41</v>
      </c>
      <c r="D132" s="20" t="n">
        <f aca="false">a26_rev*chn_sh26</f>
        <v>4073.8428</v>
      </c>
      <c r="E132" s="20" t="n">
        <f aca="false">E122*chn_sh26*(1-chn_cut*IF(2027=2027,0.5,1))</f>
        <v>5280.97190794268</v>
      </c>
      <c r="F132" s="20" t="n">
        <f aca="false">F122*chn_sh26*(1-chn_cut*IF(2028=2027,0.5,1))</f>
        <v>5225.13225077328</v>
      </c>
      <c r="G132" s="20" t="n">
        <f aca="false">G122*chn_sh26*(1-chn_cut*IF(2029=2027,0.5,1))</f>
        <v>4975.02176630895</v>
      </c>
      <c r="H132" s="5" t="s">
        <v>411</v>
      </c>
    </row>
    <row r="135" customFormat="false" ht="17.15" hidden="false" customHeight="false" outlineLevel="0" collapsed="false">
      <c r="A135" s="3" t="s">
        <v>416</v>
      </c>
    </row>
    <row r="136" customFormat="false" ht="17.15" hidden="false" customHeight="false" outlineLevel="0" collapsed="false">
      <c r="A136" s="5" t="s">
        <v>417</v>
      </c>
    </row>
    <row r="137" customFormat="false" ht="17.15" hidden="false" customHeight="false" outlineLevel="0" collapsed="false">
      <c r="A137" s="6" t="s">
        <v>418</v>
      </c>
      <c r="B137" s="6" t="s">
        <v>16</v>
      </c>
      <c r="C137" s="14" t="s">
        <v>353</v>
      </c>
      <c r="D137" s="14" t="s">
        <v>354</v>
      </c>
      <c r="E137" s="14" t="s">
        <v>355</v>
      </c>
      <c r="F137" s="14" t="s">
        <v>356</v>
      </c>
      <c r="G137" s="14" t="s">
        <v>357</v>
      </c>
      <c r="H137" s="14" t="s">
        <v>419</v>
      </c>
      <c r="I137" s="14" t="s">
        <v>420</v>
      </c>
      <c r="J137" s="14" t="s">
        <v>421</v>
      </c>
      <c r="K137" s="6" t="s">
        <v>306</v>
      </c>
    </row>
    <row r="138" customFormat="false" ht="17.15" hidden="false" customHeight="false" outlineLevel="0" collapsed="false">
      <c r="A138" s="3" t="s">
        <v>422</v>
      </c>
    </row>
    <row r="139" customFormat="false" ht="17.15" hidden="false" customHeight="false" outlineLevel="0" collapsed="false">
      <c r="A139" s="5" t="s">
        <v>248</v>
      </c>
      <c r="B139" s="0" t="s">
        <v>41</v>
      </c>
      <c r="C139" s="20" t="n">
        <f aca="false">C5</f>
        <v>12156.162</v>
      </c>
      <c r="D139" s="20" t="n">
        <f aca="false">D5</f>
        <v>13579.476</v>
      </c>
      <c r="E139" s="20" t="n">
        <f aca="false">E5</f>
        <v>17888.4147331423</v>
      </c>
      <c r="F139" s="20" t="n">
        <f aca="false">F5</f>
        <v>20543.7828301909</v>
      </c>
      <c r="G139" s="20" t="n">
        <f aca="false">G5</f>
        <v>23222.7632215746</v>
      </c>
      <c r="H139" s="22" t="n">
        <f aca="false">G139*(1+H140)</f>
        <v>25706.1042909747</v>
      </c>
      <c r="I139" s="22" t="n">
        <f aca="false">H139*(1+I140)</f>
        <v>27851.7367888632</v>
      </c>
      <c r="J139" s="22" t="n">
        <f aca="false">I139*(1+J140)</f>
        <v>29522.840996195</v>
      </c>
      <c r="K139" s="8" t="s">
        <v>423</v>
      </c>
    </row>
    <row r="140" customFormat="false" ht="15" hidden="false" customHeight="false" outlineLevel="0" collapsed="false">
      <c r="A140" s="5" t="s">
        <v>424</v>
      </c>
      <c r="B140" s="0" t="s">
        <v>26</v>
      </c>
      <c r="D140" s="10" t="n">
        <f aca="false">D139/C139-1</f>
        <v>0.117085803891064</v>
      </c>
      <c r="E140" s="10" t="n">
        <f aca="false">E139/D139-1</f>
        <v>0.317312592410948</v>
      </c>
      <c r="F140" s="10" t="n">
        <f aca="false">F139/E139-1</f>
        <v>0.148440660430855</v>
      </c>
      <c r="G140" s="10" t="n">
        <f aca="false">G139/F139-1</f>
        <v>0.130403461403743</v>
      </c>
      <c r="H140" s="23" t="n">
        <f aca="false">$G140+((tp_g+0.02)-$G140)*1/3</f>
        <v>0.106935640935829</v>
      </c>
      <c r="I140" s="23" t="n">
        <f aca="false">$G140+((tp_g+0.02)-$G140)*2/3</f>
        <v>0.0834678204679144</v>
      </c>
      <c r="J140" s="23" t="n">
        <f aca="false">$G140+((tp_g+0.02)-$G140)*3/3</f>
        <v>0.06</v>
      </c>
    </row>
    <row r="141" customFormat="false" ht="17.15" hidden="false" customHeight="false" outlineLevel="0" collapsed="false">
      <c r="A141" s="5" t="s">
        <v>425</v>
      </c>
      <c r="B141" s="0" t="s">
        <v>26</v>
      </c>
      <c r="C141" s="10" t="n">
        <f aca="false">C142/C139</f>
        <v>0.334122151382978</v>
      </c>
      <c r="D141" s="10" t="n">
        <f aca="false">D142/D139</f>
        <v>0.355740604423912</v>
      </c>
      <c r="E141" s="10" t="n">
        <f aca="false">E142/E139</f>
        <v>0.389300319740895</v>
      </c>
      <c r="F141" s="10" t="n">
        <f aca="false">F142/F139</f>
        <v>0.400884886906411</v>
      </c>
      <c r="G141" s="10" t="n">
        <f aca="false">G142/G139</f>
        <v>0.40928774536224</v>
      </c>
      <c r="H141" s="23" t="n">
        <f aca="false">$G141+($G141-$G141)*1/3</f>
        <v>0.40928774536224</v>
      </c>
      <c r="I141" s="23" t="n">
        <f aca="false">$G141+($G141-$G141)*2/3</f>
        <v>0.40928774536224</v>
      </c>
      <c r="J141" s="23" t="n">
        <f aca="false">$G141+($G141-$G141)*3/3</f>
        <v>0.40928774536224</v>
      </c>
    </row>
    <row r="142" customFormat="false" ht="15" hidden="false" customHeight="false" outlineLevel="0" collapsed="false">
      <c r="A142" s="5" t="s">
        <v>426</v>
      </c>
      <c r="B142" s="0" t="s">
        <v>41</v>
      </c>
      <c r="C142" s="20" t="n">
        <f aca="false">C12</f>
        <v>4061.643</v>
      </c>
      <c r="D142" s="20" t="n">
        <f aca="false">D12</f>
        <v>4830.771</v>
      </c>
      <c r="E142" s="20" t="n">
        <f aca="false">E12</f>
        <v>6963.96557527001</v>
      </c>
      <c r="F142" s="20" t="n">
        <f aca="false">F12</f>
        <v>8235.69205651095</v>
      </c>
      <c r="G142" s="20" t="n">
        <f aca="false">G12</f>
        <v>9504.79240003942</v>
      </c>
      <c r="H142" s="22" t="n">
        <f aca="false">H139*H141</f>
        <v>10521.1934672996</v>
      </c>
      <c r="I142" s="22" t="n">
        <f aca="false">I139*I141</f>
        <v>11399.3745547364</v>
      </c>
      <c r="J142" s="22" t="n">
        <f aca="false">J139*J141</f>
        <v>12083.3370280206</v>
      </c>
    </row>
    <row r="143" customFormat="false" ht="17.15" hidden="false" customHeight="false" outlineLevel="0" collapsed="false">
      <c r="A143" s="0" t="s">
        <v>427</v>
      </c>
      <c r="B143" s="0" t="s">
        <v>169</v>
      </c>
      <c r="C143" s="13" t="n">
        <f aca="false">C13</f>
        <v>3.04</v>
      </c>
      <c r="D143" s="13" t="n">
        <f aca="false">D13</f>
        <v>3.66</v>
      </c>
      <c r="E143" s="13" t="n">
        <f aca="false">E13</f>
        <v>5.30790059090702</v>
      </c>
      <c r="F143" s="13" t="n">
        <f aca="false">F13</f>
        <v>6.36220321927337</v>
      </c>
      <c r="G143" s="13" t="n">
        <f aca="false">G13</f>
        <v>7.44202879372039</v>
      </c>
      <c r="H143" s="24" t="n">
        <f aca="false">$G143*H142/$G142</f>
        <v>8.23784691263977</v>
      </c>
      <c r="I143" s="24" t="n">
        <f aca="false">$G143*I142/$G142</f>
        <v>8.92544203978615</v>
      </c>
      <c r="J143" s="24" t="n">
        <f aca="false">$G143*J142/$G142</f>
        <v>9.46096856217332</v>
      </c>
    </row>
    <row r="145" customFormat="false" ht="17.15" hidden="false" customHeight="false" outlineLevel="0" collapsed="false">
      <c r="A145" s="3" t="s">
        <v>428</v>
      </c>
    </row>
    <row r="146" customFormat="false" ht="17.15" hidden="false" customHeight="false" outlineLevel="0" collapsed="false">
      <c r="A146" s="5" t="s">
        <v>248</v>
      </c>
      <c r="B146" s="0" t="s">
        <v>41</v>
      </c>
      <c r="C146" s="20" t="n">
        <f aca="false">C16</f>
        <v>12156.162</v>
      </c>
      <c r="D146" s="20" t="n">
        <f aca="false">D16</f>
        <v>13579.476</v>
      </c>
      <c r="E146" s="20" t="n">
        <f aca="false">E16</f>
        <v>17772.5167931423</v>
      </c>
      <c r="F146" s="20" t="n">
        <f aca="false">F16</f>
        <v>19319.4518797974</v>
      </c>
      <c r="G146" s="20" t="n">
        <f aca="false">G16</f>
        <v>19886.6040386385</v>
      </c>
      <c r="H146" s="22" t="n">
        <f aca="false">G146*(1+H147)</f>
        <v>20540.959946389</v>
      </c>
      <c r="I146" s="22" t="n">
        <f aca="false">H146*(1+I147)</f>
        <v>21289.7226792071</v>
      </c>
      <c r="J146" s="22" t="n">
        <f aca="false">I146*(1+J147)</f>
        <v>22141.3115863754</v>
      </c>
      <c r="K146" s="8" t="s">
        <v>423</v>
      </c>
    </row>
    <row r="147" customFormat="false" ht="15" hidden="false" customHeight="false" outlineLevel="0" collapsed="false">
      <c r="A147" s="5" t="s">
        <v>424</v>
      </c>
      <c r="B147" s="0" t="s">
        <v>26</v>
      </c>
      <c r="D147" s="10" t="n">
        <f aca="false">D146/C146-1</f>
        <v>0.117085803891064</v>
      </c>
      <c r="E147" s="10" t="n">
        <f aca="false">E146/D146-1</f>
        <v>0.308777805059802</v>
      </c>
      <c r="F147" s="10" t="n">
        <f aca="false">F146/E146-1</f>
        <v>0.087040856658638</v>
      </c>
      <c r="G147" s="10" t="n">
        <f aca="false">G146/F146-1</f>
        <v>0.0293565346661906</v>
      </c>
      <c r="H147" s="23" t="n">
        <f aca="false">$G147+((tp_g)-$G147)*1/3</f>
        <v>0.0329043564441271</v>
      </c>
      <c r="I147" s="23" t="n">
        <f aca="false">$G147+((tp_g)-$G147)*2/3</f>
        <v>0.0364521782220635</v>
      </c>
      <c r="J147" s="23" t="n">
        <f aca="false">$G147+((tp_g)-$G147)*3/3</f>
        <v>0.04</v>
      </c>
    </row>
    <row r="148" customFormat="false" ht="17.15" hidden="false" customHeight="false" outlineLevel="0" collapsed="false">
      <c r="A148" s="5" t="s">
        <v>425</v>
      </c>
      <c r="B148" s="0" t="s">
        <v>26</v>
      </c>
      <c r="C148" s="10" t="n">
        <f aca="false">C149/C146</f>
        <v>0.334122151382978</v>
      </c>
      <c r="D148" s="10" t="n">
        <f aca="false">D149/D146</f>
        <v>0.355740604423912</v>
      </c>
      <c r="E148" s="10" t="n">
        <f aca="false">E149/E146</f>
        <v>0.388234586331692</v>
      </c>
      <c r="F148" s="10" t="n">
        <f aca="false">F149/F146</f>
        <v>0.395066025478499</v>
      </c>
      <c r="G148" s="10" t="n">
        <f aca="false">G149/G146</f>
        <v>0.393095594865008</v>
      </c>
      <c r="H148" s="23" t="n">
        <f aca="false">$G148+(($G148+nim10)/2-$G148)*1/3</f>
        <v>0.373719749757175</v>
      </c>
      <c r="I148" s="23" t="n">
        <f aca="false">$G148+(($G148+nim10)/2-$G148)*2/3</f>
        <v>0.354343904649342</v>
      </c>
      <c r="J148" s="23" t="n">
        <f aca="false">$G148+(($G148+nim10)/2-$G148)*3/3</f>
        <v>0.334968059541509</v>
      </c>
    </row>
    <row r="149" customFormat="false" ht="15" hidden="false" customHeight="false" outlineLevel="0" collapsed="false">
      <c r="A149" s="5" t="s">
        <v>426</v>
      </c>
      <c r="B149" s="0" t="s">
        <v>41</v>
      </c>
      <c r="C149" s="20" t="n">
        <f aca="false">C23</f>
        <v>4061.643</v>
      </c>
      <c r="D149" s="20" t="n">
        <f aca="false">D23</f>
        <v>4830.771</v>
      </c>
      <c r="E149" s="20" t="n">
        <f aca="false">E23</f>
        <v>6899.90570525863</v>
      </c>
      <c r="F149" s="20" t="n">
        <f aca="false">F23</f>
        <v>7632.45906857467</v>
      </c>
      <c r="G149" s="20" t="n">
        <f aca="false">G23</f>
        <v>7817.33644441346</v>
      </c>
      <c r="H149" s="22" t="n">
        <f aca="false">H146*H148</f>
        <v>7676.56241093667</v>
      </c>
      <c r="I149" s="22" t="n">
        <f aca="false">I146*I148</f>
        <v>7543.88346305189</v>
      </c>
      <c r="J149" s="22" t="n">
        <f aca="false">J146*J148</f>
        <v>7416.63217779209</v>
      </c>
    </row>
    <row r="150" customFormat="false" ht="17.15" hidden="false" customHeight="false" outlineLevel="0" collapsed="false">
      <c r="A150" s="0" t="s">
        <v>427</v>
      </c>
      <c r="B150" s="0" t="s">
        <v>169</v>
      </c>
      <c r="C150" s="13" t="n">
        <f aca="false">C24</f>
        <v>3.04</v>
      </c>
      <c r="D150" s="13" t="n">
        <f aca="false">D24</f>
        <v>3.66</v>
      </c>
      <c r="E150" s="13" t="n">
        <f aca="false">E24</f>
        <v>5.25907447047151</v>
      </c>
      <c r="F150" s="13" t="n">
        <f aca="false">F24</f>
        <v>5.89619613310678</v>
      </c>
      <c r="G150" s="13" t="n">
        <f aca="false">G24</f>
        <v>6.12079048767898</v>
      </c>
      <c r="H150" s="24" t="n">
        <f aca="false">$G150*H149/$G149</f>
        <v>6.01056773199438</v>
      </c>
      <c r="I150" s="24" t="n">
        <f aca="false">$G150*I149/$G149</f>
        <v>5.90668323784436</v>
      </c>
      <c r="J150" s="24" t="n">
        <f aca="false">$G150*J149/$G149</f>
        <v>5.80704847581237</v>
      </c>
    </row>
    <row r="152" customFormat="false" ht="17.15" hidden="false" customHeight="false" outlineLevel="0" collapsed="false">
      <c r="A152" s="3" t="s">
        <v>429</v>
      </c>
    </row>
    <row r="153" customFormat="false" ht="17.15" hidden="false" customHeight="false" outlineLevel="0" collapsed="false">
      <c r="A153" s="5" t="s">
        <v>248</v>
      </c>
      <c r="B153" s="0" t="s">
        <v>41</v>
      </c>
      <c r="C153" s="20" t="n">
        <f aca="false">C27</f>
        <v>12156.162</v>
      </c>
      <c r="D153" s="20" t="n">
        <f aca="false">D27</f>
        <v>13579.476</v>
      </c>
      <c r="E153" s="20" t="n">
        <f aca="false">E27</f>
        <v>17603.2396931423</v>
      </c>
      <c r="F153" s="20" t="n">
        <f aca="false">F27</f>
        <v>17417.1075025776</v>
      </c>
      <c r="G153" s="20" t="n">
        <f aca="false">G27</f>
        <v>16583.4058876965</v>
      </c>
      <c r="H153" s="22" t="n">
        <f aca="false">G153*(1+H154)</f>
        <v>16164.7652825278</v>
      </c>
      <c r="I153" s="22" t="n">
        <f aca="false">H153*(1+I154)</f>
        <v>16122.3768294374</v>
      </c>
      <c r="J153" s="22" t="n">
        <f aca="false">I153*(1+J154)</f>
        <v>16444.8243660261</v>
      </c>
      <c r="K153" s="8" t="s">
        <v>423</v>
      </c>
    </row>
    <row r="154" customFormat="false" ht="15" hidden="false" customHeight="false" outlineLevel="0" collapsed="false">
      <c r="A154" s="5" t="s">
        <v>424</v>
      </c>
      <c r="B154" s="0" t="s">
        <v>26</v>
      </c>
      <c r="D154" s="10" t="n">
        <f aca="false">D153/C153-1</f>
        <v>0.117085803891064</v>
      </c>
      <c r="E154" s="10" t="n">
        <f aca="false">E153/D153-1</f>
        <v>0.2963121473275</v>
      </c>
      <c r="F154" s="10" t="n">
        <f aca="false">F153/E153-1</f>
        <v>-0.0105737462995039</v>
      </c>
      <c r="G154" s="10" t="n">
        <f aca="false">G153/F153-1</f>
        <v>-0.0478668237396892</v>
      </c>
      <c r="H154" s="23" t="n">
        <f aca="false">$G154+((tp_g-0.02)-$G154)*1/3</f>
        <v>-0.0252445491597928</v>
      </c>
      <c r="I154" s="23" t="n">
        <f aca="false">$G154+((tp_g-0.02)-$G154)*2/3</f>
        <v>-0.0026222745798964</v>
      </c>
      <c r="J154" s="23" t="n">
        <f aca="false">$G154+((tp_g-0.02)-$G154)*3/3</f>
        <v>0.02</v>
      </c>
    </row>
    <row r="155" customFormat="false" ht="17.15" hidden="false" customHeight="false" outlineLevel="0" collapsed="false">
      <c r="A155" s="5" t="s">
        <v>425</v>
      </c>
      <c r="B155" s="0" t="s">
        <v>26</v>
      </c>
      <c r="C155" s="10" t="n">
        <f aca="false">C156/C153</f>
        <v>0.334122151382978</v>
      </c>
      <c r="D155" s="10" t="n">
        <f aca="false">D156/D153</f>
        <v>0.355740604423912</v>
      </c>
      <c r="E155" s="10" t="n">
        <f aca="false">E156/E153</f>
        <v>0.3866527908648</v>
      </c>
      <c r="F155" s="10" t="n">
        <f aca="false">F156/F153</f>
        <v>0.382065164879651</v>
      </c>
      <c r="G155" s="10" t="n">
        <f aca="false">G156/G153</f>
        <v>0.370472129387244</v>
      </c>
      <c r="H155" s="23" t="n">
        <f aca="false">$G155+(nim10-$G155)*1/3</f>
        <v>0.339261594330832</v>
      </c>
      <c r="I155" s="23" t="n">
        <f aca="false">$G155+(nim10-$G155)*2/3</f>
        <v>0.308051059274421</v>
      </c>
      <c r="J155" s="23" t="n">
        <f aca="false">$G155+(nim10-$G155)*3/3</f>
        <v>0.27684052421801</v>
      </c>
    </row>
    <row r="156" customFormat="false" ht="15" hidden="false" customHeight="false" outlineLevel="0" collapsed="false">
      <c r="A156" s="5" t="s">
        <v>426</v>
      </c>
      <c r="B156" s="0" t="s">
        <v>41</v>
      </c>
      <c r="C156" s="20" t="n">
        <f aca="false">C34</f>
        <v>4061.643</v>
      </c>
      <c r="D156" s="20" t="n">
        <f aca="false">D34</f>
        <v>4830.771</v>
      </c>
      <c r="E156" s="20" t="n">
        <f aca="false">E34</f>
        <v>6806.34175561548</v>
      </c>
      <c r="F156" s="20" t="n">
        <f aca="false">F34</f>
        <v>6654.47004969892</v>
      </c>
      <c r="G156" s="20" t="n">
        <f aca="false">G34</f>
        <v>6143.68969170788</v>
      </c>
      <c r="H156" s="22" t="n">
        <f aca="false">H153*H155</f>
        <v>5484.08404173406</v>
      </c>
      <c r="I156" s="22" t="n">
        <f aca="false">I153*I155</f>
        <v>4966.51526032957</v>
      </c>
      <c r="J156" s="22" t="n">
        <f aca="false">J153*J155</f>
        <v>4552.59379816378</v>
      </c>
    </row>
    <row r="157" customFormat="false" ht="17.15" hidden="false" customHeight="false" outlineLevel="0" collapsed="false">
      <c r="A157" s="0" t="s">
        <v>427</v>
      </c>
      <c r="B157" s="0" t="s">
        <v>169</v>
      </c>
      <c r="C157" s="13" t="n">
        <f aca="false">C35</f>
        <v>3.04</v>
      </c>
      <c r="D157" s="13" t="n">
        <f aca="false">D35</f>
        <v>3.66</v>
      </c>
      <c r="E157" s="13" t="n">
        <f aca="false">E35</f>
        <v>5.18776048446302</v>
      </c>
      <c r="F157" s="13" t="n">
        <f aca="false">F35</f>
        <v>5.14068404722369</v>
      </c>
      <c r="G157" s="13" t="n">
        <f aca="false">G35</f>
        <v>4.81036446258243</v>
      </c>
      <c r="H157" s="24" t="n">
        <f aca="false">$G157*H156/$G156</f>
        <v>4.29390875971137</v>
      </c>
      <c r="I157" s="24" t="n">
        <f aca="false">$G157*I156/$G156</f>
        <v>3.88866458268685</v>
      </c>
      <c r="J157" s="24" t="n">
        <f aca="false">$G157*J156/$G156</f>
        <v>3.56457381772033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0" min="2" style="0" width="16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430</v>
      </c>
    </row>
    <row r="2" customFormat="false" ht="17.15" hidden="false" customHeight="false" outlineLevel="0" collapsed="false">
      <c r="A2" s="0" t="s">
        <v>431</v>
      </c>
    </row>
    <row r="3" customFormat="false" ht="17.15" hidden="false" customHeight="false" outlineLevel="0" collapsed="false">
      <c r="A3" s="5" t="s">
        <v>432</v>
      </c>
    </row>
    <row r="4" customFormat="false" ht="15" hidden="false" customHeight="false" outlineLevel="0" collapsed="false">
      <c r="A4" s="3" t="s">
        <v>433</v>
      </c>
    </row>
    <row r="5" customFormat="false" ht="15" hidden="false" customHeight="false" outlineLevel="0" collapsed="false">
      <c r="A5" s="6" t="s">
        <v>15</v>
      </c>
      <c r="B5" s="6" t="s">
        <v>434</v>
      </c>
      <c r="C5" s="6" t="s">
        <v>306</v>
      </c>
    </row>
    <row r="6" customFormat="false" ht="17.15" hidden="false" customHeight="false" outlineLevel="0" collapsed="false">
      <c r="A6" s="25" t="s">
        <v>435</v>
      </c>
      <c r="B6" s="26" t="n">
        <f aca="false">tp_wA*B8+tp_wB*B9+tp_wC*B10</f>
        <v>102.08226284068</v>
      </c>
      <c r="C6" s="25" t="s">
        <v>436</v>
      </c>
    </row>
    <row r="7" customFormat="false" ht="17.15" hidden="false" customHeight="false" outlineLevel="0" collapsed="false">
      <c r="A7" s="5" t="s">
        <v>437</v>
      </c>
      <c r="B7" s="10" t="n">
        <f aca="false">B6/px-1</f>
        <v>-0.298933707570359</v>
      </c>
      <c r="C7" s="5" t="s">
        <v>438</v>
      </c>
    </row>
    <row r="8" customFormat="false" ht="17.15" hidden="false" customHeight="false" outlineLevel="0" collapsed="false">
      <c r="A8" s="5" t="s">
        <v>439</v>
      </c>
      <c r="B8" s="13" t="n">
        <f aca="false">F62</f>
        <v>106.751879252491</v>
      </c>
      <c r="C8" s="5" t="s">
        <v>440</v>
      </c>
    </row>
    <row r="9" customFormat="false" ht="17.15" hidden="false" customHeight="false" outlineLevel="0" collapsed="false">
      <c r="A9" s="5" t="s">
        <v>441</v>
      </c>
      <c r="B9" s="13" t="n">
        <f aca="false">F69</f>
        <v>105.769893997901</v>
      </c>
      <c r="C9" s="5" t="s">
        <v>442</v>
      </c>
    </row>
    <row r="10" customFormat="false" ht="17.15" hidden="false" customHeight="false" outlineLevel="0" collapsed="false">
      <c r="A10" s="5" t="s">
        <v>443</v>
      </c>
      <c r="B10" s="13" t="n">
        <f aca="false">F76</f>
        <v>85.8587603299115</v>
      </c>
      <c r="C10" s="5" t="s">
        <v>444</v>
      </c>
    </row>
    <row r="11" customFormat="false" ht="17.15" hidden="false" customHeight="false" outlineLevel="0" collapsed="false">
      <c r="A11" s="5" t="s">
        <v>445</v>
      </c>
      <c r="B11" s="27" t="n">
        <f aca="false">tp_wA</f>
        <v>0.3</v>
      </c>
      <c r="C11" s="27" t="n">
        <f aca="false">tp_wB</f>
        <v>0.5</v>
      </c>
      <c r="D11" s="27" t="n">
        <f aca="false">tp_wC</f>
        <v>0.2</v>
      </c>
    </row>
    <row r="12" customFormat="false" ht="17.15" hidden="false" customHeight="false" outlineLevel="0" collapsed="false">
      <c r="A12" s="5" t="s">
        <v>446</v>
      </c>
      <c r="B12" s="0" t="s">
        <v>447</v>
      </c>
    </row>
    <row r="13" customFormat="false" ht="17.15" hidden="false" customHeight="false" outlineLevel="0" collapsed="false">
      <c r="A13" s="5" t="s">
        <v>448</v>
      </c>
      <c r="B13" s="27" t="n">
        <f aca="false">tp_wA+tp_wB+tp_wC</f>
        <v>1</v>
      </c>
    </row>
    <row r="16" customFormat="false" ht="17.15" hidden="false" customHeight="false" outlineLevel="0" collapsed="false">
      <c r="A16" s="1" t="s">
        <v>449</v>
      </c>
    </row>
    <row r="17" customFormat="false" ht="17.15" hidden="false" customHeight="false" outlineLevel="0" collapsed="false">
      <c r="A17" s="6" t="s">
        <v>450</v>
      </c>
      <c r="B17" s="6" t="s">
        <v>451</v>
      </c>
      <c r="C17" s="6" t="s">
        <v>452</v>
      </c>
      <c r="D17" s="6" t="s">
        <v>453</v>
      </c>
      <c r="E17" s="6" t="s">
        <v>20</v>
      </c>
      <c r="F17" s="6" t="s">
        <v>306</v>
      </c>
    </row>
    <row r="18" customFormat="false" ht="17.15" hidden="false" customHeight="false" outlineLevel="0" collapsed="false">
      <c r="A18" s="0" t="s">
        <v>454</v>
      </c>
      <c r="B18" s="18" t="n">
        <v>0.449</v>
      </c>
      <c r="C18" s="18" t="n">
        <v>0.449</v>
      </c>
      <c r="D18" s="10" t="n">
        <f aca="false">B18/C18-1</f>
        <v>0</v>
      </c>
      <c r="E18" s="8" t="s">
        <v>85</v>
      </c>
      <c r="F18" s="8" t="s">
        <v>455</v>
      </c>
    </row>
    <row r="19" customFormat="false" ht="17.15" hidden="false" customHeight="false" outlineLevel="0" collapsed="false">
      <c r="A19" s="0" t="s">
        <v>456</v>
      </c>
      <c r="B19" s="18" t="n">
        <v>0.588</v>
      </c>
      <c r="C19" s="18" t="n">
        <v>0.588</v>
      </c>
      <c r="D19" s="10" t="n">
        <f aca="false">B19/C19-1</f>
        <v>0</v>
      </c>
      <c r="E19" s="8" t="s">
        <v>85</v>
      </c>
      <c r="F19" s="8" t="s">
        <v>455</v>
      </c>
    </row>
    <row r="20" customFormat="false" ht="17.15" hidden="false" customHeight="false" outlineLevel="0" collapsed="false">
      <c r="A20" s="0" t="s">
        <v>457</v>
      </c>
      <c r="B20" s="18" t="n">
        <v>0.51</v>
      </c>
      <c r="C20" s="18" t="n">
        <v>0.51</v>
      </c>
      <c r="D20" s="10" t="n">
        <f aca="false">B20/C20-1</f>
        <v>0</v>
      </c>
      <c r="E20" s="8" t="s">
        <v>85</v>
      </c>
      <c r="F20" s="5" t="s">
        <v>458</v>
      </c>
    </row>
    <row r="21" customFormat="false" ht="17.15" hidden="false" customHeight="false" outlineLevel="0" collapsed="false">
      <c r="A21" s="0" t="s">
        <v>459</v>
      </c>
      <c r="B21" s="18" t="n">
        <v>0.749</v>
      </c>
      <c r="C21" s="18" t="n">
        <v>0.749</v>
      </c>
      <c r="D21" s="10" t="n">
        <f aca="false">B21/C21-1</f>
        <v>0</v>
      </c>
      <c r="E21" s="8" t="s">
        <v>85</v>
      </c>
      <c r="F21" s="8" t="s">
        <v>455</v>
      </c>
    </row>
    <row r="22" customFormat="false" ht="17.15" hidden="false" customHeight="false" outlineLevel="0" collapsed="false">
      <c r="A22" s="0" t="s">
        <v>460</v>
      </c>
      <c r="B22" s="18" t="n">
        <v>0.77</v>
      </c>
      <c r="C22" s="18" t="n">
        <v>0.77</v>
      </c>
      <c r="D22" s="10" t="n">
        <f aca="false">B22/C22-1</f>
        <v>0</v>
      </c>
      <c r="E22" s="8" t="s">
        <v>85</v>
      </c>
      <c r="F22" s="8" t="s">
        <v>455</v>
      </c>
    </row>
    <row r="23" customFormat="false" ht="17.15" hidden="false" customHeight="false" outlineLevel="0" collapsed="false">
      <c r="A23" s="0" t="s">
        <v>461</v>
      </c>
      <c r="B23" s="18" t="n">
        <v>1.337</v>
      </c>
      <c r="C23" s="18" t="n">
        <v>1.337</v>
      </c>
      <c r="D23" s="10" t="n">
        <f aca="false">B23/C23-1</f>
        <v>0</v>
      </c>
      <c r="E23" s="8" t="s">
        <v>85</v>
      </c>
      <c r="F23" s="8" t="s">
        <v>455</v>
      </c>
    </row>
    <row r="24" customFormat="false" ht="17.15" hidden="false" customHeight="false" outlineLevel="0" collapsed="false">
      <c r="A24" s="0" t="s">
        <v>462</v>
      </c>
      <c r="B24" s="18" t="n">
        <v>2.192</v>
      </c>
      <c r="C24" s="18" t="n">
        <v>2.192</v>
      </c>
      <c r="D24" s="10" t="n">
        <f aca="false">B24/C24-1</f>
        <v>0</v>
      </c>
      <c r="E24" s="8" t="s">
        <v>85</v>
      </c>
      <c r="F24" s="8" t="s">
        <v>455</v>
      </c>
    </row>
    <row r="25" customFormat="false" ht="17.15" hidden="false" customHeight="false" outlineLevel="0" collapsed="false">
      <c r="A25" s="0" t="s">
        <v>463</v>
      </c>
      <c r="B25" s="18" t="n">
        <v>2.415</v>
      </c>
      <c r="C25" s="18" t="n">
        <v>2.415</v>
      </c>
      <c r="D25" s="10" t="n">
        <f aca="false">B25/C25-1</f>
        <v>0</v>
      </c>
      <c r="E25" s="8" t="s">
        <v>85</v>
      </c>
      <c r="F25" s="8" t="s">
        <v>455</v>
      </c>
    </row>
    <row r="26" customFormat="false" ht="17.15" hidden="false" customHeight="false" outlineLevel="0" collapsed="false">
      <c r="A26" s="0" t="s">
        <v>464</v>
      </c>
      <c r="B26" s="18" t="n">
        <v>2.03</v>
      </c>
      <c r="C26" s="18" t="n">
        <v>2.028</v>
      </c>
      <c r="D26" s="10" t="n">
        <f aca="false">B26/C26-1</f>
        <v>0.000986193293885496</v>
      </c>
      <c r="E26" s="8" t="s">
        <v>85</v>
      </c>
      <c r="F26" s="8" t="s">
        <v>465</v>
      </c>
    </row>
    <row r="27" customFormat="false" ht="17.15" hidden="false" customHeight="false" outlineLevel="0" collapsed="false">
      <c r="A27" s="0" t="s">
        <v>466</v>
      </c>
      <c r="B27" s="18" t="n">
        <v>3.04</v>
      </c>
      <c r="C27" s="18" t="n">
        <v>3.037</v>
      </c>
      <c r="D27" s="10" t="n">
        <f aca="false">B27/C27-1</f>
        <v>0.000987816924596707</v>
      </c>
      <c r="E27" s="8" t="s">
        <v>85</v>
      </c>
      <c r="F27" s="5" t="s">
        <v>467</v>
      </c>
    </row>
    <row r="28" customFormat="false" ht="17.15" hidden="false" customHeight="false" outlineLevel="0" collapsed="false">
      <c r="A28" s="0" t="s">
        <v>468</v>
      </c>
      <c r="B28" s="18" t="n">
        <v>3.66</v>
      </c>
      <c r="C28" s="18" t="n">
        <v>3.66</v>
      </c>
      <c r="D28" s="10" t="n">
        <f aca="false">B28/C28-1</f>
        <v>0</v>
      </c>
      <c r="E28" s="8" t="s">
        <v>85</v>
      </c>
      <c r="F28" s="5" t="s">
        <v>469</v>
      </c>
    </row>
    <row r="29" customFormat="false" ht="17.15" hidden="false" customHeight="false" outlineLevel="0" collapsed="false">
      <c r="A29" s="1" t="s">
        <v>470</v>
      </c>
    </row>
    <row r="30" customFormat="false" ht="17.15" hidden="false" customHeight="false" outlineLevel="0" collapsed="false">
      <c r="A30" s="1" t="s">
        <v>471</v>
      </c>
    </row>
    <row r="31" customFormat="false" ht="17.15" hidden="false" customHeight="false" outlineLevel="0" collapsed="false">
      <c r="A31" s="6" t="s">
        <v>472</v>
      </c>
      <c r="B31" s="6" t="s">
        <v>473</v>
      </c>
      <c r="C31" s="6" t="s">
        <v>474</v>
      </c>
      <c r="D31" s="6" t="s">
        <v>475</v>
      </c>
      <c r="E31" s="14" t="s">
        <v>476</v>
      </c>
      <c r="F31" s="14" t="s">
        <v>477</v>
      </c>
      <c r="G31" s="14" t="s">
        <v>478</v>
      </c>
      <c r="H31" s="6" t="s">
        <v>479</v>
      </c>
      <c r="I31" s="6" t="s">
        <v>480</v>
      </c>
      <c r="J31" s="6" t="s">
        <v>20</v>
      </c>
      <c r="K31" s="6" t="s">
        <v>481</v>
      </c>
    </row>
    <row r="32" customFormat="false" ht="17.15" hidden="false" customHeight="false" outlineLevel="0" collapsed="false">
      <c r="A32" s="0" t="s">
        <v>482</v>
      </c>
      <c r="B32" s="28" t="n">
        <f aca="false">78.68/10</f>
        <v>7.868</v>
      </c>
      <c r="C32" s="29" t="n">
        <f aca="false">B19</f>
        <v>0.588</v>
      </c>
      <c r="D32" s="29" t="n">
        <f aca="false">B18</f>
        <v>0.449</v>
      </c>
      <c r="E32" s="17" t="n">
        <f aca="false">B32/C32</f>
        <v>13.3809523809524</v>
      </c>
      <c r="F32" s="17" t="n">
        <f aca="false">B32/D32</f>
        <v>17.5233853006682</v>
      </c>
      <c r="G32" s="30" t="n">
        <v>14.09</v>
      </c>
      <c r="H32" s="17" t="n">
        <f aca="false">E32-G32</f>
        <v>-0.709047619047619</v>
      </c>
      <c r="I32" s="28" t="n">
        <f aca="false">77.51/10</f>
        <v>7.751</v>
      </c>
      <c r="J32" s="8" t="s">
        <v>286</v>
      </c>
      <c r="K32" s="5" t="s">
        <v>483</v>
      </c>
    </row>
    <row r="33" customFormat="false" ht="17.15" hidden="false" customHeight="false" outlineLevel="0" collapsed="false">
      <c r="A33" s="0" t="s">
        <v>484</v>
      </c>
      <c r="B33" s="28" t="n">
        <f aca="false">105.07/10</f>
        <v>10.507</v>
      </c>
      <c r="C33" s="29" t="n">
        <f aca="false">B20</f>
        <v>0.51</v>
      </c>
      <c r="D33" s="29" t="n">
        <f aca="false">B19</f>
        <v>0.588</v>
      </c>
      <c r="E33" s="17" t="n">
        <f aca="false">B33/C33</f>
        <v>20.6019607843137</v>
      </c>
      <c r="F33" s="17" t="n">
        <f aca="false">B33/D33</f>
        <v>17.8690476190476</v>
      </c>
      <c r="G33" s="30" t="n">
        <v>25</v>
      </c>
      <c r="H33" s="17" t="n">
        <f aca="false">E33-G33</f>
        <v>-4.39803921568628</v>
      </c>
      <c r="I33" s="28" t="n">
        <f aca="false">103.76/10</f>
        <v>10.376</v>
      </c>
      <c r="J33" s="8" t="s">
        <v>286</v>
      </c>
      <c r="K33" s="5" t="s">
        <v>483</v>
      </c>
    </row>
    <row r="34" customFormat="false" ht="17.15" hidden="false" customHeight="false" outlineLevel="0" collapsed="false">
      <c r="A34" s="0" t="s">
        <v>485</v>
      </c>
      <c r="B34" s="28" t="n">
        <f aca="false">89.49/10</f>
        <v>8.949</v>
      </c>
      <c r="C34" s="29" t="n">
        <f aca="false">B21</f>
        <v>0.749</v>
      </c>
      <c r="D34" s="29" t="n">
        <f aca="false">B20</f>
        <v>0.51</v>
      </c>
      <c r="E34" s="17" t="n">
        <f aca="false">B34/C34</f>
        <v>11.9479305740988</v>
      </c>
      <c r="F34" s="17" t="n">
        <f aca="false">B34/D34</f>
        <v>17.5470588235294</v>
      </c>
      <c r="G34" s="30" t="n">
        <v>9.69</v>
      </c>
      <c r="H34" s="17" t="n">
        <f aca="false">E34-G34</f>
        <v>2.2579305740988</v>
      </c>
      <c r="I34" s="28" t="n">
        <f aca="false">88.61/10</f>
        <v>8.861</v>
      </c>
      <c r="J34" s="8" t="s">
        <v>286</v>
      </c>
      <c r="K34" s="5" t="s">
        <v>486</v>
      </c>
    </row>
    <row r="35" customFormat="false" ht="17.15" hidden="false" customHeight="false" outlineLevel="0" collapsed="false">
      <c r="A35" s="0" t="s">
        <v>487</v>
      </c>
      <c r="B35" s="28" t="n">
        <f aca="false">178.17/10</f>
        <v>17.817</v>
      </c>
      <c r="C35" s="29" t="n">
        <f aca="false">B22</f>
        <v>0.77</v>
      </c>
      <c r="D35" s="29" t="n">
        <f aca="false">B21</f>
        <v>0.749</v>
      </c>
      <c r="E35" s="17" t="n">
        <f aca="false">B35/C35</f>
        <v>23.138961038961</v>
      </c>
      <c r="F35" s="17" t="n">
        <f aca="false">B35/D35</f>
        <v>23.7877169559413</v>
      </c>
      <c r="G35" s="30" t="n">
        <v>24.94</v>
      </c>
      <c r="H35" s="17" t="n">
        <f aca="false">E35-G35</f>
        <v>-1.80103896103896</v>
      </c>
      <c r="I35" s="28" t="n">
        <f aca="false">176.85/10</f>
        <v>17.685</v>
      </c>
      <c r="J35" s="8" t="s">
        <v>286</v>
      </c>
      <c r="K35" s="5" t="s">
        <v>483</v>
      </c>
    </row>
    <row r="36" customFormat="false" ht="17.15" hidden="false" customHeight="false" outlineLevel="0" collapsed="false">
      <c r="A36" s="0" t="s">
        <v>488</v>
      </c>
      <c r="B36" s="28" t="n">
        <f aca="false">258.91/10</f>
        <v>25.891</v>
      </c>
      <c r="C36" s="29" t="n">
        <f aca="false">B23</f>
        <v>1.337</v>
      </c>
      <c r="D36" s="29" t="n">
        <f aca="false">B22</f>
        <v>0.77</v>
      </c>
      <c r="E36" s="17" t="n">
        <f aca="false">B36/C36</f>
        <v>19.3649962602842</v>
      </c>
      <c r="F36" s="17" t="n">
        <f aca="false">B36/D36</f>
        <v>33.6246753246753</v>
      </c>
      <c r="G36" s="30" t="n">
        <v>29.36</v>
      </c>
      <c r="H36" s="17" t="n">
        <f aca="false">E36-G36</f>
        <v>-9.99500373971578</v>
      </c>
      <c r="I36" s="28" t="n">
        <f aca="false">257.45/10</f>
        <v>25.745</v>
      </c>
      <c r="J36" s="8" t="s">
        <v>286</v>
      </c>
      <c r="K36" s="5" t="s">
        <v>483</v>
      </c>
    </row>
    <row r="37" customFormat="false" ht="17.15" hidden="false" customHeight="false" outlineLevel="0" collapsed="false">
      <c r="A37" s="0" t="s">
        <v>489</v>
      </c>
      <c r="B37" s="28" t="n">
        <f aca="false">430.11/10</f>
        <v>43.011</v>
      </c>
      <c r="C37" s="29" t="n">
        <f aca="false">B24</f>
        <v>2.192</v>
      </c>
      <c r="D37" s="29" t="n">
        <f aca="false">B23</f>
        <v>1.337</v>
      </c>
      <c r="E37" s="17" t="n">
        <f aca="false">B37/C37</f>
        <v>19.6218065693431</v>
      </c>
      <c r="F37" s="17" t="n">
        <f aca="false">B37/D37</f>
        <v>32.1697830964847</v>
      </c>
      <c r="G37" s="30" t="n">
        <v>22.06</v>
      </c>
      <c r="H37" s="17" t="n">
        <f aca="false">E37-G37</f>
        <v>-2.43819343065693</v>
      </c>
      <c r="I37" s="28" t="n">
        <f aca="false">428.18/10</f>
        <v>42.818</v>
      </c>
      <c r="J37" s="8" t="s">
        <v>286</v>
      </c>
      <c r="K37" s="5" t="s">
        <v>483</v>
      </c>
    </row>
    <row r="38" customFormat="false" ht="17.15" hidden="false" customHeight="false" outlineLevel="0" collapsed="false">
      <c r="A38" s="0" t="s">
        <v>490</v>
      </c>
      <c r="B38" s="28" t="n">
        <f aca="false">377.03/10</f>
        <v>37.703</v>
      </c>
      <c r="C38" s="29" t="n">
        <f aca="false">B25</f>
        <v>2.415</v>
      </c>
      <c r="D38" s="29" t="n">
        <f aca="false">B24</f>
        <v>2.192</v>
      </c>
      <c r="E38" s="17" t="n">
        <f aca="false">B38/C38</f>
        <v>15.6120082815735</v>
      </c>
      <c r="F38" s="17" t="n">
        <f aca="false">B38/D38</f>
        <v>17.2002737226277</v>
      </c>
      <c r="G38" s="30" t="n">
        <v>15.44</v>
      </c>
      <c r="H38" s="17" t="n">
        <f aca="false">E38-G38</f>
        <v>0.172008281573497</v>
      </c>
      <c r="I38" s="28" t="n">
        <f aca="false">375.83/10</f>
        <v>37.583</v>
      </c>
      <c r="J38" s="8" t="s">
        <v>286</v>
      </c>
      <c r="K38" s="5" t="s">
        <v>483</v>
      </c>
    </row>
    <row r="39" customFormat="false" ht="17.15" hidden="false" customHeight="false" outlineLevel="0" collapsed="false">
      <c r="A39" s="0" t="s">
        <v>491</v>
      </c>
      <c r="B39" s="28" t="n">
        <f aca="false">581.3/10</f>
        <v>58.13</v>
      </c>
      <c r="C39" s="29" t="n">
        <f aca="false">B26</f>
        <v>2.03</v>
      </c>
      <c r="D39" s="29" t="n">
        <f aca="false">B25</f>
        <v>2.415</v>
      </c>
      <c r="E39" s="17" t="n">
        <f aca="false">B39/C39</f>
        <v>28.6354679802956</v>
      </c>
      <c r="F39" s="17" t="n">
        <f aca="false">B39/D39</f>
        <v>24.0703933747412</v>
      </c>
      <c r="G39" s="30" t="n">
        <v>29.37</v>
      </c>
      <c r="H39" s="17" t="n">
        <f aca="false">E39-G39</f>
        <v>-0.734532019704435</v>
      </c>
      <c r="I39" s="28" t="n">
        <f aca="false">580.14/10</f>
        <v>58.014</v>
      </c>
      <c r="J39" s="8" t="s">
        <v>286</v>
      </c>
      <c r="K39" s="5" t="s">
        <v>483</v>
      </c>
    </row>
    <row r="40" customFormat="false" ht="17.15" hidden="false" customHeight="false" outlineLevel="0" collapsed="false">
      <c r="A40" s="0" t="s">
        <v>492</v>
      </c>
      <c r="B40" s="28" t="n">
        <f aca="false">630.12/10</f>
        <v>63.012</v>
      </c>
      <c r="C40" s="29" t="n">
        <f aca="false">B27</f>
        <v>3.04</v>
      </c>
      <c r="D40" s="29" t="n">
        <f aca="false">B26</f>
        <v>2.03</v>
      </c>
      <c r="E40" s="17" t="n">
        <f aca="false">B40/C40</f>
        <v>20.7276315789474</v>
      </c>
      <c r="F40" s="17" t="n">
        <f aca="false">B40/D40</f>
        <v>31.04039408867</v>
      </c>
      <c r="G40" s="30" t="n">
        <v>26.49</v>
      </c>
      <c r="H40" s="17" t="n">
        <f aca="false">E40-G40</f>
        <v>-5.76236842105263</v>
      </c>
      <c r="I40" s="28" t="n">
        <f aca="false">629.42/10</f>
        <v>62.942</v>
      </c>
      <c r="J40" s="8" t="s">
        <v>286</v>
      </c>
      <c r="K40" s="5" t="s">
        <v>483</v>
      </c>
    </row>
    <row r="41" customFormat="false" ht="17.15" hidden="false" customHeight="false" outlineLevel="0" collapsed="false">
      <c r="A41" s="0" t="s">
        <v>493</v>
      </c>
      <c r="B41" s="28" t="n">
        <f aca="false">1215.08/10</f>
        <v>121.508</v>
      </c>
      <c r="C41" s="29" t="n">
        <f aca="false">a26_eps</f>
        <v>3.66</v>
      </c>
      <c r="D41" s="29" t="n">
        <f aca="false">B27</f>
        <v>3.04</v>
      </c>
      <c r="E41" s="17" t="n">
        <f aca="false">B41/C41</f>
        <v>33.1989071038251</v>
      </c>
      <c r="F41" s="17" t="n">
        <f aca="false">B41/D41</f>
        <v>39.9697368421053</v>
      </c>
      <c r="G41" s="30" t="n">
        <v>35.36</v>
      </c>
      <c r="H41" s="17" t="n">
        <f aca="false">E41-G41</f>
        <v>-2.16109289617486</v>
      </c>
      <c r="I41" s="28" t="n">
        <f aca="false">1214.77/10</f>
        <v>121.477</v>
      </c>
      <c r="J41" s="8" t="s">
        <v>286</v>
      </c>
      <c r="K41" s="5" t="s">
        <v>494</v>
      </c>
    </row>
    <row r="43" customFormat="false" ht="17.15" hidden="false" customHeight="false" outlineLevel="0" collapsed="false">
      <c r="A43" s="5" t="s">
        <v>495</v>
      </c>
    </row>
    <row r="45" customFormat="false" ht="17.15" hidden="false" customHeight="false" outlineLevel="0" collapsed="false">
      <c r="A45" s="1" t="s">
        <v>496</v>
      </c>
    </row>
    <row r="46" customFormat="false" ht="17.15" hidden="false" customHeight="false" outlineLevel="0" collapsed="false">
      <c r="A46" s="6" t="s">
        <v>497</v>
      </c>
      <c r="B46" s="14" t="s">
        <v>476</v>
      </c>
      <c r="C46" s="14" t="s">
        <v>477</v>
      </c>
      <c r="D46" s="14" t="s">
        <v>498</v>
      </c>
      <c r="E46" s="6" t="s">
        <v>499</v>
      </c>
    </row>
    <row r="47" customFormat="false" ht="17.15" hidden="false" customHeight="false" outlineLevel="0" collapsed="false">
      <c r="A47" s="0" t="s">
        <v>500</v>
      </c>
      <c r="B47" s="17" t="n">
        <f aca="false">PERCENTILE(E32:E41,0.25)</f>
        <v>16.5502552762512</v>
      </c>
      <c r="C47" s="17" t="n">
        <f aca="false">PERCENTILE(F32:F41,0.25)</f>
        <v>17.627556022409</v>
      </c>
      <c r="D47" s="17" t="n">
        <f aca="false">PERCENTILE(G32:G41,0.25)</f>
        <v>17.095</v>
      </c>
      <c r="E47" s="5" t="s">
        <v>501</v>
      </c>
    </row>
    <row r="48" customFormat="false" ht="15" hidden="false" customHeight="false" outlineLevel="0" collapsed="false">
      <c r="A48" s="5" t="s">
        <v>502</v>
      </c>
      <c r="B48" s="17" t="n">
        <f aca="false">PERCENTILE(E32:E41,0.5)</f>
        <v>20.1118836768284</v>
      </c>
      <c r="C48" s="17" t="n">
        <f aca="false">PERCENTILE(F32:F41,0.5)</f>
        <v>23.9290551653412</v>
      </c>
      <c r="D48" s="17" t="n">
        <f aca="false">PERCENTILE(G32:G41,0.5)</f>
        <v>24.97</v>
      </c>
      <c r="E48" s="5" t="s">
        <v>503</v>
      </c>
    </row>
    <row r="49" customFormat="false" ht="17.15" hidden="false" customHeight="false" outlineLevel="0" collapsed="false">
      <c r="A49" s="0" t="s">
        <v>504</v>
      </c>
      <c r="B49" s="17" t="n">
        <f aca="false">PERCENTILE(E32:E41,0.75)</f>
        <v>22.5361286739576</v>
      </c>
      <c r="C49" s="17" t="n">
        <f aca="false">PERCENTILE(F32:F41,0.75)</f>
        <v>31.887435844531</v>
      </c>
      <c r="D49" s="17" t="n">
        <f aca="false">PERCENTILE(G32:G41,0.75)</f>
        <v>28.6425</v>
      </c>
      <c r="E49" s="5" t="s">
        <v>505</v>
      </c>
    </row>
    <row r="50" customFormat="false" ht="15" hidden="false" customHeight="false" outlineLevel="0" collapsed="false">
      <c r="A50" s="5" t="s">
        <v>506</v>
      </c>
      <c r="B50" s="0" t="n">
        <f aca="false">COUNT(E32:E41)</f>
        <v>10</v>
      </c>
      <c r="C50" s="0" t="n">
        <f aca="false">COUNT(F32:F41)</f>
        <v>10</v>
      </c>
      <c r="D50" s="0" t="n">
        <f aca="false">COUNT(G32:G41)</f>
        <v>10</v>
      </c>
    </row>
    <row r="51" customFormat="false" ht="17.15" hidden="false" customHeight="false" outlineLevel="0" collapsed="false">
      <c r="A51" s="5" t="s">
        <v>507</v>
      </c>
    </row>
    <row r="53" customFormat="false" ht="17.15" hidden="false" customHeight="false" outlineLevel="0" collapsed="false">
      <c r="A53" s="1" t="s">
        <v>508</v>
      </c>
    </row>
    <row r="54" customFormat="false" ht="17.15" hidden="false" customHeight="false" outlineLevel="0" collapsed="false">
      <c r="A54" s="5" t="s">
        <v>509</v>
      </c>
    </row>
    <row r="55" customFormat="false" ht="17.15" hidden="false" customHeight="false" outlineLevel="0" collapsed="false">
      <c r="A55" s="6" t="s">
        <v>510</v>
      </c>
      <c r="B55" s="6" t="s">
        <v>511</v>
      </c>
      <c r="C55" s="14" t="s">
        <v>512</v>
      </c>
      <c r="D55" s="6" t="s">
        <v>513</v>
      </c>
      <c r="E55" s="6" t="s">
        <v>514</v>
      </c>
      <c r="F55" s="14" t="s">
        <v>515</v>
      </c>
      <c r="G55" s="14" t="s">
        <v>516</v>
      </c>
      <c r="H55" s="14" t="s">
        <v>517</v>
      </c>
    </row>
    <row r="56" customFormat="false" ht="17.15" hidden="false" customHeight="false" outlineLevel="0" collapsed="false">
      <c r="A56" s="0" t="s">
        <v>518</v>
      </c>
      <c r="B56" s="0" t="n">
        <f aca="false">pk_A</f>
        <v>2029</v>
      </c>
      <c r="C56" s="7" t="n">
        <v>2027</v>
      </c>
      <c r="D56" s="0" t="str">
        <f aca="false">IF(C56&lt;pk_A,"中段",IF(C56=pk_A,"見頂","谷底"))</f>
        <v>中段</v>
      </c>
      <c r="E56" s="17" t="n">
        <f aca="false">IF(D56="見頂",pe_peak,IF(D56="谷底",pe_trough,pe_mid))</f>
        <v>20.1118836768284</v>
      </c>
      <c r="F56" s="17" t="n">
        <f aca="false">0.5*Units!D13+0.5*Units!E13</f>
        <v>198.191293165105</v>
      </c>
      <c r="G56" s="17" t="n">
        <f aca="false">0.5*Units!E13+0.5*Units!F13</f>
        <v>232.12708103452</v>
      </c>
      <c r="H56" s="0" t="str">
        <f aca="false">IF(AND(F56&gt;=G56,F56&gt;=0.5*Units!F13+0.5*Units!G13),"FY2027",IF(G56&gt;=0.5*Units!F13+0.5*Units!G13,"FY2028","FY2029 或之後"))</f>
        <v>FY2029 或之後</v>
      </c>
    </row>
    <row r="57" customFormat="false" ht="15" hidden="false" customHeight="false" outlineLevel="0" collapsed="false">
      <c r="A57" s="0" t="s">
        <v>519</v>
      </c>
      <c r="B57" s="0" t="n">
        <f aca="false">pk_B</f>
        <v>2028</v>
      </c>
      <c r="C57" s="7" t="n">
        <v>2027</v>
      </c>
      <c r="D57" s="0" t="str">
        <f aca="false">IF(C57&lt;pk_B,"中段",IF(C57=pk_B,"見頂","谷底"))</f>
        <v>中段</v>
      </c>
      <c r="E57" s="17" t="n">
        <f aca="false">IF(D57="見頂",pe_peak,IF(D57="谷底",pe_trough,pe_mid))</f>
        <v>20.1118836768284</v>
      </c>
      <c r="F57" s="17" t="n">
        <f aca="false">0.5*Units!D24+0.5*Units!E24</f>
        <v>198.191293165105</v>
      </c>
      <c r="G57" s="17" t="n">
        <f aca="false">0.5*Units!E24+0.5*Units!F24</f>
        <v>218.225535760082</v>
      </c>
      <c r="H57" s="0" t="str">
        <f aca="false">IF(AND(F57&gt;=G57,F57&gt;=0.5*Units!F24+0.5*Units!G24),"FY2027",IF(G57&gt;=0.5*Units!F24+0.5*Units!G24,"FY2028","FY2029 或之後"))</f>
        <v>FY2028</v>
      </c>
    </row>
    <row r="58" customFormat="false" ht="15" hidden="false" customHeight="false" outlineLevel="0" collapsed="false">
      <c r="A58" s="0" t="s">
        <v>520</v>
      </c>
      <c r="B58" s="0" t="n">
        <f aca="false">pk_C</f>
        <v>2027</v>
      </c>
      <c r="C58" s="7" t="n">
        <v>2027</v>
      </c>
      <c r="D58" s="0" t="str">
        <f aca="false">IF(C58&lt;pk_C,"中段",IF(C58=pk_C,"見頂","谷底"))</f>
        <v>見頂</v>
      </c>
      <c r="E58" s="17" t="n">
        <f aca="false">IF(D58="見頂",pe_peak,IF(D58="谷底",pe_trough,pe_mid))</f>
        <v>16.5502552762512</v>
      </c>
      <c r="F58" s="17" t="n">
        <f aca="false">0.5*Units!D35+0.5*Units!E35</f>
        <v>198.191293165105</v>
      </c>
      <c r="G58" s="17" t="n">
        <f aca="false">0.5*Units!E35+0.5*Units!F35</f>
        <v>196.402982184074</v>
      </c>
      <c r="H58" s="0" t="str">
        <f aca="false">IF(AND(F58&gt;=G58,F58&gt;=0.5*Units!F35+0.5*Units!G35),"FY2027",IF(G58&gt;=0.5*Units!F35+0.5*Units!G35,"FY2028","FY2029 或之後"))</f>
        <v>FY2027</v>
      </c>
    </row>
    <row r="60" customFormat="false" ht="17.15" hidden="false" customHeight="false" outlineLevel="0" collapsed="false">
      <c r="A60" s="1" t="s">
        <v>521</v>
      </c>
    </row>
    <row r="61" customFormat="false" ht="17.15" hidden="false" customHeight="false" outlineLevel="0" collapsed="false">
      <c r="A61" s="6" t="s">
        <v>510</v>
      </c>
      <c r="B61" s="14" t="s">
        <v>522</v>
      </c>
      <c r="C61" s="14" t="s">
        <v>523</v>
      </c>
      <c r="D61" s="6" t="s">
        <v>524</v>
      </c>
      <c r="E61" s="6" t="s">
        <v>514</v>
      </c>
      <c r="F61" s="6" t="s">
        <v>525</v>
      </c>
      <c r="G61" s="6" t="s">
        <v>526</v>
      </c>
      <c r="H61" s="6" t="s">
        <v>527</v>
      </c>
    </row>
    <row r="62" customFormat="false" ht="15" hidden="false" customHeight="false" outlineLevel="0" collapsed="false">
      <c r="A62" s="31" t="s">
        <v>518</v>
      </c>
      <c r="B62" s="31" t="s">
        <v>355</v>
      </c>
      <c r="C62" s="26" t="n">
        <f aca="false">PL!E13</f>
        <v>5.30790059090702</v>
      </c>
      <c r="D62" s="31" t="str">
        <f aca="false">"規則值："&amp;D56</f>
        <v>規則值：中段</v>
      </c>
      <c r="E62" s="32" t="n">
        <f aca="false">E56</f>
        <v>20.1118836768284</v>
      </c>
      <c r="F62" s="33" t="n">
        <f aca="false">C62*E62</f>
        <v>106.751879252491</v>
      </c>
      <c r="G62" s="34" t="n">
        <f aca="false">F62/px-1</f>
        <v>-0.266864368844924</v>
      </c>
      <c r="H62" s="31"/>
    </row>
    <row r="63" customFormat="false" ht="17.15" hidden="false" customHeight="false" outlineLevel="0" collapsed="false">
      <c r="A63" s="0" t="s">
        <v>518</v>
      </c>
      <c r="B63" s="0" t="s">
        <v>355</v>
      </c>
      <c r="C63" s="13" t="n">
        <f aca="false">PL!E13</f>
        <v>5.30790059090702</v>
      </c>
      <c r="D63" s="5" t="s">
        <v>528</v>
      </c>
      <c r="E63" s="17" t="n">
        <f aca="false">pe_peak</f>
        <v>16.5502552762512</v>
      </c>
      <c r="F63" s="16" t="n">
        <f aca="false">C63*E63</f>
        <v>87.8471097604757</v>
      </c>
      <c r="G63" s="27" t="n">
        <f aca="false">F63/px-1</f>
        <v>-0.39669590165184</v>
      </c>
    </row>
    <row r="64" customFormat="false" ht="15" hidden="false" customHeight="false" outlineLevel="0" collapsed="false">
      <c r="A64" s="0" t="s">
        <v>518</v>
      </c>
      <c r="B64" s="0" t="s">
        <v>355</v>
      </c>
      <c r="C64" s="13" t="n">
        <f aca="false">PL!E13</f>
        <v>5.30790059090702</v>
      </c>
      <c r="D64" s="5" t="s">
        <v>529</v>
      </c>
      <c r="E64" s="17" t="n">
        <f aca="false">pe_mid</f>
        <v>20.1118836768284</v>
      </c>
      <c r="F64" s="16" t="n">
        <f aca="false">C64*E64</f>
        <v>106.751879252491</v>
      </c>
      <c r="G64" s="27" t="n">
        <f aca="false">F64/px-1</f>
        <v>-0.266864368844924</v>
      </c>
    </row>
    <row r="65" customFormat="false" ht="17.15" hidden="false" customHeight="false" outlineLevel="0" collapsed="false">
      <c r="A65" s="0" t="s">
        <v>518</v>
      </c>
      <c r="B65" s="0" t="s">
        <v>355</v>
      </c>
      <c r="C65" s="13" t="n">
        <f aca="false">PL!E13</f>
        <v>5.30790059090702</v>
      </c>
      <c r="D65" s="5" t="s">
        <v>530</v>
      </c>
      <c r="E65" s="17" t="n">
        <f aca="false">pe_trough</f>
        <v>22.5361286739576</v>
      </c>
      <c r="F65" s="16" t="n">
        <f aca="false">C65*E65</f>
        <v>119.619530705256</v>
      </c>
      <c r="G65" s="27" t="n">
        <f aca="false">F65/px-1</f>
        <v>-0.178493711247467</v>
      </c>
    </row>
    <row r="66" customFormat="false" ht="17.15" hidden="false" customHeight="false" outlineLevel="0" collapsed="false">
      <c r="A66" s="0" t="s">
        <v>518</v>
      </c>
      <c r="B66" s="0" t="s">
        <v>356</v>
      </c>
      <c r="C66" s="13" t="n">
        <f aca="false">PL!F13</f>
        <v>6.36220321927337</v>
      </c>
      <c r="D66" s="5" t="s">
        <v>528</v>
      </c>
      <c r="E66" s="17" t="n">
        <f aca="false">pe_peak</f>
        <v>16.5502552762512</v>
      </c>
      <c r="F66" s="16" t="n">
        <f aca="false">C66*E66</f>
        <v>105.296087398361</v>
      </c>
      <c r="G66" s="27" t="n">
        <f aca="false">F66/px-1</f>
        <v>-0.276862252603795</v>
      </c>
    </row>
    <row r="67" customFormat="false" ht="15" hidden="false" customHeight="false" outlineLevel="0" collapsed="false">
      <c r="A67" s="0" t="s">
        <v>518</v>
      </c>
      <c r="B67" s="0" t="s">
        <v>356</v>
      </c>
      <c r="C67" s="13" t="n">
        <f aca="false">PL!F13</f>
        <v>6.36220321927337</v>
      </c>
      <c r="D67" s="5" t="s">
        <v>529</v>
      </c>
      <c r="E67" s="17" t="n">
        <f aca="false">pe_mid</f>
        <v>20.1118836768284</v>
      </c>
      <c r="F67" s="16" t="n">
        <f aca="false">C67*E67</f>
        <v>127.955891074369</v>
      </c>
      <c r="G67" s="27" t="n">
        <f aca="false">F67/px-1</f>
        <v>-0.12124242102624</v>
      </c>
    </row>
    <row r="68" customFormat="false" ht="17.15" hidden="false" customHeight="false" outlineLevel="0" collapsed="false">
      <c r="A68" s="0" t="s">
        <v>518</v>
      </c>
      <c r="B68" s="0" t="s">
        <v>356</v>
      </c>
      <c r="C68" s="13" t="n">
        <f aca="false">PL!F13</f>
        <v>6.36220321927337</v>
      </c>
      <c r="D68" s="5" t="s">
        <v>530</v>
      </c>
      <c r="E68" s="17" t="n">
        <f aca="false">pe_trough</f>
        <v>22.5361286739576</v>
      </c>
      <c r="F68" s="16" t="n">
        <f aca="false">C68*E68</f>
        <v>143.379430399412</v>
      </c>
      <c r="G68" s="27" t="n">
        <f aca="false">F68/px-1</f>
        <v>-0.0153187940429083</v>
      </c>
    </row>
    <row r="69" customFormat="false" ht="15" hidden="false" customHeight="false" outlineLevel="0" collapsed="false">
      <c r="A69" s="31" t="s">
        <v>519</v>
      </c>
      <c r="B69" s="31" t="s">
        <v>355</v>
      </c>
      <c r="C69" s="26" t="n">
        <f aca="false">PL!E24</f>
        <v>5.25907447047151</v>
      </c>
      <c r="D69" s="31" t="str">
        <f aca="false">"規則值："&amp;D57</f>
        <v>規則值：中段</v>
      </c>
      <c r="E69" s="32" t="n">
        <f aca="false">E57</f>
        <v>20.1118836768284</v>
      </c>
      <c r="F69" s="33" t="n">
        <f aca="false">C69*E69</f>
        <v>105.769893997901</v>
      </c>
      <c r="G69" s="34" t="n">
        <f aca="false">F69/px-1</f>
        <v>-0.273608309883243</v>
      </c>
      <c r="H69" s="31"/>
    </row>
    <row r="70" customFormat="false" ht="17.15" hidden="false" customHeight="false" outlineLevel="0" collapsed="false">
      <c r="A70" s="0" t="s">
        <v>519</v>
      </c>
      <c r="B70" s="0" t="s">
        <v>355</v>
      </c>
      <c r="C70" s="13" t="n">
        <f aca="false">PL!E24</f>
        <v>5.25907447047151</v>
      </c>
      <c r="D70" s="5" t="s">
        <v>528</v>
      </c>
      <c r="E70" s="17" t="n">
        <f aca="false">pe_peak</f>
        <v>16.5502552762512</v>
      </c>
      <c r="F70" s="16" t="n">
        <f aca="false">C70*E70</f>
        <v>87.039025003119</v>
      </c>
      <c r="G70" s="27" t="n">
        <f aca="false">F70/px-1</f>
        <v>-0.402245553168608</v>
      </c>
    </row>
    <row r="71" customFormat="false" ht="15" hidden="false" customHeight="false" outlineLevel="0" collapsed="false">
      <c r="A71" s="0" t="s">
        <v>519</v>
      </c>
      <c r="B71" s="0" t="s">
        <v>355</v>
      </c>
      <c r="C71" s="13" t="n">
        <f aca="false">PL!E24</f>
        <v>5.25907447047151</v>
      </c>
      <c r="D71" s="5" t="s">
        <v>529</v>
      </c>
      <c r="E71" s="17" t="n">
        <f aca="false">pe_mid</f>
        <v>20.1118836768284</v>
      </c>
      <c r="F71" s="16" t="n">
        <f aca="false">C71*E71</f>
        <v>105.769893997901</v>
      </c>
      <c r="G71" s="27" t="n">
        <f aca="false">F71/px-1</f>
        <v>-0.273608309883243</v>
      </c>
    </row>
    <row r="72" customFormat="false" ht="17.15" hidden="false" customHeight="false" outlineLevel="0" collapsed="false">
      <c r="A72" s="0" t="s">
        <v>519</v>
      </c>
      <c r="B72" s="0" t="s">
        <v>355</v>
      </c>
      <c r="C72" s="13" t="n">
        <f aca="false">PL!E24</f>
        <v>5.25907447047151</v>
      </c>
      <c r="D72" s="5" t="s">
        <v>530</v>
      </c>
      <c r="E72" s="17" t="n">
        <f aca="false">pe_trough</f>
        <v>22.5361286739576</v>
      </c>
      <c r="F72" s="16" t="n">
        <f aca="false">C72*E72</f>
        <v>118.519178972472</v>
      </c>
      <c r="G72" s="27" t="n">
        <f aca="false">F72/px-1</f>
        <v>-0.186050553035701</v>
      </c>
    </row>
    <row r="73" customFormat="false" ht="17.15" hidden="false" customHeight="false" outlineLevel="0" collapsed="false">
      <c r="A73" s="0" t="s">
        <v>519</v>
      </c>
      <c r="B73" s="0" t="s">
        <v>356</v>
      </c>
      <c r="C73" s="13" t="n">
        <f aca="false">PL!F24</f>
        <v>5.89619613310678</v>
      </c>
      <c r="D73" s="5" t="s">
        <v>528</v>
      </c>
      <c r="E73" s="17" t="n">
        <f aca="false">pe_peak</f>
        <v>16.5502552762512</v>
      </c>
      <c r="F73" s="16" t="n">
        <f aca="false">C73*E73</f>
        <v>97.5835511617622</v>
      </c>
      <c r="G73" s="27" t="n">
        <f aca="false">F73/px-1</f>
        <v>-0.329829330665736</v>
      </c>
    </row>
    <row r="74" customFormat="false" ht="15" hidden="false" customHeight="false" outlineLevel="0" collapsed="false">
      <c r="A74" s="0" t="s">
        <v>519</v>
      </c>
      <c r="B74" s="0" t="s">
        <v>356</v>
      </c>
      <c r="C74" s="13" t="n">
        <f aca="false">PL!F24</f>
        <v>5.89619613310678</v>
      </c>
      <c r="D74" s="5" t="s">
        <v>529</v>
      </c>
      <c r="E74" s="17" t="n">
        <f aca="false">pe_mid</f>
        <v>20.1118836768284</v>
      </c>
      <c r="F74" s="16" t="n">
        <f aca="false">C74*E74</f>
        <v>118.583610764809</v>
      </c>
      <c r="G74" s="27" t="n">
        <f aca="false">F74/px-1</f>
        <v>-0.185608057380614</v>
      </c>
    </row>
    <row r="75" customFormat="false" ht="17.15" hidden="false" customHeight="false" outlineLevel="0" collapsed="false">
      <c r="A75" s="0" t="s">
        <v>519</v>
      </c>
      <c r="B75" s="0" t="s">
        <v>356</v>
      </c>
      <c r="C75" s="13" t="n">
        <f aca="false">PL!F24</f>
        <v>5.89619613310678</v>
      </c>
      <c r="D75" s="5" t="s">
        <v>530</v>
      </c>
      <c r="E75" s="17" t="n">
        <f aca="false">pe_trough</f>
        <v>22.5361286739576</v>
      </c>
      <c r="F75" s="16" t="n">
        <f aca="false">C75*E75</f>
        <v>132.877434742586</v>
      </c>
      <c r="G75" s="27" t="n">
        <f aca="false">F75/px-1</f>
        <v>-0.0874429315116706</v>
      </c>
    </row>
    <row r="76" customFormat="false" ht="15" hidden="false" customHeight="false" outlineLevel="0" collapsed="false">
      <c r="A76" s="31" t="s">
        <v>520</v>
      </c>
      <c r="B76" s="31" t="s">
        <v>355</v>
      </c>
      <c r="C76" s="26" t="n">
        <f aca="false">PL!E35</f>
        <v>5.18776048446302</v>
      </c>
      <c r="D76" s="31" t="str">
        <f aca="false">"規則值："&amp;D58</f>
        <v>規則值：見頂</v>
      </c>
      <c r="E76" s="32" t="n">
        <f aca="false">E58</f>
        <v>16.5502552762512</v>
      </c>
      <c r="F76" s="33" t="n">
        <f aca="false">C76*E76</f>
        <v>85.8587603299115</v>
      </c>
      <c r="G76" s="34" t="n">
        <f aca="false">F76/px-1</f>
        <v>-0.410351209876303</v>
      </c>
      <c r="H76" s="31"/>
    </row>
    <row r="77" customFormat="false" ht="17.15" hidden="false" customHeight="false" outlineLevel="0" collapsed="false">
      <c r="A77" s="0" t="s">
        <v>520</v>
      </c>
      <c r="B77" s="0" t="s">
        <v>355</v>
      </c>
      <c r="C77" s="13" t="n">
        <f aca="false">PL!E35</f>
        <v>5.18776048446302</v>
      </c>
      <c r="D77" s="5" t="s">
        <v>528</v>
      </c>
      <c r="E77" s="17" t="n">
        <f aca="false">pe_peak</f>
        <v>16.5502552762512</v>
      </c>
      <c r="F77" s="16" t="n">
        <f aca="false">C77*E77</f>
        <v>85.8587603299115</v>
      </c>
      <c r="G77" s="27" t="n">
        <f aca="false">F77/px-1</f>
        <v>-0.410351209876303</v>
      </c>
    </row>
    <row r="78" customFormat="false" ht="15" hidden="false" customHeight="false" outlineLevel="0" collapsed="false">
      <c r="A78" s="0" t="s">
        <v>520</v>
      </c>
      <c r="B78" s="0" t="s">
        <v>355</v>
      </c>
      <c r="C78" s="13" t="n">
        <f aca="false">PL!E35</f>
        <v>5.18776048446302</v>
      </c>
      <c r="D78" s="5" t="s">
        <v>529</v>
      </c>
      <c r="E78" s="17" t="n">
        <f aca="false">pe_mid</f>
        <v>20.1118836768284</v>
      </c>
      <c r="F78" s="16" t="n">
        <f aca="false">C78*E78</f>
        <v>104.335635406767</v>
      </c>
      <c r="G78" s="27" t="n">
        <f aca="false">F78/px-1</f>
        <v>-0.283458310509119</v>
      </c>
    </row>
    <row r="79" customFormat="false" ht="17.15" hidden="false" customHeight="false" outlineLevel="0" collapsed="false">
      <c r="A79" s="0" t="s">
        <v>520</v>
      </c>
      <c r="B79" s="0" t="s">
        <v>355</v>
      </c>
      <c r="C79" s="13" t="n">
        <f aca="false">PL!E35</f>
        <v>5.18776048446302</v>
      </c>
      <c r="D79" s="5" t="s">
        <v>530</v>
      </c>
      <c r="E79" s="17" t="n">
        <f aca="false">pe_trough</f>
        <v>22.5361286739576</v>
      </c>
      <c r="F79" s="16" t="n">
        <f aca="false">C79*E79</f>
        <v>116.912037807531</v>
      </c>
      <c r="G79" s="27" t="n">
        <f aca="false">F79/px-1</f>
        <v>-0.197087852430936</v>
      </c>
    </row>
    <row r="80" customFormat="false" ht="17.15" hidden="false" customHeight="false" outlineLevel="0" collapsed="false">
      <c r="A80" s="0" t="s">
        <v>520</v>
      </c>
      <c r="B80" s="0" t="s">
        <v>356</v>
      </c>
      <c r="C80" s="13" t="n">
        <f aca="false">PL!F35</f>
        <v>5.14068404722369</v>
      </c>
      <c r="D80" s="5" t="s">
        <v>528</v>
      </c>
      <c r="E80" s="17" t="n">
        <f aca="false">pe_peak</f>
        <v>16.5502552762512</v>
      </c>
      <c r="F80" s="16" t="n">
        <f aca="false">C80*E80</f>
        <v>85.0796332761042</v>
      </c>
      <c r="G80" s="27" t="n">
        <f aca="false">F80/px-1</f>
        <v>-0.415701989725265</v>
      </c>
    </row>
    <row r="81" customFormat="false" ht="15" hidden="false" customHeight="false" outlineLevel="0" collapsed="false">
      <c r="A81" s="0" t="s">
        <v>520</v>
      </c>
      <c r="B81" s="0" t="s">
        <v>356</v>
      </c>
      <c r="C81" s="13" t="n">
        <f aca="false">PL!F35</f>
        <v>5.14068404722369</v>
      </c>
      <c r="D81" s="5" t="s">
        <v>529</v>
      </c>
      <c r="E81" s="17" t="n">
        <f aca="false">pe_mid</f>
        <v>20.1118836768284</v>
      </c>
      <c r="F81" s="16" t="n">
        <f aca="false">C81*E81</f>
        <v>103.38883957709</v>
      </c>
      <c r="G81" s="27" t="n">
        <f aca="false">F81/px-1</f>
        <v>-0.28996058253492</v>
      </c>
    </row>
    <row r="82" customFormat="false" ht="17.15" hidden="false" customHeight="false" outlineLevel="0" collapsed="false">
      <c r="A82" s="0" t="s">
        <v>520</v>
      </c>
      <c r="B82" s="0" t="s">
        <v>356</v>
      </c>
      <c r="C82" s="13" t="n">
        <f aca="false">PL!F35</f>
        <v>5.14068404722369</v>
      </c>
      <c r="D82" s="5" t="s">
        <v>530</v>
      </c>
      <c r="E82" s="17" t="n">
        <f aca="false">pe_trough</f>
        <v>22.5361286739576</v>
      </c>
      <c r="F82" s="16" t="n">
        <f aca="false">C82*E82</f>
        <v>115.851117160394</v>
      </c>
      <c r="G82" s="27" t="n">
        <f aca="false">F82/px-1</f>
        <v>-0.204373894922091</v>
      </c>
    </row>
    <row r="84" customFormat="false" ht="17.15" hidden="false" customHeight="false" outlineLevel="0" collapsed="false">
      <c r="A84" s="1" t="s">
        <v>531</v>
      </c>
    </row>
    <row r="85" customFormat="false" ht="15" hidden="false" customHeight="false" outlineLevel="0" collapsed="false">
      <c r="A85" s="6" t="s">
        <v>15</v>
      </c>
      <c r="B85" s="14" t="s">
        <v>518</v>
      </c>
      <c r="C85" s="14" t="s">
        <v>519</v>
      </c>
      <c r="D85" s="14" t="s">
        <v>520</v>
      </c>
      <c r="E85" s="6" t="s">
        <v>527</v>
      </c>
    </row>
    <row r="86" customFormat="false" ht="17.15" hidden="false" customHeight="false" outlineLevel="0" collapsed="false">
      <c r="A86" s="5" t="s">
        <v>532</v>
      </c>
      <c r="B86" s="13" t="n">
        <f aca="false">px</f>
        <v>145.61</v>
      </c>
      <c r="E86" s="8" t="s">
        <v>533</v>
      </c>
    </row>
    <row r="87" customFormat="false" ht="17.15" hidden="false" customHeight="false" outlineLevel="0" collapsed="false">
      <c r="A87" s="5" t="s">
        <v>534</v>
      </c>
      <c r="B87" s="17" t="n">
        <f aca="false">px/cons_eps27</f>
        <v>26.7665441176471</v>
      </c>
      <c r="E87" s="8" t="s">
        <v>535</v>
      </c>
    </row>
    <row r="88" customFormat="false" ht="17.15" hidden="false" customHeight="false" outlineLevel="0" collapsed="false">
      <c r="A88" s="5" t="s">
        <v>536</v>
      </c>
      <c r="B88" s="17" t="n">
        <f aca="false">px/a26_eps</f>
        <v>39.7841530054645</v>
      </c>
    </row>
    <row r="89" customFormat="false" ht="17.15" hidden="false" customHeight="false" outlineLevel="0" collapsed="false">
      <c r="A89" s="5" t="s">
        <v>537</v>
      </c>
      <c r="B89" s="17" t="n">
        <f aca="false">px/PL!E13</f>
        <v>27.4326916087021</v>
      </c>
      <c r="C89" s="17" t="n">
        <f aca="false">px/PL!E24</f>
        <v>27.6873812716603</v>
      </c>
      <c r="D89" s="17" t="n">
        <f aca="false">px/PL!E35</f>
        <v>28.0679881879843</v>
      </c>
      <c r="E89" s="8" t="s">
        <v>538</v>
      </c>
    </row>
    <row r="90" customFormat="false" ht="17.15" hidden="false" customHeight="false" outlineLevel="0" collapsed="false">
      <c r="A90" s="5" t="s">
        <v>539</v>
      </c>
      <c r="B90" s="17" t="n">
        <f aca="false">px/PL!F13</f>
        <v>22.8867257114478</v>
      </c>
      <c r="C90" s="17" t="n">
        <f aca="false">px/PL!F24</f>
        <v>24.6955828321939</v>
      </c>
      <c r="D90" s="17" t="n">
        <f aca="false">px/PL!F35</f>
        <v>28.3250241917978</v>
      </c>
      <c r="E90" s="8" t="s">
        <v>538</v>
      </c>
    </row>
    <row r="91" customFormat="false" ht="17.15" hidden="false" customHeight="false" outlineLevel="0" collapsed="false">
      <c r="A91" s="5" t="s">
        <v>540</v>
      </c>
      <c r="B91" s="13" t="n">
        <f aca="false">B89/E56</f>
        <v>1.36400409079077</v>
      </c>
      <c r="E91" s="8" t="s">
        <v>541</v>
      </c>
    </row>
    <row r="94" customFormat="false" ht="17.15" hidden="false" customHeight="false" outlineLevel="0" collapsed="false">
      <c r="A94" s="1" t="s">
        <v>542</v>
      </c>
    </row>
    <row r="95" customFormat="false" ht="17.15" hidden="false" customHeight="false" outlineLevel="0" collapsed="false">
      <c r="A95" s="1" t="s">
        <v>543</v>
      </c>
    </row>
    <row r="96" customFormat="false" ht="17.15" hidden="false" customHeight="false" outlineLevel="0" collapsed="false">
      <c r="A96" s="6" t="s">
        <v>15</v>
      </c>
      <c r="B96" s="14" t="s">
        <v>544</v>
      </c>
      <c r="C96" s="14" t="s">
        <v>545</v>
      </c>
      <c r="D96" s="14" t="s">
        <v>546</v>
      </c>
      <c r="E96" s="6" t="s">
        <v>306</v>
      </c>
    </row>
    <row r="97" customFormat="false" ht="17.15" hidden="false" customHeight="false" outlineLevel="0" collapsed="false">
      <c r="A97" s="5" t="s">
        <v>547</v>
      </c>
      <c r="E97" s="0" t="s">
        <v>548</v>
      </c>
    </row>
    <row r="98" customFormat="false" ht="15" hidden="false" customHeight="false" outlineLevel="0" collapsed="false">
      <c r="A98" s="0" t="s">
        <v>549</v>
      </c>
      <c r="B98" s="13" t="n">
        <f aca="false">PL!E143</f>
        <v>5.30790059090702</v>
      </c>
      <c r="C98" s="13" t="n">
        <f aca="false">PL!E150</f>
        <v>5.25907447047151</v>
      </c>
      <c r="D98" s="13" t="n">
        <f aca="false">PL!E157</f>
        <v>5.18776048446302</v>
      </c>
    </row>
    <row r="99" customFormat="false" ht="15" hidden="false" customHeight="false" outlineLevel="0" collapsed="false">
      <c r="A99" s="0" t="s">
        <v>550</v>
      </c>
      <c r="B99" s="13" t="n">
        <f aca="false">PL!F143</f>
        <v>6.36220321927337</v>
      </c>
      <c r="C99" s="13" t="n">
        <f aca="false">PL!F150</f>
        <v>5.89619613310678</v>
      </c>
      <c r="D99" s="13" t="n">
        <f aca="false">PL!F157</f>
        <v>5.14068404722369</v>
      </c>
    </row>
    <row r="100" customFormat="false" ht="15" hidden="false" customHeight="false" outlineLevel="0" collapsed="false">
      <c r="A100" s="0" t="s">
        <v>551</v>
      </c>
      <c r="B100" s="13" t="n">
        <f aca="false">PL!G143</f>
        <v>7.44202879372039</v>
      </c>
      <c r="C100" s="13" t="n">
        <f aca="false">PL!G150</f>
        <v>6.12079048767898</v>
      </c>
      <c r="D100" s="13" t="n">
        <f aca="false">PL!G157</f>
        <v>4.81036446258243</v>
      </c>
    </row>
    <row r="101" customFormat="false" ht="15" hidden="false" customHeight="false" outlineLevel="0" collapsed="false">
      <c r="A101" s="0" t="s">
        <v>552</v>
      </c>
      <c r="B101" s="13" t="n">
        <f aca="false">PL!H143</f>
        <v>8.23784691263977</v>
      </c>
      <c r="C101" s="13" t="n">
        <f aca="false">PL!H150</f>
        <v>6.01056773199438</v>
      </c>
      <c r="D101" s="13" t="n">
        <f aca="false">PL!H157</f>
        <v>4.29390875971137</v>
      </c>
    </row>
    <row r="102" customFormat="false" ht="15" hidden="false" customHeight="false" outlineLevel="0" collapsed="false">
      <c r="A102" s="0" t="s">
        <v>553</v>
      </c>
      <c r="B102" s="13" t="n">
        <f aca="false">PL!I143</f>
        <v>8.92544203978615</v>
      </c>
      <c r="C102" s="13" t="n">
        <f aca="false">PL!I150</f>
        <v>5.90668323784436</v>
      </c>
      <c r="D102" s="13" t="n">
        <f aca="false">PL!I157</f>
        <v>3.88866458268685</v>
      </c>
    </row>
    <row r="103" customFormat="false" ht="15" hidden="false" customHeight="false" outlineLevel="0" collapsed="false">
      <c r="A103" s="0" t="s">
        <v>554</v>
      </c>
      <c r="B103" s="13" t="n">
        <f aca="false">PL!J143</f>
        <v>9.46096856217332</v>
      </c>
      <c r="C103" s="13" t="n">
        <f aca="false">PL!J150</f>
        <v>5.80704847581237</v>
      </c>
      <c r="D103" s="13" t="n">
        <f aca="false">PL!J157</f>
        <v>3.56457381772033</v>
      </c>
    </row>
    <row r="104" customFormat="false" ht="17.15" hidden="false" customHeight="false" outlineLevel="0" collapsed="false">
      <c r="A104" s="5" t="s">
        <v>555</v>
      </c>
      <c r="E104" s="5" t="s">
        <v>556</v>
      </c>
    </row>
    <row r="105" customFormat="false" ht="17.15" hidden="false" customHeight="false" outlineLevel="0" collapsed="false">
      <c r="A105" s="5" t="s">
        <v>557</v>
      </c>
      <c r="B105" s="10" t="n">
        <f aca="false">MIN(tp_g/tp_roe,0.8)</f>
        <v>0.0434609394806418</v>
      </c>
      <c r="E105" s="8" t="s">
        <v>558</v>
      </c>
    </row>
    <row r="106" customFormat="false" ht="15" hidden="false" customHeight="false" outlineLevel="0" collapsed="false">
      <c r="A106" s="0" t="s">
        <v>549</v>
      </c>
      <c r="B106" s="13" t="n">
        <f aca="false">B98*(1-$B$105)</f>
        <v>5.07721424455635</v>
      </c>
      <c r="C106" s="13" t="n">
        <f aca="false">C98*(1-$B$105)</f>
        <v>5.03051015318616</v>
      </c>
      <c r="D106" s="13" t="n">
        <f aca="false">D98*(1-$B$105)</f>
        <v>4.96229554000771</v>
      </c>
    </row>
    <row r="107" customFormat="false" ht="15" hidden="false" customHeight="false" outlineLevel="0" collapsed="false">
      <c r="A107" s="0" t="s">
        <v>550</v>
      </c>
      <c r="B107" s="13" t="n">
        <f aca="false">B99*(1-$B$105)</f>
        <v>6.08569589019699</v>
      </c>
      <c r="C107" s="13" t="n">
        <f aca="false">C99*(1-$B$105)</f>
        <v>5.63994190979983</v>
      </c>
      <c r="D107" s="13" t="n">
        <f aca="false">D99*(1-$B$105)</f>
        <v>4.9172650889582</v>
      </c>
    </row>
    <row r="108" customFormat="false" ht="15" hidden="false" customHeight="false" outlineLevel="0" collapsed="false">
      <c r="A108" s="0" t="s">
        <v>551</v>
      </c>
      <c r="B108" s="13" t="n">
        <f aca="false">B100*(1-$B$105)</f>
        <v>7.11859123070331</v>
      </c>
      <c r="C108" s="13" t="n">
        <f aca="false">C100*(1-$B$105)</f>
        <v>5.85477518272028</v>
      </c>
      <c r="D108" s="13" t="n">
        <f aca="false">D100*(1-$B$105)</f>
        <v>4.60130150379431</v>
      </c>
    </row>
    <row r="109" customFormat="false" ht="15" hidden="false" customHeight="false" outlineLevel="0" collapsed="false">
      <c r="A109" s="0" t="s">
        <v>552</v>
      </c>
      <c r="B109" s="13" t="n">
        <f aca="false">B101*(1-$B$105)</f>
        <v>7.87982234651874</v>
      </c>
      <c r="C109" s="13" t="n">
        <f aca="false">C101*(1-$B$105)</f>
        <v>5.74934281154987</v>
      </c>
      <c r="D109" s="13" t="n">
        <f aca="false">D101*(1-$B$105)</f>
        <v>4.10729145097016</v>
      </c>
    </row>
    <row r="110" customFormat="false" ht="15" hidden="false" customHeight="false" outlineLevel="0" collapsed="false">
      <c r="A110" s="0" t="s">
        <v>553</v>
      </c>
      <c r="B110" s="13" t="n">
        <f aca="false">B102*(1-$B$105)</f>
        <v>8.53753394345703</v>
      </c>
      <c r="C110" s="13" t="n">
        <f aca="false">C102*(1-$B$105)</f>
        <v>5.64997323511308</v>
      </c>
      <c r="D110" s="13" t="n">
        <f aca="false">D102*(1-$B$105)</f>
        <v>3.71965956659818</v>
      </c>
    </row>
    <row r="111" customFormat="false" ht="15" hidden="false" customHeight="false" outlineLevel="0" collapsed="false">
      <c r="A111" s="0" t="s">
        <v>554</v>
      </c>
      <c r="B111" s="13" t="n">
        <f aca="false">B103*(1-$B$105)</f>
        <v>9.04978598006445</v>
      </c>
      <c r="C111" s="13" t="n">
        <f aca="false">C103*(1-$B$105)</f>
        <v>5.55466869344393</v>
      </c>
      <c r="D111" s="13" t="n">
        <f aca="false">D103*(1-$B$105)</f>
        <v>3.40965409075411</v>
      </c>
    </row>
    <row r="112" customFormat="false" ht="17.15" hidden="false" customHeight="false" outlineLevel="0" collapsed="false">
      <c r="A112" s="0" t="s">
        <v>559</v>
      </c>
      <c r="B112" s="13" t="n">
        <f aca="false">SUMPRODUCT(B106:B111,1/(1+tp_r)^{1;2;3;4;5;6})+B111*(1+tp_g)/(tp_r-tp_g)/(1+tp_r)^6</f>
        <v>119.330032631585</v>
      </c>
      <c r="C112" s="13" t="n">
        <f aca="false">SUMPRODUCT(C106:C111,1/(1+tp_r)^{1;2;3;4;5;6})+C111*(1+tp_g)/(tp_r-tp_g)/(1+tp_r)^6</f>
        <v>78.551683909775</v>
      </c>
      <c r="D112" s="13" t="n">
        <f aca="false">SUMPRODUCT(D106:D111,1/(1+tp_r)^{1;2;3;4;5;6})+D111*(1+tp_g)/(tp_r-tp_g)/(1+tp_r)^6</f>
        <v>52.4324592179001</v>
      </c>
      <c r="E112" s="8" t="s">
        <v>560</v>
      </c>
    </row>
    <row r="113" customFormat="false" ht="17.15" hidden="false" customHeight="false" outlineLevel="0" collapsed="false">
      <c r="A113" s="0" t="s">
        <v>561</v>
      </c>
      <c r="B113" s="13" t="n">
        <f aca="false">B112*(1+tp_r)</f>
        <v>131.263035894743</v>
      </c>
      <c r="C113" s="13" t="n">
        <f aca="false">C112*(1+tp_r)</f>
        <v>86.4068523007525</v>
      </c>
      <c r="D113" s="13" t="n">
        <f aca="false">D112*(1+tp_r)</f>
        <v>57.6757051396901</v>
      </c>
    </row>
    <row r="114" customFormat="false" ht="17.15" hidden="false" customHeight="false" outlineLevel="0" collapsed="false">
      <c r="A114" s="0" t="s">
        <v>562</v>
      </c>
      <c r="B114" s="26" t="n">
        <f aca="false">tp_wA*B113+tp_wB*C113+tp_wC*D113</f>
        <v>94.1174779467372</v>
      </c>
      <c r="E114" s="8" t="s">
        <v>563</v>
      </c>
    </row>
    <row r="116" customFormat="false" ht="17.15" hidden="false" customHeight="false" outlineLevel="0" collapsed="false">
      <c r="A116" s="1" t="s">
        <v>564</v>
      </c>
    </row>
    <row r="117" customFormat="false" ht="17.15" hidden="false" customHeight="false" outlineLevel="0" collapsed="false">
      <c r="A117" s="6" t="s">
        <v>565</v>
      </c>
      <c r="B117" s="6" t="s">
        <v>566</v>
      </c>
      <c r="C117" s="6" t="s">
        <v>567</v>
      </c>
      <c r="D117" s="6" t="s">
        <v>568</v>
      </c>
      <c r="E117" s="6" t="s">
        <v>569</v>
      </c>
      <c r="F117" s="6" t="s">
        <v>20</v>
      </c>
    </row>
    <row r="118" customFormat="false" ht="17.15" hidden="false" customHeight="false" outlineLevel="0" collapsed="false">
      <c r="A118" s="5" t="s">
        <v>570</v>
      </c>
      <c r="B118" s="0" t="s">
        <v>571</v>
      </c>
      <c r="C118" s="30" t="n">
        <v>21.39</v>
      </c>
      <c r="D118" s="8" t="s">
        <v>572</v>
      </c>
      <c r="E118" s="8" t="s">
        <v>573</v>
      </c>
      <c r="F118" s="8" t="s">
        <v>27</v>
      </c>
    </row>
    <row r="119" customFormat="false" ht="17.15" hidden="false" customHeight="false" outlineLevel="0" collapsed="false">
      <c r="A119" s="5" t="s">
        <v>574</v>
      </c>
      <c r="B119" s="0" t="s">
        <v>575</v>
      </c>
      <c r="C119" s="30" t="n">
        <v>22.39</v>
      </c>
      <c r="D119" s="8" t="s">
        <v>572</v>
      </c>
      <c r="E119" s="8" t="s">
        <v>573</v>
      </c>
      <c r="F119" s="8" t="s">
        <v>27</v>
      </c>
    </row>
    <row r="120" customFormat="false" ht="17.15" hidden="false" customHeight="false" outlineLevel="0" collapsed="false">
      <c r="A120" s="0" t="s">
        <v>576</v>
      </c>
      <c r="B120" s="0" t="s">
        <v>577</v>
      </c>
      <c r="C120" s="30" t="n">
        <v>24.74</v>
      </c>
      <c r="D120" s="8" t="s">
        <v>572</v>
      </c>
      <c r="E120" s="8" t="s">
        <v>573</v>
      </c>
      <c r="F120" s="8" t="s">
        <v>27</v>
      </c>
    </row>
    <row r="121" customFormat="false" ht="17.15" hidden="false" customHeight="false" outlineLevel="0" collapsed="false">
      <c r="A121" s="5" t="s">
        <v>578</v>
      </c>
      <c r="B121" s="0" t="s">
        <v>579</v>
      </c>
      <c r="C121" s="30" t="n">
        <v>27.09</v>
      </c>
      <c r="D121" s="8" t="s">
        <v>580</v>
      </c>
      <c r="E121" s="8" t="s">
        <v>573</v>
      </c>
      <c r="F121" s="8" t="s">
        <v>27</v>
      </c>
    </row>
    <row r="122" customFormat="false" ht="17.15" hidden="false" customHeight="false" outlineLevel="0" collapsed="false">
      <c r="A122" s="0" t="s">
        <v>581</v>
      </c>
      <c r="B122" s="0" t="s">
        <v>582</v>
      </c>
      <c r="C122" s="30" t="n">
        <v>34.02</v>
      </c>
      <c r="D122" s="8" t="s">
        <v>572</v>
      </c>
      <c r="E122" s="8" t="s">
        <v>573</v>
      </c>
      <c r="F122" s="8" t="s">
        <v>27</v>
      </c>
    </row>
    <row r="123" customFormat="false" ht="17.15" hidden="false" customHeight="false" outlineLevel="0" collapsed="false">
      <c r="A123" s="5" t="s">
        <v>583</v>
      </c>
      <c r="B123" s="17" t="n">
        <f aca="false">MEDIAN(C118:C122)</f>
        <v>24.74</v>
      </c>
      <c r="E123" s="5" t="s">
        <v>584</v>
      </c>
    </row>
    <row r="124" customFormat="false" ht="17.15" hidden="false" customHeight="false" outlineLevel="0" collapsed="false">
      <c r="A124" s="0" t="s">
        <v>585</v>
      </c>
      <c r="B124" s="13" t="n">
        <f aca="false">tp_wA*(8/12*B99+4/12*B100)+tp_wB*(8/12*C99+4/12*C100)+tp_wC*(8/12*D99+4/12*D100)</f>
        <v>6.00828948601079</v>
      </c>
      <c r="E124" s="5" t="s">
        <v>586</v>
      </c>
    </row>
    <row r="125" customFormat="false" ht="17.15" hidden="false" customHeight="false" outlineLevel="0" collapsed="false">
      <c r="A125" s="0" t="s">
        <v>587</v>
      </c>
      <c r="B125" s="26" t="n">
        <f aca="false">B123*B124</f>
        <v>148.645081883907</v>
      </c>
      <c r="E125" s="5" t="s">
        <v>588</v>
      </c>
    </row>
    <row r="127" customFormat="false" ht="17.15" hidden="false" customHeight="false" outlineLevel="0" collapsed="false">
      <c r="A127" s="1" t="s">
        <v>589</v>
      </c>
    </row>
    <row r="128" customFormat="false" ht="15" hidden="false" customHeight="false" outlineLevel="0" collapsed="false">
      <c r="A128" s="6" t="s">
        <v>15</v>
      </c>
      <c r="B128" s="6" t="s">
        <v>434</v>
      </c>
      <c r="C128" s="14"/>
      <c r="D128" s="14"/>
      <c r="E128" s="6" t="s">
        <v>306</v>
      </c>
    </row>
    <row r="129" customFormat="false" ht="17.15" hidden="false" customHeight="false" outlineLevel="0" collapsed="false">
      <c r="A129" s="5" t="s">
        <v>590</v>
      </c>
      <c r="B129" s="26" t="n">
        <f aca="false">tp_w_dcf*B114+(1-tp_w_dcf)*B125</f>
        <v>121.381279915322</v>
      </c>
      <c r="E129" s="8" t="s">
        <v>591</v>
      </c>
    </row>
    <row r="130" customFormat="false" ht="17.15" hidden="false" customHeight="false" outlineLevel="0" collapsed="false">
      <c r="A130" s="0" t="s">
        <v>592</v>
      </c>
      <c r="B130" s="13" t="n">
        <f aca="false">B125</f>
        <v>148.645081883907</v>
      </c>
      <c r="E130" s="5" t="s">
        <v>593</v>
      </c>
    </row>
    <row r="131" customFormat="false" ht="17.15" hidden="false" customHeight="false" outlineLevel="0" collapsed="false">
      <c r="A131" s="5" t="s">
        <v>594</v>
      </c>
      <c r="B131" s="13" t="n">
        <f aca="false">cons_tp</f>
        <v>232.38</v>
      </c>
      <c r="E131" s="8" t="s">
        <v>233</v>
      </c>
    </row>
    <row r="132" customFormat="false" ht="17.15" hidden="false" customHeight="false" outlineLevel="0" collapsed="false">
      <c r="A132" s="5" t="s">
        <v>595</v>
      </c>
      <c r="B132" s="10" t="n">
        <f aca="false">B129/px-1</f>
        <v>-0.166394616335952</v>
      </c>
      <c r="E132" s="5" t="s">
        <v>596</v>
      </c>
    </row>
    <row r="133" customFormat="false" ht="17.15" hidden="false" customHeight="false" outlineLevel="0" collapsed="false">
      <c r="A133" s="5" t="s">
        <v>597</v>
      </c>
      <c r="B133" s="10" t="n">
        <f aca="false">B130/px-1</f>
        <v>0.0208439110219556</v>
      </c>
    </row>
    <row r="134" customFormat="false" ht="17.15" hidden="false" customHeight="false" outlineLevel="0" collapsed="false">
      <c r="A134" s="5" t="s">
        <v>598</v>
      </c>
      <c r="B134" s="10" t="n">
        <f aca="false">B124/cons_feps-1</f>
        <v>-0.108562390799586</v>
      </c>
      <c r="E134" s="5" t="s">
        <v>599</v>
      </c>
    </row>
    <row r="135" customFormat="false" ht="17.15" hidden="false" customHeight="false" outlineLevel="0" collapsed="false">
      <c r="A135" s="5" t="s">
        <v>600</v>
      </c>
      <c r="B135" s="10" t="n">
        <f aca="false">(cons_tp/cons_feps)/B123-1</f>
        <v>0.393603266253907</v>
      </c>
      <c r="E135" s="0" t="str">
        <f aca="false">"共識目標價 ÷ 共識前瞻 EPS 隱含 "&amp;TEXT(cons_tp/cons_feps,"0.0")&amp;"x，同業中位數 "&amp;TEXT(B123,"0.0")&amp;"x"</f>
        <v>共識目標價 ÷ 共識前瞻 EPS 隱含 34.5x，同業中位數 24.7x</v>
      </c>
    </row>
    <row r="136" customFormat="false" ht="17.15" hidden="false" customHeight="false" outlineLevel="0" collapsed="false">
      <c r="A136" s="5" t="s">
        <v>601</v>
      </c>
      <c r="B136" s="35" t="str">
        <f aca="false">TEXT(D113,"0.00")&amp;"～"&amp;TEXT(B113,"0.00")</f>
        <v>57.68～131.26</v>
      </c>
      <c r="E136" s="8" t="s">
        <v>602</v>
      </c>
    </row>
    <row r="137" customFormat="false" ht="17.15" hidden="false" customHeight="false" outlineLevel="0" collapsed="false">
      <c r="A137" s="5" t="s">
        <v>603</v>
      </c>
      <c r="B137" s="27" t="n">
        <f aca="false">IF(px/B99&lt;MIN(E32:E41),0,IF(px/B99&gt;MAX(E32:E41),1,PERCENTRANK(E32:E41,px/B99)))</f>
        <v>0.766</v>
      </c>
      <c r="C137" s="27" t="n">
        <f aca="false">IF(px/C99&lt;MIN(E32:E41),0,IF(px/C99&gt;MAX(E32:E41),1,PERCENTRANK(E32:E41,px/C99)))</f>
        <v>0.809</v>
      </c>
      <c r="D137" s="27" t="n">
        <f aca="false">IF(px/D99&lt;MIN(E32:E41),0,IF(px/D99&gt;MAX(E32:E41),1,PERCENTRANK(E32:E41,px/D99)))</f>
        <v>0.883</v>
      </c>
      <c r="E137" s="5" t="s">
        <v>604</v>
      </c>
    </row>
    <row r="138" customFormat="false" ht="17.15" hidden="false" customHeight="false" outlineLevel="0" collapsed="false">
      <c r="A138" s="5" t="s">
        <v>605</v>
      </c>
      <c r="B138" s="0" t="s">
        <v>606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8" min="2" style="0" width="12"/>
    <col collapsed="false" customWidth="true" hidden="false" outlineLevel="0" max="9" min="9" style="0" width="40"/>
    <col collapsed="false" customWidth="true" hidden="false" outlineLevel="0" max="10" min="10" style="0" width="80"/>
  </cols>
  <sheetData>
    <row r="1" customFormat="false" ht="17.15" hidden="false" customHeight="false" outlineLevel="0" collapsed="false">
      <c r="A1" s="0" t="s">
        <v>607</v>
      </c>
    </row>
    <row r="3" customFormat="false" ht="17.15" hidden="false" customHeight="false" outlineLevel="0" collapsed="false">
      <c r="A3" s="6" t="s">
        <v>15</v>
      </c>
      <c r="B3" s="6" t="s">
        <v>608</v>
      </c>
      <c r="C3" s="6" t="s">
        <v>609</v>
      </c>
      <c r="D3" s="6" t="s">
        <v>610</v>
      </c>
      <c r="E3" s="6" t="s">
        <v>611</v>
      </c>
      <c r="F3" s="6" t="s">
        <v>612</v>
      </c>
      <c r="G3" s="6" t="s">
        <v>613</v>
      </c>
      <c r="H3" s="6" t="s">
        <v>614</v>
      </c>
      <c r="I3" s="6" t="s">
        <v>615</v>
      </c>
      <c r="J3" s="6" t="s">
        <v>306</v>
      </c>
    </row>
    <row r="4" customFormat="false" ht="17.15" hidden="false" customHeight="false" outlineLevel="0" collapsed="false">
      <c r="A4" s="1" t="s">
        <v>616</v>
      </c>
    </row>
    <row r="5" customFormat="false" ht="17.15" hidden="false" customHeight="false" outlineLevel="0" collapsed="false">
      <c r="A5" s="0" t="s">
        <v>617</v>
      </c>
      <c r="B5" s="16" t="n">
        <f aca="false">g_q1_rev+cons_q2_rev</f>
        <v>8490</v>
      </c>
      <c r="C5" s="16" t="n">
        <f aca="false">PL!D50-h1_rev</f>
        <v>8487.1872</v>
      </c>
      <c r="D5" s="10" t="n">
        <f aca="false">C5/B5-1</f>
        <v>-0.000331307420494698</v>
      </c>
      <c r="E5" s="16" t="n">
        <f aca="false">PL!D80-h1_rev</f>
        <v>8487.1872</v>
      </c>
      <c r="F5" s="10" t="n">
        <f aca="false">E5/B5-1</f>
        <v>-0.000331307420494698</v>
      </c>
      <c r="G5" s="16" t="n">
        <f aca="false">PL!D110-h1_rev</f>
        <v>8487.1872</v>
      </c>
      <c r="H5" s="10" t="n">
        <f aca="false">G5/B5-1</f>
        <v>-0.000331307420494698</v>
      </c>
      <c r="I5" s="5" t="s">
        <v>618</v>
      </c>
      <c r="J5" s="5" t="s">
        <v>619</v>
      </c>
    </row>
    <row r="6" customFormat="false" ht="17.15" hidden="false" customHeight="false" outlineLevel="0" collapsed="false">
      <c r="A6" s="1" t="s">
        <v>620</v>
      </c>
    </row>
    <row r="7" customFormat="false" ht="17.15" hidden="false" customHeight="false" outlineLevel="0" collapsed="false">
      <c r="A7" s="0" t="s">
        <v>621</v>
      </c>
      <c r="B7" s="16" t="n">
        <f aca="false">cons_rev27</f>
        <v>18140</v>
      </c>
      <c r="C7" s="16" t="n">
        <f aca="false">PL!E5</f>
        <v>17888.4147331423</v>
      </c>
      <c r="D7" s="10" t="n">
        <f aca="false">C7/B7-1</f>
        <v>-0.0138690885809122</v>
      </c>
      <c r="E7" s="16" t="n">
        <f aca="false">PL!E16</f>
        <v>17772.5167931423</v>
      </c>
      <c r="F7" s="10" t="n">
        <f aca="false">E7/B7-1</f>
        <v>-0.0202581701685637</v>
      </c>
      <c r="G7" s="16" t="n">
        <f aca="false">PL!E27</f>
        <v>17603.2396931423</v>
      </c>
      <c r="H7" s="10" t="n">
        <f aca="false">G7/B7-1</f>
        <v>-0.0295898735864247</v>
      </c>
      <c r="I7" s="8" t="s">
        <v>622</v>
      </c>
    </row>
    <row r="8" customFormat="false" ht="17.15" hidden="false" customHeight="false" outlineLevel="0" collapsed="false">
      <c r="A8" s="0" t="s">
        <v>623</v>
      </c>
      <c r="B8" s="13" t="n">
        <f aca="false">cons_eps27</f>
        <v>5.44</v>
      </c>
      <c r="C8" s="13" t="n">
        <f aca="false">PL!E13</f>
        <v>5.30790059090702</v>
      </c>
      <c r="D8" s="10" t="n">
        <f aca="false">C8/B8-1</f>
        <v>-0.0242829796126803</v>
      </c>
      <c r="E8" s="13" t="n">
        <f aca="false">PL!E24</f>
        <v>5.25907447047151</v>
      </c>
      <c r="F8" s="10" t="n">
        <f aca="false">E8/B8-1</f>
        <v>-0.0332583693986189</v>
      </c>
      <c r="G8" s="13" t="n">
        <f aca="false">PL!E35</f>
        <v>5.18776048446302</v>
      </c>
      <c r="H8" s="10" t="n">
        <f aca="false">G8/B8-1</f>
        <v>-0.0463675580031212</v>
      </c>
      <c r="I8" s="8" t="s">
        <v>624</v>
      </c>
      <c r="J8" s="8" t="s">
        <v>625</v>
      </c>
    </row>
    <row r="9" customFormat="false" ht="17.15" hidden="false" customHeight="false" outlineLevel="0" collapsed="false">
      <c r="A9" s="0" t="s">
        <v>626</v>
      </c>
      <c r="B9" s="16" t="n">
        <f aca="false">cons_rev28</f>
        <v>21570</v>
      </c>
      <c r="C9" s="16" t="n">
        <f aca="false">PL!F5</f>
        <v>20543.7828301909</v>
      </c>
      <c r="D9" s="10" t="n">
        <f aca="false">C9/B9-1</f>
        <v>-0.0475761321191041</v>
      </c>
      <c r="E9" s="16" t="n">
        <f aca="false">PL!F16</f>
        <v>19319.4518797974</v>
      </c>
      <c r="F9" s="10" t="n">
        <f aca="false">E9/B9-1</f>
        <v>-0.104336955039528</v>
      </c>
      <c r="G9" s="16" t="n">
        <f aca="false">PL!F27</f>
        <v>17417.1075025776</v>
      </c>
      <c r="H9" s="10" t="n">
        <f aca="false">G9/B9-1</f>
        <v>-0.192530945638497</v>
      </c>
      <c r="I9" s="8" t="s">
        <v>627</v>
      </c>
    </row>
    <row r="10" customFormat="false" ht="15" hidden="false" customHeight="false" outlineLevel="0" collapsed="false">
      <c r="A10" s="0" t="s">
        <v>628</v>
      </c>
      <c r="B10" s="13" t="n">
        <f aca="false">cons_eps28</f>
        <v>6.74</v>
      </c>
      <c r="C10" s="13" t="n">
        <f aca="false">PL!F13</f>
        <v>6.36220321927337</v>
      </c>
      <c r="D10" s="10" t="n">
        <f aca="false">C10/B10-1</f>
        <v>-0.056052934825909</v>
      </c>
      <c r="E10" s="13" t="n">
        <f aca="false">PL!F24</f>
        <v>5.89619613310678</v>
      </c>
      <c r="F10" s="10" t="n">
        <f aca="false">E10/B10-1</f>
        <v>-0.125193452061309</v>
      </c>
      <c r="G10" s="13" t="n">
        <f aca="false">PL!F35</f>
        <v>5.14068404722369</v>
      </c>
      <c r="H10" s="10" t="n">
        <f aca="false">G10/B10-1</f>
        <v>-0.2372872333496</v>
      </c>
      <c r="I10" s="8" t="s">
        <v>629</v>
      </c>
    </row>
    <row r="11" customFormat="false" ht="17.15" hidden="false" customHeight="false" outlineLevel="0" collapsed="false">
      <c r="A11" s="1" t="s">
        <v>630</v>
      </c>
    </row>
    <row r="12" customFormat="false" ht="17.15" hidden="false" customHeight="false" outlineLevel="0" collapsed="false">
      <c r="A12" s="0" t="s">
        <v>631</v>
      </c>
      <c r="B12" s="17" t="n">
        <f aca="false">kla_wfe25</f>
        <v>120</v>
      </c>
      <c r="C12" s="17" t="n">
        <f aca="false">Units!C8+Units!C11+Units!C12</f>
        <v>119.953401187095</v>
      </c>
      <c r="D12" s="10" t="n">
        <f aca="false">C12/B12-1</f>
        <v>-0.000388323440875804</v>
      </c>
      <c r="E12" s="17" t="n">
        <f aca="false">Units!C19+Units!C22+Units!C23</f>
        <v>119.953401187095</v>
      </c>
      <c r="F12" s="10" t="n">
        <f aca="false">E12/B12-1</f>
        <v>-0.000388323440875804</v>
      </c>
      <c r="G12" s="17" t="n">
        <f aca="false">Units!C30+Units!C33+Units!C34</f>
        <v>119.953401187095</v>
      </c>
      <c r="H12" s="10" t="n">
        <f aca="false">G12/B12-1</f>
        <v>-0.000388323440875804</v>
      </c>
      <c r="I12" s="8" t="s">
        <v>632</v>
      </c>
      <c r="J12" s="5" t="s">
        <v>633</v>
      </c>
    </row>
    <row r="13" customFormat="false" ht="17.15" hidden="false" customHeight="false" outlineLevel="0" collapsed="false">
      <c r="A13" s="0" t="s">
        <v>634</v>
      </c>
      <c r="B13" s="30" t="n">
        <v>152</v>
      </c>
      <c r="C13" s="17" t="n">
        <f aca="false">Units!D8+Units!D11+Units!D12</f>
        <v>159.507050570127</v>
      </c>
      <c r="D13" s="10" t="n">
        <f aca="false">C13/B13-1</f>
        <v>0.0493884905929409</v>
      </c>
      <c r="E13" s="17" t="n">
        <f aca="false">Units!D19+Units!D22+Units!D23</f>
        <v>159.507050570127</v>
      </c>
      <c r="F13" s="10" t="n">
        <f aca="false">E13/B13-1</f>
        <v>0.0493884905929409</v>
      </c>
      <c r="G13" s="17" t="n">
        <f aca="false">Units!D30+Units!D33+Units!D34</f>
        <v>159.507050570127</v>
      </c>
      <c r="H13" s="10" t="n">
        <f aca="false">G13/B13-1</f>
        <v>0.0493884905929409</v>
      </c>
      <c r="I13" s="8" t="s">
        <v>632</v>
      </c>
      <c r="J13" s="5" t="s">
        <v>635</v>
      </c>
    </row>
    <row r="14" customFormat="false" ht="17.15" hidden="false" customHeight="false" outlineLevel="0" collapsed="false">
      <c r="A14" s="0" t="s">
        <v>636</v>
      </c>
      <c r="B14" s="17" t="n">
        <f aca="false">Units!D37</f>
        <v>143.9</v>
      </c>
      <c r="C14" s="17" t="n">
        <f aca="false">Units!D8+Units!D11</f>
        <v>156.157050570127</v>
      </c>
      <c r="D14" s="10" t="n">
        <f aca="false">C14/B14-1</f>
        <v>0.0851775578188116</v>
      </c>
      <c r="E14" s="17" t="n">
        <f aca="false">Units!D19+Units!D22</f>
        <v>156.157050570127</v>
      </c>
      <c r="F14" s="10" t="n">
        <f aca="false">E14/B14-1</f>
        <v>0.0851775578188116</v>
      </c>
      <c r="G14" s="17" t="n">
        <f aca="false">Units!D30+Units!D33</f>
        <v>156.157050570127</v>
      </c>
      <c r="H14" s="10" t="n">
        <f aca="false">G14/B14-1</f>
        <v>0.0851775578188116</v>
      </c>
      <c r="I14" s="8" t="s">
        <v>637</v>
      </c>
    </row>
    <row r="15" customFormat="false" ht="17.15" hidden="false" customHeight="false" outlineLevel="0" collapsed="false">
      <c r="A15" s="0" t="s">
        <v>638</v>
      </c>
      <c r="B15" s="17" t="n">
        <f aca="false">Units!E37</f>
        <v>175.2702</v>
      </c>
      <c r="C15" s="17" t="n">
        <f aca="false">Units!E8+Units!E11</f>
        <v>192.795469377561</v>
      </c>
      <c r="D15" s="10" t="n">
        <f aca="false">C15/B15-1</f>
        <v>0.0999900118648851</v>
      </c>
      <c r="E15" s="17" t="n">
        <f aca="false">Units!E19+Units!E22</f>
        <v>192.795469377561</v>
      </c>
      <c r="F15" s="10" t="n">
        <f aca="false">E15/B15-1</f>
        <v>0.0999900118648851</v>
      </c>
      <c r="G15" s="17" t="n">
        <f aca="false">Units!E30+Units!E33</f>
        <v>192.795469377561</v>
      </c>
      <c r="H15" s="10" t="n">
        <f aca="false">G15/B15-1</f>
        <v>0.0999900118648851</v>
      </c>
      <c r="I15" s="5" t="s">
        <v>165</v>
      </c>
      <c r="J15" s="5" t="s">
        <v>639</v>
      </c>
    </row>
    <row r="16" customFormat="false" ht="17.15" hidden="false" customHeight="false" outlineLevel="0" collapsed="false">
      <c r="A16" s="1" t="s">
        <v>640</v>
      </c>
    </row>
    <row r="17" customFormat="false" ht="17.15" hidden="false" customHeight="false" outlineLevel="0" collapsed="false">
      <c r="A17" s="5" t="s">
        <v>641</v>
      </c>
      <c r="C17" s="21" t="n">
        <f aca="false">PL!C55</f>
        <v>0.0676302421250259</v>
      </c>
      <c r="J17" s="8" t="s">
        <v>642</v>
      </c>
    </row>
    <row r="18" customFormat="false" ht="17.15" hidden="false" customHeight="false" outlineLevel="0" collapsed="false">
      <c r="A18" s="5" t="s">
        <v>643</v>
      </c>
      <c r="C18" s="21" t="n">
        <f aca="false">PL!D55</f>
        <v>0.0611981838660836</v>
      </c>
    </row>
    <row r="19" customFormat="false" ht="17.15" hidden="false" customHeight="false" outlineLevel="0" collapsed="false">
      <c r="A19" s="5" t="s">
        <v>644</v>
      </c>
      <c r="C19" s="10" t="n">
        <f aca="false">PL!D57</f>
        <v>0.105514110113937</v>
      </c>
      <c r="J19" s="5" t="s">
        <v>645</v>
      </c>
    </row>
    <row r="20" customFormat="false" ht="17.15" hidden="false" customHeight="false" outlineLevel="0" collapsed="false">
      <c r="A20" s="1" t="s">
        <v>646</v>
      </c>
    </row>
    <row r="21" customFormat="false" ht="17.15" hidden="false" customHeight="false" outlineLevel="0" collapsed="false">
      <c r="A21" s="0" t="s">
        <v>647</v>
      </c>
      <c r="C21" s="10" t="n">
        <f aca="false">g_q1_rev/PL!E5</f>
        <v>0.223608411347324</v>
      </c>
      <c r="J21" s="5" t="s">
        <v>648</v>
      </c>
    </row>
    <row r="22" customFormat="false" ht="17.15" hidden="false" customHeight="false" outlineLevel="0" collapsed="false">
      <c r="A22" s="5" t="s">
        <v>649</v>
      </c>
      <c r="C22" s="20" t="n">
        <f aca="false">PL!E72</f>
        <v>5366.52441994268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8" min="3" style="0" width="15"/>
  </cols>
  <sheetData>
    <row r="1" customFormat="false" ht="17.15" hidden="false" customHeight="false" outlineLevel="0" collapsed="false">
      <c r="A1" s="0" t="s">
        <v>650</v>
      </c>
    </row>
    <row r="3" customFormat="false" ht="17.15" hidden="false" customHeight="false" outlineLevel="0" collapsed="false">
      <c r="A3" s="6" t="s">
        <v>651</v>
      </c>
      <c r="B3" s="6" t="s">
        <v>652</v>
      </c>
      <c r="C3" s="14" t="s">
        <v>653</v>
      </c>
      <c r="D3" s="14" t="s">
        <v>654</v>
      </c>
      <c r="E3" s="6" t="s">
        <v>655</v>
      </c>
      <c r="F3" s="14" t="s">
        <v>656</v>
      </c>
      <c r="G3" s="14" t="s">
        <v>657</v>
      </c>
      <c r="H3" s="6" t="s">
        <v>655</v>
      </c>
    </row>
    <row r="4" customFormat="false" ht="17.15" hidden="false" customHeight="false" outlineLevel="0" collapsed="false">
      <c r="A4" s="5" t="s">
        <v>658</v>
      </c>
      <c r="B4" s="0" t="s">
        <v>659</v>
      </c>
      <c r="C4" s="20" t="n">
        <f aca="false">PL!E62</f>
        <v>17888.4147331423</v>
      </c>
      <c r="D4" s="13" t="n">
        <f aca="false">PL!E71</f>
        <v>5.30790059090702</v>
      </c>
      <c r="E4" s="10" t="n">
        <f aca="false">D4/D$4-1</f>
        <v>0</v>
      </c>
      <c r="F4" s="20" t="n">
        <f aca="false">PL!F62</f>
        <v>20543.7828301909</v>
      </c>
      <c r="G4" s="13" t="n">
        <f aca="false">PL!F71</f>
        <v>6.36220321927337</v>
      </c>
      <c r="H4" s="10" t="n">
        <f aca="false">G4/G$4-1</f>
        <v>0</v>
      </c>
    </row>
    <row r="5" customFormat="false" ht="17.15" hidden="false" customHeight="false" outlineLevel="0" collapsed="false">
      <c r="A5" s="5" t="s">
        <v>660</v>
      </c>
      <c r="B5" s="5" t="s">
        <v>661</v>
      </c>
      <c r="C5" s="20" t="n">
        <f aca="false">E67</f>
        <v>17376.1265661566</v>
      </c>
      <c r="D5" s="13" t="n">
        <f aca="false">E76</f>
        <v>5.0920810194899</v>
      </c>
      <c r="E5" s="10" t="n">
        <f aca="false">D5/D$4-1</f>
        <v>-0.0406600628103019</v>
      </c>
      <c r="F5" s="20" t="n">
        <f aca="false">F67</f>
        <v>19433.2321765766</v>
      </c>
      <c r="G5" s="13" t="n">
        <f aca="false">F76</f>
        <v>5.88800911936486</v>
      </c>
      <c r="H5" s="10" t="n">
        <f aca="false">G5/G$4-1</f>
        <v>-0.0745330011578398</v>
      </c>
    </row>
    <row r="6" customFormat="false" ht="17.15" hidden="false" customHeight="false" outlineLevel="0" collapsed="false">
      <c r="A6" s="5" t="s">
        <v>662</v>
      </c>
      <c r="C6" s="20" t="n">
        <f aca="false">E103</f>
        <v>16863.8383991709</v>
      </c>
      <c r="D6" s="13" t="n">
        <f aca="false">E112</f>
        <v>4.87626144807278</v>
      </c>
      <c r="E6" s="10" t="n">
        <f aca="false">D6/D$4-1</f>
        <v>-0.0813201256206041</v>
      </c>
      <c r="F6" s="20" t="n">
        <f aca="false">F103</f>
        <v>18322.6815229623</v>
      </c>
      <c r="G6" s="13" t="n">
        <f aca="false">F112</f>
        <v>5.41381501945634</v>
      </c>
      <c r="H6" s="10" t="n">
        <f aca="false">G6/G$4-1</f>
        <v>-0.14906600231568</v>
      </c>
    </row>
    <row r="7" customFormat="false" ht="17.15" hidden="false" customHeight="false" outlineLevel="0" collapsed="false">
      <c r="A7" s="5" t="s">
        <v>663</v>
      </c>
      <c r="B7" s="0" t="s">
        <v>664</v>
      </c>
      <c r="C7" s="20" t="n">
        <f aca="false">E139</f>
        <v>17712.8666058253</v>
      </c>
      <c r="D7" s="13" t="n">
        <f aca="false">E148</f>
        <v>5.2339447120829</v>
      </c>
      <c r="E7" s="10" t="n">
        <f aca="false">D7/D$4-1</f>
        <v>-0.0139331695380314</v>
      </c>
      <c r="F7" s="20" t="n">
        <f aca="false">F139</f>
        <v>19967.9355257632</v>
      </c>
      <c r="G7" s="13" t="n">
        <f aca="false">F148</f>
        <v>6.1163221391811</v>
      </c>
      <c r="H7" s="10" t="n">
        <f aca="false">G7/G$4-1</f>
        <v>-0.0386471591079343</v>
      </c>
    </row>
    <row r="8" customFormat="false" ht="17.15" hidden="false" customHeight="false" outlineLevel="0" collapsed="false">
      <c r="A8" s="5" t="s">
        <v>665</v>
      </c>
      <c r="B8" s="0" t="s">
        <v>666</v>
      </c>
      <c r="C8" s="20" t="n">
        <f aca="false">E175</f>
        <v>18045.9020070181</v>
      </c>
      <c r="D8" s="13" t="n">
        <f aca="false">E184</f>
        <v>5.37424769424052</v>
      </c>
      <c r="E8" s="10" t="n">
        <f aca="false">D8/D$4-1</f>
        <v>0.0124996883790849</v>
      </c>
      <c r="F8" s="20" t="n">
        <f aca="false">F175</f>
        <v>21070.2753335976</v>
      </c>
      <c r="G8" s="13" t="n">
        <f aca="false">F184</f>
        <v>6.58701028948578</v>
      </c>
      <c r="H8" s="10" t="n">
        <f aca="false">G8/G$4-1</f>
        <v>0.0353347830090343</v>
      </c>
    </row>
    <row r="9" customFormat="false" ht="17.15" hidden="false" customHeight="false" outlineLevel="0" collapsed="false">
      <c r="A9" s="5" t="s">
        <v>667</v>
      </c>
      <c r="B9" s="0" t="s">
        <v>668</v>
      </c>
      <c r="C9" s="20" t="n">
        <f aca="false">E211</f>
        <v>17309.864284373</v>
      </c>
      <c r="D9" s="13" t="n">
        <f aca="false">E220</f>
        <v>5.0641656816444</v>
      </c>
      <c r="E9" s="10" t="n">
        <f aca="false">D9/D$4-1</f>
        <v>-0.0459192679079482</v>
      </c>
      <c r="F9" s="20" t="n">
        <f aca="false">F211</f>
        <v>20058.7047960235</v>
      </c>
      <c r="G9" s="13" t="n">
        <f aca="false">F220</f>
        <v>6.15507971612761</v>
      </c>
      <c r="H9" s="10" t="n">
        <f aca="false">G9/G$4-1</f>
        <v>-0.0325553107952159</v>
      </c>
    </row>
    <row r="10" customFormat="false" ht="17.15" hidden="false" customHeight="false" outlineLevel="0" collapsed="false">
      <c r="A10" s="5" t="s">
        <v>669</v>
      </c>
      <c r="C10" s="20" t="n">
        <f aca="false">E247</f>
        <v>18466.9651819115</v>
      </c>
      <c r="D10" s="13" t="n">
        <f aca="false">E256</f>
        <v>5.55163550016963</v>
      </c>
      <c r="E10" s="10" t="n">
        <f aca="false">D10/D$4-1</f>
        <v>0.0459192679079479</v>
      </c>
      <c r="F10" s="20" t="n">
        <f aca="false">F247</f>
        <v>21028.8608643584</v>
      </c>
      <c r="G10" s="13" t="n">
        <f aca="false">F256</f>
        <v>6.56932672241914</v>
      </c>
      <c r="H10" s="10" t="n">
        <f aca="false">G10/G$4-1</f>
        <v>0.0325553107952155</v>
      </c>
    </row>
    <row r="11" customFormat="false" ht="17.15" hidden="false" customHeight="false" outlineLevel="0" collapsed="false">
      <c r="A11" s="5" t="s">
        <v>670</v>
      </c>
      <c r="C11" s="20" t="n">
        <f aca="false">E283</f>
        <v>17862.4913916133</v>
      </c>
      <c r="D11" s="13" t="n">
        <f aca="false">E292</f>
        <v>5.29697946327019</v>
      </c>
      <c r="E11" s="10" t="n">
        <f aca="false">D11/D$4-1</f>
        <v>-0.00205752301682838</v>
      </c>
      <c r="F11" s="20" t="n">
        <f aca="false">F283</f>
        <v>20488.8156521393</v>
      </c>
      <c r="G11" s="13" t="n">
        <f aca="false">F292</f>
        <v>6.33873278013953</v>
      </c>
      <c r="H11" s="10" t="n">
        <f aca="false">G11/G$4-1</f>
        <v>-0.00368904266728665</v>
      </c>
    </row>
    <row r="12" customFormat="false" ht="17.15" hidden="false" customHeight="false" outlineLevel="0" collapsed="false">
      <c r="A12" s="5" t="s">
        <v>671</v>
      </c>
      <c r="C12" s="20" t="n">
        <f aca="false">E319</f>
        <v>17914.3380746712</v>
      </c>
      <c r="D12" s="13" t="n">
        <f aca="false">E328</f>
        <v>5.31882171854385</v>
      </c>
      <c r="E12" s="10" t="n">
        <f aca="false">D12/D$4-1</f>
        <v>0.00205752301682782</v>
      </c>
      <c r="F12" s="20" t="n">
        <f aca="false">F319</f>
        <v>20598.7500082426</v>
      </c>
      <c r="G12" s="13" t="n">
        <f aca="false">F328</f>
        <v>6.38567365840722</v>
      </c>
      <c r="H12" s="10" t="n">
        <f aca="false">G12/G$4-1</f>
        <v>0.0036890426672862</v>
      </c>
    </row>
    <row r="13" customFormat="false" ht="17.15" hidden="false" customHeight="false" outlineLevel="0" collapsed="false">
      <c r="A13" s="5" t="s">
        <v>672</v>
      </c>
      <c r="B13" s="5" t="s">
        <v>673</v>
      </c>
      <c r="C13" s="20" t="n">
        <f aca="false">E355</f>
        <v>17815.2906828204</v>
      </c>
      <c r="D13" s="13" t="n">
        <f aca="false">E364</f>
        <v>5.27709448954104</v>
      </c>
      <c r="E13" s="10" t="n">
        <f aca="false">D13/D$4-1</f>
        <v>-0.00580382033129168</v>
      </c>
      <c r="F13" s="20" t="n">
        <f aca="false">F355</f>
        <v>20295.2445333954</v>
      </c>
      <c r="G13" s="13" t="n">
        <f aca="false">F364</f>
        <v>6.25607983484405</v>
      </c>
      <c r="H13" s="10" t="n">
        <f aca="false">G13/G$4-1</f>
        <v>-0.0166802883799504</v>
      </c>
    </row>
    <row r="14" customFormat="false" ht="17.15" hidden="false" customHeight="false" outlineLevel="0" collapsed="false">
      <c r="A14" s="5" t="s">
        <v>674</v>
      </c>
      <c r="C14" s="20" t="n">
        <f aca="false">E391</f>
        <v>17924.9767583032</v>
      </c>
      <c r="D14" s="13" t="n">
        <f aca="false">E400</f>
        <v>5.32330364159001</v>
      </c>
      <c r="E14" s="10" t="n">
        <f aca="false">D14/D$4-1</f>
        <v>0.00290191016564578</v>
      </c>
      <c r="F14" s="20" t="n">
        <f aca="false">F391</f>
        <v>20675.3435150462</v>
      </c>
      <c r="G14" s="13" t="n">
        <f aca="false">F400</f>
        <v>6.41837832514112</v>
      </c>
      <c r="H14" s="10" t="n">
        <f aca="false">G14/G$4-1</f>
        <v>0.00882950511507863</v>
      </c>
    </row>
    <row r="15" customFormat="false" ht="17.15" hidden="false" customHeight="false" outlineLevel="0" collapsed="false">
      <c r="A15" s="5" t="s">
        <v>675</v>
      </c>
      <c r="B15" s="5" t="s">
        <v>676</v>
      </c>
      <c r="C15" s="20" t="n">
        <f aca="false">E427</f>
        <v>17887.4944809478</v>
      </c>
      <c r="D15" s="13" t="n">
        <f aca="false">E436</f>
        <v>5.30751290201041</v>
      </c>
      <c r="E15" s="10" t="n">
        <f aca="false">D15/D$4-1</f>
        <v>-7.30399693753547E-005</v>
      </c>
      <c r="F15" s="20" t="n">
        <f aca="false">F427</f>
        <v>20562.5363041168</v>
      </c>
      <c r="G15" s="13" t="n">
        <f aca="false">F436</f>
        <v>6.37021076639382</v>
      </c>
      <c r="H15" s="10" t="n">
        <f aca="false">G15/G$4-1</f>
        <v>0.00125861228327095</v>
      </c>
    </row>
    <row r="16" customFormat="false" ht="17.15" hidden="false" customHeight="false" outlineLevel="0" collapsed="false">
      <c r="A16" s="5" t="s">
        <v>677</v>
      </c>
      <c r="B16" s="5" t="s">
        <v>678</v>
      </c>
      <c r="C16" s="20" t="n">
        <f aca="false">E463</f>
        <v>17888.4147331423</v>
      </c>
      <c r="D16" s="13" t="n">
        <f aca="false">E472</f>
        <v>5.17742854428504</v>
      </c>
      <c r="E16" s="10" t="n">
        <f aca="false">D16/D$4-1</f>
        <v>-0.0245807253522209</v>
      </c>
      <c r="F16" s="20" t="n">
        <f aca="false">F463</f>
        <v>20543.7828301909</v>
      </c>
      <c r="G16" s="13" t="n">
        <f aca="false">F472</f>
        <v>6.14847280608966</v>
      </c>
      <c r="H16" s="10" t="n">
        <f aca="false">G16/G$4-1</f>
        <v>-0.0335937733859628</v>
      </c>
    </row>
    <row r="17" customFormat="false" ht="17.15" hidden="false" customHeight="false" outlineLevel="0" collapsed="false">
      <c r="A17" s="5" t="s">
        <v>679</v>
      </c>
      <c r="B17" s="5" t="s">
        <v>680</v>
      </c>
      <c r="C17" s="20" t="n">
        <f aca="false">E499</f>
        <v>17888.4147331423</v>
      </c>
      <c r="D17" s="13" t="n">
        <f aca="false">E508</f>
        <v>5.31783032084132</v>
      </c>
      <c r="E17" s="10" t="n">
        <f aca="false">D17/D$4-1</f>
        <v>0.0018707452719271</v>
      </c>
      <c r="F17" s="20" t="n">
        <f aca="false">F499</f>
        <v>20543.7828301909</v>
      </c>
      <c r="G17" s="13" t="n">
        <f aca="false">F508</f>
        <v>6.37846942599434</v>
      </c>
      <c r="H17" s="10" t="n">
        <f aca="false">G17/G$4-1</f>
        <v>0.00255669398797043</v>
      </c>
    </row>
    <row r="18" customFormat="false" ht="17.15" hidden="false" customHeight="false" outlineLevel="0" collapsed="false">
      <c r="A18" s="5" t="s">
        <v>681</v>
      </c>
      <c r="C18" s="20" t="n">
        <f aca="false">E535</f>
        <v>17888.4147331423</v>
      </c>
      <c r="D18" s="13" t="n">
        <f aca="false">E544</f>
        <v>5.30790059090702</v>
      </c>
      <c r="E18" s="10" t="n">
        <f aca="false">D18/D$4-1</f>
        <v>0</v>
      </c>
      <c r="F18" s="20" t="n">
        <f aca="false">F535</f>
        <v>20543.7828301909</v>
      </c>
      <c r="G18" s="13" t="n">
        <f aca="false">F544</f>
        <v>6.41897328975651</v>
      </c>
      <c r="H18" s="10" t="n">
        <f aca="false">G18/G$4-1</f>
        <v>0.00892302061511674</v>
      </c>
    </row>
    <row r="19" customFormat="false" ht="17.15" hidden="false" customHeight="false" outlineLevel="0" collapsed="false">
      <c r="A19" s="5" t="s">
        <v>682</v>
      </c>
      <c r="C19" s="20" t="n">
        <f aca="false">E571</f>
        <v>17888.4147331423</v>
      </c>
      <c r="D19" s="13" t="n">
        <f aca="false">E580</f>
        <v>5.30790059090702</v>
      </c>
      <c r="E19" s="10" t="n">
        <f aca="false">D19/D$4-1</f>
        <v>0</v>
      </c>
      <c r="F19" s="20" t="n">
        <f aca="false">F571</f>
        <v>20543.7828301909</v>
      </c>
      <c r="G19" s="13" t="n">
        <f aca="false">F580</f>
        <v>6.30543314879024</v>
      </c>
      <c r="H19" s="10" t="n">
        <f aca="false">G19/G$4-1</f>
        <v>-0.00892302061511663</v>
      </c>
    </row>
    <row r="20" customFormat="false" ht="17.15" hidden="false" customHeight="false" outlineLevel="0" collapsed="false">
      <c r="A20" s="5" t="s">
        <v>683</v>
      </c>
      <c r="C20" s="20" t="n">
        <f aca="false">E607</f>
        <v>17825.8959531423</v>
      </c>
      <c r="D20" s="13" t="n">
        <f aca="false">E616</f>
        <v>5.2815623360445</v>
      </c>
      <c r="E20" s="10" t="n">
        <f aca="false">D20/D$4-1</f>
        <v>-0.00496208518065278</v>
      </c>
      <c r="F20" s="20" t="n">
        <f aca="false">F607</f>
        <v>20402.4903873909</v>
      </c>
      <c r="G20" s="13" t="n">
        <f aca="false">F616</f>
        <v>6.30187274941199</v>
      </c>
      <c r="H20" s="10" t="n">
        <f aca="false">G20/G$4-1</f>
        <v>-0.00948263797651494</v>
      </c>
    </row>
    <row r="21" customFormat="false" ht="17.15" hidden="false" customHeight="false" outlineLevel="0" collapsed="false">
      <c r="A21" s="5" t="s">
        <v>684</v>
      </c>
      <c r="C21" s="20" t="n">
        <f aca="false">E643</f>
        <v>17950.9335131423</v>
      </c>
      <c r="D21" s="13" t="n">
        <f aca="false">E652</f>
        <v>5.33423884576954</v>
      </c>
      <c r="E21" s="10" t="n">
        <f aca="false">D21/D$4-1</f>
        <v>0.00496208518065311</v>
      </c>
      <c r="F21" s="20" t="n">
        <f aca="false">F643</f>
        <v>20687.5760241909</v>
      </c>
      <c r="G21" s="13" t="n">
        <f aca="false">F652</f>
        <v>6.42360148506151</v>
      </c>
      <c r="H21" s="10" t="n">
        <f aca="false">G21/G$4-1</f>
        <v>0.00965047227698368</v>
      </c>
    </row>
    <row r="22" customFormat="false" ht="17.15" hidden="false" customHeight="false" outlineLevel="0" collapsed="false">
      <c r="A22" s="5" t="s">
        <v>685</v>
      </c>
      <c r="C22" s="20" t="n">
        <f aca="false">E679</f>
        <v>17888.4147331423</v>
      </c>
      <c r="D22" s="13" t="n">
        <f aca="false">E688</f>
        <v>5.40102165390539</v>
      </c>
      <c r="E22" s="10" t="n">
        <f aca="false">D22/D$4-1</f>
        <v>0.0175438596491226</v>
      </c>
      <c r="F22" s="20" t="n">
        <f aca="false">F679</f>
        <v>20543.7828301909</v>
      </c>
      <c r="G22" s="13" t="n">
        <f aca="false">F688</f>
        <v>6.4738208196115</v>
      </c>
      <c r="H22" s="10" t="n">
        <f aca="false">G22/G$4-1</f>
        <v>0.0175438596491229</v>
      </c>
    </row>
    <row r="23" customFormat="false" ht="17.15" hidden="false" customHeight="false" outlineLevel="0" collapsed="false">
      <c r="A23" s="5" t="s">
        <v>686</v>
      </c>
      <c r="C23" s="20" t="n">
        <f aca="false">E715</f>
        <v>17888.4147331423</v>
      </c>
      <c r="D23" s="13" t="n">
        <f aca="false">E724</f>
        <v>5.15269881924307</v>
      </c>
      <c r="E23" s="10" t="n">
        <f aca="false">D23/D$4-1</f>
        <v>-0.0292397660818715</v>
      </c>
      <c r="F23" s="20" t="n">
        <f aca="false">F715</f>
        <v>20543.7828301909</v>
      </c>
      <c r="G23" s="13" t="n">
        <f aca="false">F724</f>
        <v>6.17617388537649</v>
      </c>
      <c r="H23" s="10" t="n">
        <f aca="false">G23/G$4-1</f>
        <v>-0.0292397660818713</v>
      </c>
    </row>
    <row r="24" customFormat="false" ht="17.15" hidden="false" customHeight="false" outlineLevel="0" collapsed="false">
      <c r="A24" s="5" t="s">
        <v>687</v>
      </c>
      <c r="C24" s="20" t="n">
        <f aca="false">E751</f>
        <v>17888.4147331423</v>
      </c>
      <c r="D24" s="13" t="n">
        <f aca="false">E760</f>
        <v>5.24273290798019</v>
      </c>
      <c r="E24" s="10" t="n">
        <f aca="false">D24/D$4-1</f>
        <v>-0.0122774874568051</v>
      </c>
      <c r="F24" s="20" t="n">
        <f aca="false">F751</f>
        <v>20543.7828301909</v>
      </c>
      <c r="G24" s="13" t="n">
        <f aca="false">F760</f>
        <v>6.29615310818188</v>
      </c>
      <c r="H24" s="10" t="n">
        <f aca="false">G24/G$4-1</f>
        <v>-0.0103816412043243</v>
      </c>
    </row>
    <row r="25" customFormat="false" ht="15" hidden="false" customHeight="false" outlineLevel="0" collapsed="false">
      <c r="A25" s="5" t="s">
        <v>688</v>
      </c>
      <c r="B25" s="5" t="s">
        <v>689</v>
      </c>
      <c r="C25" s="20" t="n">
        <f aca="false">E787</f>
        <v>17888.4147331423</v>
      </c>
      <c r="D25" s="13" t="n">
        <f aca="false">E796</f>
        <v>5.30790059090702</v>
      </c>
      <c r="E25" s="10" t="n">
        <f aca="false">D25/D$4-1</f>
        <v>0</v>
      </c>
      <c r="F25" s="20" t="n">
        <f aca="false">F787</f>
        <v>20543.7828301909</v>
      </c>
      <c r="G25" s="13" t="n">
        <f aca="false">F796</f>
        <v>6.27720431136505</v>
      </c>
      <c r="H25" s="10" t="n">
        <f aca="false">G25/G$4-1</f>
        <v>-0.0133599800224598</v>
      </c>
    </row>
    <row r="26" customFormat="false" ht="17.15" hidden="false" customHeight="false" outlineLevel="0" collapsed="false">
      <c r="A26" s="5" t="s">
        <v>690</v>
      </c>
      <c r="C26" s="20" t="n">
        <f aca="false">E823</f>
        <v>17888.4147331423</v>
      </c>
      <c r="D26" s="13" t="n">
        <f aca="false">E832</f>
        <v>5.30790059090702</v>
      </c>
      <c r="E26" s="10" t="n">
        <f aca="false">D26/D$4-1</f>
        <v>0</v>
      </c>
      <c r="F26" s="20" t="n">
        <f aca="false">F823</f>
        <v>20543.7828301909</v>
      </c>
      <c r="G26" s="13" t="n">
        <f aca="false">F832</f>
        <v>6.43815826806672</v>
      </c>
      <c r="H26" s="10" t="n">
        <f aca="false">G26/G$4-1</f>
        <v>0.0119384820282464</v>
      </c>
    </row>
    <row r="27" customFormat="false" ht="17.15" hidden="false" customHeight="false" outlineLevel="0" collapsed="false">
      <c r="A27" s="5" t="s">
        <v>691</v>
      </c>
      <c r="B27" s="0" t="s">
        <v>692</v>
      </c>
      <c r="C27" s="20" t="n">
        <f aca="false">PL!E92</f>
        <v>17772.5167931423</v>
      </c>
      <c r="D27" s="13" t="n">
        <f aca="false">PL!E101</f>
        <v>5.25907447047151</v>
      </c>
      <c r="E27" s="10" t="n">
        <f aca="false">D27/D$4-1</f>
        <v>-0.00919876316431967</v>
      </c>
      <c r="F27" s="20" t="n">
        <f aca="false">PL!F92</f>
        <v>19319.4518797974</v>
      </c>
      <c r="G27" s="13" t="n">
        <f aca="false">PL!F101</f>
        <v>5.89619613310678</v>
      </c>
      <c r="H27" s="10" t="n">
        <f aca="false">G27/G$4-1</f>
        <v>-0.0732461806241739</v>
      </c>
    </row>
    <row r="28" customFormat="false" ht="17.15" hidden="false" customHeight="false" outlineLevel="0" collapsed="false">
      <c r="A28" s="5" t="s">
        <v>693</v>
      </c>
      <c r="B28" s="0" t="s">
        <v>694</v>
      </c>
      <c r="C28" s="20" t="n">
        <f aca="false">PL!E122</f>
        <v>17603.2396931423</v>
      </c>
      <c r="D28" s="13" t="n">
        <f aca="false">PL!E131</f>
        <v>5.18776048446302</v>
      </c>
      <c r="E28" s="10" t="n">
        <f aca="false">D28/D$4-1</f>
        <v>-0.0226342043123059</v>
      </c>
      <c r="F28" s="20" t="n">
        <f aca="false">PL!F122</f>
        <v>17417.1075025776</v>
      </c>
      <c r="G28" s="13" t="n">
        <f aca="false">PL!F131</f>
        <v>5.14068404722369</v>
      </c>
      <c r="H28" s="10" t="n">
        <f aca="false">G28/G$4-1</f>
        <v>-0.191996251919345</v>
      </c>
    </row>
    <row r="30" customFormat="false" ht="17.15" hidden="false" customHeight="false" outlineLevel="0" collapsed="false">
      <c r="A30" s="5" t="s">
        <v>695</v>
      </c>
    </row>
    <row r="50" customFormat="false" ht="17.15" hidden="false" customHeight="false" outlineLevel="0" collapsed="false">
      <c r="A50" s="3" t="s">
        <v>696</v>
      </c>
    </row>
    <row r="51" customFormat="false" ht="17.15" hidden="false" customHeight="false" outlineLevel="0" collapsed="false">
      <c r="A51" s="6" t="s">
        <v>15</v>
      </c>
      <c r="B51" s="6" t="s">
        <v>16</v>
      </c>
      <c r="C51" s="14" t="s">
        <v>377</v>
      </c>
      <c r="D51" s="14" t="s">
        <v>378</v>
      </c>
      <c r="E51" s="14" t="s">
        <v>379</v>
      </c>
      <c r="F51" s="14" t="s">
        <v>380</v>
      </c>
      <c r="G51" s="14" t="s">
        <v>381</v>
      </c>
      <c r="H51" s="6" t="s">
        <v>306</v>
      </c>
    </row>
    <row r="52" customFormat="false" ht="17.15" hidden="false" customHeight="false" outlineLevel="0" collapsed="false">
      <c r="A52" s="1" t="s">
        <v>382</v>
      </c>
    </row>
    <row r="53" customFormat="false" ht="17.15" hidden="false" customHeight="false" outlineLevel="0" collapsed="false">
      <c r="A53" s="5" t="s">
        <v>383</v>
      </c>
      <c r="B53" s="0" t="s">
        <v>41</v>
      </c>
      <c r="C53" s="16" t="n">
        <f aca="false">(Units!C8+m_mem*Units!C11)*1000</f>
        <v>117874.05938505</v>
      </c>
      <c r="D53" s="16" t="n">
        <f aca="false">(Units!D8+m_mem*Units!D11)*1000</f>
        <v>157598.72745742</v>
      </c>
      <c r="E53" s="16" t="n">
        <f aca="false">(Units!E8+m_mem*Units!E11)*1000</f>
        <v>194734.950900524</v>
      </c>
      <c r="F53" s="16" t="n">
        <f aca="false">(Units!F8+m_mem*Units!F11)*1000</f>
        <v>218802.231022447</v>
      </c>
      <c r="G53" s="16" t="n">
        <f aca="false">(Units!G8+m_mem*Units!G11)*1000</f>
        <v>231172.69409247</v>
      </c>
      <c r="H53" s="5" t="s">
        <v>384</v>
      </c>
    </row>
    <row r="54" customFormat="false" ht="15" hidden="false" customHeight="false" outlineLevel="0" collapsed="false">
      <c r="A54" s="5" t="s">
        <v>385</v>
      </c>
      <c r="B54" s="0" t="s">
        <v>41</v>
      </c>
      <c r="C54" s="16" t="n">
        <f aca="false">Units!C12*1000</f>
        <v>3056.56934306569</v>
      </c>
      <c r="D54" s="16" t="n">
        <f aca="false">Units!D12*1000</f>
        <v>3350</v>
      </c>
      <c r="E54" s="16" t="n">
        <f aca="false">Units!E12*1000</f>
        <v>3795.39194286967</v>
      </c>
      <c r="F54" s="16" t="n">
        <f aca="false">Units!F12*1000</f>
        <v>4300</v>
      </c>
      <c r="G54" s="16" t="n">
        <f aca="false">Units!G12*1000</f>
        <v>4644</v>
      </c>
    </row>
    <row r="55" customFormat="false" ht="17.15" hidden="false" customHeight="false" outlineLevel="0" collapsed="false">
      <c r="A55" s="5" t="s">
        <v>386</v>
      </c>
      <c r="B55" s="0" t="s">
        <v>41</v>
      </c>
      <c r="D55" s="16" t="n">
        <f aca="false">h1_rev*(2+h2up)</f>
        <v>15559.8432</v>
      </c>
      <c r="H55" s="5" t="s">
        <v>387</v>
      </c>
    </row>
    <row r="56" customFormat="false" ht="17.15" hidden="false" customHeight="false" outlineLevel="0" collapsed="false">
      <c r="A56" s="5" t="s">
        <v>388</v>
      </c>
      <c r="B56" s="0" t="s">
        <v>41</v>
      </c>
      <c r="D56" s="16" t="n">
        <f aca="false">h1_svc*(2+g_svc_h2)</f>
        <v>3286.1223</v>
      </c>
    </row>
    <row r="57" customFormat="false" ht="17.15" hidden="false" customHeight="false" outlineLevel="0" collapsed="false">
      <c r="A57" s="0" t="s">
        <v>389</v>
      </c>
      <c r="B57" s="0" t="s">
        <v>41</v>
      </c>
      <c r="D57" s="16" t="n">
        <f aca="false">cy25_oth*(1+g_oth26)</f>
        <v>1528.965</v>
      </c>
    </row>
    <row r="58" customFormat="false" ht="17.15" hidden="false" customHeight="false" outlineLevel="0" collapsed="false">
      <c r="A58" s="5" t="s">
        <v>390</v>
      </c>
      <c r="B58" s="0" t="s">
        <v>41</v>
      </c>
      <c r="C58" s="16" t="n">
        <f aca="false">ap26/(1+ap_g26)</f>
        <v>647.058823529412</v>
      </c>
      <c r="D58" s="16" t="n">
        <f aca="false">ap26</f>
        <v>1100</v>
      </c>
      <c r="E58" s="16" t="n">
        <f aca="false">D58*(1+k_ap*(E54/D54-1))</f>
        <v>1392.49620128754</v>
      </c>
      <c r="F58" s="16" t="n">
        <f aca="false">E58*(1+k_ap*(F54/E54-1))</f>
        <v>1762.76879145476</v>
      </c>
      <c r="G58" s="16" t="n">
        <f aca="false">F58*(1+k_ap*(G54/F54-1))</f>
        <v>2044.81179808753</v>
      </c>
      <c r="H58" s="8" t="s">
        <v>391</v>
      </c>
    </row>
    <row r="59" customFormat="false" ht="17.15" hidden="false" customHeight="false" outlineLevel="0" collapsed="false">
      <c r="A59" s="5" t="s">
        <v>392</v>
      </c>
      <c r="B59" s="0" t="s">
        <v>41</v>
      </c>
      <c r="C59" s="16" t="n">
        <f aca="false">C61-C58</f>
        <v>7971.85117647059</v>
      </c>
      <c r="D59" s="16" t="n">
        <f aca="false">D61-D58</f>
        <v>9644.7559</v>
      </c>
      <c r="E59" s="16" t="n">
        <f aca="false">E60*E53</f>
        <v>12268.521584997</v>
      </c>
      <c r="F59" s="16" t="n">
        <f aca="false">F60*F53</f>
        <v>14190.8975186426</v>
      </c>
      <c r="G59" s="16" t="n">
        <f aca="false">G60*G53</f>
        <v>15434.9221703084</v>
      </c>
      <c r="H59" s="8" t="s">
        <v>393</v>
      </c>
    </row>
    <row r="60" customFormat="false" ht="17.15" hidden="false" customHeight="false" outlineLevel="0" collapsed="false">
      <c r="A60" s="5" t="s">
        <v>394</v>
      </c>
      <c r="B60" s="0" t="s">
        <v>26</v>
      </c>
      <c r="C60" s="21" t="n">
        <f aca="false">C59/C53</f>
        <v>0.0676302421250259</v>
      </c>
      <c r="D60" s="21" t="n">
        <f aca="false">D59/D53</f>
        <v>0.0611981838660836</v>
      </c>
      <c r="E60" s="21" t="n">
        <f aca="false">$D60*(1+pc_u)^1</f>
        <v>0.0630011280885271</v>
      </c>
      <c r="F60" s="21" t="n">
        <f aca="false">$D60*(1+pc_u)^2</f>
        <v>0.0648571883948786</v>
      </c>
      <c r="G60" s="21" t="n">
        <f aca="false">$D60*(1+pc_u)^3</f>
        <v>0.0667679296246569</v>
      </c>
      <c r="H60" s="8" t="s">
        <v>395</v>
      </c>
    </row>
    <row r="61" customFormat="false" ht="17.15" hidden="false" customHeight="false" outlineLevel="0" collapsed="false">
      <c r="A61" s="5" t="s">
        <v>396</v>
      </c>
      <c r="B61" s="0" t="s">
        <v>41</v>
      </c>
      <c r="C61" s="16" t="n">
        <f aca="false">cy25_sys</f>
        <v>8618.91</v>
      </c>
      <c r="D61" s="16" t="n">
        <f aca="false">D55-D56-D57</f>
        <v>10744.7559</v>
      </c>
      <c r="E61" s="16" t="n">
        <f aca="false">(E59+E58)*(1-chn_sh26*chn_cut_lo)</f>
        <v>12636.4414523132</v>
      </c>
      <c r="F61" s="16" t="n">
        <f aca="false">(F59+F58)*(1-chn_sh26*chn_cut_lo)</f>
        <v>14757.14133684</v>
      </c>
      <c r="G61" s="16" t="n">
        <f aca="false">(G59+G58)*(1-chn_sh26*chn_cut_lo)</f>
        <v>16168.7539207662</v>
      </c>
      <c r="H61" s="8" t="s">
        <v>397</v>
      </c>
    </row>
    <row r="62" customFormat="false" ht="17.15" hidden="false" customHeight="false" outlineLevel="0" collapsed="false">
      <c r="A62" s="5" t="s">
        <v>398</v>
      </c>
      <c r="B62" s="0" t="s">
        <v>26</v>
      </c>
      <c r="C62" s="10" t="n">
        <f aca="false">C60/kla_sh_pc</f>
        <v>0.116603865732803</v>
      </c>
      <c r="D62" s="10" t="n">
        <f aca="false">D60/kla_sh_pc</f>
        <v>0.105514110113937</v>
      </c>
      <c r="E62" s="10" t="n">
        <f aca="false">E60/kla_sh_pc</f>
        <v>0.108622634635392</v>
      </c>
      <c r="F62" s="10" t="n">
        <f aca="false">F60/kla_sh_pc</f>
        <v>0.11182273861186</v>
      </c>
      <c r="G62" s="10" t="n">
        <f aca="false">G60/kla_sh_pc</f>
        <v>0.115117120042512</v>
      </c>
      <c r="H62" s="8" t="s">
        <v>399</v>
      </c>
    </row>
    <row r="63" customFormat="false" ht="17.15" hidden="false" customHeight="false" outlineLevel="0" collapsed="false">
      <c r="A63" s="1" t="s">
        <v>400</v>
      </c>
    </row>
    <row r="64" customFormat="false" ht="17.15" hidden="false" customHeight="false" outlineLevel="0" collapsed="false">
      <c r="A64" s="5" t="s">
        <v>401</v>
      </c>
      <c r="B64" s="0" t="s">
        <v>41</v>
      </c>
      <c r="C64" s="16" t="n">
        <f aca="false">a25_sys</f>
        <v>8264.026</v>
      </c>
      <c r="D64" s="16" t="n">
        <f aca="false">a26_sys</f>
        <v>9119.058</v>
      </c>
      <c r="E64" s="16" t="n">
        <f aca="false">(D61-h1_sys)+0.5*E61</f>
        <v>12317.9396261566</v>
      </c>
      <c r="F64" s="16" t="n">
        <f aca="false">0.5*E61+0.5*F61</f>
        <v>13696.7913945766</v>
      </c>
      <c r="G64" s="16" t="n">
        <f aca="false">0.5*F61+0.5*G61</f>
        <v>15462.9476288031</v>
      </c>
      <c r="H64" s="8" t="s">
        <v>402</v>
      </c>
    </row>
    <row r="65" customFormat="false" ht="15" hidden="false" customHeight="false" outlineLevel="0" collapsed="false">
      <c r="A65" s="5" t="s">
        <v>254</v>
      </c>
      <c r="B65" s="0" t="s">
        <v>41</v>
      </c>
      <c r="C65" s="16" t="n">
        <f aca="false">a25_svc</f>
        <v>2683.308</v>
      </c>
      <c r="D65" s="16" t="n">
        <f aca="false">a26_svc</f>
        <v>3125.939</v>
      </c>
      <c r="E65" s="16" t="n">
        <f aca="false">D65*(1+g_svc_A)</f>
        <v>3563.57046</v>
      </c>
      <c r="F65" s="16" t="n">
        <f aca="false">E65*(1+g_svc_A)</f>
        <v>4062.4703244</v>
      </c>
      <c r="G65" s="16" t="n">
        <f aca="false">F65*(1+g_svc_A)</f>
        <v>4631.216169816</v>
      </c>
    </row>
    <row r="66" customFormat="false" ht="17.15" hidden="false" customHeight="false" outlineLevel="0" collapsed="false">
      <c r="A66" s="0" t="s">
        <v>403</v>
      </c>
      <c r="B66" s="0" t="s">
        <v>41</v>
      </c>
      <c r="C66" s="16" t="n">
        <f aca="false">a25_oth</f>
        <v>1208.828</v>
      </c>
      <c r="D66" s="16" t="n">
        <f aca="false">a26_oth</f>
        <v>1334.479</v>
      </c>
      <c r="E66" s="16" t="n">
        <f aca="false">D66*(1+g_oth_A)</f>
        <v>1494.61648</v>
      </c>
      <c r="F66" s="16" t="n">
        <f aca="false">E66*(1+g_oth_A)</f>
        <v>1673.9704576</v>
      </c>
      <c r="G66" s="16" t="n">
        <f aca="false">F66*(1+g_oth_A)</f>
        <v>1874.846912512</v>
      </c>
    </row>
    <row r="67" customFormat="false" ht="17.15" hidden="false" customHeight="false" outlineLevel="0" collapsed="false">
      <c r="A67" s="5" t="s">
        <v>248</v>
      </c>
      <c r="B67" s="0" t="s">
        <v>41</v>
      </c>
      <c r="C67" s="16" t="n">
        <f aca="false">C64+C65+C66</f>
        <v>12156.162</v>
      </c>
      <c r="D67" s="16" t="n">
        <f aca="false">D64+D65+D66</f>
        <v>13579.476</v>
      </c>
      <c r="E67" s="16" t="n">
        <f aca="false">E64+E65+E66</f>
        <v>17376.1265661566</v>
      </c>
      <c r="F67" s="16" t="n">
        <f aca="false">F64+F65+F66</f>
        <v>19433.2321765766</v>
      </c>
      <c r="G67" s="16" t="n">
        <f aca="false">G64+G65+G66</f>
        <v>21969.0107111311</v>
      </c>
      <c r="H67" s="8" t="s">
        <v>404</v>
      </c>
    </row>
    <row r="68" customFormat="false" ht="17.15" hidden="false" customHeight="false" outlineLevel="0" collapsed="false">
      <c r="A68" s="5" t="s">
        <v>267</v>
      </c>
      <c r="B68" s="0" t="s">
        <v>41</v>
      </c>
      <c r="C68" s="16" t="n">
        <f aca="false">a25_gp</f>
        <v>7404.295</v>
      </c>
      <c r="D68" s="16" t="n">
        <f aca="false">a26_gp</f>
        <v>8324.416</v>
      </c>
      <c r="E68" s="16" t="n">
        <f aca="false">a26_gp+gm_inc*(E67-a26_rev)</f>
        <v>10778.813213533</v>
      </c>
      <c r="F68" s="16" t="n">
        <f aca="false">a26_gp+gm_inc*(F67-a26_rev)</f>
        <v>12108.6575566402</v>
      </c>
      <c r="G68" s="16" t="n">
        <f aca="false">a26_gp+gm_inc*(G67-a26_rev)</f>
        <v>13747.9466249645</v>
      </c>
      <c r="H68" s="8" t="s">
        <v>405</v>
      </c>
    </row>
    <row r="69" customFormat="false" ht="15" hidden="false" customHeight="false" outlineLevel="0" collapsed="false">
      <c r="A69" s="5" t="s">
        <v>363</v>
      </c>
      <c r="B69" s="0" t="s">
        <v>26</v>
      </c>
      <c r="C69" s="10" t="n">
        <f aca="false">C68/C67</f>
        <v>0.609098085398994</v>
      </c>
      <c r="D69" s="10" t="n">
        <f aca="false">D68/D67</f>
        <v>0.613014522798965</v>
      </c>
      <c r="E69" s="10" t="n">
        <f aca="false">E68/E67</f>
        <v>0.620323129697207</v>
      </c>
      <c r="F69" s="10" t="n">
        <f aca="false">F68/F67</f>
        <v>0.623090253161033</v>
      </c>
      <c r="G69" s="10" t="n">
        <f aca="false">G68/G67</f>
        <v>0.625788152490578</v>
      </c>
    </row>
    <row r="70" customFormat="false" ht="15" hidden="false" customHeight="false" outlineLevel="0" collapsed="false">
      <c r="A70" s="5" t="s">
        <v>406</v>
      </c>
      <c r="B70" s="0" t="s">
        <v>41</v>
      </c>
      <c r="C70" s="16" t="n">
        <f aca="false">a25_opx</f>
        <v>2390.068</v>
      </c>
      <c r="D70" s="16" t="n">
        <f aca="false">a26_opx</f>
        <v>2663.636</v>
      </c>
      <c r="E70" s="16" t="n">
        <f aca="false">opex27</f>
        <v>2865</v>
      </c>
      <c r="F70" s="16" t="n">
        <f aca="false">E70*(1+g_opex_A)</f>
        <v>3094.2</v>
      </c>
      <c r="G70" s="16" t="n">
        <f aca="false">F70*(1+g_opex_A)</f>
        <v>3341.736</v>
      </c>
    </row>
    <row r="71" customFormat="false" ht="17.15" hidden="false" customHeight="false" outlineLevel="0" collapsed="false">
      <c r="A71" s="5" t="s">
        <v>364</v>
      </c>
      <c r="B71" s="0" t="s">
        <v>41</v>
      </c>
      <c r="C71" s="16" t="n">
        <f aca="false">a25_oi</f>
        <v>4775.127</v>
      </c>
      <c r="D71" s="16" t="n">
        <f aca="false">D68-D70</f>
        <v>5660.78</v>
      </c>
      <c r="E71" s="16" t="n">
        <f aca="false">E68-E70</f>
        <v>7913.81321353304</v>
      </c>
      <c r="F71" s="16" t="n">
        <f aca="false">F68-F70</f>
        <v>9014.45755664024</v>
      </c>
      <c r="G71" s="16" t="n">
        <f aca="false">G68-G70</f>
        <v>10406.2106249645</v>
      </c>
      <c r="H71" s="8" t="s">
        <v>407</v>
      </c>
    </row>
    <row r="72" customFormat="false" ht="15" hidden="false" customHeight="false" outlineLevel="0" collapsed="false">
      <c r="A72" s="5" t="s">
        <v>365</v>
      </c>
      <c r="B72" s="0" t="s">
        <v>26</v>
      </c>
      <c r="C72" s="10" t="n">
        <f aca="false">C71/C67</f>
        <v>0.392815347475626</v>
      </c>
      <c r="D72" s="10" t="n">
        <f aca="false">D71/D67</f>
        <v>0.416862918716451</v>
      </c>
      <c r="E72" s="10" t="n">
        <f aca="false">E71/E67</f>
        <v>0.455441734002257</v>
      </c>
      <c r="F72" s="10" t="n">
        <f aca="false">F71/F67</f>
        <v>0.463868155062008</v>
      </c>
      <c r="G72" s="10" t="n">
        <f aca="false">G71/G67</f>
        <v>0.473676796911566</v>
      </c>
    </row>
    <row r="73" customFormat="false" ht="15" hidden="false" customHeight="false" outlineLevel="0" collapsed="false">
      <c r="A73" s="5" t="s">
        <v>408</v>
      </c>
      <c r="B73" s="0" t="s">
        <v>41</v>
      </c>
      <c r="C73" s="16" t="n">
        <f aca="false">a25_nonop</f>
        <v>-130.679</v>
      </c>
      <c r="D73" s="16" t="n">
        <f aca="false">a26_nonop</f>
        <v>-54.855</v>
      </c>
      <c r="E73" s="16" t="n">
        <f aca="false">oth_exp</f>
        <v>-100</v>
      </c>
      <c r="F73" s="16" t="n">
        <f aca="false">oth_exp</f>
        <v>-100</v>
      </c>
      <c r="G73" s="16" t="n">
        <f aca="false">oth_exp</f>
        <v>-100</v>
      </c>
    </row>
    <row r="74" customFormat="false" ht="15" hidden="false" customHeight="false" outlineLevel="0" collapsed="false">
      <c r="A74" s="5" t="s">
        <v>366</v>
      </c>
      <c r="B74" s="0" t="s">
        <v>41</v>
      </c>
      <c r="C74" s="16" t="n">
        <f aca="false">a25_ni</f>
        <v>4061.643</v>
      </c>
      <c r="D74" s="16" t="n">
        <f aca="false">a26_ni</f>
        <v>4830.771</v>
      </c>
      <c r="E74" s="16" t="n">
        <f aca="false">(E71+E73)*(1-tax)</f>
        <v>6680.81029757075</v>
      </c>
      <c r="F74" s="16" t="n">
        <f aca="false">(F71+F73)*(1-tax)</f>
        <v>7621.86121092741</v>
      </c>
      <c r="G74" s="16" t="n">
        <f aca="false">(G71+G73)*(1-tax)</f>
        <v>8811.81008434462</v>
      </c>
    </row>
    <row r="75" customFormat="false" ht="15" hidden="false" customHeight="false" outlineLevel="0" collapsed="false">
      <c r="A75" s="5" t="s">
        <v>409</v>
      </c>
      <c r="B75" s="5" t="s">
        <v>151</v>
      </c>
      <c r="C75" s="16" t="n">
        <f aca="false">a25_sh</f>
        <v>1337.502</v>
      </c>
      <c r="D75" s="16" t="n">
        <f aca="false">a26_sh</f>
        <v>1319.633</v>
      </c>
      <c r="E75" s="16" t="n">
        <f aca="false">shares27</f>
        <v>1312</v>
      </c>
      <c r="F75" s="16" t="n">
        <f aca="false">E75*(1-bb)</f>
        <v>1294.47170621053</v>
      </c>
      <c r="G75" s="16" t="n">
        <f aca="false">F75*(1-bb)</f>
        <v>1277.17759007592</v>
      </c>
    </row>
    <row r="76" customFormat="false" ht="17.15" hidden="false" customHeight="false" outlineLevel="0" collapsed="false">
      <c r="A76" s="0" t="s">
        <v>367</v>
      </c>
      <c r="B76" s="0" t="s">
        <v>169</v>
      </c>
      <c r="C76" s="13" t="n">
        <f aca="false">a25_eps</f>
        <v>3.04</v>
      </c>
      <c r="D76" s="13" t="n">
        <f aca="false">a26_eps</f>
        <v>3.66</v>
      </c>
      <c r="E76" s="13" t="n">
        <f aca="false">E74/E75</f>
        <v>5.0920810194899</v>
      </c>
      <c r="F76" s="13" t="n">
        <f aca="false">F74/F75</f>
        <v>5.88800911936486</v>
      </c>
      <c r="G76" s="13" t="n">
        <f aca="false">G74/G75</f>
        <v>6.89943994696995</v>
      </c>
    </row>
    <row r="77" customFormat="false" ht="17.15" hidden="false" customHeight="false" outlineLevel="0" collapsed="false">
      <c r="A77" s="5" t="s">
        <v>410</v>
      </c>
      <c r="B77" s="0" t="s">
        <v>41</v>
      </c>
      <c r="D77" s="20" t="n">
        <f aca="false">a26_rev*chn_sh26</f>
        <v>4073.8428</v>
      </c>
      <c r="E77" s="20" t="n">
        <f aca="false">E67*chn_sh26*(1-chn_cut_lo*IF(2027=2027,0.5,1))</f>
        <v>4561.2332236161</v>
      </c>
      <c r="F77" s="20" t="n">
        <f aca="false">F67*chn_sh26*(1-chn_cut_lo*IF(2028=2027,0.5,1))</f>
        <v>4372.47723972974</v>
      </c>
      <c r="G77" s="20" t="n">
        <f aca="false">G67*chn_sh26*(1-chn_cut_lo*IF(2029=2027,0.5,1))</f>
        <v>4943.0274100045</v>
      </c>
      <c r="H77" s="5" t="s">
        <v>411</v>
      </c>
    </row>
    <row r="86" customFormat="false" ht="17.15" hidden="false" customHeight="false" outlineLevel="0" collapsed="false">
      <c r="A86" s="3" t="s">
        <v>697</v>
      </c>
    </row>
    <row r="87" customFormat="false" ht="17.15" hidden="false" customHeight="false" outlineLevel="0" collapsed="false">
      <c r="A87" s="6" t="s">
        <v>15</v>
      </c>
      <c r="B87" s="6" t="s">
        <v>16</v>
      </c>
      <c r="C87" s="14" t="s">
        <v>377</v>
      </c>
      <c r="D87" s="14" t="s">
        <v>378</v>
      </c>
      <c r="E87" s="14" t="s">
        <v>379</v>
      </c>
      <c r="F87" s="14" t="s">
        <v>380</v>
      </c>
      <c r="G87" s="14" t="s">
        <v>381</v>
      </c>
      <c r="H87" s="6" t="s">
        <v>306</v>
      </c>
    </row>
    <row r="88" customFormat="false" ht="17.15" hidden="false" customHeight="false" outlineLevel="0" collapsed="false">
      <c r="A88" s="1" t="s">
        <v>382</v>
      </c>
    </row>
    <row r="89" customFormat="false" ht="17.15" hidden="false" customHeight="false" outlineLevel="0" collapsed="false">
      <c r="A89" s="5" t="s">
        <v>383</v>
      </c>
      <c r="B89" s="0" t="s">
        <v>41</v>
      </c>
      <c r="C89" s="16" t="n">
        <f aca="false">(Units!C8+m_mem*Units!C11)*1000</f>
        <v>117874.05938505</v>
      </c>
      <c r="D89" s="16" t="n">
        <f aca="false">(Units!D8+m_mem*Units!D11)*1000</f>
        <v>157598.72745742</v>
      </c>
      <c r="E89" s="16" t="n">
        <f aca="false">(Units!E8+m_mem*Units!E11)*1000</f>
        <v>194734.950900524</v>
      </c>
      <c r="F89" s="16" t="n">
        <f aca="false">(Units!F8+m_mem*Units!F11)*1000</f>
        <v>218802.231022447</v>
      </c>
      <c r="G89" s="16" t="n">
        <f aca="false">(Units!G8+m_mem*Units!G11)*1000</f>
        <v>231172.69409247</v>
      </c>
      <c r="H89" s="5" t="s">
        <v>384</v>
      </c>
    </row>
    <row r="90" customFormat="false" ht="15" hidden="false" customHeight="false" outlineLevel="0" collapsed="false">
      <c r="A90" s="5" t="s">
        <v>385</v>
      </c>
      <c r="B90" s="0" t="s">
        <v>41</v>
      </c>
      <c r="C90" s="16" t="n">
        <f aca="false">Units!C12*1000</f>
        <v>3056.56934306569</v>
      </c>
      <c r="D90" s="16" t="n">
        <f aca="false">Units!D12*1000</f>
        <v>3350</v>
      </c>
      <c r="E90" s="16" t="n">
        <f aca="false">Units!E12*1000</f>
        <v>3795.39194286967</v>
      </c>
      <c r="F90" s="16" t="n">
        <f aca="false">Units!F12*1000</f>
        <v>4300</v>
      </c>
      <c r="G90" s="16" t="n">
        <f aca="false">Units!G12*1000</f>
        <v>4644</v>
      </c>
    </row>
    <row r="91" customFormat="false" ht="17.15" hidden="false" customHeight="false" outlineLevel="0" collapsed="false">
      <c r="A91" s="5" t="s">
        <v>386</v>
      </c>
      <c r="B91" s="0" t="s">
        <v>41</v>
      </c>
      <c r="D91" s="16" t="n">
        <f aca="false">h1_rev*(2+h2up)</f>
        <v>15559.8432</v>
      </c>
      <c r="H91" s="5" t="s">
        <v>387</v>
      </c>
    </row>
    <row r="92" customFormat="false" ht="17.15" hidden="false" customHeight="false" outlineLevel="0" collapsed="false">
      <c r="A92" s="5" t="s">
        <v>388</v>
      </c>
      <c r="B92" s="0" t="s">
        <v>41</v>
      </c>
      <c r="D92" s="16" t="n">
        <f aca="false">h1_svc*(2+g_svc_h2)</f>
        <v>3286.1223</v>
      </c>
    </row>
    <row r="93" customFormat="false" ht="17.15" hidden="false" customHeight="false" outlineLevel="0" collapsed="false">
      <c r="A93" s="0" t="s">
        <v>389</v>
      </c>
      <c r="B93" s="0" t="s">
        <v>41</v>
      </c>
      <c r="D93" s="16" t="n">
        <f aca="false">cy25_oth*(1+g_oth26)</f>
        <v>1528.965</v>
      </c>
    </row>
    <row r="94" customFormat="false" ht="17.15" hidden="false" customHeight="false" outlineLevel="0" collapsed="false">
      <c r="A94" s="5" t="s">
        <v>390</v>
      </c>
      <c r="B94" s="0" t="s">
        <v>41</v>
      </c>
      <c r="C94" s="16" t="n">
        <f aca="false">ap26/(1+ap_g26)</f>
        <v>647.058823529412</v>
      </c>
      <c r="D94" s="16" t="n">
        <f aca="false">ap26</f>
        <v>1100</v>
      </c>
      <c r="E94" s="16" t="n">
        <f aca="false">D94*(1+k_ap*(E90/D90-1))</f>
        <v>1392.49620128754</v>
      </c>
      <c r="F94" s="16" t="n">
        <f aca="false">E94*(1+k_ap*(F90/E90-1))</f>
        <v>1762.76879145476</v>
      </c>
      <c r="G94" s="16" t="n">
        <f aca="false">F94*(1+k_ap*(G90/F90-1))</f>
        <v>2044.81179808753</v>
      </c>
      <c r="H94" s="8" t="s">
        <v>391</v>
      </c>
    </row>
    <row r="95" customFormat="false" ht="17.15" hidden="false" customHeight="false" outlineLevel="0" collapsed="false">
      <c r="A95" s="5" t="s">
        <v>392</v>
      </c>
      <c r="B95" s="0" t="s">
        <v>41</v>
      </c>
      <c r="C95" s="16" t="n">
        <f aca="false">C97-C94</f>
        <v>7971.85117647059</v>
      </c>
      <c r="D95" s="16" t="n">
        <f aca="false">D97-D94</f>
        <v>9644.7559</v>
      </c>
      <c r="E95" s="16" t="n">
        <f aca="false">E96*E89</f>
        <v>12268.521584997</v>
      </c>
      <c r="F95" s="16" t="n">
        <f aca="false">F96*F89</f>
        <v>14190.8975186426</v>
      </c>
      <c r="G95" s="16" t="n">
        <f aca="false">G96*G89</f>
        <v>15434.9221703084</v>
      </c>
      <c r="H95" s="8" t="s">
        <v>393</v>
      </c>
    </row>
    <row r="96" customFormat="false" ht="17.15" hidden="false" customHeight="false" outlineLevel="0" collapsed="false">
      <c r="A96" s="5" t="s">
        <v>394</v>
      </c>
      <c r="B96" s="0" t="s">
        <v>26</v>
      </c>
      <c r="C96" s="21" t="n">
        <f aca="false">C95/C89</f>
        <v>0.0676302421250259</v>
      </c>
      <c r="D96" s="21" t="n">
        <f aca="false">D95/D89</f>
        <v>0.0611981838660836</v>
      </c>
      <c r="E96" s="21" t="n">
        <f aca="false">$D96*(1+pc_u)^1</f>
        <v>0.0630011280885271</v>
      </c>
      <c r="F96" s="21" t="n">
        <f aca="false">$D96*(1+pc_u)^2</f>
        <v>0.0648571883948786</v>
      </c>
      <c r="G96" s="21" t="n">
        <f aca="false">$D96*(1+pc_u)^3</f>
        <v>0.0667679296246569</v>
      </c>
      <c r="H96" s="8" t="s">
        <v>395</v>
      </c>
    </row>
    <row r="97" customFormat="false" ht="17.15" hidden="false" customHeight="false" outlineLevel="0" collapsed="false">
      <c r="A97" s="5" t="s">
        <v>396</v>
      </c>
      <c r="B97" s="0" t="s">
        <v>41</v>
      </c>
      <c r="C97" s="16" t="n">
        <f aca="false">cy25_sys</f>
        <v>8618.91</v>
      </c>
      <c r="D97" s="16" t="n">
        <f aca="false">D91-D92-D93</f>
        <v>10744.7559</v>
      </c>
      <c r="E97" s="16" t="n">
        <f aca="false">(E95+E94)*(1-chn_sh26*chn_cut_hi)</f>
        <v>11611.8651183418</v>
      </c>
      <c r="F97" s="16" t="n">
        <f aca="false">(F95+F94)*(1-chn_sh26*chn_cut_hi)</f>
        <v>13560.6163635827</v>
      </c>
      <c r="G97" s="16" t="n">
        <f aca="false">(G95+G94)*(1-chn_sh26*chn_cut_hi)</f>
        <v>14857.7738731365</v>
      </c>
      <c r="H97" s="8" t="s">
        <v>397</v>
      </c>
    </row>
    <row r="98" customFormat="false" ht="17.15" hidden="false" customHeight="false" outlineLevel="0" collapsed="false">
      <c r="A98" s="5" t="s">
        <v>398</v>
      </c>
      <c r="B98" s="0" t="s">
        <v>26</v>
      </c>
      <c r="C98" s="10" t="n">
        <f aca="false">C96/kla_sh_pc</f>
        <v>0.116603865732803</v>
      </c>
      <c r="D98" s="10" t="n">
        <f aca="false">D96/kla_sh_pc</f>
        <v>0.105514110113937</v>
      </c>
      <c r="E98" s="10" t="n">
        <f aca="false">E96/kla_sh_pc</f>
        <v>0.108622634635392</v>
      </c>
      <c r="F98" s="10" t="n">
        <f aca="false">F96/kla_sh_pc</f>
        <v>0.11182273861186</v>
      </c>
      <c r="G98" s="10" t="n">
        <f aca="false">G96/kla_sh_pc</f>
        <v>0.115117120042512</v>
      </c>
      <c r="H98" s="8" t="s">
        <v>399</v>
      </c>
    </row>
    <row r="99" customFormat="false" ht="17.15" hidden="false" customHeight="false" outlineLevel="0" collapsed="false">
      <c r="A99" s="1" t="s">
        <v>400</v>
      </c>
    </row>
    <row r="100" customFormat="false" ht="17.15" hidden="false" customHeight="false" outlineLevel="0" collapsed="false">
      <c r="A100" s="5" t="s">
        <v>401</v>
      </c>
      <c r="B100" s="0" t="s">
        <v>41</v>
      </c>
      <c r="C100" s="16" t="n">
        <f aca="false">a25_sys</f>
        <v>8264.026</v>
      </c>
      <c r="D100" s="16" t="n">
        <f aca="false">a26_sys</f>
        <v>9119.058</v>
      </c>
      <c r="E100" s="16" t="n">
        <f aca="false">(D97-h1_sys)+0.5*E97</f>
        <v>11805.6514591709</v>
      </c>
      <c r="F100" s="16" t="n">
        <f aca="false">0.5*E97+0.5*F97</f>
        <v>12586.2407409623</v>
      </c>
      <c r="G100" s="16" t="n">
        <f aca="false">0.5*F97+0.5*G97</f>
        <v>14209.1951183596</v>
      </c>
      <c r="H100" s="8" t="s">
        <v>402</v>
      </c>
    </row>
    <row r="101" customFormat="false" ht="15" hidden="false" customHeight="false" outlineLevel="0" collapsed="false">
      <c r="A101" s="5" t="s">
        <v>254</v>
      </c>
      <c r="B101" s="0" t="s">
        <v>41</v>
      </c>
      <c r="C101" s="16" t="n">
        <f aca="false">a25_svc</f>
        <v>2683.308</v>
      </c>
      <c r="D101" s="16" t="n">
        <f aca="false">a26_svc</f>
        <v>3125.939</v>
      </c>
      <c r="E101" s="16" t="n">
        <f aca="false">D101*(1+g_svc_A)</f>
        <v>3563.57046</v>
      </c>
      <c r="F101" s="16" t="n">
        <f aca="false">E101*(1+g_svc_A)</f>
        <v>4062.4703244</v>
      </c>
      <c r="G101" s="16" t="n">
        <f aca="false">F101*(1+g_svc_A)</f>
        <v>4631.216169816</v>
      </c>
    </row>
    <row r="102" customFormat="false" ht="17.15" hidden="false" customHeight="false" outlineLevel="0" collapsed="false">
      <c r="A102" s="0" t="s">
        <v>403</v>
      </c>
      <c r="B102" s="0" t="s">
        <v>41</v>
      </c>
      <c r="C102" s="16" t="n">
        <f aca="false">a25_oth</f>
        <v>1208.828</v>
      </c>
      <c r="D102" s="16" t="n">
        <f aca="false">a26_oth</f>
        <v>1334.479</v>
      </c>
      <c r="E102" s="16" t="n">
        <f aca="false">D102*(1+g_oth_A)</f>
        <v>1494.61648</v>
      </c>
      <c r="F102" s="16" t="n">
        <f aca="false">E102*(1+g_oth_A)</f>
        <v>1673.9704576</v>
      </c>
      <c r="G102" s="16" t="n">
        <f aca="false">F102*(1+g_oth_A)</f>
        <v>1874.846912512</v>
      </c>
    </row>
    <row r="103" customFormat="false" ht="17.15" hidden="false" customHeight="false" outlineLevel="0" collapsed="false">
      <c r="A103" s="5" t="s">
        <v>248</v>
      </c>
      <c r="B103" s="0" t="s">
        <v>41</v>
      </c>
      <c r="C103" s="16" t="n">
        <f aca="false">C100+C101+C102</f>
        <v>12156.162</v>
      </c>
      <c r="D103" s="16" t="n">
        <f aca="false">D100+D101+D102</f>
        <v>13579.476</v>
      </c>
      <c r="E103" s="16" t="n">
        <f aca="false">E100+E101+E102</f>
        <v>16863.8383991709</v>
      </c>
      <c r="F103" s="16" t="n">
        <f aca="false">F100+F101+F102</f>
        <v>18322.6815229623</v>
      </c>
      <c r="G103" s="16" t="n">
        <f aca="false">G100+G101+G102</f>
        <v>20715.2582006876</v>
      </c>
      <c r="H103" s="8" t="s">
        <v>404</v>
      </c>
    </row>
    <row r="104" customFormat="false" ht="17.15" hidden="false" customHeight="false" outlineLevel="0" collapsed="false">
      <c r="A104" s="5" t="s">
        <v>267</v>
      </c>
      <c r="B104" s="0" t="s">
        <v>41</v>
      </c>
      <c r="C104" s="16" t="n">
        <f aca="false">a25_gp</f>
        <v>7404.295</v>
      </c>
      <c r="D104" s="16" t="n">
        <f aca="false">a26_gp</f>
        <v>8324.416</v>
      </c>
      <c r="E104" s="16" t="n">
        <f aca="false">a26_gp+gm_inc*(E103-a26_rev)</f>
        <v>10447.6374501421</v>
      </c>
      <c r="F104" s="16" t="n">
        <f aca="false">a26_gp+gm_inc*(F103-a26_rev)</f>
        <v>11390.7267430922</v>
      </c>
      <c r="G104" s="16" t="n">
        <f aca="false">a26_gp+gm_inc*(G103-a26_rev)</f>
        <v>12937.4409925729</v>
      </c>
      <c r="H104" s="8" t="s">
        <v>405</v>
      </c>
    </row>
    <row r="105" customFormat="false" ht="15" hidden="false" customHeight="false" outlineLevel="0" collapsed="false">
      <c r="A105" s="5" t="s">
        <v>363</v>
      </c>
      <c r="B105" s="0" t="s">
        <v>26</v>
      </c>
      <c r="C105" s="10" t="n">
        <f aca="false">C104/C103</f>
        <v>0.609098085398994</v>
      </c>
      <c r="D105" s="10" t="n">
        <f aca="false">D104/D103</f>
        <v>0.613014522798965</v>
      </c>
      <c r="E105" s="10" t="n">
        <f aca="false">E104/E103</f>
        <v>0.619529030274373</v>
      </c>
      <c r="F105" s="10" t="n">
        <f aca="false">F104/F103</f>
        <v>0.621673565019246</v>
      </c>
      <c r="G105" s="10" t="n">
        <f aca="false">G104/G103</f>
        <v>0.624536796367011</v>
      </c>
    </row>
    <row r="106" customFormat="false" ht="15" hidden="false" customHeight="false" outlineLevel="0" collapsed="false">
      <c r="A106" s="5" t="s">
        <v>406</v>
      </c>
      <c r="B106" s="0" t="s">
        <v>41</v>
      </c>
      <c r="C106" s="16" t="n">
        <f aca="false">a25_opx</f>
        <v>2390.068</v>
      </c>
      <c r="D106" s="16" t="n">
        <f aca="false">a26_opx</f>
        <v>2663.636</v>
      </c>
      <c r="E106" s="16" t="n">
        <f aca="false">opex27</f>
        <v>2865</v>
      </c>
      <c r="F106" s="16" t="n">
        <f aca="false">E106*(1+g_opex_A)</f>
        <v>3094.2</v>
      </c>
      <c r="G106" s="16" t="n">
        <f aca="false">F106*(1+g_opex_A)</f>
        <v>3341.736</v>
      </c>
    </row>
    <row r="107" customFormat="false" ht="17.15" hidden="false" customHeight="false" outlineLevel="0" collapsed="false">
      <c r="A107" s="5" t="s">
        <v>364</v>
      </c>
      <c r="B107" s="0" t="s">
        <v>41</v>
      </c>
      <c r="C107" s="16" t="n">
        <f aca="false">a25_oi</f>
        <v>4775.127</v>
      </c>
      <c r="D107" s="16" t="n">
        <f aca="false">D104-D106</f>
        <v>5660.78</v>
      </c>
      <c r="E107" s="16" t="n">
        <f aca="false">E104-E106</f>
        <v>7582.63745014209</v>
      </c>
      <c r="F107" s="16" t="n">
        <f aca="false">F104-F106</f>
        <v>8296.52674309224</v>
      </c>
      <c r="G107" s="16" t="n">
        <f aca="false">G104-G106</f>
        <v>9595.7049925729</v>
      </c>
      <c r="H107" s="8" t="s">
        <v>407</v>
      </c>
    </row>
    <row r="108" customFormat="false" ht="15" hidden="false" customHeight="false" outlineLevel="0" collapsed="false">
      <c r="A108" s="5" t="s">
        <v>365</v>
      </c>
      <c r="B108" s="0" t="s">
        <v>26</v>
      </c>
      <c r="C108" s="10" t="n">
        <f aca="false">C107/C103</f>
        <v>0.392815347475626</v>
      </c>
      <c r="D108" s="10" t="n">
        <f aca="false">D107/D103</f>
        <v>0.416862918716451</v>
      </c>
      <c r="E108" s="10" t="n">
        <f aca="false">E107/E103</f>
        <v>0.449638882362326</v>
      </c>
      <c r="F108" s="10" t="n">
        <f aca="false">F107/F103</f>
        <v>0.452800903224503</v>
      </c>
      <c r="G108" s="10" t="n">
        <f aca="false">G107/G103</f>
        <v>0.463219183638</v>
      </c>
    </row>
    <row r="109" customFormat="false" ht="15" hidden="false" customHeight="false" outlineLevel="0" collapsed="false">
      <c r="A109" s="5" t="s">
        <v>408</v>
      </c>
      <c r="B109" s="0" t="s">
        <v>41</v>
      </c>
      <c r="C109" s="16" t="n">
        <f aca="false">a25_nonop</f>
        <v>-130.679</v>
      </c>
      <c r="D109" s="16" t="n">
        <f aca="false">a26_nonop</f>
        <v>-54.855</v>
      </c>
      <c r="E109" s="16" t="n">
        <f aca="false">oth_exp</f>
        <v>-100</v>
      </c>
      <c r="F109" s="16" t="n">
        <f aca="false">oth_exp</f>
        <v>-100</v>
      </c>
      <c r="G109" s="16" t="n">
        <f aca="false">oth_exp</f>
        <v>-100</v>
      </c>
    </row>
    <row r="110" customFormat="false" ht="15" hidden="false" customHeight="false" outlineLevel="0" collapsed="false">
      <c r="A110" s="5" t="s">
        <v>366</v>
      </c>
      <c r="B110" s="0" t="s">
        <v>41</v>
      </c>
      <c r="C110" s="16" t="n">
        <f aca="false">a25_ni</f>
        <v>4061.643</v>
      </c>
      <c r="D110" s="16" t="n">
        <f aca="false">a26_ni</f>
        <v>4830.771</v>
      </c>
      <c r="E110" s="16" t="n">
        <f aca="false">(E107+E109)*(1-tax)</f>
        <v>6397.65501987149</v>
      </c>
      <c r="F110" s="16" t="n">
        <f aca="false">(F107+F109)*(1-tax)</f>
        <v>7008.03036534386</v>
      </c>
      <c r="G110" s="16" t="n">
        <f aca="false">(G107+G109)*(1-tax)</f>
        <v>8118.82776864983</v>
      </c>
    </row>
    <row r="111" customFormat="false" ht="15" hidden="false" customHeight="false" outlineLevel="0" collapsed="false">
      <c r="A111" s="5" t="s">
        <v>409</v>
      </c>
      <c r="B111" s="5" t="s">
        <v>151</v>
      </c>
      <c r="C111" s="16" t="n">
        <f aca="false">a25_sh</f>
        <v>1337.502</v>
      </c>
      <c r="D111" s="16" t="n">
        <f aca="false">a26_sh</f>
        <v>1319.633</v>
      </c>
      <c r="E111" s="16" t="n">
        <f aca="false">shares27</f>
        <v>1312</v>
      </c>
      <c r="F111" s="16" t="n">
        <f aca="false">E111*(1-bb)</f>
        <v>1294.47170621053</v>
      </c>
      <c r="G111" s="16" t="n">
        <f aca="false">F111*(1-bb)</f>
        <v>1277.17759007592</v>
      </c>
    </row>
    <row r="112" customFormat="false" ht="17.15" hidden="false" customHeight="false" outlineLevel="0" collapsed="false">
      <c r="A112" s="0" t="s">
        <v>367</v>
      </c>
      <c r="B112" s="0" t="s">
        <v>169</v>
      </c>
      <c r="C112" s="13" t="n">
        <f aca="false">a25_eps</f>
        <v>3.04</v>
      </c>
      <c r="D112" s="13" t="n">
        <f aca="false">a26_eps</f>
        <v>3.66</v>
      </c>
      <c r="E112" s="13" t="n">
        <f aca="false">E110/E111</f>
        <v>4.87626144807278</v>
      </c>
      <c r="F112" s="13" t="n">
        <f aca="false">F110/F111</f>
        <v>5.41381501945634</v>
      </c>
      <c r="G112" s="13" t="n">
        <f aca="false">G110/G111</f>
        <v>6.35685110021952</v>
      </c>
    </row>
    <row r="113" customFormat="false" ht="17.15" hidden="false" customHeight="false" outlineLevel="0" collapsed="false">
      <c r="A113" s="5" t="s">
        <v>410</v>
      </c>
      <c r="B113" s="0" t="s">
        <v>41</v>
      </c>
      <c r="D113" s="20" t="n">
        <f aca="false">a26_rev*chn_sh26</f>
        <v>4073.8428</v>
      </c>
      <c r="E113" s="20" t="n">
        <f aca="false">E103*chn_sh26*(1-chn_cut_hi*IF(2027=2027,0.5,1))</f>
        <v>3794.36363981346</v>
      </c>
      <c r="F113" s="20" t="n">
        <f aca="false">F103*chn_sh26*(1-chn_cut_hi*IF(2028=2027,0.5,1))</f>
        <v>2748.40222844434</v>
      </c>
      <c r="G113" s="20" t="n">
        <f aca="false">G103*chn_sh26*(1-chn_cut_hi*IF(2029=2027,0.5,1))</f>
        <v>3107.28873010314</v>
      </c>
      <c r="H113" s="5" t="s">
        <v>411</v>
      </c>
    </row>
    <row r="122" customFormat="false" ht="17.15" hidden="false" customHeight="false" outlineLevel="0" collapsed="false">
      <c r="A122" s="3" t="s">
        <v>698</v>
      </c>
    </row>
    <row r="123" customFormat="false" ht="17.15" hidden="false" customHeight="false" outlineLevel="0" collapsed="false">
      <c r="A123" s="6" t="s">
        <v>15</v>
      </c>
      <c r="B123" s="6" t="s">
        <v>16</v>
      </c>
      <c r="C123" s="14" t="s">
        <v>377</v>
      </c>
      <c r="D123" s="14" t="s">
        <v>378</v>
      </c>
      <c r="E123" s="14" t="s">
        <v>379</v>
      </c>
      <c r="F123" s="14" t="s">
        <v>380</v>
      </c>
      <c r="G123" s="14" t="s">
        <v>381</v>
      </c>
      <c r="H123" s="6" t="s">
        <v>306</v>
      </c>
    </row>
    <row r="124" customFormat="false" ht="17.15" hidden="false" customHeight="false" outlineLevel="0" collapsed="false">
      <c r="A124" s="1" t="s">
        <v>382</v>
      </c>
    </row>
    <row r="125" customFormat="false" ht="17.15" hidden="false" customHeight="false" outlineLevel="0" collapsed="false">
      <c r="A125" s="5" t="s">
        <v>383</v>
      </c>
      <c r="B125" s="0" t="s">
        <v>41</v>
      </c>
      <c r="C125" s="16" t="n">
        <f aca="false">(Units!C8+m_mem*Units!C11)*1000</f>
        <v>117874.05938505</v>
      </c>
      <c r="D125" s="16" t="n">
        <f aca="false">(Units!D8+m_mem*Units!D11)*1000</f>
        <v>157598.72745742</v>
      </c>
      <c r="E125" s="16" t="n">
        <f aca="false">(Units!E8+m_mem*Units!E11)*1000</f>
        <v>194734.950900524</v>
      </c>
      <c r="F125" s="16" t="n">
        <f aca="false">(Units!F8+m_mem*Units!F11)*1000</f>
        <v>218802.231022447</v>
      </c>
      <c r="G125" s="16" t="n">
        <f aca="false">(Units!G8+m_mem*Units!G11)*1000</f>
        <v>231172.69409247</v>
      </c>
      <c r="H125" s="5" t="s">
        <v>384</v>
      </c>
    </row>
    <row r="126" customFormat="false" ht="15" hidden="false" customHeight="false" outlineLevel="0" collapsed="false">
      <c r="A126" s="5" t="s">
        <v>385</v>
      </c>
      <c r="B126" s="0" t="s">
        <v>41</v>
      </c>
      <c r="C126" s="16" t="n">
        <f aca="false">Units!C12*1000</f>
        <v>3056.56934306569</v>
      </c>
      <c r="D126" s="16" t="n">
        <f aca="false">Units!D12*1000</f>
        <v>3350</v>
      </c>
      <c r="E126" s="16" t="n">
        <f aca="false">Units!E12*1000</f>
        <v>3795.39194286967</v>
      </c>
      <c r="F126" s="16" t="n">
        <f aca="false">Units!F12*1000</f>
        <v>4300</v>
      </c>
      <c r="G126" s="16" t="n">
        <f aca="false">Units!G12*1000</f>
        <v>4644</v>
      </c>
    </row>
    <row r="127" customFormat="false" ht="17.15" hidden="false" customHeight="false" outlineLevel="0" collapsed="false">
      <c r="A127" s="5" t="s">
        <v>386</v>
      </c>
      <c r="B127" s="0" t="s">
        <v>41</v>
      </c>
      <c r="D127" s="16" t="n">
        <f aca="false">h1_rev*(2+h2up)</f>
        <v>15559.8432</v>
      </c>
      <c r="H127" s="5" t="s">
        <v>387</v>
      </c>
    </row>
    <row r="128" customFormat="false" ht="17.15" hidden="false" customHeight="false" outlineLevel="0" collapsed="false">
      <c r="A128" s="5" t="s">
        <v>388</v>
      </c>
      <c r="B128" s="0" t="s">
        <v>41</v>
      </c>
      <c r="D128" s="16" t="n">
        <f aca="false">h1_svc*(2+g_svc_h2)</f>
        <v>3286.1223</v>
      </c>
    </row>
    <row r="129" customFormat="false" ht="17.15" hidden="false" customHeight="false" outlineLevel="0" collapsed="false">
      <c r="A129" s="0" t="s">
        <v>389</v>
      </c>
      <c r="B129" s="0" t="s">
        <v>41</v>
      </c>
      <c r="D129" s="16" t="n">
        <f aca="false">cy25_oth*(1+g_oth26)</f>
        <v>1528.965</v>
      </c>
    </row>
    <row r="130" customFormat="false" ht="17.15" hidden="false" customHeight="false" outlineLevel="0" collapsed="false">
      <c r="A130" s="5" t="s">
        <v>390</v>
      </c>
      <c r="B130" s="0" t="s">
        <v>41</v>
      </c>
      <c r="C130" s="16" t="n">
        <f aca="false">ap26/(1+ap_g26)</f>
        <v>647.058823529412</v>
      </c>
      <c r="D130" s="16" t="n">
        <f aca="false">ap26</f>
        <v>1100</v>
      </c>
      <c r="E130" s="16" t="n">
        <f aca="false">D130*(1+k_ap*(E126/D126-1))</f>
        <v>1392.49620128754</v>
      </c>
      <c r="F130" s="16" t="n">
        <f aca="false">E130*(1+k_ap*(F126/E126-1))</f>
        <v>1762.76879145476</v>
      </c>
      <c r="G130" s="16" t="n">
        <f aca="false">F130*(1+k_ap*(G126/F126-1))</f>
        <v>2044.81179808753</v>
      </c>
      <c r="H130" s="8" t="s">
        <v>391</v>
      </c>
    </row>
    <row r="131" customFormat="false" ht="17.15" hidden="false" customHeight="false" outlineLevel="0" collapsed="false">
      <c r="A131" s="5" t="s">
        <v>392</v>
      </c>
      <c r="B131" s="0" t="s">
        <v>41</v>
      </c>
      <c r="C131" s="16" t="n">
        <f aca="false">C133-C130</f>
        <v>7971.85117647059</v>
      </c>
      <c r="D131" s="16" t="n">
        <f aca="false">D133-D130</f>
        <v>9644.7559</v>
      </c>
      <c r="E131" s="16" t="n">
        <f aca="false">E132*E125</f>
        <v>11917.425330363</v>
      </c>
      <c r="F131" s="16" t="n">
        <f aca="false">F132*F125</f>
        <v>13390.299164421</v>
      </c>
      <c r="G131" s="16" t="n">
        <f aca="false">G132*G125</f>
        <v>14147.3490378889</v>
      </c>
      <c r="H131" s="8" t="s">
        <v>393</v>
      </c>
    </row>
    <row r="132" customFormat="false" ht="17.15" hidden="false" customHeight="false" outlineLevel="0" collapsed="false">
      <c r="A132" s="5" t="s">
        <v>394</v>
      </c>
      <c r="B132" s="0" t="s">
        <v>26</v>
      </c>
      <c r="C132" s="21" t="n">
        <f aca="false">C131/C125</f>
        <v>0.0676302421250259</v>
      </c>
      <c r="D132" s="21" t="n">
        <f aca="false">D131/D125</f>
        <v>0.0611981838660836</v>
      </c>
      <c r="E132" s="21" t="n">
        <f aca="false">$D132*(1+pc_u_lo)^1</f>
        <v>0.0611981838660836</v>
      </c>
      <c r="F132" s="21" t="n">
        <f aca="false">$D132*(1+pc_u_lo)^2</f>
        <v>0.0611981838660836</v>
      </c>
      <c r="G132" s="21" t="n">
        <f aca="false">$D132*(1+pc_u_lo)^3</f>
        <v>0.0611981838660836</v>
      </c>
      <c r="H132" s="8" t="s">
        <v>395</v>
      </c>
    </row>
    <row r="133" customFormat="false" ht="17.15" hidden="false" customHeight="false" outlineLevel="0" collapsed="false">
      <c r="A133" s="5" t="s">
        <v>396</v>
      </c>
      <c r="B133" s="0" t="s">
        <v>41</v>
      </c>
      <c r="C133" s="16" t="n">
        <f aca="false">cy25_sys</f>
        <v>8618.91</v>
      </c>
      <c r="D133" s="16" t="n">
        <f aca="false">D127-D128-D129</f>
        <v>10744.7559</v>
      </c>
      <c r="E133" s="16" t="n">
        <f aca="false">(E131+E130)*(1-chn_sh26*chn_cut)</f>
        <v>13309.9215316506</v>
      </c>
      <c r="F133" s="16" t="n">
        <f aca="false">(F131+F130)*(1-chn_sh26*chn_cut)</f>
        <v>15153.0679558758</v>
      </c>
      <c r="G133" s="16" t="n">
        <f aca="false">(G131+G130)*(1-chn_sh26*chn_cut)</f>
        <v>16192.1608359764</v>
      </c>
      <c r="H133" s="8" t="s">
        <v>397</v>
      </c>
    </row>
    <row r="134" customFormat="false" ht="17.15" hidden="false" customHeight="false" outlineLevel="0" collapsed="false">
      <c r="A134" s="5" t="s">
        <v>398</v>
      </c>
      <c r="B134" s="0" t="s">
        <v>26</v>
      </c>
      <c r="C134" s="10" t="n">
        <f aca="false">C132/kla_sh_pc</f>
        <v>0.116603865732803</v>
      </c>
      <c r="D134" s="10" t="n">
        <f aca="false">D132/kla_sh_pc</f>
        <v>0.105514110113937</v>
      </c>
      <c r="E134" s="10" t="n">
        <f aca="false">E132/kla_sh_pc</f>
        <v>0.105514110113937</v>
      </c>
      <c r="F134" s="10" t="n">
        <f aca="false">F132/kla_sh_pc</f>
        <v>0.105514110113937</v>
      </c>
      <c r="G134" s="10" t="n">
        <f aca="false">G132/kla_sh_pc</f>
        <v>0.105514110113937</v>
      </c>
      <c r="H134" s="8" t="s">
        <v>399</v>
      </c>
    </row>
    <row r="135" customFormat="false" ht="17.15" hidden="false" customHeight="false" outlineLevel="0" collapsed="false">
      <c r="A135" s="1" t="s">
        <v>400</v>
      </c>
    </row>
    <row r="136" customFormat="false" ht="17.15" hidden="false" customHeight="false" outlineLevel="0" collapsed="false">
      <c r="A136" s="5" t="s">
        <v>401</v>
      </c>
      <c r="B136" s="0" t="s">
        <v>41</v>
      </c>
      <c r="C136" s="16" t="n">
        <f aca="false">a25_sys</f>
        <v>8264.026</v>
      </c>
      <c r="D136" s="16" t="n">
        <f aca="false">a26_sys</f>
        <v>9119.058</v>
      </c>
      <c r="E136" s="16" t="n">
        <f aca="false">(D133-h1_sys)+0.5*E133</f>
        <v>12654.6796658253</v>
      </c>
      <c r="F136" s="16" t="n">
        <f aca="false">0.5*E133+0.5*F133</f>
        <v>14231.4947437632</v>
      </c>
      <c r="G136" s="16" t="n">
        <f aca="false">0.5*F133+0.5*G133</f>
        <v>15672.6143959261</v>
      </c>
      <c r="H136" s="8" t="s">
        <v>402</v>
      </c>
    </row>
    <row r="137" customFormat="false" ht="15" hidden="false" customHeight="false" outlineLevel="0" collapsed="false">
      <c r="A137" s="5" t="s">
        <v>254</v>
      </c>
      <c r="B137" s="0" t="s">
        <v>41</v>
      </c>
      <c r="C137" s="16" t="n">
        <f aca="false">a25_svc</f>
        <v>2683.308</v>
      </c>
      <c r="D137" s="16" t="n">
        <f aca="false">a26_svc</f>
        <v>3125.939</v>
      </c>
      <c r="E137" s="16" t="n">
        <f aca="false">D137*(1+g_svc_A)</f>
        <v>3563.57046</v>
      </c>
      <c r="F137" s="16" t="n">
        <f aca="false">E137*(1+g_svc_A)</f>
        <v>4062.4703244</v>
      </c>
      <c r="G137" s="16" t="n">
        <f aca="false">F137*(1+g_svc_A)</f>
        <v>4631.216169816</v>
      </c>
    </row>
    <row r="138" customFormat="false" ht="17.15" hidden="false" customHeight="false" outlineLevel="0" collapsed="false">
      <c r="A138" s="0" t="s">
        <v>403</v>
      </c>
      <c r="B138" s="0" t="s">
        <v>41</v>
      </c>
      <c r="C138" s="16" t="n">
        <f aca="false">a25_oth</f>
        <v>1208.828</v>
      </c>
      <c r="D138" s="16" t="n">
        <f aca="false">a26_oth</f>
        <v>1334.479</v>
      </c>
      <c r="E138" s="16" t="n">
        <f aca="false">D138*(1+g_oth_A)</f>
        <v>1494.61648</v>
      </c>
      <c r="F138" s="16" t="n">
        <f aca="false">E138*(1+g_oth_A)</f>
        <v>1673.9704576</v>
      </c>
      <c r="G138" s="16" t="n">
        <f aca="false">F138*(1+g_oth_A)</f>
        <v>1874.846912512</v>
      </c>
    </row>
    <row r="139" customFormat="false" ht="17.15" hidden="false" customHeight="false" outlineLevel="0" collapsed="false">
      <c r="A139" s="5" t="s">
        <v>248</v>
      </c>
      <c r="B139" s="0" t="s">
        <v>41</v>
      </c>
      <c r="C139" s="16" t="n">
        <f aca="false">C136+C137+C138</f>
        <v>12156.162</v>
      </c>
      <c r="D139" s="16" t="n">
        <f aca="false">D136+D137+D138</f>
        <v>13579.476</v>
      </c>
      <c r="E139" s="16" t="n">
        <f aca="false">E136+E137+E138</f>
        <v>17712.8666058253</v>
      </c>
      <c r="F139" s="16" t="n">
        <f aca="false">F136+F137+F138</f>
        <v>19967.9355257632</v>
      </c>
      <c r="G139" s="16" t="n">
        <f aca="false">G136+G137+G138</f>
        <v>22178.6774782541</v>
      </c>
      <c r="H139" s="8" t="s">
        <v>404</v>
      </c>
    </row>
    <row r="140" customFormat="false" ht="17.15" hidden="false" customHeight="false" outlineLevel="0" collapsed="false">
      <c r="A140" s="5" t="s">
        <v>267</v>
      </c>
      <c r="B140" s="0" t="s">
        <v>41</v>
      </c>
      <c r="C140" s="16" t="n">
        <f aca="false">a25_gp</f>
        <v>7404.295</v>
      </c>
      <c r="D140" s="16" t="n">
        <f aca="false">a26_gp</f>
        <v>8324.416</v>
      </c>
      <c r="E140" s="16" t="n">
        <f aca="false">a26_gp+gm_inc*(E139-a26_rev)</f>
        <v>10996.5034646231</v>
      </c>
      <c r="F140" s="16" t="n">
        <f aca="false">a26_gp+gm_inc*(F139-a26_rev)</f>
        <v>12454.3239242562</v>
      </c>
      <c r="G140" s="16" t="n">
        <f aca="false">a26_gp+gm_inc*(G139-a26_rev)</f>
        <v>13883.4886033557</v>
      </c>
      <c r="H140" s="8" t="s">
        <v>405</v>
      </c>
    </row>
    <row r="141" customFormat="false" ht="15" hidden="false" customHeight="false" outlineLevel="0" collapsed="false">
      <c r="A141" s="5" t="s">
        <v>363</v>
      </c>
      <c r="B141" s="0" t="s">
        <v>26</v>
      </c>
      <c r="C141" s="10" t="n">
        <f aca="false">C140/C139</f>
        <v>0.609098085398994</v>
      </c>
      <c r="D141" s="10" t="n">
        <f aca="false">D140/D139</f>
        <v>0.613014522798965</v>
      </c>
      <c r="E141" s="10" t="n">
        <f aca="false">E140/E139</f>
        <v>0.620820091368308</v>
      </c>
      <c r="F141" s="10" t="n">
        <f aca="false">F140/F139</f>
        <v>0.623716152738337</v>
      </c>
      <c r="G141" s="10" t="n">
        <f aca="false">G140/G139</f>
        <v>0.625983610473091</v>
      </c>
    </row>
    <row r="142" customFormat="false" ht="15" hidden="false" customHeight="false" outlineLevel="0" collapsed="false">
      <c r="A142" s="5" t="s">
        <v>406</v>
      </c>
      <c r="B142" s="0" t="s">
        <v>41</v>
      </c>
      <c r="C142" s="16" t="n">
        <f aca="false">a25_opx</f>
        <v>2390.068</v>
      </c>
      <c r="D142" s="16" t="n">
        <f aca="false">a26_opx</f>
        <v>2663.636</v>
      </c>
      <c r="E142" s="16" t="n">
        <f aca="false">opex27</f>
        <v>2865</v>
      </c>
      <c r="F142" s="16" t="n">
        <f aca="false">E142*(1+g_opex_A)</f>
        <v>3094.2</v>
      </c>
      <c r="G142" s="16" t="n">
        <f aca="false">F142*(1+g_opex_A)</f>
        <v>3341.736</v>
      </c>
    </row>
    <row r="143" customFormat="false" ht="17.15" hidden="false" customHeight="false" outlineLevel="0" collapsed="false">
      <c r="A143" s="5" t="s">
        <v>364</v>
      </c>
      <c r="B143" s="0" t="s">
        <v>41</v>
      </c>
      <c r="C143" s="16" t="n">
        <f aca="false">a25_oi</f>
        <v>4775.127</v>
      </c>
      <c r="D143" s="16" t="n">
        <f aca="false">D140-D142</f>
        <v>5660.78</v>
      </c>
      <c r="E143" s="16" t="n">
        <f aca="false">E140-E142</f>
        <v>8131.50346462311</v>
      </c>
      <c r="F143" s="16" t="n">
        <f aca="false">F140-F142</f>
        <v>9360.12392425616</v>
      </c>
      <c r="G143" s="16" t="n">
        <f aca="false">G140-G142</f>
        <v>10541.7526033557</v>
      </c>
      <c r="H143" s="8" t="s">
        <v>407</v>
      </c>
    </row>
    <row r="144" customFormat="false" ht="15" hidden="false" customHeight="false" outlineLevel="0" collapsed="false">
      <c r="A144" s="5" t="s">
        <v>365</v>
      </c>
      <c r="B144" s="0" t="s">
        <v>26</v>
      </c>
      <c r="C144" s="10" t="n">
        <f aca="false">C143/C139</f>
        <v>0.392815347475626</v>
      </c>
      <c r="D144" s="10" t="n">
        <f aca="false">D143/D139</f>
        <v>0.416862918716451</v>
      </c>
      <c r="E144" s="10" t="n">
        <f aca="false">E143/E139</f>
        <v>0.459073262706606</v>
      </c>
      <c r="F144" s="10" t="n">
        <f aca="false">F143/F139</f>
        <v>0.468757719704147</v>
      </c>
      <c r="G144" s="10" t="n">
        <f aca="false">G143/G139</f>
        <v>0.475310243980588</v>
      </c>
    </row>
    <row r="145" customFormat="false" ht="15" hidden="false" customHeight="false" outlineLevel="0" collapsed="false">
      <c r="A145" s="5" t="s">
        <v>408</v>
      </c>
      <c r="B145" s="0" t="s">
        <v>41</v>
      </c>
      <c r="C145" s="16" t="n">
        <f aca="false">a25_nonop</f>
        <v>-130.679</v>
      </c>
      <c r="D145" s="16" t="n">
        <f aca="false">a26_nonop</f>
        <v>-54.855</v>
      </c>
      <c r="E145" s="16" t="n">
        <f aca="false">oth_exp</f>
        <v>-100</v>
      </c>
      <c r="F145" s="16" t="n">
        <f aca="false">oth_exp</f>
        <v>-100</v>
      </c>
      <c r="G145" s="16" t="n">
        <f aca="false">oth_exp</f>
        <v>-100</v>
      </c>
    </row>
    <row r="146" customFormat="false" ht="15" hidden="false" customHeight="false" outlineLevel="0" collapsed="false">
      <c r="A146" s="5" t="s">
        <v>366</v>
      </c>
      <c r="B146" s="0" t="s">
        <v>41</v>
      </c>
      <c r="C146" s="16" t="n">
        <f aca="false">a25_ni</f>
        <v>4061.643</v>
      </c>
      <c r="D146" s="16" t="n">
        <f aca="false">a26_ni</f>
        <v>4830.771</v>
      </c>
      <c r="E146" s="16" t="n">
        <f aca="false">(E143+E145)*(1-tax)</f>
        <v>6866.93546225276</v>
      </c>
      <c r="F146" s="16" t="n">
        <f aca="false">(F143+F145)*(1-tax)</f>
        <v>7917.40595523902</v>
      </c>
      <c r="G146" s="16" t="n">
        <f aca="false">(G143+G145)*(1-tax)</f>
        <v>8927.69847586913</v>
      </c>
    </row>
    <row r="147" customFormat="false" ht="15" hidden="false" customHeight="false" outlineLevel="0" collapsed="false">
      <c r="A147" s="5" t="s">
        <v>409</v>
      </c>
      <c r="B147" s="5" t="s">
        <v>151</v>
      </c>
      <c r="C147" s="16" t="n">
        <f aca="false">a25_sh</f>
        <v>1337.502</v>
      </c>
      <c r="D147" s="16" t="n">
        <f aca="false">a26_sh</f>
        <v>1319.633</v>
      </c>
      <c r="E147" s="16" t="n">
        <f aca="false">shares27</f>
        <v>1312</v>
      </c>
      <c r="F147" s="16" t="n">
        <f aca="false">E147*(1-bb)</f>
        <v>1294.47170621053</v>
      </c>
      <c r="G147" s="16" t="n">
        <f aca="false">F147*(1-bb)</f>
        <v>1277.17759007592</v>
      </c>
    </row>
    <row r="148" customFormat="false" ht="17.15" hidden="false" customHeight="false" outlineLevel="0" collapsed="false">
      <c r="A148" s="0" t="s">
        <v>367</v>
      </c>
      <c r="B148" s="0" t="s">
        <v>169</v>
      </c>
      <c r="C148" s="13" t="n">
        <f aca="false">a25_eps</f>
        <v>3.04</v>
      </c>
      <c r="D148" s="13" t="n">
        <f aca="false">a26_eps</f>
        <v>3.66</v>
      </c>
      <c r="E148" s="13" t="n">
        <f aca="false">E146/E147</f>
        <v>5.2339447120829</v>
      </c>
      <c r="F148" s="13" t="n">
        <f aca="false">F146/F147</f>
        <v>6.1163221391811</v>
      </c>
      <c r="G148" s="13" t="n">
        <f aca="false">G146/G147</f>
        <v>6.99017783058535</v>
      </c>
    </row>
    <row r="149" customFormat="false" ht="17.15" hidden="false" customHeight="false" outlineLevel="0" collapsed="false">
      <c r="A149" s="5" t="s">
        <v>410</v>
      </c>
      <c r="B149" s="0" t="s">
        <v>41</v>
      </c>
      <c r="D149" s="20" t="n">
        <f aca="false">a26_rev*chn_sh26</f>
        <v>4073.8428</v>
      </c>
      <c r="E149" s="20" t="n">
        <f aca="false">E139*chn_sh26*(1-chn_cut*IF(2027=2027,0.5,1))</f>
        <v>5313.85998174759</v>
      </c>
      <c r="F149" s="20" t="n">
        <f aca="false">F139*chn_sh26*(1-chn_cut*IF(2028=2027,0.5,1))</f>
        <v>5990.38065772895</v>
      </c>
      <c r="G149" s="20" t="n">
        <f aca="false">G139*chn_sh26*(1-chn_cut*IF(2029=2027,0.5,1))</f>
        <v>6653.60324347622</v>
      </c>
      <c r="H149" s="5" t="s">
        <v>411</v>
      </c>
    </row>
    <row r="158" customFormat="false" ht="17.15" hidden="false" customHeight="false" outlineLevel="0" collapsed="false">
      <c r="A158" s="3" t="s">
        <v>699</v>
      </c>
    </row>
    <row r="159" customFormat="false" ht="17.15" hidden="false" customHeight="false" outlineLevel="0" collapsed="false">
      <c r="A159" s="6" t="s">
        <v>15</v>
      </c>
      <c r="B159" s="6" t="s">
        <v>16</v>
      </c>
      <c r="C159" s="14" t="s">
        <v>377</v>
      </c>
      <c r="D159" s="14" t="s">
        <v>378</v>
      </c>
      <c r="E159" s="14" t="s">
        <v>379</v>
      </c>
      <c r="F159" s="14" t="s">
        <v>380</v>
      </c>
      <c r="G159" s="14" t="s">
        <v>381</v>
      </c>
      <c r="H159" s="6" t="s">
        <v>306</v>
      </c>
    </row>
    <row r="160" customFormat="false" ht="17.15" hidden="false" customHeight="false" outlineLevel="0" collapsed="false">
      <c r="A160" s="1" t="s">
        <v>382</v>
      </c>
    </row>
    <row r="161" customFormat="false" ht="17.15" hidden="false" customHeight="false" outlineLevel="0" collapsed="false">
      <c r="A161" s="5" t="s">
        <v>383</v>
      </c>
      <c r="B161" s="0" t="s">
        <v>41</v>
      </c>
      <c r="C161" s="16" t="n">
        <f aca="false">(Units!C8+m_mem*Units!C11)*1000</f>
        <v>117874.05938505</v>
      </c>
      <c r="D161" s="16" t="n">
        <f aca="false">(Units!D8+m_mem*Units!D11)*1000</f>
        <v>157598.72745742</v>
      </c>
      <c r="E161" s="16" t="n">
        <f aca="false">(Units!E8+m_mem*Units!E11)*1000</f>
        <v>194734.950900524</v>
      </c>
      <c r="F161" s="16" t="n">
        <f aca="false">(Units!F8+m_mem*Units!F11)*1000</f>
        <v>218802.231022447</v>
      </c>
      <c r="G161" s="16" t="n">
        <f aca="false">(Units!G8+m_mem*Units!G11)*1000</f>
        <v>231172.69409247</v>
      </c>
      <c r="H161" s="5" t="s">
        <v>384</v>
      </c>
    </row>
    <row r="162" customFormat="false" ht="15" hidden="false" customHeight="false" outlineLevel="0" collapsed="false">
      <c r="A162" s="5" t="s">
        <v>385</v>
      </c>
      <c r="B162" s="0" t="s">
        <v>41</v>
      </c>
      <c r="C162" s="16" t="n">
        <f aca="false">Units!C12*1000</f>
        <v>3056.56934306569</v>
      </c>
      <c r="D162" s="16" t="n">
        <f aca="false">Units!D12*1000</f>
        <v>3350</v>
      </c>
      <c r="E162" s="16" t="n">
        <f aca="false">Units!E12*1000</f>
        <v>3795.39194286967</v>
      </c>
      <c r="F162" s="16" t="n">
        <f aca="false">Units!F12*1000</f>
        <v>4300</v>
      </c>
      <c r="G162" s="16" t="n">
        <f aca="false">Units!G12*1000</f>
        <v>4644</v>
      </c>
    </row>
    <row r="163" customFormat="false" ht="17.15" hidden="false" customHeight="false" outlineLevel="0" collapsed="false">
      <c r="A163" s="5" t="s">
        <v>386</v>
      </c>
      <c r="B163" s="0" t="s">
        <v>41</v>
      </c>
      <c r="D163" s="16" t="n">
        <f aca="false">h1_rev*(2+h2up)</f>
        <v>15559.8432</v>
      </c>
      <c r="H163" s="5" t="s">
        <v>387</v>
      </c>
    </row>
    <row r="164" customFormat="false" ht="17.15" hidden="false" customHeight="false" outlineLevel="0" collapsed="false">
      <c r="A164" s="5" t="s">
        <v>388</v>
      </c>
      <c r="B164" s="0" t="s">
        <v>41</v>
      </c>
      <c r="D164" s="16" t="n">
        <f aca="false">h1_svc*(2+g_svc_h2)</f>
        <v>3286.1223</v>
      </c>
    </row>
    <row r="165" customFormat="false" ht="17.15" hidden="false" customHeight="false" outlineLevel="0" collapsed="false">
      <c r="A165" s="0" t="s">
        <v>389</v>
      </c>
      <c r="B165" s="0" t="s">
        <v>41</v>
      </c>
      <c r="D165" s="16" t="n">
        <f aca="false">cy25_oth*(1+g_oth26)</f>
        <v>1528.965</v>
      </c>
    </row>
    <row r="166" customFormat="false" ht="17.15" hidden="false" customHeight="false" outlineLevel="0" collapsed="false">
      <c r="A166" s="5" t="s">
        <v>390</v>
      </c>
      <c r="B166" s="0" t="s">
        <v>41</v>
      </c>
      <c r="C166" s="16" t="n">
        <f aca="false">ap26/(1+ap_g26)</f>
        <v>647.058823529412</v>
      </c>
      <c r="D166" s="16" t="n">
        <f aca="false">ap26</f>
        <v>1100</v>
      </c>
      <c r="E166" s="16" t="n">
        <f aca="false">D166*(1+k_ap*(E162/D162-1))</f>
        <v>1392.49620128754</v>
      </c>
      <c r="F166" s="16" t="n">
        <f aca="false">E166*(1+k_ap*(F162/E162-1))</f>
        <v>1762.76879145476</v>
      </c>
      <c r="G166" s="16" t="n">
        <f aca="false">F166*(1+k_ap*(G162/F162-1))</f>
        <v>2044.81179808753</v>
      </c>
      <c r="H166" s="8" t="s">
        <v>391</v>
      </c>
    </row>
    <row r="167" customFormat="false" ht="17.15" hidden="false" customHeight="false" outlineLevel="0" collapsed="false">
      <c r="A167" s="5" t="s">
        <v>392</v>
      </c>
      <c r="B167" s="0" t="s">
        <v>41</v>
      </c>
      <c r="C167" s="16" t="n">
        <f aca="false">C169-C166</f>
        <v>7971.85117647059</v>
      </c>
      <c r="D167" s="16" t="n">
        <f aca="false">D169-D166</f>
        <v>9644.7559</v>
      </c>
      <c r="E167" s="16" t="n">
        <f aca="false">E168*E161</f>
        <v>12583.4961327486</v>
      </c>
      <c r="F167" s="16" t="n">
        <f aca="false">F168*F161</f>
        <v>14928.9079777043</v>
      </c>
      <c r="G167" s="16" t="n">
        <f aca="false">G168*G161</f>
        <v>16654.5042560815</v>
      </c>
      <c r="H167" s="8" t="s">
        <v>393</v>
      </c>
    </row>
    <row r="168" customFormat="false" ht="17.15" hidden="false" customHeight="false" outlineLevel="0" collapsed="false">
      <c r="A168" s="5" t="s">
        <v>394</v>
      </c>
      <c r="B168" s="0" t="s">
        <v>26</v>
      </c>
      <c r="C168" s="21" t="n">
        <f aca="false">C167/C161</f>
        <v>0.0676302421250259</v>
      </c>
      <c r="D168" s="21" t="n">
        <f aca="false">D167/D161</f>
        <v>0.0611981838660836</v>
      </c>
      <c r="E168" s="21" t="n">
        <f aca="false">$D168*(1+pc_u_hi)^1</f>
        <v>0.0646185806633991</v>
      </c>
      <c r="F168" s="21" t="n">
        <f aca="false">$D168*(1+pc_u_hi)^2</f>
        <v>0.0682301451312567</v>
      </c>
      <c r="G168" s="21" t="n">
        <f aca="false">$D168*(1+pc_u_hi)^3</f>
        <v>0.0720435617254157</v>
      </c>
      <c r="H168" s="8" t="s">
        <v>395</v>
      </c>
    </row>
    <row r="169" customFormat="false" ht="17.15" hidden="false" customHeight="false" outlineLevel="0" collapsed="false">
      <c r="A169" s="5" t="s">
        <v>396</v>
      </c>
      <c r="B169" s="0" t="s">
        <v>41</v>
      </c>
      <c r="C169" s="16" t="n">
        <f aca="false">cy25_sys</f>
        <v>8618.91</v>
      </c>
      <c r="D169" s="16" t="n">
        <f aca="false">D163-D164-D165</f>
        <v>10744.7559</v>
      </c>
      <c r="E169" s="16" t="n">
        <f aca="false">(E167+E166)*(1-chn_sh26*chn_cut)</f>
        <v>13975.9923340361</v>
      </c>
      <c r="F169" s="16" t="n">
        <f aca="false">(F167+F166)*(1-chn_sh26*chn_cut)</f>
        <v>16691.6767691591</v>
      </c>
      <c r="G169" s="16" t="n">
        <f aca="false">(G167+G166)*(1-chn_sh26*chn_cut)</f>
        <v>18699.316054169</v>
      </c>
      <c r="H169" s="8" t="s">
        <v>397</v>
      </c>
    </row>
    <row r="170" customFormat="false" ht="17.15" hidden="false" customHeight="false" outlineLevel="0" collapsed="false">
      <c r="A170" s="5" t="s">
        <v>398</v>
      </c>
      <c r="B170" s="0" t="s">
        <v>26</v>
      </c>
      <c r="C170" s="10" t="n">
        <f aca="false">C168/kla_sh_pc</f>
        <v>0.116603865732803</v>
      </c>
      <c r="D170" s="10" t="n">
        <f aca="false">D168/kla_sh_pc</f>
        <v>0.105514110113937</v>
      </c>
      <c r="E170" s="10" t="n">
        <f aca="false">E168/kla_sh_pc</f>
        <v>0.111411345971378</v>
      </c>
      <c r="F170" s="10" t="n">
        <f aca="false">F168/kla_sh_pc</f>
        <v>0.117638181260787</v>
      </c>
      <c r="G170" s="10" t="n">
        <f aca="false">G168/kla_sh_pc</f>
        <v>0.124213037457613</v>
      </c>
      <c r="H170" s="8" t="s">
        <v>399</v>
      </c>
    </row>
    <row r="171" customFormat="false" ht="17.15" hidden="false" customHeight="false" outlineLevel="0" collapsed="false">
      <c r="A171" s="1" t="s">
        <v>400</v>
      </c>
    </row>
    <row r="172" customFormat="false" ht="17.15" hidden="false" customHeight="false" outlineLevel="0" collapsed="false">
      <c r="A172" s="5" t="s">
        <v>401</v>
      </c>
      <c r="B172" s="0" t="s">
        <v>41</v>
      </c>
      <c r="C172" s="16" t="n">
        <f aca="false">a25_sys</f>
        <v>8264.026</v>
      </c>
      <c r="D172" s="16" t="n">
        <f aca="false">a26_sys</f>
        <v>9119.058</v>
      </c>
      <c r="E172" s="16" t="n">
        <f aca="false">(D169-h1_sys)+0.5*E169</f>
        <v>12987.7150670181</v>
      </c>
      <c r="F172" s="16" t="n">
        <f aca="false">0.5*E169+0.5*F169</f>
        <v>15333.8345515976</v>
      </c>
      <c r="G172" s="16" t="n">
        <f aca="false">0.5*F169+0.5*G169</f>
        <v>17695.496411664</v>
      </c>
      <c r="H172" s="8" t="s">
        <v>402</v>
      </c>
    </row>
    <row r="173" customFormat="false" ht="15" hidden="false" customHeight="false" outlineLevel="0" collapsed="false">
      <c r="A173" s="5" t="s">
        <v>254</v>
      </c>
      <c r="B173" s="0" t="s">
        <v>41</v>
      </c>
      <c r="C173" s="16" t="n">
        <f aca="false">a25_svc</f>
        <v>2683.308</v>
      </c>
      <c r="D173" s="16" t="n">
        <f aca="false">a26_svc</f>
        <v>3125.939</v>
      </c>
      <c r="E173" s="16" t="n">
        <f aca="false">D173*(1+g_svc_A)</f>
        <v>3563.57046</v>
      </c>
      <c r="F173" s="16" t="n">
        <f aca="false">E173*(1+g_svc_A)</f>
        <v>4062.4703244</v>
      </c>
      <c r="G173" s="16" t="n">
        <f aca="false">F173*(1+g_svc_A)</f>
        <v>4631.216169816</v>
      </c>
    </row>
    <row r="174" customFormat="false" ht="17.15" hidden="false" customHeight="false" outlineLevel="0" collapsed="false">
      <c r="A174" s="0" t="s">
        <v>403</v>
      </c>
      <c r="B174" s="0" t="s">
        <v>41</v>
      </c>
      <c r="C174" s="16" t="n">
        <f aca="false">a25_oth</f>
        <v>1208.828</v>
      </c>
      <c r="D174" s="16" t="n">
        <f aca="false">a26_oth</f>
        <v>1334.479</v>
      </c>
      <c r="E174" s="16" t="n">
        <f aca="false">D174*(1+g_oth_A)</f>
        <v>1494.61648</v>
      </c>
      <c r="F174" s="16" t="n">
        <f aca="false">E174*(1+g_oth_A)</f>
        <v>1673.9704576</v>
      </c>
      <c r="G174" s="16" t="n">
        <f aca="false">F174*(1+g_oth_A)</f>
        <v>1874.846912512</v>
      </c>
    </row>
    <row r="175" customFormat="false" ht="17.15" hidden="false" customHeight="false" outlineLevel="0" collapsed="false">
      <c r="A175" s="5" t="s">
        <v>248</v>
      </c>
      <c r="B175" s="0" t="s">
        <v>41</v>
      </c>
      <c r="C175" s="16" t="n">
        <f aca="false">C172+C173+C174</f>
        <v>12156.162</v>
      </c>
      <c r="D175" s="16" t="n">
        <f aca="false">D172+D173+D174</f>
        <v>13579.476</v>
      </c>
      <c r="E175" s="16" t="n">
        <f aca="false">E172+E173+E174</f>
        <v>18045.9020070181</v>
      </c>
      <c r="F175" s="16" t="n">
        <f aca="false">F172+F173+F174</f>
        <v>21070.2753335976</v>
      </c>
      <c r="G175" s="16" t="n">
        <f aca="false">G172+G173+G174</f>
        <v>24201.559493992</v>
      </c>
      <c r="H175" s="8" t="s">
        <v>404</v>
      </c>
    </row>
    <row r="176" customFormat="false" ht="17.15" hidden="false" customHeight="false" outlineLevel="0" collapsed="false">
      <c r="A176" s="5" t="s">
        <v>267</v>
      </c>
      <c r="B176" s="0" t="s">
        <v>41</v>
      </c>
      <c r="C176" s="16" t="n">
        <f aca="false">a25_gp</f>
        <v>7404.295</v>
      </c>
      <c r="D176" s="16" t="n">
        <f aca="false">a26_gp</f>
        <v>8324.416</v>
      </c>
      <c r="E176" s="16" t="n">
        <f aca="false">a26_gp+gm_inc*(E175-a26_rev)</f>
        <v>11211.7988009866</v>
      </c>
      <c r="F176" s="16" t="n">
        <f aca="false">a26_gp+gm_inc*(F175-a26_rev)</f>
        <v>13166.9467231076</v>
      </c>
      <c r="G176" s="16" t="n">
        <f aca="false">a26_gp+gm_inc*(G175-a26_rev)</f>
        <v>15191.2086308429</v>
      </c>
      <c r="H176" s="8" t="s">
        <v>405</v>
      </c>
    </row>
    <row r="177" customFormat="false" ht="15" hidden="false" customHeight="false" outlineLevel="0" collapsed="false">
      <c r="A177" s="5" t="s">
        <v>363</v>
      </c>
      <c r="B177" s="0" t="s">
        <v>26</v>
      </c>
      <c r="C177" s="10" t="n">
        <f aca="false">C176/C175</f>
        <v>0.609098085398994</v>
      </c>
      <c r="D177" s="10" t="n">
        <f aca="false">D176/D175</f>
        <v>0.613014522798965</v>
      </c>
      <c r="E177" s="10" t="n">
        <f aca="false">E176/E175</f>
        <v>0.621293343864238</v>
      </c>
      <c r="F177" s="10" t="n">
        <f aca="false">F176/F175</f>
        <v>0.624906248952155</v>
      </c>
      <c r="G177" s="10" t="n">
        <f aca="false">G176/G175</f>
        <v>0.62769544394914</v>
      </c>
    </row>
    <row r="178" customFormat="false" ht="15" hidden="false" customHeight="false" outlineLevel="0" collapsed="false">
      <c r="A178" s="5" t="s">
        <v>406</v>
      </c>
      <c r="B178" s="0" t="s">
        <v>41</v>
      </c>
      <c r="C178" s="16" t="n">
        <f aca="false">a25_opx</f>
        <v>2390.068</v>
      </c>
      <c r="D178" s="16" t="n">
        <f aca="false">a26_opx</f>
        <v>2663.636</v>
      </c>
      <c r="E178" s="16" t="n">
        <f aca="false">opex27</f>
        <v>2865</v>
      </c>
      <c r="F178" s="16" t="n">
        <f aca="false">E178*(1+g_opex_A)</f>
        <v>3094.2</v>
      </c>
      <c r="G178" s="16" t="n">
        <f aca="false">F178*(1+g_opex_A)</f>
        <v>3341.736</v>
      </c>
    </row>
    <row r="179" customFormat="false" ht="17.15" hidden="false" customHeight="false" outlineLevel="0" collapsed="false">
      <c r="A179" s="5" t="s">
        <v>364</v>
      </c>
      <c r="B179" s="0" t="s">
        <v>41</v>
      </c>
      <c r="C179" s="16" t="n">
        <f aca="false">a25_oi</f>
        <v>4775.127</v>
      </c>
      <c r="D179" s="16" t="n">
        <f aca="false">D176-D178</f>
        <v>5660.78</v>
      </c>
      <c r="E179" s="16" t="n">
        <f aca="false">E176-E178</f>
        <v>8346.79880098662</v>
      </c>
      <c r="F179" s="16" t="n">
        <f aca="false">F176-F178</f>
        <v>10072.7467231076</v>
      </c>
      <c r="G179" s="16" t="n">
        <f aca="false">G176-G178</f>
        <v>11849.4726308428</v>
      </c>
      <c r="H179" s="8" t="s">
        <v>407</v>
      </c>
    </row>
    <row r="180" customFormat="false" ht="15" hidden="false" customHeight="false" outlineLevel="0" collapsed="false">
      <c r="A180" s="5" t="s">
        <v>365</v>
      </c>
      <c r="B180" s="0" t="s">
        <v>26</v>
      </c>
      <c r="C180" s="10" t="n">
        <f aca="false">C179/C175</f>
        <v>0.392815347475626</v>
      </c>
      <c r="D180" s="10" t="n">
        <f aca="false">D179/D175</f>
        <v>0.416862918716451</v>
      </c>
      <c r="E180" s="10" t="n">
        <f aca="false">E179/E175</f>
        <v>0.462531537505886</v>
      </c>
      <c r="F180" s="10" t="n">
        <f aca="false">F179/F175</f>
        <v>0.478054821953185</v>
      </c>
      <c r="G180" s="10" t="n">
        <f aca="false">G179/G175</f>
        <v>0.489616077583118</v>
      </c>
    </row>
    <row r="181" customFormat="false" ht="15" hidden="false" customHeight="false" outlineLevel="0" collapsed="false">
      <c r="A181" s="5" t="s">
        <v>408</v>
      </c>
      <c r="B181" s="0" t="s">
        <v>41</v>
      </c>
      <c r="C181" s="16" t="n">
        <f aca="false">a25_nonop</f>
        <v>-130.679</v>
      </c>
      <c r="D181" s="16" t="n">
        <f aca="false">a26_nonop</f>
        <v>-54.855</v>
      </c>
      <c r="E181" s="16" t="n">
        <f aca="false">oth_exp</f>
        <v>-100</v>
      </c>
      <c r="F181" s="16" t="n">
        <f aca="false">oth_exp</f>
        <v>-100</v>
      </c>
      <c r="G181" s="16" t="n">
        <f aca="false">oth_exp</f>
        <v>-100</v>
      </c>
    </row>
    <row r="182" customFormat="false" ht="15" hidden="false" customHeight="false" outlineLevel="0" collapsed="false">
      <c r="A182" s="5" t="s">
        <v>366</v>
      </c>
      <c r="B182" s="0" t="s">
        <v>41</v>
      </c>
      <c r="C182" s="16" t="n">
        <f aca="false">a25_ni</f>
        <v>4061.643</v>
      </c>
      <c r="D182" s="16" t="n">
        <f aca="false">a26_ni</f>
        <v>4830.771</v>
      </c>
      <c r="E182" s="16" t="n">
        <f aca="false">(E179+E181)*(1-tax)</f>
        <v>7051.01297484356</v>
      </c>
      <c r="F182" s="16" t="n">
        <f aca="false">(F179+F181)*(1-tax)</f>
        <v>8526.69844825699</v>
      </c>
      <c r="G182" s="16" t="n">
        <f aca="false">(G179+G181)*(1-tax)</f>
        <v>10045.7990993706</v>
      </c>
    </row>
    <row r="183" customFormat="false" ht="15" hidden="false" customHeight="false" outlineLevel="0" collapsed="false">
      <c r="A183" s="5" t="s">
        <v>409</v>
      </c>
      <c r="B183" s="5" t="s">
        <v>151</v>
      </c>
      <c r="C183" s="16" t="n">
        <f aca="false">a25_sh</f>
        <v>1337.502</v>
      </c>
      <c r="D183" s="16" t="n">
        <f aca="false">a26_sh</f>
        <v>1319.633</v>
      </c>
      <c r="E183" s="16" t="n">
        <f aca="false">shares27</f>
        <v>1312</v>
      </c>
      <c r="F183" s="16" t="n">
        <f aca="false">E183*(1-bb)</f>
        <v>1294.47170621053</v>
      </c>
      <c r="G183" s="16" t="n">
        <f aca="false">F183*(1-bb)</f>
        <v>1277.17759007592</v>
      </c>
    </row>
    <row r="184" customFormat="false" ht="17.15" hidden="false" customHeight="false" outlineLevel="0" collapsed="false">
      <c r="A184" s="0" t="s">
        <v>367</v>
      </c>
      <c r="B184" s="0" t="s">
        <v>169</v>
      </c>
      <c r="C184" s="13" t="n">
        <f aca="false">a25_eps</f>
        <v>3.04</v>
      </c>
      <c r="D184" s="13" t="n">
        <f aca="false">a26_eps</f>
        <v>3.66</v>
      </c>
      <c r="E184" s="13" t="n">
        <f aca="false">E182/E183</f>
        <v>5.37424769424052</v>
      </c>
      <c r="F184" s="13" t="n">
        <f aca="false">F182/F183</f>
        <v>6.58701028948578</v>
      </c>
      <c r="G184" s="13" t="n">
        <f aca="false">G182/G183</f>
        <v>7.86562430896824</v>
      </c>
    </row>
    <row r="185" customFormat="false" ht="17.15" hidden="false" customHeight="false" outlineLevel="0" collapsed="false">
      <c r="A185" s="5" t="s">
        <v>410</v>
      </c>
      <c r="B185" s="0" t="s">
        <v>41</v>
      </c>
      <c r="D185" s="20" t="n">
        <f aca="false">a26_rev*chn_sh26</f>
        <v>4073.8428</v>
      </c>
      <c r="E185" s="20" t="n">
        <f aca="false">E175*chn_sh26*(1-chn_cut*IF(2027=2027,0.5,1))</f>
        <v>5413.77060210542</v>
      </c>
      <c r="F185" s="20" t="n">
        <f aca="false">F175*chn_sh26*(1-chn_cut*IF(2028=2027,0.5,1))</f>
        <v>6321.08260007928</v>
      </c>
      <c r="G185" s="20" t="n">
        <f aca="false">G175*chn_sh26*(1-chn_cut*IF(2029=2027,0.5,1))</f>
        <v>7260.46784819761</v>
      </c>
      <c r="H185" s="5" t="s">
        <v>411</v>
      </c>
    </row>
    <row r="194" customFormat="false" ht="17.15" hidden="false" customHeight="false" outlineLevel="0" collapsed="false">
      <c r="A194" s="3" t="s">
        <v>700</v>
      </c>
    </row>
    <row r="195" customFormat="false" ht="17.15" hidden="false" customHeight="false" outlineLevel="0" collapsed="false">
      <c r="A195" s="6" t="s">
        <v>15</v>
      </c>
      <c r="B195" s="6" t="s">
        <v>16</v>
      </c>
      <c r="C195" s="14" t="s">
        <v>377</v>
      </c>
      <c r="D195" s="14" t="s">
        <v>378</v>
      </c>
      <c r="E195" s="14" t="s">
        <v>379</v>
      </c>
      <c r="F195" s="14" t="s">
        <v>380</v>
      </c>
      <c r="G195" s="14" t="s">
        <v>381</v>
      </c>
      <c r="H195" s="6" t="s">
        <v>306</v>
      </c>
    </row>
    <row r="196" customFormat="false" ht="17.15" hidden="false" customHeight="false" outlineLevel="0" collapsed="false">
      <c r="A196" s="1" t="s">
        <v>382</v>
      </c>
    </row>
    <row r="197" customFormat="false" ht="17.15" hidden="false" customHeight="false" outlineLevel="0" collapsed="false">
      <c r="A197" s="5" t="s">
        <v>383</v>
      </c>
      <c r="B197" s="0" t="s">
        <v>41</v>
      </c>
      <c r="C197" s="16" t="n">
        <f aca="false">(Units!C8+m_mem*Units!C11)*1000</f>
        <v>117874.05938505</v>
      </c>
      <c r="D197" s="16" t="n">
        <f aca="false">(Units!D8+m_mem*Units!D11)*1000</f>
        <v>157598.72745742</v>
      </c>
      <c r="E197" s="16" t="n">
        <f aca="false">(Units!E8+m_mem*Units!E11)*1000</f>
        <v>194734.950900524</v>
      </c>
      <c r="F197" s="16" t="n">
        <f aca="false">(Units!F8+m_mem*Units!F11)*1000</f>
        <v>218802.231022447</v>
      </c>
      <c r="G197" s="16" t="n">
        <f aca="false">(Units!G8+m_mem*Units!G11)*1000</f>
        <v>231172.69409247</v>
      </c>
      <c r="H197" s="5" t="s">
        <v>384</v>
      </c>
    </row>
    <row r="198" customFormat="false" ht="15" hidden="false" customHeight="false" outlineLevel="0" collapsed="false">
      <c r="A198" s="5" t="s">
        <v>385</v>
      </c>
      <c r="B198" s="0" t="s">
        <v>41</v>
      </c>
      <c r="C198" s="16" t="n">
        <f aca="false">Units!C12*1000</f>
        <v>3056.56934306569</v>
      </c>
      <c r="D198" s="16" t="n">
        <f aca="false">Units!D12*1000</f>
        <v>3350</v>
      </c>
      <c r="E198" s="16" t="n">
        <f aca="false">Units!E12*1000</f>
        <v>3795.39194286967</v>
      </c>
      <c r="F198" s="16" t="n">
        <f aca="false">Units!F12*1000</f>
        <v>4300</v>
      </c>
      <c r="G198" s="16" t="n">
        <f aca="false">Units!G12*1000</f>
        <v>4644</v>
      </c>
    </row>
    <row r="199" customFormat="false" ht="17.15" hidden="false" customHeight="false" outlineLevel="0" collapsed="false">
      <c r="A199" s="5" t="s">
        <v>386</v>
      </c>
      <c r="B199" s="0" t="s">
        <v>41</v>
      </c>
      <c r="D199" s="16" t="n">
        <f aca="false">h1_rev*(2+h2up_lo)</f>
        <v>15206.2104</v>
      </c>
      <c r="H199" s="5" t="s">
        <v>387</v>
      </c>
    </row>
    <row r="200" customFormat="false" ht="17.15" hidden="false" customHeight="false" outlineLevel="0" collapsed="false">
      <c r="A200" s="5" t="s">
        <v>388</v>
      </c>
      <c r="B200" s="0" t="s">
        <v>41</v>
      </c>
      <c r="D200" s="16" t="n">
        <f aca="false">h1_svc*(2+g_svc_h2)</f>
        <v>3286.1223</v>
      </c>
    </row>
    <row r="201" customFormat="false" ht="17.15" hidden="false" customHeight="false" outlineLevel="0" collapsed="false">
      <c r="A201" s="0" t="s">
        <v>389</v>
      </c>
      <c r="B201" s="0" t="s">
        <v>41</v>
      </c>
      <c r="D201" s="16" t="n">
        <f aca="false">cy25_oth*(1+g_oth26)</f>
        <v>1528.965</v>
      </c>
    </row>
    <row r="202" customFormat="false" ht="17.15" hidden="false" customHeight="false" outlineLevel="0" collapsed="false">
      <c r="A202" s="5" t="s">
        <v>390</v>
      </c>
      <c r="B202" s="0" t="s">
        <v>41</v>
      </c>
      <c r="C202" s="16" t="n">
        <f aca="false">ap26/(1+ap_g26)</f>
        <v>647.058823529412</v>
      </c>
      <c r="D202" s="16" t="n">
        <f aca="false">ap26</f>
        <v>1100</v>
      </c>
      <c r="E202" s="16" t="n">
        <f aca="false">D202*(1+k_ap*(E198/D198-1))</f>
        <v>1392.49620128754</v>
      </c>
      <c r="F202" s="16" t="n">
        <f aca="false">E202*(1+k_ap*(F198/E198-1))</f>
        <v>1762.76879145476</v>
      </c>
      <c r="G202" s="16" t="n">
        <f aca="false">F202*(1+k_ap*(G198/F198-1))</f>
        <v>2044.81179808753</v>
      </c>
      <c r="H202" s="8" t="s">
        <v>391</v>
      </c>
    </row>
    <row r="203" customFormat="false" ht="17.15" hidden="false" customHeight="false" outlineLevel="0" collapsed="false">
      <c r="A203" s="5" t="s">
        <v>392</v>
      </c>
      <c r="B203" s="0" t="s">
        <v>41</v>
      </c>
      <c r="C203" s="16" t="n">
        <f aca="false">C205-C202</f>
        <v>7971.85117647059</v>
      </c>
      <c r="D203" s="16" t="n">
        <f aca="false">D205-D202</f>
        <v>9291.1231</v>
      </c>
      <c r="E203" s="16" t="n">
        <f aca="false">E204*E197</f>
        <v>11818.6862874584</v>
      </c>
      <c r="F203" s="16" t="n">
        <f aca="false">F204*F197</f>
        <v>13670.5767478462</v>
      </c>
      <c r="G203" s="16" t="n">
        <f aca="false">G204*G197</f>
        <v>14868.9882263639</v>
      </c>
      <c r="H203" s="8" t="s">
        <v>393</v>
      </c>
    </row>
    <row r="204" customFormat="false" ht="17.15" hidden="false" customHeight="false" outlineLevel="0" collapsed="false">
      <c r="A204" s="5" t="s">
        <v>394</v>
      </c>
      <c r="B204" s="0" t="s">
        <v>26</v>
      </c>
      <c r="C204" s="21" t="n">
        <f aca="false">C203/C197</f>
        <v>0.0676302421250259</v>
      </c>
      <c r="D204" s="21" t="n">
        <f aca="false">D203/D197</f>
        <v>0.0589543028036838</v>
      </c>
      <c r="E204" s="21" t="n">
        <f aca="false">$D204*(1+pc_u)^1</f>
        <v>0.0606911406134574</v>
      </c>
      <c r="F204" s="21" t="n">
        <f aca="false">$D204*(1+pc_u)^2</f>
        <v>0.0624791469628286</v>
      </c>
      <c r="G204" s="21" t="n">
        <f aca="false">$D204*(1+pc_u)^3</f>
        <v>0.0643198293152058</v>
      </c>
      <c r="H204" s="8" t="s">
        <v>395</v>
      </c>
    </row>
    <row r="205" customFormat="false" ht="17.15" hidden="false" customHeight="false" outlineLevel="0" collapsed="false">
      <c r="A205" s="5" t="s">
        <v>396</v>
      </c>
      <c r="B205" s="0" t="s">
        <v>41</v>
      </c>
      <c r="C205" s="16" t="n">
        <f aca="false">cy25_sys</f>
        <v>8618.91</v>
      </c>
      <c r="D205" s="16" t="n">
        <f aca="false">D199-D200-D201</f>
        <v>10391.1231</v>
      </c>
      <c r="E205" s="16" t="n">
        <f aca="false">(E203+E202)*(1-chn_sh26*chn_cut)</f>
        <v>13211.182488746</v>
      </c>
      <c r="F205" s="16" t="n">
        <f aca="false">(F203+F202)*(1-chn_sh26*chn_cut)</f>
        <v>15433.345539301</v>
      </c>
      <c r="G205" s="16" t="n">
        <f aca="false">(G203+G202)*(1-chn_sh26*chn_cut)</f>
        <v>16913.8000244515</v>
      </c>
      <c r="H205" s="8" t="s">
        <v>397</v>
      </c>
    </row>
    <row r="206" customFormat="false" ht="17.15" hidden="false" customHeight="false" outlineLevel="0" collapsed="false">
      <c r="A206" s="5" t="s">
        <v>398</v>
      </c>
      <c r="B206" s="0" t="s">
        <v>26</v>
      </c>
      <c r="C206" s="10" t="n">
        <f aca="false">C204/kla_sh_pc</f>
        <v>0.116603865732803</v>
      </c>
      <c r="D206" s="10" t="n">
        <f aca="false">D204/kla_sh_pc</f>
        <v>0.101645349661524</v>
      </c>
      <c r="E206" s="10" t="n">
        <f aca="false">E204/kla_sh_pc</f>
        <v>0.104639897609409</v>
      </c>
      <c r="F206" s="10" t="n">
        <f aca="false">F204/kla_sh_pc</f>
        <v>0.107722667177291</v>
      </c>
      <c r="G206" s="10" t="n">
        <f aca="false">G204/kla_sh_pc</f>
        <v>0.11089625744001</v>
      </c>
      <c r="H206" s="8" t="s">
        <v>399</v>
      </c>
    </row>
    <row r="207" customFormat="false" ht="17.15" hidden="false" customHeight="false" outlineLevel="0" collapsed="false">
      <c r="A207" s="1" t="s">
        <v>400</v>
      </c>
    </row>
    <row r="208" customFormat="false" ht="17.15" hidden="false" customHeight="false" outlineLevel="0" collapsed="false">
      <c r="A208" s="5" t="s">
        <v>401</v>
      </c>
      <c r="B208" s="0" t="s">
        <v>41</v>
      </c>
      <c r="C208" s="16" t="n">
        <f aca="false">a25_sys</f>
        <v>8264.026</v>
      </c>
      <c r="D208" s="16" t="n">
        <f aca="false">a26_sys</f>
        <v>9119.058</v>
      </c>
      <c r="E208" s="16" t="n">
        <f aca="false">(D205-h1_sys)+0.5*E205</f>
        <v>12251.677344373</v>
      </c>
      <c r="F208" s="16" t="n">
        <f aca="false">0.5*E205+0.5*F205</f>
        <v>14322.2640140235</v>
      </c>
      <c r="G208" s="16" t="n">
        <f aca="false">0.5*F205+0.5*G205</f>
        <v>16173.5727818762</v>
      </c>
      <c r="H208" s="8" t="s">
        <v>402</v>
      </c>
    </row>
    <row r="209" customFormat="false" ht="15" hidden="false" customHeight="false" outlineLevel="0" collapsed="false">
      <c r="A209" s="5" t="s">
        <v>254</v>
      </c>
      <c r="B209" s="0" t="s">
        <v>41</v>
      </c>
      <c r="C209" s="16" t="n">
        <f aca="false">a25_svc</f>
        <v>2683.308</v>
      </c>
      <c r="D209" s="16" t="n">
        <f aca="false">a26_svc</f>
        <v>3125.939</v>
      </c>
      <c r="E209" s="16" t="n">
        <f aca="false">D209*(1+g_svc_A)</f>
        <v>3563.57046</v>
      </c>
      <c r="F209" s="16" t="n">
        <f aca="false">E209*(1+g_svc_A)</f>
        <v>4062.4703244</v>
      </c>
      <c r="G209" s="16" t="n">
        <f aca="false">F209*(1+g_svc_A)</f>
        <v>4631.216169816</v>
      </c>
    </row>
    <row r="210" customFormat="false" ht="17.15" hidden="false" customHeight="false" outlineLevel="0" collapsed="false">
      <c r="A210" s="0" t="s">
        <v>403</v>
      </c>
      <c r="B210" s="0" t="s">
        <v>41</v>
      </c>
      <c r="C210" s="16" t="n">
        <f aca="false">a25_oth</f>
        <v>1208.828</v>
      </c>
      <c r="D210" s="16" t="n">
        <f aca="false">a26_oth</f>
        <v>1334.479</v>
      </c>
      <c r="E210" s="16" t="n">
        <f aca="false">D210*(1+g_oth_A)</f>
        <v>1494.61648</v>
      </c>
      <c r="F210" s="16" t="n">
        <f aca="false">E210*(1+g_oth_A)</f>
        <v>1673.9704576</v>
      </c>
      <c r="G210" s="16" t="n">
        <f aca="false">F210*(1+g_oth_A)</f>
        <v>1874.846912512</v>
      </c>
    </row>
    <row r="211" customFormat="false" ht="17.15" hidden="false" customHeight="false" outlineLevel="0" collapsed="false">
      <c r="A211" s="5" t="s">
        <v>248</v>
      </c>
      <c r="B211" s="0" t="s">
        <v>41</v>
      </c>
      <c r="C211" s="16" t="n">
        <f aca="false">C208+C209+C210</f>
        <v>12156.162</v>
      </c>
      <c r="D211" s="16" t="n">
        <f aca="false">D208+D209+D210</f>
        <v>13579.476</v>
      </c>
      <c r="E211" s="16" t="n">
        <f aca="false">E208+E209+E210</f>
        <v>17309.864284373</v>
      </c>
      <c r="F211" s="16" t="n">
        <f aca="false">F208+F209+F210</f>
        <v>20058.7047960235</v>
      </c>
      <c r="G211" s="16" t="n">
        <f aca="false">G208+G209+G210</f>
        <v>22679.6358642042</v>
      </c>
      <c r="H211" s="8" t="s">
        <v>404</v>
      </c>
    </row>
    <row r="212" customFormat="false" ht="17.15" hidden="false" customHeight="false" outlineLevel="0" collapsed="false">
      <c r="A212" s="5" t="s">
        <v>267</v>
      </c>
      <c r="B212" s="0" t="s">
        <v>41</v>
      </c>
      <c r="C212" s="16" t="n">
        <f aca="false">a25_gp</f>
        <v>7404.295</v>
      </c>
      <c r="D212" s="16" t="n">
        <f aca="false">a26_gp</f>
        <v>8324.416</v>
      </c>
      <c r="E212" s="16" t="n">
        <f aca="false">a26_gp+gm_inc*(E211-a26_rev)</f>
        <v>10735.9770459853</v>
      </c>
      <c r="F212" s="16" t="n">
        <f aca="false">a26_gp+gm_inc*(F211-a26_rev)</f>
        <v>12513.0029730965</v>
      </c>
      <c r="G212" s="16" t="n">
        <f aca="false">a26_gp+gm_inc*(G211-a26_rev)</f>
        <v>14207.3400732624</v>
      </c>
      <c r="H212" s="8" t="s">
        <v>405</v>
      </c>
    </row>
    <row r="213" customFormat="false" ht="15" hidden="false" customHeight="false" outlineLevel="0" collapsed="false">
      <c r="A213" s="5" t="s">
        <v>363</v>
      </c>
      <c r="B213" s="0" t="s">
        <v>26</v>
      </c>
      <c r="C213" s="10" t="n">
        <f aca="false">C212/C211</f>
        <v>0.609098085398994</v>
      </c>
      <c r="D213" s="10" t="n">
        <f aca="false">D212/D211</f>
        <v>0.613014522798965</v>
      </c>
      <c r="E213" s="10" t="n">
        <f aca="false">E212/E211</f>
        <v>0.620223062966332</v>
      </c>
      <c r="F213" s="10" t="n">
        <f aca="false">F212/F211</f>
        <v>0.62381909003303</v>
      </c>
      <c r="G213" s="10" t="n">
        <f aca="false">G212/G211</f>
        <v>0.626435986817857</v>
      </c>
    </row>
    <row r="214" customFormat="false" ht="15" hidden="false" customHeight="false" outlineLevel="0" collapsed="false">
      <c r="A214" s="5" t="s">
        <v>406</v>
      </c>
      <c r="B214" s="0" t="s">
        <v>41</v>
      </c>
      <c r="C214" s="16" t="n">
        <f aca="false">a25_opx</f>
        <v>2390.068</v>
      </c>
      <c r="D214" s="16" t="n">
        <f aca="false">a26_opx</f>
        <v>2663.636</v>
      </c>
      <c r="E214" s="16" t="n">
        <f aca="false">opex27</f>
        <v>2865</v>
      </c>
      <c r="F214" s="16" t="n">
        <f aca="false">E214*(1+g_opex_A)</f>
        <v>3094.2</v>
      </c>
      <c r="G214" s="16" t="n">
        <f aca="false">F214*(1+g_opex_A)</f>
        <v>3341.736</v>
      </c>
    </row>
    <row r="215" customFormat="false" ht="17.15" hidden="false" customHeight="false" outlineLevel="0" collapsed="false">
      <c r="A215" s="5" t="s">
        <v>364</v>
      </c>
      <c r="B215" s="0" t="s">
        <v>41</v>
      </c>
      <c r="C215" s="16" t="n">
        <f aca="false">a25_oi</f>
        <v>4775.127</v>
      </c>
      <c r="D215" s="16" t="n">
        <f aca="false">D212-D214</f>
        <v>5660.78</v>
      </c>
      <c r="E215" s="16" t="n">
        <f aca="false">E212-E214</f>
        <v>7870.97704598533</v>
      </c>
      <c r="F215" s="16" t="n">
        <f aca="false">F212-F214</f>
        <v>9418.80297309654</v>
      </c>
      <c r="G215" s="16" t="n">
        <f aca="false">G212-G214</f>
        <v>10865.6040732624</v>
      </c>
      <c r="H215" s="8" t="s">
        <v>407</v>
      </c>
    </row>
    <row r="216" customFormat="false" ht="15" hidden="false" customHeight="false" outlineLevel="0" collapsed="false">
      <c r="A216" s="5" t="s">
        <v>365</v>
      </c>
      <c r="B216" s="0" t="s">
        <v>26</v>
      </c>
      <c r="C216" s="10" t="n">
        <f aca="false">C215/C211</f>
        <v>0.392815347475626</v>
      </c>
      <c r="D216" s="10" t="n">
        <f aca="false">D215/D211</f>
        <v>0.416862918716451</v>
      </c>
      <c r="E216" s="10" t="n">
        <f aca="false">E215/E211</f>
        <v>0.454710500133216</v>
      </c>
      <c r="F216" s="10" t="n">
        <f aca="false">F215/F211</f>
        <v>0.469561871959139</v>
      </c>
      <c r="G216" s="10" t="n">
        <f aca="false">G215/G211</f>
        <v>0.479090763992903</v>
      </c>
    </row>
    <row r="217" customFormat="false" ht="15" hidden="false" customHeight="false" outlineLevel="0" collapsed="false">
      <c r="A217" s="5" t="s">
        <v>408</v>
      </c>
      <c r="B217" s="0" t="s">
        <v>41</v>
      </c>
      <c r="C217" s="16" t="n">
        <f aca="false">a25_nonop</f>
        <v>-130.679</v>
      </c>
      <c r="D217" s="16" t="n">
        <f aca="false">a26_nonop</f>
        <v>-54.855</v>
      </c>
      <c r="E217" s="16" t="n">
        <f aca="false">oth_exp</f>
        <v>-100</v>
      </c>
      <c r="F217" s="16" t="n">
        <f aca="false">oth_exp</f>
        <v>-100</v>
      </c>
      <c r="G217" s="16" t="n">
        <f aca="false">oth_exp</f>
        <v>-100</v>
      </c>
    </row>
    <row r="218" customFormat="false" ht="15" hidden="false" customHeight="false" outlineLevel="0" collapsed="false">
      <c r="A218" s="5" t="s">
        <v>366</v>
      </c>
      <c r="B218" s="0" t="s">
        <v>41</v>
      </c>
      <c r="C218" s="16" t="n">
        <f aca="false">a25_ni</f>
        <v>4061.643</v>
      </c>
      <c r="D218" s="16" t="n">
        <f aca="false">a26_ni</f>
        <v>4830.771</v>
      </c>
      <c r="E218" s="16" t="n">
        <f aca="false">(E215+E217)*(1-tax)</f>
        <v>6644.18537431746</v>
      </c>
      <c r="F218" s="16" t="n">
        <f aca="false">(F215+F217)*(1-tax)</f>
        <v>7967.57654199754</v>
      </c>
      <c r="G218" s="16" t="n">
        <f aca="false">(G215+G217)*(1-tax)</f>
        <v>9204.59148263939</v>
      </c>
    </row>
    <row r="219" customFormat="false" ht="15" hidden="false" customHeight="false" outlineLevel="0" collapsed="false">
      <c r="A219" s="5" t="s">
        <v>409</v>
      </c>
      <c r="B219" s="5" t="s">
        <v>151</v>
      </c>
      <c r="C219" s="16" t="n">
        <f aca="false">a25_sh</f>
        <v>1337.502</v>
      </c>
      <c r="D219" s="16" t="n">
        <f aca="false">a26_sh</f>
        <v>1319.633</v>
      </c>
      <c r="E219" s="16" t="n">
        <f aca="false">shares27</f>
        <v>1312</v>
      </c>
      <c r="F219" s="16" t="n">
        <f aca="false">E219*(1-bb)</f>
        <v>1294.47170621053</v>
      </c>
      <c r="G219" s="16" t="n">
        <f aca="false">F219*(1-bb)</f>
        <v>1277.17759007592</v>
      </c>
    </row>
    <row r="220" customFormat="false" ht="17.15" hidden="false" customHeight="false" outlineLevel="0" collapsed="false">
      <c r="A220" s="0" t="s">
        <v>367</v>
      </c>
      <c r="B220" s="0" t="s">
        <v>169</v>
      </c>
      <c r="C220" s="13" t="n">
        <f aca="false">a25_eps</f>
        <v>3.04</v>
      </c>
      <c r="D220" s="13" t="n">
        <f aca="false">a26_eps</f>
        <v>3.66</v>
      </c>
      <c r="E220" s="13" t="n">
        <f aca="false">E218/E219</f>
        <v>5.0641656816444</v>
      </c>
      <c r="F220" s="13" t="n">
        <f aca="false">F218/F219</f>
        <v>6.15507971612761</v>
      </c>
      <c r="G220" s="13" t="n">
        <f aca="false">G218/G219</f>
        <v>7.20697853936838</v>
      </c>
    </row>
    <row r="221" customFormat="false" ht="17.15" hidden="false" customHeight="false" outlineLevel="0" collapsed="false">
      <c r="A221" s="5" t="s">
        <v>410</v>
      </c>
      <c r="B221" s="0" t="s">
        <v>41</v>
      </c>
      <c r="D221" s="20" t="n">
        <f aca="false">a26_rev*chn_sh26</f>
        <v>4073.8428</v>
      </c>
      <c r="E221" s="20" t="n">
        <f aca="false">E211*chn_sh26*(1-chn_cut*IF(2027=2027,0.5,1))</f>
        <v>5192.9592853119</v>
      </c>
      <c r="F221" s="20" t="n">
        <f aca="false">F211*chn_sh26*(1-chn_cut*IF(2028=2027,0.5,1))</f>
        <v>6017.61143880705</v>
      </c>
      <c r="G221" s="20" t="n">
        <f aca="false">G211*chn_sh26*(1-chn_cut*IF(2029=2027,0.5,1))</f>
        <v>6803.89075926127</v>
      </c>
      <c r="H221" s="5" t="s">
        <v>411</v>
      </c>
    </row>
    <row r="230" customFormat="false" ht="17.15" hidden="false" customHeight="false" outlineLevel="0" collapsed="false">
      <c r="A230" s="3" t="s">
        <v>701</v>
      </c>
    </row>
    <row r="231" customFormat="false" ht="17.15" hidden="false" customHeight="false" outlineLevel="0" collapsed="false">
      <c r="A231" s="6" t="s">
        <v>15</v>
      </c>
      <c r="B231" s="6" t="s">
        <v>16</v>
      </c>
      <c r="C231" s="14" t="s">
        <v>377</v>
      </c>
      <c r="D231" s="14" t="s">
        <v>378</v>
      </c>
      <c r="E231" s="14" t="s">
        <v>379</v>
      </c>
      <c r="F231" s="14" t="s">
        <v>380</v>
      </c>
      <c r="G231" s="14" t="s">
        <v>381</v>
      </c>
      <c r="H231" s="6" t="s">
        <v>306</v>
      </c>
    </row>
    <row r="232" customFormat="false" ht="17.15" hidden="false" customHeight="false" outlineLevel="0" collapsed="false">
      <c r="A232" s="1" t="s">
        <v>382</v>
      </c>
    </row>
    <row r="233" customFormat="false" ht="17.15" hidden="false" customHeight="false" outlineLevel="0" collapsed="false">
      <c r="A233" s="5" t="s">
        <v>383</v>
      </c>
      <c r="B233" s="0" t="s">
        <v>41</v>
      </c>
      <c r="C233" s="16" t="n">
        <f aca="false">(Units!C8+m_mem*Units!C11)*1000</f>
        <v>117874.05938505</v>
      </c>
      <c r="D233" s="16" t="n">
        <f aca="false">(Units!D8+m_mem*Units!D11)*1000</f>
        <v>157598.72745742</v>
      </c>
      <c r="E233" s="16" t="n">
        <f aca="false">(Units!E8+m_mem*Units!E11)*1000</f>
        <v>194734.950900524</v>
      </c>
      <c r="F233" s="16" t="n">
        <f aca="false">(Units!F8+m_mem*Units!F11)*1000</f>
        <v>218802.231022447</v>
      </c>
      <c r="G233" s="16" t="n">
        <f aca="false">(Units!G8+m_mem*Units!G11)*1000</f>
        <v>231172.69409247</v>
      </c>
      <c r="H233" s="5" t="s">
        <v>384</v>
      </c>
    </row>
    <row r="234" customFormat="false" ht="15" hidden="false" customHeight="false" outlineLevel="0" collapsed="false">
      <c r="A234" s="5" t="s">
        <v>385</v>
      </c>
      <c r="B234" s="0" t="s">
        <v>41</v>
      </c>
      <c r="C234" s="16" t="n">
        <f aca="false">Units!C12*1000</f>
        <v>3056.56934306569</v>
      </c>
      <c r="D234" s="16" t="n">
        <f aca="false">Units!D12*1000</f>
        <v>3350</v>
      </c>
      <c r="E234" s="16" t="n">
        <f aca="false">Units!E12*1000</f>
        <v>3795.39194286967</v>
      </c>
      <c r="F234" s="16" t="n">
        <f aca="false">Units!F12*1000</f>
        <v>4300</v>
      </c>
      <c r="G234" s="16" t="n">
        <f aca="false">Units!G12*1000</f>
        <v>4644</v>
      </c>
    </row>
    <row r="235" customFormat="false" ht="17.15" hidden="false" customHeight="false" outlineLevel="0" collapsed="false">
      <c r="A235" s="5" t="s">
        <v>386</v>
      </c>
      <c r="B235" s="0" t="s">
        <v>41</v>
      </c>
      <c r="D235" s="16" t="n">
        <f aca="false">h1_rev*(2+h2up_hi)</f>
        <v>15913.476</v>
      </c>
      <c r="H235" s="5" t="s">
        <v>387</v>
      </c>
    </row>
    <row r="236" customFormat="false" ht="17.15" hidden="false" customHeight="false" outlineLevel="0" collapsed="false">
      <c r="A236" s="5" t="s">
        <v>388</v>
      </c>
      <c r="B236" s="0" t="s">
        <v>41</v>
      </c>
      <c r="D236" s="16" t="n">
        <f aca="false">h1_svc*(2+g_svc_h2)</f>
        <v>3286.1223</v>
      </c>
    </row>
    <row r="237" customFormat="false" ht="17.15" hidden="false" customHeight="false" outlineLevel="0" collapsed="false">
      <c r="A237" s="0" t="s">
        <v>389</v>
      </c>
      <c r="B237" s="0" t="s">
        <v>41</v>
      </c>
      <c r="D237" s="16" t="n">
        <f aca="false">cy25_oth*(1+g_oth26)</f>
        <v>1528.965</v>
      </c>
    </row>
    <row r="238" customFormat="false" ht="17.15" hidden="false" customHeight="false" outlineLevel="0" collapsed="false">
      <c r="A238" s="5" t="s">
        <v>390</v>
      </c>
      <c r="B238" s="0" t="s">
        <v>41</v>
      </c>
      <c r="C238" s="16" t="n">
        <f aca="false">ap26/(1+ap_g26)</f>
        <v>647.058823529412</v>
      </c>
      <c r="D238" s="16" t="n">
        <f aca="false">ap26</f>
        <v>1100</v>
      </c>
      <c r="E238" s="16" t="n">
        <f aca="false">D238*(1+k_ap*(E234/D234-1))</f>
        <v>1392.49620128754</v>
      </c>
      <c r="F238" s="16" t="n">
        <f aca="false">E238*(1+k_ap*(F234/E234-1))</f>
        <v>1762.76879145476</v>
      </c>
      <c r="G238" s="16" t="n">
        <f aca="false">F238*(1+k_ap*(G234/F234-1))</f>
        <v>2044.81179808753</v>
      </c>
      <c r="H238" s="8" t="s">
        <v>391</v>
      </c>
    </row>
    <row r="239" customFormat="false" ht="17.15" hidden="false" customHeight="false" outlineLevel="0" collapsed="false">
      <c r="A239" s="5" t="s">
        <v>392</v>
      </c>
      <c r="B239" s="0" t="s">
        <v>41</v>
      </c>
      <c r="C239" s="16" t="n">
        <f aca="false">C241-C238</f>
        <v>7971.85117647059</v>
      </c>
      <c r="D239" s="16" t="n">
        <f aca="false">D241-D238</f>
        <v>9998.3887</v>
      </c>
      <c r="E239" s="16" t="n">
        <f aca="false">E240*E233</f>
        <v>12718.3568825355</v>
      </c>
      <c r="F239" s="16" t="n">
        <f aca="false">F240*F233</f>
        <v>14711.2182894389</v>
      </c>
      <c r="G239" s="16" t="n">
        <f aca="false">G240*G233</f>
        <v>16000.8561142528</v>
      </c>
      <c r="H239" s="8" t="s">
        <v>393</v>
      </c>
    </row>
    <row r="240" customFormat="false" ht="17.15" hidden="false" customHeight="false" outlineLevel="0" collapsed="false">
      <c r="A240" s="5" t="s">
        <v>394</v>
      </c>
      <c r="B240" s="0" t="s">
        <v>26</v>
      </c>
      <c r="C240" s="21" t="n">
        <f aca="false">C239/C233</f>
        <v>0.0676302421250259</v>
      </c>
      <c r="D240" s="21" t="n">
        <f aca="false">D239/D233</f>
        <v>0.0634420649284833</v>
      </c>
      <c r="E240" s="21" t="n">
        <f aca="false">$D240*(1+pc_u)^1</f>
        <v>0.0653111155635968</v>
      </c>
      <c r="F240" s="21" t="n">
        <f aca="false">$D240*(1+pc_u)^2</f>
        <v>0.0672352298269285</v>
      </c>
      <c r="G240" s="21" t="n">
        <f aca="false">$D240*(1+pc_u)^3</f>
        <v>0.069216029934108</v>
      </c>
      <c r="H240" s="8" t="s">
        <v>395</v>
      </c>
    </row>
    <row r="241" customFormat="false" ht="17.15" hidden="false" customHeight="false" outlineLevel="0" collapsed="false">
      <c r="A241" s="5" t="s">
        <v>396</v>
      </c>
      <c r="B241" s="0" t="s">
        <v>41</v>
      </c>
      <c r="C241" s="16" t="n">
        <f aca="false">cy25_sys</f>
        <v>8618.91</v>
      </c>
      <c r="D241" s="16" t="n">
        <f aca="false">D235-D236-D237</f>
        <v>11098.3887</v>
      </c>
      <c r="E241" s="16" t="n">
        <f aca="false">(E239+E238)*(1-chn_sh26*chn_cut)</f>
        <v>14110.853083823</v>
      </c>
      <c r="F241" s="16" t="n">
        <f aca="false">(F239+F238)*(1-chn_sh26*chn_cut)</f>
        <v>16473.9870808937</v>
      </c>
      <c r="G241" s="16" t="n">
        <f aca="false">(G239+G238)*(1-chn_sh26*chn_cut)</f>
        <v>18045.6679123403</v>
      </c>
      <c r="H241" s="8" t="s">
        <v>397</v>
      </c>
    </row>
    <row r="242" customFormat="false" ht="17.15" hidden="false" customHeight="false" outlineLevel="0" collapsed="false">
      <c r="A242" s="5" t="s">
        <v>398</v>
      </c>
      <c r="B242" s="0" t="s">
        <v>26</v>
      </c>
      <c r="C242" s="10" t="n">
        <f aca="false">C240/kla_sh_pc</f>
        <v>0.116603865732803</v>
      </c>
      <c r="D242" s="10" t="n">
        <f aca="false">D240/kla_sh_pc</f>
        <v>0.10938287056635</v>
      </c>
      <c r="E242" s="10" t="n">
        <f aca="false">E240/kla_sh_pc</f>
        <v>0.112605371661374</v>
      </c>
      <c r="F242" s="10" t="n">
        <f aca="false">F240/kla_sh_pc</f>
        <v>0.115922810046429</v>
      </c>
      <c r="G242" s="10" t="n">
        <f aca="false">G240/kla_sh_pc</f>
        <v>0.119337982645014</v>
      </c>
      <c r="H242" s="8" t="s">
        <v>399</v>
      </c>
    </row>
    <row r="243" customFormat="false" ht="17.15" hidden="false" customHeight="false" outlineLevel="0" collapsed="false">
      <c r="A243" s="1" t="s">
        <v>400</v>
      </c>
    </row>
    <row r="244" customFormat="false" ht="17.15" hidden="false" customHeight="false" outlineLevel="0" collapsed="false">
      <c r="A244" s="5" t="s">
        <v>401</v>
      </c>
      <c r="B244" s="0" t="s">
        <v>41</v>
      </c>
      <c r="C244" s="16" t="n">
        <f aca="false">a25_sys</f>
        <v>8264.026</v>
      </c>
      <c r="D244" s="16" t="n">
        <f aca="false">a26_sys</f>
        <v>9119.058</v>
      </c>
      <c r="E244" s="16" t="n">
        <f aca="false">(D241-h1_sys)+0.5*E241</f>
        <v>13408.7782419115</v>
      </c>
      <c r="F244" s="16" t="n">
        <f aca="false">0.5*E241+0.5*F241</f>
        <v>15292.4200823584</v>
      </c>
      <c r="G244" s="16" t="n">
        <f aca="false">0.5*F241+0.5*G241</f>
        <v>17259.827496617</v>
      </c>
      <c r="H244" s="8" t="s">
        <v>402</v>
      </c>
    </row>
    <row r="245" customFormat="false" ht="15" hidden="false" customHeight="false" outlineLevel="0" collapsed="false">
      <c r="A245" s="5" t="s">
        <v>254</v>
      </c>
      <c r="B245" s="0" t="s">
        <v>41</v>
      </c>
      <c r="C245" s="16" t="n">
        <f aca="false">a25_svc</f>
        <v>2683.308</v>
      </c>
      <c r="D245" s="16" t="n">
        <f aca="false">a26_svc</f>
        <v>3125.939</v>
      </c>
      <c r="E245" s="16" t="n">
        <f aca="false">D245*(1+g_svc_A)</f>
        <v>3563.57046</v>
      </c>
      <c r="F245" s="16" t="n">
        <f aca="false">E245*(1+g_svc_A)</f>
        <v>4062.4703244</v>
      </c>
      <c r="G245" s="16" t="n">
        <f aca="false">F245*(1+g_svc_A)</f>
        <v>4631.216169816</v>
      </c>
    </row>
    <row r="246" customFormat="false" ht="17.15" hidden="false" customHeight="false" outlineLevel="0" collapsed="false">
      <c r="A246" s="0" t="s">
        <v>403</v>
      </c>
      <c r="B246" s="0" t="s">
        <v>41</v>
      </c>
      <c r="C246" s="16" t="n">
        <f aca="false">a25_oth</f>
        <v>1208.828</v>
      </c>
      <c r="D246" s="16" t="n">
        <f aca="false">a26_oth</f>
        <v>1334.479</v>
      </c>
      <c r="E246" s="16" t="n">
        <f aca="false">D246*(1+g_oth_A)</f>
        <v>1494.61648</v>
      </c>
      <c r="F246" s="16" t="n">
        <f aca="false">E246*(1+g_oth_A)</f>
        <v>1673.9704576</v>
      </c>
      <c r="G246" s="16" t="n">
        <f aca="false">F246*(1+g_oth_A)</f>
        <v>1874.846912512</v>
      </c>
    </row>
    <row r="247" customFormat="false" ht="17.15" hidden="false" customHeight="false" outlineLevel="0" collapsed="false">
      <c r="A247" s="5" t="s">
        <v>248</v>
      </c>
      <c r="B247" s="0" t="s">
        <v>41</v>
      </c>
      <c r="C247" s="16" t="n">
        <f aca="false">C244+C245+C246</f>
        <v>12156.162</v>
      </c>
      <c r="D247" s="16" t="n">
        <f aca="false">D244+D245+D246</f>
        <v>13579.476</v>
      </c>
      <c r="E247" s="16" t="n">
        <f aca="false">E244+E245+E246</f>
        <v>18466.9651819115</v>
      </c>
      <c r="F247" s="16" t="n">
        <f aca="false">F244+F245+F246</f>
        <v>21028.8608643584</v>
      </c>
      <c r="G247" s="16" t="n">
        <f aca="false">G244+G245+G246</f>
        <v>23765.890578945</v>
      </c>
      <c r="H247" s="8" t="s">
        <v>404</v>
      </c>
    </row>
    <row r="248" customFormat="false" ht="17.15" hidden="false" customHeight="false" outlineLevel="0" collapsed="false">
      <c r="A248" s="5" t="s">
        <v>267</v>
      </c>
      <c r="B248" s="0" t="s">
        <v>41</v>
      </c>
      <c r="C248" s="16" t="n">
        <f aca="false">a25_gp</f>
        <v>7404.295</v>
      </c>
      <c r="D248" s="16" t="n">
        <f aca="false">a26_gp</f>
        <v>8324.416</v>
      </c>
      <c r="E248" s="16" t="n">
        <f aca="false">a26_gp+gm_inc*(E247-a26_rev)</f>
        <v>11484.0009078626</v>
      </c>
      <c r="F248" s="16" t="n">
        <f aca="false">a26_gp+gm_inc*(F247-a26_rev)</f>
        <v>13140.1737672799</v>
      </c>
      <c r="G248" s="16" t="n">
        <f aca="false">a26_gp+gm_inc*(G247-a26_rev)</f>
        <v>14909.5644414496</v>
      </c>
      <c r="H248" s="8" t="s">
        <v>405</v>
      </c>
    </row>
    <row r="249" customFormat="false" ht="15" hidden="false" customHeight="false" outlineLevel="0" collapsed="false">
      <c r="A249" s="5" t="s">
        <v>363</v>
      </c>
      <c r="B249" s="0" t="s">
        <v>26</v>
      </c>
      <c r="C249" s="10" t="n">
        <f aca="false">C248/C247</f>
        <v>0.609098085398994</v>
      </c>
      <c r="D249" s="10" t="n">
        <f aca="false">D248/D247</f>
        <v>0.613014522798965</v>
      </c>
      <c r="E249" s="10" t="n">
        <f aca="false">E248/E247</f>
        <v>0.621867252942637</v>
      </c>
      <c r="F249" s="10" t="n">
        <f aca="false">F248/F247</f>
        <v>0.624863793242891</v>
      </c>
      <c r="G249" s="10" t="n">
        <f aca="false">G248/G247</f>
        <v>0.627351387987056</v>
      </c>
    </row>
    <row r="250" customFormat="false" ht="15" hidden="false" customHeight="false" outlineLevel="0" collapsed="false">
      <c r="A250" s="5" t="s">
        <v>406</v>
      </c>
      <c r="B250" s="0" t="s">
        <v>41</v>
      </c>
      <c r="C250" s="16" t="n">
        <f aca="false">a25_opx</f>
        <v>2390.068</v>
      </c>
      <c r="D250" s="16" t="n">
        <f aca="false">a26_opx</f>
        <v>2663.636</v>
      </c>
      <c r="E250" s="16" t="n">
        <f aca="false">opex27</f>
        <v>2865</v>
      </c>
      <c r="F250" s="16" t="n">
        <f aca="false">E250*(1+g_opex_A)</f>
        <v>3094.2</v>
      </c>
      <c r="G250" s="16" t="n">
        <f aca="false">F250*(1+g_opex_A)</f>
        <v>3341.736</v>
      </c>
    </row>
    <row r="251" customFormat="false" ht="17.15" hidden="false" customHeight="false" outlineLevel="0" collapsed="false">
      <c r="A251" s="5" t="s">
        <v>364</v>
      </c>
      <c r="B251" s="0" t="s">
        <v>41</v>
      </c>
      <c r="C251" s="16" t="n">
        <f aca="false">a25_oi</f>
        <v>4775.127</v>
      </c>
      <c r="D251" s="16" t="n">
        <f aca="false">D248-D250</f>
        <v>5660.78</v>
      </c>
      <c r="E251" s="16" t="n">
        <f aca="false">E248-E250</f>
        <v>8619.00090786264</v>
      </c>
      <c r="F251" s="16" t="n">
        <f aca="false">F248-F250</f>
        <v>10045.9737672799</v>
      </c>
      <c r="G251" s="16" t="n">
        <f aca="false">G248-G250</f>
        <v>11567.8284414496</v>
      </c>
      <c r="H251" s="8" t="s">
        <v>407</v>
      </c>
    </row>
    <row r="252" customFormat="false" ht="15" hidden="false" customHeight="false" outlineLevel="0" collapsed="false">
      <c r="A252" s="5" t="s">
        <v>365</v>
      </c>
      <c r="B252" s="0" t="s">
        <v>26</v>
      </c>
      <c r="C252" s="10" t="n">
        <f aca="false">C251/C247</f>
        <v>0.392815347475626</v>
      </c>
      <c r="D252" s="10" t="n">
        <f aca="false">D251/D247</f>
        <v>0.416862918716451</v>
      </c>
      <c r="E252" s="10" t="n">
        <f aca="false">E251/E247</f>
        <v>0.466725356492522</v>
      </c>
      <c r="F252" s="10" t="n">
        <f aca="false">F251/F247</f>
        <v>0.477723155432864</v>
      </c>
      <c r="G252" s="10" t="n">
        <f aca="false">G251/G247</f>
        <v>0.486740793618648</v>
      </c>
    </row>
    <row r="253" customFormat="false" ht="15" hidden="false" customHeight="false" outlineLevel="0" collapsed="false">
      <c r="A253" s="5" t="s">
        <v>408</v>
      </c>
      <c r="B253" s="0" t="s">
        <v>41</v>
      </c>
      <c r="C253" s="16" t="n">
        <f aca="false">a25_nonop</f>
        <v>-130.679</v>
      </c>
      <c r="D253" s="16" t="n">
        <f aca="false">a26_nonop</f>
        <v>-54.855</v>
      </c>
      <c r="E253" s="16" t="n">
        <f aca="false">oth_exp</f>
        <v>-100</v>
      </c>
      <c r="F253" s="16" t="n">
        <f aca="false">oth_exp</f>
        <v>-100</v>
      </c>
      <c r="G253" s="16" t="n">
        <f aca="false">oth_exp</f>
        <v>-100</v>
      </c>
    </row>
    <row r="254" customFormat="false" ht="15" hidden="false" customHeight="false" outlineLevel="0" collapsed="false">
      <c r="A254" s="5" t="s">
        <v>366</v>
      </c>
      <c r="B254" s="0" t="s">
        <v>41</v>
      </c>
      <c r="C254" s="16" t="n">
        <f aca="false">a25_ni</f>
        <v>4061.643</v>
      </c>
      <c r="D254" s="16" t="n">
        <f aca="false">a26_ni</f>
        <v>4830.771</v>
      </c>
      <c r="E254" s="16" t="n">
        <f aca="false">(E251+E253)*(1-tax)</f>
        <v>7283.74577622256</v>
      </c>
      <c r="F254" s="16" t="n">
        <f aca="false">(F251+F253)*(1-tax)</f>
        <v>8503.80757102435</v>
      </c>
      <c r="G254" s="16" t="n">
        <f aca="false">(G251+G253)*(1-tax)</f>
        <v>9804.99331743944</v>
      </c>
    </row>
    <row r="255" customFormat="false" ht="15" hidden="false" customHeight="false" outlineLevel="0" collapsed="false">
      <c r="A255" s="5" t="s">
        <v>409</v>
      </c>
      <c r="B255" s="5" t="s">
        <v>151</v>
      </c>
      <c r="C255" s="16" t="n">
        <f aca="false">a25_sh</f>
        <v>1337.502</v>
      </c>
      <c r="D255" s="16" t="n">
        <f aca="false">a26_sh</f>
        <v>1319.633</v>
      </c>
      <c r="E255" s="16" t="n">
        <f aca="false">shares27</f>
        <v>1312</v>
      </c>
      <c r="F255" s="16" t="n">
        <f aca="false">E255*(1-bb)</f>
        <v>1294.47170621053</v>
      </c>
      <c r="G255" s="16" t="n">
        <f aca="false">F255*(1-bb)</f>
        <v>1277.17759007592</v>
      </c>
    </row>
    <row r="256" customFormat="false" ht="17.15" hidden="false" customHeight="false" outlineLevel="0" collapsed="false">
      <c r="A256" s="0" t="s">
        <v>367</v>
      </c>
      <c r="B256" s="0" t="s">
        <v>169</v>
      </c>
      <c r="C256" s="13" t="n">
        <f aca="false">a25_eps</f>
        <v>3.04</v>
      </c>
      <c r="D256" s="13" t="n">
        <f aca="false">a26_eps</f>
        <v>3.66</v>
      </c>
      <c r="E256" s="13" t="n">
        <f aca="false">E254/E255</f>
        <v>5.55163550016963</v>
      </c>
      <c r="F256" s="13" t="n">
        <f aca="false">F254/F255</f>
        <v>6.56932672241914</v>
      </c>
      <c r="G256" s="13" t="n">
        <f aca="false">G254/G255</f>
        <v>7.67707904807239</v>
      </c>
    </row>
    <row r="257" customFormat="false" ht="17.15" hidden="false" customHeight="false" outlineLevel="0" collapsed="false">
      <c r="A257" s="5" t="s">
        <v>410</v>
      </c>
      <c r="B257" s="0" t="s">
        <v>41</v>
      </c>
      <c r="D257" s="20" t="n">
        <f aca="false">a26_rev*chn_sh26</f>
        <v>4073.8428</v>
      </c>
      <c r="E257" s="20" t="n">
        <f aca="false">E247*chn_sh26*(1-chn_cut*IF(2027=2027,0.5,1))</f>
        <v>5540.08955457345</v>
      </c>
      <c r="F257" s="20" t="n">
        <f aca="false">F247*chn_sh26*(1-chn_cut*IF(2028=2027,0.5,1))</f>
        <v>6308.65825930751</v>
      </c>
      <c r="G257" s="20" t="n">
        <f aca="false">G247*chn_sh26*(1-chn_cut*IF(2029=2027,0.5,1))</f>
        <v>7129.7671736835</v>
      </c>
      <c r="H257" s="5" t="s">
        <v>411</v>
      </c>
    </row>
    <row r="266" customFormat="false" ht="17.15" hidden="false" customHeight="false" outlineLevel="0" collapsed="false">
      <c r="A266" s="3" t="s">
        <v>702</v>
      </c>
    </row>
    <row r="267" customFormat="false" ht="17.15" hidden="false" customHeight="false" outlineLevel="0" collapsed="false">
      <c r="A267" s="6" t="s">
        <v>15</v>
      </c>
      <c r="B267" s="6" t="s">
        <v>16</v>
      </c>
      <c r="C267" s="14" t="s">
        <v>377</v>
      </c>
      <c r="D267" s="14" t="s">
        <v>378</v>
      </c>
      <c r="E267" s="14" t="s">
        <v>379</v>
      </c>
      <c r="F267" s="14" t="s">
        <v>380</v>
      </c>
      <c r="G267" s="14" t="s">
        <v>381</v>
      </c>
      <c r="H267" s="6" t="s">
        <v>306</v>
      </c>
    </row>
    <row r="268" customFormat="false" ht="17.15" hidden="false" customHeight="false" outlineLevel="0" collapsed="false">
      <c r="A268" s="1" t="s">
        <v>382</v>
      </c>
    </row>
    <row r="269" customFormat="false" ht="17.15" hidden="false" customHeight="false" outlineLevel="0" collapsed="false">
      <c r="A269" s="5" t="s">
        <v>383</v>
      </c>
      <c r="B269" s="0" t="s">
        <v>41</v>
      </c>
      <c r="C269" s="16" t="n">
        <f aca="false">(Units!C8+m_mem_lo*Units!C11)*1000</f>
        <v>113018.292961601</v>
      </c>
      <c r="D269" s="16" t="n">
        <f aca="false">(Units!D8+m_mem_lo*Units!D11)*1000</f>
        <v>150435.148936628</v>
      </c>
      <c r="E269" s="16" t="n">
        <f aca="false">(Units!E8+m_mem_lo*Units!E11)*1000</f>
        <v>185097.82048536</v>
      </c>
      <c r="F269" s="16" t="n">
        <f aca="false">(Units!F8+m_mem_lo*Units!F11)*1000</f>
        <v>208001.760975741</v>
      </c>
      <c r="G269" s="16" t="n">
        <f aca="false">(Units!G8+m_mem_lo*Units!G11)*1000</f>
        <v>219898.171475729</v>
      </c>
      <c r="H269" s="5" t="s">
        <v>384</v>
      </c>
    </row>
    <row r="270" customFormat="false" ht="15" hidden="false" customHeight="false" outlineLevel="0" collapsed="false">
      <c r="A270" s="5" t="s">
        <v>385</v>
      </c>
      <c r="B270" s="0" t="s">
        <v>41</v>
      </c>
      <c r="C270" s="16" t="n">
        <f aca="false">Units!C12*1000</f>
        <v>3056.56934306569</v>
      </c>
      <c r="D270" s="16" t="n">
        <f aca="false">Units!D12*1000</f>
        <v>3350</v>
      </c>
      <c r="E270" s="16" t="n">
        <f aca="false">Units!E12*1000</f>
        <v>3795.39194286967</v>
      </c>
      <c r="F270" s="16" t="n">
        <f aca="false">Units!F12*1000</f>
        <v>4300</v>
      </c>
      <c r="G270" s="16" t="n">
        <f aca="false">Units!G12*1000</f>
        <v>4644</v>
      </c>
    </row>
    <row r="271" customFormat="false" ht="17.15" hidden="false" customHeight="false" outlineLevel="0" collapsed="false">
      <c r="A271" s="5" t="s">
        <v>386</v>
      </c>
      <c r="B271" s="0" t="s">
        <v>41</v>
      </c>
      <c r="D271" s="16" t="n">
        <f aca="false">h1_rev*(2+h2up)</f>
        <v>15559.8432</v>
      </c>
      <c r="H271" s="5" t="s">
        <v>387</v>
      </c>
    </row>
    <row r="272" customFormat="false" ht="17.15" hidden="false" customHeight="false" outlineLevel="0" collapsed="false">
      <c r="A272" s="5" t="s">
        <v>388</v>
      </c>
      <c r="B272" s="0" t="s">
        <v>41</v>
      </c>
      <c r="D272" s="16" t="n">
        <f aca="false">h1_svc*(2+g_svc_h2)</f>
        <v>3286.1223</v>
      </c>
    </row>
    <row r="273" customFormat="false" ht="17.15" hidden="false" customHeight="false" outlineLevel="0" collapsed="false">
      <c r="A273" s="0" t="s">
        <v>389</v>
      </c>
      <c r="B273" s="0" t="s">
        <v>41</v>
      </c>
      <c r="D273" s="16" t="n">
        <f aca="false">cy25_oth*(1+g_oth26)</f>
        <v>1528.965</v>
      </c>
    </row>
    <row r="274" customFormat="false" ht="17.15" hidden="false" customHeight="false" outlineLevel="0" collapsed="false">
      <c r="A274" s="5" t="s">
        <v>390</v>
      </c>
      <c r="B274" s="0" t="s">
        <v>41</v>
      </c>
      <c r="C274" s="16" t="n">
        <f aca="false">ap26/(1+ap_g26)</f>
        <v>647.058823529412</v>
      </c>
      <c r="D274" s="16" t="n">
        <f aca="false">ap26</f>
        <v>1100</v>
      </c>
      <c r="E274" s="16" t="n">
        <f aca="false">D274*(1+k_ap*(E270/D270-1))</f>
        <v>1392.49620128754</v>
      </c>
      <c r="F274" s="16" t="n">
        <f aca="false">E274*(1+k_ap*(F270/E270-1))</f>
        <v>1762.76879145476</v>
      </c>
      <c r="G274" s="16" t="n">
        <f aca="false">F274*(1+k_ap*(G270/F270-1))</f>
        <v>2044.81179808753</v>
      </c>
      <c r="H274" s="8" t="s">
        <v>391</v>
      </c>
    </row>
    <row r="275" customFormat="false" ht="17.15" hidden="false" customHeight="false" outlineLevel="0" collapsed="false">
      <c r="A275" s="5" t="s">
        <v>392</v>
      </c>
      <c r="B275" s="0" t="s">
        <v>41</v>
      </c>
      <c r="C275" s="16" t="n">
        <f aca="false">C277-C274</f>
        <v>7971.85117647059</v>
      </c>
      <c r="D275" s="16" t="n">
        <f aca="false">D277-D274</f>
        <v>9644.7559</v>
      </c>
      <c r="E275" s="16" t="n">
        <f aca="false">E276*E269</f>
        <v>12216.674901939</v>
      </c>
      <c r="F275" s="16" t="n">
        <f aca="false">F276*F269</f>
        <v>14132.8098455973</v>
      </c>
      <c r="G275" s="16" t="n">
        <f aca="false">G276*G269</f>
        <v>15381.2954299528</v>
      </c>
      <c r="H275" s="8" t="s">
        <v>393</v>
      </c>
    </row>
    <row r="276" customFormat="false" ht="17.15" hidden="false" customHeight="false" outlineLevel="0" collapsed="false">
      <c r="A276" s="5" t="s">
        <v>394</v>
      </c>
      <c r="B276" s="0" t="s">
        <v>26</v>
      </c>
      <c r="C276" s="21" t="n">
        <f aca="false">C275/C269</f>
        <v>0.0705359368609388</v>
      </c>
      <c r="D276" s="21" t="n">
        <f aca="false">D275/D269</f>
        <v>0.0641123830978018</v>
      </c>
      <c r="E276" s="21" t="n">
        <f aca="false">$D276*(1+pc_u)^1</f>
        <v>0.0660011818070284</v>
      </c>
      <c r="F276" s="21" t="n">
        <f aca="false">$D276*(1+pc_u)^2</f>
        <v>0.0679456259374918</v>
      </c>
      <c r="G276" s="21" t="n">
        <f aca="false">$D276*(1+pc_u)^3</f>
        <v>0.0699473548448786</v>
      </c>
      <c r="H276" s="8" t="s">
        <v>395</v>
      </c>
    </row>
    <row r="277" customFormat="false" ht="17.15" hidden="false" customHeight="false" outlineLevel="0" collapsed="false">
      <c r="A277" s="5" t="s">
        <v>396</v>
      </c>
      <c r="B277" s="0" t="s">
        <v>41</v>
      </c>
      <c r="C277" s="16" t="n">
        <f aca="false">cy25_sys</f>
        <v>8618.91</v>
      </c>
      <c r="D277" s="16" t="n">
        <f aca="false">D271-D272-D273</f>
        <v>10744.7559</v>
      </c>
      <c r="E277" s="16" t="n">
        <f aca="false">(E275+E274)*(1-chn_sh26*chn_cut)</f>
        <v>13609.1711032265</v>
      </c>
      <c r="F277" s="16" t="n">
        <f aca="false">(F275+F274)*(1-chn_sh26*chn_cut)</f>
        <v>15895.578637052</v>
      </c>
      <c r="G277" s="16" t="n">
        <f aca="false">(G275+G274)*(1-chn_sh26*chn_cut)</f>
        <v>17426.1072280403</v>
      </c>
      <c r="H277" s="8" t="s">
        <v>397</v>
      </c>
    </row>
    <row r="278" customFormat="false" ht="17.15" hidden="false" customHeight="false" outlineLevel="0" collapsed="false">
      <c r="A278" s="5" t="s">
        <v>398</v>
      </c>
      <c r="B278" s="0" t="s">
        <v>26</v>
      </c>
      <c r="C278" s="10" t="n">
        <f aca="false">C276/kla_sh_pc</f>
        <v>0.121613684242998</v>
      </c>
      <c r="D278" s="10" t="n">
        <f aca="false">D276/kla_sh_pc</f>
        <v>0.110538591547934</v>
      </c>
      <c r="E278" s="10" t="n">
        <f aca="false">E276/kla_sh_pc</f>
        <v>0.113795141046601</v>
      </c>
      <c r="F278" s="10" t="n">
        <f aca="false">F276/kla_sh_pc</f>
        <v>0.11714763092671</v>
      </c>
      <c r="G278" s="10" t="n">
        <f aca="false">G276/kla_sh_pc</f>
        <v>0.120598887663584</v>
      </c>
      <c r="H278" s="8" t="s">
        <v>399</v>
      </c>
    </row>
    <row r="279" customFormat="false" ht="17.15" hidden="false" customHeight="false" outlineLevel="0" collapsed="false">
      <c r="A279" s="1" t="s">
        <v>400</v>
      </c>
    </row>
    <row r="280" customFormat="false" ht="17.15" hidden="false" customHeight="false" outlineLevel="0" collapsed="false">
      <c r="A280" s="5" t="s">
        <v>401</v>
      </c>
      <c r="B280" s="0" t="s">
        <v>41</v>
      </c>
      <c r="C280" s="16" t="n">
        <f aca="false">a25_sys</f>
        <v>8264.026</v>
      </c>
      <c r="D280" s="16" t="n">
        <f aca="false">a26_sys</f>
        <v>9119.058</v>
      </c>
      <c r="E280" s="16" t="n">
        <f aca="false">(D277-h1_sys)+0.5*E277</f>
        <v>12804.3044516133</v>
      </c>
      <c r="F280" s="16" t="n">
        <f aca="false">0.5*E277+0.5*F277</f>
        <v>14752.3748701393</v>
      </c>
      <c r="G280" s="16" t="n">
        <f aca="false">0.5*F277+0.5*G277</f>
        <v>16660.8429325462</v>
      </c>
      <c r="H280" s="8" t="s">
        <v>402</v>
      </c>
    </row>
    <row r="281" customFormat="false" ht="15" hidden="false" customHeight="false" outlineLevel="0" collapsed="false">
      <c r="A281" s="5" t="s">
        <v>254</v>
      </c>
      <c r="B281" s="0" t="s">
        <v>41</v>
      </c>
      <c r="C281" s="16" t="n">
        <f aca="false">a25_svc</f>
        <v>2683.308</v>
      </c>
      <c r="D281" s="16" t="n">
        <f aca="false">a26_svc</f>
        <v>3125.939</v>
      </c>
      <c r="E281" s="16" t="n">
        <f aca="false">D281*(1+g_svc_A)</f>
        <v>3563.57046</v>
      </c>
      <c r="F281" s="16" t="n">
        <f aca="false">E281*(1+g_svc_A)</f>
        <v>4062.4703244</v>
      </c>
      <c r="G281" s="16" t="n">
        <f aca="false">F281*(1+g_svc_A)</f>
        <v>4631.216169816</v>
      </c>
    </row>
    <row r="282" customFormat="false" ht="17.15" hidden="false" customHeight="false" outlineLevel="0" collapsed="false">
      <c r="A282" s="0" t="s">
        <v>403</v>
      </c>
      <c r="B282" s="0" t="s">
        <v>41</v>
      </c>
      <c r="C282" s="16" t="n">
        <f aca="false">a25_oth</f>
        <v>1208.828</v>
      </c>
      <c r="D282" s="16" t="n">
        <f aca="false">a26_oth</f>
        <v>1334.479</v>
      </c>
      <c r="E282" s="16" t="n">
        <f aca="false">D282*(1+g_oth_A)</f>
        <v>1494.61648</v>
      </c>
      <c r="F282" s="16" t="n">
        <f aca="false">E282*(1+g_oth_A)</f>
        <v>1673.9704576</v>
      </c>
      <c r="G282" s="16" t="n">
        <f aca="false">F282*(1+g_oth_A)</f>
        <v>1874.846912512</v>
      </c>
    </row>
    <row r="283" customFormat="false" ht="17.15" hidden="false" customHeight="false" outlineLevel="0" collapsed="false">
      <c r="A283" s="5" t="s">
        <v>248</v>
      </c>
      <c r="B283" s="0" t="s">
        <v>41</v>
      </c>
      <c r="C283" s="16" t="n">
        <f aca="false">C280+C281+C282</f>
        <v>12156.162</v>
      </c>
      <c r="D283" s="16" t="n">
        <f aca="false">D280+D281+D282</f>
        <v>13579.476</v>
      </c>
      <c r="E283" s="16" t="n">
        <f aca="false">E280+E281+E282</f>
        <v>17862.4913916133</v>
      </c>
      <c r="F283" s="16" t="n">
        <f aca="false">F280+F281+F282</f>
        <v>20488.8156521393</v>
      </c>
      <c r="G283" s="16" t="n">
        <f aca="false">G280+G281+G282</f>
        <v>23166.9060148742</v>
      </c>
      <c r="H283" s="8" t="s">
        <v>404</v>
      </c>
    </row>
    <row r="284" customFormat="false" ht="17.15" hidden="false" customHeight="false" outlineLevel="0" collapsed="false">
      <c r="A284" s="5" t="s">
        <v>267</v>
      </c>
      <c r="B284" s="0" t="s">
        <v>41</v>
      </c>
      <c r="C284" s="16" t="n">
        <f aca="false">a25_gp</f>
        <v>7404.295</v>
      </c>
      <c r="D284" s="16" t="n">
        <f aca="false">a26_gp</f>
        <v>8324.416</v>
      </c>
      <c r="E284" s="16" t="n">
        <f aca="false">a26_gp+gm_inc*(E283-a26_rev)</f>
        <v>11093.2304746322</v>
      </c>
      <c r="F284" s="16" t="n">
        <f aca="false">a26_gp+gm_inc*(F283-a26_rev)</f>
        <v>12791.0540785027</v>
      </c>
      <c r="G284" s="16" t="n">
        <f aca="false">a26_gp+gm_inc*(G283-a26_rev)</f>
        <v>14522.3425943538</v>
      </c>
      <c r="H284" s="8" t="s">
        <v>405</v>
      </c>
    </row>
    <row r="285" customFormat="false" ht="15" hidden="false" customHeight="false" outlineLevel="0" collapsed="false">
      <c r="A285" s="5" t="s">
        <v>363</v>
      </c>
      <c r="B285" s="0" t="s">
        <v>26</v>
      </c>
      <c r="C285" s="10" t="n">
        <f aca="false">C284/C283</f>
        <v>0.609098085398994</v>
      </c>
      <c r="D285" s="10" t="n">
        <f aca="false">D284/D283</f>
        <v>0.613014522798965</v>
      </c>
      <c r="E285" s="10" t="n">
        <f aca="false">E284/E283</f>
        <v>0.621034895492832</v>
      </c>
      <c r="F285" s="10" t="n">
        <f aca="false">F284/F283</f>
        <v>0.624294458775474</v>
      </c>
      <c r="G285" s="10" t="n">
        <f aca="false">G284/G283</f>
        <v>0.626857232684839</v>
      </c>
    </row>
    <row r="286" customFormat="false" ht="15" hidden="false" customHeight="false" outlineLevel="0" collapsed="false">
      <c r="A286" s="5" t="s">
        <v>406</v>
      </c>
      <c r="B286" s="0" t="s">
        <v>41</v>
      </c>
      <c r="C286" s="16" t="n">
        <f aca="false">a25_opx</f>
        <v>2390.068</v>
      </c>
      <c r="D286" s="16" t="n">
        <f aca="false">a26_opx</f>
        <v>2663.636</v>
      </c>
      <c r="E286" s="16" t="n">
        <f aca="false">opex27</f>
        <v>2865</v>
      </c>
      <c r="F286" s="16" t="n">
        <f aca="false">E286*(1+g_opex_A)</f>
        <v>3094.2</v>
      </c>
      <c r="G286" s="16" t="n">
        <f aca="false">F286*(1+g_opex_A)</f>
        <v>3341.736</v>
      </c>
    </row>
    <row r="287" customFormat="false" ht="17.15" hidden="false" customHeight="false" outlineLevel="0" collapsed="false">
      <c r="A287" s="5" t="s">
        <v>364</v>
      </c>
      <c r="B287" s="0" t="s">
        <v>41</v>
      </c>
      <c r="C287" s="16" t="n">
        <f aca="false">a25_oi</f>
        <v>4775.127</v>
      </c>
      <c r="D287" s="16" t="n">
        <f aca="false">D284-D286</f>
        <v>5660.78</v>
      </c>
      <c r="E287" s="16" t="n">
        <f aca="false">E284-E286</f>
        <v>8228.23047463215</v>
      </c>
      <c r="F287" s="16" t="n">
        <f aca="false">F284-F286</f>
        <v>9696.85407850274</v>
      </c>
      <c r="G287" s="16" t="n">
        <f aca="false">G284-G286</f>
        <v>11180.6065943538</v>
      </c>
      <c r="H287" s="8" t="s">
        <v>407</v>
      </c>
    </row>
    <row r="288" customFormat="false" ht="15" hidden="false" customHeight="false" outlineLevel="0" collapsed="false">
      <c r="A288" s="5" t="s">
        <v>365</v>
      </c>
      <c r="B288" s="0" t="s">
        <v>26</v>
      </c>
      <c r="C288" s="10" t="n">
        <f aca="false">C287/C283</f>
        <v>0.392815347475626</v>
      </c>
      <c r="D288" s="10" t="n">
        <f aca="false">D287/D283</f>
        <v>0.416862918716451</v>
      </c>
      <c r="E288" s="10" t="n">
        <f aca="false">E287/E283</f>
        <v>0.460642935760655</v>
      </c>
      <c r="F288" s="10" t="n">
        <f aca="false">F287/F283</f>
        <v>0.473275480786039</v>
      </c>
      <c r="G288" s="10" t="n">
        <f aca="false">G287/G283</f>
        <v>0.48261112585234</v>
      </c>
    </row>
    <row r="289" customFormat="false" ht="15" hidden="false" customHeight="false" outlineLevel="0" collapsed="false">
      <c r="A289" s="5" t="s">
        <v>408</v>
      </c>
      <c r="B289" s="0" t="s">
        <v>41</v>
      </c>
      <c r="C289" s="16" t="n">
        <f aca="false">a25_nonop</f>
        <v>-130.679</v>
      </c>
      <c r="D289" s="16" t="n">
        <f aca="false">a26_nonop</f>
        <v>-54.855</v>
      </c>
      <c r="E289" s="16" t="n">
        <f aca="false">oth_exp</f>
        <v>-100</v>
      </c>
      <c r="F289" s="16" t="n">
        <f aca="false">oth_exp</f>
        <v>-100</v>
      </c>
      <c r="G289" s="16" t="n">
        <f aca="false">oth_exp</f>
        <v>-100</v>
      </c>
    </row>
    <row r="290" customFormat="false" ht="15" hidden="false" customHeight="false" outlineLevel="0" collapsed="false">
      <c r="A290" s="5" t="s">
        <v>366</v>
      </c>
      <c r="B290" s="0" t="s">
        <v>41</v>
      </c>
      <c r="C290" s="16" t="n">
        <f aca="false">a25_ni</f>
        <v>4061.643</v>
      </c>
      <c r="D290" s="16" t="n">
        <f aca="false">a26_ni</f>
        <v>4830.771</v>
      </c>
      <c r="E290" s="16" t="n">
        <f aca="false">(E287+E289)*(1-tax)</f>
        <v>6949.63705581049</v>
      </c>
      <c r="F290" s="16" t="n">
        <f aca="false">(F287+F289)*(1-tax)</f>
        <v>8205.31023711985</v>
      </c>
      <c r="G290" s="16" t="n">
        <f aca="false">(G287+G289)*(1-tax)</f>
        <v>9473.91863817248</v>
      </c>
    </row>
    <row r="291" customFormat="false" ht="15" hidden="false" customHeight="false" outlineLevel="0" collapsed="false">
      <c r="A291" s="5" t="s">
        <v>409</v>
      </c>
      <c r="B291" s="5" t="s">
        <v>151</v>
      </c>
      <c r="C291" s="16" t="n">
        <f aca="false">a25_sh</f>
        <v>1337.502</v>
      </c>
      <c r="D291" s="16" t="n">
        <f aca="false">a26_sh</f>
        <v>1319.633</v>
      </c>
      <c r="E291" s="16" t="n">
        <f aca="false">shares27</f>
        <v>1312</v>
      </c>
      <c r="F291" s="16" t="n">
        <f aca="false">E291*(1-bb)</f>
        <v>1294.47170621053</v>
      </c>
      <c r="G291" s="16" t="n">
        <f aca="false">F291*(1-bb)</f>
        <v>1277.17759007592</v>
      </c>
    </row>
    <row r="292" customFormat="false" ht="17.15" hidden="false" customHeight="false" outlineLevel="0" collapsed="false">
      <c r="A292" s="0" t="s">
        <v>367</v>
      </c>
      <c r="B292" s="0" t="s">
        <v>169</v>
      </c>
      <c r="C292" s="13" t="n">
        <f aca="false">a25_eps</f>
        <v>3.04</v>
      </c>
      <c r="D292" s="13" t="n">
        <f aca="false">a26_eps</f>
        <v>3.66</v>
      </c>
      <c r="E292" s="13" t="n">
        <f aca="false">E290/E291</f>
        <v>5.29697946327019</v>
      </c>
      <c r="F292" s="13" t="n">
        <f aca="false">F290/F291</f>
        <v>6.33873278013953</v>
      </c>
      <c r="G292" s="13" t="n">
        <f aca="false">G290/G291</f>
        <v>7.41785536466335</v>
      </c>
    </row>
    <row r="293" customFormat="false" ht="17.15" hidden="false" customHeight="false" outlineLevel="0" collapsed="false">
      <c r="A293" s="5" t="s">
        <v>410</v>
      </c>
      <c r="B293" s="0" t="s">
        <v>41</v>
      </c>
      <c r="D293" s="20" t="n">
        <f aca="false">a26_rev*chn_sh26</f>
        <v>4073.8428</v>
      </c>
      <c r="E293" s="20" t="n">
        <f aca="false">E283*chn_sh26*(1-chn_cut*IF(2027=2027,0.5,1))</f>
        <v>5358.74741748398</v>
      </c>
      <c r="F293" s="20" t="n">
        <f aca="false">F283*chn_sh26*(1-chn_cut*IF(2028=2027,0.5,1))</f>
        <v>6146.64469564178</v>
      </c>
      <c r="G293" s="20" t="n">
        <f aca="false">G283*chn_sh26*(1-chn_cut*IF(2029=2027,0.5,1))</f>
        <v>6950.07180446226</v>
      </c>
      <c r="H293" s="5" t="s">
        <v>411</v>
      </c>
    </row>
    <row r="302" customFormat="false" ht="17.15" hidden="false" customHeight="false" outlineLevel="0" collapsed="false">
      <c r="A302" s="3" t="s">
        <v>703</v>
      </c>
    </row>
    <row r="303" customFormat="false" ht="17.15" hidden="false" customHeight="false" outlineLevel="0" collapsed="false">
      <c r="A303" s="6" t="s">
        <v>15</v>
      </c>
      <c r="B303" s="6" t="s">
        <v>16</v>
      </c>
      <c r="C303" s="14" t="s">
        <v>377</v>
      </c>
      <c r="D303" s="14" t="s">
        <v>378</v>
      </c>
      <c r="E303" s="14" t="s">
        <v>379</v>
      </c>
      <c r="F303" s="14" t="s">
        <v>380</v>
      </c>
      <c r="G303" s="14" t="s">
        <v>381</v>
      </c>
      <c r="H303" s="6" t="s">
        <v>306</v>
      </c>
    </row>
    <row r="304" customFormat="false" ht="17.15" hidden="false" customHeight="false" outlineLevel="0" collapsed="false">
      <c r="A304" s="1" t="s">
        <v>382</v>
      </c>
    </row>
    <row r="305" customFormat="false" ht="17.15" hidden="false" customHeight="false" outlineLevel="0" collapsed="false">
      <c r="A305" s="5" t="s">
        <v>383</v>
      </c>
      <c r="B305" s="0" t="s">
        <v>41</v>
      </c>
      <c r="C305" s="16" t="n">
        <f aca="false">(Units!C8+m_mem_hi*Units!C11)*1000</f>
        <v>123215.402450843</v>
      </c>
      <c r="D305" s="16" t="n">
        <f aca="false">(Units!D8+m_mem_hi*Units!D11)*1000</f>
        <v>165478.663830291</v>
      </c>
      <c r="E305" s="16" t="n">
        <f aca="false">(Units!E8+m_mem_hi*Units!E11)*1000</f>
        <v>205335.794357204</v>
      </c>
      <c r="F305" s="16" t="n">
        <f aca="false">(Units!F8+m_mem_hi*Units!F11)*1000</f>
        <v>230682.748073823</v>
      </c>
      <c r="G305" s="16" t="n">
        <f aca="false">(Units!G8+m_mem_hi*Units!G11)*1000</f>
        <v>243574.668970884</v>
      </c>
      <c r="H305" s="5" t="s">
        <v>384</v>
      </c>
    </row>
    <row r="306" customFormat="false" ht="15" hidden="false" customHeight="false" outlineLevel="0" collapsed="false">
      <c r="A306" s="5" t="s">
        <v>385</v>
      </c>
      <c r="B306" s="0" t="s">
        <v>41</v>
      </c>
      <c r="C306" s="16" t="n">
        <f aca="false">Units!C12*1000</f>
        <v>3056.56934306569</v>
      </c>
      <c r="D306" s="16" t="n">
        <f aca="false">Units!D12*1000</f>
        <v>3350</v>
      </c>
      <c r="E306" s="16" t="n">
        <f aca="false">Units!E12*1000</f>
        <v>3795.39194286967</v>
      </c>
      <c r="F306" s="16" t="n">
        <f aca="false">Units!F12*1000</f>
        <v>4300</v>
      </c>
      <c r="G306" s="16" t="n">
        <f aca="false">Units!G12*1000</f>
        <v>4644</v>
      </c>
    </row>
    <row r="307" customFormat="false" ht="17.15" hidden="false" customHeight="false" outlineLevel="0" collapsed="false">
      <c r="A307" s="5" t="s">
        <v>386</v>
      </c>
      <c r="B307" s="0" t="s">
        <v>41</v>
      </c>
      <c r="D307" s="16" t="n">
        <f aca="false">h1_rev*(2+h2up)</f>
        <v>15559.8432</v>
      </c>
      <c r="H307" s="5" t="s">
        <v>387</v>
      </c>
    </row>
    <row r="308" customFormat="false" ht="17.15" hidden="false" customHeight="false" outlineLevel="0" collapsed="false">
      <c r="A308" s="5" t="s">
        <v>388</v>
      </c>
      <c r="B308" s="0" t="s">
        <v>41</v>
      </c>
      <c r="D308" s="16" t="n">
        <f aca="false">h1_svc*(2+g_svc_h2)</f>
        <v>3286.1223</v>
      </c>
    </row>
    <row r="309" customFormat="false" ht="17.15" hidden="false" customHeight="false" outlineLevel="0" collapsed="false">
      <c r="A309" s="0" t="s">
        <v>389</v>
      </c>
      <c r="B309" s="0" t="s">
        <v>41</v>
      </c>
      <c r="D309" s="16" t="n">
        <f aca="false">cy25_oth*(1+g_oth26)</f>
        <v>1528.965</v>
      </c>
    </row>
    <row r="310" customFormat="false" ht="17.15" hidden="false" customHeight="false" outlineLevel="0" collapsed="false">
      <c r="A310" s="5" t="s">
        <v>390</v>
      </c>
      <c r="B310" s="0" t="s">
        <v>41</v>
      </c>
      <c r="C310" s="16" t="n">
        <f aca="false">ap26/(1+ap_g26)</f>
        <v>647.058823529412</v>
      </c>
      <c r="D310" s="16" t="n">
        <f aca="false">ap26</f>
        <v>1100</v>
      </c>
      <c r="E310" s="16" t="n">
        <f aca="false">D310*(1+k_ap*(E306/D306-1))</f>
        <v>1392.49620128754</v>
      </c>
      <c r="F310" s="16" t="n">
        <f aca="false">E310*(1+k_ap*(F306/E306-1))</f>
        <v>1762.76879145476</v>
      </c>
      <c r="G310" s="16" t="n">
        <f aca="false">F310*(1+k_ap*(G306/F306-1))</f>
        <v>2044.81179808753</v>
      </c>
      <c r="H310" s="8" t="s">
        <v>391</v>
      </c>
    </row>
    <row r="311" customFormat="false" ht="17.15" hidden="false" customHeight="false" outlineLevel="0" collapsed="false">
      <c r="A311" s="5" t="s">
        <v>392</v>
      </c>
      <c r="B311" s="0" t="s">
        <v>41</v>
      </c>
      <c r="C311" s="16" t="n">
        <f aca="false">C313-C310</f>
        <v>7971.85117647059</v>
      </c>
      <c r="D311" s="16" t="n">
        <f aca="false">D313-D310</f>
        <v>9644.7559</v>
      </c>
      <c r="E311" s="16" t="n">
        <f aca="false">E312*E305</f>
        <v>12320.3682680549</v>
      </c>
      <c r="F311" s="16" t="n">
        <f aca="false">F312*F305</f>
        <v>14248.9851916879</v>
      </c>
      <c r="G311" s="16" t="n">
        <f aca="false">G312*G305</f>
        <v>15488.5489106639</v>
      </c>
      <c r="H311" s="8" t="s">
        <v>393</v>
      </c>
    </row>
    <row r="312" customFormat="false" ht="17.15" hidden="false" customHeight="false" outlineLevel="0" collapsed="false">
      <c r="A312" s="5" t="s">
        <v>394</v>
      </c>
      <c r="B312" s="0" t="s">
        <v>26</v>
      </c>
      <c r="C312" s="21" t="n">
        <f aca="false">C311/C305</f>
        <v>0.0646984956255852</v>
      </c>
      <c r="D312" s="21" t="n">
        <f aca="false">D311/D305</f>
        <v>0.0582839846343653</v>
      </c>
      <c r="E312" s="21" t="n">
        <f aca="false">$D312*(1+pc_u)^1</f>
        <v>0.0600010743700258</v>
      </c>
      <c r="F312" s="21" t="n">
        <f aca="false">$D312*(1+pc_u)^2</f>
        <v>0.0617687508522653</v>
      </c>
      <c r="G312" s="21" t="n">
        <f aca="false">$D312*(1+pc_u)^3</f>
        <v>0.0635885044044351</v>
      </c>
      <c r="H312" s="8" t="s">
        <v>395</v>
      </c>
    </row>
    <row r="313" customFormat="false" ht="17.15" hidden="false" customHeight="false" outlineLevel="0" collapsed="false">
      <c r="A313" s="5" t="s">
        <v>396</v>
      </c>
      <c r="B313" s="0" t="s">
        <v>41</v>
      </c>
      <c r="C313" s="16" t="n">
        <f aca="false">cy25_sys</f>
        <v>8618.91</v>
      </c>
      <c r="D313" s="16" t="n">
        <f aca="false">D307-D308-D309</f>
        <v>10744.7559</v>
      </c>
      <c r="E313" s="16" t="n">
        <f aca="false">(E311+E310)*(1-chn_sh26*chn_cut)</f>
        <v>13712.8644693425</v>
      </c>
      <c r="F313" s="16" t="n">
        <f aca="false">(F311+F310)*(1-chn_sh26*chn_cut)</f>
        <v>16011.7539831426</v>
      </c>
      <c r="G313" s="16" t="n">
        <f aca="false">(G311+G310)*(1-chn_sh26*chn_cut)</f>
        <v>17533.3607087514</v>
      </c>
      <c r="H313" s="8" t="s">
        <v>397</v>
      </c>
    </row>
    <row r="314" customFormat="false" ht="17.15" hidden="false" customHeight="false" outlineLevel="0" collapsed="false">
      <c r="A314" s="5" t="s">
        <v>398</v>
      </c>
      <c r="B314" s="0" t="s">
        <v>26</v>
      </c>
      <c r="C314" s="10" t="n">
        <f aca="false">C312/kla_sh_pc</f>
        <v>0.11154913038894</v>
      </c>
      <c r="D314" s="10" t="n">
        <f aca="false">D312/kla_sh_pc</f>
        <v>0.10048962867994</v>
      </c>
      <c r="E314" s="10" t="n">
        <f aca="false">E312/kla_sh_pc</f>
        <v>0.103450128224182</v>
      </c>
      <c r="F314" s="10" t="n">
        <f aca="false">F312/kla_sh_pc</f>
        <v>0.106497846297009</v>
      </c>
      <c r="G314" s="10" t="n">
        <f aca="false">G312/kla_sh_pc</f>
        <v>0.10963535242144</v>
      </c>
      <c r="H314" s="8" t="s">
        <v>399</v>
      </c>
    </row>
    <row r="315" customFormat="false" ht="17.15" hidden="false" customHeight="false" outlineLevel="0" collapsed="false">
      <c r="A315" s="1" t="s">
        <v>400</v>
      </c>
    </row>
    <row r="316" customFormat="false" ht="17.15" hidden="false" customHeight="false" outlineLevel="0" collapsed="false">
      <c r="A316" s="5" t="s">
        <v>401</v>
      </c>
      <c r="B316" s="0" t="s">
        <v>41</v>
      </c>
      <c r="C316" s="16" t="n">
        <f aca="false">a25_sys</f>
        <v>8264.026</v>
      </c>
      <c r="D316" s="16" t="n">
        <f aca="false">a26_sys</f>
        <v>9119.058</v>
      </c>
      <c r="E316" s="16" t="n">
        <f aca="false">(D313-h1_sys)+0.5*E313</f>
        <v>12856.1511346712</v>
      </c>
      <c r="F316" s="16" t="n">
        <f aca="false">0.5*E313+0.5*F313</f>
        <v>14862.3092262426</v>
      </c>
      <c r="G316" s="16" t="n">
        <f aca="false">0.5*F313+0.5*G313</f>
        <v>16772.557345947</v>
      </c>
      <c r="H316" s="8" t="s">
        <v>402</v>
      </c>
    </row>
    <row r="317" customFormat="false" ht="15" hidden="false" customHeight="false" outlineLevel="0" collapsed="false">
      <c r="A317" s="5" t="s">
        <v>254</v>
      </c>
      <c r="B317" s="0" t="s">
        <v>41</v>
      </c>
      <c r="C317" s="16" t="n">
        <f aca="false">a25_svc</f>
        <v>2683.308</v>
      </c>
      <c r="D317" s="16" t="n">
        <f aca="false">a26_svc</f>
        <v>3125.939</v>
      </c>
      <c r="E317" s="16" t="n">
        <f aca="false">D317*(1+g_svc_A)</f>
        <v>3563.57046</v>
      </c>
      <c r="F317" s="16" t="n">
        <f aca="false">E317*(1+g_svc_A)</f>
        <v>4062.4703244</v>
      </c>
      <c r="G317" s="16" t="n">
        <f aca="false">F317*(1+g_svc_A)</f>
        <v>4631.216169816</v>
      </c>
    </row>
    <row r="318" customFormat="false" ht="17.15" hidden="false" customHeight="false" outlineLevel="0" collapsed="false">
      <c r="A318" s="0" t="s">
        <v>403</v>
      </c>
      <c r="B318" s="0" t="s">
        <v>41</v>
      </c>
      <c r="C318" s="16" t="n">
        <f aca="false">a25_oth</f>
        <v>1208.828</v>
      </c>
      <c r="D318" s="16" t="n">
        <f aca="false">a26_oth</f>
        <v>1334.479</v>
      </c>
      <c r="E318" s="16" t="n">
        <f aca="false">D318*(1+g_oth_A)</f>
        <v>1494.61648</v>
      </c>
      <c r="F318" s="16" t="n">
        <f aca="false">E318*(1+g_oth_A)</f>
        <v>1673.9704576</v>
      </c>
      <c r="G318" s="16" t="n">
        <f aca="false">F318*(1+g_oth_A)</f>
        <v>1874.846912512</v>
      </c>
    </row>
    <row r="319" customFormat="false" ht="17.15" hidden="false" customHeight="false" outlineLevel="0" collapsed="false">
      <c r="A319" s="5" t="s">
        <v>248</v>
      </c>
      <c r="B319" s="0" t="s">
        <v>41</v>
      </c>
      <c r="C319" s="16" t="n">
        <f aca="false">C316+C317+C318</f>
        <v>12156.162</v>
      </c>
      <c r="D319" s="16" t="n">
        <f aca="false">D316+D317+D318</f>
        <v>13579.476</v>
      </c>
      <c r="E319" s="16" t="n">
        <f aca="false">E316+E317+E318</f>
        <v>17914.3380746712</v>
      </c>
      <c r="F319" s="16" t="n">
        <f aca="false">F316+F317+F318</f>
        <v>20598.7500082426</v>
      </c>
      <c r="G319" s="16" t="n">
        <f aca="false">G316+G317+G318</f>
        <v>23278.620428275</v>
      </c>
      <c r="H319" s="8" t="s">
        <v>404</v>
      </c>
    </row>
    <row r="320" customFormat="false" ht="17.15" hidden="false" customHeight="false" outlineLevel="0" collapsed="false">
      <c r="A320" s="5" t="s">
        <v>267</v>
      </c>
      <c r="B320" s="0" t="s">
        <v>41</v>
      </c>
      <c r="C320" s="16" t="n">
        <f aca="false">a25_gp</f>
        <v>7404.295</v>
      </c>
      <c r="D320" s="16" t="n">
        <f aca="false">a26_gp</f>
        <v>8324.416</v>
      </c>
      <c r="E320" s="16" t="n">
        <f aca="false">a26_gp+gm_inc*(E319-a26_rev)</f>
        <v>11126.7474792158</v>
      </c>
      <c r="F320" s="16" t="n">
        <f aca="false">a26_gp+gm_inc*(F319-a26_rev)</f>
        <v>12862.1226618737</v>
      </c>
      <c r="G320" s="16" t="n">
        <f aca="false">a26_gp+gm_inc*(G319-a26_rev)</f>
        <v>14594.5619203583</v>
      </c>
      <c r="H320" s="8" t="s">
        <v>405</v>
      </c>
    </row>
    <row r="321" customFormat="false" ht="15" hidden="false" customHeight="false" outlineLevel="0" collapsed="false">
      <c r="A321" s="5" t="s">
        <v>363</v>
      </c>
      <c r="B321" s="0" t="s">
        <v>26</v>
      </c>
      <c r="C321" s="10" t="n">
        <f aca="false">C320/C319</f>
        <v>0.609098085398994</v>
      </c>
      <c r="D321" s="10" t="n">
        <f aca="false">D320/D319</f>
        <v>0.613014522798965</v>
      </c>
      <c r="E321" s="10" t="n">
        <f aca="false">E320/E319</f>
        <v>0.621108490463721</v>
      </c>
      <c r="F321" s="10" t="n">
        <f aca="false">F320/F319</f>
        <v>0.624412775373602</v>
      </c>
      <c r="G321" s="10" t="n">
        <f aca="false">G320/G319</f>
        <v>0.626951324943262</v>
      </c>
    </row>
    <row r="322" customFormat="false" ht="15" hidden="false" customHeight="false" outlineLevel="0" collapsed="false">
      <c r="A322" s="5" t="s">
        <v>406</v>
      </c>
      <c r="B322" s="0" t="s">
        <v>41</v>
      </c>
      <c r="C322" s="16" t="n">
        <f aca="false">a25_opx</f>
        <v>2390.068</v>
      </c>
      <c r="D322" s="16" t="n">
        <f aca="false">a26_opx</f>
        <v>2663.636</v>
      </c>
      <c r="E322" s="16" t="n">
        <f aca="false">opex27</f>
        <v>2865</v>
      </c>
      <c r="F322" s="16" t="n">
        <f aca="false">E322*(1+g_opex_A)</f>
        <v>3094.2</v>
      </c>
      <c r="G322" s="16" t="n">
        <f aca="false">F322*(1+g_opex_A)</f>
        <v>3341.736</v>
      </c>
    </row>
    <row r="323" customFormat="false" ht="17.15" hidden="false" customHeight="false" outlineLevel="0" collapsed="false">
      <c r="A323" s="5" t="s">
        <v>364</v>
      </c>
      <c r="B323" s="0" t="s">
        <v>41</v>
      </c>
      <c r="C323" s="16" t="n">
        <f aca="false">a25_oi</f>
        <v>4775.127</v>
      </c>
      <c r="D323" s="16" t="n">
        <f aca="false">D320-D322</f>
        <v>5660.78</v>
      </c>
      <c r="E323" s="16" t="n">
        <f aca="false">E320-E322</f>
        <v>8261.74747921582</v>
      </c>
      <c r="F323" s="16" t="n">
        <f aca="false">F320-F322</f>
        <v>9767.92266187374</v>
      </c>
      <c r="G323" s="16" t="n">
        <f aca="false">G320-G322</f>
        <v>11252.8259203583</v>
      </c>
      <c r="H323" s="8" t="s">
        <v>407</v>
      </c>
    </row>
    <row r="324" customFormat="false" ht="15" hidden="false" customHeight="false" outlineLevel="0" collapsed="false">
      <c r="A324" s="5" t="s">
        <v>365</v>
      </c>
      <c r="B324" s="0" t="s">
        <v>26</v>
      </c>
      <c r="C324" s="10" t="n">
        <f aca="false">C323/C319</f>
        <v>0.392815347475626</v>
      </c>
      <c r="D324" s="10" t="n">
        <f aca="false">D323/D319</f>
        <v>0.416862918716451</v>
      </c>
      <c r="E324" s="10" t="n">
        <f aca="false">E323/E319</f>
        <v>0.461180728240077</v>
      </c>
      <c r="F324" s="10" t="n">
        <f aca="false">F323/F319</f>
        <v>0.474199777072158</v>
      </c>
      <c r="G324" s="10" t="n">
        <f aca="false">G323/G319</f>
        <v>0.483397457122941</v>
      </c>
    </row>
    <row r="325" customFormat="false" ht="15" hidden="false" customHeight="false" outlineLevel="0" collapsed="false">
      <c r="A325" s="5" t="s">
        <v>408</v>
      </c>
      <c r="B325" s="0" t="s">
        <v>41</v>
      </c>
      <c r="C325" s="16" t="n">
        <f aca="false">a25_nonop</f>
        <v>-130.679</v>
      </c>
      <c r="D325" s="16" t="n">
        <f aca="false">a26_nonop</f>
        <v>-54.855</v>
      </c>
      <c r="E325" s="16" t="n">
        <f aca="false">oth_exp</f>
        <v>-100</v>
      </c>
      <c r="F325" s="16" t="n">
        <f aca="false">oth_exp</f>
        <v>-100</v>
      </c>
      <c r="G325" s="16" t="n">
        <f aca="false">oth_exp</f>
        <v>-100</v>
      </c>
    </row>
    <row r="326" customFormat="false" ht="15" hidden="false" customHeight="false" outlineLevel="0" collapsed="false">
      <c r="A326" s="5" t="s">
        <v>366</v>
      </c>
      <c r="B326" s="0" t="s">
        <v>41</v>
      </c>
      <c r="C326" s="16" t="n">
        <f aca="false">a25_ni</f>
        <v>4061.643</v>
      </c>
      <c r="D326" s="16" t="n">
        <f aca="false">a26_ni</f>
        <v>4830.771</v>
      </c>
      <c r="E326" s="16" t="n">
        <f aca="false">(E323+E325)*(1-tax)</f>
        <v>6978.29409472952</v>
      </c>
      <c r="F326" s="16" t="n">
        <f aca="false">(F323+F325)*(1-tax)</f>
        <v>8266.07387590205</v>
      </c>
      <c r="G326" s="16" t="n">
        <f aca="false">(G323+G325)*(1-tax)</f>
        <v>9535.66616190635</v>
      </c>
    </row>
    <row r="327" customFormat="false" ht="15" hidden="false" customHeight="false" outlineLevel="0" collapsed="false">
      <c r="A327" s="5" t="s">
        <v>409</v>
      </c>
      <c r="B327" s="5" t="s">
        <v>151</v>
      </c>
      <c r="C327" s="16" t="n">
        <f aca="false">a25_sh</f>
        <v>1337.502</v>
      </c>
      <c r="D327" s="16" t="n">
        <f aca="false">a26_sh</f>
        <v>1319.633</v>
      </c>
      <c r="E327" s="16" t="n">
        <f aca="false">shares27</f>
        <v>1312</v>
      </c>
      <c r="F327" s="16" t="n">
        <f aca="false">E327*(1-bb)</f>
        <v>1294.47170621053</v>
      </c>
      <c r="G327" s="16" t="n">
        <f aca="false">F327*(1-bb)</f>
        <v>1277.17759007592</v>
      </c>
    </row>
    <row r="328" customFormat="false" ht="17.15" hidden="false" customHeight="false" outlineLevel="0" collapsed="false">
      <c r="A328" s="0" t="s">
        <v>367</v>
      </c>
      <c r="B328" s="0" t="s">
        <v>169</v>
      </c>
      <c r="C328" s="13" t="n">
        <f aca="false">a25_eps</f>
        <v>3.04</v>
      </c>
      <c r="D328" s="13" t="n">
        <f aca="false">a26_eps</f>
        <v>3.66</v>
      </c>
      <c r="E328" s="13" t="n">
        <f aca="false">E326/E327</f>
        <v>5.31882171854385</v>
      </c>
      <c r="F328" s="13" t="n">
        <f aca="false">F326/F327</f>
        <v>6.38567365840722</v>
      </c>
      <c r="G328" s="13" t="n">
        <f aca="false">G326/G327</f>
        <v>7.46620222277742</v>
      </c>
    </row>
    <row r="329" customFormat="false" ht="17.15" hidden="false" customHeight="false" outlineLevel="0" collapsed="false">
      <c r="A329" s="5" t="s">
        <v>410</v>
      </c>
      <c r="B329" s="0" t="s">
        <v>41</v>
      </c>
      <c r="D329" s="20" t="n">
        <f aca="false">a26_rev*chn_sh26</f>
        <v>4073.8428</v>
      </c>
      <c r="E329" s="20" t="n">
        <f aca="false">E319*chn_sh26*(1-chn_cut*IF(2027=2027,0.5,1))</f>
        <v>5374.30142240137</v>
      </c>
      <c r="F329" s="20" t="n">
        <f aca="false">F319*chn_sh26*(1-chn_cut*IF(2028=2027,0.5,1))</f>
        <v>6179.62500247277</v>
      </c>
      <c r="G329" s="20" t="n">
        <f aca="false">G319*chn_sh26*(1-chn_cut*IF(2029=2027,0.5,1))</f>
        <v>6983.58612848251</v>
      </c>
      <c r="H329" s="5" t="s">
        <v>411</v>
      </c>
    </row>
    <row r="338" customFormat="false" ht="17.15" hidden="false" customHeight="false" outlineLevel="0" collapsed="false">
      <c r="A338" s="3" t="s">
        <v>704</v>
      </c>
    </row>
    <row r="339" customFormat="false" ht="17.15" hidden="false" customHeight="false" outlineLevel="0" collapsed="false">
      <c r="A339" s="6" t="s">
        <v>15</v>
      </c>
      <c r="B339" s="6" t="s">
        <v>16</v>
      </c>
      <c r="C339" s="14" t="s">
        <v>377</v>
      </c>
      <c r="D339" s="14" t="s">
        <v>378</v>
      </c>
      <c r="E339" s="14" t="s">
        <v>379</v>
      </c>
      <c r="F339" s="14" t="s">
        <v>380</v>
      </c>
      <c r="G339" s="14" t="s">
        <v>381</v>
      </c>
      <c r="H339" s="6" t="s">
        <v>306</v>
      </c>
    </row>
    <row r="340" customFormat="false" ht="17.15" hidden="false" customHeight="false" outlineLevel="0" collapsed="false">
      <c r="A340" s="1" t="s">
        <v>382</v>
      </c>
    </row>
    <row r="341" customFormat="false" ht="17.15" hidden="false" customHeight="false" outlineLevel="0" collapsed="false">
      <c r="A341" s="5" t="s">
        <v>383</v>
      </c>
      <c r="B341" s="0" t="s">
        <v>41</v>
      </c>
      <c r="C341" s="16" t="n">
        <f aca="false">(Units!C8+m_mem*Units!C11)*1000</f>
        <v>117874.05938505</v>
      </c>
      <c r="D341" s="16" t="n">
        <f aca="false">(Units!D8+m_mem*Units!D11)*1000</f>
        <v>157598.72745742</v>
      </c>
      <c r="E341" s="16" t="n">
        <f aca="false">(Units!E8+m_mem*Units!E11)*1000</f>
        <v>194734.950900524</v>
      </c>
      <c r="F341" s="16" t="n">
        <f aca="false">(Units!F8+m_mem*Units!F11)*1000</f>
        <v>218802.231022447</v>
      </c>
      <c r="G341" s="16" t="n">
        <f aca="false">(Units!G8+m_mem*Units!G11)*1000</f>
        <v>231172.69409247</v>
      </c>
      <c r="H341" s="5" t="s">
        <v>384</v>
      </c>
    </row>
    <row r="342" customFormat="false" ht="15" hidden="false" customHeight="false" outlineLevel="0" collapsed="false">
      <c r="A342" s="5" t="s">
        <v>385</v>
      </c>
      <c r="B342" s="0" t="s">
        <v>41</v>
      </c>
      <c r="C342" s="16" t="n">
        <f aca="false">Units!C12*1000</f>
        <v>3056.56934306569</v>
      </c>
      <c r="D342" s="16" t="n">
        <f aca="false">Units!D12*1000</f>
        <v>3350</v>
      </c>
      <c r="E342" s="16" t="n">
        <f aca="false">Units!E12*1000</f>
        <v>3795.39194286967</v>
      </c>
      <c r="F342" s="16" t="n">
        <f aca="false">Units!F12*1000</f>
        <v>4300</v>
      </c>
      <c r="G342" s="16" t="n">
        <f aca="false">Units!G12*1000</f>
        <v>4644</v>
      </c>
    </row>
    <row r="343" customFormat="false" ht="17.15" hidden="false" customHeight="false" outlineLevel="0" collapsed="false">
      <c r="A343" s="5" t="s">
        <v>386</v>
      </c>
      <c r="B343" s="0" t="s">
        <v>41</v>
      </c>
      <c r="D343" s="16" t="n">
        <f aca="false">h1_rev*(2+h2up)</f>
        <v>15559.8432</v>
      </c>
      <c r="H343" s="5" t="s">
        <v>387</v>
      </c>
    </row>
    <row r="344" customFormat="false" ht="17.15" hidden="false" customHeight="false" outlineLevel="0" collapsed="false">
      <c r="A344" s="5" t="s">
        <v>388</v>
      </c>
      <c r="B344" s="0" t="s">
        <v>41</v>
      </c>
      <c r="D344" s="16" t="n">
        <f aca="false">h1_svc*(2+g_svc_h2)</f>
        <v>3286.1223</v>
      </c>
    </row>
    <row r="345" customFormat="false" ht="17.15" hidden="false" customHeight="false" outlineLevel="0" collapsed="false">
      <c r="A345" s="0" t="s">
        <v>389</v>
      </c>
      <c r="B345" s="0" t="s">
        <v>41</v>
      </c>
      <c r="D345" s="16" t="n">
        <f aca="false">cy25_oth*(1+g_oth26)</f>
        <v>1528.965</v>
      </c>
    </row>
    <row r="346" customFormat="false" ht="17.15" hidden="false" customHeight="false" outlineLevel="0" collapsed="false">
      <c r="A346" s="5" t="s">
        <v>390</v>
      </c>
      <c r="B346" s="0" t="s">
        <v>41</v>
      </c>
      <c r="C346" s="16" t="n">
        <f aca="false">ap26/(1+ap_g26)</f>
        <v>647.058823529412</v>
      </c>
      <c r="D346" s="16" t="n">
        <f aca="false">ap26</f>
        <v>1100</v>
      </c>
      <c r="E346" s="16" t="n">
        <f aca="false">D346*(1+k_ap_lo*(E342/D342-1))</f>
        <v>1246.24810064377</v>
      </c>
      <c r="F346" s="16" t="n">
        <f aca="false">E346*(1+k_ap_lo*(F342/E342-1))</f>
        <v>1411.94029850746</v>
      </c>
      <c r="G346" s="16" t="n">
        <f aca="false">F346*(1+k_ap_lo*(G342/F342-1))</f>
        <v>1524.89552238806</v>
      </c>
      <c r="H346" s="8" t="s">
        <v>391</v>
      </c>
    </row>
    <row r="347" customFormat="false" ht="17.15" hidden="false" customHeight="false" outlineLevel="0" collapsed="false">
      <c r="A347" s="5" t="s">
        <v>392</v>
      </c>
      <c r="B347" s="0" t="s">
        <v>41</v>
      </c>
      <c r="C347" s="16" t="n">
        <f aca="false">C349-C346</f>
        <v>7971.85117647059</v>
      </c>
      <c r="D347" s="16" t="n">
        <f aca="false">D349-D346</f>
        <v>9644.7559</v>
      </c>
      <c r="E347" s="16" t="n">
        <f aca="false">E348*E341</f>
        <v>12268.521584997</v>
      </c>
      <c r="F347" s="16" t="n">
        <f aca="false">F348*F341</f>
        <v>14190.8975186426</v>
      </c>
      <c r="G347" s="16" t="n">
        <f aca="false">G348*G341</f>
        <v>15434.9221703084</v>
      </c>
      <c r="H347" s="8" t="s">
        <v>393</v>
      </c>
    </row>
    <row r="348" customFormat="false" ht="17.15" hidden="false" customHeight="false" outlineLevel="0" collapsed="false">
      <c r="A348" s="5" t="s">
        <v>394</v>
      </c>
      <c r="B348" s="0" t="s">
        <v>26</v>
      </c>
      <c r="C348" s="21" t="n">
        <f aca="false">C347/C341</f>
        <v>0.0676302421250259</v>
      </c>
      <c r="D348" s="21" t="n">
        <f aca="false">D347/D341</f>
        <v>0.0611981838660836</v>
      </c>
      <c r="E348" s="21" t="n">
        <f aca="false">$D348*(1+pc_u)^1</f>
        <v>0.0630011280885271</v>
      </c>
      <c r="F348" s="21" t="n">
        <f aca="false">$D348*(1+pc_u)^2</f>
        <v>0.0648571883948786</v>
      </c>
      <c r="G348" s="21" t="n">
        <f aca="false">$D348*(1+pc_u)^3</f>
        <v>0.0667679296246569</v>
      </c>
      <c r="H348" s="8" t="s">
        <v>395</v>
      </c>
    </row>
    <row r="349" customFormat="false" ht="17.15" hidden="false" customHeight="false" outlineLevel="0" collapsed="false">
      <c r="A349" s="5" t="s">
        <v>396</v>
      </c>
      <c r="B349" s="0" t="s">
        <v>41</v>
      </c>
      <c r="C349" s="16" t="n">
        <f aca="false">cy25_sys</f>
        <v>8618.91</v>
      </c>
      <c r="D349" s="16" t="n">
        <f aca="false">D343-D344-D345</f>
        <v>10744.7559</v>
      </c>
      <c r="E349" s="16" t="n">
        <f aca="false">(E347+E346)*(1-chn_sh26*chn_cut)</f>
        <v>13514.7696856407</v>
      </c>
      <c r="F349" s="16" t="n">
        <f aca="false">(F347+F346)*(1-chn_sh26*chn_cut)</f>
        <v>15602.83781715</v>
      </c>
      <c r="G349" s="16" t="n">
        <f aca="false">(G347+G346)*(1-chn_sh26*chn_cut)</f>
        <v>16959.8176926964</v>
      </c>
      <c r="H349" s="8" t="s">
        <v>397</v>
      </c>
    </row>
    <row r="350" customFormat="false" ht="17.15" hidden="false" customHeight="false" outlineLevel="0" collapsed="false">
      <c r="A350" s="5" t="s">
        <v>398</v>
      </c>
      <c r="B350" s="0" t="s">
        <v>26</v>
      </c>
      <c r="C350" s="10" t="n">
        <f aca="false">C348/kla_sh_pc</f>
        <v>0.116603865732803</v>
      </c>
      <c r="D350" s="10" t="n">
        <f aca="false">D348/kla_sh_pc</f>
        <v>0.105514110113937</v>
      </c>
      <c r="E350" s="10" t="n">
        <f aca="false">E348/kla_sh_pc</f>
        <v>0.108622634635392</v>
      </c>
      <c r="F350" s="10" t="n">
        <f aca="false">F348/kla_sh_pc</f>
        <v>0.11182273861186</v>
      </c>
      <c r="G350" s="10" t="n">
        <f aca="false">G348/kla_sh_pc</f>
        <v>0.115117120042512</v>
      </c>
      <c r="H350" s="8" t="s">
        <v>399</v>
      </c>
    </row>
    <row r="351" customFormat="false" ht="17.15" hidden="false" customHeight="false" outlineLevel="0" collapsed="false">
      <c r="A351" s="1" t="s">
        <v>400</v>
      </c>
    </row>
    <row r="352" customFormat="false" ht="17.15" hidden="false" customHeight="false" outlineLevel="0" collapsed="false">
      <c r="A352" s="5" t="s">
        <v>401</v>
      </c>
      <c r="B352" s="0" t="s">
        <v>41</v>
      </c>
      <c r="C352" s="16" t="n">
        <f aca="false">a25_sys</f>
        <v>8264.026</v>
      </c>
      <c r="D352" s="16" t="n">
        <f aca="false">a26_sys</f>
        <v>9119.058</v>
      </c>
      <c r="E352" s="16" t="n">
        <f aca="false">(D349-h1_sys)+0.5*E349</f>
        <v>12757.1037428204</v>
      </c>
      <c r="F352" s="16" t="n">
        <f aca="false">0.5*E349+0.5*F349</f>
        <v>14558.8037513954</v>
      </c>
      <c r="G352" s="16" t="n">
        <f aca="false">0.5*F349+0.5*G349</f>
        <v>16281.3277549232</v>
      </c>
      <c r="H352" s="8" t="s">
        <v>402</v>
      </c>
    </row>
    <row r="353" customFormat="false" ht="15" hidden="false" customHeight="false" outlineLevel="0" collapsed="false">
      <c r="A353" s="5" t="s">
        <v>254</v>
      </c>
      <c r="B353" s="0" t="s">
        <v>41</v>
      </c>
      <c r="C353" s="16" t="n">
        <f aca="false">a25_svc</f>
        <v>2683.308</v>
      </c>
      <c r="D353" s="16" t="n">
        <f aca="false">a26_svc</f>
        <v>3125.939</v>
      </c>
      <c r="E353" s="16" t="n">
        <f aca="false">D353*(1+g_svc_A)</f>
        <v>3563.57046</v>
      </c>
      <c r="F353" s="16" t="n">
        <f aca="false">E353*(1+g_svc_A)</f>
        <v>4062.4703244</v>
      </c>
      <c r="G353" s="16" t="n">
        <f aca="false">F353*(1+g_svc_A)</f>
        <v>4631.216169816</v>
      </c>
    </row>
    <row r="354" customFormat="false" ht="17.15" hidden="false" customHeight="false" outlineLevel="0" collapsed="false">
      <c r="A354" s="0" t="s">
        <v>403</v>
      </c>
      <c r="B354" s="0" t="s">
        <v>41</v>
      </c>
      <c r="C354" s="16" t="n">
        <f aca="false">a25_oth</f>
        <v>1208.828</v>
      </c>
      <c r="D354" s="16" t="n">
        <f aca="false">a26_oth</f>
        <v>1334.479</v>
      </c>
      <c r="E354" s="16" t="n">
        <f aca="false">D354*(1+g_oth_A)</f>
        <v>1494.61648</v>
      </c>
      <c r="F354" s="16" t="n">
        <f aca="false">E354*(1+g_oth_A)</f>
        <v>1673.9704576</v>
      </c>
      <c r="G354" s="16" t="n">
        <f aca="false">F354*(1+g_oth_A)</f>
        <v>1874.846912512</v>
      </c>
    </row>
    <row r="355" customFormat="false" ht="17.15" hidden="false" customHeight="false" outlineLevel="0" collapsed="false">
      <c r="A355" s="5" t="s">
        <v>248</v>
      </c>
      <c r="B355" s="0" t="s">
        <v>41</v>
      </c>
      <c r="C355" s="16" t="n">
        <f aca="false">C352+C353+C354</f>
        <v>12156.162</v>
      </c>
      <c r="D355" s="16" t="n">
        <f aca="false">D352+D353+D354</f>
        <v>13579.476</v>
      </c>
      <c r="E355" s="16" t="n">
        <f aca="false">E352+E353+E354</f>
        <v>17815.2906828204</v>
      </c>
      <c r="F355" s="16" t="n">
        <f aca="false">F352+F353+F354</f>
        <v>20295.2445333954</v>
      </c>
      <c r="G355" s="16" t="n">
        <f aca="false">G352+G353+G354</f>
        <v>22787.3908372512</v>
      </c>
      <c r="H355" s="8" t="s">
        <v>404</v>
      </c>
    </row>
    <row r="356" customFormat="false" ht="17.15" hidden="false" customHeight="false" outlineLevel="0" collapsed="false">
      <c r="A356" s="5" t="s">
        <v>267</v>
      </c>
      <c r="B356" s="0" t="s">
        <v>41</v>
      </c>
      <c r="C356" s="16" t="n">
        <f aca="false">a25_gp</f>
        <v>7404.295</v>
      </c>
      <c r="D356" s="16" t="n">
        <f aca="false">a26_gp</f>
        <v>8324.416</v>
      </c>
      <c r="E356" s="16" t="n">
        <f aca="false">a26_gp+gm_inc*(E355-a26_rev)</f>
        <v>11062.7169243016</v>
      </c>
      <c r="F356" s="16" t="n">
        <f aca="false">a26_gp+gm_inc*(F355-a26_rev)</f>
        <v>12665.9173543858</v>
      </c>
      <c r="G356" s="16" t="n">
        <f aca="false">a26_gp+gm_inc*(G355-a26_rev)</f>
        <v>14276.9997643461</v>
      </c>
      <c r="H356" s="8" t="s">
        <v>405</v>
      </c>
    </row>
    <row r="357" customFormat="false" ht="15" hidden="false" customHeight="false" outlineLevel="0" collapsed="false">
      <c r="A357" s="5" t="s">
        <v>363</v>
      </c>
      <c r="B357" s="0" t="s">
        <v>26</v>
      </c>
      <c r="C357" s="10" t="n">
        <f aca="false">C356/C355</f>
        <v>0.609098085398994</v>
      </c>
      <c r="D357" s="10" t="n">
        <f aca="false">D356/D355</f>
        <v>0.613014522798965</v>
      </c>
      <c r="E357" s="10" t="n">
        <f aca="false">E356/E355</f>
        <v>0.620967522857742</v>
      </c>
      <c r="F357" s="10" t="n">
        <f aca="false">F356/F355</f>
        <v>0.624083012823242</v>
      </c>
      <c r="G357" s="10" t="n">
        <f aca="false">G356/G355</f>
        <v>0.626530692623529</v>
      </c>
    </row>
    <row r="358" customFormat="false" ht="15" hidden="false" customHeight="false" outlineLevel="0" collapsed="false">
      <c r="A358" s="5" t="s">
        <v>406</v>
      </c>
      <c r="B358" s="0" t="s">
        <v>41</v>
      </c>
      <c r="C358" s="16" t="n">
        <f aca="false">a25_opx</f>
        <v>2390.068</v>
      </c>
      <c r="D358" s="16" t="n">
        <f aca="false">a26_opx</f>
        <v>2663.636</v>
      </c>
      <c r="E358" s="16" t="n">
        <f aca="false">opex27</f>
        <v>2865</v>
      </c>
      <c r="F358" s="16" t="n">
        <f aca="false">E358*(1+g_opex_A)</f>
        <v>3094.2</v>
      </c>
      <c r="G358" s="16" t="n">
        <f aca="false">F358*(1+g_opex_A)</f>
        <v>3341.736</v>
      </c>
    </row>
    <row r="359" customFormat="false" ht="17.15" hidden="false" customHeight="false" outlineLevel="0" collapsed="false">
      <c r="A359" s="5" t="s">
        <v>364</v>
      </c>
      <c r="B359" s="0" t="s">
        <v>41</v>
      </c>
      <c r="C359" s="16" t="n">
        <f aca="false">a25_oi</f>
        <v>4775.127</v>
      </c>
      <c r="D359" s="16" t="n">
        <f aca="false">D356-D358</f>
        <v>5660.78</v>
      </c>
      <c r="E359" s="16" t="n">
        <f aca="false">E356-E358</f>
        <v>8197.71692430157</v>
      </c>
      <c r="F359" s="16" t="n">
        <f aca="false">F356-F358</f>
        <v>9571.71735438582</v>
      </c>
      <c r="G359" s="16" t="n">
        <f aca="false">G356-G358</f>
        <v>10935.2637643461</v>
      </c>
      <c r="H359" s="8" t="s">
        <v>407</v>
      </c>
    </row>
    <row r="360" customFormat="false" ht="15" hidden="false" customHeight="false" outlineLevel="0" collapsed="false">
      <c r="A360" s="5" t="s">
        <v>365</v>
      </c>
      <c r="B360" s="0" t="s">
        <v>26</v>
      </c>
      <c r="C360" s="10" t="n">
        <f aca="false">C359/C355</f>
        <v>0.392815347475626</v>
      </c>
      <c r="D360" s="10" t="n">
        <f aca="false">D359/D355</f>
        <v>0.416862918716451</v>
      </c>
      <c r="E360" s="10" t="n">
        <f aca="false">E359/E355</f>
        <v>0.460150612765852</v>
      </c>
      <c r="F360" s="10" t="n">
        <f aca="false">F359/F355</f>
        <v>0.471623652458869</v>
      </c>
      <c r="G360" s="10" t="n">
        <f aca="false">G359/G355</f>
        <v>0.479882222692642</v>
      </c>
    </row>
    <row r="361" customFormat="false" ht="15" hidden="false" customHeight="false" outlineLevel="0" collapsed="false">
      <c r="A361" s="5" t="s">
        <v>408</v>
      </c>
      <c r="B361" s="0" t="s">
        <v>41</v>
      </c>
      <c r="C361" s="16" t="n">
        <f aca="false">a25_nonop</f>
        <v>-130.679</v>
      </c>
      <c r="D361" s="16" t="n">
        <f aca="false">a26_nonop</f>
        <v>-54.855</v>
      </c>
      <c r="E361" s="16" t="n">
        <f aca="false">oth_exp</f>
        <v>-100</v>
      </c>
      <c r="F361" s="16" t="n">
        <f aca="false">oth_exp</f>
        <v>-100</v>
      </c>
      <c r="G361" s="16" t="n">
        <f aca="false">oth_exp</f>
        <v>-100</v>
      </c>
    </row>
    <row r="362" customFormat="false" ht="15" hidden="false" customHeight="false" outlineLevel="0" collapsed="false">
      <c r="A362" s="5" t="s">
        <v>366</v>
      </c>
      <c r="B362" s="0" t="s">
        <v>41</v>
      </c>
      <c r="C362" s="16" t="n">
        <f aca="false">a25_ni</f>
        <v>4061.643</v>
      </c>
      <c r="D362" s="16" t="n">
        <f aca="false">a26_ni</f>
        <v>4830.771</v>
      </c>
      <c r="E362" s="16" t="n">
        <f aca="false">(E359+E361)*(1-tax)</f>
        <v>6923.54797027784</v>
      </c>
      <c r="F362" s="16" t="n">
        <f aca="false">(F359+F361)*(1-tax)</f>
        <v>8098.31833799988</v>
      </c>
      <c r="G362" s="16" t="n">
        <f aca="false">(G359+G361)*(1-tax)</f>
        <v>9264.15051851588</v>
      </c>
    </row>
    <row r="363" customFormat="false" ht="15" hidden="false" customHeight="false" outlineLevel="0" collapsed="false">
      <c r="A363" s="5" t="s">
        <v>409</v>
      </c>
      <c r="B363" s="5" t="s">
        <v>151</v>
      </c>
      <c r="C363" s="16" t="n">
        <f aca="false">a25_sh</f>
        <v>1337.502</v>
      </c>
      <c r="D363" s="16" t="n">
        <f aca="false">a26_sh</f>
        <v>1319.633</v>
      </c>
      <c r="E363" s="16" t="n">
        <f aca="false">shares27</f>
        <v>1312</v>
      </c>
      <c r="F363" s="16" t="n">
        <f aca="false">E363*(1-bb)</f>
        <v>1294.47170621053</v>
      </c>
      <c r="G363" s="16" t="n">
        <f aca="false">F363*(1-bb)</f>
        <v>1277.17759007592</v>
      </c>
    </row>
    <row r="364" customFormat="false" ht="17.15" hidden="false" customHeight="false" outlineLevel="0" collapsed="false">
      <c r="A364" s="0" t="s">
        <v>367</v>
      </c>
      <c r="B364" s="0" t="s">
        <v>169</v>
      </c>
      <c r="C364" s="13" t="n">
        <f aca="false">a25_eps</f>
        <v>3.04</v>
      </c>
      <c r="D364" s="13" t="n">
        <f aca="false">a26_eps</f>
        <v>3.66</v>
      </c>
      <c r="E364" s="13" t="n">
        <f aca="false">E362/E363</f>
        <v>5.27709448954104</v>
      </c>
      <c r="F364" s="13" t="n">
        <f aca="false">F362/F363</f>
        <v>6.25607983484405</v>
      </c>
      <c r="G364" s="13" t="n">
        <f aca="false">G362/G363</f>
        <v>7.25361186298703</v>
      </c>
    </row>
    <row r="365" customFormat="false" ht="17.15" hidden="false" customHeight="false" outlineLevel="0" collapsed="false">
      <c r="A365" s="5" t="s">
        <v>410</v>
      </c>
      <c r="B365" s="0" t="s">
        <v>41</v>
      </c>
      <c r="D365" s="20" t="n">
        <f aca="false">a26_rev*chn_sh26</f>
        <v>4073.8428</v>
      </c>
      <c r="E365" s="20" t="n">
        <f aca="false">E355*chn_sh26*(1-chn_cut*IF(2027=2027,0.5,1))</f>
        <v>5344.58720484611</v>
      </c>
      <c r="F365" s="20" t="n">
        <f aca="false">F355*chn_sh26*(1-chn_cut*IF(2028=2027,0.5,1))</f>
        <v>6088.57336001862</v>
      </c>
      <c r="G365" s="20" t="n">
        <f aca="false">G355*chn_sh26*(1-chn_cut*IF(2029=2027,0.5,1))</f>
        <v>6836.21725117537</v>
      </c>
      <c r="H365" s="5" t="s">
        <v>411</v>
      </c>
    </row>
    <row r="374" customFormat="false" ht="17.15" hidden="false" customHeight="false" outlineLevel="0" collapsed="false">
      <c r="A374" s="3" t="s">
        <v>705</v>
      </c>
    </row>
    <row r="375" customFormat="false" ht="17.15" hidden="false" customHeight="false" outlineLevel="0" collapsed="false">
      <c r="A375" s="6" t="s">
        <v>15</v>
      </c>
      <c r="B375" s="6" t="s">
        <v>16</v>
      </c>
      <c r="C375" s="14" t="s">
        <v>377</v>
      </c>
      <c r="D375" s="14" t="s">
        <v>378</v>
      </c>
      <c r="E375" s="14" t="s">
        <v>379</v>
      </c>
      <c r="F375" s="14" t="s">
        <v>380</v>
      </c>
      <c r="G375" s="14" t="s">
        <v>381</v>
      </c>
      <c r="H375" s="6" t="s">
        <v>306</v>
      </c>
    </row>
    <row r="376" customFormat="false" ht="17.15" hidden="false" customHeight="false" outlineLevel="0" collapsed="false">
      <c r="A376" s="1" t="s">
        <v>382</v>
      </c>
    </row>
    <row r="377" customFormat="false" ht="17.15" hidden="false" customHeight="false" outlineLevel="0" collapsed="false">
      <c r="A377" s="5" t="s">
        <v>383</v>
      </c>
      <c r="B377" s="0" t="s">
        <v>41</v>
      </c>
      <c r="C377" s="16" t="n">
        <f aca="false">(Units!C8+m_mem*Units!C11)*1000</f>
        <v>117874.05938505</v>
      </c>
      <c r="D377" s="16" t="n">
        <f aca="false">(Units!D8+m_mem*Units!D11)*1000</f>
        <v>157598.72745742</v>
      </c>
      <c r="E377" s="16" t="n">
        <f aca="false">(Units!E8+m_mem*Units!E11)*1000</f>
        <v>194734.950900524</v>
      </c>
      <c r="F377" s="16" t="n">
        <f aca="false">(Units!F8+m_mem*Units!F11)*1000</f>
        <v>218802.231022447</v>
      </c>
      <c r="G377" s="16" t="n">
        <f aca="false">(Units!G8+m_mem*Units!G11)*1000</f>
        <v>231172.69409247</v>
      </c>
      <c r="H377" s="5" t="s">
        <v>384</v>
      </c>
    </row>
    <row r="378" customFormat="false" ht="15" hidden="false" customHeight="false" outlineLevel="0" collapsed="false">
      <c r="A378" s="5" t="s">
        <v>385</v>
      </c>
      <c r="B378" s="0" t="s">
        <v>41</v>
      </c>
      <c r="C378" s="16" t="n">
        <f aca="false">Units!C12*1000</f>
        <v>3056.56934306569</v>
      </c>
      <c r="D378" s="16" t="n">
        <f aca="false">Units!D12*1000</f>
        <v>3350</v>
      </c>
      <c r="E378" s="16" t="n">
        <f aca="false">Units!E12*1000</f>
        <v>3795.39194286967</v>
      </c>
      <c r="F378" s="16" t="n">
        <f aca="false">Units!F12*1000</f>
        <v>4300</v>
      </c>
      <c r="G378" s="16" t="n">
        <f aca="false">Units!G12*1000</f>
        <v>4644</v>
      </c>
    </row>
    <row r="379" customFormat="false" ht="17.15" hidden="false" customHeight="false" outlineLevel="0" collapsed="false">
      <c r="A379" s="5" t="s">
        <v>386</v>
      </c>
      <c r="B379" s="0" t="s">
        <v>41</v>
      </c>
      <c r="D379" s="16" t="n">
        <f aca="false">h1_rev*(2+h2up)</f>
        <v>15559.8432</v>
      </c>
      <c r="H379" s="5" t="s">
        <v>387</v>
      </c>
    </row>
    <row r="380" customFormat="false" ht="17.15" hidden="false" customHeight="false" outlineLevel="0" collapsed="false">
      <c r="A380" s="5" t="s">
        <v>388</v>
      </c>
      <c r="B380" s="0" t="s">
        <v>41</v>
      </c>
      <c r="D380" s="16" t="n">
        <f aca="false">h1_svc*(2+g_svc_h2)</f>
        <v>3286.1223</v>
      </c>
    </row>
    <row r="381" customFormat="false" ht="17.15" hidden="false" customHeight="false" outlineLevel="0" collapsed="false">
      <c r="A381" s="0" t="s">
        <v>389</v>
      </c>
      <c r="B381" s="0" t="s">
        <v>41</v>
      </c>
      <c r="D381" s="16" t="n">
        <f aca="false">cy25_oth*(1+g_oth26)</f>
        <v>1528.965</v>
      </c>
    </row>
    <row r="382" customFormat="false" ht="17.15" hidden="false" customHeight="false" outlineLevel="0" collapsed="false">
      <c r="A382" s="5" t="s">
        <v>390</v>
      </c>
      <c r="B382" s="0" t="s">
        <v>41</v>
      </c>
      <c r="C382" s="16" t="n">
        <f aca="false">ap26/(1+ap_g26)</f>
        <v>647.058823529412</v>
      </c>
      <c r="D382" s="16" t="n">
        <f aca="false">ap26</f>
        <v>1100</v>
      </c>
      <c r="E382" s="16" t="n">
        <f aca="false">D382*(1+k_ap_hi*(E378/D378-1))</f>
        <v>1465.62025160943</v>
      </c>
      <c r="F382" s="16" t="n">
        <f aca="false">E382*(1+k_ap_hi*(F378/E378-1))</f>
        <v>1952.76611084335</v>
      </c>
      <c r="G382" s="16" t="n">
        <f aca="false">F382*(1+k_ap_hi*(G378/F378-1))</f>
        <v>2343.31933301202</v>
      </c>
      <c r="H382" s="8" t="s">
        <v>391</v>
      </c>
    </row>
    <row r="383" customFormat="false" ht="17.15" hidden="false" customHeight="false" outlineLevel="0" collapsed="false">
      <c r="A383" s="5" t="s">
        <v>392</v>
      </c>
      <c r="B383" s="0" t="s">
        <v>41</v>
      </c>
      <c r="C383" s="16" t="n">
        <f aca="false">C385-C382</f>
        <v>7971.85117647059</v>
      </c>
      <c r="D383" s="16" t="n">
        <f aca="false">D385-D382</f>
        <v>9644.7559</v>
      </c>
      <c r="E383" s="16" t="n">
        <f aca="false">E384*E377</f>
        <v>12268.521584997</v>
      </c>
      <c r="F383" s="16" t="n">
        <f aca="false">F384*F377</f>
        <v>14190.8975186426</v>
      </c>
      <c r="G383" s="16" t="n">
        <f aca="false">G384*G377</f>
        <v>15434.9221703084</v>
      </c>
      <c r="H383" s="8" t="s">
        <v>393</v>
      </c>
    </row>
    <row r="384" customFormat="false" ht="17.15" hidden="false" customHeight="false" outlineLevel="0" collapsed="false">
      <c r="A384" s="5" t="s">
        <v>394</v>
      </c>
      <c r="B384" s="0" t="s">
        <v>26</v>
      </c>
      <c r="C384" s="21" t="n">
        <f aca="false">C383/C377</f>
        <v>0.0676302421250259</v>
      </c>
      <c r="D384" s="21" t="n">
        <f aca="false">D383/D377</f>
        <v>0.0611981838660836</v>
      </c>
      <c r="E384" s="21" t="n">
        <f aca="false">$D384*(1+pc_u)^1</f>
        <v>0.0630011280885271</v>
      </c>
      <c r="F384" s="21" t="n">
        <f aca="false">$D384*(1+pc_u)^2</f>
        <v>0.0648571883948786</v>
      </c>
      <c r="G384" s="21" t="n">
        <f aca="false">$D384*(1+pc_u)^3</f>
        <v>0.0667679296246569</v>
      </c>
      <c r="H384" s="8" t="s">
        <v>395</v>
      </c>
    </row>
    <row r="385" customFormat="false" ht="17.15" hidden="false" customHeight="false" outlineLevel="0" collapsed="false">
      <c r="A385" s="5" t="s">
        <v>396</v>
      </c>
      <c r="B385" s="0" t="s">
        <v>41</v>
      </c>
      <c r="C385" s="16" t="n">
        <f aca="false">cy25_sys</f>
        <v>8618.91</v>
      </c>
      <c r="D385" s="16" t="n">
        <f aca="false">D379-D380-D381</f>
        <v>10744.7559</v>
      </c>
      <c r="E385" s="16" t="n">
        <f aca="false">(E383+E382)*(1-chn_sh26*chn_cut)</f>
        <v>13734.1418366064</v>
      </c>
      <c r="F385" s="16" t="n">
        <f aca="false">(F383+F382)*(1-chn_sh26*chn_cut)</f>
        <v>16143.6636294859</v>
      </c>
      <c r="G385" s="16" t="n">
        <f aca="false">(G383+G382)*(1-chn_sh26*chn_cut)</f>
        <v>17778.2415033204</v>
      </c>
      <c r="H385" s="8" t="s">
        <v>397</v>
      </c>
    </row>
    <row r="386" customFormat="false" ht="17.15" hidden="false" customHeight="false" outlineLevel="0" collapsed="false">
      <c r="A386" s="5" t="s">
        <v>398</v>
      </c>
      <c r="B386" s="0" t="s">
        <v>26</v>
      </c>
      <c r="C386" s="10" t="n">
        <f aca="false">C384/kla_sh_pc</f>
        <v>0.116603865732803</v>
      </c>
      <c r="D386" s="10" t="n">
        <f aca="false">D384/kla_sh_pc</f>
        <v>0.105514110113937</v>
      </c>
      <c r="E386" s="10" t="n">
        <f aca="false">E384/kla_sh_pc</f>
        <v>0.108622634635392</v>
      </c>
      <c r="F386" s="10" t="n">
        <f aca="false">F384/kla_sh_pc</f>
        <v>0.11182273861186</v>
      </c>
      <c r="G386" s="10" t="n">
        <f aca="false">G384/kla_sh_pc</f>
        <v>0.115117120042512</v>
      </c>
      <c r="H386" s="8" t="s">
        <v>399</v>
      </c>
    </row>
    <row r="387" customFormat="false" ht="17.15" hidden="false" customHeight="false" outlineLevel="0" collapsed="false">
      <c r="A387" s="1" t="s">
        <v>400</v>
      </c>
    </row>
    <row r="388" customFormat="false" ht="17.15" hidden="false" customHeight="false" outlineLevel="0" collapsed="false">
      <c r="A388" s="5" t="s">
        <v>401</v>
      </c>
      <c r="B388" s="0" t="s">
        <v>41</v>
      </c>
      <c r="C388" s="16" t="n">
        <f aca="false">a25_sys</f>
        <v>8264.026</v>
      </c>
      <c r="D388" s="16" t="n">
        <f aca="false">a26_sys</f>
        <v>9119.058</v>
      </c>
      <c r="E388" s="16" t="n">
        <f aca="false">(D385-h1_sys)+0.5*E385</f>
        <v>12866.7898183032</v>
      </c>
      <c r="F388" s="16" t="n">
        <f aca="false">0.5*E385+0.5*F385</f>
        <v>14938.9027330462</v>
      </c>
      <c r="G388" s="16" t="n">
        <f aca="false">0.5*F385+0.5*G385</f>
        <v>16960.9525664032</v>
      </c>
      <c r="H388" s="8" t="s">
        <v>402</v>
      </c>
    </row>
    <row r="389" customFormat="false" ht="15" hidden="false" customHeight="false" outlineLevel="0" collapsed="false">
      <c r="A389" s="5" t="s">
        <v>254</v>
      </c>
      <c r="B389" s="0" t="s">
        <v>41</v>
      </c>
      <c r="C389" s="16" t="n">
        <f aca="false">a25_svc</f>
        <v>2683.308</v>
      </c>
      <c r="D389" s="16" t="n">
        <f aca="false">a26_svc</f>
        <v>3125.939</v>
      </c>
      <c r="E389" s="16" t="n">
        <f aca="false">D389*(1+g_svc_A)</f>
        <v>3563.57046</v>
      </c>
      <c r="F389" s="16" t="n">
        <f aca="false">E389*(1+g_svc_A)</f>
        <v>4062.4703244</v>
      </c>
      <c r="G389" s="16" t="n">
        <f aca="false">F389*(1+g_svc_A)</f>
        <v>4631.216169816</v>
      </c>
    </row>
    <row r="390" customFormat="false" ht="17.15" hidden="false" customHeight="false" outlineLevel="0" collapsed="false">
      <c r="A390" s="0" t="s">
        <v>403</v>
      </c>
      <c r="B390" s="0" t="s">
        <v>41</v>
      </c>
      <c r="C390" s="16" t="n">
        <f aca="false">a25_oth</f>
        <v>1208.828</v>
      </c>
      <c r="D390" s="16" t="n">
        <f aca="false">a26_oth</f>
        <v>1334.479</v>
      </c>
      <c r="E390" s="16" t="n">
        <f aca="false">D390*(1+g_oth_A)</f>
        <v>1494.61648</v>
      </c>
      <c r="F390" s="16" t="n">
        <f aca="false">E390*(1+g_oth_A)</f>
        <v>1673.9704576</v>
      </c>
      <c r="G390" s="16" t="n">
        <f aca="false">F390*(1+g_oth_A)</f>
        <v>1874.846912512</v>
      </c>
    </row>
    <row r="391" customFormat="false" ht="17.15" hidden="false" customHeight="false" outlineLevel="0" collapsed="false">
      <c r="A391" s="5" t="s">
        <v>248</v>
      </c>
      <c r="B391" s="0" t="s">
        <v>41</v>
      </c>
      <c r="C391" s="16" t="n">
        <f aca="false">C388+C389+C390</f>
        <v>12156.162</v>
      </c>
      <c r="D391" s="16" t="n">
        <f aca="false">D388+D389+D390</f>
        <v>13579.476</v>
      </c>
      <c r="E391" s="16" t="n">
        <f aca="false">E388+E389+E390</f>
        <v>17924.9767583032</v>
      </c>
      <c r="F391" s="16" t="n">
        <f aca="false">F388+F389+F390</f>
        <v>20675.3435150462</v>
      </c>
      <c r="G391" s="16" t="n">
        <f aca="false">G388+G389+G390</f>
        <v>23467.0156487312</v>
      </c>
      <c r="H391" s="8" t="s">
        <v>404</v>
      </c>
    </row>
    <row r="392" customFormat="false" ht="17.15" hidden="false" customHeight="false" outlineLevel="0" collapsed="false">
      <c r="A392" s="5" t="s">
        <v>267</v>
      </c>
      <c r="B392" s="0" t="s">
        <v>41</v>
      </c>
      <c r="C392" s="16" t="n">
        <f aca="false">a25_gp</f>
        <v>7404.295</v>
      </c>
      <c r="D392" s="16" t="n">
        <f aca="false">a26_gp</f>
        <v>8324.416</v>
      </c>
      <c r="E392" s="16" t="n">
        <f aca="false">a26_gp+gm_inc*(E391-a26_rev)</f>
        <v>11133.6250032352</v>
      </c>
      <c r="F392" s="16" t="n">
        <f aca="false">a26_gp+gm_inc*(F391-a26_rev)</f>
        <v>12911.6375925732</v>
      </c>
      <c r="G392" s="16" t="n">
        <f aca="false">a26_gp+gm_inc*(G391-a26_rev)</f>
        <v>14716.3526135162</v>
      </c>
      <c r="H392" s="8" t="s">
        <v>405</v>
      </c>
    </row>
    <row r="393" customFormat="false" ht="15" hidden="false" customHeight="false" outlineLevel="0" collapsed="false">
      <c r="A393" s="5" t="s">
        <v>363</v>
      </c>
      <c r="B393" s="0" t="s">
        <v>26</v>
      </c>
      <c r="C393" s="10" t="n">
        <f aca="false">C392/C391</f>
        <v>0.609098085398994</v>
      </c>
      <c r="D393" s="10" t="n">
        <f aca="false">D392/D391</f>
        <v>0.613014522798965</v>
      </c>
      <c r="E393" s="10" t="n">
        <f aca="false">E392/E391</f>
        <v>0.621123539146453</v>
      </c>
      <c r="F393" s="10" t="n">
        <f aca="false">F392/F391</f>
        <v>0.624494465263757</v>
      </c>
      <c r="G393" s="10" t="n">
        <f aca="false">G392/G391</f>
        <v>0.627107972901185</v>
      </c>
    </row>
    <row r="394" customFormat="false" ht="15" hidden="false" customHeight="false" outlineLevel="0" collapsed="false">
      <c r="A394" s="5" t="s">
        <v>406</v>
      </c>
      <c r="B394" s="0" t="s">
        <v>41</v>
      </c>
      <c r="C394" s="16" t="n">
        <f aca="false">a25_opx</f>
        <v>2390.068</v>
      </c>
      <c r="D394" s="16" t="n">
        <f aca="false">a26_opx</f>
        <v>2663.636</v>
      </c>
      <c r="E394" s="16" t="n">
        <f aca="false">opex27</f>
        <v>2865</v>
      </c>
      <c r="F394" s="16" t="n">
        <f aca="false">E394*(1+g_opex_A)</f>
        <v>3094.2</v>
      </c>
      <c r="G394" s="16" t="n">
        <f aca="false">F394*(1+g_opex_A)</f>
        <v>3341.736</v>
      </c>
    </row>
    <row r="395" customFormat="false" ht="17.15" hidden="false" customHeight="false" outlineLevel="0" collapsed="false">
      <c r="A395" s="5" t="s">
        <v>364</v>
      </c>
      <c r="B395" s="0" t="s">
        <v>41</v>
      </c>
      <c r="C395" s="16" t="n">
        <f aca="false">a25_oi</f>
        <v>4775.127</v>
      </c>
      <c r="D395" s="16" t="n">
        <f aca="false">D392-D394</f>
        <v>5660.78</v>
      </c>
      <c r="E395" s="16" t="n">
        <f aca="false">E392-E394</f>
        <v>8268.6250032352</v>
      </c>
      <c r="F395" s="16" t="n">
        <f aca="false">F392-F394</f>
        <v>9817.43759257325</v>
      </c>
      <c r="G395" s="16" t="n">
        <f aca="false">G392-G394</f>
        <v>11374.6166135162</v>
      </c>
      <c r="H395" s="8" t="s">
        <v>407</v>
      </c>
    </row>
    <row r="396" customFormat="false" ht="15" hidden="false" customHeight="false" outlineLevel="0" collapsed="false">
      <c r="A396" s="5" t="s">
        <v>365</v>
      </c>
      <c r="B396" s="0" t="s">
        <v>26</v>
      </c>
      <c r="C396" s="10" t="n">
        <f aca="false">C395/C391</f>
        <v>0.392815347475626</v>
      </c>
      <c r="D396" s="10" t="n">
        <f aca="false">D395/D391</f>
        <v>0.416862918716451</v>
      </c>
      <c r="E396" s="10" t="n">
        <f aca="false">E395/E391</f>
        <v>0.461290695922661</v>
      </c>
      <c r="F396" s="10" t="n">
        <f aca="false">F395/F391</f>
        <v>0.474837943341969</v>
      </c>
      <c r="G396" s="10" t="n">
        <f aca="false">G395/G391</f>
        <v>0.484706567881425</v>
      </c>
    </row>
    <row r="397" customFormat="false" ht="15" hidden="false" customHeight="false" outlineLevel="0" collapsed="false">
      <c r="A397" s="5" t="s">
        <v>408</v>
      </c>
      <c r="B397" s="0" t="s">
        <v>41</v>
      </c>
      <c r="C397" s="16" t="n">
        <f aca="false">a25_nonop</f>
        <v>-130.679</v>
      </c>
      <c r="D397" s="16" t="n">
        <f aca="false">a26_nonop</f>
        <v>-54.855</v>
      </c>
      <c r="E397" s="16" t="n">
        <f aca="false">oth_exp</f>
        <v>-100</v>
      </c>
      <c r="F397" s="16" t="n">
        <f aca="false">oth_exp</f>
        <v>-100</v>
      </c>
      <c r="G397" s="16" t="n">
        <f aca="false">oth_exp</f>
        <v>-100</v>
      </c>
    </row>
    <row r="398" customFormat="false" ht="15" hidden="false" customHeight="false" outlineLevel="0" collapsed="false">
      <c r="A398" s="5" t="s">
        <v>366</v>
      </c>
      <c r="B398" s="0" t="s">
        <v>41</v>
      </c>
      <c r="C398" s="16" t="n">
        <f aca="false">a25_ni</f>
        <v>4061.643</v>
      </c>
      <c r="D398" s="16" t="n">
        <f aca="false">a26_ni</f>
        <v>4830.771</v>
      </c>
      <c r="E398" s="16" t="n">
        <f aca="false">(E395+E397)*(1-tax)</f>
        <v>6984.17437776609</v>
      </c>
      <c r="F398" s="16" t="n">
        <f aca="false">(F395+F397)*(1-tax)</f>
        <v>8308.40914165013</v>
      </c>
      <c r="G398" s="16" t="n">
        <f aca="false">(G395+G397)*(1-tax)</f>
        <v>9639.79720455634</v>
      </c>
    </row>
    <row r="399" customFormat="false" ht="15" hidden="false" customHeight="false" outlineLevel="0" collapsed="false">
      <c r="A399" s="5" t="s">
        <v>409</v>
      </c>
      <c r="B399" s="5" t="s">
        <v>151</v>
      </c>
      <c r="C399" s="16" t="n">
        <f aca="false">a25_sh</f>
        <v>1337.502</v>
      </c>
      <c r="D399" s="16" t="n">
        <f aca="false">a26_sh</f>
        <v>1319.633</v>
      </c>
      <c r="E399" s="16" t="n">
        <f aca="false">shares27</f>
        <v>1312</v>
      </c>
      <c r="F399" s="16" t="n">
        <f aca="false">E399*(1-bb)</f>
        <v>1294.47170621053</v>
      </c>
      <c r="G399" s="16" t="n">
        <f aca="false">F399*(1-bb)</f>
        <v>1277.17759007592</v>
      </c>
    </row>
    <row r="400" customFormat="false" ht="17.15" hidden="false" customHeight="false" outlineLevel="0" collapsed="false">
      <c r="A400" s="0" t="s">
        <v>367</v>
      </c>
      <c r="B400" s="0" t="s">
        <v>169</v>
      </c>
      <c r="C400" s="13" t="n">
        <f aca="false">a25_eps</f>
        <v>3.04</v>
      </c>
      <c r="D400" s="13" t="n">
        <f aca="false">a26_eps</f>
        <v>3.66</v>
      </c>
      <c r="E400" s="13" t="n">
        <f aca="false">E398/E399</f>
        <v>5.32330364159001</v>
      </c>
      <c r="F400" s="13" t="n">
        <f aca="false">F398/F399</f>
        <v>6.41837832514112</v>
      </c>
      <c r="G400" s="13" t="n">
        <f aca="false">G398/G399</f>
        <v>7.54773437888407</v>
      </c>
    </row>
    <row r="401" customFormat="false" ht="17.15" hidden="false" customHeight="false" outlineLevel="0" collapsed="false">
      <c r="A401" s="5" t="s">
        <v>410</v>
      </c>
      <c r="B401" s="0" t="s">
        <v>41</v>
      </c>
      <c r="D401" s="20" t="n">
        <f aca="false">a26_rev*chn_sh26</f>
        <v>4073.8428</v>
      </c>
      <c r="E401" s="20" t="n">
        <f aca="false">E391*chn_sh26*(1-chn_cut*IF(2027=2027,0.5,1))</f>
        <v>5377.49302749096</v>
      </c>
      <c r="F401" s="20" t="n">
        <f aca="false">F391*chn_sh26*(1-chn_cut*IF(2028=2027,0.5,1))</f>
        <v>6202.60305451385</v>
      </c>
      <c r="G401" s="20" t="n">
        <f aca="false">G391*chn_sh26*(1-chn_cut*IF(2029=2027,0.5,1))</f>
        <v>7040.10469461935</v>
      </c>
      <c r="H401" s="5" t="s">
        <v>411</v>
      </c>
    </row>
    <row r="410" customFormat="false" ht="17.15" hidden="false" customHeight="false" outlineLevel="0" collapsed="false">
      <c r="A410" s="3" t="s">
        <v>706</v>
      </c>
    </row>
    <row r="411" customFormat="false" ht="17.15" hidden="false" customHeight="false" outlineLevel="0" collapsed="false">
      <c r="A411" s="6" t="s">
        <v>15</v>
      </c>
      <c r="B411" s="6" t="s">
        <v>16</v>
      </c>
      <c r="C411" s="14" t="s">
        <v>377</v>
      </c>
      <c r="D411" s="14" t="s">
        <v>378</v>
      </c>
      <c r="E411" s="14" t="s">
        <v>379</v>
      </c>
      <c r="F411" s="14" t="s">
        <v>380</v>
      </c>
      <c r="G411" s="14" t="s">
        <v>381</v>
      </c>
      <c r="H411" s="6" t="s">
        <v>306</v>
      </c>
    </row>
    <row r="412" customFormat="false" ht="17.15" hidden="false" customHeight="false" outlineLevel="0" collapsed="false">
      <c r="A412" s="1" t="s">
        <v>382</v>
      </c>
    </row>
    <row r="413" customFormat="false" ht="17.15" hidden="false" customHeight="false" outlineLevel="0" collapsed="false">
      <c r="A413" s="5" t="s">
        <v>383</v>
      </c>
      <c r="B413" s="0" t="s">
        <v>41</v>
      </c>
      <c r="C413" s="16" t="n">
        <f aca="false">(Units!C8+m_mem*Units!C11)*1000</f>
        <v>117874.05938505</v>
      </c>
      <c r="D413" s="16" t="n">
        <f aca="false">(Units!D8+m_mem*Units!D11)*1000</f>
        <v>157598.72745742</v>
      </c>
      <c r="E413" s="16" t="n">
        <f aca="false">(Units!E8+m_mem*Units!E11)*1000</f>
        <v>194734.950900524</v>
      </c>
      <c r="F413" s="16" t="n">
        <f aca="false">(Units!F8+m_mem*Units!F11)*1000</f>
        <v>218802.231022447</v>
      </c>
      <c r="G413" s="16" t="n">
        <f aca="false">(Units!G8+m_mem*Units!G11)*1000</f>
        <v>231172.69409247</v>
      </c>
      <c r="H413" s="5" t="s">
        <v>384</v>
      </c>
    </row>
    <row r="414" customFormat="false" ht="15" hidden="false" customHeight="false" outlineLevel="0" collapsed="false">
      <c r="A414" s="5" t="s">
        <v>385</v>
      </c>
      <c r="B414" s="0" t="s">
        <v>41</v>
      </c>
      <c r="C414" s="16" t="n">
        <f aca="false">Units!C12*1000</f>
        <v>3056.56934306569</v>
      </c>
      <c r="D414" s="16" t="n">
        <f aca="false">Units!D12*1000</f>
        <v>3350</v>
      </c>
      <c r="E414" s="16" t="n">
        <f aca="false">Units!E12*1000</f>
        <v>3795.39194286967</v>
      </c>
      <c r="F414" s="16" t="n">
        <f aca="false">Units!F12*1000</f>
        <v>4300</v>
      </c>
      <c r="G414" s="16" t="n">
        <f aca="false">Units!G12*1000</f>
        <v>4644</v>
      </c>
    </row>
    <row r="415" customFormat="false" ht="17.15" hidden="false" customHeight="false" outlineLevel="0" collapsed="false">
      <c r="A415" s="5" t="s">
        <v>386</v>
      </c>
      <c r="B415" s="0" t="s">
        <v>41</v>
      </c>
      <c r="D415" s="16" t="n">
        <f aca="false">h1_rev*(2+h2up)</f>
        <v>15559.8432</v>
      </c>
      <c r="H415" s="5" t="s">
        <v>387</v>
      </c>
    </row>
    <row r="416" customFormat="false" ht="17.15" hidden="false" customHeight="false" outlineLevel="0" collapsed="false">
      <c r="A416" s="5" t="s">
        <v>388</v>
      </c>
      <c r="B416" s="0" t="s">
        <v>41</v>
      </c>
      <c r="D416" s="16" t="n">
        <f aca="false">h1_svc*(2+g_svc_h2)</f>
        <v>3286.1223</v>
      </c>
    </row>
    <row r="417" customFormat="false" ht="17.15" hidden="false" customHeight="false" outlineLevel="0" collapsed="false">
      <c r="A417" s="0" t="s">
        <v>389</v>
      </c>
      <c r="B417" s="0" t="s">
        <v>41</v>
      </c>
      <c r="D417" s="16" t="n">
        <f aca="false">cy25_oth*(1+g_oth26)</f>
        <v>1528.965</v>
      </c>
    </row>
    <row r="418" customFormat="false" ht="17.15" hidden="false" customHeight="false" outlineLevel="0" collapsed="false">
      <c r="A418" s="5" t="s">
        <v>390</v>
      </c>
      <c r="B418" s="0" t="s">
        <v>41</v>
      </c>
      <c r="C418" s="16" t="n">
        <f aca="false">ap26_hi/(1+ap_g26)</f>
        <v>823.529411764706</v>
      </c>
      <c r="D418" s="16" t="n">
        <f aca="false">ap26_hi</f>
        <v>1400</v>
      </c>
      <c r="E418" s="16" t="n">
        <f aca="false">D418*(1+k_ap*(E414/D414-1))</f>
        <v>1772.26789254778</v>
      </c>
      <c r="F418" s="16" t="n">
        <f aca="false">E418*(1+k_ap*(F414/E414-1))</f>
        <v>2243.52391639697</v>
      </c>
      <c r="G418" s="16" t="n">
        <f aca="false">F418*(1+k_ap*(G414/F414-1))</f>
        <v>2602.48774302049</v>
      </c>
      <c r="H418" s="8" t="s">
        <v>391</v>
      </c>
    </row>
    <row r="419" customFormat="false" ht="17.15" hidden="false" customHeight="false" outlineLevel="0" collapsed="false">
      <c r="A419" s="5" t="s">
        <v>392</v>
      </c>
      <c r="B419" s="0" t="s">
        <v>41</v>
      </c>
      <c r="C419" s="16" t="n">
        <f aca="false">C421-C418</f>
        <v>7795.38058823529</v>
      </c>
      <c r="D419" s="16" t="n">
        <f aca="false">D421-D418</f>
        <v>9344.7559</v>
      </c>
      <c r="E419" s="16" t="n">
        <f aca="false">E420*E413</f>
        <v>11886.9093893478</v>
      </c>
      <c r="F419" s="16" t="n">
        <f aca="false">F420*F413</f>
        <v>13749.4898459411</v>
      </c>
      <c r="G419" s="16" t="n">
        <f aca="false">G420*G413</f>
        <v>14954.8191278775</v>
      </c>
      <c r="H419" s="8" t="s">
        <v>393</v>
      </c>
    </row>
    <row r="420" customFormat="false" ht="17.15" hidden="false" customHeight="false" outlineLevel="0" collapsed="false">
      <c r="A420" s="5" t="s">
        <v>394</v>
      </c>
      <c r="B420" s="0" t="s">
        <v>26</v>
      </c>
      <c r="C420" s="21" t="n">
        <f aca="false">C419/C413</f>
        <v>0.0661331308084568</v>
      </c>
      <c r="D420" s="21" t="n">
        <f aca="false">D419/D413</f>
        <v>0.0592946151962093</v>
      </c>
      <c r="E420" s="21" t="n">
        <f aca="false">$D420*(1+pc_u)^1</f>
        <v>0.0610414788633396</v>
      </c>
      <c r="F420" s="21" t="n">
        <f aca="false">$D420*(1+pc_u)^2</f>
        <v>0.0628398064393162</v>
      </c>
      <c r="G420" s="21" t="n">
        <f aca="false">$D420*(1+pc_u)^3</f>
        <v>0.0646911140893464</v>
      </c>
      <c r="H420" s="8" t="s">
        <v>395</v>
      </c>
    </row>
    <row r="421" customFormat="false" ht="17.15" hidden="false" customHeight="false" outlineLevel="0" collapsed="false">
      <c r="A421" s="5" t="s">
        <v>396</v>
      </c>
      <c r="B421" s="0" t="s">
        <v>41</v>
      </c>
      <c r="C421" s="16" t="n">
        <f aca="false">cy25_sys</f>
        <v>8618.91</v>
      </c>
      <c r="D421" s="16" t="n">
        <f aca="false">D415-D416-D417</f>
        <v>10744.7559</v>
      </c>
      <c r="E421" s="16" t="n">
        <f aca="false">(E419+E418)*(1-chn_sh26*chn_cut)</f>
        <v>13659.1772818956</v>
      </c>
      <c r="F421" s="16" t="n">
        <f aca="false">(F419+F418)*(1-chn_sh26*chn_cut)</f>
        <v>15993.0137623381</v>
      </c>
      <c r="G421" s="16" t="n">
        <f aca="false">(G419+G418)*(1-chn_sh26*chn_cut)</f>
        <v>17557.306870898</v>
      </c>
      <c r="H421" s="8" t="s">
        <v>397</v>
      </c>
    </row>
    <row r="422" customFormat="false" ht="17.15" hidden="false" customHeight="false" outlineLevel="0" collapsed="false">
      <c r="A422" s="5" t="s">
        <v>398</v>
      </c>
      <c r="B422" s="0" t="s">
        <v>26</v>
      </c>
      <c r="C422" s="10" t="n">
        <f aca="false">C420/kla_sh_pc</f>
        <v>0.114022639324925</v>
      </c>
      <c r="D422" s="10" t="n">
        <f aca="false">D420/kla_sh_pc</f>
        <v>0.102232095165878</v>
      </c>
      <c r="E422" s="10" t="n">
        <f aca="false">E420/kla_sh_pc</f>
        <v>0.105243929074723</v>
      </c>
      <c r="F422" s="10" t="n">
        <f aca="false">F420/kla_sh_pc</f>
        <v>0.10834449386089</v>
      </c>
      <c r="G422" s="10" t="n">
        <f aca="false">G420/kla_sh_pc</f>
        <v>0.111536403602321</v>
      </c>
      <c r="H422" s="8" t="s">
        <v>399</v>
      </c>
    </row>
    <row r="423" customFormat="false" ht="17.15" hidden="false" customHeight="false" outlineLevel="0" collapsed="false">
      <c r="A423" s="1" t="s">
        <v>400</v>
      </c>
    </row>
    <row r="424" customFormat="false" ht="17.15" hidden="false" customHeight="false" outlineLevel="0" collapsed="false">
      <c r="A424" s="5" t="s">
        <v>401</v>
      </c>
      <c r="B424" s="0" t="s">
        <v>41</v>
      </c>
      <c r="C424" s="16" t="n">
        <f aca="false">a25_sys</f>
        <v>8264.026</v>
      </c>
      <c r="D424" s="16" t="n">
        <f aca="false">a26_sys</f>
        <v>9119.058</v>
      </c>
      <c r="E424" s="16" t="n">
        <f aca="false">(D421-h1_sys)+0.5*E421</f>
        <v>12829.3075409478</v>
      </c>
      <c r="F424" s="16" t="n">
        <f aca="false">0.5*E421+0.5*F421</f>
        <v>14826.0955221168</v>
      </c>
      <c r="G424" s="16" t="n">
        <f aca="false">0.5*F421+0.5*G421</f>
        <v>16775.1603166181</v>
      </c>
      <c r="H424" s="8" t="s">
        <v>402</v>
      </c>
    </row>
    <row r="425" customFormat="false" ht="15" hidden="false" customHeight="false" outlineLevel="0" collapsed="false">
      <c r="A425" s="5" t="s">
        <v>254</v>
      </c>
      <c r="B425" s="0" t="s">
        <v>41</v>
      </c>
      <c r="C425" s="16" t="n">
        <f aca="false">a25_svc</f>
        <v>2683.308</v>
      </c>
      <c r="D425" s="16" t="n">
        <f aca="false">a26_svc</f>
        <v>3125.939</v>
      </c>
      <c r="E425" s="16" t="n">
        <f aca="false">D425*(1+g_svc_A)</f>
        <v>3563.57046</v>
      </c>
      <c r="F425" s="16" t="n">
        <f aca="false">E425*(1+g_svc_A)</f>
        <v>4062.4703244</v>
      </c>
      <c r="G425" s="16" t="n">
        <f aca="false">F425*(1+g_svc_A)</f>
        <v>4631.216169816</v>
      </c>
    </row>
    <row r="426" customFormat="false" ht="17.15" hidden="false" customHeight="false" outlineLevel="0" collapsed="false">
      <c r="A426" s="0" t="s">
        <v>403</v>
      </c>
      <c r="B426" s="0" t="s">
        <v>41</v>
      </c>
      <c r="C426" s="16" t="n">
        <f aca="false">a25_oth</f>
        <v>1208.828</v>
      </c>
      <c r="D426" s="16" t="n">
        <f aca="false">a26_oth</f>
        <v>1334.479</v>
      </c>
      <c r="E426" s="16" t="n">
        <f aca="false">D426*(1+g_oth_A)</f>
        <v>1494.61648</v>
      </c>
      <c r="F426" s="16" t="n">
        <f aca="false">E426*(1+g_oth_A)</f>
        <v>1673.9704576</v>
      </c>
      <c r="G426" s="16" t="n">
        <f aca="false">F426*(1+g_oth_A)</f>
        <v>1874.846912512</v>
      </c>
    </row>
    <row r="427" customFormat="false" ht="17.15" hidden="false" customHeight="false" outlineLevel="0" collapsed="false">
      <c r="A427" s="5" t="s">
        <v>248</v>
      </c>
      <c r="B427" s="0" t="s">
        <v>41</v>
      </c>
      <c r="C427" s="16" t="n">
        <f aca="false">C424+C425+C426</f>
        <v>12156.162</v>
      </c>
      <c r="D427" s="16" t="n">
        <f aca="false">D424+D425+D426</f>
        <v>13579.476</v>
      </c>
      <c r="E427" s="16" t="n">
        <f aca="false">E424+E425+E426</f>
        <v>17887.4944809478</v>
      </c>
      <c r="F427" s="16" t="n">
        <f aca="false">F424+F425+F426</f>
        <v>20562.5363041168</v>
      </c>
      <c r="G427" s="16" t="n">
        <f aca="false">G424+G425+G426</f>
        <v>23281.2233989461</v>
      </c>
      <c r="H427" s="8" t="s">
        <v>404</v>
      </c>
    </row>
    <row r="428" customFormat="false" ht="17.15" hidden="false" customHeight="false" outlineLevel="0" collapsed="false">
      <c r="A428" s="5" t="s">
        <v>267</v>
      </c>
      <c r="B428" s="0" t="s">
        <v>41</v>
      </c>
      <c r="C428" s="16" t="n">
        <f aca="false">a25_gp</f>
        <v>7404.295</v>
      </c>
      <c r="D428" s="16" t="n">
        <f aca="false">a26_gp</f>
        <v>8324.416</v>
      </c>
      <c r="E428" s="16" t="n">
        <f aca="false">a26_gp+gm_inc*(E427-a26_rev)</f>
        <v>11109.3940671786</v>
      </c>
      <c r="F428" s="16" t="n">
        <f aca="false">a26_gp+gm_inc*(F427-a26_rev)</f>
        <v>12838.7118125082</v>
      </c>
      <c r="G428" s="16" t="n">
        <f aca="false">a26_gp+gm_inc*(G427-a26_rev)</f>
        <v>14596.2446467116</v>
      </c>
      <c r="H428" s="8" t="s">
        <v>405</v>
      </c>
    </row>
    <row r="429" customFormat="false" ht="15" hidden="false" customHeight="false" outlineLevel="0" collapsed="false">
      <c r="A429" s="5" t="s">
        <v>363</v>
      </c>
      <c r="B429" s="0" t="s">
        <v>26</v>
      </c>
      <c r="C429" s="10" t="n">
        <f aca="false">C428/C427</f>
        <v>0.609098085398994</v>
      </c>
      <c r="D429" s="10" t="n">
        <f aca="false">D428/D427</f>
        <v>0.613014522798965</v>
      </c>
      <c r="E429" s="10" t="n">
        <f aca="false">E428/E427</f>
        <v>0.621070439966386</v>
      </c>
      <c r="F429" s="10" t="n">
        <f aca="false">F428/F427</f>
        <v>0.624373940190333</v>
      </c>
      <c r="G429" s="10" t="n">
        <f aca="false">G428/G427</f>
        <v>0.626953506548645</v>
      </c>
    </row>
    <row r="430" customFormat="false" ht="15" hidden="false" customHeight="false" outlineLevel="0" collapsed="false">
      <c r="A430" s="5" t="s">
        <v>406</v>
      </c>
      <c r="B430" s="0" t="s">
        <v>41</v>
      </c>
      <c r="C430" s="16" t="n">
        <f aca="false">a25_opx</f>
        <v>2390.068</v>
      </c>
      <c r="D430" s="16" t="n">
        <f aca="false">a26_opx</f>
        <v>2663.636</v>
      </c>
      <c r="E430" s="16" t="n">
        <f aca="false">opex27</f>
        <v>2865</v>
      </c>
      <c r="F430" s="16" t="n">
        <f aca="false">E430*(1+g_opex_A)</f>
        <v>3094.2</v>
      </c>
      <c r="G430" s="16" t="n">
        <f aca="false">F430*(1+g_opex_A)</f>
        <v>3341.736</v>
      </c>
    </row>
    <row r="431" customFormat="false" ht="17.15" hidden="false" customHeight="false" outlineLevel="0" collapsed="false">
      <c r="A431" s="5" t="s">
        <v>364</v>
      </c>
      <c r="B431" s="0" t="s">
        <v>41</v>
      </c>
      <c r="C431" s="16" t="n">
        <f aca="false">a25_oi</f>
        <v>4775.127</v>
      </c>
      <c r="D431" s="16" t="n">
        <f aca="false">D428-D430</f>
        <v>5660.78</v>
      </c>
      <c r="E431" s="16" t="n">
        <f aca="false">E428-E430</f>
        <v>8244.39406717855</v>
      </c>
      <c r="F431" s="16" t="n">
        <f aca="false">F428-F430</f>
        <v>9744.5118125082</v>
      </c>
      <c r="G431" s="16" t="n">
        <f aca="false">G428-G430</f>
        <v>11254.5086467116</v>
      </c>
      <c r="H431" s="8" t="s">
        <v>407</v>
      </c>
    </row>
    <row r="432" customFormat="false" ht="15" hidden="false" customHeight="false" outlineLevel="0" collapsed="false">
      <c r="A432" s="5" t="s">
        <v>365</v>
      </c>
      <c r="B432" s="0" t="s">
        <v>26</v>
      </c>
      <c r="C432" s="10" t="n">
        <f aca="false">C431/C427</f>
        <v>0.392815347475626</v>
      </c>
      <c r="D432" s="10" t="n">
        <f aca="false">D431/D427</f>
        <v>0.416862918716451</v>
      </c>
      <c r="E432" s="10" t="n">
        <f aca="false">E431/E427</f>
        <v>0.460902675663143</v>
      </c>
      <c r="F432" s="10" t="n">
        <f aca="false">F431/F427</f>
        <v>0.473896394315775</v>
      </c>
      <c r="G432" s="10" t="n">
        <f aca="false">G431/G427</f>
        <v>0.48341568885169</v>
      </c>
    </row>
    <row r="433" customFormat="false" ht="15" hidden="false" customHeight="false" outlineLevel="0" collapsed="false">
      <c r="A433" s="5" t="s">
        <v>408</v>
      </c>
      <c r="B433" s="0" t="s">
        <v>41</v>
      </c>
      <c r="C433" s="16" t="n">
        <f aca="false">a25_nonop</f>
        <v>-130.679</v>
      </c>
      <c r="D433" s="16" t="n">
        <f aca="false">a26_nonop</f>
        <v>-54.855</v>
      </c>
      <c r="E433" s="16" t="n">
        <f aca="false">oth_exp</f>
        <v>-100</v>
      </c>
      <c r="F433" s="16" t="n">
        <f aca="false">oth_exp</f>
        <v>-100</v>
      </c>
      <c r="G433" s="16" t="n">
        <f aca="false">oth_exp</f>
        <v>-100</v>
      </c>
    </row>
    <row r="434" customFormat="false" ht="15" hidden="false" customHeight="false" outlineLevel="0" collapsed="false">
      <c r="A434" s="5" t="s">
        <v>366</v>
      </c>
      <c r="B434" s="0" t="s">
        <v>41</v>
      </c>
      <c r="C434" s="16" t="n">
        <f aca="false">a25_ni</f>
        <v>4061.643</v>
      </c>
      <c r="D434" s="16" t="n">
        <f aca="false">a26_ni</f>
        <v>4830.771</v>
      </c>
      <c r="E434" s="16" t="n">
        <f aca="false">(E431+E433)*(1-tax)</f>
        <v>6963.45692743766</v>
      </c>
      <c r="F434" s="16" t="n">
        <f aca="false">(F431+F433)*(1-tax)</f>
        <v>8246.05759969451</v>
      </c>
      <c r="G434" s="16" t="n">
        <f aca="false">(G431+G433)*(1-tax)</f>
        <v>9537.10489293841</v>
      </c>
    </row>
    <row r="435" customFormat="false" ht="15" hidden="false" customHeight="false" outlineLevel="0" collapsed="false">
      <c r="A435" s="5" t="s">
        <v>409</v>
      </c>
      <c r="B435" s="5" t="s">
        <v>151</v>
      </c>
      <c r="C435" s="16" t="n">
        <f aca="false">a25_sh</f>
        <v>1337.502</v>
      </c>
      <c r="D435" s="16" t="n">
        <f aca="false">a26_sh</f>
        <v>1319.633</v>
      </c>
      <c r="E435" s="16" t="n">
        <f aca="false">shares27</f>
        <v>1312</v>
      </c>
      <c r="F435" s="16" t="n">
        <f aca="false">E435*(1-bb)</f>
        <v>1294.47170621053</v>
      </c>
      <c r="G435" s="16" t="n">
        <f aca="false">F435*(1-bb)</f>
        <v>1277.17759007592</v>
      </c>
    </row>
    <row r="436" customFormat="false" ht="17.15" hidden="false" customHeight="false" outlineLevel="0" collapsed="false">
      <c r="A436" s="0" t="s">
        <v>367</v>
      </c>
      <c r="B436" s="0" t="s">
        <v>169</v>
      </c>
      <c r="C436" s="13" t="n">
        <f aca="false">a25_eps</f>
        <v>3.04</v>
      </c>
      <c r="D436" s="13" t="n">
        <f aca="false">a26_eps</f>
        <v>3.66</v>
      </c>
      <c r="E436" s="13" t="n">
        <f aca="false">E434/E435</f>
        <v>5.30751290201041</v>
      </c>
      <c r="F436" s="13" t="n">
        <f aca="false">F434/F435</f>
        <v>6.37021076639382</v>
      </c>
      <c r="G436" s="13" t="n">
        <f aca="false">G434/G435</f>
        <v>7.46732871532101</v>
      </c>
    </row>
    <row r="437" customFormat="false" ht="17.15" hidden="false" customHeight="false" outlineLevel="0" collapsed="false">
      <c r="A437" s="5" t="s">
        <v>410</v>
      </c>
      <c r="B437" s="0" t="s">
        <v>41</v>
      </c>
      <c r="D437" s="20" t="n">
        <f aca="false">a26_rev*chn_sh26</f>
        <v>4073.8428</v>
      </c>
      <c r="E437" s="20" t="n">
        <f aca="false">E427*chn_sh26*(1-chn_cut*IF(2027=2027,0.5,1))</f>
        <v>5366.24834428434</v>
      </c>
      <c r="F437" s="20" t="n">
        <f aca="false">F427*chn_sh26*(1-chn_cut*IF(2028=2027,0.5,1))</f>
        <v>6168.76089123505</v>
      </c>
      <c r="G437" s="20" t="n">
        <f aca="false">G427*chn_sh26*(1-chn_cut*IF(2029=2027,0.5,1))</f>
        <v>6984.36701968382</v>
      </c>
      <c r="H437" s="5" t="s">
        <v>411</v>
      </c>
    </row>
    <row r="446" customFormat="false" ht="17.15" hidden="false" customHeight="false" outlineLevel="0" collapsed="false">
      <c r="A446" s="3" t="s">
        <v>707</v>
      </c>
    </row>
    <row r="447" customFormat="false" ht="17.15" hidden="false" customHeight="false" outlineLevel="0" collapsed="false">
      <c r="A447" s="6" t="s">
        <v>15</v>
      </c>
      <c r="B447" s="6" t="s">
        <v>16</v>
      </c>
      <c r="C447" s="14" t="s">
        <v>377</v>
      </c>
      <c r="D447" s="14" t="s">
        <v>378</v>
      </c>
      <c r="E447" s="14" t="s">
        <v>379</v>
      </c>
      <c r="F447" s="14" t="s">
        <v>380</v>
      </c>
      <c r="G447" s="14" t="s">
        <v>381</v>
      </c>
      <c r="H447" s="6" t="s">
        <v>306</v>
      </c>
    </row>
    <row r="448" customFormat="false" ht="17.15" hidden="false" customHeight="false" outlineLevel="0" collapsed="false">
      <c r="A448" s="1" t="s">
        <v>382</v>
      </c>
    </row>
    <row r="449" customFormat="false" ht="17.15" hidden="false" customHeight="false" outlineLevel="0" collapsed="false">
      <c r="A449" s="5" t="s">
        <v>383</v>
      </c>
      <c r="B449" s="0" t="s">
        <v>41</v>
      </c>
      <c r="C449" s="16" t="n">
        <f aca="false">(Units!C8+m_mem*Units!C11)*1000</f>
        <v>117874.05938505</v>
      </c>
      <c r="D449" s="16" t="n">
        <f aca="false">(Units!D8+m_mem*Units!D11)*1000</f>
        <v>157598.72745742</v>
      </c>
      <c r="E449" s="16" t="n">
        <f aca="false">(Units!E8+m_mem*Units!E11)*1000</f>
        <v>194734.950900524</v>
      </c>
      <c r="F449" s="16" t="n">
        <f aca="false">(Units!F8+m_mem*Units!F11)*1000</f>
        <v>218802.231022447</v>
      </c>
      <c r="G449" s="16" t="n">
        <f aca="false">(Units!G8+m_mem*Units!G11)*1000</f>
        <v>231172.69409247</v>
      </c>
      <c r="H449" s="5" t="s">
        <v>384</v>
      </c>
    </row>
    <row r="450" customFormat="false" ht="15" hidden="false" customHeight="false" outlineLevel="0" collapsed="false">
      <c r="A450" s="5" t="s">
        <v>385</v>
      </c>
      <c r="B450" s="0" t="s">
        <v>41</v>
      </c>
      <c r="C450" s="16" t="n">
        <f aca="false">Units!C12*1000</f>
        <v>3056.56934306569</v>
      </c>
      <c r="D450" s="16" t="n">
        <f aca="false">Units!D12*1000</f>
        <v>3350</v>
      </c>
      <c r="E450" s="16" t="n">
        <f aca="false">Units!E12*1000</f>
        <v>3795.39194286967</v>
      </c>
      <c r="F450" s="16" t="n">
        <f aca="false">Units!F12*1000</f>
        <v>4300</v>
      </c>
      <c r="G450" s="16" t="n">
        <f aca="false">Units!G12*1000</f>
        <v>4644</v>
      </c>
    </row>
    <row r="451" customFormat="false" ht="17.15" hidden="false" customHeight="false" outlineLevel="0" collapsed="false">
      <c r="A451" s="5" t="s">
        <v>386</v>
      </c>
      <c r="B451" s="0" t="s">
        <v>41</v>
      </c>
      <c r="D451" s="16" t="n">
        <f aca="false">h1_rev*(2+h2up)</f>
        <v>15559.8432</v>
      </c>
      <c r="H451" s="5" t="s">
        <v>387</v>
      </c>
    </row>
    <row r="452" customFormat="false" ht="17.15" hidden="false" customHeight="false" outlineLevel="0" collapsed="false">
      <c r="A452" s="5" t="s">
        <v>388</v>
      </c>
      <c r="B452" s="0" t="s">
        <v>41</v>
      </c>
      <c r="D452" s="16" t="n">
        <f aca="false">h1_svc*(2+g_svc_h2)</f>
        <v>3286.1223</v>
      </c>
    </row>
    <row r="453" customFormat="false" ht="17.15" hidden="false" customHeight="false" outlineLevel="0" collapsed="false">
      <c r="A453" s="0" t="s">
        <v>389</v>
      </c>
      <c r="B453" s="0" t="s">
        <v>41</v>
      </c>
      <c r="D453" s="16" t="n">
        <f aca="false">cy25_oth*(1+g_oth26)</f>
        <v>1528.965</v>
      </c>
    </row>
    <row r="454" customFormat="false" ht="17.15" hidden="false" customHeight="false" outlineLevel="0" collapsed="false">
      <c r="A454" s="5" t="s">
        <v>390</v>
      </c>
      <c r="B454" s="0" t="s">
        <v>41</v>
      </c>
      <c r="C454" s="16" t="n">
        <f aca="false">ap26/(1+ap_g26)</f>
        <v>647.058823529412</v>
      </c>
      <c r="D454" s="16" t="n">
        <f aca="false">ap26</f>
        <v>1100</v>
      </c>
      <c r="E454" s="16" t="n">
        <f aca="false">D454*(1+k_ap*(E450/D450-1))</f>
        <v>1392.49620128754</v>
      </c>
      <c r="F454" s="16" t="n">
        <f aca="false">E454*(1+k_ap*(F450/E450-1))</f>
        <v>1762.76879145476</v>
      </c>
      <c r="G454" s="16" t="n">
        <f aca="false">F454*(1+k_ap*(G450/F450-1))</f>
        <v>2044.81179808753</v>
      </c>
      <c r="H454" s="8" t="s">
        <v>391</v>
      </c>
    </row>
    <row r="455" customFormat="false" ht="17.15" hidden="false" customHeight="false" outlineLevel="0" collapsed="false">
      <c r="A455" s="5" t="s">
        <v>392</v>
      </c>
      <c r="B455" s="0" t="s">
        <v>41</v>
      </c>
      <c r="C455" s="16" t="n">
        <f aca="false">C457-C454</f>
        <v>7971.85117647059</v>
      </c>
      <c r="D455" s="16" t="n">
        <f aca="false">D457-D454</f>
        <v>9644.7559</v>
      </c>
      <c r="E455" s="16" t="n">
        <f aca="false">E456*E449</f>
        <v>12268.521584997</v>
      </c>
      <c r="F455" s="16" t="n">
        <f aca="false">F456*F449</f>
        <v>14190.8975186426</v>
      </c>
      <c r="G455" s="16" t="n">
        <f aca="false">G456*G449</f>
        <v>15434.9221703084</v>
      </c>
      <c r="H455" s="8" t="s">
        <v>393</v>
      </c>
    </row>
    <row r="456" customFormat="false" ht="17.15" hidden="false" customHeight="false" outlineLevel="0" collapsed="false">
      <c r="A456" s="5" t="s">
        <v>394</v>
      </c>
      <c r="B456" s="0" t="s">
        <v>26</v>
      </c>
      <c r="C456" s="21" t="n">
        <f aca="false">C455/C449</f>
        <v>0.0676302421250259</v>
      </c>
      <c r="D456" s="21" t="n">
        <f aca="false">D455/D449</f>
        <v>0.0611981838660836</v>
      </c>
      <c r="E456" s="21" t="n">
        <f aca="false">$D456*(1+pc_u)^1</f>
        <v>0.0630011280885271</v>
      </c>
      <c r="F456" s="21" t="n">
        <f aca="false">$D456*(1+pc_u)^2</f>
        <v>0.0648571883948786</v>
      </c>
      <c r="G456" s="21" t="n">
        <f aca="false">$D456*(1+pc_u)^3</f>
        <v>0.0667679296246569</v>
      </c>
      <c r="H456" s="8" t="s">
        <v>395</v>
      </c>
    </row>
    <row r="457" customFormat="false" ht="17.15" hidden="false" customHeight="false" outlineLevel="0" collapsed="false">
      <c r="A457" s="5" t="s">
        <v>396</v>
      </c>
      <c r="B457" s="0" t="s">
        <v>41</v>
      </c>
      <c r="C457" s="16" t="n">
        <f aca="false">cy25_sys</f>
        <v>8618.91</v>
      </c>
      <c r="D457" s="16" t="n">
        <f aca="false">D451-D452-D453</f>
        <v>10744.7559</v>
      </c>
      <c r="E457" s="16" t="n">
        <f aca="false">(E455+E454)*(1-chn_sh26*chn_cut)</f>
        <v>13661.0177862845</v>
      </c>
      <c r="F457" s="16" t="n">
        <f aca="false">(F455+F454)*(1-chn_sh26*chn_cut)</f>
        <v>15953.6663100973</v>
      </c>
      <c r="G457" s="16" t="n">
        <f aca="false">(G455+G454)*(1-chn_sh26*chn_cut)</f>
        <v>17479.7339683959</v>
      </c>
      <c r="H457" s="8" t="s">
        <v>397</v>
      </c>
    </row>
    <row r="458" customFormat="false" ht="17.15" hidden="false" customHeight="false" outlineLevel="0" collapsed="false">
      <c r="A458" s="5" t="s">
        <v>398</v>
      </c>
      <c r="B458" s="0" t="s">
        <v>26</v>
      </c>
      <c r="C458" s="10" t="n">
        <f aca="false">C456/kla_sh_pc</f>
        <v>0.116603865732803</v>
      </c>
      <c r="D458" s="10" t="n">
        <f aca="false">D456/kla_sh_pc</f>
        <v>0.105514110113937</v>
      </c>
      <c r="E458" s="10" t="n">
        <f aca="false">E456/kla_sh_pc</f>
        <v>0.108622634635392</v>
      </c>
      <c r="F458" s="10" t="n">
        <f aca="false">F456/kla_sh_pc</f>
        <v>0.11182273861186</v>
      </c>
      <c r="G458" s="10" t="n">
        <f aca="false">G456/kla_sh_pc</f>
        <v>0.115117120042512</v>
      </c>
      <c r="H458" s="8" t="s">
        <v>399</v>
      </c>
    </row>
    <row r="459" customFormat="false" ht="17.15" hidden="false" customHeight="false" outlineLevel="0" collapsed="false">
      <c r="A459" s="1" t="s">
        <v>400</v>
      </c>
    </row>
    <row r="460" customFormat="false" ht="17.15" hidden="false" customHeight="false" outlineLevel="0" collapsed="false">
      <c r="A460" s="5" t="s">
        <v>401</v>
      </c>
      <c r="B460" s="0" t="s">
        <v>41</v>
      </c>
      <c r="C460" s="16" t="n">
        <f aca="false">a25_sys</f>
        <v>8264.026</v>
      </c>
      <c r="D460" s="16" t="n">
        <f aca="false">a26_sys</f>
        <v>9119.058</v>
      </c>
      <c r="E460" s="16" t="n">
        <f aca="false">(D457-h1_sys)+0.5*E457</f>
        <v>12830.2277931423</v>
      </c>
      <c r="F460" s="16" t="n">
        <f aca="false">0.5*E457+0.5*F457</f>
        <v>14807.3420481909</v>
      </c>
      <c r="G460" s="16" t="n">
        <f aca="false">0.5*F457+0.5*G457</f>
        <v>16716.7001392466</v>
      </c>
      <c r="H460" s="8" t="s">
        <v>402</v>
      </c>
    </row>
    <row r="461" customFormat="false" ht="15" hidden="false" customHeight="false" outlineLevel="0" collapsed="false">
      <c r="A461" s="5" t="s">
        <v>254</v>
      </c>
      <c r="B461" s="0" t="s">
        <v>41</v>
      </c>
      <c r="C461" s="16" t="n">
        <f aca="false">a25_svc</f>
        <v>2683.308</v>
      </c>
      <c r="D461" s="16" t="n">
        <f aca="false">a26_svc</f>
        <v>3125.939</v>
      </c>
      <c r="E461" s="16" t="n">
        <f aca="false">D461*(1+g_svc_A)</f>
        <v>3563.57046</v>
      </c>
      <c r="F461" s="16" t="n">
        <f aca="false">E461*(1+g_svc_A)</f>
        <v>4062.4703244</v>
      </c>
      <c r="G461" s="16" t="n">
        <f aca="false">F461*(1+g_svc_A)</f>
        <v>4631.216169816</v>
      </c>
    </row>
    <row r="462" customFormat="false" ht="17.15" hidden="false" customHeight="false" outlineLevel="0" collapsed="false">
      <c r="A462" s="0" t="s">
        <v>403</v>
      </c>
      <c r="B462" s="0" t="s">
        <v>41</v>
      </c>
      <c r="C462" s="16" t="n">
        <f aca="false">a25_oth</f>
        <v>1208.828</v>
      </c>
      <c r="D462" s="16" t="n">
        <f aca="false">a26_oth</f>
        <v>1334.479</v>
      </c>
      <c r="E462" s="16" t="n">
        <f aca="false">D462*(1+g_oth_A)</f>
        <v>1494.61648</v>
      </c>
      <c r="F462" s="16" t="n">
        <f aca="false">E462*(1+g_oth_A)</f>
        <v>1673.9704576</v>
      </c>
      <c r="G462" s="16" t="n">
        <f aca="false">F462*(1+g_oth_A)</f>
        <v>1874.846912512</v>
      </c>
    </row>
    <row r="463" customFormat="false" ht="17.15" hidden="false" customHeight="false" outlineLevel="0" collapsed="false">
      <c r="A463" s="5" t="s">
        <v>248</v>
      </c>
      <c r="B463" s="0" t="s">
        <v>41</v>
      </c>
      <c r="C463" s="16" t="n">
        <f aca="false">C460+C461+C462</f>
        <v>12156.162</v>
      </c>
      <c r="D463" s="16" t="n">
        <f aca="false">D460+D461+D462</f>
        <v>13579.476</v>
      </c>
      <c r="E463" s="16" t="n">
        <f aca="false">E460+E461+E462</f>
        <v>17888.4147331423</v>
      </c>
      <c r="F463" s="16" t="n">
        <f aca="false">F460+F461+F462</f>
        <v>20543.7828301909</v>
      </c>
      <c r="G463" s="16" t="n">
        <f aca="false">G460+G461+G462</f>
        <v>23222.7632215746</v>
      </c>
      <c r="H463" s="8" t="s">
        <v>404</v>
      </c>
    </row>
    <row r="464" customFormat="false" ht="17.15" hidden="false" customHeight="false" outlineLevel="0" collapsed="false">
      <c r="A464" s="5" t="s">
        <v>267</v>
      </c>
      <c r="B464" s="0" t="s">
        <v>41</v>
      </c>
      <c r="C464" s="16" t="n">
        <f aca="false">a25_gp</f>
        <v>7404.295</v>
      </c>
      <c r="D464" s="16" t="n">
        <f aca="false">a26_gp</f>
        <v>8324.416</v>
      </c>
      <c r="E464" s="16" t="n">
        <f aca="false">a26_gp+gm_inc_lo*(E463-a26_rev)</f>
        <v>10909.7792398854</v>
      </c>
      <c r="F464" s="16" t="n">
        <f aca="false">a26_gp+gm_inc_lo*(F463-a26_rev)</f>
        <v>12503.0000981146</v>
      </c>
      <c r="G464" s="16" t="n">
        <f aca="false">a26_gp+gm_inc_lo*(G463-a26_rev)</f>
        <v>14110.3883329448</v>
      </c>
      <c r="H464" s="8" t="s">
        <v>405</v>
      </c>
    </row>
    <row r="465" customFormat="false" ht="15" hidden="false" customHeight="false" outlineLevel="0" collapsed="false">
      <c r="A465" s="5" t="s">
        <v>363</v>
      </c>
      <c r="B465" s="0" t="s">
        <v>26</v>
      </c>
      <c r="C465" s="10" t="n">
        <f aca="false">C464/C463</f>
        <v>0.609098085398994</v>
      </c>
      <c r="D465" s="10" t="n">
        <f aca="false">D464/D463</f>
        <v>0.613014522798965</v>
      </c>
      <c r="E465" s="10" t="n">
        <f aca="false">E464/E463</f>
        <v>0.609879600995194</v>
      </c>
      <c r="F465" s="10" t="n">
        <f aca="false">F464/F463</f>
        <v>0.608602622090625</v>
      </c>
      <c r="G465" s="10" t="n">
        <f aca="false">G464/G463</f>
        <v>0.607610222707512</v>
      </c>
    </row>
    <row r="466" customFormat="false" ht="15" hidden="false" customHeight="false" outlineLevel="0" collapsed="false">
      <c r="A466" s="5" t="s">
        <v>406</v>
      </c>
      <c r="B466" s="0" t="s">
        <v>41</v>
      </c>
      <c r="C466" s="16" t="n">
        <f aca="false">a25_opx</f>
        <v>2390.068</v>
      </c>
      <c r="D466" s="16" t="n">
        <f aca="false">a26_opx</f>
        <v>2663.636</v>
      </c>
      <c r="E466" s="16" t="n">
        <f aca="false">opex27</f>
        <v>2865</v>
      </c>
      <c r="F466" s="16" t="n">
        <f aca="false">E466*(1+g_opex_A)</f>
        <v>3094.2</v>
      </c>
      <c r="G466" s="16" t="n">
        <f aca="false">F466*(1+g_opex_A)</f>
        <v>3341.736</v>
      </c>
    </row>
    <row r="467" customFormat="false" ht="17.15" hidden="false" customHeight="false" outlineLevel="0" collapsed="false">
      <c r="A467" s="5" t="s">
        <v>364</v>
      </c>
      <c r="B467" s="0" t="s">
        <v>41</v>
      </c>
      <c r="C467" s="16" t="n">
        <f aca="false">a25_oi</f>
        <v>4775.127</v>
      </c>
      <c r="D467" s="16" t="n">
        <f aca="false">D464-D466</f>
        <v>5660.78</v>
      </c>
      <c r="E467" s="16" t="n">
        <f aca="false">E464-E466</f>
        <v>8044.77923988535</v>
      </c>
      <c r="F467" s="16" t="n">
        <f aca="false">F464-F466</f>
        <v>9408.80009811456</v>
      </c>
      <c r="G467" s="16" t="n">
        <f aca="false">G464-G466</f>
        <v>10768.6523329448</v>
      </c>
      <c r="H467" s="8" t="s">
        <v>407</v>
      </c>
    </row>
    <row r="468" customFormat="false" ht="15" hidden="false" customHeight="false" outlineLevel="0" collapsed="false">
      <c r="A468" s="5" t="s">
        <v>365</v>
      </c>
      <c r="B468" s="0" t="s">
        <v>26</v>
      </c>
      <c r="C468" s="10" t="n">
        <f aca="false">C467/C463</f>
        <v>0.392815347475626</v>
      </c>
      <c r="D468" s="10" t="n">
        <f aca="false">D467/D463</f>
        <v>0.416862918716451</v>
      </c>
      <c r="E468" s="10" t="n">
        <f aca="false">E467/E463</f>
        <v>0.449720076367674</v>
      </c>
      <c r="F468" s="10" t="n">
        <f aca="false">F467/F463</f>
        <v>0.457987712189378</v>
      </c>
      <c r="G468" s="10" t="n">
        <f aca="false">G467/G463</f>
        <v>0.463711067894814</v>
      </c>
    </row>
    <row r="469" customFormat="false" ht="15" hidden="false" customHeight="false" outlineLevel="0" collapsed="false">
      <c r="A469" s="5" t="s">
        <v>408</v>
      </c>
      <c r="B469" s="0" t="s">
        <v>41</v>
      </c>
      <c r="C469" s="16" t="n">
        <f aca="false">a25_nonop</f>
        <v>-130.679</v>
      </c>
      <c r="D469" s="16" t="n">
        <f aca="false">a26_nonop</f>
        <v>-54.855</v>
      </c>
      <c r="E469" s="16" t="n">
        <f aca="false">oth_exp</f>
        <v>-100</v>
      </c>
      <c r="F469" s="16" t="n">
        <f aca="false">oth_exp</f>
        <v>-100</v>
      </c>
      <c r="G469" s="16" t="n">
        <f aca="false">oth_exp</f>
        <v>-100</v>
      </c>
    </row>
    <row r="470" customFormat="false" ht="15" hidden="false" customHeight="false" outlineLevel="0" collapsed="false">
      <c r="A470" s="5" t="s">
        <v>366</v>
      </c>
      <c r="B470" s="0" t="s">
        <v>41</v>
      </c>
      <c r="C470" s="16" t="n">
        <f aca="false">a25_ni</f>
        <v>4061.643</v>
      </c>
      <c r="D470" s="16" t="n">
        <f aca="false">a26_ni</f>
        <v>4830.771</v>
      </c>
      <c r="E470" s="16" t="n">
        <f aca="false">(E467+E469)*(1-tax)</f>
        <v>6792.78625010198</v>
      </c>
      <c r="F470" s="16" t="n">
        <f aca="false">(F467+F469)*(1-tax)</f>
        <v>7959.02408388795</v>
      </c>
      <c r="G470" s="16" t="n">
        <f aca="false">(G467+G469)*(1-tax)</f>
        <v>9121.69774466778</v>
      </c>
    </row>
    <row r="471" customFormat="false" ht="15" hidden="false" customHeight="false" outlineLevel="0" collapsed="false">
      <c r="A471" s="5" t="s">
        <v>409</v>
      </c>
      <c r="B471" s="5" t="s">
        <v>151</v>
      </c>
      <c r="C471" s="16" t="n">
        <f aca="false">a25_sh</f>
        <v>1337.502</v>
      </c>
      <c r="D471" s="16" t="n">
        <f aca="false">a26_sh</f>
        <v>1319.633</v>
      </c>
      <c r="E471" s="16" t="n">
        <f aca="false">shares27</f>
        <v>1312</v>
      </c>
      <c r="F471" s="16" t="n">
        <f aca="false">E471*(1-bb)</f>
        <v>1294.47170621053</v>
      </c>
      <c r="G471" s="16" t="n">
        <f aca="false">F471*(1-bb)</f>
        <v>1277.17759007592</v>
      </c>
    </row>
    <row r="472" customFormat="false" ht="17.15" hidden="false" customHeight="false" outlineLevel="0" collapsed="false">
      <c r="A472" s="0" t="s">
        <v>367</v>
      </c>
      <c r="B472" s="0" t="s">
        <v>169</v>
      </c>
      <c r="C472" s="13" t="n">
        <f aca="false">a25_eps</f>
        <v>3.04</v>
      </c>
      <c r="D472" s="13" t="n">
        <f aca="false">a26_eps</f>
        <v>3.66</v>
      </c>
      <c r="E472" s="13" t="n">
        <f aca="false">E470/E471</f>
        <v>5.17742854428504</v>
      </c>
      <c r="F472" s="13" t="n">
        <f aca="false">F470/F471</f>
        <v>6.14847280608966</v>
      </c>
      <c r="G472" s="13" t="n">
        <f aca="false">G470/G471</f>
        <v>7.14207469309381</v>
      </c>
    </row>
    <row r="473" customFormat="false" ht="17.15" hidden="false" customHeight="false" outlineLevel="0" collapsed="false">
      <c r="A473" s="5" t="s">
        <v>410</v>
      </c>
      <c r="B473" s="0" t="s">
        <v>41</v>
      </c>
      <c r="D473" s="20" t="n">
        <f aca="false">a26_rev*chn_sh26</f>
        <v>4073.8428</v>
      </c>
      <c r="E473" s="20" t="n">
        <f aca="false">E463*chn_sh26*(1-chn_cut*IF(2027=2027,0.5,1))</f>
        <v>5366.52441994268</v>
      </c>
      <c r="F473" s="20" t="n">
        <f aca="false">F463*chn_sh26*(1-chn_cut*IF(2028=2027,0.5,1))</f>
        <v>6163.13484905728</v>
      </c>
      <c r="G473" s="20" t="n">
        <f aca="false">G463*chn_sh26*(1-chn_cut*IF(2029=2027,0.5,1))</f>
        <v>6966.82896647238</v>
      </c>
      <c r="H473" s="5" t="s">
        <v>411</v>
      </c>
    </row>
    <row r="482" customFormat="false" ht="17.15" hidden="false" customHeight="false" outlineLevel="0" collapsed="false">
      <c r="A482" s="3" t="s">
        <v>708</v>
      </c>
    </row>
    <row r="483" customFormat="false" ht="17.15" hidden="false" customHeight="false" outlineLevel="0" collapsed="false">
      <c r="A483" s="6" t="s">
        <v>15</v>
      </c>
      <c r="B483" s="6" t="s">
        <v>16</v>
      </c>
      <c r="C483" s="14" t="s">
        <v>377</v>
      </c>
      <c r="D483" s="14" t="s">
        <v>378</v>
      </c>
      <c r="E483" s="14" t="s">
        <v>379</v>
      </c>
      <c r="F483" s="14" t="s">
        <v>380</v>
      </c>
      <c r="G483" s="14" t="s">
        <v>381</v>
      </c>
      <c r="H483" s="6" t="s">
        <v>306</v>
      </c>
    </row>
    <row r="484" customFormat="false" ht="17.15" hidden="false" customHeight="false" outlineLevel="0" collapsed="false">
      <c r="A484" s="1" t="s">
        <v>382</v>
      </c>
    </row>
    <row r="485" customFormat="false" ht="17.15" hidden="false" customHeight="false" outlineLevel="0" collapsed="false">
      <c r="A485" s="5" t="s">
        <v>383</v>
      </c>
      <c r="B485" s="0" t="s">
        <v>41</v>
      </c>
      <c r="C485" s="16" t="n">
        <f aca="false">(Units!C8+m_mem*Units!C11)*1000</f>
        <v>117874.05938505</v>
      </c>
      <c r="D485" s="16" t="n">
        <f aca="false">(Units!D8+m_mem*Units!D11)*1000</f>
        <v>157598.72745742</v>
      </c>
      <c r="E485" s="16" t="n">
        <f aca="false">(Units!E8+m_mem*Units!E11)*1000</f>
        <v>194734.950900524</v>
      </c>
      <c r="F485" s="16" t="n">
        <f aca="false">(Units!F8+m_mem*Units!F11)*1000</f>
        <v>218802.231022447</v>
      </c>
      <c r="G485" s="16" t="n">
        <f aca="false">(Units!G8+m_mem*Units!G11)*1000</f>
        <v>231172.69409247</v>
      </c>
      <c r="H485" s="5" t="s">
        <v>384</v>
      </c>
    </row>
    <row r="486" customFormat="false" ht="15" hidden="false" customHeight="false" outlineLevel="0" collapsed="false">
      <c r="A486" s="5" t="s">
        <v>385</v>
      </c>
      <c r="B486" s="0" t="s">
        <v>41</v>
      </c>
      <c r="C486" s="16" t="n">
        <f aca="false">Units!C12*1000</f>
        <v>3056.56934306569</v>
      </c>
      <c r="D486" s="16" t="n">
        <f aca="false">Units!D12*1000</f>
        <v>3350</v>
      </c>
      <c r="E486" s="16" t="n">
        <f aca="false">Units!E12*1000</f>
        <v>3795.39194286967</v>
      </c>
      <c r="F486" s="16" t="n">
        <f aca="false">Units!F12*1000</f>
        <v>4300</v>
      </c>
      <c r="G486" s="16" t="n">
        <f aca="false">Units!G12*1000</f>
        <v>4644</v>
      </c>
    </row>
    <row r="487" customFormat="false" ht="17.15" hidden="false" customHeight="false" outlineLevel="0" collapsed="false">
      <c r="A487" s="5" t="s">
        <v>386</v>
      </c>
      <c r="B487" s="0" t="s">
        <v>41</v>
      </c>
      <c r="D487" s="16" t="n">
        <f aca="false">h1_rev*(2+h2up)</f>
        <v>15559.8432</v>
      </c>
      <c r="H487" s="5" t="s">
        <v>387</v>
      </c>
    </row>
    <row r="488" customFormat="false" ht="17.15" hidden="false" customHeight="false" outlineLevel="0" collapsed="false">
      <c r="A488" s="5" t="s">
        <v>388</v>
      </c>
      <c r="B488" s="0" t="s">
        <v>41</v>
      </c>
      <c r="D488" s="16" t="n">
        <f aca="false">h1_svc*(2+g_svc_h2)</f>
        <v>3286.1223</v>
      </c>
    </row>
    <row r="489" customFormat="false" ht="17.15" hidden="false" customHeight="false" outlineLevel="0" collapsed="false">
      <c r="A489" s="0" t="s">
        <v>389</v>
      </c>
      <c r="B489" s="0" t="s">
        <v>41</v>
      </c>
      <c r="D489" s="16" t="n">
        <f aca="false">cy25_oth*(1+g_oth26)</f>
        <v>1528.965</v>
      </c>
    </row>
    <row r="490" customFormat="false" ht="17.15" hidden="false" customHeight="false" outlineLevel="0" collapsed="false">
      <c r="A490" s="5" t="s">
        <v>390</v>
      </c>
      <c r="B490" s="0" t="s">
        <v>41</v>
      </c>
      <c r="C490" s="16" t="n">
        <f aca="false">ap26/(1+ap_g26)</f>
        <v>647.058823529412</v>
      </c>
      <c r="D490" s="16" t="n">
        <f aca="false">ap26</f>
        <v>1100</v>
      </c>
      <c r="E490" s="16" t="n">
        <f aca="false">D490*(1+k_ap*(E486/D486-1))</f>
        <v>1392.49620128754</v>
      </c>
      <c r="F490" s="16" t="n">
        <f aca="false">E490*(1+k_ap*(F486/E486-1))</f>
        <v>1762.76879145476</v>
      </c>
      <c r="G490" s="16" t="n">
        <f aca="false">F490*(1+k_ap*(G486/F486-1))</f>
        <v>2044.81179808753</v>
      </c>
      <c r="H490" s="8" t="s">
        <v>391</v>
      </c>
    </row>
    <row r="491" customFormat="false" ht="17.15" hidden="false" customHeight="false" outlineLevel="0" collapsed="false">
      <c r="A491" s="5" t="s">
        <v>392</v>
      </c>
      <c r="B491" s="0" t="s">
        <v>41</v>
      </c>
      <c r="C491" s="16" t="n">
        <f aca="false">C493-C490</f>
        <v>7971.85117647059</v>
      </c>
      <c r="D491" s="16" t="n">
        <f aca="false">D493-D490</f>
        <v>9644.7559</v>
      </c>
      <c r="E491" s="16" t="n">
        <f aca="false">E492*E485</f>
        <v>12268.521584997</v>
      </c>
      <c r="F491" s="16" t="n">
        <f aca="false">F492*F485</f>
        <v>14190.8975186426</v>
      </c>
      <c r="G491" s="16" t="n">
        <f aca="false">G492*G485</f>
        <v>15434.9221703084</v>
      </c>
      <c r="H491" s="8" t="s">
        <v>393</v>
      </c>
    </row>
    <row r="492" customFormat="false" ht="17.15" hidden="false" customHeight="false" outlineLevel="0" collapsed="false">
      <c r="A492" s="5" t="s">
        <v>394</v>
      </c>
      <c r="B492" s="0" t="s">
        <v>26</v>
      </c>
      <c r="C492" s="21" t="n">
        <f aca="false">C491/C485</f>
        <v>0.0676302421250259</v>
      </c>
      <c r="D492" s="21" t="n">
        <f aca="false">D491/D485</f>
        <v>0.0611981838660836</v>
      </c>
      <c r="E492" s="21" t="n">
        <f aca="false">$D492*(1+pc_u)^1</f>
        <v>0.0630011280885271</v>
      </c>
      <c r="F492" s="21" t="n">
        <f aca="false">$D492*(1+pc_u)^2</f>
        <v>0.0648571883948786</v>
      </c>
      <c r="G492" s="21" t="n">
        <f aca="false">$D492*(1+pc_u)^3</f>
        <v>0.0667679296246569</v>
      </c>
      <c r="H492" s="8" t="s">
        <v>395</v>
      </c>
    </row>
    <row r="493" customFormat="false" ht="17.15" hidden="false" customHeight="false" outlineLevel="0" collapsed="false">
      <c r="A493" s="5" t="s">
        <v>396</v>
      </c>
      <c r="B493" s="0" t="s">
        <v>41</v>
      </c>
      <c r="C493" s="16" t="n">
        <f aca="false">cy25_sys</f>
        <v>8618.91</v>
      </c>
      <c r="D493" s="16" t="n">
        <f aca="false">D487-D488-D489</f>
        <v>10744.7559</v>
      </c>
      <c r="E493" s="16" t="n">
        <f aca="false">(E491+E490)*(1-chn_sh26*chn_cut)</f>
        <v>13661.0177862845</v>
      </c>
      <c r="F493" s="16" t="n">
        <f aca="false">(F491+F490)*(1-chn_sh26*chn_cut)</f>
        <v>15953.6663100973</v>
      </c>
      <c r="G493" s="16" t="n">
        <f aca="false">(G491+G490)*(1-chn_sh26*chn_cut)</f>
        <v>17479.7339683959</v>
      </c>
      <c r="H493" s="8" t="s">
        <v>397</v>
      </c>
    </row>
    <row r="494" customFormat="false" ht="17.15" hidden="false" customHeight="false" outlineLevel="0" collapsed="false">
      <c r="A494" s="5" t="s">
        <v>398</v>
      </c>
      <c r="B494" s="0" t="s">
        <v>26</v>
      </c>
      <c r="C494" s="10" t="n">
        <f aca="false">C492/kla_sh_pc</f>
        <v>0.116603865732803</v>
      </c>
      <c r="D494" s="10" t="n">
        <f aca="false">D492/kla_sh_pc</f>
        <v>0.105514110113937</v>
      </c>
      <c r="E494" s="10" t="n">
        <f aca="false">E492/kla_sh_pc</f>
        <v>0.108622634635392</v>
      </c>
      <c r="F494" s="10" t="n">
        <f aca="false">F492/kla_sh_pc</f>
        <v>0.11182273861186</v>
      </c>
      <c r="G494" s="10" t="n">
        <f aca="false">G492/kla_sh_pc</f>
        <v>0.115117120042512</v>
      </c>
      <c r="H494" s="8" t="s">
        <v>399</v>
      </c>
    </row>
    <row r="495" customFormat="false" ht="17.15" hidden="false" customHeight="false" outlineLevel="0" collapsed="false">
      <c r="A495" s="1" t="s">
        <v>400</v>
      </c>
    </row>
    <row r="496" customFormat="false" ht="17.15" hidden="false" customHeight="false" outlineLevel="0" collapsed="false">
      <c r="A496" s="5" t="s">
        <v>401</v>
      </c>
      <c r="B496" s="0" t="s">
        <v>41</v>
      </c>
      <c r="C496" s="16" t="n">
        <f aca="false">a25_sys</f>
        <v>8264.026</v>
      </c>
      <c r="D496" s="16" t="n">
        <f aca="false">a26_sys</f>
        <v>9119.058</v>
      </c>
      <c r="E496" s="16" t="n">
        <f aca="false">(D493-h1_sys)+0.5*E493</f>
        <v>12830.2277931423</v>
      </c>
      <c r="F496" s="16" t="n">
        <f aca="false">0.5*E493+0.5*F493</f>
        <v>14807.3420481909</v>
      </c>
      <c r="G496" s="16" t="n">
        <f aca="false">0.5*F493+0.5*G493</f>
        <v>16716.7001392466</v>
      </c>
      <c r="H496" s="8" t="s">
        <v>402</v>
      </c>
    </row>
    <row r="497" customFormat="false" ht="15" hidden="false" customHeight="false" outlineLevel="0" collapsed="false">
      <c r="A497" s="5" t="s">
        <v>254</v>
      </c>
      <c r="B497" s="0" t="s">
        <v>41</v>
      </c>
      <c r="C497" s="16" t="n">
        <f aca="false">a25_svc</f>
        <v>2683.308</v>
      </c>
      <c r="D497" s="16" t="n">
        <f aca="false">a26_svc</f>
        <v>3125.939</v>
      </c>
      <c r="E497" s="16" t="n">
        <f aca="false">D497*(1+g_svc_A)</f>
        <v>3563.57046</v>
      </c>
      <c r="F497" s="16" t="n">
        <f aca="false">E497*(1+g_svc_A)</f>
        <v>4062.4703244</v>
      </c>
      <c r="G497" s="16" t="n">
        <f aca="false">F497*(1+g_svc_A)</f>
        <v>4631.216169816</v>
      </c>
    </row>
    <row r="498" customFormat="false" ht="17.15" hidden="false" customHeight="false" outlineLevel="0" collapsed="false">
      <c r="A498" s="0" t="s">
        <v>403</v>
      </c>
      <c r="B498" s="0" t="s">
        <v>41</v>
      </c>
      <c r="C498" s="16" t="n">
        <f aca="false">a25_oth</f>
        <v>1208.828</v>
      </c>
      <c r="D498" s="16" t="n">
        <f aca="false">a26_oth</f>
        <v>1334.479</v>
      </c>
      <c r="E498" s="16" t="n">
        <f aca="false">D498*(1+g_oth_A)</f>
        <v>1494.61648</v>
      </c>
      <c r="F498" s="16" t="n">
        <f aca="false">E498*(1+g_oth_A)</f>
        <v>1673.9704576</v>
      </c>
      <c r="G498" s="16" t="n">
        <f aca="false">F498*(1+g_oth_A)</f>
        <v>1874.846912512</v>
      </c>
    </row>
    <row r="499" customFormat="false" ht="17.15" hidden="false" customHeight="false" outlineLevel="0" collapsed="false">
      <c r="A499" s="5" t="s">
        <v>248</v>
      </c>
      <c r="B499" s="0" t="s">
        <v>41</v>
      </c>
      <c r="C499" s="16" t="n">
        <f aca="false">C496+C497+C498</f>
        <v>12156.162</v>
      </c>
      <c r="D499" s="16" t="n">
        <f aca="false">D496+D497+D498</f>
        <v>13579.476</v>
      </c>
      <c r="E499" s="16" t="n">
        <f aca="false">E496+E497+E498</f>
        <v>17888.4147331423</v>
      </c>
      <c r="F499" s="16" t="n">
        <f aca="false">F496+F497+F498</f>
        <v>20543.7828301909</v>
      </c>
      <c r="G499" s="16" t="n">
        <f aca="false">G496+G497+G498</f>
        <v>23222.7632215746</v>
      </c>
      <c r="H499" s="8" t="s">
        <v>404</v>
      </c>
    </row>
    <row r="500" customFormat="false" ht="17.15" hidden="false" customHeight="false" outlineLevel="0" collapsed="false">
      <c r="A500" s="5" t="s">
        <v>267</v>
      </c>
      <c r="B500" s="0" t="s">
        <v>41</v>
      </c>
      <c r="C500" s="16" t="n">
        <f aca="false">a25_gp</f>
        <v>7404.295</v>
      </c>
      <c r="D500" s="16" t="n">
        <f aca="false">a26_gp</f>
        <v>8324.416</v>
      </c>
      <c r="E500" s="16" t="n">
        <f aca="false">a26_gp+gm_inc_hi*(E499-a26_rev)</f>
        <v>11125.2261765425</v>
      </c>
      <c r="F500" s="16" t="n">
        <f aca="false">a26_gp+gm_inc_hi*(F499-a26_rev)</f>
        <v>12851.2154396241</v>
      </c>
      <c r="G500" s="16" t="n">
        <f aca="false">a26_gp+gm_inc_hi*(G499-a26_rev)</f>
        <v>14592.5526940235</v>
      </c>
      <c r="H500" s="8" t="s">
        <v>405</v>
      </c>
    </row>
    <row r="501" customFormat="false" ht="15" hidden="false" customHeight="false" outlineLevel="0" collapsed="false">
      <c r="A501" s="5" t="s">
        <v>363</v>
      </c>
      <c r="B501" s="0" t="s">
        <v>26</v>
      </c>
      <c r="C501" s="10" t="n">
        <f aca="false">C500/C499</f>
        <v>0.609098085398994</v>
      </c>
      <c r="D501" s="10" t="n">
        <f aca="false">D500/D499</f>
        <v>0.613014522798965</v>
      </c>
      <c r="E501" s="10" t="n">
        <f aca="false">E500/E499</f>
        <v>0.621923537804081</v>
      </c>
      <c r="F501" s="10" t="n">
        <f aca="false">F500/F499</f>
        <v>0.625552535569939</v>
      </c>
      <c r="G501" s="10" t="n">
        <f aca="false">G500/G499</f>
        <v>0.628372797620681</v>
      </c>
    </row>
    <row r="502" customFormat="false" ht="15" hidden="false" customHeight="false" outlineLevel="0" collapsed="false">
      <c r="A502" s="5" t="s">
        <v>406</v>
      </c>
      <c r="B502" s="0" t="s">
        <v>41</v>
      </c>
      <c r="C502" s="16" t="n">
        <f aca="false">a25_opx</f>
        <v>2390.068</v>
      </c>
      <c r="D502" s="16" t="n">
        <f aca="false">a26_opx</f>
        <v>2663.636</v>
      </c>
      <c r="E502" s="16" t="n">
        <f aca="false">opex27</f>
        <v>2865</v>
      </c>
      <c r="F502" s="16" t="n">
        <f aca="false">E502*(1+g_opex_A)</f>
        <v>3094.2</v>
      </c>
      <c r="G502" s="16" t="n">
        <f aca="false">F502*(1+g_opex_A)</f>
        <v>3341.736</v>
      </c>
    </row>
    <row r="503" customFormat="false" ht="17.15" hidden="false" customHeight="false" outlineLevel="0" collapsed="false">
      <c r="A503" s="5" t="s">
        <v>364</v>
      </c>
      <c r="B503" s="0" t="s">
        <v>41</v>
      </c>
      <c r="C503" s="16" t="n">
        <f aca="false">a25_oi</f>
        <v>4775.127</v>
      </c>
      <c r="D503" s="16" t="n">
        <f aca="false">D500-D502</f>
        <v>5660.78</v>
      </c>
      <c r="E503" s="16" t="n">
        <f aca="false">E500-E502</f>
        <v>8260.22617654247</v>
      </c>
      <c r="F503" s="16" t="n">
        <f aca="false">F500-F502</f>
        <v>9757.0154396241</v>
      </c>
      <c r="G503" s="16" t="n">
        <f aca="false">G500-G502</f>
        <v>11250.8166940235</v>
      </c>
      <c r="H503" s="8" t="s">
        <v>407</v>
      </c>
    </row>
    <row r="504" customFormat="false" ht="15" hidden="false" customHeight="false" outlineLevel="0" collapsed="false">
      <c r="A504" s="5" t="s">
        <v>365</v>
      </c>
      <c r="B504" s="0" t="s">
        <v>26</v>
      </c>
      <c r="C504" s="10" t="n">
        <f aca="false">C503/C499</f>
        <v>0.392815347475626</v>
      </c>
      <c r="D504" s="10" t="n">
        <f aca="false">D503/D499</f>
        <v>0.416862918716451</v>
      </c>
      <c r="E504" s="10" t="n">
        <f aca="false">E503/E499</f>
        <v>0.46176401317656</v>
      </c>
      <c r="F504" s="10" t="n">
        <f aca="false">F503/F499</f>
        <v>0.474937625668691</v>
      </c>
      <c r="G504" s="10" t="n">
        <f aca="false">G503/G499</f>
        <v>0.484473642807983</v>
      </c>
    </row>
    <row r="505" customFormat="false" ht="15" hidden="false" customHeight="false" outlineLevel="0" collapsed="false">
      <c r="A505" s="5" t="s">
        <v>408</v>
      </c>
      <c r="B505" s="0" t="s">
        <v>41</v>
      </c>
      <c r="C505" s="16" t="n">
        <f aca="false">a25_nonop</f>
        <v>-130.679</v>
      </c>
      <c r="D505" s="16" t="n">
        <f aca="false">a26_nonop</f>
        <v>-54.855</v>
      </c>
      <c r="E505" s="16" t="n">
        <f aca="false">oth_exp</f>
        <v>-100</v>
      </c>
      <c r="F505" s="16" t="n">
        <f aca="false">oth_exp</f>
        <v>-100</v>
      </c>
      <c r="G505" s="16" t="n">
        <f aca="false">oth_exp</f>
        <v>-100</v>
      </c>
    </row>
    <row r="506" customFormat="false" ht="15" hidden="false" customHeight="false" outlineLevel="0" collapsed="false">
      <c r="A506" s="5" t="s">
        <v>366</v>
      </c>
      <c r="B506" s="0" t="s">
        <v>41</v>
      </c>
      <c r="C506" s="16" t="n">
        <f aca="false">a25_ni</f>
        <v>4061.643</v>
      </c>
      <c r="D506" s="16" t="n">
        <f aca="false">a26_ni</f>
        <v>4830.771</v>
      </c>
      <c r="E506" s="16" t="n">
        <f aca="false">(E503+E505)*(1-tax)</f>
        <v>6976.99338094381</v>
      </c>
      <c r="F506" s="16" t="n">
        <f aca="false">(F503+F505)*(1-tax)</f>
        <v>8256.74820087861</v>
      </c>
      <c r="G506" s="16" t="n">
        <f aca="false">(G503+G505)*(1-tax)</f>
        <v>9533.94827339009</v>
      </c>
    </row>
    <row r="507" customFormat="false" ht="15" hidden="false" customHeight="false" outlineLevel="0" collapsed="false">
      <c r="A507" s="5" t="s">
        <v>409</v>
      </c>
      <c r="B507" s="5" t="s">
        <v>151</v>
      </c>
      <c r="C507" s="16" t="n">
        <f aca="false">a25_sh</f>
        <v>1337.502</v>
      </c>
      <c r="D507" s="16" t="n">
        <f aca="false">a26_sh</f>
        <v>1319.633</v>
      </c>
      <c r="E507" s="16" t="n">
        <f aca="false">shares27</f>
        <v>1312</v>
      </c>
      <c r="F507" s="16" t="n">
        <f aca="false">E507*(1-bb)</f>
        <v>1294.47170621053</v>
      </c>
      <c r="G507" s="16" t="n">
        <f aca="false">F507*(1-bb)</f>
        <v>1277.17759007592</v>
      </c>
    </row>
    <row r="508" customFormat="false" ht="17.15" hidden="false" customHeight="false" outlineLevel="0" collapsed="false">
      <c r="A508" s="0" t="s">
        <v>367</v>
      </c>
      <c r="B508" s="0" t="s">
        <v>169</v>
      </c>
      <c r="C508" s="13" t="n">
        <f aca="false">a25_eps</f>
        <v>3.04</v>
      </c>
      <c r="D508" s="13" t="n">
        <f aca="false">a26_eps</f>
        <v>3.66</v>
      </c>
      <c r="E508" s="13" t="n">
        <f aca="false">E506/E507</f>
        <v>5.31783032084132</v>
      </c>
      <c r="F508" s="13" t="n">
        <f aca="false">F506/F507</f>
        <v>6.37846942599434</v>
      </c>
      <c r="G508" s="13" t="n">
        <f aca="false">G506/G507</f>
        <v>7.46485715649251</v>
      </c>
    </row>
    <row r="509" customFormat="false" ht="17.15" hidden="false" customHeight="false" outlineLevel="0" collapsed="false">
      <c r="A509" s="5" t="s">
        <v>410</v>
      </c>
      <c r="B509" s="0" t="s">
        <v>41</v>
      </c>
      <c r="D509" s="20" t="n">
        <f aca="false">a26_rev*chn_sh26</f>
        <v>4073.8428</v>
      </c>
      <c r="E509" s="20" t="n">
        <f aca="false">E499*chn_sh26*(1-chn_cut*IF(2027=2027,0.5,1))</f>
        <v>5366.52441994268</v>
      </c>
      <c r="F509" s="20" t="n">
        <f aca="false">F499*chn_sh26*(1-chn_cut*IF(2028=2027,0.5,1))</f>
        <v>6163.13484905728</v>
      </c>
      <c r="G509" s="20" t="n">
        <f aca="false">G499*chn_sh26*(1-chn_cut*IF(2029=2027,0.5,1))</f>
        <v>6966.82896647238</v>
      </c>
      <c r="H509" s="5" t="s">
        <v>411</v>
      </c>
    </row>
    <row r="518" customFormat="false" ht="17.15" hidden="false" customHeight="false" outlineLevel="0" collapsed="false">
      <c r="A518" s="3" t="s">
        <v>709</v>
      </c>
    </row>
    <row r="519" customFormat="false" ht="17.15" hidden="false" customHeight="false" outlineLevel="0" collapsed="false">
      <c r="A519" s="6" t="s">
        <v>15</v>
      </c>
      <c r="B519" s="6" t="s">
        <v>16</v>
      </c>
      <c r="C519" s="14" t="s">
        <v>377</v>
      </c>
      <c r="D519" s="14" t="s">
        <v>378</v>
      </c>
      <c r="E519" s="14" t="s">
        <v>379</v>
      </c>
      <c r="F519" s="14" t="s">
        <v>380</v>
      </c>
      <c r="G519" s="14" t="s">
        <v>381</v>
      </c>
      <c r="H519" s="6" t="s">
        <v>306</v>
      </c>
    </row>
    <row r="520" customFormat="false" ht="17.15" hidden="false" customHeight="false" outlineLevel="0" collapsed="false">
      <c r="A520" s="1" t="s">
        <v>382</v>
      </c>
    </row>
    <row r="521" customFormat="false" ht="17.15" hidden="false" customHeight="false" outlineLevel="0" collapsed="false">
      <c r="A521" s="5" t="s">
        <v>383</v>
      </c>
      <c r="B521" s="0" t="s">
        <v>41</v>
      </c>
      <c r="C521" s="16" t="n">
        <f aca="false">(Units!C8+m_mem*Units!C11)*1000</f>
        <v>117874.05938505</v>
      </c>
      <c r="D521" s="16" t="n">
        <f aca="false">(Units!D8+m_mem*Units!D11)*1000</f>
        <v>157598.72745742</v>
      </c>
      <c r="E521" s="16" t="n">
        <f aca="false">(Units!E8+m_mem*Units!E11)*1000</f>
        <v>194734.950900524</v>
      </c>
      <c r="F521" s="16" t="n">
        <f aca="false">(Units!F8+m_mem*Units!F11)*1000</f>
        <v>218802.231022447</v>
      </c>
      <c r="G521" s="16" t="n">
        <f aca="false">(Units!G8+m_mem*Units!G11)*1000</f>
        <v>231172.69409247</v>
      </c>
      <c r="H521" s="5" t="s">
        <v>384</v>
      </c>
    </row>
    <row r="522" customFormat="false" ht="15" hidden="false" customHeight="false" outlineLevel="0" collapsed="false">
      <c r="A522" s="5" t="s">
        <v>385</v>
      </c>
      <c r="B522" s="0" t="s">
        <v>41</v>
      </c>
      <c r="C522" s="16" t="n">
        <f aca="false">Units!C12*1000</f>
        <v>3056.56934306569</v>
      </c>
      <c r="D522" s="16" t="n">
        <f aca="false">Units!D12*1000</f>
        <v>3350</v>
      </c>
      <c r="E522" s="16" t="n">
        <f aca="false">Units!E12*1000</f>
        <v>3795.39194286967</v>
      </c>
      <c r="F522" s="16" t="n">
        <f aca="false">Units!F12*1000</f>
        <v>4300</v>
      </c>
      <c r="G522" s="16" t="n">
        <f aca="false">Units!G12*1000</f>
        <v>4644</v>
      </c>
    </row>
    <row r="523" customFormat="false" ht="17.15" hidden="false" customHeight="false" outlineLevel="0" collapsed="false">
      <c r="A523" s="5" t="s">
        <v>386</v>
      </c>
      <c r="B523" s="0" t="s">
        <v>41</v>
      </c>
      <c r="D523" s="16" t="n">
        <f aca="false">h1_rev*(2+h2up)</f>
        <v>15559.8432</v>
      </c>
      <c r="H523" s="5" t="s">
        <v>387</v>
      </c>
    </row>
    <row r="524" customFormat="false" ht="17.15" hidden="false" customHeight="false" outlineLevel="0" collapsed="false">
      <c r="A524" s="5" t="s">
        <v>388</v>
      </c>
      <c r="B524" s="0" t="s">
        <v>41</v>
      </c>
      <c r="D524" s="16" t="n">
        <f aca="false">h1_svc*(2+g_svc_h2)</f>
        <v>3286.1223</v>
      </c>
    </row>
    <row r="525" customFormat="false" ht="17.15" hidden="false" customHeight="false" outlineLevel="0" collapsed="false">
      <c r="A525" s="0" t="s">
        <v>389</v>
      </c>
      <c r="B525" s="0" t="s">
        <v>41</v>
      </c>
      <c r="D525" s="16" t="n">
        <f aca="false">cy25_oth*(1+g_oth26)</f>
        <v>1528.965</v>
      </c>
    </row>
    <row r="526" customFormat="false" ht="17.15" hidden="false" customHeight="false" outlineLevel="0" collapsed="false">
      <c r="A526" s="5" t="s">
        <v>390</v>
      </c>
      <c r="B526" s="0" t="s">
        <v>41</v>
      </c>
      <c r="C526" s="16" t="n">
        <f aca="false">ap26/(1+ap_g26)</f>
        <v>647.058823529412</v>
      </c>
      <c r="D526" s="16" t="n">
        <f aca="false">ap26</f>
        <v>1100</v>
      </c>
      <c r="E526" s="16" t="n">
        <f aca="false">D526*(1+k_ap*(E522/D522-1))</f>
        <v>1392.49620128754</v>
      </c>
      <c r="F526" s="16" t="n">
        <f aca="false">E526*(1+k_ap*(F522/E522-1))</f>
        <v>1762.76879145476</v>
      </c>
      <c r="G526" s="16" t="n">
        <f aca="false">F526*(1+k_ap*(G522/F522-1))</f>
        <v>2044.81179808753</v>
      </c>
      <c r="H526" s="8" t="s">
        <v>391</v>
      </c>
    </row>
    <row r="527" customFormat="false" ht="17.15" hidden="false" customHeight="false" outlineLevel="0" collapsed="false">
      <c r="A527" s="5" t="s">
        <v>392</v>
      </c>
      <c r="B527" s="0" t="s">
        <v>41</v>
      </c>
      <c r="C527" s="16" t="n">
        <f aca="false">C529-C526</f>
        <v>7971.85117647059</v>
      </c>
      <c r="D527" s="16" t="n">
        <f aca="false">D529-D526</f>
        <v>9644.7559</v>
      </c>
      <c r="E527" s="16" t="n">
        <f aca="false">E528*E521</f>
        <v>12268.521584997</v>
      </c>
      <c r="F527" s="16" t="n">
        <f aca="false">F528*F521</f>
        <v>14190.8975186426</v>
      </c>
      <c r="G527" s="16" t="n">
        <f aca="false">G528*G521</f>
        <v>15434.9221703084</v>
      </c>
      <c r="H527" s="8" t="s">
        <v>393</v>
      </c>
    </row>
    <row r="528" customFormat="false" ht="17.15" hidden="false" customHeight="false" outlineLevel="0" collapsed="false">
      <c r="A528" s="5" t="s">
        <v>394</v>
      </c>
      <c r="B528" s="0" t="s">
        <v>26</v>
      </c>
      <c r="C528" s="21" t="n">
        <f aca="false">C527/C521</f>
        <v>0.0676302421250259</v>
      </c>
      <c r="D528" s="21" t="n">
        <f aca="false">D527/D521</f>
        <v>0.0611981838660836</v>
      </c>
      <c r="E528" s="21" t="n">
        <f aca="false">$D528*(1+pc_u)^1</f>
        <v>0.0630011280885271</v>
      </c>
      <c r="F528" s="21" t="n">
        <f aca="false">$D528*(1+pc_u)^2</f>
        <v>0.0648571883948786</v>
      </c>
      <c r="G528" s="21" t="n">
        <f aca="false">$D528*(1+pc_u)^3</f>
        <v>0.0667679296246569</v>
      </c>
      <c r="H528" s="8" t="s">
        <v>395</v>
      </c>
    </row>
    <row r="529" customFormat="false" ht="17.15" hidden="false" customHeight="false" outlineLevel="0" collapsed="false">
      <c r="A529" s="5" t="s">
        <v>396</v>
      </c>
      <c r="B529" s="0" t="s">
        <v>41</v>
      </c>
      <c r="C529" s="16" t="n">
        <f aca="false">cy25_sys</f>
        <v>8618.91</v>
      </c>
      <c r="D529" s="16" t="n">
        <f aca="false">D523-D524-D525</f>
        <v>10744.7559</v>
      </c>
      <c r="E529" s="16" t="n">
        <f aca="false">(E527+E526)*(1-chn_sh26*chn_cut)</f>
        <v>13661.0177862845</v>
      </c>
      <c r="F529" s="16" t="n">
        <f aca="false">(F527+F526)*(1-chn_sh26*chn_cut)</f>
        <v>15953.6663100973</v>
      </c>
      <c r="G529" s="16" t="n">
        <f aca="false">(G527+G526)*(1-chn_sh26*chn_cut)</f>
        <v>17479.7339683959</v>
      </c>
      <c r="H529" s="8" t="s">
        <v>397</v>
      </c>
    </row>
    <row r="530" customFormat="false" ht="17.15" hidden="false" customHeight="false" outlineLevel="0" collapsed="false">
      <c r="A530" s="5" t="s">
        <v>398</v>
      </c>
      <c r="B530" s="0" t="s">
        <v>26</v>
      </c>
      <c r="C530" s="10" t="n">
        <f aca="false">C528/kla_sh_pc</f>
        <v>0.116603865732803</v>
      </c>
      <c r="D530" s="10" t="n">
        <f aca="false">D528/kla_sh_pc</f>
        <v>0.105514110113937</v>
      </c>
      <c r="E530" s="10" t="n">
        <f aca="false">E528/kla_sh_pc</f>
        <v>0.108622634635392</v>
      </c>
      <c r="F530" s="10" t="n">
        <f aca="false">F528/kla_sh_pc</f>
        <v>0.11182273861186</v>
      </c>
      <c r="G530" s="10" t="n">
        <f aca="false">G528/kla_sh_pc</f>
        <v>0.115117120042512</v>
      </c>
      <c r="H530" s="8" t="s">
        <v>399</v>
      </c>
    </row>
    <row r="531" customFormat="false" ht="17.15" hidden="false" customHeight="false" outlineLevel="0" collapsed="false">
      <c r="A531" s="1" t="s">
        <v>400</v>
      </c>
    </row>
    <row r="532" customFormat="false" ht="17.15" hidden="false" customHeight="false" outlineLevel="0" collapsed="false">
      <c r="A532" s="5" t="s">
        <v>401</v>
      </c>
      <c r="B532" s="0" t="s">
        <v>41</v>
      </c>
      <c r="C532" s="16" t="n">
        <f aca="false">a25_sys</f>
        <v>8264.026</v>
      </c>
      <c r="D532" s="16" t="n">
        <f aca="false">a26_sys</f>
        <v>9119.058</v>
      </c>
      <c r="E532" s="16" t="n">
        <f aca="false">(D529-h1_sys)+0.5*E529</f>
        <v>12830.2277931423</v>
      </c>
      <c r="F532" s="16" t="n">
        <f aca="false">0.5*E529+0.5*F529</f>
        <v>14807.3420481909</v>
      </c>
      <c r="G532" s="16" t="n">
        <f aca="false">0.5*F529+0.5*G529</f>
        <v>16716.7001392466</v>
      </c>
      <c r="H532" s="8" t="s">
        <v>402</v>
      </c>
    </row>
    <row r="533" customFormat="false" ht="15" hidden="false" customHeight="false" outlineLevel="0" collapsed="false">
      <c r="A533" s="5" t="s">
        <v>254</v>
      </c>
      <c r="B533" s="0" t="s">
        <v>41</v>
      </c>
      <c r="C533" s="16" t="n">
        <f aca="false">a25_svc</f>
        <v>2683.308</v>
      </c>
      <c r="D533" s="16" t="n">
        <f aca="false">a26_svc</f>
        <v>3125.939</v>
      </c>
      <c r="E533" s="16" t="n">
        <f aca="false">D533*(1+g_svc_A)</f>
        <v>3563.57046</v>
      </c>
      <c r="F533" s="16" t="n">
        <f aca="false">E533*(1+g_svc_A)</f>
        <v>4062.4703244</v>
      </c>
      <c r="G533" s="16" t="n">
        <f aca="false">F533*(1+g_svc_A)</f>
        <v>4631.216169816</v>
      </c>
    </row>
    <row r="534" customFormat="false" ht="17.15" hidden="false" customHeight="false" outlineLevel="0" collapsed="false">
      <c r="A534" s="0" t="s">
        <v>403</v>
      </c>
      <c r="B534" s="0" t="s">
        <v>41</v>
      </c>
      <c r="C534" s="16" t="n">
        <f aca="false">a25_oth</f>
        <v>1208.828</v>
      </c>
      <c r="D534" s="16" t="n">
        <f aca="false">a26_oth</f>
        <v>1334.479</v>
      </c>
      <c r="E534" s="16" t="n">
        <f aca="false">D534*(1+g_oth_A)</f>
        <v>1494.61648</v>
      </c>
      <c r="F534" s="16" t="n">
        <f aca="false">E534*(1+g_oth_A)</f>
        <v>1673.9704576</v>
      </c>
      <c r="G534" s="16" t="n">
        <f aca="false">F534*(1+g_oth_A)</f>
        <v>1874.846912512</v>
      </c>
    </row>
    <row r="535" customFormat="false" ht="17.15" hidden="false" customHeight="false" outlineLevel="0" collapsed="false">
      <c r="A535" s="5" t="s">
        <v>248</v>
      </c>
      <c r="B535" s="0" t="s">
        <v>41</v>
      </c>
      <c r="C535" s="16" t="n">
        <f aca="false">C532+C533+C534</f>
        <v>12156.162</v>
      </c>
      <c r="D535" s="16" t="n">
        <f aca="false">D532+D533+D534</f>
        <v>13579.476</v>
      </c>
      <c r="E535" s="16" t="n">
        <f aca="false">E532+E533+E534</f>
        <v>17888.4147331423</v>
      </c>
      <c r="F535" s="16" t="n">
        <f aca="false">F532+F533+F534</f>
        <v>20543.7828301909</v>
      </c>
      <c r="G535" s="16" t="n">
        <f aca="false">G532+G533+G534</f>
        <v>23222.7632215746</v>
      </c>
      <c r="H535" s="8" t="s">
        <v>404</v>
      </c>
    </row>
    <row r="536" customFormat="false" ht="17.15" hidden="false" customHeight="false" outlineLevel="0" collapsed="false">
      <c r="A536" s="5" t="s">
        <v>267</v>
      </c>
      <c r="B536" s="0" t="s">
        <v>41</v>
      </c>
      <c r="C536" s="16" t="n">
        <f aca="false">a25_gp</f>
        <v>7404.295</v>
      </c>
      <c r="D536" s="16" t="n">
        <f aca="false">a26_gp</f>
        <v>8324.416</v>
      </c>
      <c r="E536" s="16" t="n">
        <f aca="false">a26_gp+gm_inc*(E535-a26_rev)</f>
        <v>11109.988976924</v>
      </c>
      <c r="F536" s="16" t="n">
        <f aca="false">a26_gp+gm_inc*(F535-a26_rev)</f>
        <v>12826.5883701882</v>
      </c>
      <c r="G536" s="16" t="n">
        <f aca="false">a26_gp+gm_inc*(G535-a26_rev)</f>
        <v>14558.452257356</v>
      </c>
      <c r="H536" s="8" t="s">
        <v>405</v>
      </c>
    </row>
    <row r="537" customFormat="false" ht="15" hidden="false" customHeight="false" outlineLevel="0" collapsed="false">
      <c r="A537" s="5" t="s">
        <v>363</v>
      </c>
      <c r="B537" s="0" t="s">
        <v>26</v>
      </c>
      <c r="C537" s="10" t="n">
        <f aca="false">C536/C535</f>
        <v>0.609098085398994</v>
      </c>
      <c r="D537" s="10" t="n">
        <f aca="false">D536/D535</f>
        <v>0.613014522798965</v>
      </c>
      <c r="E537" s="10" t="n">
        <f aca="false">E536/E535</f>
        <v>0.621071746304063</v>
      </c>
      <c r="F537" s="10" t="n">
        <f aca="false">F536/F535</f>
        <v>0.624353775359153</v>
      </c>
      <c r="G537" s="10" t="n">
        <f aca="false">G536/G535</f>
        <v>0.62690439197308</v>
      </c>
    </row>
    <row r="538" customFormat="false" ht="15" hidden="false" customHeight="false" outlineLevel="0" collapsed="false">
      <c r="A538" s="5" t="s">
        <v>406</v>
      </c>
      <c r="B538" s="0" t="s">
        <v>41</v>
      </c>
      <c r="C538" s="16" t="n">
        <f aca="false">a25_opx</f>
        <v>2390.068</v>
      </c>
      <c r="D538" s="16" t="n">
        <f aca="false">a26_opx</f>
        <v>2663.636</v>
      </c>
      <c r="E538" s="16" t="n">
        <f aca="false">opex27</f>
        <v>2865</v>
      </c>
      <c r="F538" s="16" t="n">
        <f aca="false">E538*(1+g_opex_A_lo)</f>
        <v>3008.25</v>
      </c>
      <c r="G538" s="16" t="n">
        <f aca="false">F538*(1+g_opex_A_lo)</f>
        <v>3158.6625</v>
      </c>
    </row>
    <row r="539" customFormat="false" ht="17.15" hidden="false" customHeight="false" outlineLevel="0" collapsed="false">
      <c r="A539" s="5" t="s">
        <v>364</v>
      </c>
      <c r="B539" s="0" t="s">
        <v>41</v>
      </c>
      <c r="C539" s="16" t="n">
        <f aca="false">a25_oi</f>
        <v>4775.127</v>
      </c>
      <c r="D539" s="16" t="n">
        <f aca="false">D536-D538</f>
        <v>5660.78</v>
      </c>
      <c r="E539" s="16" t="n">
        <f aca="false">E536-E538</f>
        <v>8244.98897692399</v>
      </c>
      <c r="F539" s="16" t="n">
        <f aca="false">F536-F538</f>
        <v>9818.33837018825</v>
      </c>
      <c r="G539" s="16" t="n">
        <f aca="false">G536-G538</f>
        <v>11399.789757356</v>
      </c>
      <c r="H539" s="8" t="s">
        <v>407</v>
      </c>
    </row>
    <row r="540" customFormat="false" ht="15" hidden="false" customHeight="false" outlineLevel="0" collapsed="false">
      <c r="A540" s="5" t="s">
        <v>365</v>
      </c>
      <c r="B540" s="0" t="s">
        <v>26</v>
      </c>
      <c r="C540" s="10" t="n">
        <f aca="false">C539/C535</f>
        <v>0.392815347475626</v>
      </c>
      <c r="D540" s="10" t="n">
        <f aca="false">D539/D535</f>
        <v>0.416862918716451</v>
      </c>
      <c r="E540" s="10" t="n">
        <f aca="false">E539/E535</f>
        <v>0.460912221676542</v>
      </c>
      <c r="F540" s="10" t="n">
        <f aca="false">F539/F535</f>
        <v>0.477922612955162</v>
      </c>
      <c r="G540" s="10" t="n">
        <f aca="false">G539/G535</f>
        <v>0.49088860135151</v>
      </c>
    </row>
    <row r="541" customFormat="false" ht="15" hidden="false" customHeight="false" outlineLevel="0" collapsed="false">
      <c r="A541" s="5" t="s">
        <v>408</v>
      </c>
      <c r="B541" s="0" t="s">
        <v>41</v>
      </c>
      <c r="C541" s="16" t="n">
        <f aca="false">a25_nonop</f>
        <v>-130.679</v>
      </c>
      <c r="D541" s="16" t="n">
        <f aca="false">a26_nonop</f>
        <v>-54.855</v>
      </c>
      <c r="E541" s="16" t="n">
        <f aca="false">oth_exp</f>
        <v>-100</v>
      </c>
      <c r="F541" s="16" t="n">
        <f aca="false">oth_exp</f>
        <v>-100</v>
      </c>
      <c r="G541" s="16" t="n">
        <f aca="false">oth_exp</f>
        <v>-100</v>
      </c>
    </row>
    <row r="542" customFormat="false" ht="15" hidden="false" customHeight="false" outlineLevel="0" collapsed="false">
      <c r="A542" s="5" t="s">
        <v>366</v>
      </c>
      <c r="B542" s="0" t="s">
        <v>41</v>
      </c>
      <c r="C542" s="16" t="n">
        <f aca="false">a25_ni</f>
        <v>4061.643</v>
      </c>
      <c r="D542" s="16" t="n">
        <f aca="false">a26_ni</f>
        <v>4830.771</v>
      </c>
      <c r="E542" s="16" t="n">
        <f aca="false">(E539+E541)*(1-tax)</f>
        <v>6963.96557527001</v>
      </c>
      <c r="F542" s="16" t="n">
        <f aca="false">(F539+F541)*(1-tax)</f>
        <v>8309.17930651095</v>
      </c>
      <c r="G542" s="16" t="n">
        <f aca="false">(G539+G541)*(1-tax)</f>
        <v>9661.32024253942</v>
      </c>
    </row>
    <row r="543" customFormat="false" ht="15" hidden="false" customHeight="false" outlineLevel="0" collapsed="false">
      <c r="A543" s="5" t="s">
        <v>409</v>
      </c>
      <c r="B543" s="5" t="s">
        <v>151</v>
      </c>
      <c r="C543" s="16" t="n">
        <f aca="false">a25_sh</f>
        <v>1337.502</v>
      </c>
      <c r="D543" s="16" t="n">
        <f aca="false">a26_sh</f>
        <v>1319.633</v>
      </c>
      <c r="E543" s="16" t="n">
        <f aca="false">shares27</f>
        <v>1312</v>
      </c>
      <c r="F543" s="16" t="n">
        <f aca="false">E543*(1-bb)</f>
        <v>1294.47170621053</v>
      </c>
      <c r="G543" s="16" t="n">
        <f aca="false">F543*(1-bb)</f>
        <v>1277.17759007592</v>
      </c>
    </row>
    <row r="544" customFormat="false" ht="17.15" hidden="false" customHeight="false" outlineLevel="0" collapsed="false">
      <c r="A544" s="0" t="s">
        <v>367</v>
      </c>
      <c r="B544" s="0" t="s">
        <v>169</v>
      </c>
      <c r="C544" s="13" t="n">
        <f aca="false">a25_eps</f>
        <v>3.04</v>
      </c>
      <c r="D544" s="13" t="n">
        <f aca="false">a26_eps</f>
        <v>3.66</v>
      </c>
      <c r="E544" s="13" t="n">
        <f aca="false">E542/E543</f>
        <v>5.30790059090702</v>
      </c>
      <c r="F544" s="13" t="n">
        <f aca="false">F542/F543</f>
        <v>6.41897328975651</v>
      </c>
      <c r="G544" s="13" t="n">
        <f aca="false">G542/G543</f>
        <v>7.5645864111702</v>
      </c>
    </row>
    <row r="545" customFormat="false" ht="17.15" hidden="false" customHeight="false" outlineLevel="0" collapsed="false">
      <c r="A545" s="5" t="s">
        <v>410</v>
      </c>
      <c r="B545" s="0" t="s">
        <v>41</v>
      </c>
      <c r="D545" s="20" t="n">
        <f aca="false">a26_rev*chn_sh26</f>
        <v>4073.8428</v>
      </c>
      <c r="E545" s="20" t="n">
        <f aca="false">E535*chn_sh26*(1-chn_cut*IF(2027=2027,0.5,1))</f>
        <v>5366.52441994268</v>
      </c>
      <c r="F545" s="20" t="n">
        <f aca="false">F535*chn_sh26*(1-chn_cut*IF(2028=2027,0.5,1))</f>
        <v>6163.13484905728</v>
      </c>
      <c r="G545" s="20" t="n">
        <f aca="false">G535*chn_sh26*(1-chn_cut*IF(2029=2027,0.5,1))</f>
        <v>6966.82896647238</v>
      </c>
      <c r="H545" s="5" t="s">
        <v>411</v>
      </c>
    </row>
    <row r="554" customFormat="false" ht="17.15" hidden="false" customHeight="false" outlineLevel="0" collapsed="false">
      <c r="A554" s="3" t="s">
        <v>710</v>
      </c>
    </row>
    <row r="555" customFormat="false" ht="17.15" hidden="false" customHeight="false" outlineLevel="0" collapsed="false">
      <c r="A555" s="6" t="s">
        <v>15</v>
      </c>
      <c r="B555" s="6" t="s">
        <v>16</v>
      </c>
      <c r="C555" s="14" t="s">
        <v>377</v>
      </c>
      <c r="D555" s="14" t="s">
        <v>378</v>
      </c>
      <c r="E555" s="14" t="s">
        <v>379</v>
      </c>
      <c r="F555" s="14" t="s">
        <v>380</v>
      </c>
      <c r="G555" s="14" t="s">
        <v>381</v>
      </c>
      <c r="H555" s="6" t="s">
        <v>306</v>
      </c>
    </row>
    <row r="556" customFormat="false" ht="17.15" hidden="false" customHeight="false" outlineLevel="0" collapsed="false">
      <c r="A556" s="1" t="s">
        <v>382</v>
      </c>
    </row>
    <row r="557" customFormat="false" ht="17.15" hidden="false" customHeight="false" outlineLevel="0" collapsed="false">
      <c r="A557" s="5" t="s">
        <v>383</v>
      </c>
      <c r="B557" s="0" t="s">
        <v>41</v>
      </c>
      <c r="C557" s="16" t="n">
        <f aca="false">(Units!C8+m_mem*Units!C11)*1000</f>
        <v>117874.05938505</v>
      </c>
      <c r="D557" s="16" t="n">
        <f aca="false">(Units!D8+m_mem*Units!D11)*1000</f>
        <v>157598.72745742</v>
      </c>
      <c r="E557" s="16" t="n">
        <f aca="false">(Units!E8+m_mem*Units!E11)*1000</f>
        <v>194734.950900524</v>
      </c>
      <c r="F557" s="16" t="n">
        <f aca="false">(Units!F8+m_mem*Units!F11)*1000</f>
        <v>218802.231022447</v>
      </c>
      <c r="G557" s="16" t="n">
        <f aca="false">(Units!G8+m_mem*Units!G11)*1000</f>
        <v>231172.69409247</v>
      </c>
      <c r="H557" s="5" t="s">
        <v>384</v>
      </c>
    </row>
    <row r="558" customFormat="false" ht="15" hidden="false" customHeight="false" outlineLevel="0" collapsed="false">
      <c r="A558" s="5" t="s">
        <v>385</v>
      </c>
      <c r="B558" s="0" t="s">
        <v>41</v>
      </c>
      <c r="C558" s="16" t="n">
        <f aca="false">Units!C12*1000</f>
        <v>3056.56934306569</v>
      </c>
      <c r="D558" s="16" t="n">
        <f aca="false">Units!D12*1000</f>
        <v>3350</v>
      </c>
      <c r="E558" s="16" t="n">
        <f aca="false">Units!E12*1000</f>
        <v>3795.39194286967</v>
      </c>
      <c r="F558" s="16" t="n">
        <f aca="false">Units!F12*1000</f>
        <v>4300</v>
      </c>
      <c r="G558" s="16" t="n">
        <f aca="false">Units!G12*1000</f>
        <v>4644</v>
      </c>
    </row>
    <row r="559" customFormat="false" ht="17.15" hidden="false" customHeight="false" outlineLevel="0" collapsed="false">
      <c r="A559" s="5" t="s">
        <v>386</v>
      </c>
      <c r="B559" s="0" t="s">
        <v>41</v>
      </c>
      <c r="D559" s="16" t="n">
        <f aca="false">h1_rev*(2+h2up)</f>
        <v>15559.8432</v>
      </c>
      <c r="H559" s="5" t="s">
        <v>387</v>
      </c>
    </row>
    <row r="560" customFormat="false" ht="17.15" hidden="false" customHeight="false" outlineLevel="0" collapsed="false">
      <c r="A560" s="5" t="s">
        <v>388</v>
      </c>
      <c r="B560" s="0" t="s">
        <v>41</v>
      </c>
      <c r="D560" s="16" t="n">
        <f aca="false">h1_svc*(2+g_svc_h2)</f>
        <v>3286.1223</v>
      </c>
    </row>
    <row r="561" customFormat="false" ht="17.15" hidden="false" customHeight="false" outlineLevel="0" collapsed="false">
      <c r="A561" s="0" t="s">
        <v>389</v>
      </c>
      <c r="B561" s="0" t="s">
        <v>41</v>
      </c>
      <c r="D561" s="16" t="n">
        <f aca="false">cy25_oth*(1+g_oth26)</f>
        <v>1528.965</v>
      </c>
    </row>
    <row r="562" customFormat="false" ht="17.15" hidden="false" customHeight="false" outlineLevel="0" collapsed="false">
      <c r="A562" s="5" t="s">
        <v>390</v>
      </c>
      <c r="B562" s="0" t="s">
        <v>41</v>
      </c>
      <c r="C562" s="16" t="n">
        <f aca="false">ap26/(1+ap_g26)</f>
        <v>647.058823529412</v>
      </c>
      <c r="D562" s="16" t="n">
        <f aca="false">ap26</f>
        <v>1100</v>
      </c>
      <c r="E562" s="16" t="n">
        <f aca="false">D562*(1+k_ap*(E558/D558-1))</f>
        <v>1392.49620128754</v>
      </c>
      <c r="F562" s="16" t="n">
        <f aca="false">E562*(1+k_ap*(F558/E558-1))</f>
        <v>1762.76879145476</v>
      </c>
      <c r="G562" s="16" t="n">
        <f aca="false">F562*(1+k_ap*(G558/F558-1))</f>
        <v>2044.81179808753</v>
      </c>
      <c r="H562" s="8" t="s">
        <v>391</v>
      </c>
    </row>
    <row r="563" customFormat="false" ht="17.15" hidden="false" customHeight="false" outlineLevel="0" collapsed="false">
      <c r="A563" s="5" t="s">
        <v>392</v>
      </c>
      <c r="B563" s="0" t="s">
        <v>41</v>
      </c>
      <c r="C563" s="16" t="n">
        <f aca="false">C565-C562</f>
        <v>7971.85117647059</v>
      </c>
      <c r="D563" s="16" t="n">
        <f aca="false">D565-D562</f>
        <v>9644.7559</v>
      </c>
      <c r="E563" s="16" t="n">
        <f aca="false">E564*E557</f>
        <v>12268.521584997</v>
      </c>
      <c r="F563" s="16" t="n">
        <f aca="false">F564*F557</f>
        <v>14190.8975186426</v>
      </c>
      <c r="G563" s="16" t="n">
        <f aca="false">G564*G557</f>
        <v>15434.9221703084</v>
      </c>
      <c r="H563" s="8" t="s">
        <v>393</v>
      </c>
    </row>
    <row r="564" customFormat="false" ht="17.15" hidden="false" customHeight="false" outlineLevel="0" collapsed="false">
      <c r="A564" s="5" t="s">
        <v>394</v>
      </c>
      <c r="B564" s="0" t="s">
        <v>26</v>
      </c>
      <c r="C564" s="21" t="n">
        <f aca="false">C563/C557</f>
        <v>0.0676302421250259</v>
      </c>
      <c r="D564" s="21" t="n">
        <f aca="false">D563/D557</f>
        <v>0.0611981838660836</v>
      </c>
      <c r="E564" s="21" t="n">
        <f aca="false">$D564*(1+pc_u)^1</f>
        <v>0.0630011280885271</v>
      </c>
      <c r="F564" s="21" t="n">
        <f aca="false">$D564*(1+pc_u)^2</f>
        <v>0.0648571883948786</v>
      </c>
      <c r="G564" s="21" t="n">
        <f aca="false">$D564*(1+pc_u)^3</f>
        <v>0.0667679296246569</v>
      </c>
      <c r="H564" s="8" t="s">
        <v>395</v>
      </c>
    </row>
    <row r="565" customFormat="false" ht="17.15" hidden="false" customHeight="false" outlineLevel="0" collapsed="false">
      <c r="A565" s="5" t="s">
        <v>396</v>
      </c>
      <c r="B565" s="0" t="s">
        <v>41</v>
      </c>
      <c r="C565" s="16" t="n">
        <f aca="false">cy25_sys</f>
        <v>8618.91</v>
      </c>
      <c r="D565" s="16" t="n">
        <f aca="false">D559-D560-D561</f>
        <v>10744.7559</v>
      </c>
      <c r="E565" s="16" t="n">
        <f aca="false">(E563+E562)*(1-chn_sh26*chn_cut)</f>
        <v>13661.0177862845</v>
      </c>
      <c r="F565" s="16" t="n">
        <f aca="false">(F563+F562)*(1-chn_sh26*chn_cut)</f>
        <v>15953.6663100973</v>
      </c>
      <c r="G565" s="16" t="n">
        <f aca="false">(G563+G562)*(1-chn_sh26*chn_cut)</f>
        <v>17479.7339683959</v>
      </c>
      <c r="H565" s="8" t="s">
        <v>397</v>
      </c>
    </row>
    <row r="566" customFormat="false" ht="17.15" hidden="false" customHeight="false" outlineLevel="0" collapsed="false">
      <c r="A566" s="5" t="s">
        <v>398</v>
      </c>
      <c r="B566" s="0" t="s">
        <v>26</v>
      </c>
      <c r="C566" s="10" t="n">
        <f aca="false">C564/kla_sh_pc</f>
        <v>0.116603865732803</v>
      </c>
      <c r="D566" s="10" t="n">
        <f aca="false">D564/kla_sh_pc</f>
        <v>0.105514110113937</v>
      </c>
      <c r="E566" s="10" t="n">
        <f aca="false">E564/kla_sh_pc</f>
        <v>0.108622634635392</v>
      </c>
      <c r="F566" s="10" t="n">
        <f aca="false">F564/kla_sh_pc</f>
        <v>0.11182273861186</v>
      </c>
      <c r="G566" s="10" t="n">
        <f aca="false">G564/kla_sh_pc</f>
        <v>0.115117120042512</v>
      </c>
      <c r="H566" s="8" t="s">
        <v>399</v>
      </c>
    </row>
    <row r="567" customFormat="false" ht="17.15" hidden="false" customHeight="false" outlineLevel="0" collapsed="false">
      <c r="A567" s="1" t="s">
        <v>400</v>
      </c>
    </row>
    <row r="568" customFormat="false" ht="17.15" hidden="false" customHeight="false" outlineLevel="0" collapsed="false">
      <c r="A568" s="5" t="s">
        <v>401</v>
      </c>
      <c r="B568" s="0" t="s">
        <v>41</v>
      </c>
      <c r="C568" s="16" t="n">
        <f aca="false">a25_sys</f>
        <v>8264.026</v>
      </c>
      <c r="D568" s="16" t="n">
        <f aca="false">a26_sys</f>
        <v>9119.058</v>
      </c>
      <c r="E568" s="16" t="n">
        <f aca="false">(D565-h1_sys)+0.5*E565</f>
        <v>12830.2277931423</v>
      </c>
      <c r="F568" s="16" t="n">
        <f aca="false">0.5*E565+0.5*F565</f>
        <v>14807.3420481909</v>
      </c>
      <c r="G568" s="16" t="n">
        <f aca="false">0.5*F565+0.5*G565</f>
        <v>16716.7001392466</v>
      </c>
      <c r="H568" s="8" t="s">
        <v>402</v>
      </c>
    </row>
    <row r="569" customFormat="false" ht="15" hidden="false" customHeight="false" outlineLevel="0" collapsed="false">
      <c r="A569" s="5" t="s">
        <v>254</v>
      </c>
      <c r="B569" s="0" t="s">
        <v>41</v>
      </c>
      <c r="C569" s="16" t="n">
        <f aca="false">a25_svc</f>
        <v>2683.308</v>
      </c>
      <c r="D569" s="16" t="n">
        <f aca="false">a26_svc</f>
        <v>3125.939</v>
      </c>
      <c r="E569" s="16" t="n">
        <f aca="false">D569*(1+g_svc_A)</f>
        <v>3563.57046</v>
      </c>
      <c r="F569" s="16" t="n">
        <f aca="false">E569*(1+g_svc_A)</f>
        <v>4062.4703244</v>
      </c>
      <c r="G569" s="16" t="n">
        <f aca="false">F569*(1+g_svc_A)</f>
        <v>4631.216169816</v>
      </c>
    </row>
    <row r="570" customFormat="false" ht="17.15" hidden="false" customHeight="false" outlineLevel="0" collapsed="false">
      <c r="A570" s="0" t="s">
        <v>403</v>
      </c>
      <c r="B570" s="0" t="s">
        <v>41</v>
      </c>
      <c r="C570" s="16" t="n">
        <f aca="false">a25_oth</f>
        <v>1208.828</v>
      </c>
      <c r="D570" s="16" t="n">
        <f aca="false">a26_oth</f>
        <v>1334.479</v>
      </c>
      <c r="E570" s="16" t="n">
        <f aca="false">D570*(1+g_oth_A)</f>
        <v>1494.61648</v>
      </c>
      <c r="F570" s="16" t="n">
        <f aca="false">E570*(1+g_oth_A)</f>
        <v>1673.9704576</v>
      </c>
      <c r="G570" s="16" t="n">
        <f aca="false">F570*(1+g_oth_A)</f>
        <v>1874.846912512</v>
      </c>
    </row>
    <row r="571" customFormat="false" ht="17.15" hidden="false" customHeight="false" outlineLevel="0" collapsed="false">
      <c r="A571" s="5" t="s">
        <v>248</v>
      </c>
      <c r="B571" s="0" t="s">
        <v>41</v>
      </c>
      <c r="C571" s="16" t="n">
        <f aca="false">C568+C569+C570</f>
        <v>12156.162</v>
      </c>
      <c r="D571" s="16" t="n">
        <f aca="false">D568+D569+D570</f>
        <v>13579.476</v>
      </c>
      <c r="E571" s="16" t="n">
        <f aca="false">E568+E569+E570</f>
        <v>17888.4147331423</v>
      </c>
      <c r="F571" s="16" t="n">
        <f aca="false">F568+F569+F570</f>
        <v>20543.7828301909</v>
      </c>
      <c r="G571" s="16" t="n">
        <f aca="false">G568+G569+G570</f>
        <v>23222.7632215746</v>
      </c>
      <c r="H571" s="8" t="s">
        <v>404</v>
      </c>
    </row>
    <row r="572" customFormat="false" ht="17.15" hidden="false" customHeight="false" outlineLevel="0" collapsed="false">
      <c r="A572" s="5" t="s">
        <v>267</v>
      </c>
      <c r="B572" s="0" t="s">
        <v>41</v>
      </c>
      <c r="C572" s="16" t="n">
        <f aca="false">a25_gp</f>
        <v>7404.295</v>
      </c>
      <c r="D572" s="16" t="n">
        <f aca="false">a26_gp</f>
        <v>8324.416</v>
      </c>
      <c r="E572" s="16" t="n">
        <f aca="false">a26_gp+gm_inc*(E571-a26_rev)</f>
        <v>11109.988976924</v>
      </c>
      <c r="F572" s="16" t="n">
        <f aca="false">a26_gp+gm_inc*(F571-a26_rev)</f>
        <v>12826.5883701882</v>
      </c>
      <c r="G572" s="16" t="n">
        <f aca="false">a26_gp+gm_inc*(G571-a26_rev)</f>
        <v>14558.452257356</v>
      </c>
      <c r="H572" s="8" t="s">
        <v>405</v>
      </c>
    </row>
    <row r="573" customFormat="false" ht="15" hidden="false" customHeight="false" outlineLevel="0" collapsed="false">
      <c r="A573" s="5" t="s">
        <v>363</v>
      </c>
      <c r="B573" s="0" t="s">
        <v>26</v>
      </c>
      <c r="C573" s="10" t="n">
        <f aca="false">C572/C571</f>
        <v>0.609098085398994</v>
      </c>
      <c r="D573" s="10" t="n">
        <f aca="false">D572/D571</f>
        <v>0.613014522798965</v>
      </c>
      <c r="E573" s="10" t="n">
        <f aca="false">E572/E571</f>
        <v>0.621071746304063</v>
      </c>
      <c r="F573" s="10" t="n">
        <f aca="false">F572/F571</f>
        <v>0.624353775359153</v>
      </c>
      <c r="G573" s="10" t="n">
        <f aca="false">G572/G571</f>
        <v>0.62690439197308</v>
      </c>
    </row>
    <row r="574" customFormat="false" ht="15" hidden="false" customHeight="false" outlineLevel="0" collapsed="false">
      <c r="A574" s="5" t="s">
        <v>406</v>
      </c>
      <c r="B574" s="0" t="s">
        <v>41</v>
      </c>
      <c r="C574" s="16" t="n">
        <f aca="false">a25_opx</f>
        <v>2390.068</v>
      </c>
      <c r="D574" s="16" t="n">
        <f aca="false">a26_opx</f>
        <v>2663.636</v>
      </c>
      <c r="E574" s="16" t="n">
        <f aca="false">opex27</f>
        <v>2865</v>
      </c>
      <c r="F574" s="16" t="n">
        <f aca="false">E574*(1+g_opex_A_hi)</f>
        <v>3180.15</v>
      </c>
      <c r="G574" s="16" t="n">
        <f aca="false">F574*(1+g_opex_A_hi)</f>
        <v>3529.9665</v>
      </c>
    </row>
    <row r="575" customFormat="false" ht="17.15" hidden="false" customHeight="false" outlineLevel="0" collapsed="false">
      <c r="A575" s="5" t="s">
        <v>364</v>
      </c>
      <c r="B575" s="0" t="s">
        <v>41</v>
      </c>
      <c r="C575" s="16" t="n">
        <f aca="false">a25_oi</f>
        <v>4775.127</v>
      </c>
      <c r="D575" s="16" t="n">
        <f aca="false">D572-D574</f>
        <v>5660.78</v>
      </c>
      <c r="E575" s="16" t="n">
        <f aca="false">E572-E574</f>
        <v>8244.98897692399</v>
      </c>
      <c r="F575" s="16" t="n">
        <f aca="false">F572-F574</f>
        <v>9646.43837018825</v>
      </c>
      <c r="G575" s="16" t="n">
        <f aca="false">G572-G574</f>
        <v>11028.485757356</v>
      </c>
      <c r="H575" s="8" t="s">
        <v>407</v>
      </c>
    </row>
    <row r="576" customFormat="false" ht="15" hidden="false" customHeight="false" outlineLevel="0" collapsed="false">
      <c r="A576" s="5" t="s">
        <v>365</v>
      </c>
      <c r="B576" s="0" t="s">
        <v>26</v>
      </c>
      <c r="C576" s="10" t="n">
        <f aca="false">C575/C571</f>
        <v>0.392815347475626</v>
      </c>
      <c r="D576" s="10" t="n">
        <f aca="false">D575/D571</f>
        <v>0.416862918716451</v>
      </c>
      <c r="E576" s="10" t="n">
        <f aca="false">E575/E571</f>
        <v>0.460912221676542</v>
      </c>
      <c r="F576" s="10" t="n">
        <f aca="false">F575/F571</f>
        <v>0.469555117960649</v>
      </c>
      <c r="G576" s="10" t="n">
        <f aca="false">G575/G571</f>
        <v>0.474899806372321</v>
      </c>
    </row>
    <row r="577" customFormat="false" ht="15" hidden="false" customHeight="false" outlineLevel="0" collapsed="false">
      <c r="A577" s="5" t="s">
        <v>408</v>
      </c>
      <c r="B577" s="0" t="s">
        <v>41</v>
      </c>
      <c r="C577" s="16" t="n">
        <f aca="false">a25_nonop</f>
        <v>-130.679</v>
      </c>
      <c r="D577" s="16" t="n">
        <f aca="false">a26_nonop</f>
        <v>-54.855</v>
      </c>
      <c r="E577" s="16" t="n">
        <f aca="false">oth_exp</f>
        <v>-100</v>
      </c>
      <c r="F577" s="16" t="n">
        <f aca="false">oth_exp</f>
        <v>-100</v>
      </c>
      <c r="G577" s="16" t="n">
        <f aca="false">oth_exp</f>
        <v>-100</v>
      </c>
    </row>
    <row r="578" customFormat="false" ht="15" hidden="false" customHeight="false" outlineLevel="0" collapsed="false">
      <c r="A578" s="5" t="s">
        <v>366</v>
      </c>
      <c r="B578" s="0" t="s">
        <v>41</v>
      </c>
      <c r="C578" s="16" t="n">
        <f aca="false">a25_ni</f>
        <v>4061.643</v>
      </c>
      <c r="D578" s="16" t="n">
        <f aca="false">a26_ni</f>
        <v>4830.771</v>
      </c>
      <c r="E578" s="16" t="n">
        <f aca="false">(E575+E577)*(1-tax)</f>
        <v>6963.96557527001</v>
      </c>
      <c r="F578" s="16" t="n">
        <f aca="false">(F575+F577)*(1-tax)</f>
        <v>8162.20480651095</v>
      </c>
      <c r="G578" s="16" t="n">
        <f aca="false">(G575+G577)*(1-tax)</f>
        <v>9343.85532253942</v>
      </c>
    </row>
    <row r="579" customFormat="false" ht="15" hidden="false" customHeight="false" outlineLevel="0" collapsed="false">
      <c r="A579" s="5" t="s">
        <v>409</v>
      </c>
      <c r="B579" s="5" t="s">
        <v>151</v>
      </c>
      <c r="C579" s="16" t="n">
        <f aca="false">a25_sh</f>
        <v>1337.502</v>
      </c>
      <c r="D579" s="16" t="n">
        <f aca="false">a26_sh</f>
        <v>1319.633</v>
      </c>
      <c r="E579" s="16" t="n">
        <f aca="false">shares27</f>
        <v>1312</v>
      </c>
      <c r="F579" s="16" t="n">
        <f aca="false">E579*(1-bb)</f>
        <v>1294.47170621053</v>
      </c>
      <c r="G579" s="16" t="n">
        <f aca="false">F579*(1-bb)</f>
        <v>1277.17759007592</v>
      </c>
    </row>
    <row r="580" customFormat="false" ht="17.15" hidden="false" customHeight="false" outlineLevel="0" collapsed="false">
      <c r="A580" s="0" t="s">
        <v>367</v>
      </c>
      <c r="B580" s="0" t="s">
        <v>169</v>
      </c>
      <c r="C580" s="13" t="n">
        <f aca="false">a25_eps</f>
        <v>3.04</v>
      </c>
      <c r="D580" s="13" t="n">
        <f aca="false">a26_eps</f>
        <v>3.66</v>
      </c>
      <c r="E580" s="13" t="n">
        <f aca="false">E578/E579</f>
        <v>5.30790059090702</v>
      </c>
      <c r="F580" s="13" t="n">
        <f aca="false">F578/F579</f>
        <v>6.30543314879024</v>
      </c>
      <c r="G580" s="13" t="n">
        <f aca="false">G578/G579</f>
        <v>7.31601884901847</v>
      </c>
    </row>
    <row r="581" customFormat="false" ht="17.15" hidden="false" customHeight="false" outlineLevel="0" collapsed="false">
      <c r="A581" s="5" t="s">
        <v>410</v>
      </c>
      <c r="B581" s="0" t="s">
        <v>41</v>
      </c>
      <c r="D581" s="20" t="n">
        <f aca="false">a26_rev*chn_sh26</f>
        <v>4073.8428</v>
      </c>
      <c r="E581" s="20" t="n">
        <f aca="false">E571*chn_sh26*(1-chn_cut*IF(2027=2027,0.5,1))</f>
        <v>5366.52441994268</v>
      </c>
      <c r="F581" s="20" t="n">
        <f aca="false">F571*chn_sh26*(1-chn_cut*IF(2028=2027,0.5,1))</f>
        <v>6163.13484905728</v>
      </c>
      <c r="G581" s="20" t="n">
        <f aca="false">G571*chn_sh26*(1-chn_cut*IF(2029=2027,0.5,1))</f>
        <v>6966.82896647238</v>
      </c>
      <c r="H581" s="5" t="s">
        <v>411</v>
      </c>
    </row>
    <row r="590" customFormat="false" ht="17.15" hidden="false" customHeight="false" outlineLevel="0" collapsed="false">
      <c r="A590" s="3" t="s">
        <v>711</v>
      </c>
    </row>
    <row r="591" customFormat="false" ht="17.15" hidden="false" customHeight="false" outlineLevel="0" collapsed="false">
      <c r="A591" s="6" t="s">
        <v>15</v>
      </c>
      <c r="B591" s="6" t="s">
        <v>16</v>
      </c>
      <c r="C591" s="14" t="s">
        <v>377</v>
      </c>
      <c r="D591" s="14" t="s">
        <v>378</v>
      </c>
      <c r="E591" s="14" t="s">
        <v>379</v>
      </c>
      <c r="F591" s="14" t="s">
        <v>380</v>
      </c>
      <c r="G591" s="14" t="s">
        <v>381</v>
      </c>
      <c r="H591" s="6" t="s">
        <v>306</v>
      </c>
    </row>
    <row r="592" customFormat="false" ht="17.15" hidden="false" customHeight="false" outlineLevel="0" collapsed="false">
      <c r="A592" s="1" t="s">
        <v>382</v>
      </c>
    </row>
    <row r="593" customFormat="false" ht="17.15" hidden="false" customHeight="false" outlineLevel="0" collapsed="false">
      <c r="A593" s="5" t="s">
        <v>383</v>
      </c>
      <c r="B593" s="0" t="s">
        <v>41</v>
      </c>
      <c r="C593" s="16" t="n">
        <f aca="false">(Units!C8+m_mem*Units!C11)*1000</f>
        <v>117874.05938505</v>
      </c>
      <c r="D593" s="16" t="n">
        <f aca="false">(Units!D8+m_mem*Units!D11)*1000</f>
        <v>157598.72745742</v>
      </c>
      <c r="E593" s="16" t="n">
        <f aca="false">(Units!E8+m_mem*Units!E11)*1000</f>
        <v>194734.950900524</v>
      </c>
      <c r="F593" s="16" t="n">
        <f aca="false">(Units!F8+m_mem*Units!F11)*1000</f>
        <v>218802.231022447</v>
      </c>
      <c r="G593" s="16" t="n">
        <f aca="false">(Units!G8+m_mem*Units!G11)*1000</f>
        <v>231172.69409247</v>
      </c>
      <c r="H593" s="5" t="s">
        <v>384</v>
      </c>
    </row>
    <row r="594" customFormat="false" ht="15" hidden="false" customHeight="false" outlineLevel="0" collapsed="false">
      <c r="A594" s="5" t="s">
        <v>385</v>
      </c>
      <c r="B594" s="0" t="s">
        <v>41</v>
      </c>
      <c r="C594" s="16" t="n">
        <f aca="false">Units!C12*1000</f>
        <v>3056.56934306569</v>
      </c>
      <c r="D594" s="16" t="n">
        <f aca="false">Units!D12*1000</f>
        <v>3350</v>
      </c>
      <c r="E594" s="16" t="n">
        <f aca="false">Units!E12*1000</f>
        <v>3795.39194286967</v>
      </c>
      <c r="F594" s="16" t="n">
        <f aca="false">Units!F12*1000</f>
        <v>4300</v>
      </c>
      <c r="G594" s="16" t="n">
        <f aca="false">Units!G12*1000</f>
        <v>4644</v>
      </c>
    </row>
    <row r="595" customFormat="false" ht="17.15" hidden="false" customHeight="false" outlineLevel="0" collapsed="false">
      <c r="A595" s="5" t="s">
        <v>386</v>
      </c>
      <c r="B595" s="0" t="s">
        <v>41</v>
      </c>
      <c r="D595" s="16" t="n">
        <f aca="false">h1_rev*(2+h2up)</f>
        <v>15559.8432</v>
      </c>
      <c r="H595" s="5" t="s">
        <v>387</v>
      </c>
    </row>
    <row r="596" customFormat="false" ht="17.15" hidden="false" customHeight="false" outlineLevel="0" collapsed="false">
      <c r="A596" s="5" t="s">
        <v>388</v>
      </c>
      <c r="B596" s="0" t="s">
        <v>41</v>
      </c>
      <c r="D596" s="16" t="n">
        <f aca="false">h1_svc*(2+g_svc_h2)</f>
        <v>3286.1223</v>
      </c>
    </row>
    <row r="597" customFormat="false" ht="17.15" hidden="false" customHeight="false" outlineLevel="0" collapsed="false">
      <c r="A597" s="0" t="s">
        <v>389</v>
      </c>
      <c r="B597" s="0" t="s">
        <v>41</v>
      </c>
      <c r="D597" s="16" t="n">
        <f aca="false">cy25_oth*(1+g_oth26)</f>
        <v>1528.965</v>
      </c>
    </row>
    <row r="598" customFormat="false" ht="17.15" hidden="false" customHeight="false" outlineLevel="0" collapsed="false">
      <c r="A598" s="5" t="s">
        <v>390</v>
      </c>
      <c r="B598" s="0" t="s">
        <v>41</v>
      </c>
      <c r="C598" s="16" t="n">
        <f aca="false">ap26/(1+ap_g26)</f>
        <v>647.058823529412</v>
      </c>
      <c r="D598" s="16" t="n">
        <f aca="false">ap26</f>
        <v>1100</v>
      </c>
      <c r="E598" s="16" t="n">
        <f aca="false">D598*(1+k_ap*(E594/D594-1))</f>
        <v>1392.49620128754</v>
      </c>
      <c r="F598" s="16" t="n">
        <f aca="false">E598*(1+k_ap*(F594/E594-1))</f>
        <v>1762.76879145476</v>
      </c>
      <c r="G598" s="16" t="n">
        <f aca="false">F598*(1+k_ap*(G594/F594-1))</f>
        <v>2044.81179808753</v>
      </c>
      <c r="H598" s="8" t="s">
        <v>391</v>
      </c>
    </row>
    <row r="599" customFormat="false" ht="17.15" hidden="false" customHeight="false" outlineLevel="0" collapsed="false">
      <c r="A599" s="5" t="s">
        <v>392</v>
      </c>
      <c r="B599" s="0" t="s">
        <v>41</v>
      </c>
      <c r="C599" s="16" t="n">
        <f aca="false">C601-C598</f>
        <v>7971.85117647059</v>
      </c>
      <c r="D599" s="16" t="n">
        <f aca="false">D601-D598</f>
        <v>9644.7559</v>
      </c>
      <c r="E599" s="16" t="n">
        <f aca="false">E600*E593</f>
        <v>12268.521584997</v>
      </c>
      <c r="F599" s="16" t="n">
        <f aca="false">F600*F593</f>
        <v>14190.8975186426</v>
      </c>
      <c r="G599" s="16" t="n">
        <f aca="false">G600*G593</f>
        <v>15434.9221703084</v>
      </c>
      <c r="H599" s="8" t="s">
        <v>393</v>
      </c>
    </row>
    <row r="600" customFormat="false" ht="17.15" hidden="false" customHeight="false" outlineLevel="0" collapsed="false">
      <c r="A600" s="5" t="s">
        <v>394</v>
      </c>
      <c r="B600" s="0" t="s">
        <v>26</v>
      </c>
      <c r="C600" s="21" t="n">
        <f aca="false">C599/C593</f>
        <v>0.0676302421250259</v>
      </c>
      <c r="D600" s="21" t="n">
        <f aca="false">D599/D593</f>
        <v>0.0611981838660836</v>
      </c>
      <c r="E600" s="21" t="n">
        <f aca="false">$D600*(1+pc_u)^1</f>
        <v>0.0630011280885271</v>
      </c>
      <c r="F600" s="21" t="n">
        <f aca="false">$D600*(1+pc_u)^2</f>
        <v>0.0648571883948786</v>
      </c>
      <c r="G600" s="21" t="n">
        <f aca="false">$D600*(1+pc_u)^3</f>
        <v>0.0667679296246569</v>
      </c>
      <c r="H600" s="8" t="s">
        <v>395</v>
      </c>
    </row>
    <row r="601" customFormat="false" ht="17.15" hidden="false" customHeight="false" outlineLevel="0" collapsed="false">
      <c r="A601" s="5" t="s">
        <v>396</v>
      </c>
      <c r="B601" s="0" t="s">
        <v>41</v>
      </c>
      <c r="C601" s="16" t="n">
        <f aca="false">cy25_sys</f>
        <v>8618.91</v>
      </c>
      <c r="D601" s="16" t="n">
        <f aca="false">D595-D596-D597</f>
        <v>10744.7559</v>
      </c>
      <c r="E601" s="16" t="n">
        <f aca="false">(E599+E598)*(1-chn_sh26*chn_cut)</f>
        <v>13661.0177862845</v>
      </c>
      <c r="F601" s="16" t="n">
        <f aca="false">(F599+F598)*(1-chn_sh26*chn_cut)</f>
        <v>15953.6663100973</v>
      </c>
      <c r="G601" s="16" t="n">
        <f aca="false">(G599+G598)*(1-chn_sh26*chn_cut)</f>
        <v>17479.7339683959</v>
      </c>
      <c r="H601" s="8" t="s">
        <v>397</v>
      </c>
    </row>
    <row r="602" customFormat="false" ht="17.15" hidden="false" customHeight="false" outlineLevel="0" collapsed="false">
      <c r="A602" s="5" t="s">
        <v>398</v>
      </c>
      <c r="B602" s="0" t="s">
        <v>26</v>
      </c>
      <c r="C602" s="10" t="n">
        <f aca="false">C600/kla_sh_pc</f>
        <v>0.116603865732803</v>
      </c>
      <c r="D602" s="10" t="n">
        <f aca="false">D600/kla_sh_pc</f>
        <v>0.105514110113937</v>
      </c>
      <c r="E602" s="10" t="n">
        <f aca="false">E600/kla_sh_pc</f>
        <v>0.108622634635392</v>
      </c>
      <c r="F602" s="10" t="n">
        <f aca="false">F600/kla_sh_pc</f>
        <v>0.11182273861186</v>
      </c>
      <c r="G602" s="10" t="n">
        <f aca="false">G600/kla_sh_pc</f>
        <v>0.115117120042512</v>
      </c>
      <c r="H602" s="8" t="s">
        <v>399</v>
      </c>
    </row>
    <row r="603" customFormat="false" ht="17.15" hidden="false" customHeight="false" outlineLevel="0" collapsed="false">
      <c r="A603" s="1" t="s">
        <v>400</v>
      </c>
    </row>
    <row r="604" customFormat="false" ht="17.15" hidden="false" customHeight="false" outlineLevel="0" collapsed="false">
      <c r="A604" s="5" t="s">
        <v>401</v>
      </c>
      <c r="B604" s="0" t="s">
        <v>41</v>
      </c>
      <c r="C604" s="16" t="n">
        <f aca="false">a25_sys</f>
        <v>8264.026</v>
      </c>
      <c r="D604" s="16" t="n">
        <f aca="false">a26_sys</f>
        <v>9119.058</v>
      </c>
      <c r="E604" s="16" t="n">
        <f aca="false">(D601-h1_sys)+0.5*E601</f>
        <v>12830.2277931423</v>
      </c>
      <c r="F604" s="16" t="n">
        <f aca="false">0.5*E601+0.5*F601</f>
        <v>14807.3420481909</v>
      </c>
      <c r="G604" s="16" t="n">
        <f aca="false">0.5*F601+0.5*G601</f>
        <v>16716.7001392466</v>
      </c>
      <c r="H604" s="8" t="s">
        <v>402</v>
      </c>
    </row>
    <row r="605" customFormat="false" ht="15" hidden="false" customHeight="false" outlineLevel="0" collapsed="false">
      <c r="A605" s="5" t="s">
        <v>254</v>
      </c>
      <c r="B605" s="0" t="s">
        <v>41</v>
      </c>
      <c r="C605" s="16" t="n">
        <f aca="false">a25_svc</f>
        <v>2683.308</v>
      </c>
      <c r="D605" s="16" t="n">
        <f aca="false">a26_svc</f>
        <v>3125.939</v>
      </c>
      <c r="E605" s="16" t="n">
        <f aca="false">D605*(1+g_svc_A_lo)</f>
        <v>3501.05168</v>
      </c>
      <c r="F605" s="16" t="n">
        <f aca="false">E605*(1+g_svc_A_lo)</f>
        <v>3921.1778816</v>
      </c>
      <c r="G605" s="16" t="n">
        <f aca="false">F605*(1+g_svc_A_lo)</f>
        <v>4391.719227392</v>
      </c>
    </row>
    <row r="606" customFormat="false" ht="17.15" hidden="false" customHeight="false" outlineLevel="0" collapsed="false">
      <c r="A606" s="0" t="s">
        <v>403</v>
      </c>
      <c r="B606" s="0" t="s">
        <v>41</v>
      </c>
      <c r="C606" s="16" t="n">
        <f aca="false">a25_oth</f>
        <v>1208.828</v>
      </c>
      <c r="D606" s="16" t="n">
        <f aca="false">a26_oth</f>
        <v>1334.479</v>
      </c>
      <c r="E606" s="16" t="n">
        <f aca="false">D606*(1+g_oth_A)</f>
        <v>1494.61648</v>
      </c>
      <c r="F606" s="16" t="n">
        <f aca="false">E606*(1+g_oth_A)</f>
        <v>1673.9704576</v>
      </c>
      <c r="G606" s="16" t="n">
        <f aca="false">F606*(1+g_oth_A)</f>
        <v>1874.846912512</v>
      </c>
    </row>
    <row r="607" customFormat="false" ht="17.15" hidden="false" customHeight="false" outlineLevel="0" collapsed="false">
      <c r="A607" s="5" t="s">
        <v>248</v>
      </c>
      <c r="B607" s="0" t="s">
        <v>41</v>
      </c>
      <c r="C607" s="16" t="n">
        <f aca="false">C604+C605+C606</f>
        <v>12156.162</v>
      </c>
      <c r="D607" s="16" t="n">
        <f aca="false">D604+D605+D606</f>
        <v>13579.476</v>
      </c>
      <c r="E607" s="16" t="n">
        <f aca="false">E604+E605+E606</f>
        <v>17825.8959531423</v>
      </c>
      <c r="F607" s="16" t="n">
        <f aca="false">F604+F605+F606</f>
        <v>20402.4903873909</v>
      </c>
      <c r="G607" s="16" t="n">
        <f aca="false">G604+G605+G606</f>
        <v>22983.2662791506</v>
      </c>
      <c r="H607" s="8" t="s">
        <v>404</v>
      </c>
    </row>
    <row r="608" customFormat="false" ht="17.15" hidden="false" customHeight="false" outlineLevel="0" collapsed="false">
      <c r="A608" s="5" t="s">
        <v>267</v>
      </c>
      <c r="B608" s="0" t="s">
        <v>41</v>
      </c>
      <c r="C608" s="16" t="n">
        <f aca="false">a25_gp</f>
        <v>7404.295</v>
      </c>
      <c r="D608" s="16" t="n">
        <f aca="false">a26_gp</f>
        <v>8324.416</v>
      </c>
      <c r="E608" s="16" t="n">
        <f aca="false">a26_gp+gm_inc*(E607-a26_rev)</f>
        <v>11069.572847825</v>
      </c>
      <c r="F608" s="16" t="n">
        <f aca="false">a26_gp+gm_inc*(F607-a26_rev)</f>
        <v>12735.2479184246</v>
      </c>
      <c r="G608" s="16" t="n">
        <f aca="false">a26_gp+gm_inc*(G607-a26_rev)</f>
        <v>14403.6261500037</v>
      </c>
      <c r="H608" s="8" t="s">
        <v>405</v>
      </c>
    </row>
    <row r="609" customFormat="false" ht="15" hidden="false" customHeight="false" outlineLevel="0" collapsed="false">
      <c r="A609" s="5" t="s">
        <v>363</v>
      </c>
      <c r="B609" s="0" t="s">
        <v>26</v>
      </c>
      <c r="C609" s="10" t="n">
        <f aca="false">C608/C607</f>
        <v>0.609098085398994</v>
      </c>
      <c r="D609" s="10" t="n">
        <f aca="false">D608/D607</f>
        <v>0.613014522798965</v>
      </c>
      <c r="E609" s="10" t="n">
        <f aca="false">E608/E607</f>
        <v>0.620982691524895</v>
      </c>
      <c r="F609" s="10" t="n">
        <f aca="false">F608/F607</f>
        <v>0.624200657694962</v>
      </c>
      <c r="G609" s="10" t="n">
        <f aca="false">G608/G607</f>
        <v>0.626700573150041</v>
      </c>
    </row>
    <row r="610" customFormat="false" ht="15" hidden="false" customHeight="false" outlineLevel="0" collapsed="false">
      <c r="A610" s="5" t="s">
        <v>406</v>
      </c>
      <c r="B610" s="0" t="s">
        <v>41</v>
      </c>
      <c r="C610" s="16" t="n">
        <f aca="false">a25_opx</f>
        <v>2390.068</v>
      </c>
      <c r="D610" s="16" t="n">
        <f aca="false">a26_opx</f>
        <v>2663.636</v>
      </c>
      <c r="E610" s="16" t="n">
        <f aca="false">opex27</f>
        <v>2865</v>
      </c>
      <c r="F610" s="16" t="n">
        <f aca="false">E610*(1+g_opex_A)</f>
        <v>3094.2</v>
      </c>
      <c r="G610" s="16" t="n">
        <f aca="false">F610*(1+g_opex_A)</f>
        <v>3341.736</v>
      </c>
    </row>
    <row r="611" customFormat="false" ht="17.15" hidden="false" customHeight="false" outlineLevel="0" collapsed="false">
      <c r="A611" s="5" t="s">
        <v>364</v>
      </c>
      <c r="B611" s="0" t="s">
        <v>41</v>
      </c>
      <c r="C611" s="16" t="n">
        <f aca="false">a25_oi</f>
        <v>4775.127</v>
      </c>
      <c r="D611" s="16" t="n">
        <f aca="false">D608-D610</f>
        <v>5660.78</v>
      </c>
      <c r="E611" s="16" t="n">
        <f aca="false">E608-E610</f>
        <v>8204.57284782501</v>
      </c>
      <c r="F611" s="16" t="n">
        <f aca="false">F608-F610</f>
        <v>9641.04791842456</v>
      </c>
      <c r="G611" s="16" t="n">
        <f aca="false">G608-G610</f>
        <v>11061.8901500037</v>
      </c>
      <c r="H611" s="8" t="s">
        <v>407</v>
      </c>
    </row>
    <row r="612" customFormat="false" ht="15" hidden="false" customHeight="false" outlineLevel="0" collapsed="false">
      <c r="A612" s="5" t="s">
        <v>365</v>
      </c>
      <c r="B612" s="0" t="s">
        <v>26</v>
      </c>
      <c r="C612" s="10" t="n">
        <f aca="false">C611/C607</f>
        <v>0.392815347475626</v>
      </c>
      <c r="D612" s="10" t="n">
        <f aca="false">D611/D607</f>
        <v>0.416862918716451</v>
      </c>
      <c r="E612" s="10" t="n">
        <f aca="false">E611/E607</f>
        <v>0.460261457230079</v>
      </c>
      <c r="F612" s="10" t="n">
        <f aca="false">F611/F607</f>
        <v>0.472542701178425</v>
      </c>
      <c r="G612" s="10" t="n">
        <f aca="false">G611/G607</f>
        <v>0.481301918345633</v>
      </c>
    </row>
    <row r="613" customFormat="false" ht="15" hidden="false" customHeight="false" outlineLevel="0" collapsed="false">
      <c r="A613" s="5" t="s">
        <v>408</v>
      </c>
      <c r="B613" s="0" t="s">
        <v>41</v>
      </c>
      <c r="C613" s="16" t="n">
        <f aca="false">a25_nonop</f>
        <v>-130.679</v>
      </c>
      <c r="D613" s="16" t="n">
        <f aca="false">a26_nonop</f>
        <v>-54.855</v>
      </c>
      <c r="E613" s="16" t="n">
        <f aca="false">oth_exp</f>
        <v>-100</v>
      </c>
      <c r="F613" s="16" t="n">
        <f aca="false">oth_exp</f>
        <v>-100</v>
      </c>
      <c r="G613" s="16" t="n">
        <f aca="false">oth_exp</f>
        <v>-100</v>
      </c>
    </row>
    <row r="614" customFormat="false" ht="15" hidden="false" customHeight="false" outlineLevel="0" collapsed="false">
      <c r="A614" s="5" t="s">
        <v>366</v>
      </c>
      <c r="B614" s="0" t="s">
        <v>41</v>
      </c>
      <c r="C614" s="16" t="n">
        <f aca="false">a25_ni</f>
        <v>4061.643</v>
      </c>
      <c r="D614" s="16" t="n">
        <f aca="false">a26_ni</f>
        <v>4830.771</v>
      </c>
      <c r="E614" s="16" t="n">
        <f aca="false">(E611+E613)*(1-tax)</f>
        <v>6929.40978489039</v>
      </c>
      <c r="F614" s="16" t="n">
        <f aca="false">(F611+F613)*(1-tax)</f>
        <v>8157.595970253</v>
      </c>
      <c r="G614" s="16" t="n">
        <f aca="false">(G611+G613)*(1-tax)</f>
        <v>9372.41607825315</v>
      </c>
    </row>
    <row r="615" customFormat="false" ht="15" hidden="false" customHeight="false" outlineLevel="0" collapsed="false">
      <c r="A615" s="5" t="s">
        <v>409</v>
      </c>
      <c r="B615" s="5" t="s">
        <v>151</v>
      </c>
      <c r="C615" s="16" t="n">
        <f aca="false">a25_sh</f>
        <v>1337.502</v>
      </c>
      <c r="D615" s="16" t="n">
        <f aca="false">a26_sh</f>
        <v>1319.633</v>
      </c>
      <c r="E615" s="16" t="n">
        <f aca="false">shares27</f>
        <v>1312</v>
      </c>
      <c r="F615" s="16" t="n">
        <f aca="false">E615*(1-bb)</f>
        <v>1294.47170621053</v>
      </c>
      <c r="G615" s="16" t="n">
        <f aca="false">F615*(1-bb)</f>
        <v>1277.17759007592</v>
      </c>
    </row>
    <row r="616" customFormat="false" ht="17.15" hidden="false" customHeight="false" outlineLevel="0" collapsed="false">
      <c r="A616" s="0" t="s">
        <v>367</v>
      </c>
      <c r="B616" s="0" t="s">
        <v>169</v>
      </c>
      <c r="C616" s="13" t="n">
        <f aca="false">a25_eps</f>
        <v>3.04</v>
      </c>
      <c r="D616" s="13" t="n">
        <f aca="false">a26_eps</f>
        <v>3.66</v>
      </c>
      <c r="E616" s="13" t="n">
        <f aca="false">E614/E615</f>
        <v>5.2815623360445</v>
      </c>
      <c r="F616" s="13" t="n">
        <f aca="false">F614/F615</f>
        <v>6.30187274941199</v>
      </c>
      <c r="G616" s="13" t="n">
        <f aca="false">G614/G615</f>
        <v>7.33838124868447</v>
      </c>
    </row>
    <row r="617" customFormat="false" ht="17.15" hidden="false" customHeight="false" outlineLevel="0" collapsed="false">
      <c r="A617" s="5" t="s">
        <v>410</v>
      </c>
      <c r="B617" s="0" t="s">
        <v>41</v>
      </c>
      <c r="D617" s="20" t="n">
        <f aca="false">a26_rev*chn_sh26</f>
        <v>4073.8428</v>
      </c>
      <c r="E617" s="20" t="n">
        <f aca="false">E607*chn_sh26*(1-chn_cut*IF(2027=2027,0.5,1))</f>
        <v>5347.76878594268</v>
      </c>
      <c r="F617" s="20" t="n">
        <f aca="false">F607*chn_sh26*(1-chn_cut*IF(2028=2027,0.5,1))</f>
        <v>6120.74711621728</v>
      </c>
      <c r="G617" s="20" t="n">
        <f aca="false">G607*chn_sh26*(1-chn_cut*IF(2029=2027,0.5,1))</f>
        <v>6894.97988374518</v>
      </c>
      <c r="H617" s="5" t="s">
        <v>411</v>
      </c>
    </row>
    <row r="626" customFormat="false" ht="17.15" hidden="false" customHeight="false" outlineLevel="0" collapsed="false">
      <c r="A626" s="3" t="s">
        <v>712</v>
      </c>
    </row>
    <row r="627" customFormat="false" ht="17.15" hidden="false" customHeight="false" outlineLevel="0" collapsed="false">
      <c r="A627" s="6" t="s">
        <v>15</v>
      </c>
      <c r="B627" s="6" t="s">
        <v>16</v>
      </c>
      <c r="C627" s="14" t="s">
        <v>377</v>
      </c>
      <c r="D627" s="14" t="s">
        <v>378</v>
      </c>
      <c r="E627" s="14" t="s">
        <v>379</v>
      </c>
      <c r="F627" s="14" t="s">
        <v>380</v>
      </c>
      <c r="G627" s="14" t="s">
        <v>381</v>
      </c>
      <c r="H627" s="6" t="s">
        <v>306</v>
      </c>
    </row>
    <row r="628" customFormat="false" ht="17.15" hidden="false" customHeight="false" outlineLevel="0" collapsed="false">
      <c r="A628" s="1" t="s">
        <v>382</v>
      </c>
    </row>
    <row r="629" customFormat="false" ht="17.15" hidden="false" customHeight="false" outlineLevel="0" collapsed="false">
      <c r="A629" s="5" t="s">
        <v>383</v>
      </c>
      <c r="B629" s="0" t="s">
        <v>41</v>
      </c>
      <c r="C629" s="16" t="n">
        <f aca="false">(Units!C8+m_mem*Units!C11)*1000</f>
        <v>117874.05938505</v>
      </c>
      <c r="D629" s="16" t="n">
        <f aca="false">(Units!D8+m_mem*Units!D11)*1000</f>
        <v>157598.72745742</v>
      </c>
      <c r="E629" s="16" t="n">
        <f aca="false">(Units!E8+m_mem*Units!E11)*1000</f>
        <v>194734.950900524</v>
      </c>
      <c r="F629" s="16" t="n">
        <f aca="false">(Units!F8+m_mem*Units!F11)*1000</f>
        <v>218802.231022447</v>
      </c>
      <c r="G629" s="16" t="n">
        <f aca="false">(Units!G8+m_mem*Units!G11)*1000</f>
        <v>231172.69409247</v>
      </c>
      <c r="H629" s="5" t="s">
        <v>384</v>
      </c>
    </row>
    <row r="630" customFormat="false" ht="15" hidden="false" customHeight="false" outlineLevel="0" collapsed="false">
      <c r="A630" s="5" t="s">
        <v>385</v>
      </c>
      <c r="B630" s="0" t="s">
        <v>41</v>
      </c>
      <c r="C630" s="16" t="n">
        <f aca="false">Units!C12*1000</f>
        <v>3056.56934306569</v>
      </c>
      <c r="D630" s="16" t="n">
        <f aca="false">Units!D12*1000</f>
        <v>3350</v>
      </c>
      <c r="E630" s="16" t="n">
        <f aca="false">Units!E12*1000</f>
        <v>3795.39194286967</v>
      </c>
      <c r="F630" s="16" t="n">
        <f aca="false">Units!F12*1000</f>
        <v>4300</v>
      </c>
      <c r="G630" s="16" t="n">
        <f aca="false">Units!G12*1000</f>
        <v>4644</v>
      </c>
    </row>
    <row r="631" customFormat="false" ht="17.15" hidden="false" customHeight="false" outlineLevel="0" collapsed="false">
      <c r="A631" s="5" t="s">
        <v>386</v>
      </c>
      <c r="B631" s="0" t="s">
        <v>41</v>
      </c>
      <c r="D631" s="16" t="n">
        <f aca="false">h1_rev*(2+h2up)</f>
        <v>15559.8432</v>
      </c>
      <c r="H631" s="5" t="s">
        <v>387</v>
      </c>
    </row>
    <row r="632" customFormat="false" ht="17.15" hidden="false" customHeight="false" outlineLevel="0" collapsed="false">
      <c r="A632" s="5" t="s">
        <v>388</v>
      </c>
      <c r="B632" s="0" t="s">
        <v>41</v>
      </c>
      <c r="D632" s="16" t="n">
        <f aca="false">h1_svc*(2+g_svc_h2)</f>
        <v>3286.1223</v>
      </c>
    </row>
    <row r="633" customFormat="false" ht="17.15" hidden="false" customHeight="false" outlineLevel="0" collapsed="false">
      <c r="A633" s="0" t="s">
        <v>389</v>
      </c>
      <c r="B633" s="0" t="s">
        <v>41</v>
      </c>
      <c r="D633" s="16" t="n">
        <f aca="false">cy25_oth*(1+g_oth26)</f>
        <v>1528.965</v>
      </c>
    </row>
    <row r="634" customFormat="false" ht="17.15" hidden="false" customHeight="false" outlineLevel="0" collapsed="false">
      <c r="A634" s="5" t="s">
        <v>390</v>
      </c>
      <c r="B634" s="0" t="s">
        <v>41</v>
      </c>
      <c r="C634" s="16" t="n">
        <f aca="false">ap26/(1+ap_g26)</f>
        <v>647.058823529412</v>
      </c>
      <c r="D634" s="16" t="n">
        <f aca="false">ap26</f>
        <v>1100</v>
      </c>
      <c r="E634" s="16" t="n">
        <f aca="false">D634*(1+k_ap*(E630/D630-1))</f>
        <v>1392.49620128754</v>
      </c>
      <c r="F634" s="16" t="n">
        <f aca="false">E634*(1+k_ap*(F630/E630-1))</f>
        <v>1762.76879145476</v>
      </c>
      <c r="G634" s="16" t="n">
        <f aca="false">F634*(1+k_ap*(G630/F630-1))</f>
        <v>2044.81179808753</v>
      </c>
      <c r="H634" s="8" t="s">
        <v>391</v>
      </c>
    </row>
    <row r="635" customFormat="false" ht="17.15" hidden="false" customHeight="false" outlineLevel="0" collapsed="false">
      <c r="A635" s="5" t="s">
        <v>392</v>
      </c>
      <c r="B635" s="0" t="s">
        <v>41</v>
      </c>
      <c r="C635" s="16" t="n">
        <f aca="false">C637-C634</f>
        <v>7971.85117647059</v>
      </c>
      <c r="D635" s="16" t="n">
        <f aca="false">D637-D634</f>
        <v>9644.7559</v>
      </c>
      <c r="E635" s="16" t="n">
        <f aca="false">E636*E629</f>
        <v>12268.521584997</v>
      </c>
      <c r="F635" s="16" t="n">
        <f aca="false">F636*F629</f>
        <v>14190.8975186426</v>
      </c>
      <c r="G635" s="16" t="n">
        <f aca="false">G636*G629</f>
        <v>15434.9221703084</v>
      </c>
      <c r="H635" s="8" t="s">
        <v>393</v>
      </c>
    </row>
    <row r="636" customFormat="false" ht="17.15" hidden="false" customHeight="false" outlineLevel="0" collapsed="false">
      <c r="A636" s="5" t="s">
        <v>394</v>
      </c>
      <c r="B636" s="0" t="s">
        <v>26</v>
      </c>
      <c r="C636" s="21" t="n">
        <f aca="false">C635/C629</f>
        <v>0.0676302421250259</v>
      </c>
      <c r="D636" s="21" t="n">
        <f aca="false">D635/D629</f>
        <v>0.0611981838660836</v>
      </c>
      <c r="E636" s="21" t="n">
        <f aca="false">$D636*(1+pc_u)^1</f>
        <v>0.0630011280885271</v>
      </c>
      <c r="F636" s="21" t="n">
        <f aca="false">$D636*(1+pc_u)^2</f>
        <v>0.0648571883948786</v>
      </c>
      <c r="G636" s="21" t="n">
        <f aca="false">$D636*(1+pc_u)^3</f>
        <v>0.0667679296246569</v>
      </c>
      <c r="H636" s="8" t="s">
        <v>395</v>
      </c>
    </row>
    <row r="637" customFormat="false" ht="17.15" hidden="false" customHeight="false" outlineLevel="0" collapsed="false">
      <c r="A637" s="5" t="s">
        <v>396</v>
      </c>
      <c r="B637" s="0" t="s">
        <v>41</v>
      </c>
      <c r="C637" s="16" t="n">
        <f aca="false">cy25_sys</f>
        <v>8618.91</v>
      </c>
      <c r="D637" s="16" t="n">
        <f aca="false">D631-D632-D633</f>
        <v>10744.7559</v>
      </c>
      <c r="E637" s="16" t="n">
        <f aca="false">(E635+E634)*(1-chn_sh26*chn_cut)</f>
        <v>13661.0177862845</v>
      </c>
      <c r="F637" s="16" t="n">
        <f aca="false">(F635+F634)*(1-chn_sh26*chn_cut)</f>
        <v>15953.6663100973</v>
      </c>
      <c r="G637" s="16" t="n">
        <f aca="false">(G635+G634)*(1-chn_sh26*chn_cut)</f>
        <v>17479.7339683959</v>
      </c>
      <c r="H637" s="8" t="s">
        <v>397</v>
      </c>
    </row>
    <row r="638" customFormat="false" ht="17.15" hidden="false" customHeight="false" outlineLevel="0" collapsed="false">
      <c r="A638" s="5" t="s">
        <v>398</v>
      </c>
      <c r="B638" s="0" t="s">
        <v>26</v>
      </c>
      <c r="C638" s="10" t="n">
        <f aca="false">C636/kla_sh_pc</f>
        <v>0.116603865732803</v>
      </c>
      <c r="D638" s="10" t="n">
        <f aca="false">D636/kla_sh_pc</f>
        <v>0.105514110113937</v>
      </c>
      <c r="E638" s="10" t="n">
        <f aca="false">E636/kla_sh_pc</f>
        <v>0.108622634635392</v>
      </c>
      <c r="F638" s="10" t="n">
        <f aca="false">F636/kla_sh_pc</f>
        <v>0.11182273861186</v>
      </c>
      <c r="G638" s="10" t="n">
        <f aca="false">G636/kla_sh_pc</f>
        <v>0.115117120042512</v>
      </c>
      <c r="H638" s="8" t="s">
        <v>399</v>
      </c>
    </row>
    <row r="639" customFormat="false" ht="17.15" hidden="false" customHeight="false" outlineLevel="0" collapsed="false">
      <c r="A639" s="1" t="s">
        <v>400</v>
      </c>
    </row>
    <row r="640" customFormat="false" ht="17.15" hidden="false" customHeight="false" outlineLevel="0" collapsed="false">
      <c r="A640" s="5" t="s">
        <v>401</v>
      </c>
      <c r="B640" s="0" t="s">
        <v>41</v>
      </c>
      <c r="C640" s="16" t="n">
        <f aca="false">a25_sys</f>
        <v>8264.026</v>
      </c>
      <c r="D640" s="16" t="n">
        <f aca="false">a26_sys</f>
        <v>9119.058</v>
      </c>
      <c r="E640" s="16" t="n">
        <f aca="false">(D637-h1_sys)+0.5*E637</f>
        <v>12830.2277931423</v>
      </c>
      <c r="F640" s="16" t="n">
        <f aca="false">0.5*E637+0.5*F637</f>
        <v>14807.3420481909</v>
      </c>
      <c r="G640" s="16" t="n">
        <f aca="false">0.5*F637+0.5*G637</f>
        <v>16716.7001392466</v>
      </c>
      <c r="H640" s="8" t="s">
        <v>402</v>
      </c>
    </row>
    <row r="641" customFormat="false" ht="15" hidden="false" customHeight="false" outlineLevel="0" collapsed="false">
      <c r="A641" s="5" t="s">
        <v>254</v>
      </c>
      <c r="B641" s="0" t="s">
        <v>41</v>
      </c>
      <c r="C641" s="16" t="n">
        <f aca="false">a25_svc</f>
        <v>2683.308</v>
      </c>
      <c r="D641" s="16" t="n">
        <f aca="false">a26_svc</f>
        <v>3125.939</v>
      </c>
      <c r="E641" s="16" t="n">
        <f aca="false">D641*(1+g_svc_A_hi)</f>
        <v>3626.08924</v>
      </c>
      <c r="F641" s="16" t="n">
        <f aca="false">E641*(1+g_svc_A_hi)</f>
        <v>4206.2635184</v>
      </c>
      <c r="G641" s="16" t="n">
        <f aca="false">F641*(1+g_svc_A_hi)</f>
        <v>4879.265681344</v>
      </c>
    </row>
    <row r="642" customFormat="false" ht="17.15" hidden="false" customHeight="false" outlineLevel="0" collapsed="false">
      <c r="A642" s="0" t="s">
        <v>403</v>
      </c>
      <c r="B642" s="0" t="s">
        <v>41</v>
      </c>
      <c r="C642" s="16" t="n">
        <f aca="false">a25_oth</f>
        <v>1208.828</v>
      </c>
      <c r="D642" s="16" t="n">
        <f aca="false">a26_oth</f>
        <v>1334.479</v>
      </c>
      <c r="E642" s="16" t="n">
        <f aca="false">D642*(1+g_oth_A)</f>
        <v>1494.61648</v>
      </c>
      <c r="F642" s="16" t="n">
        <f aca="false">E642*(1+g_oth_A)</f>
        <v>1673.9704576</v>
      </c>
      <c r="G642" s="16" t="n">
        <f aca="false">F642*(1+g_oth_A)</f>
        <v>1874.846912512</v>
      </c>
    </row>
    <row r="643" customFormat="false" ht="17.15" hidden="false" customHeight="false" outlineLevel="0" collapsed="false">
      <c r="A643" s="5" t="s">
        <v>248</v>
      </c>
      <c r="B643" s="0" t="s">
        <v>41</v>
      </c>
      <c r="C643" s="16" t="n">
        <f aca="false">C640+C641+C642</f>
        <v>12156.162</v>
      </c>
      <c r="D643" s="16" t="n">
        <f aca="false">D640+D641+D642</f>
        <v>13579.476</v>
      </c>
      <c r="E643" s="16" t="n">
        <f aca="false">E640+E641+E642</f>
        <v>17950.9335131423</v>
      </c>
      <c r="F643" s="16" t="n">
        <f aca="false">F640+F641+F642</f>
        <v>20687.5760241909</v>
      </c>
      <c r="G643" s="16" t="n">
        <f aca="false">G640+G641+G642</f>
        <v>23470.8127331026</v>
      </c>
      <c r="H643" s="8" t="s">
        <v>404</v>
      </c>
    </row>
    <row r="644" customFormat="false" ht="17.15" hidden="false" customHeight="false" outlineLevel="0" collapsed="false">
      <c r="A644" s="5" t="s">
        <v>267</v>
      </c>
      <c r="B644" s="0" t="s">
        <v>41</v>
      </c>
      <c r="C644" s="16" t="n">
        <f aca="false">a25_gp</f>
        <v>7404.295</v>
      </c>
      <c r="D644" s="16" t="n">
        <f aca="false">a26_gp</f>
        <v>8324.416</v>
      </c>
      <c r="E644" s="16" t="n">
        <f aca="false">a26_gp+gm_inc*(E643-a26_rev)</f>
        <v>11150.405106023</v>
      </c>
      <c r="F644" s="16" t="n">
        <f aca="false">a26_gp+gm_inc*(F643-a26_rev)</f>
        <v>12919.5454671159</v>
      </c>
      <c r="G644" s="16" t="n">
        <f aca="false">a26_gp+gm_inc*(G643-a26_rev)</f>
        <v>14718.8072911691</v>
      </c>
      <c r="H644" s="8" t="s">
        <v>405</v>
      </c>
    </row>
    <row r="645" customFormat="false" ht="15" hidden="false" customHeight="false" outlineLevel="0" collapsed="false">
      <c r="A645" s="5" t="s">
        <v>363</v>
      </c>
      <c r="B645" s="0" t="s">
        <v>26</v>
      </c>
      <c r="C645" s="10" t="n">
        <f aca="false">C644/C643</f>
        <v>0.609098085398994</v>
      </c>
      <c r="D645" s="10" t="n">
        <f aca="false">D644/D643</f>
        <v>0.613014522798965</v>
      </c>
      <c r="E645" s="10" t="n">
        <f aca="false">E644/E643</f>
        <v>0.621160180770516</v>
      </c>
      <c r="F645" s="10" t="n">
        <f aca="false">F644/F643</f>
        <v>0.62450745568299</v>
      </c>
      <c r="G645" s="10" t="n">
        <f aca="false">G644/G643</f>
        <v>0.627111104269948</v>
      </c>
    </row>
    <row r="646" customFormat="false" ht="15" hidden="false" customHeight="false" outlineLevel="0" collapsed="false">
      <c r="A646" s="5" t="s">
        <v>406</v>
      </c>
      <c r="B646" s="0" t="s">
        <v>41</v>
      </c>
      <c r="C646" s="16" t="n">
        <f aca="false">a25_opx</f>
        <v>2390.068</v>
      </c>
      <c r="D646" s="16" t="n">
        <f aca="false">a26_opx</f>
        <v>2663.636</v>
      </c>
      <c r="E646" s="16" t="n">
        <f aca="false">opex27</f>
        <v>2865</v>
      </c>
      <c r="F646" s="16" t="n">
        <f aca="false">E646*(1+g_opex_A)</f>
        <v>3094.2</v>
      </c>
      <c r="G646" s="16" t="n">
        <f aca="false">F646*(1+g_opex_A)</f>
        <v>3341.736</v>
      </c>
    </row>
    <row r="647" customFormat="false" ht="17.15" hidden="false" customHeight="false" outlineLevel="0" collapsed="false">
      <c r="A647" s="5" t="s">
        <v>364</v>
      </c>
      <c r="B647" s="0" t="s">
        <v>41</v>
      </c>
      <c r="C647" s="16" t="n">
        <f aca="false">a25_oi</f>
        <v>4775.127</v>
      </c>
      <c r="D647" s="16" t="n">
        <f aca="false">D644-D646</f>
        <v>5660.78</v>
      </c>
      <c r="E647" s="16" t="n">
        <f aca="false">E644-E646</f>
        <v>8285.40510602297</v>
      </c>
      <c r="F647" s="16" t="n">
        <f aca="false">F644-F646</f>
        <v>9825.34546711589</v>
      </c>
      <c r="G647" s="16" t="n">
        <f aca="false">G644-G646</f>
        <v>11377.0712911691</v>
      </c>
      <c r="H647" s="8" t="s">
        <v>407</v>
      </c>
    </row>
    <row r="648" customFormat="false" ht="15" hidden="false" customHeight="false" outlineLevel="0" collapsed="false">
      <c r="A648" s="5" t="s">
        <v>365</v>
      </c>
      <c r="B648" s="0" t="s">
        <v>26</v>
      </c>
      <c r="C648" s="10" t="n">
        <f aca="false">C647/C643</f>
        <v>0.392815347475626</v>
      </c>
      <c r="D648" s="10" t="n">
        <f aca="false">D647/D643</f>
        <v>0.416862918716451</v>
      </c>
      <c r="E648" s="10" t="n">
        <f aca="false">E647/E643</f>
        <v>0.461558453211196</v>
      </c>
      <c r="F648" s="10" t="n">
        <f aca="false">F647/F643</f>
        <v>0.474939425267932</v>
      </c>
      <c r="G648" s="10" t="n">
        <f aca="false">G647/G643</f>
        <v>0.484732736805625</v>
      </c>
    </row>
    <row r="649" customFormat="false" ht="15" hidden="false" customHeight="false" outlineLevel="0" collapsed="false">
      <c r="A649" s="5" t="s">
        <v>408</v>
      </c>
      <c r="B649" s="0" t="s">
        <v>41</v>
      </c>
      <c r="C649" s="16" t="n">
        <f aca="false">a25_nonop</f>
        <v>-130.679</v>
      </c>
      <c r="D649" s="16" t="n">
        <f aca="false">a26_nonop</f>
        <v>-54.855</v>
      </c>
      <c r="E649" s="16" t="n">
        <f aca="false">oth_exp</f>
        <v>-100</v>
      </c>
      <c r="F649" s="16" t="n">
        <f aca="false">oth_exp</f>
        <v>-100</v>
      </c>
      <c r="G649" s="16" t="n">
        <f aca="false">oth_exp</f>
        <v>-100</v>
      </c>
    </row>
    <row r="650" customFormat="false" ht="15" hidden="false" customHeight="false" outlineLevel="0" collapsed="false">
      <c r="A650" s="5" t="s">
        <v>366</v>
      </c>
      <c r="B650" s="0" t="s">
        <v>41</v>
      </c>
      <c r="C650" s="16" t="n">
        <f aca="false">a25_ni</f>
        <v>4061.643</v>
      </c>
      <c r="D650" s="16" t="n">
        <f aca="false">a26_ni</f>
        <v>4830.771</v>
      </c>
      <c r="E650" s="16" t="n">
        <f aca="false">(E647+E649)*(1-tax)</f>
        <v>6998.52136564964</v>
      </c>
      <c r="F650" s="16" t="n">
        <f aca="false">(F647+F649)*(1-tax)</f>
        <v>8315.17037438408</v>
      </c>
      <c r="G650" s="16" t="n">
        <f aca="false">(G647+G649)*(1-tax)</f>
        <v>9641.89595394961</v>
      </c>
    </row>
    <row r="651" customFormat="false" ht="15" hidden="false" customHeight="false" outlineLevel="0" collapsed="false">
      <c r="A651" s="5" t="s">
        <v>409</v>
      </c>
      <c r="B651" s="5" t="s">
        <v>151</v>
      </c>
      <c r="C651" s="16" t="n">
        <f aca="false">a25_sh</f>
        <v>1337.502</v>
      </c>
      <c r="D651" s="16" t="n">
        <f aca="false">a26_sh</f>
        <v>1319.633</v>
      </c>
      <c r="E651" s="16" t="n">
        <f aca="false">shares27</f>
        <v>1312</v>
      </c>
      <c r="F651" s="16" t="n">
        <f aca="false">E651*(1-bb)</f>
        <v>1294.47170621053</v>
      </c>
      <c r="G651" s="16" t="n">
        <f aca="false">F651*(1-bb)</f>
        <v>1277.17759007592</v>
      </c>
    </row>
    <row r="652" customFormat="false" ht="17.15" hidden="false" customHeight="false" outlineLevel="0" collapsed="false">
      <c r="A652" s="0" t="s">
        <v>367</v>
      </c>
      <c r="B652" s="0" t="s">
        <v>169</v>
      </c>
      <c r="C652" s="13" t="n">
        <f aca="false">a25_eps</f>
        <v>3.04</v>
      </c>
      <c r="D652" s="13" t="n">
        <f aca="false">a26_eps</f>
        <v>3.66</v>
      </c>
      <c r="E652" s="13" t="n">
        <f aca="false">E650/E651</f>
        <v>5.33423884576954</v>
      </c>
      <c r="F652" s="13" t="n">
        <f aca="false">F650/F651</f>
        <v>6.42360148506151</v>
      </c>
      <c r="G652" s="13" t="n">
        <f aca="false">G650/G651</f>
        <v>7.54937765027373</v>
      </c>
    </row>
    <row r="653" customFormat="false" ht="17.15" hidden="false" customHeight="false" outlineLevel="0" collapsed="false">
      <c r="A653" s="5" t="s">
        <v>410</v>
      </c>
      <c r="B653" s="0" t="s">
        <v>41</v>
      </c>
      <c r="D653" s="20" t="n">
        <f aca="false">a26_rev*chn_sh26</f>
        <v>4073.8428</v>
      </c>
      <c r="E653" s="20" t="n">
        <f aca="false">E643*chn_sh26*(1-chn_cut*IF(2027=2027,0.5,1))</f>
        <v>5385.28005394268</v>
      </c>
      <c r="F653" s="20" t="n">
        <f aca="false">F643*chn_sh26*(1-chn_cut*IF(2028=2027,0.5,1))</f>
        <v>6206.27280725728</v>
      </c>
      <c r="G653" s="20" t="n">
        <f aca="false">G643*chn_sh26*(1-chn_cut*IF(2029=2027,0.5,1))</f>
        <v>7041.24381993078</v>
      </c>
      <c r="H653" s="5" t="s">
        <v>411</v>
      </c>
    </row>
    <row r="662" customFormat="false" ht="17.15" hidden="false" customHeight="false" outlineLevel="0" collapsed="false">
      <c r="A662" s="3" t="s">
        <v>713</v>
      </c>
    </row>
    <row r="663" customFormat="false" ht="17.15" hidden="false" customHeight="false" outlineLevel="0" collapsed="false">
      <c r="A663" s="6" t="s">
        <v>15</v>
      </c>
      <c r="B663" s="6" t="s">
        <v>16</v>
      </c>
      <c r="C663" s="14" t="s">
        <v>377</v>
      </c>
      <c r="D663" s="14" t="s">
        <v>378</v>
      </c>
      <c r="E663" s="14" t="s">
        <v>379</v>
      </c>
      <c r="F663" s="14" t="s">
        <v>380</v>
      </c>
      <c r="G663" s="14" t="s">
        <v>381</v>
      </c>
      <c r="H663" s="6" t="s">
        <v>306</v>
      </c>
    </row>
    <row r="664" customFormat="false" ht="17.15" hidden="false" customHeight="false" outlineLevel="0" collapsed="false">
      <c r="A664" s="1" t="s">
        <v>382</v>
      </c>
    </row>
    <row r="665" customFormat="false" ht="17.15" hidden="false" customHeight="false" outlineLevel="0" collapsed="false">
      <c r="A665" s="5" t="s">
        <v>383</v>
      </c>
      <c r="B665" s="0" t="s">
        <v>41</v>
      </c>
      <c r="C665" s="16" t="n">
        <f aca="false">(Units!C8+m_mem*Units!C11)*1000</f>
        <v>117874.05938505</v>
      </c>
      <c r="D665" s="16" t="n">
        <f aca="false">(Units!D8+m_mem*Units!D11)*1000</f>
        <v>157598.72745742</v>
      </c>
      <c r="E665" s="16" t="n">
        <f aca="false">(Units!E8+m_mem*Units!E11)*1000</f>
        <v>194734.950900524</v>
      </c>
      <c r="F665" s="16" t="n">
        <f aca="false">(Units!F8+m_mem*Units!F11)*1000</f>
        <v>218802.231022447</v>
      </c>
      <c r="G665" s="16" t="n">
        <f aca="false">(Units!G8+m_mem*Units!G11)*1000</f>
        <v>231172.69409247</v>
      </c>
      <c r="H665" s="5" t="s">
        <v>384</v>
      </c>
    </row>
    <row r="666" customFormat="false" ht="15" hidden="false" customHeight="false" outlineLevel="0" collapsed="false">
      <c r="A666" s="5" t="s">
        <v>385</v>
      </c>
      <c r="B666" s="0" t="s">
        <v>41</v>
      </c>
      <c r="C666" s="16" t="n">
        <f aca="false">Units!C12*1000</f>
        <v>3056.56934306569</v>
      </c>
      <c r="D666" s="16" t="n">
        <f aca="false">Units!D12*1000</f>
        <v>3350</v>
      </c>
      <c r="E666" s="16" t="n">
        <f aca="false">Units!E12*1000</f>
        <v>3795.39194286967</v>
      </c>
      <c r="F666" s="16" t="n">
        <f aca="false">Units!F12*1000</f>
        <v>4300</v>
      </c>
      <c r="G666" s="16" t="n">
        <f aca="false">Units!G12*1000</f>
        <v>4644</v>
      </c>
    </row>
    <row r="667" customFormat="false" ht="17.15" hidden="false" customHeight="false" outlineLevel="0" collapsed="false">
      <c r="A667" s="5" t="s">
        <v>386</v>
      </c>
      <c r="B667" s="0" t="s">
        <v>41</v>
      </c>
      <c r="D667" s="16" t="n">
        <f aca="false">h1_rev*(2+h2up)</f>
        <v>15559.8432</v>
      </c>
      <c r="H667" s="5" t="s">
        <v>387</v>
      </c>
    </row>
    <row r="668" customFormat="false" ht="17.15" hidden="false" customHeight="false" outlineLevel="0" collapsed="false">
      <c r="A668" s="5" t="s">
        <v>388</v>
      </c>
      <c r="B668" s="0" t="s">
        <v>41</v>
      </c>
      <c r="D668" s="16" t="n">
        <f aca="false">h1_svc*(2+g_svc_h2)</f>
        <v>3286.1223</v>
      </c>
    </row>
    <row r="669" customFormat="false" ht="17.15" hidden="false" customHeight="false" outlineLevel="0" collapsed="false">
      <c r="A669" s="0" t="s">
        <v>389</v>
      </c>
      <c r="B669" s="0" t="s">
        <v>41</v>
      </c>
      <c r="D669" s="16" t="n">
        <f aca="false">cy25_oth*(1+g_oth26)</f>
        <v>1528.965</v>
      </c>
    </row>
    <row r="670" customFormat="false" ht="17.15" hidden="false" customHeight="false" outlineLevel="0" collapsed="false">
      <c r="A670" s="5" t="s">
        <v>390</v>
      </c>
      <c r="B670" s="0" t="s">
        <v>41</v>
      </c>
      <c r="C670" s="16" t="n">
        <f aca="false">ap26/(1+ap_g26)</f>
        <v>647.058823529412</v>
      </c>
      <c r="D670" s="16" t="n">
        <f aca="false">ap26</f>
        <v>1100</v>
      </c>
      <c r="E670" s="16" t="n">
        <f aca="false">D670*(1+k_ap*(E666/D666-1))</f>
        <v>1392.49620128754</v>
      </c>
      <c r="F670" s="16" t="n">
        <f aca="false">E670*(1+k_ap*(F666/E666-1))</f>
        <v>1762.76879145476</v>
      </c>
      <c r="G670" s="16" t="n">
        <f aca="false">F670*(1+k_ap*(G666/F666-1))</f>
        <v>2044.81179808753</v>
      </c>
      <c r="H670" s="8" t="s">
        <v>391</v>
      </c>
    </row>
    <row r="671" customFormat="false" ht="17.15" hidden="false" customHeight="false" outlineLevel="0" collapsed="false">
      <c r="A671" s="5" t="s">
        <v>392</v>
      </c>
      <c r="B671" s="0" t="s">
        <v>41</v>
      </c>
      <c r="C671" s="16" t="n">
        <f aca="false">C673-C670</f>
        <v>7971.85117647059</v>
      </c>
      <c r="D671" s="16" t="n">
        <f aca="false">D673-D670</f>
        <v>9644.7559</v>
      </c>
      <c r="E671" s="16" t="n">
        <f aca="false">E672*E665</f>
        <v>12268.521584997</v>
      </c>
      <c r="F671" s="16" t="n">
        <f aca="false">F672*F665</f>
        <v>14190.8975186426</v>
      </c>
      <c r="G671" s="16" t="n">
        <f aca="false">G672*G665</f>
        <v>15434.9221703084</v>
      </c>
      <c r="H671" s="8" t="s">
        <v>393</v>
      </c>
    </row>
    <row r="672" customFormat="false" ht="17.15" hidden="false" customHeight="false" outlineLevel="0" collapsed="false">
      <c r="A672" s="5" t="s">
        <v>394</v>
      </c>
      <c r="B672" s="0" t="s">
        <v>26</v>
      </c>
      <c r="C672" s="21" t="n">
        <f aca="false">C671/C665</f>
        <v>0.0676302421250259</v>
      </c>
      <c r="D672" s="21" t="n">
        <f aca="false">D671/D665</f>
        <v>0.0611981838660836</v>
      </c>
      <c r="E672" s="21" t="n">
        <f aca="false">$D672*(1+pc_u)^1</f>
        <v>0.0630011280885271</v>
      </c>
      <c r="F672" s="21" t="n">
        <f aca="false">$D672*(1+pc_u)^2</f>
        <v>0.0648571883948786</v>
      </c>
      <c r="G672" s="21" t="n">
        <f aca="false">$D672*(1+pc_u)^3</f>
        <v>0.0667679296246569</v>
      </c>
      <c r="H672" s="8" t="s">
        <v>395</v>
      </c>
    </row>
    <row r="673" customFormat="false" ht="17.15" hidden="false" customHeight="false" outlineLevel="0" collapsed="false">
      <c r="A673" s="5" t="s">
        <v>396</v>
      </c>
      <c r="B673" s="0" t="s">
        <v>41</v>
      </c>
      <c r="C673" s="16" t="n">
        <f aca="false">cy25_sys</f>
        <v>8618.91</v>
      </c>
      <c r="D673" s="16" t="n">
        <f aca="false">D667-D668-D669</f>
        <v>10744.7559</v>
      </c>
      <c r="E673" s="16" t="n">
        <f aca="false">(E671+E670)*(1-chn_sh26*chn_cut)</f>
        <v>13661.0177862845</v>
      </c>
      <c r="F673" s="16" t="n">
        <f aca="false">(F671+F670)*(1-chn_sh26*chn_cut)</f>
        <v>15953.6663100973</v>
      </c>
      <c r="G673" s="16" t="n">
        <f aca="false">(G671+G670)*(1-chn_sh26*chn_cut)</f>
        <v>17479.7339683959</v>
      </c>
      <c r="H673" s="8" t="s">
        <v>397</v>
      </c>
    </row>
    <row r="674" customFormat="false" ht="17.15" hidden="false" customHeight="false" outlineLevel="0" collapsed="false">
      <c r="A674" s="5" t="s">
        <v>398</v>
      </c>
      <c r="B674" s="0" t="s">
        <v>26</v>
      </c>
      <c r="C674" s="10" t="n">
        <f aca="false">C672/kla_sh_pc</f>
        <v>0.116603865732803</v>
      </c>
      <c r="D674" s="10" t="n">
        <f aca="false">D672/kla_sh_pc</f>
        <v>0.105514110113937</v>
      </c>
      <c r="E674" s="10" t="n">
        <f aca="false">E672/kla_sh_pc</f>
        <v>0.108622634635392</v>
      </c>
      <c r="F674" s="10" t="n">
        <f aca="false">F672/kla_sh_pc</f>
        <v>0.11182273861186</v>
      </c>
      <c r="G674" s="10" t="n">
        <f aca="false">G672/kla_sh_pc</f>
        <v>0.115117120042512</v>
      </c>
      <c r="H674" s="8" t="s">
        <v>399</v>
      </c>
    </row>
    <row r="675" customFormat="false" ht="17.15" hidden="false" customHeight="false" outlineLevel="0" collapsed="false">
      <c r="A675" s="1" t="s">
        <v>400</v>
      </c>
    </row>
    <row r="676" customFormat="false" ht="17.15" hidden="false" customHeight="false" outlineLevel="0" collapsed="false">
      <c r="A676" s="5" t="s">
        <v>401</v>
      </c>
      <c r="B676" s="0" t="s">
        <v>41</v>
      </c>
      <c r="C676" s="16" t="n">
        <f aca="false">a25_sys</f>
        <v>8264.026</v>
      </c>
      <c r="D676" s="16" t="n">
        <f aca="false">a26_sys</f>
        <v>9119.058</v>
      </c>
      <c r="E676" s="16" t="n">
        <f aca="false">(D673-h1_sys)+0.5*E673</f>
        <v>12830.2277931423</v>
      </c>
      <c r="F676" s="16" t="n">
        <f aca="false">0.5*E673+0.5*F673</f>
        <v>14807.3420481909</v>
      </c>
      <c r="G676" s="16" t="n">
        <f aca="false">0.5*F673+0.5*G673</f>
        <v>16716.7001392466</v>
      </c>
      <c r="H676" s="8" t="s">
        <v>402</v>
      </c>
    </row>
    <row r="677" customFormat="false" ht="15" hidden="false" customHeight="false" outlineLevel="0" collapsed="false">
      <c r="A677" s="5" t="s">
        <v>254</v>
      </c>
      <c r="B677" s="0" t="s">
        <v>41</v>
      </c>
      <c r="C677" s="16" t="n">
        <f aca="false">a25_svc</f>
        <v>2683.308</v>
      </c>
      <c r="D677" s="16" t="n">
        <f aca="false">a26_svc</f>
        <v>3125.939</v>
      </c>
      <c r="E677" s="16" t="n">
        <f aca="false">D677*(1+g_svc_A)</f>
        <v>3563.57046</v>
      </c>
      <c r="F677" s="16" t="n">
        <f aca="false">E677*(1+g_svc_A)</f>
        <v>4062.4703244</v>
      </c>
      <c r="G677" s="16" t="n">
        <f aca="false">F677*(1+g_svc_A)</f>
        <v>4631.216169816</v>
      </c>
    </row>
    <row r="678" customFormat="false" ht="17.15" hidden="false" customHeight="false" outlineLevel="0" collapsed="false">
      <c r="A678" s="0" t="s">
        <v>403</v>
      </c>
      <c r="B678" s="0" t="s">
        <v>41</v>
      </c>
      <c r="C678" s="16" t="n">
        <f aca="false">a25_oth</f>
        <v>1208.828</v>
      </c>
      <c r="D678" s="16" t="n">
        <f aca="false">a26_oth</f>
        <v>1334.479</v>
      </c>
      <c r="E678" s="16" t="n">
        <f aca="false">D678*(1+g_oth_A)</f>
        <v>1494.61648</v>
      </c>
      <c r="F678" s="16" t="n">
        <f aca="false">E678*(1+g_oth_A)</f>
        <v>1673.9704576</v>
      </c>
      <c r="G678" s="16" t="n">
        <f aca="false">F678*(1+g_oth_A)</f>
        <v>1874.846912512</v>
      </c>
    </row>
    <row r="679" customFormat="false" ht="17.15" hidden="false" customHeight="false" outlineLevel="0" collapsed="false">
      <c r="A679" s="5" t="s">
        <v>248</v>
      </c>
      <c r="B679" s="0" t="s">
        <v>41</v>
      </c>
      <c r="C679" s="16" t="n">
        <f aca="false">C676+C677+C678</f>
        <v>12156.162</v>
      </c>
      <c r="D679" s="16" t="n">
        <f aca="false">D676+D677+D678</f>
        <v>13579.476</v>
      </c>
      <c r="E679" s="16" t="n">
        <f aca="false">E676+E677+E678</f>
        <v>17888.4147331423</v>
      </c>
      <c r="F679" s="16" t="n">
        <f aca="false">F676+F677+F678</f>
        <v>20543.7828301909</v>
      </c>
      <c r="G679" s="16" t="n">
        <f aca="false">G676+G677+G678</f>
        <v>23222.7632215746</v>
      </c>
      <c r="H679" s="8" t="s">
        <v>404</v>
      </c>
    </row>
    <row r="680" customFormat="false" ht="17.15" hidden="false" customHeight="false" outlineLevel="0" collapsed="false">
      <c r="A680" s="5" t="s">
        <v>267</v>
      </c>
      <c r="B680" s="0" t="s">
        <v>41</v>
      </c>
      <c r="C680" s="16" t="n">
        <f aca="false">a25_gp</f>
        <v>7404.295</v>
      </c>
      <c r="D680" s="16" t="n">
        <f aca="false">a26_gp</f>
        <v>8324.416</v>
      </c>
      <c r="E680" s="16" t="n">
        <f aca="false">a26_gp+gm_inc*(E679-a26_rev)</f>
        <v>11109.988976924</v>
      </c>
      <c r="F680" s="16" t="n">
        <f aca="false">a26_gp+gm_inc*(F679-a26_rev)</f>
        <v>12826.5883701882</v>
      </c>
      <c r="G680" s="16" t="n">
        <f aca="false">a26_gp+gm_inc*(G679-a26_rev)</f>
        <v>14558.452257356</v>
      </c>
      <c r="H680" s="8" t="s">
        <v>405</v>
      </c>
    </row>
    <row r="681" customFormat="false" ht="15" hidden="false" customHeight="false" outlineLevel="0" collapsed="false">
      <c r="A681" s="5" t="s">
        <v>363</v>
      </c>
      <c r="B681" s="0" t="s">
        <v>26</v>
      </c>
      <c r="C681" s="10" t="n">
        <f aca="false">C680/C679</f>
        <v>0.609098085398994</v>
      </c>
      <c r="D681" s="10" t="n">
        <f aca="false">D680/D679</f>
        <v>0.613014522798965</v>
      </c>
      <c r="E681" s="10" t="n">
        <f aca="false">E680/E679</f>
        <v>0.621071746304063</v>
      </c>
      <c r="F681" s="10" t="n">
        <f aca="false">F680/F679</f>
        <v>0.624353775359153</v>
      </c>
      <c r="G681" s="10" t="n">
        <f aca="false">G680/G679</f>
        <v>0.62690439197308</v>
      </c>
    </row>
    <row r="682" customFormat="false" ht="15" hidden="false" customHeight="false" outlineLevel="0" collapsed="false">
      <c r="A682" s="5" t="s">
        <v>406</v>
      </c>
      <c r="B682" s="0" t="s">
        <v>41</v>
      </c>
      <c r="C682" s="16" t="n">
        <f aca="false">a25_opx</f>
        <v>2390.068</v>
      </c>
      <c r="D682" s="16" t="n">
        <f aca="false">a26_opx</f>
        <v>2663.636</v>
      </c>
      <c r="E682" s="16" t="n">
        <f aca="false">opex27</f>
        <v>2865</v>
      </c>
      <c r="F682" s="16" t="n">
        <f aca="false">E682*(1+g_opex_A)</f>
        <v>3094.2</v>
      </c>
      <c r="G682" s="16" t="n">
        <f aca="false">F682*(1+g_opex_A)</f>
        <v>3341.736</v>
      </c>
    </row>
    <row r="683" customFormat="false" ht="17.15" hidden="false" customHeight="false" outlineLevel="0" collapsed="false">
      <c r="A683" s="5" t="s">
        <v>364</v>
      </c>
      <c r="B683" s="0" t="s">
        <v>41</v>
      </c>
      <c r="C683" s="16" t="n">
        <f aca="false">a25_oi</f>
        <v>4775.127</v>
      </c>
      <c r="D683" s="16" t="n">
        <f aca="false">D680-D682</f>
        <v>5660.78</v>
      </c>
      <c r="E683" s="16" t="n">
        <f aca="false">E680-E682</f>
        <v>8244.98897692399</v>
      </c>
      <c r="F683" s="16" t="n">
        <f aca="false">F680-F682</f>
        <v>9732.38837018824</v>
      </c>
      <c r="G683" s="16" t="n">
        <f aca="false">G680-G682</f>
        <v>11216.716257356</v>
      </c>
      <c r="H683" s="8" t="s">
        <v>407</v>
      </c>
    </row>
    <row r="684" customFormat="false" ht="15" hidden="false" customHeight="false" outlineLevel="0" collapsed="false">
      <c r="A684" s="5" t="s">
        <v>365</v>
      </c>
      <c r="B684" s="0" t="s">
        <v>26</v>
      </c>
      <c r="C684" s="10" t="n">
        <f aca="false">C683/C679</f>
        <v>0.392815347475626</v>
      </c>
      <c r="D684" s="10" t="n">
        <f aca="false">D683/D679</f>
        <v>0.416862918716451</v>
      </c>
      <c r="E684" s="10" t="n">
        <f aca="false">E683/E679</f>
        <v>0.460912221676542</v>
      </c>
      <c r="F684" s="10" t="n">
        <f aca="false">F683/F679</f>
        <v>0.473738865457905</v>
      </c>
      <c r="G684" s="10" t="n">
        <f aca="false">G683/G679</f>
        <v>0.483005237160382</v>
      </c>
    </row>
    <row r="685" customFormat="false" ht="15" hidden="false" customHeight="false" outlineLevel="0" collapsed="false">
      <c r="A685" s="5" t="s">
        <v>408</v>
      </c>
      <c r="B685" s="0" t="s">
        <v>41</v>
      </c>
      <c r="C685" s="16" t="n">
        <f aca="false">a25_nonop</f>
        <v>-130.679</v>
      </c>
      <c r="D685" s="16" t="n">
        <f aca="false">a26_nonop</f>
        <v>-54.855</v>
      </c>
      <c r="E685" s="16" t="n">
        <f aca="false">oth_exp</f>
        <v>-100</v>
      </c>
      <c r="F685" s="16" t="n">
        <f aca="false">oth_exp</f>
        <v>-100</v>
      </c>
      <c r="G685" s="16" t="n">
        <f aca="false">oth_exp</f>
        <v>-100</v>
      </c>
    </row>
    <row r="686" customFormat="false" ht="15" hidden="false" customHeight="false" outlineLevel="0" collapsed="false">
      <c r="A686" s="5" t="s">
        <v>366</v>
      </c>
      <c r="B686" s="0" t="s">
        <v>41</v>
      </c>
      <c r="C686" s="16" t="n">
        <f aca="false">a25_ni</f>
        <v>4061.643</v>
      </c>
      <c r="D686" s="16" t="n">
        <f aca="false">a26_ni</f>
        <v>4830.771</v>
      </c>
      <c r="E686" s="16" t="n">
        <f aca="false">(E683+E685)*(1-tax_lo)</f>
        <v>7086.14040992387</v>
      </c>
      <c r="F686" s="16" t="n">
        <f aca="false">(F683+F685)*(1-tax_lo)</f>
        <v>8380.17788206377</v>
      </c>
      <c r="G686" s="16" t="n">
        <f aca="false">(G683+G685)*(1-tax_lo)</f>
        <v>9671.54314389976</v>
      </c>
    </row>
    <row r="687" customFormat="false" ht="15" hidden="false" customHeight="false" outlineLevel="0" collapsed="false">
      <c r="A687" s="5" t="s">
        <v>409</v>
      </c>
      <c r="B687" s="5" t="s">
        <v>151</v>
      </c>
      <c r="C687" s="16" t="n">
        <f aca="false">a25_sh</f>
        <v>1337.502</v>
      </c>
      <c r="D687" s="16" t="n">
        <f aca="false">a26_sh</f>
        <v>1319.633</v>
      </c>
      <c r="E687" s="16" t="n">
        <f aca="false">shares27</f>
        <v>1312</v>
      </c>
      <c r="F687" s="16" t="n">
        <f aca="false">E687*(1-bb)</f>
        <v>1294.47170621053</v>
      </c>
      <c r="G687" s="16" t="n">
        <f aca="false">F687*(1-bb)</f>
        <v>1277.17759007592</v>
      </c>
    </row>
    <row r="688" customFormat="false" ht="17.15" hidden="false" customHeight="false" outlineLevel="0" collapsed="false">
      <c r="A688" s="0" t="s">
        <v>367</v>
      </c>
      <c r="B688" s="0" t="s">
        <v>169</v>
      </c>
      <c r="C688" s="13" t="n">
        <f aca="false">a25_eps</f>
        <v>3.04</v>
      </c>
      <c r="D688" s="13" t="n">
        <f aca="false">a26_eps</f>
        <v>3.66</v>
      </c>
      <c r="E688" s="13" t="n">
        <f aca="false">E686/E687</f>
        <v>5.40102165390539</v>
      </c>
      <c r="F688" s="13" t="n">
        <f aca="false">F686/F687</f>
        <v>6.4738208196115</v>
      </c>
      <c r="G688" s="13" t="n">
        <f aca="false">G686/G687</f>
        <v>7.57259070238215</v>
      </c>
    </row>
    <row r="689" customFormat="false" ht="17.15" hidden="false" customHeight="false" outlineLevel="0" collapsed="false">
      <c r="A689" s="5" t="s">
        <v>410</v>
      </c>
      <c r="B689" s="0" t="s">
        <v>41</v>
      </c>
      <c r="D689" s="20" t="n">
        <f aca="false">a26_rev*chn_sh26</f>
        <v>4073.8428</v>
      </c>
      <c r="E689" s="20" t="n">
        <f aca="false">E679*chn_sh26*(1-chn_cut*IF(2027=2027,0.5,1))</f>
        <v>5366.52441994268</v>
      </c>
      <c r="F689" s="20" t="n">
        <f aca="false">F679*chn_sh26*(1-chn_cut*IF(2028=2027,0.5,1))</f>
        <v>6163.13484905728</v>
      </c>
      <c r="G689" s="20" t="n">
        <f aca="false">G679*chn_sh26*(1-chn_cut*IF(2029=2027,0.5,1))</f>
        <v>6966.82896647238</v>
      </c>
      <c r="H689" s="5" t="s">
        <v>411</v>
      </c>
    </row>
    <row r="698" customFormat="false" ht="17.15" hidden="false" customHeight="false" outlineLevel="0" collapsed="false">
      <c r="A698" s="3" t="s">
        <v>714</v>
      </c>
    </row>
    <row r="699" customFormat="false" ht="17.15" hidden="false" customHeight="false" outlineLevel="0" collapsed="false">
      <c r="A699" s="6" t="s">
        <v>15</v>
      </c>
      <c r="B699" s="6" t="s">
        <v>16</v>
      </c>
      <c r="C699" s="14" t="s">
        <v>377</v>
      </c>
      <c r="D699" s="14" t="s">
        <v>378</v>
      </c>
      <c r="E699" s="14" t="s">
        <v>379</v>
      </c>
      <c r="F699" s="14" t="s">
        <v>380</v>
      </c>
      <c r="G699" s="14" t="s">
        <v>381</v>
      </c>
      <c r="H699" s="6" t="s">
        <v>306</v>
      </c>
    </row>
    <row r="700" customFormat="false" ht="17.15" hidden="false" customHeight="false" outlineLevel="0" collapsed="false">
      <c r="A700" s="1" t="s">
        <v>382</v>
      </c>
    </row>
    <row r="701" customFormat="false" ht="17.15" hidden="false" customHeight="false" outlineLevel="0" collapsed="false">
      <c r="A701" s="5" t="s">
        <v>383</v>
      </c>
      <c r="B701" s="0" t="s">
        <v>41</v>
      </c>
      <c r="C701" s="16" t="n">
        <f aca="false">(Units!C8+m_mem*Units!C11)*1000</f>
        <v>117874.05938505</v>
      </c>
      <c r="D701" s="16" t="n">
        <f aca="false">(Units!D8+m_mem*Units!D11)*1000</f>
        <v>157598.72745742</v>
      </c>
      <c r="E701" s="16" t="n">
        <f aca="false">(Units!E8+m_mem*Units!E11)*1000</f>
        <v>194734.950900524</v>
      </c>
      <c r="F701" s="16" t="n">
        <f aca="false">(Units!F8+m_mem*Units!F11)*1000</f>
        <v>218802.231022447</v>
      </c>
      <c r="G701" s="16" t="n">
        <f aca="false">(Units!G8+m_mem*Units!G11)*1000</f>
        <v>231172.69409247</v>
      </c>
      <c r="H701" s="5" t="s">
        <v>384</v>
      </c>
    </row>
    <row r="702" customFormat="false" ht="15" hidden="false" customHeight="false" outlineLevel="0" collapsed="false">
      <c r="A702" s="5" t="s">
        <v>385</v>
      </c>
      <c r="B702" s="0" t="s">
        <v>41</v>
      </c>
      <c r="C702" s="16" t="n">
        <f aca="false">Units!C12*1000</f>
        <v>3056.56934306569</v>
      </c>
      <c r="D702" s="16" t="n">
        <f aca="false">Units!D12*1000</f>
        <v>3350</v>
      </c>
      <c r="E702" s="16" t="n">
        <f aca="false">Units!E12*1000</f>
        <v>3795.39194286967</v>
      </c>
      <c r="F702" s="16" t="n">
        <f aca="false">Units!F12*1000</f>
        <v>4300</v>
      </c>
      <c r="G702" s="16" t="n">
        <f aca="false">Units!G12*1000</f>
        <v>4644</v>
      </c>
    </row>
    <row r="703" customFormat="false" ht="17.15" hidden="false" customHeight="false" outlineLevel="0" collapsed="false">
      <c r="A703" s="5" t="s">
        <v>386</v>
      </c>
      <c r="B703" s="0" t="s">
        <v>41</v>
      </c>
      <c r="D703" s="16" t="n">
        <f aca="false">h1_rev*(2+h2up)</f>
        <v>15559.8432</v>
      </c>
      <c r="H703" s="5" t="s">
        <v>387</v>
      </c>
    </row>
    <row r="704" customFormat="false" ht="17.15" hidden="false" customHeight="false" outlineLevel="0" collapsed="false">
      <c r="A704" s="5" t="s">
        <v>388</v>
      </c>
      <c r="B704" s="0" t="s">
        <v>41</v>
      </c>
      <c r="D704" s="16" t="n">
        <f aca="false">h1_svc*(2+g_svc_h2)</f>
        <v>3286.1223</v>
      </c>
    </row>
    <row r="705" customFormat="false" ht="17.15" hidden="false" customHeight="false" outlineLevel="0" collapsed="false">
      <c r="A705" s="0" t="s">
        <v>389</v>
      </c>
      <c r="B705" s="0" t="s">
        <v>41</v>
      </c>
      <c r="D705" s="16" t="n">
        <f aca="false">cy25_oth*(1+g_oth26)</f>
        <v>1528.965</v>
      </c>
    </row>
    <row r="706" customFormat="false" ht="17.15" hidden="false" customHeight="false" outlineLevel="0" collapsed="false">
      <c r="A706" s="5" t="s">
        <v>390</v>
      </c>
      <c r="B706" s="0" t="s">
        <v>41</v>
      </c>
      <c r="C706" s="16" t="n">
        <f aca="false">ap26/(1+ap_g26)</f>
        <v>647.058823529412</v>
      </c>
      <c r="D706" s="16" t="n">
        <f aca="false">ap26</f>
        <v>1100</v>
      </c>
      <c r="E706" s="16" t="n">
        <f aca="false">D706*(1+k_ap*(E702/D702-1))</f>
        <v>1392.49620128754</v>
      </c>
      <c r="F706" s="16" t="n">
        <f aca="false">E706*(1+k_ap*(F702/E702-1))</f>
        <v>1762.76879145476</v>
      </c>
      <c r="G706" s="16" t="n">
        <f aca="false">F706*(1+k_ap*(G702/F702-1))</f>
        <v>2044.81179808753</v>
      </c>
      <c r="H706" s="8" t="s">
        <v>391</v>
      </c>
    </row>
    <row r="707" customFormat="false" ht="17.15" hidden="false" customHeight="false" outlineLevel="0" collapsed="false">
      <c r="A707" s="5" t="s">
        <v>392</v>
      </c>
      <c r="B707" s="0" t="s">
        <v>41</v>
      </c>
      <c r="C707" s="16" t="n">
        <f aca="false">C709-C706</f>
        <v>7971.85117647059</v>
      </c>
      <c r="D707" s="16" t="n">
        <f aca="false">D709-D706</f>
        <v>9644.7559</v>
      </c>
      <c r="E707" s="16" t="n">
        <f aca="false">E708*E701</f>
        <v>12268.521584997</v>
      </c>
      <c r="F707" s="16" t="n">
        <f aca="false">F708*F701</f>
        <v>14190.8975186426</v>
      </c>
      <c r="G707" s="16" t="n">
        <f aca="false">G708*G701</f>
        <v>15434.9221703084</v>
      </c>
      <c r="H707" s="8" t="s">
        <v>393</v>
      </c>
    </row>
    <row r="708" customFormat="false" ht="17.15" hidden="false" customHeight="false" outlineLevel="0" collapsed="false">
      <c r="A708" s="5" t="s">
        <v>394</v>
      </c>
      <c r="B708" s="0" t="s">
        <v>26</v>
      </c>
      <c r="C708" s="21" t="n">
        <f aca="false">C707/C701</f>
        <v>0.0676302421250259</v>
      </c>
      <c r="D708" s="21" t="n">
        <f aca="false">D707/D701</f>
        <v>0.0611981838660836</v>
      </c>
      <c r="E708" s="21" t="n">
        <f aca="false">$D708*(1+pc_u)^1</f>
        <v>0.0630011280885271</v>
      </c>
      <c r="F708" s="21" t="n">
        <f aca="false">$D708*(1+pc_u)^2</f>
        <v>0.0648571883948786</v>
      </c>
      <c r="G708" s="21" t="n">
        <f aca="false">$D708*(1+pc_u)^3</f>
        <v>0.0667679296246569</v>
      </c>
      <c r="H708" s="8" t="s">
        <v>395</v>
      </c>
    </row>
    <row r="709" customFormat="false" ht="17.15" hidden="false" customHeight="false" outlineLevel="0" collapsed="false">
      <c r="A709" s="5" t="s">
        <v>396</v>
      </c>
      <c r="B709" s="0" t="s">
        <v>41</v>
      </c>
      <c r="C709" s="16" t="n">
        <f aca="false">cy25_sys</f>
        <v>8618.91</v>
      </c>
      <c r="D709" s="16" t="n">
        <f aca="false">D703-D704-D705</f>
        <v>10744.7559</v>
      </c>
      <c r="E709" s="16" t="n">
        <f aca="false">(E707+E706)*(1-chn_sh26*chn_cut)</f>
        <v>13661.0177862845</v>
      </c>
      <c r="F709" s="16" t="n">
        <f aca="false">(F707+F706)*(1-chn_sh26*chn_cut)</f>
        <v>15953.6663100973</v>
      </c>
      <c r="G709" s="16" t="n">
        <f aca="false">(G707+G706)*(1-chn_sh26*chn_cut)</f>
        <v>17479.7339683959</v>
      </c>
      <c r="H709" s="8" t="s">
        <v>397</v>
      </c>
    </row>
    <row r="710" customFormat="false" ht="17.15" hidden="false" customHeight="false" outlineLevel="0" collapsed="false">
      <c r="A710" s="5" t="s">
        <v>398</v>
      </c>
      <c r="B710" s="0" t="s">
        <v>26</v>
      </c>
      <c r="C710" s="10" t="n">
        <f aca="false">C708/kla_sh_pc</f>
        <v>0.116603865732803</v>
      </c>
      <c r="D710" s="10" t="n">
        <f aca="false">D708/kla_sh_pc</f>
        <v>0.105514110113937</v>
      </c>
      <c r="E710" s="10" t="n">
        <f aca="false">E708/kla_sh_pc</f>
        <v>0.108622634635392</v>
      </c>
      <c r="F710" s="10" t="n">
        <f aca="false">F708/kla_sh_pc</f>
        <v>0.11182273861186</v>
      </c>
      <c r="G710" s="10" t="n">
        <f aca="false">G708/kla_sh_pc</f>
        <v>0.115117120042512</v>
      </c>
      <c r="H710" s="8" t="s">
        <v>399</v>
      </c>
    </row>
    <row r="711" customFormat="false" ht="17.15" hidden="false" customHeight="false" outlineLevel="0" collapsed="false">
      <c r="A711" s="1" t="s">
        <v>400</v>
      </c>
    </row>
    <row r="712" customFormat="false" ht="17.15" hidden="false" customHeight="false" outlineLevel="0" collapsed="false">
      <c r="A712" s="5" t="s">
        <v>401</v>
      </c>
      <c r="B712" s="0" t="s">
        <v>41</v>
      </c>
      <c r="C712" s="16" t="n">
        <f aca="false">a25_sys</f>
        <v>8264.026</v>
      </c>
      <c r="D712" s="16" t="n">
        <f aca="false">a26_sys</f>
        <v>9119.058</v>
      </c>
      <c r="E712" s="16" t="n">
        <f aca="false">(D709-h1_sys)+0.5*E709</f>
        <v>12830.2277931423</v>
      </c>
      <c r="F712" s="16" t="n">
        <f aca="false">0.5*E709+0.5*F709</f>
        <v>14807.3420481909</v>
      </c>
      <c r="G712" s="16" t="n">
        <f aca="false">0.5*F709+0.5*G709</f>
        <v>16716.7001392466</v>
      </c>
      <c r="H712" s="8" t="s">
        <v>402</v>
      </c>
    </row>
    <row r="713" customFormat="false" ht="15" hidden="false" customHeight="false" outlineLevel="0" collapsed="false">
      <c r="A713" s="5" t="s">
        <v>254</v>
      </c>
      <c r="B713" s="0" t="s">
        <v>41</v>
      </c>
      <c r="C713" s="16" t="n">
        <f aca="false">a25_svc</f>
        <v>2683.308</v>
      </c>
      <c r="D713" s="16" t="n">
        <f aca="false">a26_svc</f>
        <v>3125.939</v>
      </c>
      <c r="E713" s="16" t="n">
        <f aca="false">D713*(1+g_svc_A)</f>
        <v>3563.57046</v>
      </c>
      <c r="F713" s="16" t="n">
        <f aca="false">E713*(1+g_svc_A)</f>
        <v>4062.4703244</v>
      </c>
      <c r="G713" s="16" t="n">
        <f aca="false">F713*(1+g_svc_A)</f>
        <v>4631.216169816</v>
      </c>
    </row>
    <row r="714" customFormat="false" ht="17.15" hidden="false" customHeight="false" outlineLevel="0" collapsed="false">
      <c r="A714" s="0" t="s">
        <v>403</v>
      </c>
      <c r="B714" s="0" t="s">
        <v>41</v>
      </c>
      <c r="C714" s="16" t="n">
        <f aca="false">a25_oth</f>
        <v>1208.828</v>
      </c>
      <c r="D714" s="16" t="n">
        <f aca="false">a26_oth</f>
        <v>1334.479</v>
      </c>
      <c r="E714" s="16" t="n">
        <f aca="false">D714*(1+g_oth_A)</f>
        <v>1494.61648</v>
      </c>
      <c r="F714" s="16" t="n">
        <f aca="false">E714*(1+g_oth_A)</f>
        <v>1673.9704576</v>
      </c>
      <c r="G714" s="16" t="n">
        <f aca="false">F714*(1+g_oth_A)</f>
        <v>1874.846912512</v>
      </c>
    </row>
    <row r="715" customFormat="false" ht="17.15" hidden="false" customHeight="false" outlineLevel="0" collapsed="false">
      <c r="A715" s="5" t="s">
        <v>248</v>
      </c>
      <c r="B715" s="0" t="s">
        <v>41</v>
      </c>
      <c r="C715" s="16" t="n">
        <f aca="false">C712+C713+C714</f>
        <v>12156.162</v>
      </c>
      <c r="D715" s="16" t="n">
        <f aca="false">D712+D713+D714</f>
        <v>13579.476</v>
      </c>
      <c r="E715" s="16" t="n">
        <f aca="false">E712+E713+E714</f>
        <v>17888.4147331423</v>
      </c>
      <c r="F715" s="16" t="n">
        <f aca="false">F712+F713+F714</f>
        <v>20543.7828301909</v>
      </c>
      <c r="G715" s="16" t="n">
        <f aca="false">G712+G713+G714</f>
        <v>23222.7632215746</v>
      </c>
      <c r="H715" s="8" t="s">
        <v>404</v>
      </c>
    </row>
    <row r="716" customFormat="false" ht="17.15" hidden="false" customHeight="false" outlineLevel="0" collapsed="false">
      <c r="A716" s="5" t="s">
        <v>267</v>
      </c>
      <c r="B716" s="0" t="s">
        <v>41</v>
      </c>
      <c r="C716" s="16" t="n">
        <f aca="false">a25_gp</f>
        <v>7404.295</v>
      </c>
      <c r="D716" s="16" t="n">
        <f aca="false">a26_gp</f>
        <v>8324.416</v>
      </c>
      <c r="E716" s="16" t="n">
        <f aca="false">a26_gp+gm_inc*(E715-a26_rev)</f>
        <v>11109.988976924</v>
      </c>
      <c r="F716" s="16" t="n">
        <f aca="false">a26_gp+gm_inc*(F715-a26_rev)</f>
        <v>12826.5883701882</v>
      </c>
      <c r="G716" s="16" t="n">
        <f aca="false">a26_gp+gm_inc*(G715-a26_rev)</f>
        <v>14558.452257356</v>
      </c>
      <c r="H716" s="8" t="s">
        <v>405</v>
      </c>
    </row>
    <row r="717" customFormat="false" ht="15" hidden="false" customHeight="false" outlineLevel="0" collapsed="false">
      <c r="A717" s="5" t="s">
        <v>363</v>
      </c>
      <c r="B717" s="0" t="s">
        <v>26</v>
      </c>
      <c r="C717" s="10" t="n">
        <f aca="false">C716/C715</f>
        <v>0.609098085398994</v>
      </c>
      <c r="D717" s="10" t="n">
        <f aca="false">D716/D715</f>
        <v>0.613014522798965</v>
      </c>
      <c r="E717" s="10" t="n">
        <f aca="false">E716/E715</f>
        <v>0.621071746304063</v>
      </c>
      <c r="F717" s="10" t="n">
        <f aca="false">F716/F715</f>
        <v>0.624353775359153</v>
      </c>
      <c r="G717" s="10" t="n">
        <f aca="false">G716/G715</f>
        <v>0.62690439197308</v>
      </c>
    </row>
    <row r="718" customFormat="false" ht="15" hidden="false" customHeight="false" outlineLevel="0" collapsed="false">
      <c r="A718" s="5" t="s">
        <v>406</v>
      </c>
      <c r="B718" s="0" t="s">
        <v>41</v>
      </c>
      <c r="C718" s="16" t="n">
        <f aca="false">a25_opx</f>
        <v>2390.068</v>
      </c>
      <c r="D718" s="16" t="n">
        <f aca="false">a26_opx</f>
        <v>2663.636</v>
      </c>
      <c r="E718" s="16" t="n">
        <f aca="false">opex27</f>
        <v>2865</v>
      </c>
      <c r="F718" s="16" t="n">
        <f aca="false">E718*(1+g_opex_A)</f>
        <v>3094.2</v>
      </c>
      <c r="G718" s="16" t="n">
        <f aca="false">F718*(1+g_opex_A)</f>
        <v>3341.736</v>
      </c>
    </row>
    <row r="719" customFormat="false" ht="17.15" hidden="false" customHeight="false" outlineLevel="0" collapsed="false">
      <c r="A719" s="5" t="s">
        <v>364</v>
      </c>
      <c r="B719" s="0" t="s">
        <v>41</v>
      </c>
      <c r="C719" s="16" t="n">
        <f aca="false">a25_oi</f>
        <v>4775.127</v>
      </c>
      <c r="D719" s="16" t="n">
        <f aca="false">D716-D718</f>
        <v>5660.78</v>
      </c>
      <c r="E719" s="16" t="n">
        <f aca="false">E716-E718</f>
        <v>8244.98897692399</v>
      </c>
      <c r="F719" s="16" t="n">
        <f aca="false">F716-F718</f>
        <v>9732.38837018824</v>
      </c>
      <c r="G719" s="16" t="n">
        <f aca="false">G716-G718</f>
        <v>11216.716257356</v>
      </c>
      <c r="H719" s="8" t="s">
        <v>407</v>
      </c>
    </row>
    <row r="720" customFormat="false" ht="15" hidden="false" customHeight="false" outlineLevel="0" collapsed="false">
      <c r="A720" s="5" t="s">
        <v>365</v>
      </c>
      <c r="B720" s="0" t="s">
        <v>26</v>
      </c>
      <c r="C720" s="10" t="n">
        <f aca="false">C719/C715</f>
        <v>0.392815347475626</v>
      </c>
      <c r="D720" s="10" t="n">
        <f aca="false">D719/D715</f>
        <v>0.416862918716451</v>
      </c>
      <c r="E720" s="10" t="n">
        <f aca="false">E719/E715</f>
        <v>0.460912221676542</v>
      </c>
      <c r="F720" s="10" t="n">
        <f aca="false">F719/F715</f>
        <v>0.473738865457905</v>
      </c>
      <c r="G720" s="10" t="n">
        <f aca="false">G719/G715</f>
        <v>0.483005237160382</v>
      </c>
    </row>
    <row r="721" customFormat="false" ht="15" hidden="false" customHeight="false" outlineLevel="0" collapsed="false">
      <c r="A721" s="5" t="s">
        <v>408</v>
      </c>
      <c r="B721" s="0" t="s">
        <v>41</v>
      </c>
      <c r="C721" s="16" t="n">
        <f aca="false">a25_nonop</f>
        <v>-130.679</v>
      </c>
      <c r="D721" s="16" t="n">
        <f aca="false">a26_nonop</f>
        <v>-54.855</v>
      </c>
      <c r="E721" s="16" t="n">
        <f aca="false">oth_exp</f>
        <v>-100</v>
      </c>
      <c r="F721" s="16" t="n">
        <f aca="false">oth_exp</f>
        <v>-100</v>
      </c>
      <c r="G721" s="16" t="n">
        <f aca="false">oth_exp</f>
        <v>-100</v>
      </c>
    </row>
    <row r="722" customFormat="false" ht="15" hidden="false" customHeight="false" outlineLevel="0" collapsed="false">
      <c r="A722" s="5" t="s">
        <v>366</v>
      </c>
      <c r="B722" s="0" t="s">
        <v>41</v>
      </c>
      <c r="C722" s="16" t="n">
        <f aca="false">a25_ni</f>
        <v>4061.643</v>
      </c>
      <c r="D722" s="16" t="n">
        <f aca="false">a26_ni</f>
        <v>4830.771</v>
      </c>
      <c r="E722" s="16" t="n">
        <f aca="false">(E719+E721)*(1-tax_hi)</f>
        <v>6760.34085084691</v>
      </c>
      <c r="F722" s="16" t="n">
        <f aca="false">(F719+F721)*(1-tax_hi)</f>
        <v>7994.88234725624</v>
      </c>
      <c r="G722" s="16" t="n">
        <f aca="false">(G719+G721)*(1-tax_hi)</f>
        <v>9226.87449360552</v>
      </c>
    </row>
    <row r="723" customFormat="false" ht="15" hidden="false" customHeight="false" outlineLevel="0" collapsed="false">
      <c r="A723" s="5" t="s">
        <v>409</v>
      </c>
      <c r="B723" s="5" t="s">
        <v>151</v>
      </c>
      <c r="C723" s="16" t="n">
        <f aca="false">a25_sh</f>
        <v>1337.502</v>
      </c>
      <c r="D723" s="16" t="n">
        <f aca="false">a26_sh</f>
        <v>1319.633</v>
      </c>
      <c r="E723" s="16" t="n">
        <f aca="false">shares27</f>
        <v>1312</v>
      </c>
      <c r="F723" s="16" t="n">
        <f aca="false">E723*(1-bb)</f>
        <v>1294.47170621053</v>
      </c>
      <c r="G723" s="16" t="n">
        <f aca="false">F723*(1-bb)</f>
        <v>1277.17759007592</v>
      </c>
    </row>
    <row r="724" customFormat="false" ht="17.15" hidden="false" customHeight="false" outlineLevel="0" collapsed="false">
      <c r="A724" s="0" t="s">
        <v>367</v>
      </c>
      <c r="B724" s="0" t="s">
        <v>169</v>
      </c>
      <c r="C724" s="13" t="n">
        <f aca="false">a25_eps</f>
        <v>3.04</v>
      </c>
      <c r="D724" s="13" t="n">
        <f aca="false">a26_eps</f>
        <v>3.66</v>
      </c>
      <c r="E724" s="13" t="n">
        <f aca="false">E722/E723</f>
        <v>5.15269881924307</v>
      </c>
      <c r="F724" s="13" t="n">
        <f aca="false">F722/F723</f>
        <v>6.17617388537649</v>
      </c>
      <c r="G724" s="13" t="n">
        <f aca="false">G722/G723</f>
        <v>7.22442561261745</v>
      </c>
    </row>
    <row r="725" customFormat="false" ht="17.15" hidden="false" customHeight="false" outlineLevel="0" collapsed="false">
      <c r="A725" s="5" t="s">
        <v>410</v>
      </c>
      <c r="B725" s="0" t="s">
        <v>41</v>
      </c>
      <c r="D725" s="20" t="n">
        <f aca="false">a26_rev*chn_sh26</f>
        <v>4073.8428</v>
      </c>
      <c r="E725" s="20" t="n">
        <f aca="false">E715*chn_sh26*(1-chn_cut*IF(2027=2027,0.5,1))</f>
        <v>5366.52441994268</v>
      </c>
      <c r="F725" s="20" t="n">
        <f aca="false">F715*chn_sh26*(1-chn_cut*IF(2028=2027,0.5,1))</f>
        <v>6163.13484905728</v>
      </c>
      <c r="G725" s="20" t="n">
        <f aca="false">G715*chn_sh26*(1-chn_cut*IF(2029=2027,0.5,1))</f>
        <v>6966.82896647238</v>
      </c>
      <c r="H725" s="5" t="s">
        <v>411</v>
      </c>
    </row>
    <row r="734" customFormat="false" ht="17.15" hidden="false" customHeight="false" outlineLevel="0" collapsed="false">
      <c r="A734" s="3" t="s">
        <v>715</v>
      </c>
    </row>
    <row r="735" customFormat="false" ht="17.15" hidden="false" customHeight="false" outlineLevel="0" collapsed="false">
      <c r="A735" s="6" t="s">
        <v>15</v>
      </c>
      <c r="B735" s="6" t="s">
        <v>16</v>
      </c>
      <c r="C735" s="14" t="s">
        <v>377</v>
      </c>
      <c r="D735" s="14" t="s">
        <v>378</v>
      </c>
      <c r="E735" s="14" t="s">
        <v>379</v>
      </c>
      <c r="F735" s="14" t="s">
        <v>380</v>
      </c>
      <c r="G735" s="14" t="s">
        <v>381</v>
      </c>
      <c r="H735" s="6" t="s">
        <v>306</v>
      </c>
    </row>
    <row r="736" customFormat="false" ht="17.15" hidden="false" customHeight="false" outlineLevel="0" collapsed="false">
      <c r="A736" s="1" t="s">
        <v>382</v>
      </c>
    </row>
    <row r="737" customFormat="false" ht="17.15" hidden="false" customHeight="false" outlineLevel="0" collapsed="false">
      <c r="A737" s="5" t="s">
        <v>383</v>
      </c>
      <c r="B737" s="0" t="s">
        <v>41</v>
      </c>
      <c r="C737" s="16" t="n">
        <f aca="false">(Units!C8+m_mem*Units!C11)*1000</f>
        <v>117874.05938505</v>
      </c>
      <c r="D737" s="16" t="n">
        <f aca="false">(Units!D8+m_mem*Units!D11)*1000</f>
        <v>157598.72745742</v>
      </c>
      <c r="E737" s="16" t="n">
        <f aca="false">(Units!E8+m_mem*Units!E11)*1000</f>
        <v>194734.950900524</v>
      </c>
      <c r="F737" s="16" t="n">
        <f aca="false">(Units!F8+m_mem*Units!F11)*1000</f>
        <v>218802.231022447</v>
      </c>
      <c r="G737" s="16" t="n">
        <f aca="false">(Units!G8+m_mem*Units!G11)*1000</f>
        <v>231172.69409247</v>
      </c>
      <c r="H737" s="5" t="s">
        <v>384</v>
      </c>
    </row>
    <row r="738" customFormat="false" ht="15" hidden="false" customHeight="false" outlineLevel="0" collapsed="false">
      <c r="A738" s="5" t="s">
        <v>385</v>
      </c>
      <c r="B738" s="0" t="s">
        <v>41</v>
      </c>
      <c r="C738" s="16" t="n">
        <f aca="false">Units!C12*1000</f>
        <v>3056.56934306569</v>
      </c>
      <c r="D738" s="16" t="n">
        <f aca="false">Units!D12*1000</f>
        <v>3350</v>
      </c>
      <c r="E738" s="16" t="n">
        <f aca="false">Units!E12*1000</f>
        <v>3795.39194286967</v>
      </c>
      <c r="F738" s="16" t="n">
        <f aca="false">Units!F12*1000</f>
        <v>4300</v>
      </c>
      <c r="G738" s="16" t="n">
        <f aca="false">Units!G12*1000</f>
        <v>4644</v>
      </c>
    </row>
    <row r="739" customFormat="false" ht="17.15" hidden="false" customHeight="false" outlineLevel="0" collapsed="false">
      <c r="A739" s="5" t="s">
        <v>386</v>
      </c>
      <c r="B739" s="0" t="s">
        <v>41</v>
      </c>
      <c r="D739" s="16" t="n">
        <f aca="false">h1_rev*(2+h2up)</f>
        <v>15559.8432</v>
      </c>
      <c r="H739" s="5" t="s">
        <v>387</v>
      </c>
    </row>
    <row r="740" customFormat="false" ht="17.15" hidden="false" customHeight="false" outlineLevel="0" collapsed="false">
      <c r="A740" s="5" t="s">
        <v>388</v>
      </c>
      <c r="B740" s="0" t="s">
        <v>41</v>
      </c>
      <c r="D740" s="16" t="n">
        <f aca="false">h1_svc*(2+g_svc_h2)</f>
        <v>3286.1223</v>
      </c>
    </row>
    <row r="741" customFormat="false" ht="17.15" hidden="false" customHeight="false" outlineLevel="0" collapsed="false">
      <c r="A741" s="0" t="s">
        <v>389</v>
      </c>
      <c r="B741" s="0" t="s">
        <v>41</v>
      </c>
      <c r="D741" s="16" t="n">
        <f aca="false">cy25_oth*(1+g_oth26)</f>
        <v>1528.965</v>
      </c>
    </row>
    <row r="742" customFormat="false" ht="17.15" hidden="false" customHeight="false" outlineLevel="0" collapsed="false">
      <c r="A742" s="5" t="s">
        <v>390</v>
      </c>
      <c r="B742" s="0" t="s">
        <v>41</v>
      </c>
      <c r="C742" s="16" t="n">
        <f aca="false">ap26/(1+ap_g26)</f>
        <v>647.058823529412</v>
      </c>
      <c r="D742" s="16" t="n">
        <f aca="false">ap26</f>
        <v>1100</v>
      </c>
      <c r="E742" s="16" t="n">
        <f aca="false">D742*(1+k_ap*(E738/D738-1))</f>
        <v>1392.49620128754</v>
      </c>
      <c r="F742" s="16" t="n">
        <f aca="false">E742*(1+k_ap*(F738/E738-1))</f>
        <v>1762.76879145476</v>
      </c>
      <c r="G742" s="16" t="n">
        <f aca="false">F742*(1+k_ap*(G738/F738-1))</f>
        <v>2044.81179808753</v>
      </c>
      <c r="H742" s="8" t="s">
        <v>391</v>
      </c>
    </row>
    <row r="743" customFormat="false" ht="17.15" hidden="false" customHeight="false" outlineLevel="0" collapsed="false">
      <c r="A743" s="5" t="s">
        <v>392</v>
      </c>
      <c r="B743" s="0" t="s">
        <v>41</v>
      </c>
      <c r="C743" s="16" t="n">
        <f aca="false">C745-C742</f>
        <v>7971.85117647059</v>
      </c>
      <c r="D743" s="16" t="n">
        <f aca="false">D745-D742</f>
        <v>9644.7559</v>
      </c>
      <c r="E743" s="16" t="n">
        <f aca="false">E744*E737</f>
        <v>12268.521584997</v>
      </c>
      <c r="F743" s="16" t="n">
        <f aca="false">F744*F737</f>
        <v>14190.8975186426</v>
      </c>
      <c r="G743" s="16" t="n">
        <f aca="false">G744*G737</f>
        <v>15434.9221703084</v>
      </c>
      <c r="H743" s="8" t="s">
        <v>393</v>
      </c>
    </row>
    <row r="744" customFormat="false" ht="17.15" hidden="false" customHeight="false" outlineLevel="0" collapsed="false">
      <c r="A744" s="5" t="s">
        <v>394</v>
      </c>
      <c r="B744" s="0" t="s">
        <v>26</v>
      </c>
      <c r="C744" s="21" t="n">
        <f aca="false">C743/C737</f>
        <v>0.0676302421250259</v>
      </c>
      <c r="D744" s="21" t="n">
        <f aca="false">D743/D737</f>
        <v>0.0611981838660836</v>
      </c>
      <c r="E744" s="21" t="n">
        <f aca="false">$D744*(1+pc_u)^1</f>
        <v>0.0630011280885271</v>
      </c>
      <c r="F744" s="21" t="n">
        <f aca="false">$D744*(1+pc_u)^2</f>
        <v>0.0648571883948786</v>
      </c>
      <c r="G744" s="21" t="n">
        <f aca="false">$D744*(1+pc_u)^3</f>
        <v>0.0667679296246569</v>
      </c>
      <c r="H744" s="8" t="s">
        <v>395</v>
      </c>
    </row>
    <row r="745" customFormat="false" ht="17.15" hidden="false" customHeight="false" outlineLevel="0" collapsed="false">
      <c r="A745" s="5" t="s">
        <v>396</v>
      </c>
      <c r="B745" s="0" t="s">
        <v>41</v>
      </c>
      <c r="C745" s="16" t="n">
        <f aca="false">cy25_sys</f>
        <v>8618.91</v>
      </c>
      <c r="D745" s="16" t="n">
        <f aca="false">D739-D740-D741</f>
        <v>10744.7559</v>
      </c>
      <c r="E745" s="16" t="n">
        <f aca="false">(E743+E742)*(1-chn_sh26*chn_cut)</f>
        <v>13661.0177862845</v>
      </c>
      <c r="F745" s="16" t="n">
        <f aca="false">(F743+F742)*(1-chn_sh26*chn_cut)</f>
        <v>15953.6663100973</v>
      </c>
      <c r="G745" s="16" t="n">
        <f aca="false">(G743+G742)*(1-chn_sh26*chn_cut)</f>
        <v>17479.7339683959</v>
      </c>
      <c r="H745" s="8" t="s">
        <v>397</v>
      </c>
    </row>
    <row r="746" customFormat="false" ht="17.15" hidden="false" customHeight="false" outlineLevel="0" collapsed="false">
      <c r="A746" s="5" t="s">
        <v>398</v>
      </c>
      <c r="B746" s="0" t="s">
        <v>26</v>
      </c>
      <c r="C746" s="10" t="n">
        <f aca="false">C744/kla_sh_pc</f>
        <v>0.116603865732803</v>
      </c>
      <c r="D746" s="10" t="n">
        <f aca="false">D744/kla_sh_pc</f>
        <v>0.105514110113937</v>
      </c>
      <c r="E746" s="10" t="n">
        <f aca="false">E744/kla_sh_pc</f>
        <v>0.108622634635392</v>
      </c>
      <c r="F746" s="10" t="n">
        <f aca="false">F744/kla_sh_pc</f>
        <v>0.11182273861186</v>
      </c>
      <c r="G746" s="10" t="n">
        <f aca="false">G744/kla_sh_pc</f>
        <v>0.115117120042512</v>
      </c>
      <c r="H746" s="8" t="s">
        <v>399</v>
      </c>
    </row>
    <row r="747" customFormat="false" ht="17.15" hidden="false" customHeight="false" outlineLevel="0" collapsed="false">
      <c r="A747" s="1" t="s">
        <v>400</v>
      </c>
    </row>
    <row r="748" customFormat="false" ht="17.15" hidden="false" customHeight="false" outlineLevel="0" collapsed="false">
      <c r="A748" s="5" t="s">
        <v>401</v>
      </c>
      <c r="B748" s="0" t="s">
        <v>41</v>
      </c>
      <c r="C748" s="16" t="n">
        <f aca="false">a25_sys</f>
        <v>8264.026</v>
      </c>
      <c r="D748" s="16" t="n">
        <f aca="false">a26_sys</f>
        <v>9119.058</v>
      </c>
      <c r="E748" s="16" t="n">
        <f aca="false">(D745-h1_sys)+0.5*E745</f>
        <v>12830.2277931423</v>
      </c>
      <c r="F748" s="16" t="n">
        <f aca="false">0.5*E745+0.5*F745</f>
        <v>14807.3420481909</v>
      </c>
      <c r="G748" s="16" t="n">
        <f aca="false">0.5*F745+0.5*G745</f>
        <v>16716.7001392466</v>
      </c>
      <c r="H748" s="8" t="s">
        <v>402</v>
      </c>
    </row>
    <row r="749" customFormat="false" ht="15" hidden="false" customHeight="false" outlineLevel="0" collapsed="false">
      <c r="A749" s="5" t="s">
        <v>254</v>
      </c>
      <c r="B749" s="0" t="s">
        <v>41</v>
      </c>
      <c r="C749" s="16" t="n">
        <f aca="false">a25_svc</f>
        <v>2683.308</v>
      </c>
      <c r="D749" s="16" t="n">
        <f aca="false">a26_svc</f>
        <v>3125.939</v>
      </c>
      <c r="E749" s="16" t="n">
        <f aca="false">D749*(1+g_svc_A)</f>
        <v>3563.57046</v>
      </c>
      <c r="F749" s="16" t="n">
        <f aca="false">E749*(1+g_svc_A)</f>
        <v>4062.4703244</v>
      </c>
      <c r="G749" s="16" t="n">
        <f aca="false">F749*(1+g_svc_A)</f>
        <v>4631.216169816</v>
      </c>
    </row>
    <row r="750" customFormat="false" ht="17.15" hidden="false" customHeight="false" outlineLevel="0" collapsed="false">
      <c r="A750" s="0" t="s">
        <v>403</v>
      </c>
      <c r="B750" s="0" t="s">
        <v>41</v>
      </c>
      <c r="C750" s="16" t="n">
        <f aca="false">a25_oth</f>
        <v>1208.828</v>
      </c>
      <c r="D750" s="16" t="n">
        <f aca="false">a26_oth</f>
        <v>1334.479</v>
      </c>
      <c r="E750" s="16" t="n">
        <f aca="false">D750*(1+g_oth_A)</f>
        <v>1494.61648</v>
      </c>
      <c r="F750" s="16" t="n">
        <f aca="false">E750*(1+g_oth_A)</f>
        <v>1673.9704576</v>
      </c>
      <c r="G750" s="16" t="n">
        <f aca="false">F750*(1+g_oth_A)</f>
        <v>1874.846912512</v>
      </c>
    </row>
    <row r="751" customFormat="false" ht="17.15" hidden="false" customHeight="false" outlineLevel="0" collapsed="false">
      <c r="A751" s="5" t="s">
        <v>248</v>
      </c>
      <c r="B751" s="0" t="s">
        <v>41</v>
      </c>
      <c r="C751" s="16" t="n">
        <f aca="false">C748+C749+C750</f>
        <v>12156.162</v>
      </c>
      <c r="D751" s="16" t="n">
        <f aca="false">D748+D749+D750</f>
        <v>13579.476</v>
      </c>
      <c r="E751" s="16" t="n">
        <f aca="false">E748+E749+E750</f>
        <v>17888.4147331423</v>
      </c>
      <c r="F751" s="16" t="n">
        <f aca="false">F748+F749+F750</f>
        <v>20543.7828301909</v>
      </c>
      <c r="G751" s="16" t="n">
        <f aca="false">G748+G749+G750</f>
        <v>23222.7632215746</v>
      </c>
      <c r="H751" s="8" t="s">
        <v>404</v>
      </c>
    </row>
    <row r="752" customFormat="false" ht="17.15" hidden="false" customHeight="false" outlineLevel="0" collapsed="false">
      <c r="A752" s="5" t="s">
        <v>267</v>
      </c>
      <c r="B752" s="0" t="s">
        <v>41</v>
      </c>
      <c r="C752" s="16" t="n">
        <f aca="false">a25_gp</f>
        <v>7404.295</v>
      </c>
      <c r="D752" s="16" t="n">
        <f aca="false">a26_gp</f>
        <v>8324.416</v>
      </c>
      <c r="E752" s="16" t="n">
        <f aca="false">a26_gp+gm_inc*(E751-a26_rev)</f>
        <v>11109.988976924</v>
      </c>
      <c r="F752" s="16" t="n">
        <f aca="false">a26_gp+gm_inc*(F751-a26_rev)</f>
        <v>12826.5883701882</v>
      </c>
      <c r="G752" s="16" t="n">
        <f aca="false">a26_gp+gm_inc*(G751-a26_rev)</f>
        <v>14558.452257356</v>
      </c>
      <c r="H752" s="8" t="s">
        <v>405</v>
      </c>
    </row>
    <row r="753" customFormat="false" ht="15" hidden="false" customHeight="false" outlineLevel="0" collapsed="false">
      <c r="A753" s="5" t="s">
        <v>363</v>
      </c>
      <c r="B753" s="0" t="s">
        <v>26</v>
      </c>
      <c r="C753" s="10" t="n">
        <f aca="false">C752/C751</f>
        <v>0.609098085398994</v>
      </c>
      <c r="D753" s="10" t="n">
        <f aca="false">D752/D751</f>
        <v>0.613014522798965</v>
      </c>
      <c r="E753" s="10" t="n">
        <f aca="false">E752/E751</f>
        <v>0.621071746304063</v>
      </c>
      <c r="F753" s="10" t="n">
        <f aca="false">F752/F751</f>
        <v>0.624353775359153</v>
      </c>
      <c r="G753" s="10" t="n">
        <f aca="false">G752/G751</f>
        <v>0.62690439197308</v>
      </c>
    </row>
    <row r="754" customFormat="false" ht="15" hidden="false" customHeight="false" outlineLevel="0" collapsed="false">
      <c r="A754" s="5" t="s">
        <v>406</v>
      </c>
      <c r="B754" s="0" t="s">
        <v>41</v>
      </c>
      <c r="C754" s="16" t="n">
        <f aca="false">a25_opx</f>
        <v>2390.068</v>
      </c>
      <c r="D754" s="16" t="n">
        <f aca="false">a26_opx</f>
        <v>2663.636</v>
      </c>
      <c r="E754" s="16" t="n">
        <f aca="false">opex27</f>
        <v>2865</v>
      </c>
      <c r="F754" s="16" t="n">
        <f aca="false">E754*(1+g_opex_A)</f>
        <v>3094.2</v>
      </c>
      <c r="G754" s="16" t="n">
        <f aca="false">F754*(1+g_opex_A)</f>
        <v>3341.736</v>
      </c>
    </row>
    <row r="755" customFormat="false" ht="17.15" hidden="false" customHeight="false" outlineLevel="0" collapsed="false">
      <c r="A755" s="5" t="s">
        <v>364</v>
      </c>
      <c r="B755" s="0" t="s">
        <v>41</v>
      </c>
      <c r="C755" s="16" t="n">
        <f aca="false">a25_oi</f>
        <v>4775.127</v>
      </c>
      <c r="D755" s="16" t="n">
        <f aca="false">D752-D754</f>
        <v>5660.78</v>
      </c>
      <c r="E755" s="16" t="n">
        <f aca="false">E752-E754</f>
        <v>8244.98897692399</v>
      </c>
      <c r="F755" s="16" t="n">
        <f aca="false">F752-F754</f>
        <v>9732.38837018824</v>
      </c>
      <c r="G755" s="16" t="n">
        <f aca="false">G752-G754</f>
        <v>11216.716257356</v>
      </c>
      <c r="H755" s="8" t="s">
        <v>407</v>
      </c>
    </row>
    <row r="756" customFormat="false" ht="15" hidden="false" customHeight="false" outlineLevel="0" collapsed="false">
      <c r="A756" s="5" t="s">
        <v>365</v>
      </c>
      <c r="B756" s="0" t="s">
        <v>26</v>
      </c>
      <c r="C756" s="10" t="n">
        <f aca="false">C755/C751</f>
        <v>0.392815347475626</v>
      </c>
      <c r="D756" s="10" t="n">
        <f aca="false">D755/D751</f>
        <v>0.416862918716451</v>
      </c>
      <c r="E756" s="10" t="n">
        <f aca="false">E755/E751</f>
        <v>0.460912221676542</v>
      </c>
      <c r="F756" s="10" t="n">
        <f aca="false">F755/F751</f>
        <v>0.473738865457905</v>
      </c>
      <c r="G756" s="10" t="n">
        <f aca="false">G755/G751</f>
        <v>0.483005237160382</v>
      </c>
    </row>
    <row r="757" customFormat="false" ht="15" hidden="false" customHeight="false" outlineLevel="0" collapsed="false">
      <c r="A757" s="5" t="s">
        <v>408</v>
      </c>
      <c r="B757" s="0" t="s">
        <v>41</v>
      </c>
      <c r="C757" s="16" t="n">
        <f aca="false">a25_nonop</f>
        <v>-130.679</v>
      </c>
      <c r="D757" s="16" t="n">
        <f aca="false">a26_nonop</f>
        <v>-54.855</v>
      </c>
      <c r="E757" s="16" t="n">
        <f aca="false">oth_exp_lo</f>
        <v>-200</v>
      </c>
      <c r="F757" s="16" t="n">
        <f aca="false">oth_exp_lo</f>
        <v>-200</v>
      </c>
      <c r="G757" s="16" t="n">
        <f aca="false">oth_exp_lo</f>
        <v>-200</v>
      </c>
    </row>
    <row r="758" customFormat="false" ht="15" hidden="false" customHeight="false" outlineLevel="0" collapsed="false">
      <c r="A758" s="5" t="s">
        <v>366</v>
      </c>
      <c r="B758" s="0" t="s">
        <v>41</v>
      </c>
      <c r="C758" s="16" t="n">
        <f aca="false">a25_ni</f>
        <v>4061.643</v>
      </c>
      <c r="D758" s="16" t="n">
        <f aca="false">a26_ni</f>
        <v>4830.771</v>
      </c>
      <c r="E758" s="16" t="n">
        <f aca="false">(E755+E757)*(1-tax)</f>
        <v>6878.46557527001</v>
      </c>
      <c r="F758" s="16" t="n">
        <f aca="false">(F755+F757)*(1-tax)</f>
        <v>8150.19205651095</v>
      </c>
      <c r="G758" s="16" t="n">
        <f aca="false">(G755+G757)*(1-tax)</f>
        <v>9419.29240003942</v>
      </c>
    </row>
    <row r="759" customFormat="false" ht="15" hidden="false" customHeight="false" outlineLevel="0" collapsed="false">
      <c r="A759" s="5" t="s">
        <v>409</v>
      </c>
      <c r="B759" s="5" t="s">
        <v>151</v>
      </c>
      <c r="C759" s="16" t="n">
        <f aca="false">a25_sh</f>
        <v>1337.502</v>
      </c>
      <c r="D759" s="16" t="n">
        <f aca="false">a26_sh</f>
        <v>1319.633</v>
      </c>
      <c r="E759" s="16" t="n">
        <f aca="false">shares27</f>
        <v>1312</v>
      </c>
      <c r="F759" s="16" t="n">
        <f aca="false">E759*(1-bb)</f>
        <v>1294.47170621053</v>
      </c>
      <c r="G759" s="16" t="n">
        <f aca="false">F759*(1-bb)</f>
        <v>1277.17759007592</v>
      </c>
    </row>
    <row r="760" customFormat="false" ht="17.15" hidden="false" customHeight="false" outlineLevel="0" collapsed="false">
      <c r="A760" s="0" t="s">
        <v>367</v>
      </c>
      <c r="B760" s="0" t="s">
        <v>169</v>
      </c>
      <c r="C760" s="13" t="n">
        <f aca="false">a25_eps</f>
        <v>3.04</v>
      </c>
      <c r="D760" s="13" t="n">
        <f aca="false">a26_eps</f>
        <v>3.66</v>
      </c>
      <c r="E760" s="13" t="n">
        <f aca="false">E758/E759</f>
        <v>5.24273290798019</v>
      </c>
      <c r="F760" s="13" t="n">
        <f aca="false">F758/F759</f>
        <v>6.29615310818188</v>
      </c>
      <c r="G760" s="13" t="n">
        <f aca="false">G758/G759</f>
        <v>7.37508430560506</v>
      </c>
    </row>
    <row r="761" customFormat="false" ht="17.15" hidden="false" customHeight="false" outlineLevel="0" collapsed="false">
      <c r="A761" s="5" t="s">
        <v>410</v>
      </c>
      <c r="B761" s="0" t="s">
        <v>41</v>
      </c>
      <c r="D761" s="20" t="n">
        <f aca="false">a26_rev*chn_sh26</f>
        <v>4073.8428</v>
      </c>
      <c r="E761" s="20" t="n">
        <f aca="false">E751*chn_sh26*(1-chn_cut*IF(2027=2027,0.5,1))</f>
        <v>5366.52441994268</v>
      </c>
      <c r="F761" s="20" t="n">
        <f aca="false">F751*chn_sh26*(1-chn_cut*IF(2028=2027,0.5,1))</f>
        <v>6163.13484905728</v>
      </c>
      <c r="G761" s="20" t="n">
        <f aca="false">G751*chn_sh26*(1-chn_cut*IF(2029=2027,0.5,1))</f>
        <v>6966.82896647238</v>
      </c>
      <c r="H761" s="5" t="s">
        <v>411</v>
      </c>
    </row>
    <row r="770" customFormat="false" ht="17.15" hidden="false" customHeight="false" outlineLevel="0" collapsed="false">
      <c r="A770" s="3" t="s">
        <v>716</v>
      </c>
    </row>
    <row r="771" customFormat="false" ht="17.15" hidden="false" customHeight="false" outlineLevel="0" collapsed="false">
      <c r="A771" s="6" t="s">
        <v>15</v>
      </c>
      <c r="B771" s="6" t="s">
        <v>16</v>
      </c>
      <c r="C771" s="14" t="s">
        <v>377</v>
      </c>
      <c r="D771" s="14" t="s">
        <v>378</v>
      </c>
      <c r="E771" s="14" t="s">
        <v>379</v>
      </c>
      <c r="F771" s="14" t="s">
        <v>380</v>
      </c>
      <c r="G771" s="14" t="s">
        <v>381</v>
      </c>
      <c r="H771" s="6" t="s">
        <v>306</v>
      </c>
    </row>
    <row r="772" customFormat="false" ht="17.15" hidden="false" customHeight="false" outlineLevel="0" collapsed="false">
      <c r="A772" s="1" t="s">
        <v>382</v>
      </c>
    </row>
    <row r="773" customFormat="false" ht="17.15" hidden="false" customHeight="false" outlineLevel="0" collapsed="false">
      <c r="A773" s="5" t="s">
        <v>383</v>
      </c>
      <c r="B773" s="0" t="s">
        <v>41</v>
      </c>
      <c r="C773" s="16" t="n">
        <f aca="false">(Units!C8+m_mem*Units!C11)*1000</f>
        <v>117874.05938505</v>
      </c>
      <c r="D773" s="16" t="n">
        <f aca="false">(Units!D8+m_mem*Units!D11)*1000</f>
        <v>157598.72745742</v>
      </c>
      <c r="E773" s="16" t="n">
        <f aca="false">(Units!E8+m_mem*Units!E11)*1000</f>
        <v>194734.950900524</v>
      </c>
      <c r="F773" s="16" t="n">
        <f aca="false">(Units!F8+m_mem*Units!F11)*1000</f>
        <v>218802.231022447</v>
      </c>
      <c r="G773" s="16" t="n">
        <f aca="false">(Units!G8+m_mem*Units!G11)*1000</f>
        <v>231172.69409247</v>
      </c>
      <c r="H773" s="5" t="s">
        <v>384</v>
      </c>
    </row>
    <row r="774" customFormat="false" ht="15" hidden="false" customHeight="false" outlineLevel="0" collapsed="false">
      <c r="A774" s="5" t="s">
        <v>385</v>
      </c>
      <c r="B774" s="0" t="s">
        <v>41</v>
      </c>
      <c r="C774" s="16" t="n">
        <f aca="false">Units!C12*1000</f>
        <v>3056.56934306569</v>
      </c>
      <c r="D774" s="16" t="n">
        <f aca="false">Units!D12*1000</f>
        <v>3350</v>
      </c>
      <c r="E774" s="16" t="n">
        <f aca="false">Units!E12*1000</f>
        <v>3795.39194286967</v>
      </c>
      <c r="F774" s="16" t="n">
        <f aca="false">Units!F12*1000</f>
        <v>4300</v>
      </c>
      <c r="G774" s="16" t="n">
        <f aca="false">Units!G12*1000</f>
        <v>4644</v>
      </c>
    </row>
    <row r="775" customFormat="false" ht="17.15" hidden="false" customHeight="false" outlineLevel="0" collapsed="false">
      <c r="A775" s="5" t="s">
        <v>386</v>
      </c>
      <c r="B775" s="0" t="s">
        <v>41</v>
      </c>
      <c r="D775" s="16" t="n">
        <f aca="false">h1_rev*(2+h2up)</f>
        <v>15559.8432</v>
      </c>
      <c r="H775" s="5" t="s">
        <v>387</v>
      </c>
    </row>
    <row r="776" customFormat="false" ht="17.15" hidden="false" customHeight="false" outlineLevel="0" collapsed="false">
      <c r="A776" s="5" t="s">
        <v>388</v>
      </c>
      <c r="B776" s="0" t="s">
        <v>41</v>
      </c>
      <c r="D776" s="16" t="n">
        <f aca="false">h1_svc*(2+g_svc_h2)</f>
        <v>3286.1223</v>
      </c>
    </row>
    <row r="777" customFormat="false" ht="17.15" hidden="false" customHeight="false" outlineLevel="0" collapsed="false">
      <c r="A777" s="0" t="s">
        <v>389</v>
      </c>
      <c r="B777" s="0" t="s">
        <v>41</v>
      </c>
      <c r="D777" s="16" t="n">
        <f aca="false">cy25_oth*(1+g_oth26)</f>
        <v>1528.965</v>
      </c>
    </row>
    <row r="778" customFormat="false" ht="17.15" hidden="false" customHeight="false" outlineLevel="0" collapsed="false">
      <c r="A778" s="5" t="s">
        <v>390</v>
      </c>
      <c r="B778" s="0" t="s">
        <v>41</v>
      </c>
      <c r="C778" s="16" t="n">
        <f aca="false">ap26/(1+ap_g26)</f>
        <v>647.058823529412</v>
      </c>
      <c r="D778" s="16" t="n">
        <f aca="false">ap26</f>
        <v>1100</v>
      </c>
      <c r="E778" s="16" t="n">
        <f aca="false">D778*(1+k_ap*(E774/D774-1))</f>
        <v>1392.49620128754</v>
      </c>
      <c r="F778" s="16" t="n">
        <f aca="false">E778*(1+k_ap*(F774/E774-1))</f>
        <v>1762.76879145476</v>
      </c>
      <c r="G778" s="16" t="n">
        <f aca="false">F778*(1+k_ap*(G774/F774-1))</f>
        <v>2044.81179808753</v>
      </c>
      <c r="H778" s="8" t="s">
        <v>391</v>
      </c>
    </row>
    <row r="779" customFormat="false" ht="17.15" hidden="false" customHeight="false" outlineLevel="0" collapsed="false">
      <c r="A779" s="5" t="s">
        <v>392</v>
      </c>
      <c r="B779" s="0" t="s">
        <v>41</v>
      </c>
      <c r="C779" s="16" t="n">
        <f aca="false">C781-C778</f>
        <v>7971.85117647059</v>
      </c>
      <c r="D779" s="16" t="n">
        <f aca="false">D781-D778</f>
        <v>9644.7559</v>
      </c>
      <c r="E779" s="16" t="n">
        <f aca="false">E780*E773</f>
        <v>12268.521584997</v>
      </c>
      <c r="F779" s="16" t="n">
        <f aca="false">F780*F773</f>
        <v>14190.8975186426</v>
      </c>
      <c r="G779" s="16" t="n">
        <f aca="false">G780*G773</f>
        <v>15434.9221703084</v>
      </c>
      <c r="H779" s="8" t="s">
        <v>393</v>
      </c>
    </row>
    <row r="780" customFormat="false" ht="17.15" hidden="false" customHeight="false" outlineLevel="0" collapsed="false">
      <c r="A780" s="5" t="s">
        <v>394</v>
      </c>
      <c r="B780" s="0" t="s">
        <v>26</v>
      </c>
      <c r="C780" s="21" t="n">
        <f aca="false">C779/C773</f>
        <v>0.0676302421250259</v>
      </c>
      <c r="D780" s="21" t="n">
        <f aca="false">D779/D773</f>
        <v>0.0611981838660836</v>
      </c>
      <c r="E780" s="21" t="n">
        <f aca="false">$D780*(1+pc_u)^1</f>
        <v>0.0630011280885271</v>
      </c>
      <c r="F780" s="21" t="n">
        <f aca="false">$D780*(1+pc_u)^2</f>
        <v>0.0648571883948786</v>
      </c>
      <c r="G780" s="21" t="n">
        <f aca="false">$D780*(1+pc_u)^3</f>
        <v>0.0667679296246569</v>
      </c>
      <c r="H780" s="8" t="s">
        <v>395</v>
      </c>
    </row>
    <row r="781" customFormat="false" ht="17.15" hidden="false" customHeight="false" outlineLevel="0" collapsed="false">
      <c r="A781" s="5" t="s">
        <v>396</v>
      </c>
      <c r="B781" s="0" t="s">
        <v>41</v>
      </c>
      <c r="C781" s="16" t="n">
        <f aca="false">cy25_sys</f>
        <v>8618.91</v>
      </c>
      <c r="D781" s="16" t="n">
        <f aca="false">D775-D776-D777</f>
        <v>10744.7559</v>
      </c>
      <c r="E781" s="16" t="n">
        <f aca="false">(E779+E778)*(1-chn_sh26*chn_cut)</f>
        <v>13661.0177862845</v>
      </c>
      <c r="F781" s="16" t="n">
        <f aca="false">(F779+F778)*(1-chn_sh26*chn_cut)</f>
        <v>15953.6663100973</v>
      </c>
      <c r="G781" s="16" t="n">
        <f aca="false">(G779+G778)*(1-chn_sh26*chn_cut)</f>
        <v>17479.7339683959</v>
      </c>
      <c r="H781" s="8" t="s">
        <v>397</v>
      </c>
    </row>
    <row r="782" customFormat="false" ht="17.15" hidden="false" customHeight="false" outlineLevel="0" collapsed="false">
      <c r="A782" s="5" t="s">
        <v>398</v>
      </c>
      <c r="B782" s="0" t="s">
        <v>26</v>
      </c>
      <c r="C782" s="10" t="n">
        <f aca="false">C780/kla_sh_pc</f>
        <v>0.116603865732803</v>
      </c>
      <c r="D782" s="10" t="n">
        <f aca="false">D780/kla_sh_pc</f>
        <v>0.105514110113937</v>
      </c>
      <c r="E782" s="10" t="n">
        <f aca="false">E780/kla_sh_pc</f>
        <v>0.108622634635392</v>
      </c>
      <c r="F782" s="10" t="n">
        <f aca="false">F780/kla_sh_pc</f>
        <v>0.11182273861186</v>
      </c>
      <c r="G782" s="10" t="n">
        <f aca="false">G780/kla_sh_pc</f>
        <v>0.115117120042512</v>
      </c>
      <c r="H782" s="8" t="s">
        <v>399</v>
      </c>
    </row>
    <row r="783" customFormat="false" ht="17.15" hidden="false" customHeight="false" outlineLevel="0" collapsed="false">
      <c r="A783" s="1" t="s">
        <v>400</v>
      </c>
    </row>
    <row r="784" customFormat="false" ht="17.15" hidden="false" customHeight="false" outlineLevel="0" collapsed="false">
      <c r="A784" s="5" t="s">
        <v>401</v>
      </c>
      <c r="B784" s="0" t="s">
        <v>41</v>
      </c>
      <c r="C784" s="16" t="n">
        <f aca="false">a25_sys</f>
        <v>8264.026</v>
      </c>
      <c r="D784" s="16" t="n">
        <f aca="false">a26_sys</f>
        <v>9119.058</v>
      </c>
      <c r="E784" s="16" t="n">
        <f aca="false">(D781-h1_sys)+0.5*E781</f>
        <v>12830.2277931423</v>
      </c>
      <c r="F784" s="16" t="n">
        <f aca="false">0.5*E781+0.5*F781</f>
        <v>14807.3420481909</v>
      </c>
      <c r="G784" s="16" t="n">
        <f aca="false">0.5*F781+0.5*G781</f>
        <v>16716.7001392466</v>
      </c>
      <c r="H784" s="8" t="s">
        <v>402</v>
      </c>
    </row>
    <row r="785" customFormat="false" ht="15" hidden="false" customHeight="false" outlineLevel="0" collapsed="false">
      <c r="A785" s="5" t="s">
        <v>254</v>
      </c>
      <c r="B785" s="0" t="s">
        <v>41</v>
      </c>
      <c r="C785" s="16" t="n">
        <f aca="false">a25_svc</f>
        <v>2683.308</v>
      </c>
      <c r="D785" s="16" t="n">
        <f aca="false">a26_svc</f>
        <v>3125.939</v>
      </c>
      <c r="E785" s="16" t="n">
        <f aca="false">D785*(1+g_svc_A)</f>
        <v>3563.57046</v>
      </c>
      <c r="F785" s="16" t="n">
        <f aca="false">E785*(1+g_svc_A)</f>
        <v>4062.4703244</v>
      </c>
      <c r="G785" s="16" t="n">
        <f aca="false">F785*(1+g_svc_A)</f>
        <v>4631.216169816</v>
      </c>
    </row>
    <row r="786" customFormat="false" ht="17.15" hidden="false" customHeight="false" outlineLevel="0" collapsed="false">
      <c r="A786" s="0" t="s">
        <v>403</v>
      </c>
      <c r="B786" s="0" t="s">
        <v>41</v>
      </c>
      <c r="C786" s="16" t="n">
        <f aca="false">a25_oth</f>
        <v>1208.828</v>
      </c>
      <c r="D786" s="16" t="n">
        <f aca="false">a26_oth</f>
        <v>1334.479</v>
      </c>
      <c r="E786" s="16" t="n">
        <f aca="false">D786*(1+g_oth_A)</f>
        <v>1494.61648</v>
      </c>
      <c r="F786" s="16" t="n">
        <f aca="false">E786*(1+g_oth_A)</f>
        <v>1673.9704576</v>
      </c>
      <c r="G786" s="16" t="n">
        <f aca="false">F786*(1+g_oth_A)</f>
        <v>1874.846912512</v>
      </c>
    </row>
    <row r="787" customFormat="false" ht="17.15" hidden="false" customHeight="false" outlineLevel="0" collapsed="false">
      <c r="A787" s="5" t="s">
        <v>248</v>
      </c>
      <c r="B787" s="0" t="s">
        <v>41</v>
      </c>
      <c r="C787" s="16" t="n">
        <f aca="false">C784+C785+C786</f>
        <v>12156.162</v>
      </c>
      <c r="D787" s="16" t="n">
        <f aca="false">D784+D785+D786</f>
        <v>13579.476</v>
      </c>
      <c r="E787" s="16" t="n">
        <f aca="false">E784+E785+E786</f>
        <v>17888.4147331423</v>
      </c>
      <c r="F787" s="16" t="n">
        <f aca="false">F784+F785+F786</f>
        <v>20543.7828301909</v>
      </c>
      <c r="G787" s="16" t="n">
        <f aca="false">G784+G785+G786</f>
        <v>23222.7632215746</v>
      </c>
      <c r="H787" s="8" t="s">
        <v>404</v>
      </c>
    </row>
    <row r="788" customFormat="false" ht="17.15" hidden="false" customHeight="false" outlineLevel="0" collapsed="false">
      <c r="A788" s="5" t="s">
        <v>267</v>
      </c>
      <c r="B788" s="0" t="s">
        <v>41</v>
      </c>
      <c r="C788" s="16" t="n">
        <f aca="false">a25_gp</f>
        <v>7404.295</v>
      </c>
      <c r="D788" s="16" t="n">
        <f aca="false">a26_gp</f>
        <v>8324.416</v>
      </c>
      <c r="E788" s="16" t="n">
        <f aca="false">a26_gp+gm_inc*(E787-a26_rev)</f>
        <v>11109.988976924</v>
      </c>
      <c r="F788" s="16" t="n">
        <f aca="false">a26_gp+gm_inc*(F787-a26_rev)</f>
        <v>12826.5883701882</v>
      </c>
      <c r="G788" s="16" t="n">
        <f aca="false">a26_gp+gm_inc*(G787-a26_rev)</f>
        <v>14558.452257356</v>
      </c>
      <c r="H788" s="8" t="s">
        <v>405</v>
      </c>
    </row>
    <row r="789" customFormat="false" ht="15" hidden="false" customHeight="false" outlineLevel="0" collapsed="false">
      <c r="A789" s="5" t="s">
        <v>363</v>
      </c>
      <c r="B789" s="0" t="s">
        <v>26</v>
      </c>
      <c r="C789" s="10" t="n">
        <f aca="false">C788/C787</f>
        <v>0.609098085398994</v>
      </c>
      <c r="D789" s="10" t="n">
        <f aca="false">D788/D787</f>
        <v>0.613014522798965</v>
      </c>
      <c r="E789" s="10" t="n">
        <f aca="false">E788/E787</f>
        <v>0.621071746304063</v>
      </c>
      <c r="F789" s="10" t="n">
        <f aca="false">F788/F787</f>
        <v>0.624353775359153</v>
      </c>
      <c r="G789" s="10" t="n">
        <f aca="false">G788/G787</f>
        <v>0.62690439197308</v>
      </c>
    </row>
    <row r="790" customFormat="false" ht="15" hidden="false" customHeight="false" outlineLevel="0" collapsed="false">
      <c r="A790" s="5" t="s">
        <v>406</v>
      </c>
      <c r="B790" s="0" t="s">
        <v>41</v>
      </c>
      <c r="C790" s="16" t="n">
        <f aca="false">a25_opx</f>
        <v>2390.068</v>
      </c>
      <c r="D790" s="16" t="n">
        <f aca="false">a26_opx</f>
        <v>2663.636</v>
      </c>
      <c r="E790" s="16" t="n">
        <f aca="false">opex27</f>
        <v>2865</v>
      </c>
      <c r="F790" s="16" t="n">
        <f aca="false">E790*(1+g_opex_A)</f>
        <v>3094.2</v>
      </c>
      <c r="G790" s="16" t="n">
        <f aca="false">F790*(1+g_opex_A)</f>
        <v>3341.736</v>
      </c>
    </row>
    <row r="791" customFormat="false" ht="17.15" hidden="false" customHeight="false" outlineLevel="0" collapsed="false">
      <c r="A791" s="5" t="s">
        <v>364</v>
      </c>
      <c r="B791" s="0" t="s">
        <v>41</v>
      </c>
      <c r="C791" s="16" t="n">
        <f aca="false">a25_oi</f>
        <v>4775.127</v>
      </c>
      <c r="D791" s="16" t="n">
        <f aca="false">D788-D790</f>
        <v>5660.78</v>
      </c>
      <c r="E791" s="16" t="n">
        <f aca="false">E788-E790</f>
        <v>8244.98897692399</v>
      </c>
      <c r="F791" s="16" t="n">
        <f aca="false">F788-F790</f>
        <v>9732.38837018824</v>
      </c>
      <c r="G791" s="16" t="n">
        <f aca="false">G788-G790</f>
        <v>11216.716257356</v>
      </c>
      <c r="H791" s="8" t="s">
        <v>407</v>
      </c>
    </row>
    <row r="792" customFormat="false" ht="15" hidden="false" customHeight="false" outlineLevel="0" collapsed="false">
      <c r="A792" s="5" t="s">
        <v>365</v>
      </c>
      <c r="B792" s="0" t="s">
        <v>26</v>
      </c>
      <c r="C792" s="10" t="n">
        <f aca="false">C791/C787</f>
        <v>0.392815347475626</v>
      </c>
      <c r="D792" s="10" t="n">
        <f aca="false">D791/D787</f>
        <v>0.416862918716451</v>
      </c>
      <c r="E792" s="10" t="n">
        <f aca="false">E791/E787</f>
        <v>0.460912221676542</v>
      </c>
      <c r="F792" s="10" t="n">
        <f aca="false">F791/F787</f>
        <v>0.473738865457905</v>
      </c>
      <c r="G792" s="10" t="n">
        <f aca="false">G791/G787</f>
        <v>0.483005237160382</v>
      </c>
    </row>
    <row r="793" customFormat="false" ht="15" hidden="false" customHeight="false" outlineLevel="0" collapsed="false">
      <c r="A793" s="5" t="s">
        <v>408</v>
      </c>
      <c r="B793" s="0" t="s">
        <v>41</v>
      </c>
      <c r="C793" s="16" t="n">
        <f aca="false">a25_nonop</f>
        <v>-130.679</v>
      </c>
      <c r="D793" s="16" t="n">
        <f aca="false">a26_nonop</f>
        <v>-54.855</v>
      </c>
      <c r="E793" s="16" t="n">
        <f aca="false">oth_exp</f>
        <v>-100</v>
      </c>
      <c r="F793" s="16" t="n">
        <f aca="false">oth_exp</f>
        <v>-100</v>
      </c>
      <c r="G793" s="16" t="n">
        <f aca="false">oth_exp</f>
        <v>-100</v>
      </c>
    </row>
    <row r="794" customFormat="false" ht="15" hidden="false" customHeight="false" outlineLevel="0" collapsed="false">
      <c r="A794" s="5" t="s">
        <v>366</v>
      </c>
      <c r="B794" s="0" t="s">
        <v>41</v>
      </c>
      <c r="C794" s="16" t="n">
        <f aca="false">a25_ni</f>
        <v>4061.643</v>
      </c>
      <c r="D794" s="16" t="n">
        <f aca="false">a26_ni</f>
        <v>4830.771</v>
      </c>
      <c r="E794" s="16" t="n">
        <f aca="false">(E791+E793)*(1-tax)</f>
        <v>6963.96557527001</v>
      </c>
      <c r="F794" s="16" t="n">
        <f aca="false">(F791+F793)*(1-tax)</f>
        <v>8235.69205651095</v>
      </c>
      <c r="G794" s="16" t="n">
        <f aca="false">(G791+G793)*(1-tax)</f>
        <v>9504.79240003942</v>
      </c>
    </row>
    <row r="795" customFormat="false" ht="15" hidden="false" customHeight="false" outlineLevel="0" collapsed="false">
      <c r="A795" s="5" t="s">
        <v>409</v>
      </c>
      <c r="B795" s="5" t="s">
        <v>151</v>
      </c>
      <c r="C795" s="16" t="n">
        <f aca="false">a25_sh</f>
        <v>1337.502</v>
      </c>
      <c r="D795" s="16" t="n">
        <f aca="false">a26_sh</f>
        <v>1319.633</v>
      </c>
      <c r="E795" s="16" t="n">
        <f aca="false">shares27</f>
        <v>1312</v>
      </c>
      <c r="F795" s="16" t="n">
        <f aca="false">E795*(1-bb_lo)</f>
        <v>1312</v>
      </c>
      <c r="G795" s="16" t="n">
        <f aca="false">F795*(1-bb_lo)</f>
        <v>1312</v>
      </c>
    </row>
    <row r="796" customFormat="false" ht="17.15" hidden="false" customHeight="false" outlineLevel="0" collapsed="false">
      <c r="A796" s="0" t="s">
        <v>367</v>
      </c>
      <c r="B796" s="0" t="s">
        <v>169</v>
      </c>
      <c r="C796" s="13" t="n">
        <f aca="false">a25_eps</f>
        <v>3.04</v>
      </c>
      <c r="D796" s="13" t="n">
        <f aca="false">a26_eps</f>
        <v>3.66</v>
      </c>
      <c r="E796" s="13" t="n">
        <f aca="false">E794/E795</f>
        <v>5.30790059090702</v>
      </c>
      <c r="F796" s="13" t="n">
        <f aca="false">F794/F795</f>
        <v>6.27720431136505</v>
      </c>
      <c r="G796" s="13" t="n">
        <f aca="false">G794/G795</f>
        <v>7.24450640246907</v>
      </c>
    </row>
    <row r="797" customFormat="false" ht="17.15" hidden="false" customHeight="false" outlineLevel="0" collapsed="false">
      <c r="A797" s="5" t="s">
        <v>410</v>
      </c>
      <c r="B797" s="0" t="s">
        <v>41</v>
      </c>
      <c r="D797" s="20" t="n">
        <f aca="false">a26_rev*chn_sh26</f>
        <v>4073.8428</v>
      </c>
      <c r="E797" s="20" t="n">
        <f aca="false">E787*chn_sh26*(1-chn_cut*IF(2027=2027,0.5,1))</f>
        <v>5366.52441994268</v>
      </c>
      <c r="F797" s="20" t="n">
        <f aca="false">F787*chn_sh26*(1-chn_cut*IF(2028=2027,0.5,1))</f>
        <v>6163.13484905728</v>
      </c>
      <c r="G797" s="20" t="n">
        <f aca="false">G787*chn_sh26*(1-chn_cut*IF(2029=2027,0.5,1))</f>
        <v>6966.82896647238</v>
      </c>
      <c r="H797" s="5" t="s">
        <v>411</v>
      </c>
    </row>
    <row r="806" customFormat="false" ht="17.15" hidden="false" customHeight="false" outlineLevel="0" collapsed="false">
      <c r="A806" s="3" t="s">
        <v>717</v>
      </c>
    </row>
    <row r="807" customFormat="false" ht="17.15" hidden="false" customHeight="false" outlineLevel="0" collapsed="false">
      <c r="A807" s="6" t="s">
        <v>15</v>
      </c>
      <c r="B807" s="6" t="s">
        <v>16</v>
      </c>
      <c r="C807" s="14" t="s">
        <v>377</v>
      </c>
      <c r="D807" s="14" t="s">
        <v>378</v>
      </c>
      <c r="E807" s="14" t="s">
        <v>379</v>
      </c>
      <c r="F807" s="14" t="s">
        <v>380</v>
      </c>
      <c r="G807" s="14" t="s">
        <v>381</v>
      </c>
      <c r="H807" s="6" t="s">
        <v>306</v>
      </c>
    </row>
    <row r="808" customFormat="false" ht="17.15" hidden="false" customHeight="false" outlineLevel="0" collapsed="false">
      <c r="A808" s="1" t="s">
        <v>382</v>
      </c>
    </row>
    <row r="809" customFormat="false" ht="17.15" hidden="false" customHeight="false" outlineLevel="0" collapsed="false">
      <c r="A809" s="5" t="s">
        <v>383</v>
      </c>
      <c r="B809" s="0" t="s">
        <v>41</v>
      </c>
      <c r="C809" s="16" t="n">
        <f aca="false">(Units!C8+m_mem*Units!C11)*1000</f>
        <v>117874.05938505</v>
      </c>
      <c r="D809" s="16" t="n">
        <f aca="false">(Units!D8+m_mem*Units!D11)*1000</f>
        <v>157598.72745742</v>
      </c>
      <c r="E809" s="16" t="n">
        <f aca="false">(Units!E8+m_mem*Units!E11)*1000</f>
        <v>194734.950900524</v>
      </c>
      <c r="F809" s="16" t="n">
        <f aca="false">(Units!F8+m_mem*Units!F11)*1000</f>
        <v>218802.231022447</v>
      </c>
      <c r="G809" s="16" t="n">
        <f aca="false">(Units!G8+m_mem*Units!G11)*1000</f>
        <v>231172.69409247</v>
      </c>
      <c r="H809" s="5" t="s">
        <v>384</v>
      </c>
    </row>
    <row r="810" customFormat="false" ht="15" hidden="false" customHeight="false" outlineLevel="0" collapsed="false">
      <c r="A810" s="5" t="s">
        <v>385</v>
      </c>
      <c r="B810" s="0" t="s">
        <v>41</v>
      </c>
      <c r="C810" s="16" t="n">
        <f aca="false">Units!C12*1000</f>
        <v>3056.56934306569</v>
      </c>
      <c r="D810" s="16" t="n">
        <f aca="false">Units!D12*1000</f>
        <v>3350</v>
      </c>
      <c r="E810" s="16" t="n">
        <f aca="false">Units!E12*1000</f>
        <v>3795.39194286967</v>
      </c>
      <c r="F810" s="16" t="n">
        <f aca="false">Units!F12*1000</f>
        <v>4300</v>
      </c>
      <c r="G810" s="16" t="n">
        <f aca="false">Units!G12*1000</f>
        <v>4644</v>
      </c>
    </row>
    <row r="811" customFormat="false" ht="17.15" hidden="false" customHeight="false" outlineLevel="0" collapsed="false">
      <c r="A811" s="5" t="s">
        <v>386</v>
      </c>
      <c r="B811" s="0" t="s">
        <v>41</v>
      </c>
      <c r="D811" s="16" t="n">
        <f aca="false">h1_rev*(2+h2up)</f>
        <v>15559.8432</v>
      </c>
      <c r="H811" s="5" t="s">
        <v>387</v>
      </c>
    </row>
    <row r="812" customFormat="false" ht="17.15" hidden="false" customHeight="false" outlineLevel="0" collapsed="false">
      <c r="A812" s="5" t="s">
        <v>388</v>
      </c>
      <c r="B812" s="0" t="s">
        <v>41</v>
      </c>
      <c r="D812" s="16" t="n">
        <f aca="false">h1_svc*(2+g_svc_h2)</f>
        <v>3286.1223</v>
      </c>
    </row>
    <row r="813" customFormat="false" ht="17.15" hidden="false" customHeight="false" outlineLevel="0" collapsed="false">
      <c r="A813" s="0" t="s">
        <v>389</v>
      </c>
      <c r="B813" s="0" t="s">
        <v>41</v>
      </c>
      <c r="D813" s="16" t="n">
        <f aca="false">cy25_oth*(1+g_oth26)</f>
        <v>1528.965</v>
      </c>
    </row>
    <row r="814" customFormat="false" ht="17.15" hidden="false" customHeight="false" outlineLevel="0" collapsed="false">
      <c r="A814" s="5" t="s">
        <v>390</v>
      </c>
      <c r="B814" s="0" t="s">
        <v>41</v>
      </c>
      <c r="C814" s="16" t="n">
        <f aca="false">ap26/(1+ap_g26)</f>
        <v>647.058823529412</v>
      </c>
      <c r="D814" s="16" t="n">
        <f aca="false">ap26</f>
        <v>1100</v>
      </c>
      <c r="E814" s="16" t="n">
        <f aca="false">D814*(1+k_ap*(E810/D810-1))</f>
        <v>1392.49620128754</v>
      </c>
      <c r="F814" s="16" t="n">
        <f aca="false">E814*(1+k_ap*(F810/E810-1))</f>
        <v>1762.76879145476</v>
      </c>
      <c r="G814" s="16" t="n">
        <f aca="false">F814*(1+k_ap*(G810/F810-1))</f>
        <v>2044.81179808753</v>
      </c>
      <c r="H814" s="8" t="s">
        <v>391</v>
      </c>
    </row>
    <row r="815" customFormat="false" ht="17.15" hidden="false" customHeight="false" outlineLevel="0" collapsed="false">
      <c r="A815" s="5" t="s">
        <v>392</v>
      </c>
      <c r="B815" s="0" t="s">
        <v>41</v>
      </c>
      <c r="C815" s="16" t="n">
        <f aca="false">C817-C814</f>
        <v>7971.85117647059</v>
      </c>
      <c r="D815" s="16" t="n">
        <f aca="false">D817-D814</f>
        <v>9644.7559</v>
      </c>
      <c r="E815" s="16" t="n">
        <f aca="false">E816*E809</f>
        <v>12268.521584997</v>
      </c>
      <c r="F815" s="16" t="n">
        <f aca="false">F816*F809</f>
        <v>14190.8975186426</v>
      </c>
      <c r="G815" s="16" t="n">
        <f aca="false">G816*G809</f>
        <v>15434.9221703084</v>
      </c>
      <c r="H815" s="8" t="s">
        <v>393</v>
      </c>
    </row>
    <row r="816" customFormat="false" ht="17.15" hidden="false" customHeight="false" outlineLevel="0" collapsed="false">
      <c r="A816" s="5" t="s">
        <v>394</v>
      </c>
      <c r="B816" s="0" t="s">
        <v>26</v>
      </c>
      <c r="C816" s="21" t="n">
        <f aca="false">C815/C809</f>
        <v>0.0676302421250259</v>
      </c>
      <c r="D816" s="21" t="n">
        <f aca="false">D815/D809</f>
        <v>0.0611981838660836</v>
      </c>
      <c r="E816" s="21" t="n">
        <f aca="false">$D816*(1+pc_u)^1</f>
        <v>0.0630011280885271</v>
      </c>
      <c r="F816" s="21" t="n">
        <f aca="false">$D816*(1+pc_u)^2</f>
        <v>0.0648571883948786</v>
      </c>
      <c r="G816" s="21" t="n">
        <f aca="false">$D816*(1+pc_u)^3</f>
        <v>0.0667679296246569</v>
      </c>
      <c r="H816" s="8" t="s">
        <v>395</v>
      </c>
    </row>
    <row r="817" customFormat="false" ht="17.15" hidden="false" customHeight="false" outlineLevel="0" collapsed="false">
      <c r="A817" s="5" t="s">
        <v>396</v>
      </c>
      <c r="B817" s="0" t="s">
        <v>41</v>
      </c>
      <c r="C817" s="16" t="n">
        <f aca="false">cy25_sys</f>
        <v>8618.91</v>
      </c>
      <c r="D817" s="16" t="n">
        <f aca="false">D811-D812-D813</f>
        <v>10744.7559</v>
      </c>
      <c r="E817" s="16" t="n">
        <f aca="false">(E815+E814)*(1-chn_sh26*chn_cut)</f>
        <v>13661.0177862845</v>
      </c>
      <c r="F817" s="16" t="n">
        <f aca="false">(F815+F814)*(1-chn_sh26*chn_cut)</f>
        <v>15953.6663100973</v>
      </c>
      <c r="G817" s="16" t="n">
        <f aca="false">(G815+G814)*(1-chn_sh26*chn_cut)</f>
        <v>17479.7339683959</v>
      </c>
      <c r="H817" s="8" t="s">
        <v>397</v>
      </c>
    </row>
    <row r="818" customFormat="false" ht="17.15" hidden="false" customHeight="false" outlineLevel="0" collapsed="false">
      <c r="A818" s="5" t="s">
        <v>398</v>
      </c>
      <c r="B818" s="0" t="s">
        <v>26</v>
      </c>
      <c r="C818" s="10" t="n">
        <f aca="false">C816/kla_sh_pc</f>
        <v>0.116603865732803</v>
      </c>
      <c r="D818" s="10" t="n">
        <f aca="false">D816/kla_sh_pc</f>
        <v>0.105514110113937</v>
      </c>
      <c r="E818" s="10" t="n">
        <f aca="false">E816/kla_sh_pc</f>
        <v>0.108622634635392</v>
      </c>
      <c r="F818" s="10" t="n">
        <f aca="false">F816/kla_sh_pc</f>
        <v>0.11182273861186</v>
      </c>
      <c r="G818" s="10" t="n">
        <f aca="false">G816/kla_sh_pc</f>
        <v>0.115117120042512</v>
      </c>
      <c r="H818" s="8" t="s">
        <v>399</v>
      </c>
    </row>
    <row r="819" customFormat="false" ht="17.15" hidden="false" customHeight="false" outlineLevel="0" collapsed="false">
      <c r="A819" s="1" t="s">
        <v>400</v>
      </c>
    </row>
    <row r="820" customFormat="false" ht="17.15" hidden="false" customHeight="false" outlineLevel="0" collapsed="false">
      <c r="A820" s="5" t="s">
        <v>401</v>
      </c>
      <c r="B820" s="0" t="s">
        <v>41</v>
      </c>
      <c r="C820" s="16" t="n">
        <f aca="false">a25_sys</f>
        <v>8264.026</v>
      </c>
      <c r="D820" s="16" t="n">
        <f aca="false">a26_sys</f>
        <v>9119.058</v>
      </c>
      <c r="E820" s="16" t="n">
        <f aca="false">(D817-h1_sys)+0.5*E817</f>
        <v>12830.2277931423</v>
      </c>
      <c r="F820" s="16" t="n">
        <f aca="false">0.5*E817+0.5*F817</f>
        <v>14807.3420481909</v>
      </c>
      <c r="G820" s="16" t="n">
        <f aca="false">0.5*F817+0.5*G817</f>
        <v>16716.7001392466</v>
      </c>
      <c r="H820" s="8" t="s">
        <v>402</v>
      </c>
    </row>
    <row r="821" customFormat="false" ht="15" hidden="false" customHeight="false" outlineLevel="0" collapsed="false">
      <c r="A821" s="5" t="s">
        <v>254</v>
      </c>
      <c r="B821" s="0" t="s">
        <v>41</v>
      </c>
      <c r="C821" s="16" t="n">
        <f aca="false">a25_svc</f>
        <v>2683.308</v>
      </c>
      <c r="D821" s="16" t="n">
        <f aca="false">a26_svc</f>
        <v>3125.939</v>
      </c>
      <c r="E821" s="16" t="n">
        <f aca="false">D821*(1+g_svc_A)</f>
        <v>3563.57046</v>
      </c>
      <c r="F821" s="16" t="n">
        <f aca="false">E821*(1+g_svc_A)</f>
        <v>4062.4703244</v>
      </c>
      <c r="G821" s="16" t="n">
        <f aca="false">F821*(1+g_svc_A)</f>
        <v>4631.216169816</v>
      </c>
    </row>
    <row r="822" customFormat="false" ht="17.15" hidden="false" customHeight="false" outlineLevel="0" collapsed="false">
      <c r="A822" s="0" t="s">
        <v>403</v>
      </c>
      <c r="B822" s="0" t="s">
        <v>41</v>
      </c>
      <c r="C822" s="16" t="n">
        <f aca="false">a25_oth</f>
        <v>1208.828</v>
      </c>
      <c r="D822" s="16" t="n">
        <f aca="false">a26_oth</f>
        <v>1334.479</v>
      </c>
      <c r="E822" s="16" t="n">
        <f aca="false">D822*(1+g_oth_A)</f>
        <v>1494.61648</v>
      </c>
      <c r="F822" s="16" t="n">
        <f aca="false">E822*(1+g_oth_A)</f>
        <v>1673.9704576</v>
      </c>
      <c r="G822" s="16" t="n">
        <f aca="false">F822*(1+g_oth_A)</f>
        <v>1874.846912512</v>
      </c>
    </row>
    <row r="823" customFormat="false" ht="17.15" hidden="false" customHeight="false" outlineLevel="0" collapsed="false">
      <c r="A823" s="5" t="s">
        <v>248</v>
      </c>
      <c r="B823" s="0" t="s">
        <v>41</v>
      </c>
      <c r="C823" s="16" t="n">
        <f aca="false">C820+C821+C822</f>
        <v>12156.162</v>
      </c>
      <c r="D823" s="16" t="n">
        <f aca="false">D820+D821+D822</f>
        <v>13579.476</v>
      </c>
      <c r="E823" s="16" t="n">
        <f aca="false">E820+E821+E822</f>
        <v>17888.4147331423</v>
      </c>
      <c r="F823" s="16" t="n">
        <f aca="false">F820+F821+F822</f>
        <v>20543.7828301909</v>
      </c>
      <c r="G823" s="16" t="n">
        <f aca="false">G820+G821+G822</f>
        <v>23222.7632215746</v>
      </c>
      <c r="H823" s="8" t="s">
        <v>404</v>
      </c>
    </row>
    <row r="824" customFormat="false" ht="17.15" hidden="false" customHeight="false" outlineLevel="0" collapsed="false">
      <c r="A824" s="5" t="s">
        <v>267</v>
      </c>
      <c r="B824" s="0" t="s">
        <v>41</v>
      </c>
      <c r="C824" s="16" t="n">
        <f aca="false">a25_gp</f>
        <v>7404.295</v>
      </c>
      <c r="D824" s="16" t="n">
        <f aca="false">a26_gp</f>
        <v>8324.416</v>
      </c>
      <c r="E824" s="16" t="n">
        <f aca="false">a26_gp+gm_inc*(E823-a26_rev)</f>
        <v>11109.988976924</v>
      </c>
      <c r="F824" s="16" t="n">
        <f aca="false">a26_gp+gm_inc*(F823-a26_rev)</f>
        <v>12826.5883701882</v>
      </c>
      <c r="G824" s="16" t="n">
        <f aca="false">a26_gp+gm_inc*(G823-a26_rev)</f>
        <v>14558.452257356</v>
      </c>
      <c r="H824" s="8" t="s">
        <v>405</v>
      </c>
    </row>
    <row r="825" customFormat="false" ht="15" hidden="false" customHeight="false" outlineLevel="0" collapsed="false">
      <c r="A825" s="5" t="s">
        <v>363</v>
      </c>
      <c r="B825" s="0" t="s">
        <v>26</v>
      </c>
      <c r="C825" s="10" t="n">
        <f aca="false">C824/C823</f>
        <v>0.609098085398994</v>
      </c>
      <c r="D825" s="10" t="n">
        <f aca="false">D824/D823</f>
        <v>0.613014522798965</v>
      </c>
      <c r="E825" s="10" t="n">
        <f aca="false">E824/E823</f>
        <v>0.621071746304063</v>
      </c>
      <c r="F825" s="10" t="n">
        <f aca="false">F824/F823</f>
        <v>0.624353775359153</v>
      </c>
      <c r="G825" s="10" t="n">
        <f aca="false">G824/G823</f>
        <v>0.62690439197308</v>
      </c>
    </row>
    <row r="826" customFormat="false" ht="15" hidden="false" customHeight="false" outlineLevel="0" collapsed="false">
      <c r="A826" s="5" t="s">
        <v>406</v>
      </c>
      <c r="B826" s="0" t="s">
        <v>41</v>
      </c>
      <c r="C826" s="16" t="n">
        <f aca="false">a25_opx</f>
        <v>2390.068</v>
      </c>
      <c r="D826" s="16" t="n">
        <f aca="false">a26_opx</f>
        <v>2663.636</v>
      </c>
      <c r="E826" s="16" t="n">
        <f aca="false">opex27</f>
        <v>2865</v>
      </c>
      <c r="F826" s="16" t="n">
        <f aca="false">E826*(1+g_opex_A)</f>
        <v>3094.2</v>
      </c>
      <c r="G826" s="16" t="n">
        <f aca="false">F826*(1+g_opex_A)</f>
        <v>3341.736</v>
      </c>
    </row>
    <row r="827" customFormat="false" ht="17.15" hidden="false" customHeight="false" outlineLevel="0" collapsed="false">
      <c r="A827" s="5" t="s">
        <v>364</v>
      </c>
      <c r="B827" s="0" t="s">
        <v>41</v>
      </c>
      <c r="C827" s="16" t="n">
        <f aca="false">a25_oi</f>
        <v>4775.127</v>
      </c>
      <c r="D827" s="16" t="n">
        <f aca="false">D824-D826</f>
        <v>5660.78</v>
      </c>
      <c r="E827" s="16" t="n">
        <f aca="false">E824-E826</f>
        <v>8244.98897692399</v>
      </c>
      <c r="F827" s="16" t="n">
        <f aca="false">F824-F826</f>
        <v>9732.38837018824</v>
      </c>
      <c r="G827" s="16" t="n">
        <f aca="false">G824-G826</f>
        <v>11216.716257356</v>
      </c>
      <c r="H827" s="8" t="s">
        <v>407</v>
      </c>
    </row>
    <row r="828" customFormat="false" ht="15" hidden="false" customHeight="false" outlineLevel="0" collapsed="false">
      <c r="A828" s="5" t="s">
        <v>365</v>
      </c>
      <c r="B828" s="0" t="s">
        <v>26</v>
      </c>
      <c r="C828" s="10" t="n">
        <f aca="false">C827/C823</f>
        <v>0.392815347475626</v>
      </c>
      <c r="D828" s="10" t="n">
        <f aca="false">D827/D823</f>
        <v>0.416862918716451</v>
      </c>
      <c r="E828" s="10" t="n">
        <f aca="false">E827/E823</f>
        <v>0.460912221676542</v>
      </c>
      <c r="F828" s="10" t="n">
        <f aca="false">F827/F823</f>
        <v>0.473738865457905</v>
      </c>
      <c r="G828" s="10" t="n">
        <f aca="false">G827/G823</f>
        <v>0.483005237160382</v>
      </c>
    </row>
    <row r="829" customFormat="false" ht="15" hidden="false" customHeight="false" outlineLevel="0" collapsed="false">
      <c r="A829" s="5" t="s">
        <v>408</v>
      </c>
      <c r="B829" s="0" t="s">
        <v>41</v>
      </c>
      <c r="C829" s="16" t="n">
        <f aca="false">a25_nonop</f>
        <v>-130.679</v>
      </c>
      <c r="D829" s="16" t="n">
        <f aca="false">a26_nonop</f>
        <v>-54.855</v>
      </c>
      <c r="E829" s="16" t="n">
        <f aca="false">oth_exp</f>
        <v>-100</v>
      </c>
      <c r="F829" s="16" t="n">
        <f aca="false">oth_exp</f>
        <v>-100</v>
      </c>
      <c r="G829" s="16" t="n">
        <f aca="false">oth_exp</f>
        <v>-100</v>
      </c>
    </row>
    <row r="830" customFormat="false" ht="15" hidden="false" customHeight="false" outlineLevel="0" collapsed="false">
      <c r="A830" s="5" t="s">
        <v>366</v>
      </c>
      <c r="B830" s="0" t="s">
        <v>41</v>
      </c>
      <c r="C830" s="16" t="n">
        <f aca="false">a25_ni</f>
        <v>4061.643</v>
      </c>
      <c r="D830" s="16" t="n">
        <f aca="false">a26_ni</f>
        <v>4830.771</v>
      </c>
      <c r="E830" s="16" t="n">
        <f aca="false">(E827+E829)*(1-tax)</f>
        <v>6963.96557527001</v>
      </c>
      <c r="F830" s="16" t="n">
        <f aca="false">(F827+F829)*(1-tax)</f>
        <v>8235.69205651095</v>
      </c>
      <c r="G830" s="16" t="n">
        <f aca="false">(G827+G829)*(1-tax)</f>
        <v>9504.79240003942</v>
      </c>
    </row>
    <row r="831" customFormat="false" ht="15" hidden="false" customHeight="false" outlineLevel="0" collapsed="false">
      <c r="A831" s="5" t="s">
        <v>409</v>
      </c>
      <c r="B831" s="5" t="s">
        <v>151</v>
      </c>
      <c r="C831" s="16" t="n">
        <f aca="false">a25_sh</f>
        <v>1337.502</v>
      </c>
      <c r="D831" s="16" t="n">
        <f aca="false">a26_sh</f>
        <v>1319.633</v>
      </c>
      <c r="E831" s="16" t="n">
        <f aca="false">shares27</f>
        <v>1312</v>
      </c>
      <c r="F831" s="16" t="n">
        <f aca="false">E831*(1-bb_hi)</f>
        <v>1279.2</v>
      </c>
      <c r="G831" s="16" t="n">
        <f aca="false">F831*(1-bb_hi)</f>
        <v>1247.22</v>
      </c>
    </row>
    <row r="832" customFormat="false" ht="17.15" hidden="false" customHeight="false" outlineLevel="0" collapsed="false">
      <c r="A832" s="0" t="s">
        <v>367</v>
      </c>
      <c r="B832" s="0" t="s">
        <v>169</v>
      </c>
      <c r="C832" s="13" t="n">
        <f aca="false">a25_eps</f>
        <v>3.04</v>
      </c>
      <c r="D832" s="13" t="n">
        <f aca="false">a26_eps</f>
        <v>3.66</v>
      </c>
      <c r="E832" s="13" t="n">
        <f aca="false">E830/E831</f>
        <v>5.30790059090702</v>
      </c>
      <c r="F832" s="13" t="n">
        <f aca="false">F830/F831</f>
        <v>6.43815826806672</v>
      </c>
      <c r="G832" s="13" t="n">
        <f aca="false">G830/G831</f>
        <v>7.62078254040139</v>
      </c>
    </row>
    <row r="833" customFormat="false" ht="17.15" hidden="false" customHeight="false" outlineLevel="0" collapsed="false">
      <c r="A833" s="5" t="s">
        <v>410</v>
      </c>
      <c r="B833" s="0" t="s">
        <v>41</v>
      </c>
      <c r="D833" s="20" t="n">
        <f aca="false">a26_rev*chn_sh26</f>
        <v>4073.8428</v>
      </c>
      <c r="E833" s="20" t="n">
        <f aca="false">E823*chn_sh26*(1-chn_cut*IF(2027=2027,0.5,1))</f>
        <v>5366.52441994268</v>
      </c>
      <c r="F833" s="20" t="n">
        <f aca="false">F823*chn_sh26*(1-chn_cut*IF(2028=2027,0.5,1))</f>
        <v>6163.13484905728</v>
      </c>
      <c r="G833" s="20" t="n">
        <f aca="false">G823*chn_sh26*(1-chn_cut*IF(2029=2027,0.5,1))</f>
        <v>6966.82896647238</v>
      </c>
      <c r="H833" s="5" t="s">
        <v>411</v>
      </c>
    </row>
    <row r="836" customFormat="false" ht="17.15" hidden="false" customHeight="false" outlineLevel="0" collapsed="false">
      <c r="A836" s="3" t="s">
        <v>718</v>
      </c>
    </row>
    <row r="837" customFormat="false" ht="17.15" hidden="false" customHeight="false" outlineLevel="0" collapsed="false">
      <c r="A837" s="6" t="s">
        <v>651</v>
      </c>
      <c r="B837" s="6" t="s">
        <v>652</v>
      </c>
      <c r="C837" s="14" t="s">
        <v>719</v>
      </c>
      <c r="D837" s="14" t="s">
        <v>720</v>
      </c>
      <c r="E837" s="6" t="s">
        <v>721</v>
      </c>
      <c r="F837" s="6" t="s">
        <v>655</v>
      </c>
    </row>
    <row r="838" customFormat="false" ht="17.15" hidden="false" customHeight="false" outlineLevel="0" collapsed="false">
      <c r="A838" s="5" t="s">
        <v>18</v>
      </c>
      <c r="B838" s="0" t="s">
        <v>722</v>
      </c>
      <c r="C838" s="13" t="n">
        <f aca="false">(tp_wA*(Val!B98*(1-MIN(tp_g/tp_roe,0.8))/(1+tp_r)^1+Val!B99*(1-MIN(tp_g/tp_roe,0.8))/(1+tp_r)^2+Val!B100*(1-MIN(tp_g/tp_roe,0.8))/(1+tp_r)^3+Val!B101*(1-MIN(tp_g/tp_roe,0.8))/(1+tp_r)^4+Val!B102*(1-MIN(tp_g/tp_roe,0.8))/(1+tp_r)^5+Val!B103*(1-MIN(tp_g/tp_roe,0.8))/(1+tp_r)^6+Val!B103*(1-MIN(tp_g/tp_roe,0.8))*(1+tp_g)/(tp_r-tp_g)/(1+tp_r)^6)+tp_wB*(Val!C98*(1-MIN(tp_g/tp_roe,0.8))/(1+tp_r)^1+Val!C99*(1-MIN(tp_g/tp_roe,0.8))/(1+tp_r)^2+Val!C100*(1-MIN(tp_g/tp_roe,0.8))/(1+tp_r)^3+Val!C101*(1-MIN(tp_g/tp_roe,0.8))/(1+tp_r)^4+Val!C102*(1-MIN(tp_g/tp_roe,0.8))/(1+tp_r)^5+Val!C103*(1-MIN(tp_g/tp_roe,0.8))/(1+tp_r)^6+Val!C103*(1-MIN(tp_g/tp_roe,0.8))*(1+tp_g)/(tp_r-tp_g)/(1+tp_r)^6)+tp_wC*(Val!D98*(1-MIN(tp_g/tp_roe,0.8))/(1+tp_r)^1+Val!D99*(1-MIN(tp_g/tp_roe,0.8))/(1+tp_r)^2+Val!D100*(1-MIN(tp_g/tp_roe,0.8))/(1+tp_r)^3+Val!D101*(1-MIN(tp_g/tp_roe,0.8))/(1+tp_r)^4+Val!D102*(1-MIN(tp_g/tp_roe,0.8))/(1+tp_r)^5+Val!D103*(1-MIN(tp_g/tp_roe,0.8))/(1+tp_r)^6+Val!D103*(1-MIN(tp_g/tp_roe,0.8))*(1+tp_g)/(tp_r-tp_g)/(1+tp_r)^6))*(1+tp_r)</f>
        <v>94.1174779467372</v>
      </c>
      <c r="D838" s="13" t="n">
        <f aca="false">Val!B125</f>
        <v>148.645081883907</v>
      </c>
      <c r="E838" s="13" t="n">
        <f aca="false">tp_w_dcf*C838+(1-tp_w_dcf)*D838</f>
        <v>121.381279915322</v>
      </c>
      <c r="F838" s="10" t="n">
        <f aca="false">E838/E$838-1</f>
        <v>0</v>
      </c>
    </row>
    <row r="839" customFormat="false" ht="17.15" hidden="false" customHeight="false" outlineLevel="0" collapsed="false">
      <c r="A839" s="5" t="s">
        <v>723</v>
      </c>
      <c r="B839" s="0" t="s">
        <v>724</v>
      </c>
      <c r="C839" s="13" t="n">
        <f aca="false">(tp_wA*(Val!B98*(1-MIN(tp_g/tp_roe,0.8))/(1+(tp_r+0.01))^1+Val!B99*(1-MIN(tp_g/tp_roe,0.8))/(1+(tp_r+0.01))^2+Val!B100*(1-MIN(tp_g/tp_roe,0.8))/(1+(tp_r+0.01))^3+Val!B101*(1-MIN(tp_g/tp_roe,0.8))/(1+(tp_r+0.01))^4+Val!B102*(1-MIN(tp_g/tp_roe,0.8))/(1+(tp_r+0.01))^5+Val!B103*(1-MIN(tp_g/tp_roe,0.8))/(1+(tp_r+0.01))^6+Val!B103*(1-MIN(tp_g/tp_roe,0.8))*(1+tp_g)/((tp_r+0.01)-tp_g)/(1+(tp_r+0.01))^6)+tp_wB*(Val!C98*(1-MIN(tp_g/tp_roe,0.8))/(1+(tp_r+0.01))^1+Val!C99*(1-MIN(tp_g/tp_roe,0.8))/(1+(tp_r+0.01))^2+Val!C100*(1-MIN(tp_g/tp_roe,0.8))/(1+(tp_r+0.01))^3+Val!C101*(1-MIN(tp_g/tp_roe,0.8))/(1+(tp_r+0.01))^4+Val!C102*(1-MIN(tp_g/tp_roe,0.8))/(1+(tp_r+0.01))^5+Val!C103*(1-MIN(tp_g/tp_roe,0.8))/(1+(tp_r+0.01))^6+Val!C103*(1-MIN(tp_g/tp_roe,0.8))*(1+tp_g)/((tp_r+0.01)-tp_g)/(1+(tp_r+0.01))^6)+tp_wC*(Val!D98*(1-MIN(tp_g/tp_roe,0.8))/(1+(tp_r+0.01))^1+Val!D99*(1-MIN(tp_g/tp_roe,0.8))/(1+(tp_r+0.01))^2+Val!D100*(1-MIN(tp_g/tp_roe,0.8))/(1+(tp_r+0.01))^3+Val!D101*(1-MIN(tp_g/tp_roe,0.8))/(1+(tp_r+0.01))^4+Val!D102*(1-MIN(tp_g/tp_roe,0.8))/(1+(tp_r+0.01))^5+Val!D103*(1-MIN(tp_g/tp_roe,0.8))/(1+(tp_r+0.01))^6+Val!D103*(1-MIN(tp_g/tp_roe,0.8))*(1+tp_g)/((tp_r+0.01)-tp_g)/(1+(tp_r+0.01))^6))*(1+(tp_r+0.01))</f>
        <v>81.5294663209765</v>
      </c>
      <c r="D839" s="13" t="n">
        <f aca="false">Val!B125</f>
        <v>148.645081883907</v>
      </c>
      <c r="E839" s="13" t="n">
        <f aca="false">tp_w_dcf*C839+(1-tp_w_dcf)*D839</f>
        <v>115.087274102442</v>
      </c>
      <c r="F839" s="10" t="n">
        <f aca="false">E839/E$838-1</f>
        <v>-0.0518531837633542</v>
      </c>
    </row>
    <row r="840" customFormat="false" ht="17.15" hidden="false" customHeight="false" outlineLevel="0" collapsed="false">
      <c r="A840" s="5" t="s">
        <v>725</v>
      </c>
      <c r="B840" s="0" t="s">
        <v>726</v>
      </c>
      <c r="C840" s="13" t="n">
        <f aca="false">(tp_wA*(Val!B98*(1-MIN(tp_g/tp_roe,0.8))/(1+(tp_r-0.01))^1+Val!B99*(1-MIN(tp_g/tp_roe,0.8))/(1+(tp_r-0.01))^2+Val!B100*(1-MIN(tp_g/tp_roe,0.8))/(1+(tp_r-0.01))^3+Val!B101*(1-MIN(tp_g/tp_roe,0.8))/(1+(tp_r-0.01))^4+Val!B102*(1-MIN(tp_g/tp_roe,0.8))/(1+(tp_r-0.01))^5+Val!B103*(1-MIN(tp_g/tp_roe,0.8))/(1+(tp_r-0.01))^6+Val!B103*(1-MIN(tp_g/tp_roe,0.8))*(1+tp_g)/((tp_r-0.01)-tp_g)/(1+(tp_r-0.01))^6)+tp_wB*(Val!C98*(1-MIN(tp_g/tp_roe,0.8))/(1+(tp_r-0.01))^1+Val!C99*(1-MIN(tp_g/tp_roe,0.8))/(1+(tp_r-0.01))^2+Val!C100*(1-MIN(tp_g/tp_roe,0.8))/(1+(tp_r-0.01))^3+Val!C101*(1-MIN(tp_g/tp_roe,0.8))/(1+(tp_r-0.01))^4+Val!C102*(1-MIN(tp_g/tp_roe,0.8))/(1+(tp_r-0.01))^5+Val!C103*(1-MIN(tp_g/tp_roe,0.8))/(1+(tp_r-0.01))^6+Val!C103*(1-MIN(tp_g/tp_roe,0.8))*(1+tp_g)/((tp_r-0.01)-tp_g)/(1+(tp_r-0.01))^6)+tp_wC*(Val!D98*(1-MIN(tp_g/tp_roe,0.8))/(1+(tp_r-0.01))^1+Val!D99*(1-MIN(tp_g/tp_roe,0.8))/(1+(tp_r-0.01))^2+Val!D100*(1-MIN(tp_g/tp_roe,0.8))/(1+(tp_r-0.01))^3+Val!D101*(1-MIN(tp_g/tp_roe,0.8))/(1+(tp_r-0.01))^4+Val!D102*(1-MIN(tp_g/tp_roe,0.8))/(1+(tp_r-0.01))^5+Val!D103*(1-MIN(tp_g/tp_roe,0.8))/(1+(tp_r-0.01))^6+Val!D103*(1-MIN(tp_g/tp_roe,0.8))*(1+tp_g)/((tp_r-0.01)-tp_g)/(1+(tp_r-0.01))^6))*(1+(tp_r-0.01))</f>
        <v>111.732637801147</v>
      </c>
      <c r="D840" s="13" t="n">
        <f aca="false">Val!B125</f>
        <v>148.645081883907</v>
      </c>
      <c r="E840" s="13" t="n">
        <f aca="false">tp_w_dcf*C840+(1-tp_w_dcf)*D840</f>
        <v>130.188859842527</v>
      </c>
      <c r="F840" s="10" t="n">
        <f aca="false">E840/E$838-1</f>
        <v>0.0725612708429932</v>
      </c>
    </row>
    <row r="841" customFormat="false" ht="17.15" hidden="false" customHeight="false" outlineLevel="0" collapsed="false">
      <c r="A841" s="5" t="s">
        <v>727</v>
      </c>
      <c r="B841" s="0" t="s">
        <v>728</v>
      </c>
      <c r="C841" s="13" t="n">
        <f aca="false">(tp_wA*(Val!B98*(1-MIN((tp_g+0.01)/tp_roe,0.8))/(1+tp_r)^1+Val!B99*(1-MIN((tp_g+0.01)/tp_roe,0.8))/(1+tp_r)^2+Val!B100*(1-MIN((tp_g+0.01)/tp_roe,0.8))/(1+tp_r)^3+Val!B101*(1-MIN((tp_g+0.01)/tp_roe,0.8))/(1+tp_r)^4+Val!B102*(1-MIN((tp_g+0.01)/tp_roe,0.8))/(1+tp_r)^5+Val!B103*(1-MIN((tp_g+0.01)/tp_roe,0.8))/(1+tp_r)^6+Val!B103*(1-MIN((tp_g+0.01)/tp_roe,0.8))*(1+(tp_g+0.01))/(tp_r-(tp_g+0.01))/(1+tp_r)^6)+tp_wB*(Val!C98*(1-MIN((tp_g+0.01)/tp_roe,0.8))/(1+tp_r)^1+Val!C99*(1-MIN((tp_g+0.01)/tp_roe,0.8))/(1+tp_r)^2+Val!C100*(1-MIN((tp_g+0.01)/tp_roe,0.8))/(1+tp_r)^3+Val!C101*(1-MIN((tp_g+0.01)/tp_roe,0.8))/(1+tp_r)^4+Val!C102*(1-MIN((tp_g+0.01)/tp_roe,0.8))/(1+tp_r)^5+Val!C103*(1-MIN((tp_g+0.01)/tp_roe,0.8))/(1+tp_r)^6+Val!C103*(1-MIN((tp_g+0.01)/tp_roe,0.8))*(1+(tp_g+0.01))/(tp_r-(tp_g+0.01))/(1+tp_r)^6)+tp_wC*(Val!D98*(1-MIN((tp_g+0.01)/tp_roe,0.8))/(1+tp_r)^1+Val!D99*(1-MIN((tp_g+0.01)/tp_roe,0.8))/(1+tp_r)^2+Val!D100*(1-MIN((tp_g+0.01)/tp_roe,0.8))/(1+tp_r)^3+Val!D101*(1-MIN((tp_g+0.01)/tp_roe,0.8))/(1+tp_r)^4+Val!D102*(1-MIN((tp_g+0.01)/tp_roe,0.8))/(1+tp_r)^5+Val!D103*(1-MIN((tp_g+0.01)/tp_roe,0.8))/(1+tp_r)^6+Val!D103*(1-MIN((tp_g+0.01)/tp_roe,0.8))*(1+(tp_g+0.01))/(tp_r-(tp_g+0.01))/(1+tp_r)^6))*(1+tp_r)</f>
        <v>106.945610355061</v>
      </c>
      <c r="D841" s="13" t="n">
        <f aca="false">Val!B125</f>
        <v>148.645081883907</v>
      </c>
      <c r="E841" s="13" t="n">
        <f aca="false">tp_w_dcf*C841+(1-tp_w_dcf)*D841</f>
        <v>127.795346119484</v>
      </c>
      <c r="F841" s="10" t="n">
        <f aca="false">E841/E$838-1</f>
        <v>0.0528423016188042</v>
      </c>
    </row>
    <row r="842" customFormat="false" ht="17.15" hidden="false" customHeight="false" outlineLevel="0" collapsed="false">
      <c r="A842" s="5" t="s">
        <v>729</v>
      </c>
      <c r="B842" s="0" t="s">
        <v>730</v>
      </c>
      <c r="C842" s="13" t="n">
        <f aca="false">(tp_wA*(Val!B98*(1-MIN((tp_g-0.01)/tp_roe,0.8))/(1+tp_r)^1+Val!B99*(1-MIN((tp_g-0.01)/tp_roe,0.8))/(1+tp_r)^2+Val!B100*(1-MIN((tp_g-0.01)/tp_roe,0.8))/(1+tp_r)^3+Val!B101*(1-MIN((tp_g-0.01)/tp_roe,0.8))/(1+tp_r)^4+Val!B102*(1-MIN((tp_g-0.01)/tp_roe,0.8))/(1+tp_r)^5+Val!B103*(1-MIN((tp_g-0.01)/tp_roe,0.8))/(1+tp_r)^6+Val!B103*(1-MIN((tp_g-0.01)/tp_roe,0.8))*(1+(tp_g-0.01))/(tp_r-(tp_g-0.01))/(1+tp_r)^6)+tp_wB*(Val!C98*(1-MIN((tp_g-0.01)/tp_roe,0.8))/(1+tp_r)^1+Val!C99*(1-MIN((tp_g-0.01)/tp_roe,0.8))/(1+tp_r)^2+Val!C100*(1-MIN((tp_g-0.01)/tp_roe,0.8))/(1+tp_r)^3+Val!C101*(1-MIN((tp_g-0.01)/tp_roe,0.8))/(1+tp_r)^4+Val!C102*(1-MIN((tp_g-0.01)/tp_roe,0.8))/(1+tp_r)^5+Val!C103*(1-MIN((tp_g-0.01)/tp_roe,0.8))/(1+tp_r)^6+Val!C103*(1-MIN((tp_g-0.01)/tp_roe,0.8))*(1+(tp_g-0.01))/(tp_r-(tp_g-0.01))/(1+tp_r)^6)+tp_wC*(Val!D98*(1-MIN((tp_g-0.01)/tp_roe,0.8))/(1+tp_r)^1+Val!D99*(1-MIN((tp_g-0.01)/tp_roe,0.8))/(1+tp_r)^2+Val!D100*(1-MIN((tp_g-0.01)/tp_roe,0.8))/(1+tp_r)^3+Val!D101*(1-MIN((tp_g-0.01)/tp_roe,0.8))/(1+tp_r)^4+Val!D102*(1-MIN((tp_g-0.01)/tp_roe,0.8))/(1+tp_r)^5+Val!D103*(1-MIN((tp_g-0.01)/tp_roe,0.8))/(1+tp_r)^6+Val!D103*(1-MIN((tp_g-0.01)/tp_roe,0.8))*(1+(tp_g-0.01))/(tp_r-(tp_g-0.01))/(1+tp_r)^6))*(1+tp_r)</f>
        <v>85.0318742116934</v>
      </c>
      <c r="D842" s="13" t="n">
        <f aca="false">Val!B125</f>
        <v>148.645081883907</v>
      </c>
      <c r="E842" s="13" t="n">
        <f aca="false">tp_w_dcf*C842+(1-tp_w_dcf)*D842</f>
        <v>116.8384780478</v>
      </c>
      <c r="F842" s="10" t="n">
        <f aca="false">E842/E$838-1</f>
        <v>-0.0374258853646214</v>
      </c>
    </row>
    <row r="843" customFormat="false" ht="17.15" hidden="false" customHeight="false" outlineLevel="0" collapsed="false">
      <c r="A843" s="0" t="s">
        <v>731</v>
      </c>
      <c r="B843" s="0" t="s">
        <v>732</v>
      </c>
      <c r="C843" s="13" t="n">
        <f aca="false">(tp_wA*(Val!B98*(1-MIN(tp_g/tp_roe,0.8))/(1+tp_r)^1+Val!B99*(1-MIN(tp_g/tp_roe,0.8))/(1+tp_r)^2+Val!B100*(1-MIN(tp_g/tp_roe,0.8))/(1+tp_r)^3+Val!B101*(1-MIN(tp_g/tp_roe,0.8))/(1+tp_r)^4+Val!B102*(1-MIN(tp_g/tp_roe,0.8))/(1+tp_r)^5+Val!B103*(1-MIN(tp_g/tp_roe,0.8))/(1+tp_r)^6+Val!B103*(1-MIN(tp_g/tp_roe,0.8))*(1+tp_g)/(tp_r-tp_g)/(1+tp_r)^6)+tp_wB*(Val!C98*(1-MIN(tp_g/tp_roe,0.8))/(1+tp_r)^1+Val!C99*(1-MIN(tp_g/tp_roe,0.8))/(1+tp_r)^2+Val!C100*(1-MIN(tp_g/tp_roe,0.8))/(1+tp_r)^3+Val!C101*(1-MIN(tp_g/tp_roe,0.8))/(1+tp_r)^4+Val!C102*(1-MIN(tp_g/tp_roe,0.8))/(1+tp_r)^5+Val!C103*(1-MIN(tp_g/tp_roe,0.8))/(1+tp_r)^6+Val!C103*(1-MIN(tp_g/tp_roe,0.8))*(1+tp_g)/(tp_r-tp_g)/(1+tp_r)^6)+tp_wC*(Val!D98*(1-MIN(tp_g/tp_roe,0.8))/(1+tp_r)^1+Val!D99*(1-MIN(tp_g/tp_roe,0.8))/(1+tp_r)^2+Val!D100*(1-MIN(tp_g/tp_roe,0.8))/(1+tp_r)^3+Val!D101*(1-MIN(tp_g/tp_roe,0.8))/(1+tp_r)^4+Val!D102*(1-MIN(tp_g/tp_roe,0.8))/(1+tp_r)^5+Val!D103*(1-MIN(tp_g/tp_roe,0.8))/(1+tp_r)^6+Val!D103*(1-MIN(tp_g/tp_roe,0.8))*(1+tp_g)/(tp_r-tp_g)/(1+tp_r)^6))*(1+tp_r)</f>
        <v>94.1174779467372</v>
      </c>
      <c r="D843" s="13" t="n">
        <f aca="false">Val!B125</f>
        <v>148.645081883907</v>
      </c>
      <c r="E843" s="13" t="n">
        <f aca="false">0.4*C843+(1-0.4)*D843</f>
        <v>126.834040309039</v>
      </c>
      <c r="F843" s="10" t="n">
        <f aca="false">E843/E$838-1</f>
        <v>0.0449225811222367</v>
      </c>
    </row>
    <row r="844" customFormat="false" ht="17.15" hidden="false" customHeight="false" outlineLevel="0" collapsed="false">
      <c r="A844" s="0" t="s">
        <v>733</v>
      </c>
      <c r="B844" s="0" t="s">
        <v>734</v>
      </c>
      <c r="C844" s="13" t="n">
        <f aca="false">(tp_wA*(Val!B98*(1-MIN(tp_g/tp_roe,0.8))/(1+tp_r)^1+Val!B99*(1-MIN(tp_g/tp_roe,0.8))/(1+tp_r)^2+Val!B100*(1-MIN(tp_g/tp_roe,0.8))/(1+tp_r)^3+Val!B101*(1-MIN(tp_g/tp_roe,0.8))/(1+tp_r)^4+Val!B102*(1-MIN(tp_g/tp_roe,0.8))/(1+tp_r)^5+Val!B103*(1-MIN(tp_g/tp_roe,0.8))/(1+tp_r)^6+Val!B103*(1-MIN(tp_g/tp_roe,0.8))*(1+tp_g)/(tp_r-tp_g)/(1+tp_r)^6)+tp_wB*(Val!C98*(1-MIN(tp_g/tp_roe,0.8))/(1+tp_r)^1+Val!C99*(1-MIN(tp_g/tp_roe,0.8))/(1+tp_r)^2+Val!C100*(1-MIN(tp_g/tp_roe,0.8))/(1+tp_r)^3+Val!C101*(1-MIN(tp_g/tp_roe,0.8))/(1+tp_r)^4+Val!C102*(1-MIN(tp_g/tp_roe,0.8))/(1+tp_r)^5+Val!C103*(1-MIN(tp_g/tp_roe,0.8))/(1+tp_r)^6+Val!C103*(1-MIN(tp_g/tp_roe,0.8))*(1+tp_g)/(tp_r-tp_g)/(1+tp_r)^6)+tp_wC*(Val!D98*(1-MIN(tp_g/tp_roe,0.8))/(1+tp_r)^1+Val!D99*(1-MIN(tp_g/tp_roe,0.8))/(1+tp_r)^2+Val!D100*(1-MIN(tp_g/tp_roe,0.8))/(1+tp_r)^3+Val!D101*(1-MIN(tp_g/tp_roe,0.8))/(1+tp_r)^4+Val!D102*(1-MIN(tp_g/tp_roe,0.8))/(1+tp_r)^5+Val!D103*(1-MIN(tp_g/tp_roe,0.8))/(1+tp_r)^6+Val!D103*(1-MIN(tp_g/tp_roe,0.8))*(1+tp_g)/(tp_r-tp_g)/(1+tp_r)^6))*(1+tp_r)</f>
        <v>94.1174779467372</v>
      </c>
      <c r="D844" s="13" t="n">
        <f aca="false">Val!B125</f>
        <v>148.645081883907</v>
      </c>
      <c r="E844" s="13" t="n">
        <f aca="false">0.8*C844+(1-0.8)*D844</f>
        <v>105.022998734171</v>
      </c>
      <c r="F844" s="10" t="n">
        <f aca="false">E844/E$838-1</f>
        <v>-0.13476774336671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20"/>
  </cols>
  <sheetData>
    <row r="1" customFormat="false" ht="17.15" hidden="false" customHeight="false" outlineLevel="0" collapsed="false">
      <c r="A1" s="3" t="s">
        <v>735</v>
      </c>
    </row>
    <row r="2" customFormat="false" ht="17.15" hidden="false" customHeight="false" outlineLevel="0" collapsed="false">
      <c r="A2" s="0" t="s">
        <v>736</v>
      </c>
      <c r="B2" s="0" t="s">
        <v>737</v>
      </c>
    </row>
    <row r="3" customFormat="false" ht="17.15" hidden="false" customHeight="false" outlineLevel="0" collapsed="false">
      <c r="A3" s="0" t="s">
        <v>738</v>
      </c>
      <c r="B3" s="0" t="s">
        <v>739</v>
      </c>
    </row>
    <row r="4" customFormat="false" ht="17.15" hidden="false" customHeight="false" outlineLevel="0" collapsed="false">
      <c r="A4" s="0" t="s">
        <v>740</v>
      </c>
      <c r="B4" s="0" t="s">
        <v>741</v>
      </c>
    </row>
    <row r="5" customFormat="false" ht="17.15" hidden="false" customHeight="false" outlineLevel="0" collapsed="false">
      <c r="A5" s="0" t="s">
        <v>742</v>
      </c>
      <c r="B5" s="0" t="s">
        <v>743</v>
      </c>
    </row>
    <row r="6" customFormat="false" ht="17.15" hidden="false" customHeight="false" outlineLevel="0" collapsed="false">
      <c r="A6" s="0" t="s">
        <v>744</v>
      </c>
      <c r="B6" s="0" t="s">
        <v>745</v>
      </c>
    </row>
    <row r="7" customFormat="false" ht="17.15" hidden="false" customHeight="false" outlineLevel="0" collapsed="false">
      <c r="A7" s="0" t="s">
        <v>746</v>
      </c>
      <c r="B7" s="0" t="s">
        <v>747</v>
      </c>
    </row>
    <row r="8" customFormat="false" ht="17.15" hidden="false" customHeight="false" outlineLevel="0" collapsed="false">
      <c r="A8" s="0" t="s">
        <v>748</v>
      </c>
      <c r="B8" s="0" t="s">
        <v>749</v>
      </c>
    </row>
    <row r="9" customFormat="false" ht="17.15" hidden="false" customHeight="false" outlineLevel="0" collapsed="false">
      <c r="A9" s="0" t="s">
        <v>750</v>
      </c>
      <c r="B9" s="0" t="s">
        <v>751</v>
      </c>
    </row>
    <row r="10" customFormat="false" ht="17.15" hidden="false" customHeight="false" outlineLevel="0" collapsed="false">
      <c r="A10" s="0" t="s">
        <v>752</v>
      </c>
      <c r="B10" s="0" t="s">
        <v>753</v>
      </c>
    </row>
    <row r="11" customFormat="false" ht="17.15" hidden="false" customHeight="false" outlineLevel="0" collapsed="false">
      <c r="A11" s="0" t="s">
        <v>754</v>
      </c>
      <c r="B11" s="0" t="s">
        <v>755</v>
      </c>
    </row>
    <row r="12" customFormat="false" ht="17.15" hidden="false" customHeight="false" outlineLevel="0" collapsed="false">
      <c r="A12" s="0" t="s">
        <v>756</v>
      </c>
      <c r="B12" s="0" t="s">
        <v>757</v>
      </c>
    </row>
    <row r="13" customFormat="false" ht="17.15" hidden="false" customHeight="false" outlineLevel="0" collapsed="false">
      <c r="A13" s="0" t="s">
        <v>758</v>
      </c>
      <c r="B13" s="0" t="s">
        <v>759</v>
      </c>
    </row>
    <row r="14" customFormat="false" ht="17.15" hidden="false" customHeight="false" outlineLevel="0" collapsed="false">
      <c r="A14" s="0" t="s">
        <v>760</v>
      </c>
      <c r="B14" s="0" t="s">
        <v>761</v>
      </c>
    </row>
    <row r="15" customFormat="false" ht="17.15" hidden="false" customHeight="false" outlineLevel="0" collapsed="false">
      <c r="A15" s="0" t="s">
        <v>762</v>
      </c>
      <c r="B15" s="0" t="s">
        <v>763</v>
      </c>
    </row>
    <row r="16" customFormat="false" ht="17.15" hidden="false" customHeight="false" outlineLevel="0" collapsed="false">
      <c r="A16" s="5" t="s">
        <v>764</v>
      </c>
      <c r="B16" s="0" t="s">
        <v>765</v>
      </c>
    </row>
    <row r="17" customFormat="false" ht="15" hidden="false" customHeight="false" outlineLevel="0" collapsed="false">
      <c r="A17" s="0" t="s">
        <v>766</v>
      </c>
      <c r="B17" s="5" t="s">
        <v>767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2026-10-25T04:12:01Z</dcterms:created>
  <dc:creator>openpyxl</dc:creator>
  <dc:description/>
  <dc:language>en-US</dc:language>
  <cp:lastModifiedBy/>
  <dcterms:modified xsi:type="dcterms:W3CDTF">2026-10-25T04:12:01Z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