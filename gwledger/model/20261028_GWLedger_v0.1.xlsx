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Deploy" sheetId="8" state="visible" r:id="rId10"/>
    <sheet name="C0" sheetId="9" state="visible" r:id="rId11"/>
    <sheet name="C1" sheetId="10" state="visible" r:id="rId12"/>
    <sheet name="Compare" sheetId="11" state="visible" r:id="rId13"/>
    <sheet name="Interface" sheetId="12" state="visible" r:id="rId14"/>
    <sheet name="Checks" sheetId="13" state="visible" r:id="rId15"/>
    <sheet name="Decisions" sheetId="14" state="visible" r:id="rId16"/>
    <sheet name="DB_Evidence" sheetId="15" state="visible" r:id="rId17"/>
    <sheet name="Sources" sheetId="16" state="visible" r:id="rId18"/>
    <sheet name="Requests" sheetId="17" state="visible" r:id="rId19"/>
  </sheets>
  <definedNames>
    <definedName function="false" hidden="false" name="asof" vbProcedure="false">In!$I$8</definedName>
    <definedName function="false" hidden="false" name="ctr_crwv" vbProcedure="false">In!$I$28</definedName>
    <definedName function="false" hidden="false" name="ctr_nbis" vbProcedure="false">In!$I$29</definedName>
    <definedName function="false" hidden="false" name="ctr_orcl" vbProcedure="false">In!$I$30</definedName>
    <definedName function="false" hidden="false" name="ctr_orcl_hi" vbProcedure="false">In!$J$30</definedName>
    <definedName function="false" hidden="false" name="ctr_orcl_lo" vbProcedure="false">In!$H$30</definedName>
    <definedName function="false" hidden="false" name="dly_d1_m" vbProcedure="false">In!$I$13</definedName>
    <definedName function="false" hidden="false" name="dly_d1_m_hi" vbProcedure="false">In!$J$13</definedName>
    <definedName function="false" hidden="false" name="dly_d1_m_lo" vbProcedure="false">In!$H$13</definedName>
    <definedName function="false" hidden="false" name="dly_d2_bind" vbProcedure="false">In!$I$14</definedName>
    <definedName function="false" hidden="false" name="dly_d2_bind_hi" vbProcedure="false">In!$J$14</definedName>
    <definedName function="false" hidden="false" name="dly_d2_bind_lo" vbProcedure="false">In!$H$14</definedName>
    <definedName function="false" hidden="false" name="dly_d2_m" vbProcedure="false">In!$I$15</definedName>
    <definedName function="false" hidden="false" name="dly_d2_m_hi" vbProcedure="false">In!$J$15</definedName>
    <definedName function="false" hidden="false" name="dly_d2_m_lo" vbProcedure="false">In!$H$15</definedName>
    <definedName function="false" hidden="false" name="fye_amzn" vbProcedure="false">In!$I$43</definedName>
    <definedName function="false" hidden="false" name="fye_crwv" vbProcedure="false">In!$I$45</definedName>
    <definedName function="false" hidden="false" name="fye_googl" vbProcedure="false">In!$I$42</definedName>
    <definedName function="false" hidden="false" name="fye_msft" vbProcedure="false">In!$I$41</definedName>
    <definedName function="false" hidden="false" name="fye_nbis" vbProcedure="false">In!$I$46</definedName>
    <definedName function="false" hidden="false" name="fye_orcl" vbProcedure="false">In!$I$44</definedName>
    <definedName function="false" hidden="false" name="fye_wyfi" vbProcedure="false">In!$I$47</definedName>
    <definedName function="false" hidden="false" name="GGOV_Errors" vbProcedure="false">Checks!$C$86</definedName>
    <definedName function="false" hidden="false" name="GGOV_Warn" vbProcedure="false">Checks!$C$87</definedName>
    <definedName function="false" hidden="false" name="GIF_MktGW_Add_A_D0_2024" vbProcedure="false">Interface!$D$24</definedName>
    <definedName function="false" hidden="false" name="GIF_MktGW_Add_A_D0_2025" vbProcedure="false">Interface!$E$24</definedName>
    <definedName function="false" hidden="false" name="GIF_MktGW_Add_A_D0_2026" vbProcedure="false">Interface!$F$24</definedName>
    <definedName function="false" hidden="false" name="GIF_MktGW_Add_A_D0_2027" vbProcedure="false">Interface!$G$24</definedName>
    <definedName function="false" hidden="false" name="GIF_MktGW_Add_A_D0_2028" vbProcedure="false">Interface!$H$24</definedName>
    <definedName function="false" hidden="false" name="GIF_MktGW_Add_A_D0_2029" vbProcedure="false">Interface!$I$24</definedName>
    <definedName function="false" hidden="false" name="GIF_MktGW_Add_A_D0_2030" vbProcedure="false">Interface!$J$24</definedName>
    <definedName function="false" hidden="false" name="GIF_MktGW_Add_A_D0_2031" vbProcedure="false">Interface!$K$24</definedName>
    <definedName function="false" hidden="false" name="GIF_MktGW_Add_A_D0_2032" vbProcedure="false">Interface!$L$24</definedName>
    <definedName function="false" hidden="false" name="GIF_MktGW_Add_A_D1_2024" vbProcedure="false">Interface!$D$25</definedName>
    <definedName function="false" hidden="false" name="GIF_MktGW_Add_A_D1_2025" vbProcedure="false">Interface!$E$25</definedName>
    <definedName function="false" hidden="false" name="GIF_MktGW_Add_A_D1_2026" vbProcedure="false">Interface!$F$25</definedName>
    <definedName function="false" hidden="false" name="GIF_MktGW_Add_A_D1_2027" vbProcedure="false">Interface!$G$25</definedName>
    <definedName function="false" hidden="false" name="GIF_MktGW_Add_A_D1_2028" vbProcedure="false">Interface!$H$25</definedName>
    <definedName function="false" hidden="false" name="GIF_MktGW_Add_A_D1_2029" vbProcedure="false">Interface!$I$25</definedName>
    <definedName function="false" hidden="false" name="GIF_MktGW_Add_A_D1_2030" vbProcedure="false">Interface!$J$25</definedName>
    <definedName function="false" hidden="false" name="GIF_MktGW_Add_A_D1_2031" vbProcedure="false">Interface!$K$25</definedName>
    <definedName function="false" hidden="false" name="GIF_MktGW_Add_A_D1_2032" vbProcedure="false">Interface!$L$25</definedName>
    <definedName function="false" hidden="false" name="GIF_MktGW_Add_A_D2_2024" vbProcedure="false">Interface!$D$26</definedName>
    <definedName function="false" hidden="false" name="GIF_MktGW_Add_A_D2_2025" vbProcedure="false">Interface!$E$26</definedName>
    <definedName function="false" hidden="false" name="GIF_MktGW_Add_A_D2_2026" vbProcedure="false">Interface!$F$26</definedName>
    <definedName function="false" hidden="false" name="GIF_MktGW_Add_A_D2_2027" vbProcedure="false">Interface!$G$26</definedName>
    <definedName function="false" hidden="false" name="GIF_MktGW_Add_A_D2_2028" vbProcedure="false">Interface!$H$26</definedName>
    <definedName function="false" hidden="false" name="GIF_MktGW_Add_A_D2_2029" vbProcedure="false">Interface!$I$26</definedName>
    <definedName function="false" hidden="false" name="GIF_MktGW_Add_A_D2_2030" vbProcedure="false">Interface!$J$26</definedName>
    <definedName function="false" hidden="false" name="GIF_MktGW_Add_A_D2_2031" vbProcedure="false">Interface!$K$26</definedName>
    <definedName function="false" hidden="false" name="GIF_MktGW_Add_A_D2_2032" vbProcedure="false">Interface!$L$26</definedName>
    <definedName function="false" hidden="false" name="GIF_MktGW_Add_B_D0_2024" vbProcedure="false">Interface!$D$27</definedName>
    <definedName function="false" hidden="false" name="GIF_MktGW_Add_B_D0_2025" vbProcedure="false">Interface!$E$27</definedName>
    <definedName function="false" hidden="false" name="GIF_MktGW_Add_B_D0_2026" vbProcedure="false">Interface!$F$27</definedName>
    <definedName function="false" hidden="false" name="GIF_MktGW_Add_B_D0_2027" vbProcedure="false">Interface!$G$27</definedName>
    <definedName function="false" hidden="false" name="GIF_MktGW_Add_B_D0_2028" vbProcedure="false">Interface!$H$27</definedName>
    <definedName function="false" hidden="false" name="GIF_MktGW_Add_B_D0_2029" vbProcedure="false">Interface!$I$27</definedName>
    <definedName function="false" hidden="false" name="GIF_MktGW_Add_B_D0_2030" vbProcedure="false">Interface!$J$27</definedName>
    <definedName function="false" hidden="false" name="GIF_MktGW_Add_B_D0_2031" vbProcedure="false">Interface!$K$27</definedName>
    <definedName function="false" hidden="false" name="GIF_MktGW_Add_B_D0_2032" vbProcedure="false">Interface!$L$27</definedName>
    <definedName function="false" hidden="false" name="GIF_MktGW_Add_B_D1_2024" vbProcedure="false">Interface!$D$28</definedName>
    <definedName function="false" hidden="false" name="GIF_MktGW_Add_B_D1_2025" vbProcedure="false">Interface!$E$28</definedName>
    <definedName function="false" hidden="false" name="GIF_MktGW_Add_B_D1_2026" vbProcedure="false">Interface!$F$28</definedName>
    <definedName function="false" hidden="false" name="GIF_MktGW_Add_B_D1_2027" vbProcedure="false">Interface!$G$28</definedName>
    <definedName function="false" hidden="false" name="GIF_MktGW_Add_B_D1_2028" vbProcedure="false">Interface!$H$28</definedName>
    <definedName function="false" hidden="false" name="GIF_MktGW_Add_B_D1_2029" vbProcedure="false">Interface!$I$28</definedName>
    <definedName function="false" hidden="false" name="GIF_MktGW_Add_B_D1_2030" vbProcedure="false">Interface!$J$28</definedName>
    <definedName function="false" hidden="false" name="GIF_MktGW_Add_B_D1_2031" vbProcedure="false">Interface!$K$28</definedName>
    <definedName function="false" hidden="false" name="GIF_MktGW_Add_B_D1_2032" vbProcedure="false">Interface!$L$28</definedName>
    <definedName function="false" hidden="false" name="GIF_MktGW_Add_B_D2_2024" vbProcedure="false">Interface!$D$29</definedName>
    <definedName function="false" hidden="false" name="GIF_MktGW_Add_B_D2_2025" vbProcedure="false">Interface!$E$29</definedName>
    <definedName function="false" hidden="false" name="GIF_MktGW_Add_B_D2_2026" vbProcedure="false">Interface!$F$29</definedName>
    <definedName function="false" hidden="false" name="GIF_MktGW_Add_B_D2_2027" vbProcedure="false">Interface!$G$29</definedName>
    <definedName function="false" hidden="false" name="GIF_MktGW_Add_B_D2_2028" vbProcedure="false">Interface!$H$29</definedName>
    <definedName function="false" hidden="false" name="GIF_MktGW_Add_B_D2_2029" vbProcedure="false">Interface!$I$29</definedName>
    <definedName function="false" hidden="false" name="GIF_MktGW_Add_B_D2_2030" vbProcedure="false">Interface!$J$29</definedName>
    <definedName function="false" hidden="false" name="GIF_MktGW_Add_B_D2_2031" vbProcedure="false">Interface!$K$29</definedName>
    <definedName function="false" hidden="false" name="GIF_MktGW_Add_B_D2_2032" vbProcedure="false">Interface!$L$29</definedName>
    <definedName function="false" hidden="false" name="GIF_MktGW_Add_C_D0_2024" vbProcedure="false">Interface!$D$30</definedName>
    <definedName function="false" hidden="false" name="GIF_MktGW_Add_C_D0_2025" vbProcedure="false">Interface!$E$30</definedName>
    <definedName function="false" hidden="false" name="GIF_MktGW_Add_C_D0_2026" vbProcedure="false">Interface!$F$30</definedName>
    <definedName function="false" hidden="false" name="GIF_MktGW_Add_C_D0_2027" vbProcedure="false">Interface!$G$30</definedName>
    <definedName function="false" hidden="false" name="GIF_MktGW_Add_C_D0_2028" vbProcedure="false">Interface!$H$30</definedName>
    <definedName function="false" hidden="false" name="GIF_MktGW_Add_C_D0_2029" vbProcedure="false">Interface!$I$30</definedName>
    <definedName function="false" hidden="false" name="GIF_MktGW_Add_C_D0_2030" vbProcedure="false">Interface!$J$30</definedName>
    <definedName function="false" hidden="false" name="GIF_MktGW_Add_C_D0_2031" vbProcedure="false">Interface!$K$30</definedName>
    <definedName function="false" hidden="false" name="GIF_MktGW_Add_C_D0_2032" vbProcedure="false">Interface!$L$30</definedName>
    <definedName function="false" hidden="false" name="GIF_MktGW_Add_C_D1_2024" vbProcedure="false">Interface!$D$31</definedName>
    <definedName function="false" hidden="false" name="GIF_MktGW_Add_C_D1_2025" vbProcedure="false">Interface!$E$31</definedName>
    <definedName function="false" hidden="false" name="GIF_MktGW_Add_C_D1_2026" vbProcedure="false">Interface!$F$31</definedName>
    <definedName function="false" hidden="false" name="GIF_MktGW_Add_C_D1_2027" vbProcedure="false">Interface!$G$31</definedName>
    <definedName function="false" hidden="false" name="GIF_MktGW_Add_C_D1_2028" vbProcedure="false">Interface!$H$31</definedName>
    <definedName function="false" hidden="false" name="GIF_MktGW_Add_C_D1_2029" vbProcedure="false">Interface!$I$31</definedName>
    <definedName function="false" hidden="false" name="GIF_MktGW_Add_C_D1_2030" vbProcedure="false">Interface!$J$31</definedName>
    <definedName function="false" hidden="false" name="GIF_MktGW_Add_C_D1_2031" vbProcedure="false">Interface!$K$31</definedName>
    <definedName function="false" hidden="false" name="GIF_MktGW_Add_C_D1_2032" vbProcedure="false">Interface!$L$31</definedName>
    <definedName function="false" hidden="false" name="GIF_MktGW_Add_C_D2_2024" vbProcedure="false">Interface!$D$32</definedName>
    <definedName function="false" hidden="false" name="GIF_MktGW_Add_C_D2_2025" vbProcedure="false">Interface!$E$32</definedName>
    <definedName function="false" hidden="false" name="GIF_MktGW_Add_C_D2_2026" vbProcedure="false">Interface!$F$32</definedName>
    <definedName function="false" hidden="false" name="GIF_MktGW_Add_C_D2_2027" vbProcedure="false">Interface!$G$32</definedName>
    <definedName function="false" hidden="false" name="GIF_MktGW_Add_C_D2_2028" vbProcedure="false">Interface!$H$32</definedName>
    <definedName function="false" hidden="false" name="GIF_MktGW_Add_C_D2_2029" vbProcedure="false">Interface!$I$32</definedName>
    <definedName function="false" hidden="false" name="GIF_MktGW_Add_C_D2_2030" vbProcedure="false">Interface!$J$32</definedName>
    <definedName function="false" hidden="false" name="GIF_MktGW_Add_C_D2_2031" vbProcedure="false">Interface!$K$32</definedName>
    <definedName function="false" hidden="false" name="GIF_MktGW_Add_C_D2_2032" vbProcedure="false">Interface!$L$32</definedName>
    <definedName function="false" hidden="false" name="GIF_MktGW_Avg_A_D0_2024" vbProcedure="false">Interface!$D$15</definedName>
    <definedName function="false" hidden="false" name="GIF_MktGW_Avg_A_D0_2025" vbProcedure="false">Interface!$E$15</definedName>
    <definedName function="false" hidden="false" name="GIF_MktGW_Avg_A_D0_2026" vbProcedure="false">Interface!$F$15</definedName>
    <definedName function="false" hidden="false" name="GIF_MktGW_Avg_A_D0_2027" vbProcedure="false">Interface!$G$15</definedName>
    <definedName function="false" hidden="false" name="GIF_MktGW_Avg_A_D0_2028" vbProcedure="false">Interface!$H$15</definedName>
    <definedName function="false" hidden="false" name="GIF_MktGW_Avg_A_D0_2029" vbProcedure="false">Interface!$I$15</definedName>
    <definedName function="false" hidden="false" name="GIF_MktGW_Avg_A_D0_2030" vbProcedure="false">Interface!$J$15</definedName>
    <definedName function="false" hidden="false" name="GIF_MktGW_Avg_A_D0_2031" vbProcedure="false">Interface!$K$15</definedName>
    <definedName function="false" hidden="false" name="GIF_MktGW_Avg_A_D0_2032" vbProcedure="false">Interface!$L$15</definedName>
    <definedName function="false" hidden="false" name="GIF_MktGW_Avg_A_D1_2024" vbProcedure="false">Interface!$D$16</definedName>
    <definedName function="false" hidden="false" name="GIF_MktGW_Avg_A_D1_2025" vbProcedure="false">Interface!$E$16</definedName>
    <definedName function="false" hidden="false" name="GIF_MktGW_Avg_A_D1_2026" vbProcedure="false">Interface!$F$16</definedName>
    <definedName function="false" hidden="false" name="GIF_MktGW_Avg_A_D1_2027" vbProcedure="false">Interface!$G$16</definedName>
    <definedName function="false" hidden="false" name="GIF_MktGW_Avg_A_D1_2028" vbProcedure="false">Interface!$H$16</definedName>
    <definedName function="false" hidden="false" name="GIF_MktGW_Avg_A_D1_2029" vbProcedure="false">Interface!$I$16</definedName>
    <definedName function="false" hidden="false" name="GIF_MktGW_Avg_A_D1_2030" vbProcedure="false">Interface!$J$16</definedName>
    <definedName function="false" hidden="false" name="GIF_MktGW_Avg_A_D1_2031" vbProcedure="false">Interface!$K$16</definedName>
    <definedName function="false" hidden="false" name="GIF_MktGW_Avg_A_D1_2032" vbProcedure="false">Interface!$L$16</definedName>
    <definedName function="false" hidden="false" name="GIF_MktGW_Avg_A_D2_2024" vbProcedure="false">Interface!$D$17</definedName>
    <definedName function="false" hidden="false" name="GIF_MktGW_Avg_A_D2_2025" vbProcedure="false">Interface!$E$17</definedName>
    <definedName function="false" hidden="false" name="GIF_MktGW_Avg_A_D2_2026" vbProcedure="false">Interface!$F$17</definedName>
    <definedName function="false" hidden="false" name="GIF_MktGW_Avg_A_D2_2027" vbProcedure="false">Interface!$G$17</definedName>
    <definedName function="false" hidden="false" name="GIF_MktGW_Avg_A_D2_2028" vbProcedure="false">Interface!$H$17</definedName>
    <definedName function="false" hidden="false" name="GIF_MktGW_Avg_A_D2_2029" vbProcedure="false">Interface!$I$17</definedName>
    <definedName function="false" hidden="false" name="GIF_MktGW_Avg_A_D2_2030" vbProcedure="false">Interface!$J$17</definedName>
    <definedName function="false" hidden="false" name="GIF_MktGW_Avg_A_D2_2031" vbProcedure="false">Interface!$K$17</definedName>
    <definedName function="false" hidden="false" name="GIF_MktGW_Avg_A_D2_2032" vbProcedure="false">Interface!$L$17</definedName>
    <definedName function="false" hidden="false" name="GIF_MktGW_Avg_B_D0_2024" vbProcedure="false">Interface!$D$18</definedName>
    <definedName function="false" hidden="false" name="GIF_MktGW_Avg_B_D0_2025" vbProcedure="false">Interface!$E$18</definedName>
    <definedName function="false" hidden="false" name="GIF_MktGW_Avg_B_D0_2026" vbProcedure="false">Interface!$F$18</definedName>
    <definedName function="false" hidden="false" name="GIF_MktGW_Avg_B_D0_2027" vbProcedure="false">Interface!$G$18</definedName>
    <definedName function="false" hidden="false" name="GIF_MktGW_Avg_B_D0_2028" vbProcedure="false">Interface!$H$18</definedName>
    <definedName function="false" hidden="false" name="GIF_MktGW_Avg_B_D0_2029" vbProcedure="false">Interface!$I$18</definedName>
    <definedName function="false" hidden="false" name="GIF_MktGW_Avg_B_D0_2030" vbProcedure="false">Interface!$J$18</definedName>
    <definedName function="false" hidden="false" name="GIF_MktGW_Avg_B_D0_2031" vbProcedure="false">Interface!$K$18</definedName>
    <definedName function="false" hidden="false" name="GIF_MktGW_Avg_B_D0_2032" vbProcedure="false">Interface!$L$18</definedName>
    <definedName function="false" hidden="false" name="GIF_MktGW_Avg_B_D1_2024" vbProcedure="false">Interface!$D$19</definedName>
    <definedName function="false" hidden="false" name="GIF_MktGW_Avg_B_D1_2025" vbProcedure="false">Interface!$E$19</definedName>
    <definedName function="false" hidden="false" name="GIF_MktGW_Avg_B_D1_2026" vbProcedure="false">Interface!$F$19</definedName>
    <definedName function="false" hidden="false" name="GIF_MktGW_Avg_B_D1_2027" vbProcedure="false">Interface!$G$19</definedName>
    <definedName function="false" hidden="false" name="GIF_MktGW_Avg_B_D1_2028" vbProcedure="false">Interface!$H$19</definedName>
    <definedName function="false" hidden="false" name="GIF_MktGW_Avg_B_D1_2029" vbProcedure="false">Interface!$I$19</definedName>
    <definedName function="false" hidden="false" name="GIF_MktGW_Avg_B_D1_2030" vbProcedure="false">Interface!$J$19</definedName>
    <definedName function="false" hidden="false" name="GIF_MktGW_Avg_B_D1_2031" vbProcedure="false">Interface!$K$19</definedName>
    <definedName function="false" hidden="false" name="GIF_MktGW_Avg_B_D1_2032" vbProcedure="false">Interface!$L$19</definedName>
    <definedName function="false" hidden="false" name="GIF_MktGW_Avg_B_D2_2024" vbProcedure="false">Interface!$D$20</definedName>
    <definedName function="false" hidden="false" name="GIF_MktGW_Avg_B_D2_2025" vbProcedure="false">Interface!$E$20</definedName>
    <definedName function="false" hidden="false" name="GIF_MktGW_Avg_B_D2_2026" vbProcedure="false">Interface!$F$20</definedName>
    <definedName function="false" hidden="false" name="GIF_MktGW_Avg_B_D2_2027" vbProcedure="false">Interface!$G$20</definedName>
    <definedName function="false" hidden="false" name="GIF_MktGW_Avg_B_D2_2028" vbProcedure="false">Interface!$H$20</definedName>
    <definedName function="false" hidden="false" name="GIF_MktGW_Avg_B_D2_2029" vbProcedure="false">Interface!$I$20</definedName>
    <definedName function="false" hidden="false" name="GIF_MktGW_Avg_B_D2_2030" vbProcedure="false">Interface!$J$20</definedName>
    <definedName function="false" hidden="false" name="GIF_MktGW_Avg_B_D2_2031" vbProcedure="false">Interface!$K$20</definedName>
    <definedName function="false" hidden="false" name="GIF_MktGW_Avg_B_D2_2032" vbProcedure="false">Interface!$L$20</definedName>
    <definedName function="false" hidden="false" name="GIF_MktGW_Avg_C_D0_2024" vbProcedure="false">Interface!$D$21</definedName>
    <definedName function="false" hidden="false" name="GIF_MktGW_Avg_C_D0_2025" vbProcedure="false">Interface!$E$21</definedName>
    <definedName function="false" hidden="false" name="GIF_MktGW_Avg_C_D0_2026" vbProcedure="false">Interface!$F$21</definedName>
    <definedName function="false" hidden="false" name="GIF_MktGW_Avg_C_D0_2027" vbProcedure="false">Interface!$G$21</definedName>
    <definedName function="false" hidden="false" name="GIF_MktGW_Avg_C_D0_2028" vbProcedure="false">Interface!$H$21</definedName>
    <definedName function="false" hidden="false" name="GIF_MktGW_Avg_C_D0_2029" vbProcedure="false">Interface!$I$21</definedName>
    <definedName function="false" hidden="false" name="GIF_MktGW_Avg_C_D0_2030" vbProcedure="false">Interface!$J$21</definedName>
    <definedName function="false" hidden="false" name="GIF_MktGW_Avg_C_D0_2031" vbProcedure="false">Interface!$K$21</definedName>
    <definedName function="false" hidden="false" name="GIF_MktGW_Avg_C_D0_2032" vbProcedure="false">Interface!$L$21</definedName>
    <definedName function="false" hidden="false" name="GIF_MktGW_Avg_C_D1_2024" vbProcedure="false">Interface!$D$22</definedName>
    <definedName function="false" hidden="false" name="GIF_MktGW_Avg_C_D1_2025" vbProcedure="false">Interface!$E$22</definedName>
    <definedName function="false" hidden="false" name="GIF_MktGW_Avg_C_D1_2026" vbProcedure="false">Interface!$F$22</definedName>
    <definedName function="false" hidden="false" name="GIF_MktGW_Avg_C_D1_2027" vbProcedure="false">Interface!$G$22</definedName>
    <definedName function="false" hidden="false" name="GIF_MktGW_Avg_C_D1_2028" vbProcedure="false">Interface!$H$22</definedName>
    <definedName function="false" hidden="false" name="GIF_MktGW_Avg_C_D1_2029" vbProcedure="false">Interface!$I$22</definedName>
    <definedName function="false" hidden="false" name="GIF_MktGW_Avg_C_D1_2030" vbProcedure="false">Interface!$J$22</definedName>
    <definedName function="false" hidden="false" name="GIF_MktGW_Avg_C_D1_2031" vbProcedure="false">Interface!$K$22</definedName>
    <definedName function="false" hidden="false" name="GIF_MktGW_Avg_C_D1_2032" vbProcedure="false">Interface!$L$22</definedName>
    <definedName function="false" hidden="false" name="GIF_MktGW_Avg_C_D2_2024" vbProcedure="false">Interface!$D$23</definedName>
    <definedName function="false" hidden="false" name="GIF_MktGW_Avg_C_D2_2025" vbProcedure="false">Interface!$E$23</definedName>
    <definedName function="false" hidden="false" name="GIF_MktGW_Avg_C_D2_2026" vbProcedure="false">Interface!$F$23</definedName>
    <definedName function="false" hidden="false" name="GIF_MktGW_Avg_C_D2_2027" vbProcedure="false">Interface!$G$23</definedName>
    <definedName function="false" hidden="false" name="GIF_MktGW_Avg_C_D2_2028" vbProcedure="false">Interface!$H$23</definedName>
    <definedName function="false" hidden="false" name="GIF_MktGW_Avg_C_D2_2029" vbProcedure="false">Interface!$I$23</definedName>
    <definedName function="false" hidden="false" name="GIF_MktGW_Avg_C_D2_2030" vbProcedure="false">Interface!$J$23</definedName>
    <definedName function="false" hidden="false" name="GIF_MktGW_Avg_C_D2_2031" vbProcedure="false">Interface!$K$23</definedName>
    <definedName function="false" hidden="false" name="GIF_MktGW_Avg_C_D2_2032" vbProcedure="false">Interface!$L$23</definedName>
    <definedName function="false" hidden="false" name="GIF_MktGW_YE_A_D0_2024" vbProcedure="false">Interface!$D$6</definedName>
    <definedName function="false" hidden="false" name="GIF_MktGW_YE_A_D0_2025" vbProcedure="false">Interface!$E$6</definedName>
    <definedName function="false" hidden="false" name="GIF_MktGW_YE_A_D0_2026" vbProcedure="false">Interface!$F$6</definedName>
    <definedName function="false" hidden="false" name="GIF_MktGW_YE_A_D0_2027" vbProcedure="false">Interface!$G$6</definedName>
    <definedName function="false" hidden="false" name="GIF_MktGW_YE_A_D0_2028" vbProcedure="false">Interface!$H$6</definedName>
    <definedName function="false" hidden="false" name="GIF_MktGW_YE_A_D0_2029" vbProcedure="false">Interface!$I$6</definedName>
    <definedName function="false" hidden="false" name="GIF_MktGW_YE_A_D0_2030" vbProcedure="false">Interface!$J$6</definedName>
    <definedName function="false" hidden="false" name="GIF_MktGW_YE_A_D0_2031" vbProcedure="false">Interface!$K$6</definedName>
    <definedName function="false" hidden="false" name="GIF_MktGW_YE_A_D0_2032" vbProcedure="false">Interface!$L$6</definedName>
    <definedName function="false" hidden="false" name="GIF_MktGW_YE_A_D1_2024" vbProcedure="false">Interface!$D$7</definedName>
    <definedName function="false" hidden="false" name="GIF_MktGW_YE_A_D1_2025" vbProcedure="false">Interface!$E$7</definedName>
    <definedName function="false" hidden="false" name="GIF_MktGW_YE_A_D1_2026" vbProcedure="false">Interface!$F$7</definedName>
    <definedName function="false" hidden="false" name="GIF_MktGW_YE_A_D1_2027" vbProcedure="false">Interface!$G$7</definedName>
    <definedName function="false" hidden="false" name="GIF_MktGW_YE_A_D1_2028" vbProcedure="false">Interface!$H$7</definedName>
    <definedName function="false" hidden="false" name="GIF_MktGW_YE_A_D1_2029" vbProcedure="false">Interface!$I$7</definedName>
    <definedName function="false" hidden="false" name="GIF_MktGW_YE_A_D1_2030" vbProcedure="false">Interface!$J$7</definedName>
    <definedName function="false" hidden="false" name="GIF_MktGW_YE_A_D1_2031" vbProcedure="false">Interface!$K$7</definedName>
    <definedName function="false" hidden="false" name="GIF_MktGW_YE_A_D1_2032" vbProcedure="false">Interface!$L$7</definedName>
    <definedName function="false" hidden="false" name="GIF_MktGW_YE_A_D2_2024" vbProcedure="false">Interface!$D$8</definedName>
    <definedName function="false" hidden="false" name="GIF_MktGW_YE_A_D2_2025" vbProcedure="false">Interface!$E$8</definedName>
    <definedName function="false" hidden="false" name="GIF_MktGW_YE_A_D2_2026" vbProcedure="false">Interface!$F$8</definedName>
    <definedName function="false" hidden="false" name="GIF_MktGW_YE_A_D2_2027" vbProcedure="false">Interface!$G$8</definedName>
    <definedName function="false" hidden="false" name="GIF_MktGW_YE_A_D2_2028" vbProcedure="false">Interface!$H$8</definedName>
    <definedName function="false" hidden="false" name="GIF_MktGW_YE_A_D2_2029" vbProcedure="false">Interface!$I$8</definedName>
    <definedName function="false" hidden="false" name="GIF_MktGW_YE_A_D2_2030" vbProcedure="false">Interface!$J$8</definedName>
    <definedName function="false" hidden="false" name="GIF_MktGW_YE_A_D2_2031" vbProcedure="false">Interface!$K$8</definedName>
    <definedName function="false" hidden="false" name="GIF_MktGW_YE_A_D2_2032" vbProcedure="false">Interface!$L$8</definedName>
    <definedName function="false" hidden="false" name="GIF_MktGW_YE_B_D0_2024" vbProcedure="false">Interface!$D$9</definedName>
    <definedName function="false" hidden="false" name="GIF_MktGW_YE_B_D0_2025" vbProcedure="false">Interface!$E$9</definedName>
    <definedName function="false" hidden="false" name="GIF_MktGW_YE_B_D0_2026" vbProcedure="false">Interface!$F$9</definedName>
    <definedName function="false" hidden="false" name="GIF_MktGW_YE_B_D0_2027" vbProcedure="false">Interface!$G$9</definedName>
    <definedName function="false" hidden="false" name="GIF_MktGW_YE_B_D0_2028" vbProcedure="false">Interface!$H$9</definedName>
    <definedName function="false" hidden="false" name="GIF_MktGW_YE_B_D0_2029" vbProcedure="false">Interface!$I$9</definedName>
    <definedName function="false" hidden="false" name="GIF_MktGW_YE_B_D0_2030" vbProcedure="false">Interface!$J$9</definedName>
    <definedName function="false" hidden="false" name="GIF_MktGW_YE_B_D0_2031" vbProcedure="false">Interface!$K$9</definedName>
    <definedName function="false" hidden="false" name="GIF_MktGW_YE_B_D0_2032" vbProcedure="false">Interface!$L$9</definedName>
    <definedName function="false" hidden="false" name="GIF_MktGW_YE_B_D1_2024" vbProcedure="false">Interface!$D$10</definedName>
    <definedName function="false" hidden="false" name="GIF_MktGW_YE_B_D1_2025" vbProcedure="false">Interface!$E$10</definedName>
    <definedName function="false" hidden="false" name="GIF_MktGW_YE_B_D1_2026" vbProcedure="false">Interface!$F$10</definedName>
    <definedName function="false" hidden="false" name="GIF_MktGW_YE_B_D1_2027" vbProcedure="false">Interface!$G$10</definedName>
    <definedName function="false" hidden="false" name="GIF_MktGW_YE_B_D1_2028" vbProcedure="false">Interface!$H$10</definedName>
    <definedName function="false" hidden="false" name="GIF_MktGW_YE_B_D1_2029" vbProcedure="false">Interface!$I$10</definedName>
    <definedName function="false" hidden="false" name="GIF_MktGW_YE_B_D1_2030" vbProcedure="false">Interface!$J$10</definedName>
    <definedName function="false" hidden="false" name="GIF_MktGW_YE_B_D1_2031" vbProcedure="false">Interface!$K$10</definedName>
    <definedName function="false" hidden="false" name="GIF_MktGW_YE_B_D1_2032" vbProcedure="false">Interface!$L$10</definedName>
    <definedName function="false" hidden="false" name="GIF_MktGW_YE_B_D2_2024" vbProcedure="false">Interface!$D$11</definedName>
    <definedName function="false" hidden="false" name="GIF_MktGW_YE_B_D2_2025" vbProcedure="false">Interface!$E$11</definedName>
    <definedName function="false" hidden="false" name="GIF_MktGW_YE_B_D2_2026" vbProcedure="false">Interface!$F$11</definedName>
    <definedName function="false" hidden="false" name="GIF_MktGW_YE_B_D2_2027" vbProcedure="false">Interface!$G$11</definedName>
    <definedName function="false" hidden="false" name="GIF_MktGW_YE_B_D2_2028" vbProcedure="false">Interface!$H$11</definedName>
    <definedName function="false" hidden="false" name="GIF_MktGW_YE_B_D2_2029" vbProcedure="false">Interface!$I$11</definedName>
    <definedName function="false" hidden="false" name="GIF_MktGW_YE_B_D2_2030" vbProcedure="false">Interface!$J$11</definedName>
    <definedName function="false" hidden="false" name="GIF_MktGW_YE_B_D2_2031" vbProcedure="false">Interface!$K$11</definedName>
    <definedName function="false" hidden="false" name="GIF_MktGW_YE_B_D2_2032" vbProcedure="false">Interface!$L$11</definedName>
    <definedName function="false" hidden="false" name="GIF_MktGW_YE_C_D0_2024" vbProcedure="false">Interface!$D$12</definedName>
    <definedName function="false" hidden="false" name="GIF_MktGW_YE_C_D0_2025" vbProcedure="false">Interface!$E$12</definedName>
    <definedName function="false" hidden="false" name="GIF_MktGW_YE_C_D0_2026" vbProcedure="false">Interface!$F$12</definedName>
    <definedName function="false" hidden="false" name="GIF_MktGW_YE_C_D0_2027" vbProcedure="false">Interface!$G$12</definedName>
    <definedName function="false" hidden="false" name="GIF_MktGW_YE_C_D0_2028" vbProcedure="false">Interface!$H$12</definedName>
    <definedName function="false" hidden="false" name="GIF_MktGW_YE_C_D0_2029" vbProcedure="false">Interface!$I$12</definedName>
    <definedName function="false" hidden="false" name="GIF_MktGW_YE_C_D0_2030" vbProcedure="false">Interface!$J$12</definedName>
    <definedName function="false" hidden="false" name="GIF_MktGW_YE_C_D0_2031" vbProcedure="false">Interface!$K$12</definedName>
    <definedName function="false" hidden="false" name="GIF_MktGW_YE_C_D0_2032" vbProcedure="false">Interface!$L$12</definedName>
    <definedName function="false" hidden="false" name="GIF_MktGW_YE_C_D1_2024" vbProcedure="false">Interface!$D$13</definedName>
    <definedName function="false" hidden="false" name="GIF_MktGW_YE_C_D1_2025" vbProcedure="false">Interface!$E$13</definedName>
    <definedName function="false" hidden="false" name="GIF_MktGW_YE_C_D1_2026" vbProcedure="false">Interface!$F$13</definedName>
    <definedName function="false" hidden="false" name="GIF_MktGW_YE_C_D1_2027" vbProcedure="false">Interface!$G$13</definedName>
    <definedName function="false" hidden="false" name="GIF_MktGW_YE_C_D1_2028" vbProcedure="false">Interface!$H$13</definedName>
    <definedName function="false" hidden="false" name="GIF_MktGW_YE_C_D1_2029" vbProcedure="false">Interface!$I$13</definedName>
    <definedName function="false" hidden="false" name="GIF_MktGW_YE_C_D1_2030" vbProcedure="false">Interface!$J$13</definedName>
    <definedName function="false" hidden="false" name="GIF_MktGW_YE_C_D1_2031" vbProcedure="false">Interface!$K$13</definedName>
    <definedName function="false" hidden="false" name="GIF_MktGW_YE_C_D1_2032" vbProcedure="false">Interface!$L$13</definedName>
    <definedName function="false" hidden="false" name="GIF_MktGW_YE_C_D2_2024" vbProcedure="false">Interface!$D$14</definedName>
    <definedName function="false" hidden="false" name="GIF_MktGW_YE_C_D2_2025" vbProcedure="false">Interface!$E$14</definedName>
    <definedName function="false" hidden="false" name="GIF_MktGW_YE_C_D2_2026" vbProcedure="false">Interface!$F$14</definedName>
    <definedName function="false" hidden="false" name="GIF_MktGW_YE_C_D2_2027" vbProcedure="false">Interface!$G$14</definedName>
    <definedName function="false" hidden="false" name="GIF_MktGW_YE_C_D2_2028" vbProcedure="false">Interface!$H$14</definedName>
    <definedName function="false" hidden="false" name="GIF_MktGW_YE_C_D2_2029" vbProcedure="false">Interface!$I$14</definedName>
    <definedName function="false" hidden="false" name="GIF_MktGW_YE_C_D2_2030" vbProcedure="false">Interface!$J$14</definedName>
    <definedName function="false" hidden="false" name="GIF_MktGW_YE_C_D2_2031" vbProcedure="false">Interface!$K$14</definedName>
    <definedName function="false" hidden="false" name="GIF_MktGW_YE_C_D2_2032" vbProcedure="false">Interface!$L$14</definedName>
    <definedName function="false" hidden="false" name="GIF_PlayerGW_YE_amzn_2024" vbProcedure="false">Interface!$D$43</definedName>
    <definedName function="false" hidden="false" name="GIF_PlayerGW_YE_amzn_2025" vbProcedure="false">Interface!$E$43</definedName>
    <definedName function="false" hidden="false" name="GIF_PlayerGW_YE_amzn_2026" vbProcedure="false">Interface!$F$43</definedName>
    <definedName function="false" hidden="false" name="GIF_PlayerGW_YE_amzn_2027" vbProcedure="false">Interface!$G$43</definedName>
    <definedName function="false" hidden="false" name="GIF_PlayerGW_YE_amzn_2028" vbProcedure="false">Interface!$H$43</definedName>
    <definedName function="false" hidden="false" name="GIF_PlayerGW_YE_amzn_2029" vbProcedure="false">Interface!$I$43</definedName>
    <definedName function="false" hidden="false" name="GIF_PlayerGW_YE_amzn_2030" vbProcedure="false">Interface!$J$43</definedName>
    <definedName function="false" hidden="false" name="GIF_PlayerGW_YE_amzn_2031" vbProcedure="false">Interface!$K$43</definedName>
    <definedName function="false" hidden="false" name="GIF_PlayerGW_YE_amzn_2032" vbProcedure="false">Interface!$L$43</definedName>
    <definedName function="false" hidden="false" name="GIF_PlayerGW_YE_ant_2024" vbProcedure="false">Interface!$D$51</definedName>
    <definedName function="false" hidden="false" name="GIF_PlayerGW_YE_ant_2025" vbProcedure="false">Interface!$E$51</definedName>
    <definedName function="false" hidden="false" name="GIF_PlayerGW_YE_ant_2026" vbProcedure="false">Interface!$F$51</definedName>
    <definedName function="false" hidden="false" name="GIF_PlayerGW_YE_ant_2027" vbProcedure="false">Interface!$G$51</definedName>
    <definedName function="false" hidden="false" name="GIF_PlayerGW_YE_ant_2028" vbProcedure="false">Interface!$H$51</definedName>
    <definedName function="false" hidden="false" name="GIF_PlayerGW_YE_ant_2029" vbProcedure="false">Interface!$I$51</definedName>
    <definedName function="false" hidden="false" name="GIF_PlayerGW_YE_ant_2030" vbProcedure="false">Interface!$J$51</definedName>
    <definedName function="false" hidden="false" name="GIF_PlayerGW_YE_ant_2031" vbProcedure="false">Interface!$K$51</definedName>
    <definedName function="false" hidden="false" name="GIF_PlayerGW_YE_ant_2032" vbProcedure="false">Interface!$L$51</definedName>
    <definedName function="false" hidden="false" name="GIF_PlayerGW_YE_cn_2024" vbProcedure="false">Interface!$D$54</definedName>
    <definedName function="false" hidden="false" name="GIF_PlayerGW_YE_cn_2025" vbProcedure="false">Interface!$E$54</definedName>
    <definedName function="false" hidden="false" name="GIF_PlayerGW_YE_cn_2026" vbProcedure="false">Interface!$F$54</definedName>
    <definedName function="false" hidden="false" name="GIF_PlayerGW_YE_cn_2027" vbProcedure="false">Interface!$G$54</definedName>
    <definedName function="false" hidden="false" name="GIF_PlayerGW_YE_cn_2028" vbProcedure="false">Interface!$H$54</definedName>
    <definedName function="false" hidden="false" name="GIF_PlayerGW_YE_cn_2029" vbProcedure="false">Interface!$I$54</definedName>
    <definedName function="false" hidden="false" name="GIF_PlayerGW_YE_cn_2030" vbProcedure="false">Interface!$J$54</definedName>
    <definedName function="false" hidden="false" name="GIF_PlayerGW_YE_cn_2031" vbProcedure="false">Interface!$K$54</definedName>
    <definedName function="false" hidden="false" name="GIF_PlayerGW_YE_cn_2032" vbProcedure="false">Interface!$L$54</definedName>
    <definedName function="false" hidden="false" name="GIF_PlayerGW_YE_crwv_2024" vbProcedure="false">Interface!$D$45</definedName>
    <definedName function="false" hidden="false" name="GIF_PlayerGW_YE_crwv_2025" vbProcedure="false">Interface!$E$45</definedName>
    <definedName function="false" hidden="false" name="GIF_PlayerGW_YE_crwv_2026" vbProcedure="false">Interface!$F$45</definedName>
    <definedName function="false" hidden="false" name="GIF_PlayerGW_YE_crwv_2027" vbProcedure="false">Interface!$G$45</definedName>
    <definedName function="false" hidden="false" name="GIF_PlayerGW_YE_crwv_2028" vbProcedure="false">Interface!$H$45</definedName>
    <definedName function="false" hidden="false" name="GIF_PlayerGW_YE_crwv_2029" vbProcedure="false">Interface!$I$45</definedName>
    <definedName function="false" hidden="false" name="GIF_PlayerGW_YE_crwv_2030" vbProcedure="false">Interface!$J$45</definedName>
    <definedName function="false" hidden="false" name="GIF_PlayerGW_YE_crwv_2031" vbProcedure="false">Interface!$K$45</definedName>
    <definedName function="false" hidden="false" name="GIF_PlayerGW_YE_crwv_2032" vbProcedure="false">Interface!$L$45</definedName>
    <definedName function="false" hidden="false" name="GIF_PlayerGW_YE_googl_2024" vbProcedure="false">Interface!$D$42</definedName>
    <definedName function="false" hidden="false" name="GIF_PlayerGW_YE_googl_2025" vbProcedure="false">Interface!$E$42</definedName>
    <definedName function="false" hidden="false" name="GIF_PlayerGW_YE_googl_2026" vbProcedure="false">Interface!$F$42</definedName>
    <definedName function="false" hidden="false" name="GIF_PlayerGW_YE_googl_2027" vbProcedure="false">Interface!$G$42</definedName>
    <definedName function="false" hidden="false" name="GIF_PlayerGW_YE_googl_2028" vbProcedure="false">Interface!$H$42</definedName>
    <definedName function="false" hidden="false" name="GIF_PlayerGW_YE_googl_2029" vbProcedure="false">Interface!$I$42</definedName>
    <definedName function="false" hidden="false" name="GIF_PlayerGW_YE_googl_2030" vbProcedure="false">Interface!$J$42</definedName>
    <definedName function="false" hidden="false" name="GIF_PlayerGW_YE_googl_2031" vbProcedure="false">Interface!$K$42</definedName>
    <definedName function="false" hidden="false" name="GIF_PlayerGW_YE_googl_2032" vbProcedure="false">Interface!$L$42</definedName>
    <definedName function="false" hidden="false" name="GIF_PlayerGW_YE_meta_2024" vbProcedure="false">Interface!$D$48</definedName>
    <definedName function="false" hidden="false" name="GIF_PlayerGW_YE_meta_2025" vbProcedure="false">Interface!$E$48</definedName>
    <definedName function="false" hidden="false" name="GIF_PlayerGW_YE_meta_2026" vbProcedure="false">Interface!$F$48</definedName>
    <definedName function="false" hidden="false" name="GIF_PlayerGW_YE_meta_2027" vbProcedure="false">Interface!$G$48</definedName>
    <definedName function="false" hidden="false" name="GIF_PlayerGW_YE_meta_2028" vbProcedure="false">Interface!$H$48</definedName>
    <definedName function="false" hidden="false" name="GIF_PlayerGW_YE_meta_2029" vbProcedure="false">Interface!$I$48</definedName>
    <definedName function="false" hidden="false" name="GIF_PlayerGW_YE_meta_2030" vbProcedure="false">Interface!$J$48</definedName>
    <definedName function="false" hidden="false" name="GIF_PlayerGW_YE_meta_2031" vbProcedure="false">Interface!$K$48</definedName>
    <definedName function="false" hidden="false" name="GIF_PlayerGW_YE_meta_2032" vbProcedure="false">Interface!$L$48</definedName>
    <definedName function="false" hidden="false" name="GIF_PlayerGW_YE_msft_2024" vbProcedure="false">Interface!$D$41</definedName>
    <definedName function="false" hidden="false" name="GIF_PlayerGW_YE_msft_2025" vbProcedure="false">Interface!$E$41</definedName>
    <definedName function="false" hidden="false" name="GIF_PlayerGW_YE_msft_2026" vbProcedure="false">Interface!$F$41</definedName>
    <definedName function="false" hidden="false" name="GIF_PlayerGW_YE_msft_2027" vbProcedure="false">Interface!$G$41</definedName>
    <definedName function="false" hidden="false" name="GIF_PlayerGW_YE_msft_2028" vbProcedure="false">Interface!$H$41</definedName>
    <definedName function="false" hidden="false" name="GIF_PlayerGW_YE_msft_2029" vbProcedure="false">Interface!$I$41</definedName>
    <definedName function="false" hidden="false" name="GIF_PlayerGW_YE_msft_2030" vbProcedure="false">Interface!$J$41</definedName>
    <definedName function="false" hidden="false" name="GIF_PlayerGW_YE_msft_2031" vbProcedure="false">Interface!$K$41</definedName>
    <definedName function="false" hidden="false" name="GIF_PlayerGW_YE_msft_2032" vbProcedure="false">Interface!$L$41</definedName>
    <definedName function="false" hidden="false" name="GIF_PlayerGW_YE_nbis_2024" vbProcedure="false">Interface!$D$46</definedName>
    <definedName function="false" hidden="false" name="GIF_PlayerGW_YE_nbis_2025" vbProcedure="false">Interface!$E$46</definedName>
    <definedName function="false" hidden="false" name="GIF_PlayerGW_YE_nbis_2026" vbProcedure="false">Interface!$F$46</definedName>
    <definedName function="false" hidden="false" name="GIF_PlayerGW_YE_nbis_2027" vbProcedure="false">Interface!$G$46</definedName>
    <definedName function="false" hidden="false" name="GIF_PlayerGW_YE_nbis_2028" vbProcedure="false">Interface!$H$46</definedName>
    <definedName function="false" hidden="false" name="GIF_PlayerGW_YE_nbis_2029" vbProcedure="false">Interface!$I$46</definedName>
    <definedName function="false" hidden="false" name="GIF_PlayerGW_YE_nbis_2030" vbProcedure="false">Interface!$J$46</definedName>
    <definedName function="false" hidden="false" name="GIF_PlayerGW_YE_nbis_2031" vbProcedure="false">Interface!$K$46</definedName>
    <definedName function="false" hidden="false" name="GIF_PlayerGW_YE_nbis_2032" vbProcedure="false">Interface!$L$46</definedName>
    <definedName function="false" hidden="false" name="GIF_PlayerGW_YE_neo_2024" vbProcedure="false">Interface!$D$52</definedName>
    <definedName function="false" hidden="false" name="GIF_PlayerGW_YE_neo_2025" vbProcedure="false">Interface!$E$52</definedName>
    <definedName function="false" hidden="false" name="GIF_PlayerGW_YE_neo_2026" vbProcedure="false">Interface!$F$52</definedName>
    <definedName function="false" hidden="false" name="GIF_PlayerGW_YE_neo_2027" vbProcedure="false">Interface!$G$52</definedName>
    <definedName function="false" hidden="false" name="GIF_PlayerGW_YE_neo_2028" vbProcedure="false">Interface!$H$52</definedName>
    <definedName function="false" hidden="false" name="GIF_PlayerGW_YE_neo_2029" vbProcedure="false">Interface!$I$52</definedName>
    <definedName function="false" hidden="false" name="GIF_PlayerGW_YE_neo_2030" vbProcedure="false">Interface!$J$52</definedName>
    <definedName function="false" hidden="false" name="GIF_PlayerGW_YE_neo_2031" vbProcedure="false">Interface!$K$52</definedName>
    <definedName function="false" hidden="false" name="GIF_PlayerGW_YE_neo_2032" vbProcedure="false">Interface!$L$52</definedName>
    <definedName function="false" hidden="false" name="GIF_PlayerGW_YE_oai_2024" vbProcedure="false">Interface!$D$50</definedName>
    <definedName function="false" hidden="false" name="GIF_PlayerGW_YE_oai_2025" vbProcedure="false">Interface!$E$50</definedName>
    <definedName function="false" hidden="false" name="GIF_PlayerGW_YE_oai_2026" vbProcedure="false">Interface!$F$50</definedName>
    <definedName function="false" hidden="false" name="GIF_PlayerGW_YE_oai_2027" vbProcedure="false">Interface!$G$50</definedName>
    <definedName function="false" hidden="false" name="GIF_PlayerGW_YE_oai_2028" vbProcedure="false">Interface!$H$50</definedName>
    <definedName function="false" hidden="false" name="GIF_PlayerGW_YE_oai_2029" vbProcedure="false">Interface!$I$50</definedName>
    <definedName function="false" hidden="false" name="GIF_PlayerGW_YE_oai_2030" vbProcedure="false">Interface!$J$50</definedName>
    <definedName function="false" hidden="false" name="GIF_PlayerGW_YE_oai_2031" vbProcedure="false">Interface!$K$50</definedName>
    <definedName function="false" hidden="false" name="GIF_PlayerGW_YE_oai_2032" vbProcedure="false">Interface!$L$50</definedName>
    <definedName function="false" hidden="false" name="GIF_PlayerGW_YE_orcl_2024" vbProcedure="false">Interface!$D$44</definedName>
    <definedName function="false" hidden="false" name="GIF_PlayerGW_YE_orcl_2025" vbProcedure="false">Interface!$E$44</definedName>
    <definedName function="false" hidden="false" name="GIF_PlayerGW_YE_orcl_2026" vbProcedure="false">Interface!$F$44</definedName>
    <definedName function="false" hidden="false" name="GIF_PlayerGW_YE_orcl_2027" vbProcedure="false">Interface!$G$44</definedName>
    <definedName function="false" hidden="false" name="GIF_PlayerGW_YE_orcl_2028" vbProcedure="false">Interface!$H$44</definedName>
    <definedName function="false" hidden="false" name="GIF_PlayerGW_YE_orcl_2029" vbProcedure="false">Interface!$I$44</definedName>
    <definedName function="false" hidden="false" name="GIF_PlayerGW_YE_orcl_2030" vbProcedure="false">Interface!$J$44</definedName>
    <definedName function="false" hidden="false" name="GIF_PlayerGW_YE_orcl_2031" vbProcedure="false">Interface!$K$44</definedName>
    <definedName function="false" hidden="false" name="GIF_PlayerGW_YE_orcl_2032" vbProcedure="false">Interface!$L$44</definedName>
    <definedName function="false" hidden="false" name="GIF_PlayerGW_YE_oth_2024" vbProcedure="false">Interface!$D$55</definedName>
    <definedName function="false" hidden="false" name="GIF_PlayerGW_YE_oth_2025" vbProcedure="false">Interface!$E$55</definedName>
    <definedName function="false" hidden="false" name="GIF_PlayerGW_YE_oth_2026" vbProcedure="false">Interface!$F$55</definedName>
    <definedName function="false" hidden="false" name="GIF_PlayerGW_YE_oth_2027" vbProcedure="false">Interface!$G$55</definedName>
    <definedName function="false" hidden="false" name="GIF_PlayerGW_YE_oth_2028" vbProcedure="false">Interface!$H$55</definedName>
    <definedName function="false" hidden="false" name="GIF_PlayerGW_YE_oth_2029" vbProcedure="false">Interface!$I$55</definedName>
    <definedName function="false" hidden="false" name="GIF_PlayerGW_YE_oth_2030" vbProcedure="false">Interface!$J$55</definedName>
    <definedName function="false" hidden="false" name="GIF_PlayerGW_YE_oth_2031" vbProcedure="false">Interface!$K$55</definedName>
    <definedName function="false" hidden="false" name="GIF_PlayerGW_YE_oth_2032" vbProcedure="false">Interface!$L$55</definedName>
    <definedName function="false" hidden="false" name="GIF_PlayerGW_YE_sov_2024" vbProcedure="false">Interface!$D$53</definedName>
    <definedName function="false" hidden="false" name="GIF_PlayerGW_YE_sov_2025" vbProcedure="false">Interface!$E$53</definedName>
    <definedName function="false" hidden="false" name="GIF_PlayerGW_YE_sov_2026" vbProcedure="false">Interface!$F$53</definedName>
    <definedName function="false" hidden="false" name="GIF_PlayerGW_YE_sov_2027" vbProcedure="false">Interface!$G$53</definedName>
    <definedName function="false" hidden="false" name="GIF_PlayerGW_YE_sov_2028" vbProcedure="false">Interface!$H$53</definedName>
    <definedName function="false" hidden="false" name="GIF_PlayerGW_YE_sov_2029" vbProcedure="false">Interface!$I$53</definedName>
    <definedName function="false" hidden="false" name="GIF_PlayerGW_YE_sov_2030" vbProcedure="false">Interface!$J$53</definedName>
    <definedName function="false" hidden="false" name="GIF_PlayerGW_YE_sov_2031" vbProcedure="false">Interface!$K$53</definedName>
    <definedName function="false" hidden="false" name="GIF_PlayerGW_YE_sov_2032" vbProcedure="false">Interface!$L$53</definedName>
    <definedName function="false" hidden="false" name="GIF_PlayerGW_YE_wyfi_2024" vbProcedure="false">Interface!$D$47</definedName>
    <definedName function="false" hidden="false" name="GIF_PlayerGW_YE_wyfi_2025" vbProcedure="false">Interface!$E$47</definedName>
    <definedName function="false" hidden="false" name="GIF_PlayerGW_YE_wyfi_2026" vbProcedure="false">Interface!$F$47</definedName>
    <definedName function="false" hidden="false" name="GIF_PlayerGW_YE_wyfi_2027" vbProcedure="false">Interface!$G$47</definedName>
    <definedName function="false" hidden="false" name="GIF_PlayerGW_YE_wyfi_2028" vbProcedure="false">Interface!$H$47</definedName>
    <definedName function="false" hidden="false" name="GIF_PlayerGW_YE_wyfi_2029" vbProcedure="false">Interface!$I$47</definedName>
    <definedName function="false" hidden="false" name="GIF_PlayerGW_YE_wyfi_2030" vbProcedure="false">Interface!$J$47</definedName>
    <definedName function="false" hidden="false" name="GIF_PlayerGW_YE_wyfi_2031" vbProcedure="false">Interface!$K$47</definedName>
    <definedName function="false" hidden="false" name="GIF_PlayerGW_YE_wyfi_2032" vbProcedure="false">Interface!$L$47</definedName>
    <definedName function="false" hidden="false" name="GIF_PlayerGW_YE_xai_2024" vbProcedure="false">Interface!$D$49</definedName>
    <definedName function="false" hidden="false" name="GIF_PlayerGW_YE_xai_2025" vbProcedure="false">Interface!$E$49</definedName>
    <definedName function="false" hidden="false" name="GIF_PlayerGW_YE_xai_2026" vbProcedure="false">Interface!$F$49</definedName>
    <definedName function="false" hidden="false" name="GIF_PlayerGW_YE_xai_2027" vbProcedure="false">Interface!$G$49</definedName>
    <definedName function="false" hidden="false" name="GIF_PlayerGW_YE_xai_2028" vbProcedure="false">Interface!$H$49</definedName>
    <definedName function="false" hidden="false" name="GIF_PlayerGW_YE_xai_2029" vbProcedure="false">Interface!$I$49</definedName>
    <definedName function="false" hidden="false" name="GIF_PlayerGW_YE_xai_2030" vbProcedure="false">Interface!$J$49</definedName>
    <definedName function="false" hidden="false" name="GIF_PlayerGW_YE_xai_2031" vbProcedure="false">Interface!$K$49</definedName>
    <definedName function="false" hidden="false" name="GIF_PlayerGW_YE_xai_2032" vbProcedure="false">Interface!$L$49</definedName>
    <definedName function="false" hidden="false" name="GIF_ShippedNotOnline_A_D1_2024" vbProcedure="false">Interface!$D$34</definedName>
    <definedName function="false" hidden="false" name="GIF_ShippedNotOnline_A_D1_2025" vbProcedure="false">Interface!$E$34</definedName>
    <definedName function="false" hidden="false" name="GIF_ShippedNotOnline_A_D1_2026" vbProcedure="false">Interface!$F$34</definedName>
    <definedName function="false" hidden="false" name="GIF_ShippedNotOnline_A_D1_2027" vbProcedure="false">Interface!$G$34</definedName>
    <definedName function="false" hidden="false" name="GIF_ShippedNotOnline_A_D1_2028" vbProcedure="false">Interface!$H$34</definedName>
    <definedName function="false" hidden="false" name="GIF_ShippedNotOnline_A_D1_2029" vbProcedure="false">Interface!$I$34</definedName>
    <definedName function="false" hidden="false" name="GIF_ShippedNotOnline_A_D1_2030" vbProcedure="false">Interface!$J$34</definedName>
    <definedName function="false" hidden="false" name="GIF_ShippedNotOnline_A_D1_2031" vbProcedure="false">Interface!$K$34</definedName>
    <definedName function="false" hidden="false" name="GIF_ShippedNotOnline_A_D1_2032" vbProcedure="false">Interface!$L$34</definedName>
    <definedName function="false" hidden="false" name="GIF_ShippedNotOnline_A_D2_2024" vbProcedure="false">Interface!$D$35</definedName>
    <definedName function="false" hidden="false" name="GIF_ShippedNotOnline_A_D2_2025" vbProcedure="false">Interface!$E$35</definedName>
    <definedName function="false" hidden="false" name="GIF_ShippedNotOnline_A_D2_2026" vbProcedure="false">Interface!$F$35</definedName>
    <definedName function="false" hidden="false" name="GIF_ShippedNotOnline_A_D2_2027" vbProcedure="false">Interface!$G$35</definedName>
    <definedName function="false" hidden="false" name="GIF_ShippedNotOnline_A_D2_2028" vbProcedure="false">Interface!$H$35</definedName>
    <definedName function="false" hidden="false" name="GIF_ShippedNotOnline_A_D2_2029" vbProcedure="false">Interface!$I$35</definedName>
    <definedName function="false" hidden="false" name="GIF_ShippedNotOnline_A_D2_2030" vbProcedure="false">Interface!$J$35</definedName>
    <definedName function="false" hidden="false" name="GIF_ShippedNotOnline_A_D2_2031" vbProcedure="false">Interface!$K$35</definedName>
    <definedName function="false" hidden="false" name="GIF_ShippedNotOnline_A_D2_2032" vbProcedure="false">Interface!$L$35</definedName>
    <definedName function="false" hidden="false" name="GIF_ShippedNotOnline_B_D1_2024" vbProcedure="false">Interface!$D$36</definedName>
    <definedName function="false" hidden="false" name="GIF_ShippedNotOnline_B_D1_2025" vbProcedure="false">Interface!$E$36</definedName>
    <definedName function="false" hidden="false" name="GIF_ShippedNotOnline_B_D1_2026" vbProcedure="false">Interface!$F$36</definedName>
    <definedName function="false" hidden="false" name="GIF_ShippedNotOnline_B_D1_2027" vbProcedure="false">Interface!$G$36</definedName>
    <definedName function="false" hidden="false" name="GIF_ShippedNotOnline_B_D1_2028" vbProcedure="false">Interface!$H$36</definedName>
    <definedName function="false" hidden="false" name="GIF_ShippedNotOnline_B_D1_2029" vbProcedure="false">Interface!$I$36</definedName>
    <definedName function="false" hidden="false" name="GIF_ShippedNotOnline_B_D1_2030" vbProcedure="false">Interface!$J$36</definedName>
    <definedName function="false" hidden="false" name="GIF_ShippedNotOnline_B_D1_2031" vbProcedure="false">Interface!$K$36</definedName>
    <definedName function="false" hidden="false" name="GIF_ShippedNotOnline_B_D1_2032" vbProcedure="false">Interface!$L$36</definedName>
    <definedName function="false" hidden="false" name="GIF_ShippedNotOnline_B_D2_2024" vbProcedure="false">Interface!$D$37</definedName>
    <definedName function="false" hidden="false" name="GIF_ShippedNotOnline_B_D2_2025" vbProcedure="false">Interface!$E$37</definedName>
    <definedName function="false" hidden="false" name="GIF_ShippedNotOnline_B_D2_2026" vbProcedure="false">Interface!$F$37</definedName>
    <definedName function="false" hidden="false" name="GIF_ShippedNotOnline_B_D2_2027" vbProcedure="false">Interface!$G$37</definedName>
    <definedName function="false" hidden="false" name="GIF_ShippedNotOnline_B_D2_2028" vbProcedure="false">Interface!$H$37</definedName>
    <definedName function="false" hidden="false" name="GIF_ShippedNotOnline_B_D2_2029" vbProcedure="false">Interface!$I$37</definedName>
    <definedName function="false" hidden="false" name="GIF_ShippedNotOnline_B_D2_2030" vbProcedure="false">Interface!$J$37</definedName>
    <definedName function="false" hidden="false" name="GIF_ShippedNotOnline_B_D2_2031" vbProcedure="false">Interface!$K$37</definedName>
    <definedName function="false" hidden="false" name="GIF_ShippedNotOnline_B_D2_2032" vbProcedure="false">Interface!$L$37</definedName>
    <definedName function="false" hidden="false" name="GIF_ShippedNotOnline_C_D1_2024" vbProcedure="false">Interface!$D$38</definedName>
    <definedName function="false" hidden="false" name="GIF_ShippedNotOnline_C_D1_2025" vbProcedure="false">Interface!$E$38</definedName>
    <definedName function="false" hidden="false" name="GIF_ShippedNotOnline_C_D1_2026" vbProcedure="false">Interface!$F$38</definedName>
    <definedName function="false" hidden="false" name="GIF_ShippedNotOnline_C_D1_2027" vbProcedure="false">Interface!$G$38</definedName>
    <definedName function="false" hidden="false" name="GIF_ShippedNotOnline_C_D1_2028" vbProcedure="false">Interface!$H$38</definedName>
    <definedName function="false" hidden="false" name="GIF_ShippedNotOnline_C_D1_2029" vbProcedure="false">Interface!$I$38</definedName>
    <definedName function="false" hidden="false" name="GIF_ShippedNotOnline_C_D1_2030" vbProcedure="false">Interface!$J$38</definedName>
    <definedName function="false" hidden="false" name="GIF_ShippedNotOnline_C_D1_2031" vbProcedure="false">Interface!$K$38</definedName>
    <definedName function="false" hidden="false" name="GIF_ShippedNotOnline_C_D1_2032" vbProcedure="false">Interface!$L$38</definedName>
    <definedName function="false" hidden="false" name="GIF_ShippedNotOnline_C_D2_2024" vbProcedure="false">Interface!$D$39</definedName>
    <definedName function="false" hidden="false" name="GIF_ShippedNotOnline_C_D2_2025" vbProcedure="false">Interface!$E$39</definedName>
    <definedName function="false" hidden="false" name="GIF_ShippedNotOnline_C_D2_2026" vbProcedure="false">Interface!$F$39</definedName>
    <definedName function="false" hidden="false" name="GIF_ShippedNotOnline_C_D2_2027" vbProcedure="false">Interface!$G$39</definedName>
    <definedName function="false" hidden="false" name="GIF_ShippedNotOnline_C_D2_2028" vbProcedure="false">Interface!$H$39</definedName>
    <definedName function="false" hidden="false" name="GIF_ShippedNotOnline_C_D2_2029" vbProcedure="false">Interface!$I$39</definedName>
    <definedName function="false" hidden="false" name="GIF_ShippedNotOnline_C_D2_2030" vbProcedure="false">Interface!$J$39</definedName>
    <definedName function="false" hidden="false" name="GIF_ShippedNotOnline_C_D2_2031" vbProcedure="false">Interface!$K$39</definedName>
    <definedName function="false" hidden="false" name="GIF_ShippedNotOnline_C_D2_2032" vbProcedure="false">Interface!$L$39</definedName>
    <definedName function="false" hidden="false" name="gIT_oth" vbProcedure="false">In!$I$7</definedName>
    <definedName function="false" hidden="false" name="gIT_oth_hi" vbProcedure="false">In!$J$7</definedName>
    <definedName function="false" hidden="false" name="gIT_oth_lo" vbProcedure="false">In!$H$7</definedName>
    <definedName function="false" hidden="false" name="gIT_vr200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In!$I$33</definedName>
    <definedName function="false" hidden="false" name="lease_nc_googl" vbProcedure="false">In!$I$32</definedName>
    <definedName function="false" hidden="false" name="lease_nc_msft" vbProcedure="false">In!$I$31</definedName>
    <definedName function="false" hidden="false" name="nnv_amzn" vbProcedure="false">In!$I$36</definedName>
    <definedName function="false" hidden="false" name="nnv_crwv" vbProcedure="false">In!$I$37</definedName>
    <definedName function="false" hidden="false" name="nnv_googl" vbProcedure="false">In!$I$35</definedName>
    <definedName function="false" hidden="false" name="nnv_nbis" vbProcedure="false">In!$I$38</definedName>
    <definedName function="false" hidden="false" name="nnv_wyfi" vbProcedure="false">In!$I$39</definedName>
    <definedName function="false" hidden="false" name="obsd_amzn" vbProcedure="false">In!$I$22</definedName>
    <definedName function="false" hidden="false" name="obsd_crwv" vbProcedure="false">In!$I$26</definedName>
    <definedName function="false" hidden="false" name="obsd_googl" vbProcedure="false">In!$I$20</definedName>
    <definedName function="false" hidden="false" name="obsd_msft" vbProcedure="false">In!$I$18</definedName>
    <definedName function="false" hidden="false" name="obsd_orcl" vbProcedure="false">In!$I$24</definedName>
    <definedName function="false" hidden="false" name="obs_amzn" vbProcedure="false">In!$I$21</definedName>
    <definedName function="false" hidden="false" name="obs_amzn_hi" vbProcedure="false">In!$J$21</definedName>
    <definedName function="false" hidden="false" name="obs_amzn_lo" vbProcedure="false">In!$H$21</definedName>
    <definedName function="false" hidden="false" name="obs_crwv" vbProcedure="false">In!$I$25</definedName>
    <definedName function="false" hidden="false" name="obs_googl" vbProcedure="false">In!$I$19</definedName>
    <definedName function="false" hidden="false" name="obs_googl_hi" vbProcedure="false">In!$J$19</definedName>
    <definedName function="false" hidden="false" name="obs_googl_lo" vbProcedure="false">In!$H$19</definedName>
    <definedName function="false" hidden="false" name="obs_msft" vbProcedure="false">In!$I$17</definedName>
    <definedName function="false" hidden="false" name="obs_msft_hi" vbProcedure="false">In!$J$17</definedName>
    <definedName function="false" hidden="false" name="obs_msft_lo" vbProcedure="false">In!$H$17</definedName>
    <definedName function="false" hidden="false" name="obs_orcl" vbProcedure="false">In!$I$23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<sst xmlns="http://schemas.openxmlformats.org/spreadsheetml/2006/main" count="3647" uniqueCount="1469">
  <si>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帳 </t>
    </r>
    <r>
      <rPr>
        <b val="true"/>
        <sz val="13"/>
        <rFont val="Cambria"/>
        <family val="0"/>
        <charset val="1"/>
      </rPr>
      <t xml:space="preserve">v0.1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20261028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</si>
  <si>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</si>
  <si>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、世代組合、分攤）＋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</si>
  <si>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單位：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＝設施電力（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919.8 MW 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。口徑未說明者基準取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</si>
  <si>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GIF_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</si>
  <si>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起。階段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（骨架）只放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內已有、帶來源的值，其餘列留空並標『待證據』；延遲參數為佔位值。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</si>
  <si>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</si>
  <si>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</si>
  <si>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YYYYMMDD_GWLedger_vX.Y.xlsx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</si>
  <si>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GW </t>
    </r>
    <r>
      <rPr>
        <sz val="11"/>
        <color theme="1"/>
        <rFont val="Noto Sans CJK SC"/>
        <family val="2"/>
      </rPr>
      <t xml:space="preserve">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；分攤表：</t>
    </r>
    <r>
      <rPr>
        <sz val="11"/>
        <color theme="1"/>
        <rFont val="Calibri"/>
        <family val="2"/>
        <charset val="1"/>
      </rPr>
      <t xml:space="preserve">H–M</t>
    </r>
    <r>
      <rPr>
        <sz val="11"/>
        <color theme="1"/>
        <rFont val="Noto Sans CJK SC"/>
        <family val="2"/>
      </rPr>
      <t xml:space="preserve">＝使用者；園區表見節標題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</si>
  <si>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／設施／未說明（未說明者基準取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</si>
  <si>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</si>
  <si>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</si>
  <si>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</si>
  <si>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</si>
  <si>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</si>
  <si>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</si>
  <si>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</si>
  <si>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</si>
  <si>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</si>
  <si>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</si>
  <si>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</si>
  <si>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</si>
  <si>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</si>
  <si>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</si>
  <si>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</si>
  <si>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</si>
  <si>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</si>
  <si>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</si>
  <si>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</t>
    </r>
  </si>
  <si>
    <t xml:space="preserve">gIT_vr200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</si>
  <si>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（設施）含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</si>
  <si>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</si>
  <si>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</si>
  <si>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</si>
  <si>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</si>
  <si>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節『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919.8 MW IT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快照未含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Requests R1</t>
    </r>
    <r>
      <rPr>
        <sz val="11"/>
        <color theme="1"/>
        <rFont val="Noto Sans CJK SC"/>
        <family val="2"/>
      </rPr>
      <t xml:space="preserve">）</t>
    </r>
  </si>
  <si>
    <t xml:space="preserve">gIT_oth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</si>
  <si>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（設施）含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：其他世代與非 </t>
    </r>
    <r>
      <rPr>
        <sz val="11"/>
        <color theme="1"/>
        <rFont val="Calibri"/>
        <family val="2"/>
        <charset val="1"/>
      </rPr>
      <t xml:space="preserve">NVIDIA</t>
    </r>
  </si>
  <si>
    <t xml:space="preserve">Assumed</t>
  </si>
  <si>
    <t xml:space="preserve">SRC_GL_004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</si>
  <si>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節：其他世代先沿用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值；低＝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讀法（舊 </t>
    </r>
    <r>
      <rPr>
        <sz val="11"/>
        <color theme="1"/>
        <rFont val="Calibri"/>
        <family val="2"/>
        <charset val="1"/>
      </rPr>
      <t xml:space="preserve">TK IF_FacilityGW 1.2</t>
    </r>
    <r>
      <rPr>
        <sz val="11"/>
        <color theme="1"/>
        <rFont val="Noto Sans CJK SC"/>
        <family val="2"/>
      </rPr>
      <t xml:space="preserve">），高 </t>
    </r>
    <r>
      <rPr>
        <sz val="11"/>
        <color theme="1"/>
        <rFont val="Calibri"/>
        <family val="2"/>
        <charset val="1"/>
      </rPr>
      <t xml:space="preserve">0.95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</si>
  <si>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</si>
  <si>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</si>
  <si>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</si>
  <si>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</si>
  <si>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</si>
  <si>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</si>
  <si>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</si>
  <si>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</si>
  <si>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</si>
  <si>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</si>
  <si>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</si>
  <si>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月；基準取中點（佔位）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</si>
  <si>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</si>
  <si>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</si>
  <si>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年增率線性收斂到長期成長率；佔位值，待決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</si>
  <si>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準時、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基準延遲、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嚴重延遲；佔位值）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</si>
  <si>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</si>
  <si>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：動工→上線延遲（各瓶頸中位數；佔位）</t>
    </r>
  </si>
  <si>
    <t xml:space="preserve">SRC_GL_005</t>
  </si>
  <si>
    <r>
      <rPr>
        <sz val="11"/>
        <color theme="1"/>
        <rFont val="Noto Sans CJK SC"/>
        <family val="2"/>
      </rPr>
      <t xml:space="preserve">【佔位】待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證據校準；已知延遲較大者取已知延遲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</si>
  <si>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</si>
  <si>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：併網與發電機組綁定比例（佔位）</t>
    </r>
  </si>
  <si>
    <r>
      <rPr>
        <sz val="11"/>
        <color theme="1"/>
        <rFont val="Noto Sans CJK SC"/>
        <family val="2"/>
      </rPr>
      <t xml:space="preserve">【佔位】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延遲之上，綁定比例的新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</si>
  <si>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</si>
  <si>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：綁定部分再延月數（佔位）</t>
    </r>
  </si>
  <si>
    <r>
      <rPr>
        <sz val="11"/>
        <color theme="1"/>
        <rFont val="Noto Sans CJK SC"/>
        <family val="2"/>
      </rPr>
      <t xml:space="preserve">【佔位】規劃書第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</si>
  <si>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玩家最新觀測（年底值未知時，觀測所在年的計算值取觀測值）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</si>
  <si>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</si>
  <si>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最新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</si>
  <si>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</si>
  <si>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</si>
  <si>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</si>
  <si>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</si>
  <si>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（自有＋融資租賃；三法交叉，未用營收）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</si>
  <si>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</si>
  <si>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</si>
  <si>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</si>
  <si>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2026-06-30</t>
    </r>
  </si>
  <si>
    <t xml:space="preserve">obs_googl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</si>
  <si>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最新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</si>
  <si>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</si>
  <si>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mag.ai.mwInService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IT/TDP 1.65</t>
    </r>
    <r>
      <rPr>
        <sz val="11"/>
        <color theme="1"/>
        <rFont val="Noto Sans CJK SC"/>
        <family val="2"/>
      </rPr>
      <t xml:space="preserve">，第三方為主）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</si>
  <si>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</si>
  <si>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</si>
  <si>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2026-06-30</t>
  </si>
  <si>
    <t xml:space="preserve">obs_amzn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</si>
  <si>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最新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</si>
  <si>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</si>
  <si>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</si>
  <si>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</si>
  <si>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</si>
  <si>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</si>
  <si>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最新已連網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</si>
  <si>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</si>
  <si>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</si>
  <si>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</si>
  <si>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</si>
  <si>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</si>
  <si>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</si>
  <si>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最新 </t>
    </r>
    <r>
      <rPr>
        <sz val="11"/>
        <color theme="1"/>
        <rFont val="Calibri"/>
        <family val="2"/>
        <charset val="1"/>
      </rPr>
      <t xml:space="preserve">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</si>
  <si>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</si>
  <si>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</si>
  <si>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coreweave/company.json callFacts.activeGw 1.5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</si>
  <si>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</si>
  <si>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</si>
  <si>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</si>
  <si>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合約與租賃（對照用，不進加總）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</si>
  <si>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</si>
  <si>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</si>
  <si>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</si>
  <si>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coreweave/company.json callFacts.contractedGw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powered land 1.5 GW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</si>
  <si>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</si>
  <si>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2026 </t>
    </r>
    <r>
      <rPr>
        <sz val="11"/>
        <color theme="1"/>
        <rFont val="Noto Sans CJK SC"/>
        <family val="2"/>
      </rPr>
      <t xml:space="preserve">年底已簽約電力目標（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）</t>
    </r>
  </si>
  <si>
    <t xml:space="preserve">未說明</t>
  </si>
  <si>
    <t xml:space="preserve">SRC_GL_061</t>
  </si>
  <si>
    <r>
      <rPr>
        <sz val="11"/>
        <color theme="1"/>
        <rFont val="Calibri"/>
        <family val="2"/>
        <charset val="1"/>
      </rPr>
      <t xml:space="preserve">nebius/data/consensus_nbis_20261007.json companyGuidance.FY26.contractedPowerGW</t>
    </r>
    <r>
      <rPr>
        <sz val="11"/>
        <color theme="1"/>
        <rFont val="Noto Sans CJK SC"/>
        <family val="2"/>
      </rPr>
      <t xml:space="preserve">；已簽 </t>
    </r>
    <r>
      <rPr>
        <sz val="11"/>
        <color theme="1"/>
        <rFont val="Calibri"/>
        <family val="2"/>
        <charset val="1"/>
      </rPr>
      <t xml:space="preserve">&gt;3.5 GW</t>
    </r>
  </si>
  <si>
    <t xml:space="preserve">ctr_orcl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</si>
  <si>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MW-IT </t>
    </r>
    <r>
      <rPr>
        <sz val="11"/>
        <color theme="1"/>
        <rFont val="Noto Sans CJK SC"/>
        <family val="2"/>
      </rPr>
      <t xml:space="preserve">上限（基準）</t>
    </r>
  </si>
  <si>
    <r>
      <rPr>
        <sz val="11"/>
        <color theme="1"/>
        <rFont val="Calibri"/>
        <family val="2"/>
        <charset val="1"/>
      </rPr>
      <t xml:space="preserve">oracle/company.json scenarios.mwPath.contracted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五站第三方估計 </t>
    </r>
    <r>
      <rPr>
        <sz val="11"/>
        <color theme="1"/>
        <rFont val="Calibri"/>
        <family val="2"/>
        <charset val="1"/>
      </rPr>
      <t xml:space="preserve">8.1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</si>
  <si>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</si>
  <si>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</si>
  <si>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</si>
  <si>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</si>
  <si>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</si>
  <si>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</si>
  <si>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</si>
  <si>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</si>
  <si>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</si>
  <si>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</si>
  <si>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</si>
  <si>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</si>
  <si>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</si>
  <si>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</si>
  <si>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</si>
  <si>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</si>
  <si>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</si>
  <si>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</si>
  <si>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</si>
  <si>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</si>
  <si>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</si>
  <si>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</si>
  <si>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</si>
  <si>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</si>
  <si>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</si>
  <si>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</si>
  <si>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</si>
  <si>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</si>
  <si>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</si>
  <si>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SRC_GL_011</t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</si>
  <si>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</si>
  <si>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</si>
  <si>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</si>
  <si>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SRC_GL_021</t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</si>
  <si>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</si>
  <si>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</si>
  <si>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SRC_GL_031</t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</si>
  <si>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</si>
  <si>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 財年結束月</t>
    </r>
  </si>
  <si>
    <t xml:space="preserve">SRC_GL_041</t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</si>
  <si>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</si>
  <si>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</si>
  <si>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SRC_GL_051</t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</si>
  <si>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</si>
  <si>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</si>
  <si>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</si>
  <si>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</si>
  <si>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SRC_GL_000</t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</si>
  <si>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</t>
    </r>
    <r>
      <rPr>
        <b val="true"/>
        <sz val="11"/>
        <rFont val="Cambria"/>
        <family val="0"/>
        <charset val="1"/>
      </rPr>
      <t xml:space="preserve">2023–2026 </t>
    </r>
    <r>
      <rPr>
        <b val="true"/>
        <sz val="11"/>
        <rFont val="Noto Sans CJK SC"/>
        <family val="2"/>
      </rPr>
      <t xml:space="preserve">實際或最新，</t>
    </r>
    <r>
      <rPr>
        <b val="true"/>
        <sz val="11"/>
        <rFont val="Cambria"/>
        <family val="0"/>
        <charset val="1"/>
      </rPr>
      <t xml:space="preserve">2027–2032 </t>
    </r>
    <r>
      <rPr>
        <b val="true"/>
        <sz val="11"/>
        <rFont val="Noto Sans CJK SC"/>
        <family val="2"/>
      </rPr>
      <t xml:space="preserve">公告路徑；空白＝未知，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頁依 </t>
    </r>
    <r>
      <rPr>
        <b val="true"/>
        <sz val="11"/>
        <rFont val="Cambria"/>
        <family val="0"/>
        <charset val="1"/>
      </rPr>
      <t xml:space="preserve">GL01-03 </t>
    </r>
    <r>
      <rPr>
        <b val="true"/>
        <sz val="11"/>
        <rFont val="Noto Sans CJK SC"/>
        <family val="2"/>
      </rPr>
      <t xml:space="preserve">補值）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</si>
  <si>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</si>
  <si>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</si>
  <si>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末（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FY24</t>
    </r>
    <r>
      <rPr>
        <sz val="11"/>
        <color theme="1"/>
        <rFont val="Noto Sans CJK SC"/>
        <family val="2"/>
      </rPr>
      <t xml:space="preserve">）、約 </t>
    </r>
    <r>
      <rPr>
        <sz val="11"/>
        <color theme="1"/>
        <rFont val="Calibri"/>
        <family val="2"/>
        <charset val="1"/>
      </rPr>
      <t xml:space="preserve">2,300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）置於該曆年欄，年底值偏低；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由最新觀測（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4,500</t>
    </r>
    <r>
      <rPr>
        <sz val="11"/>
        <color theme="1"/>
        <rFont val="Noto Sans CJK SC"/>
        <family val="2"/>
      </rPr>
      <t xml:space="preserve">）帶入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</si>
  <si>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</si>
  <si>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</si>
  <si>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MW TDP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IT/TDP 1.65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 (287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98)×1.65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(991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307)×1.65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4,873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由最新觀測帶入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</si>
  <si>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</si>
  <si>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</si>
  <si>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AI 1,800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360 ÷ </t>
    </r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由最新觀測帶入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</si>
  <si>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</si>
  <si>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</si>
  <si>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scenarios.mwPath.note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末（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）已連網 </t>
    </r>
    <r>
      <rPr>
        <sz val="11"/>
        <color theme="1"/>
        <rFont val="Calibri"/>
        <family val="2"/>
        <charset val="1"/>
      </rPr>
      <t xml:space="preserve">4,668 </t>
    </r>
    <r>
      <rPr>
        <sz val="11"/>
        <color theme="1"/>
        <rFont val="Noto Sans CJK SC"/>
        <family val="2"/>
      </rPr>
      <t xml:space="preserve">置於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欄（模型路徑，非公司公告）；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由最新觀測 </t>
    </r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帶入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</si>
  <si>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</si>
  <si>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</si>
  <si>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</si>
  <si>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、法說）；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yeActiveGw 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gw2030 8 GW </t>
    </r>
    <r>
      <rPr>
        <sz val="11"/>
        <color theme="1"/>
        <rFont val="Noto Sans CJK SC"/>
        <family val="2"/>
      </rPr>
      <t xml:space="preserve">為公司目標；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</si>
  <si>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</si>
  <si>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</si>
  <si>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取中點 </t>
    </r>
    <r>
      <rPr>
        <sz val="11"/>
        <color theme="1"/>
        <rFont val="Calibri"/>
        <family val="2"/>
        <charset val="1"/>
      </rPr>
      <t xml:space="preserve">900</t>
    </r>
    <r>
      <rPr>
        <sz val="11"/>
        <color theme="1"/>
        <rFont val="Noto Sans CJK SC"/>
        <family val="2"/>
      </rPr>
      <t xml:space="preserve">（口徑不明；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模型以 </t>
    </r>
    <r>
      <rPr>
        <sz val="11"/>
        <color theme="1"/>
        <rFont val="Calibri"/>
        <family val="2"/>
        <charset val="1"/>
      </rPr>
      <t xml:space="preserve">÷1.2 </t>
    </r>
    <r>
      <rPr>
        <sz val="11"/>
        <color theme="1"/>
        <rFont val="Noto Sans CJK SC"/>
        <family val="2"/>
      </rPr>
      <t xml:space="preserve">讀為 </t>
    </r>
    <r>
      <rPr>
        <sz val="11"/>
        <color theme="1"/>
        <rFont val="Calibri"/>
        <family val="2"/>
        <charset val="1"/>
      </rPr>
      <t xml:space="preserve">750 IT</t>
    </r>
    <r>
      <rPr>
        <sz val="11"/>
        <color theme="1"/>
        <rFont val="Noto Sans CJK SC"/>
        <family val="2"/>
      </rPr>
      <t xml:space="preserve">）。整列以『未說明』兩讀（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值實為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，誤差 </t>
    </r>
    <r>
      <rPr>
        <sz val="11"/>
        <color theme="1"/>
        <rFont val="Calibri"/>
        <family val="2"/>
        <charset val="1"/>
      </rPr>
      <t xml:space="preserve">&lt; 0.03 GW</t>
    </r>
    <r>
      <rPr>
        <sz val="11"/>
        <color theme="1"/>
        <rFont val="Noto Sans CJK SC"/>
        <family val="2"/>
      </rPr>
      <t xml:space="preserve">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</si>
  <si>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</si>
  <si>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</si>
  <si>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冰島 </t>
    </r>
    <r>
      <rPr>
        <sz val="11"/>
        <color theme="1"/>
        <rFont val="Calibri"/>
        <family val="2"/>
        <charset val="1"/>
      </rPr>
      <t xml:space="preserve">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數換算的已連網路徑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</si>
  <si>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</si>
  <si>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</si>
  <si>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待證據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</si>
  <si>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複核後填入）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</si>
  <si>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</si>
  <si>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</si>
  <si>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</si>
  <si>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（自建）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</si>
  <si>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</si>
  <si>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（自建）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</si>
  <si>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</si>
  <si>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</si>
  <si>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</si>
  <si>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合計（中國以外）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</si>
  <si>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mw_cn</t>
  </si>
  <si>
    <r>
      <rPr>
        <sz val="11"/>
        <color theme="1"/>
        <rFont val="Noto Sans CJK SC"/>
        <family val="2"/>
      </rPr>
      <t xml:space="preserve">中國合計（昇騰、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</si>
  <si>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mw_oth</t>
  </si>
  <si>
    <r>
      <rPr>
        <sz val="11"/>
        <color theme="1"/>
        <rFont val="Noto Sans CJK SC"/>
        <family val="2"/>
      </rPr>
      <t xml:space="preserve">其他（企業自建等）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</si>
  <si>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</si>
  <si>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</si>
  <si>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</si>
  <si>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</si>
  <si>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</si>
  <si>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</si>
  <si>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</si>
  <si>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</si>
  <si>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</si>
  <si>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</si>
  <si>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</si>
  <si>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</si>
  <si>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 資本支出（財年）</t>
    </r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</si>
  <si>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</si>
  <si>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</si>
  <si>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</si>
  <si>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</si>
  <si>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</si>
  <si>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</si>
  <si>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</si>
  <si>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</si>
  <si>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</si>
  <si>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</si>
  <si>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</si>
  <si>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</si>
  <si>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t xml:space="preserve">待證據（無個股模型或未取得）</t>
  </si>
  <si>
    <t xml:space="preserve">cap_xai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</si>
  <si>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資本支出（財年）</t>
    </r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</si>
  <si>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</si>
  <si>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（自建）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</si>
  <si>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</si>
  <si>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（自建）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</si>
  <si>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</si>
  <si>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</si>
  <si>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</si>
  <si>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合計（中國以外）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</si>
  <si>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</si>
  <si>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中國合計（昇騰、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</si>
  <si>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cap_oth</t>
  </si>
  <si>
    <t xml:space="preserve">其他（企業自建等） 資本支出（財年）</t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</si>
  <si>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</si>
  <si>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</si>
  <si>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</si>
  <si>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</si>
  <si>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</si>
  <si>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</si>
  <si>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</si>
  <si>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</si>
  <si>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</si>
  <si>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</si>
  <si>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</si>
  <si>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</si>
  <si>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</si>
  <si>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</si>
  <si>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</si>
  <si>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</si>
  <si>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</si>
  <si>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</si>
  <si>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</si>
  <si>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</si>
  <si>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</si>
  <si>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（自建）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</si>
  <si>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</si>
  <si>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（自建）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</si>
  <si>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</si>
  <si>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</si>
  <si>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</si>
  <si>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合計（中國以外）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</si>
  <si>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</si>
  <si>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中國合計（昇騰、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</si>
  <si>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</si>
  <si>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其他（企業自建等）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</si>
  <si>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</si>
  <si>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</si>
  <si>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（報導／模型）</t>
    </r>
  </si>
  <si>
    <t xml:space="preserve">SRC_GL_080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</si>
  <si>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Friar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Checks B116 SRC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3.5–5.7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 Inputs B284 </t>
    </r>
    <r>
      <rPr>
        <sz val="11"/>
        <color theme="1"/>
        <rFont val="Noto Sans CJK SC"/>
        <family val="2"/>
      </rPr>
      <t xml:space="preserve">口徑三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</si>
  <si>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</si>
  <si>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</si>
  <si>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t xml:space="preserve">SRC_GL_090</t>
  </si>
  <si>
    <r>
      <rPr>
        <sz val="11"/>
        <color theme="1"/>
        <rFont val="Calibri"/>
        <family val="2"/>
        <charset val="1"/>
      </rPr>
      <t xml:space="preserve">anthropic Compute B174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（媒體轉述投資人資料）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</si>
  <si>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</si>
  <si>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</si>
  <si>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資料中心容量（年底）</t>
    </r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</si>
  <si>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B_labs_china_totals </t>
    </r>
    <r>
      <rPr>
        <sz val="11"/>
        <color theme="1"/>
        <rFont val="Noto Sans CJK SC"/>
        <family val="2"/>
      </rPr>
      <t xml:space="preserve">複核後填入）</t>
    </r>
  </si>
  <si>
    <t xml:space="preserve">tp_iea</t>
  </si>
  <si>
    <r>
      <rPr>
        <sz val="11"/>
        <color theme="1"/>
        <rFont val="Calibri"/>
        <family val="2"/>
        <charset val="1"/>
      </rPr>
      <t xml:space="preserve">IEA </t>
    </r>
    <r>
      <rPr>
        <sz val="11"/>
        <color theme="1"/>
        <rFont val="Noto Sans CJK SC"/>
        <family val="2"/>
      </rPr>
      <t xml:space="preserve">資料中心用電／容量（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部分）</t>
    </r>
  </si>
  <si>
    <t xml:space="preserve">tp_semi</t>
  </si>
  <si>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資料中心模型（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</si>
  <si>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</si>
  <si>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</si>
  <si>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</si>
  <si>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</si>
  <si>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</si>
  <si>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</si>
  <si>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</si>
  <si>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</si>
  <si>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</si>
  <si>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</si>
  <si>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</si>
  <si>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</si>
  <si>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</si>
  <si>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</si>
  <si>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</si>
  <si>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</si>
  <si>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</si>
  <si>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使用者分攤（列＝營運者；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＝自用、</t>
    </r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Anthropic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、其他；空白＝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1 − </t>
    </r>
    <r>
      <rPr>
        <b val="true"/>
        <sz val="11"/>
        <rFont val="Noto Sans CJK SC"/>
        <family val="2"/>
      </rPr>
      <t xml:space="preserve">合計＝未分配）</t>
    </r>
  </si>
  <si>
    <t xml:space="preserve">營運者</t>
  </si>
  <si>
    <t xml:space="preserve">自用</t>
  </si>
  <si>
    <t xml:space="preserve">OpenAI</t>
  </si>
  <si>
    <t xml:space="preserve">Anthropic</t>
  </si>
  <si>
    <t xml:space="preserve">xAI</t>
  </si>
  <si>
    <t xml:space="preserve">Meta</t>
  </si>
  <si>
    <t xml:space="preserve">其他</t>
  </si>
  <si>
    <t xml:space="preserve">shr_msft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</si>
  <si>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使用者分攤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</si>
  <si>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</si>
  <si>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）；對外部分的使用者拆分待證據（自用區間 </t>
    </r>
    <r>
      <rPr>
        <sz val="11"/>
        <color theme="1"/>
        <rFont val="Calibri"/>
        <family val="2"/>
        <charset val="1"/>
      </rPr>
      <t xml:space="preserve">0.25–0.5</t>
    </r>
    <r>
      <rPr>
        <sz val="11"/>
        <color theme="1"/>
        <rFont val="Noto Sans CJK SC"/>
        <family val="2"/>
      </rPr>
      <t xml:space="preserve">）</t>
    </r>
  </si>
  <si>
    <t xml:space="preserve">shr_googl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</si>
  <si>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使用者分攤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</si>
  <si>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scenarios.mwPath.note</t>
    </r>
    <r>
      <rPr>
        <sz val="11"/>
        <color theme="1"/>
        <rFont val="Noto Sans CJK SC"/>
        <family val="2"/>
      </rPr>
      <t xml:space="preserve">）；對外使用者（含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）待證據</t>
    </r>
  </si>
  <si>
    <t xml:space="preserve">shr_amzn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</si>
  <si>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使用者分攤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</si>
  <si>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Noto Sans CJK SC"/>
        <family val="2"/>
      </rPr>
      <t xml:space="preserve">）；對外使用者（含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）待證據</t>
    </r>
  </si>
  <si>
    <t xml:space="preserve">shr_orcl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</si>
  <si>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 使用者分攤</t>
    </r>
  </si>
  <si>
    <t xml:space="preserve">shr_crwv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</si>
  <si>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使用者分攤</t>
    </r>
  </si>
  <si>
    <t xml:space="preserve">shr_nbis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</si>
  <si>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使用者分攤</t>
    </r>
  </si>
  <si>
    <t xml:space="preserve">shr_wyfi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</si>
  <si>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使用者分攤</t>
    </r>
  </si>
  <si>
    <t xml:space="preserve">shr_meta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</si>
  <si>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使用者分攤</t>
    </r>
  </si>
  <si>
    <r>
      <rPr>
        <sz val="11"/>
        <color theme="1"/>
        <rFont val="Noto Sans CJK SC"/>
        <family val="2"/>
      </rPr>
      <t xml:space="preserve">結構：自建自用（工作單 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欄定義）</t>
    </r>
  </si>
  <si>
    <t xml:space="preserve">shr_xai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</si>
  <si>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使用者分攤</t>
    </r>
  </si>
  <si>
    <t xml:space="preserve">結構：自建自用</t>
  </si>
  <si>
    <t xml:space="preserve">shr_oai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</si>
  <si>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（自建） 使用者分攤</t>
    </r>
  </si>
  <si>
    <t xml:space="preserve">shr_ant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</si>
  <si>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（自建） 使用者分攤</t>
    </r>
  </si>
  <si>
    <t xml:space="preserve">shr_neo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</si>
  <si>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等） 使用者分攤</t>
    </r>
  </si>
  <si>
    <t xml:space="preserve">shr_sov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</si>
  <si>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合計（中國以外） 使用者分攤</t>
    </r>
  </si>
  <si>
    <t xml:space="preserve">shr_cn</t>
  </si>
  <si>
    <r>
      <rPr>
        <sz val="11"/>
        <color theme="1"/>
        <rFont val="Noto Sans CJK SC"/>
        <family val="2"/>
      </rPr>
      <t xml:space="preserve">中國合計（昇騰、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等） 使用者分攤</t>
    </r>
  </si>
  <si>
    <t xml:space="preserve">shr_oth</t>
  </si>
  <si>
    <t xml:space="preserve">其他（企業自建等） 使用者分攤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</si>
  <si>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 </t>
    </r>
    <r>
      <rPr>
        <b val="true"/>
        <sz val="11"/>
        <rFont val="Cambria"/>
        <family val="0"/>
        <charset val="1"/>
      </rPr>
      <t xml:space="preserve">Pipeline</t>
    </r>
    <r>
      <rPr>
        <b val="true"/>
        <sz val="11"/>
        <rFont val="Noto Sans CJK SC"/>
        <family val="2"/>
      </rPr>
      <t xml:space="preserve">〕）</t>
    </r>
  </si>
  <si>
    <t xml:space="preserve">園區</t>
  </si>
  <si>
    <t xml:space="preserve">使用者</t>
  </si>
  <si>
    <t xml:space="preserve">上線年</t>
  </si>
  <si>
    <t xml:space="preserve">上線月</t>
  </si>
  <si>
    <t xml:space="preserve">已知延遲月</t>
  </si>
  <si>
    <t xml:space="preserve">納入</t>
  </si>
  <si>
    <t xml:space="preserve">cp_msft_fw_wi</t>
  </si>
  <si>
    <t xml:space="preserve">Fairwater Wisconsin</t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</si>
  <si>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，在役）；上線年月待證據</t>
    </r>
  </si>
  <si>
    <t xml:space="preserve">msft</t>
  </si>
  <si>
    <t xml:space="preserve">oai</t>
  </si>
  <si>
    <t xml:space="preserve">cp_msft_fw_atl</t>
  </si>
  <si>
    <t xml:space="preserve">Fairwater Atlanta</t>
  </si>
  <si>
    <t xml:space="preserve">cp_amzn_nc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</si>
  <si>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</si>
  <si>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mag.mw.epochSites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）；上線年月待證據</t>
    </r>
  </si>
  <si>
    <t xml:space="preserve">amzn</t>
  </si>
  <si>
    <t xml:space="preserve">ant</t>
  </si>
  <si>
    <t xml:space="preserve">cp_amzn_rl</t>
  </si>
  <si>
    <t xml:space="preserve">Ridgeland</t>
  </si>
  <si>
    <r>
      <rPr>
        <sz val="11"/>
        <color theme="1"/>
        <rFont val="Calibri"/>
        <family val="2"/>
        <charset val="1"/>
      </rPr>
      <t xml:space="preserve">mag.mw.epochSites</t>
    </r>
    <r>
      <rPr>
        <sz val="11"/>
        <color theme="1"/>
        <rFont val="Noto Sans CJK SC"/>
        <family val="2"/>
      </rPr>
      <t xml:space="preserve">；上線年月待證據</t>
    </r>
  </si>
  <si>
    <t xml:space="preserve">cp_amzn_md</t>
  </si>
  <si>
    <t xml:space="preserve">Madison</t>
  </si>
  <si>
    <t xml:space="preserve">cp_orcl_abl</t>
  </si>
  <si>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（已交付部分）</t>
    </r>
  </si>
  <si>
    <r>
      <rPr>
        <sz val="11"/>
        <color theme="1"/>
        <rFont val="Calibri"/>
        <family val="2"/>
        <charset val="1"/>
      </rPr>
      <t xml:space="preserve">scenarios.mwPath.note</t>
    </r>
    <r>
      <rPr>
        <sz val="11"/>
        <color theme="1"/>
        <rFont val="Noto Sans CJK SC"/>
        <family val="2"/>
      </rPr>
      <t xml:space="preserve">：已交付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；上線年月待證據</t>
    </r>
  </si>
  <si>
    <t xml:space="preserve">orcl</t>
  </si>
  <si>
    <t xml:space="preserve">cp_orcl_sg5</t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</si>
  <si>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五站合計（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承租，第三方估計）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</si>
  <si>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</si>
  <si>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：第三方估計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（設施）；分站上線年月待證據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</si>
  <si>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</si>
  <si>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</si>
  <si>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</si>
  <si>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</si>
  <si>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</si>
  <si>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</si>
  <si>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</si>
  <si>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</si>
  <si>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</si>
  <si>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</si>
  <si>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</si>
  <si>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</si>
  <si>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</si>
  <si>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</si>
  <si>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</si>
  <si>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</si>
  <si>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</si>
  <si>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</si>
  <si>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</si>
  <si>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</si>
  <si>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</si>
  <si>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</si>
  <si>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</si>
  <si>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</si>
  <si>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</si>
  <si>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</si>
  <si>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</si>
  <si>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</si>
  <si>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</si>
  <si>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</si>
  <si>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</si>
  <si>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</si>
  <si>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</si>
  <si>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</si>
  <si>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</si>
  <si>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</si>
  <si>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</si>
  <si>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</si>
  <si>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</si>
  <si>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</si>
  <si>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</si>
  <si>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</si>
  <si>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</si>
  <si>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</si>
  <si>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</si>
  <si>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</si>
  <si>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</si>
  <si>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</si>
  <si>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</si>
  <si>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</si>
  <si>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</si>
  <si>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</si>
  <si>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</si>
  <si>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</si>
  <si>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</si>
  <si>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</si>
  <si>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</si>
  <si>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</si>
  <si>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</si>
  <si>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</si>
  <si>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</si>
  <si>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</si>
  <si>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</si>
  <si>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</si>
  <si>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</si>
  <si>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</si>
  <si>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</si>
  <si>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</si>
  <si>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</si>
  <si>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</si>
  <si>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</si>
  <si>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</si>
  <si>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</si>
  <si>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</si>
  <si>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</si>
  <si>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</si>
  <si>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</si>
  <si>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</si>
  <si>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</si>
  <si>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</si>
  <si>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</si>
  <si>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</si>
  <si>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</si>
  <si>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</si>
  <si>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</si>
  <si>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</si>
  <si>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</si>
  <si>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</si>
  <si>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</si>
  <si>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</si>
  <si>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</si>
  <si>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</si>
  <si>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</si>
  <si>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</si>
  <si>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</si>
  <si>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</si>
  <si>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</si>
  <si>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</si>
  <si>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</si>
  <si>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</si>
  <si>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</si>
  <si>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</si>
  <si>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</si>
  <si>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</si>
  <si>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</si>
  <si>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</si>
  <si>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</si>
  <si>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</si>
  <si>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</si>
  <si>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</si>
  <si>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</si>
  <si>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</si>
  <si>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</si>
  <si>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</si>
  <si>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</si>
  <si>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</si>
  <si>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</si>
  <si>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</si>
  <si>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</si>
  <si>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</si>
  <si>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</si>
  <si>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</si>
  <si>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</si>
  <si>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</si>
  <si>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</si>
  <si>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</si>
  <si>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</si>
  <si>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</si>
  <si>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</si>
  <si>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</si>
  <si>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</si>
  <si>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</si>
  <si>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20261028_Siliconomics_v0.7.1.xlsx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v0.7.1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54b59045b9ac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</si>
  <si>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</si>
  <si>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</si>
  <si>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</si>
  <si>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</si>
  <si>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</si>
  <si>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</si>
  <si>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</si>
  <si>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</si>
  <si>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</si>
  <si>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</si>
  <si>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</si>
  <si>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</si>
  <si>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</si>
  <si>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</si>
  <si>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</si>
  <si>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</si>
  <si>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</si>
  <si>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</si>
  <si>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</si>
  <si>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</si>
  <si>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</si>
  <si>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</si>
  <si>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</si>
  <si>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</si>
  <si>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</si>
  <si>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</si>
  <si>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</si>
  <si>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</si>
  <si>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</si>
  <si>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</si>
  <si>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</si>
  <si>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</si>
  <si>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</si>
  <si>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</si>
  <si>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</si>
  <si>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</si>
  <si>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</si>
  <si>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</si>
  <si>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</si>
  <si>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</si>
  <si>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</si>
  <si>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</si>
  <si>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</si>
  <si>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</si>
  <si>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</si>
  <si>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</si>
  <si>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</si>
  <si>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</si>
  <si>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</si>
  <si>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</si>
  <si>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（甲：公告路徑；營運者口徑）。計算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：有輸入取輸入；無輸入而最新觀測在該年取觀測；兩已知值間線性內插；最後已知值後持平沿用；第一個已知值前留空（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＝設施電力＝</t>
    </r>
    <r>
      <rPr>
        <sz val="11"/>
        <color theme="1"/>
        <rFont val="Calibri"/>
        <family val="2"/>
        <charset val="1"/>
      </rPr>
      <t xml:space="preserve">IT MW ÷ 1000 ÷ 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，依世代組合加權）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</si>
  <si>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沿用／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</si>
  <si>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</si>
  <si>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</si>
  <si>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</si>
  <si>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</si>
  <si>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</si>
  <si>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</si>
  <si>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</si>
  <si>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</si>
  <si>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</si>
  <si>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</si>
  <si>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</si>
  <si>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（設施）含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</si>
  <si>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gIT_vr200</t>
    </r>
    <r>
      <rPr>
        <sz val="11"/>
        <color theme="1"/>
        <rFont val="Noto Sans CJK SC"/>
        <family val="2"/>
      </rPr>
      <t xml:space="preserve">（規劃書 </t>
    </r>
    <r>
      <rPr>
        <sz val="11"/>
        <color theme="1"/>
        <rFont val="Calibri"/>
        <family val="2"/>
        <charset val="1"/>
      </rPr>
      <t xml:space="preserve">919.8 MW 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）；其他世代與非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gIT_oth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沿用同值，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</si>
  <si>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</si>
  <si>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In!C49</t>
    </r>
  </si>
  <si>
    <r>
      <rPr>
        <sz val="11"/>
        <color theme="1"/>
        <rFont val="Noto Sans CJK SC"/>
        <family val="2"/>
      </rPr>
      <t xml:space="preserve">　輸入 </t>
    </r>
    <r>
      <rPr>
        <sz val="11"/>
        <color theme="1"/>
        <rFont val="Calibri"/>
        <family val="2"/>
        <charset val="1"/>
      </rPr>
      <t xml:space="preserve">MW</t>
    </r>
  </si>
  <si>
    <t xml:space="preserve">msft_in</t>
  </si>
  <si>
    <t xml:space="preserve">　已知值（輸入或觀測）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</si>
  <si>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</si>
  <si>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</si>
  <si>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</si>
  <si>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</si>
  <si>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</si>
  <si>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</si>
  <si>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</si>
  <si>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</si>
  <si>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</si>
  <si>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計算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（營運者口徑）</t>
    </r>
  </si>
  <si>
    <t xml:space="preserve">msft_v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</si>
  <si>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</si>
  <si>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</si>
  <si>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（設施）</t>
    </r>
  </si>
  <si>
    <t xml:space="preserve">msft_tk</t>
  </si>
  <si>
    <r>
      <rPr>
        <sz val="11"/>
        <color theme="1"/>
        <rFont val="Noto Sans CJK SC"/>
        <family val="2"/>
      </rPr>
      <t xml:space="preserve">　設施讀法（口徑未說明時不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</si>
  <si>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</si>
  <si>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TK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</si>
  <si>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</si>
  <si>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TK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</si>
  <si>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</si>
  <si>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TK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</si>
  <si>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</si>
  <si>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</si>
  <si>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</si>
  <si>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</si>
  <si>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t xml:space="preserve">googl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</si>
  <si>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In!C50</t>
    </r>
  </si>
  <si>
    <t xml:space="preserve">googl_in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</si>
  <si>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</si>
  <si>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</si>
  <si>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</si>
  <si>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</si>
  <si>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</si>
  <si>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googl_v</t>
  </si>
  <si>
    <t xml:space="preserve">googl_f</t>
  </si>
  <si>
    <t xml:space="preserve">googl_tk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</si>
  <si>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</si>
  <si>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</si>
  <si>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</si>
  <si>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</si>
  <si>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</si>
  <si>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</si>
  <si>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In!C51</t>
    </r>
  </si>
  <si>
    <t xml:space="preserve">amzn_in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</si>
  <si>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</si>
  <si>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</si>
  <si>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</si>
  <si>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</si>
  <si>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</si>
  <si>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amzn_v</t>
  </si>
  <si>
    <t xml:space="preserve">amzn_f</t>
  </si>
  <si>
    <t xml:space="preserve">amzn_tk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</si>
  <si>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</si>
  <si>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</si>
  <si>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</si>
  <si>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</si>
  <si>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</si>
  <si>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</si>
  <si>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In!C52</t>
    </r>
  </si>
  <si>
    <t xml:space="preserve">orcl_in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</si>
  <si>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</si>
  <si>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</si>
  <si>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</si>
  <si>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</si>
  <si>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</si>
  <si>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orcl_v</t>
  </si>
  <si>
    <t xml:space="preserve">orcl_f</t>
  </si>
  <si>
    <t xml:space="preserve">orcl_tk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</si>
  <si>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</si>
  <si>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</si>
  <si>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</si>
  <si>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</si>
  <si>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</si>
  <si>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</si>
  <si>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t xml:space="preserve">crwv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</si>
  <si>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In!C53</t>
    </r>
  </si>
  <si>
    <t xml:space="preserve">crwv_in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</si>
  <si>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</si>
  <si>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</si>
  <si>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</si>
  <si>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</si>
  <si>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</si>
  <si>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crwv_v</t>
  </si>
  <si>
    <t xml:space="preserve">crwv_f</t>
  </si>
  <si>
    <t xml:space="preserve">crwv_tk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</si>
  <si>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</si>
  <si>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</si>
  <si>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</si>
  <si>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</si>
  <si>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</si>
  <si>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</si>
  <si>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</si>
  <si>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In!C54</t>
    </r>
  </si>
  <si>
    <t xml:space="preserve">nbis_in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</si>
  <si>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</si>
  <si>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</si>
  <si>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</si>
  <si>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</si>
  <si>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</si>
  <si>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nbis_v</t>
  </si>
  <si>
    <t xml:space="preserve">nbis_f</t>
  </si>
  <si>
    <t xml:space="preserve">nbis_tk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</si>
  <si>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</si>
  <si>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</si>
  <si>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</si>
  <si>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</si>
  <si>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</si>
  <si>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</si>
  <si>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</si>
  <si>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In!C55</t>
    </r>
  </si>
  <si>
    <t xml:space="preserve">wyfi_in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</si>
  <si>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</si>
  <si>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</si>
  <si>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</si>
  <si>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</si>
  <si>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</si>
  <si>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wyfi_v</t>
  </si>
  <si>
    <t xml:space="preserve">wyfi_f</t>
  </si>
  <si>
    <t xml:space="preserve">wyfi_tk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</si>
  <si>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</si>
  <si>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</si>
  <si>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</si>
  <si>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</si>
  <si>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</si>
  <si>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</si>
  <si>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In!C56</t>
    </r>
  </si>
  <si>
    <t xml:space="preserve">meta_in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</si>
  <si>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</si>
  <si>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</si>
  <si>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</si>
  <si>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</si>
  <si>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</si>
  <si>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meta_v</t>
  </si>
  <si>
    <t xml:space="preserve">meta_f</t>
  </si>
  <si>
    <t xml:space="preserve">meta_tk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</si>
  <si>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</si>
  <si>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</si>
  <si>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</si>
  <si>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</si>
  <si>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</si>
  <si>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t xml:space="preserve">xai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</si>
  <si>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In!C57</t>
    </r>
  </si>
  <si>
    <t xml:space="preserve">xai_in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</si>
  <si>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</si>
  <si>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</si>
  <si>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</si>
  <si>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</si>
  <si>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</si>
  <si>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xai_v</t>
  </si>
  <si>
    <t xml:space="preserve">xai_f</t>
  </si>
  <si>
    <t xml:space="preserve">xai_tk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</si>
  <si>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</si>
  <si>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</si>
  <si>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</si>
  <si>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</si>
  <si>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</si>
  <si>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</si>
  <si>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In!C58</t>
    </r>
  </si>
  <si>
    <t xml:space="preserve">oai_in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</si>
  <si>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</si>
  <si>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</si>
  <si>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</si>
  <si>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</si>
  <si>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</si>
  <si>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oai_v</t>
  </si>
  <si>
    <t xml:space="preserve">oai_f</t>
  </si>
  <si>
    <t xml:space="preserve">oai_tk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</si>
  <si>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</si>
  <si>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</si>
  <si>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</si>
  <si>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</si>
  <si>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</si>
  <si>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</t>
    </r>
    <r>
      <rPr>
        <b val="true"/>
        <sz val="1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</si>
  <si>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In!C59</t>
    </r>
  </si>
  <si>
    <t xml:space="preserve">ant_in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</si>
  <si>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</si>
  <si>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</si>
  <si>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</si>
  <si>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</si>
  <si>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</si>
  <si>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ant_v</t>
  </si>
  <si>
    <t xml:space="preserve">ant_f</t>
  </si>
  <si>
    <t xml:space="preserve">ant_tk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</si>
  <si>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</si>
  <si>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</si>
  <si>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</si>
  <si>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</si>
  <si>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</si>
  <si>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Noto Sans CJK SC"/>
        <family val="2"/>
      </rPr>
      <t xml:space="preserve">等）</t>
    </r>
  </si>
  <si>
    <t xml:space="preserve">neo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</si>
  <si>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In!C60</t>
    </r>
  </si>
  <si>
    <t xml:space="preserve">neo_in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</si>
  <si>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</si>
  <si>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</si>
  <si>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</si>
  <si>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</si>
  <si>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</si>
  <si>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neo_v</t>
  </si>
  <si>
    <t xml:space="preserve">neo_f</t>
  </si>
  <si>
    <t xml:space="preserve">neo_tk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</si>
  <si>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</si>
  <si>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</si>
  <si>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</si>
  <si>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</si>
  <si>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</si>
  <si>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合計（中國以外）</t>
    </r>
  </si>
  <si>
    <t xml:space="preserve">sov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</si>
  <si>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In!C61</t>
    </r>
  </si>
  <si>
    <t xml:space="preserve">sov_in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</si>
  <si>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</si>
  <si>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</si>
  <si>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</si>
  <si>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</si>
  <si>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</si>
  <si>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sov_v</t>
  </si>
  <si>
    <t xml:space="preserve">sov_f</t>
  </si>
  <si>
    <t xml:space="preserve">sov_tk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</si>
  <si>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</si>
  <si>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</si>
  <si>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</si>
  <si>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</si>
  <si>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</si>
  <si>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中國合計（昇騰、</t>
    </r>
    <r>
      <rPr>
        <b val="true"/>
        <sz val="11"/>
        <rFont val="Cambria"/>
        <family val="0"/>
        <charset val="1"/>
      </rPr>
      <t xml:space="preserve">H20 </t>
    </r>
    <r>
      <rPr>
        <b val="true"/>
        <sz val="11"/>
        <rFont val="Noto Sans CJK SC"/>
        <family val="2"/>
      </rPr>
      <t xml:space="preserve">等）</t>
    </r>
  </si>
  <si>
    <t xml:space="preserve">cn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</si>
  <si>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In!C62</t>
    </r>
  </si>
  <si>
    <t xml:space="preserve">cn_in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</si>
  <si>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</si>
  <si>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</si>
  <si>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</si>
  <si>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</si>
  <si>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</si>
  <si>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cn_v</t>
  </si>
  <si>
    <t xml:space="preserve">cn_f</t>
  </si>
  <si>
    <t xml:space="preserve">cn_tk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</si>
  <si>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</si>
  <si>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</si>
  <si>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</si>
  <si>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</si>
  <si>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</si>
  <si>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t xml:space="preserve">其他（企業自建等）</t>
  </si>
  <si>
    <t xml:space="preserve">oth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</si>
  <si>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In!C63</t>
    </r>
  </si>
  <si>
    <t xml:space="preserve">oth_in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</si>
  <si>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</si>
  <si>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</si>
  <si>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</si>
  <si>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</si>
  <si>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</si>
  <si>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oth_v</t>
  </si>
  <si>
    <t xml:space="preserve">oth_f</t>
  </si>
  <si>
    <t xml:space="preserve">oth_tk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</si>
  <si>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</si>
  <si>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</si>
  <si>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</si>
  <si>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</si>
  <si>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</si>
  <si>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</si>
  <si>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（設施）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</si>
  <si>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</si>
  <si>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（設施讀法：口徑未說明者不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）</t>
    </r>
  </si>
  <si>
    <t xml:space="preserve">mkt_alt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</si>
  <si>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</si>
  <si>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mkt_it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</si>
  <si>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TK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</si>
  <si>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</si>
  <si>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TK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</si>
  <si>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</si>
  <si>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TK GW</t>
    </r>
  </si>
  <si>
    <t xml:space="preserve">mkt_stk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</si>
  <si>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</si>
  <si>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</si>
  <si>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 </t>
    </r>
    <r>
      <rPr>
        <sz val="11"/>
        <color theme="1"/>
        <rFont val="Calibri"/>
        <family val="2"/>
        <charset val="1"/>
      </rPr>
      <t xml:space="preserve">× In T1 </t>
    </r>
    <r>
      <rPr>
        <sz val="11"/>
        <color theme="1"/>
        <rFont val="Noto Sans CJK SC"/>
        <family val="2"/>
      </rPr>
      <t xml:space="preserve">分攤），欄＝使用者；『未分配』＝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分攤合計。列和＝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；欄和合計＝總量（處理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在雲端的重複計算：市場總量只按營運者加總一次）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</si>
  <si>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</si>
  <si>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</si>
  <si>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</si>
  <si>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</si>
  <si>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</si>
  <si>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</si>
  <si>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</si>
  <si>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</si>
  <si>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</si>
  <si>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</si>
  <si>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</si>
  <si>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</si>
  <si>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</si>
  <si>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合計（中國以外）</t>
    </r>
  </si>
  <si>
    <r>
      <rPr>
        <sz val="11"/>
        <color theme="1"/>
        <rFont val="Noto Sans CJK SC"/>
        <family val="2"/>
      </rPr>
      <t xml:space="preserve">中國合計（昇騰、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等）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</si>
  <si>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</si>
  <si>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；口徑 </t>
    </r>
    <r>
      <rPr>
        <sz val="11"/>
        <color theme="1"/>
        <rFont val="Calibri"/>
        <family val="2"/>
        <charset val="1"/>
      </rPr>
      <t xml:space="preserve">In!C97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</si>
  <si>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＝營運者分攤或玩家覆蓋不足）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</si>
  <si>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；口徑 </t>
    </r>
    <r>
      <rPr>
        <sz val="11"/>
        <color theme="1"/>
        <rFont val="Calibri"/>
        <family val="2"/>
        <charset val="1"/>
      </rPr>
      <t xml:space="preserve">In!C98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</si>
  <si>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</si>
  <si>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</si>
  <si>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該年已列園區；＋新納入存量（不延遲）。時間以小數年表示（年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已知延遲</t>
    </r>
    <r>
      <rPr>
        <sz val="11"/>
        <color theme="1"/>
        <rFont val="Calibri"/>
        <family val="2"/>
        <charset val="1"/>
      </rPr>
      <t xml:space="preserve">, dly_d1_m)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之上綁定比例 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</t>
    </r>
    <r>
      <rPr>
        <sz val="11"/>
        <color theme="1"/>
        <rFont val="Noto Sans CJK SC"/>
        <family val="2"/>
      </rPr>
      <t xml:space="preserve">。殘差在年內均勻上線（觀測年在觀測時點前已上線，不延遲）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</si>
  <si>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</si>
  <si>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</si>
  <si>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</si>
  <si>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</si>
  <si>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TK GW</t>
  </si>
  <si>
    <t xml:space="preserve">t D0</t>
  </si>
  <si>
    <t xml:space="preserve">t D1</t>
  </si>
  <si>
    <r>
      <rPr>
        <b val="true"/>
        <sz val="11"/>
        <rFont val="Cambria"/>
        <family val="0"/>
        <charset val="1"/>
      </rPr>
      <t xml:space="preserve">t D2 </t>
    </r>
    <r>
      <rPr>
        <b val="true"/>
        <sz val="11"/>
        <rFont val="Noto Sans CJK SC"/>
        <family val="2"/>
      </rPr>
      <t xml:space="preserve">綁定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</si>
  <si>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</si>
  <si>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</si>
  <si>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上線的已列園區）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</si>
  <si>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</si>
  <si>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</si>
  <si>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</si>
  <si>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</si>
  <si>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</si>
  <si>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</si>
  <si>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</si>
  <si>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</si>
  <si>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</si>
  <si>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</si>
  <si>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；比例＝事件年內 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 ＋ 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後部分延後 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年後在 </t>
    </r>
    <r>
      <rPr>
        <b val="true"/>
        <sz val="11"/>
        <rFont val="Cambria"/>
        <family val="0"/>
        <charset val="1"/>
      </rPr>
      <t xml:space="preserve">z </t>
    </r>
    <r>
      <rPr>
        <b val="true"/>
        <sz val="11"/>
        <rFont val="Noto Sans CJK SC"/>
        <family val="2"/>
      </rPr>
      <t xml:space="preserve">年底前的部分）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</si>
  <si>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</si>
  <si>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</si>
  <si>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</si>
  <si>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</si>
  <si>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</si>
  <si>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</si>
  <si>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</si>
  <si>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</si>
  <si>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</si>
  <si>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</si>
  <si>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</si>
  <si>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</si>
  <si>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</si>
  <si>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</si>
  <si>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</si>
  <si>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</si>
  <si>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</si>
  <si>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</si>
  <si>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</si>
  <si>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</si>
  <si>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</si>
  <si>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</si>
  <si>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</si>
  <si>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</si>
  <si>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</si>
  <si>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</si>
  <si>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</si>
  <si>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</si>
  <si>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</si>
  <si>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</si>
  <si>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</si>
  <si>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</si>
  <si>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</si>
  <si>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</si>
  <si>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</si>
  <si>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</si>
  <si>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</si>
  <si>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</si>
  <si>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</si>
  <si>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</si>
  <si>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</si>
  <si>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</si>
  <si>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</si>
  <si>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TK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</si>
  <si>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</si>
  <si>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</si>
  <si>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。需求情景只改年新增：</t>
    </r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各情景＝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</t>
    </r>
    <r>
      <rPr>
        <sz val="11"/>
        <color theme="1"/>
        <rFont val="Noto Sans CJK SC"/>
        <family val="2"/>
      </rPr>
      <t xml:space="preserve">＝前年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）。情景差額（相對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年新增）視為年內均勻上線，套用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節的延遲比例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</si>
  <si>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</si>
  <si>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年新增（淨）</t>
    </r>
  </si>
  <si>
    <t xml:space="preserve">新納入存量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</si>
  <si>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</si>
  <si>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</si>
  <si>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</si>
  <si>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年新增成長率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</si>
  <si>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情景差額（相對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</si>
  <si>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</si>
  <si>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</si>
  <si>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</si>
  <si>
    <t xml:space="preserve">C</t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</si>
  <si>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全部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</si>
  <si>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第三方總量（每來源一列；口徑換算後、比值、容許帶、狀態）。第三方只作佐證、不校準；雙方皆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才判『對得上／偏差』，否則『證據不足（帶內／帶外）』。重複計算以營運者口徑加總一次處理（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</si>
  <si>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</si>
  <si>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</si>
  <si>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</si>
  <si>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</si>
  <si>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資料中心容量（年底）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</si>
  <si>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</si>
  <si>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／未說明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</si>
  <si>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第三方）</t>
    </r>
  </si>
  <si>
    <t xml:space="preserve">　狀態</t>
  </si>
  <si>
    <r>
      <rPr>
        <sz val="11"/>
        <color theme="1"/>
        <rFont val="Noto Sans CJK SC"/>
        <family val="2"/>
      </rPr>
      <t xml:space="preserve">由下而上為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（混合標記），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</si>
  <si>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b val="true"/>
        <sz val="11"/>
        <rFont val="Cambria"/>
        <family val="0"/>
        <charset val="1"/>
      </rPr>
      <t xml:space="preserve">IEA </t>
    </r>
    <r>
      <rPr>
        <b val="true"/>
        <sz val="11"/>
        <rFont val="Noto Sans CJK SC"/>
        <family val="2"/>
      </rPr>
      <t xml:space="preserve">資料中心用電／容量（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部分）</t>
    </r>
  </si>
  <si>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資料中心模型（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</si>
  <si>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GW × TK IF_CapexIT</t>
    </r>
    <r>
      <rPr>
        <sz val="11"/>
        <color theme="1"/>
        <rFont val="Noto Sans CJK SC"/>
        <family val="2"/>
      </rPr>
      <t xml:space="preserve">（上線年入帳）＋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</si>
  <si>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</si>
  <si>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</si>
  <si>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</si>
  <si>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</si>
  <si>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</si>
  <si>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</si>
  <si>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</si>
  <si>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</si>
  <si>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</si>
  <si>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</si>
  <si>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</si>
  <si>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</si>
  <si>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</si>
  <si>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</si>
  <si>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</si>
  <si>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</si>
  <si>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</si>
  <si>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</si>
  <si>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</si>
  <si>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</si>
  <si>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</si>
  <si>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t xml:space="preserve">個股模型待證據</t>
  </si>
  <si>
    <r>
      <rPr>
        <sz val="11"/>
        <color theme="1"/>
        <rFont val="Calibri"/>
        <family val="2"/>
        <charset val="1"/>
      </rPr>
      <t xml:space="preserve">Compare — GW </t>
    </r>
    <r>
      <rPr>
        <sz val="11"/>
        <color theme="1"/>
        <rFont val="Noto Sans CJK SC"/>
        <family val="2"/>
      </rPr>
      <t xml:space="preserve">帳年新增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（實體；營運者加總）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</t>
    </r>
    <r>
      <rPr>
        <sz val="11"/>
        <color theme="1"/>
        <rFont val="Noto Sans CJK SC"/>
        <family val="2"/>
      </rPr>
      <t xml:space="preserve">）。兩者口徑不同，只並列、不校準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</si>
  <si>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</si>
  <si>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標『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電力』，除數為每 </t>
    </r>
    <r>
      <rPr>
        <sz val="11"/>
        <color theme="1"/>
        <rFont val="Calibri"/>
        <family val="2"/>
        <charset val="1"/>
      </rPr>
      <t xml:space="preserve">TK GW IT capex</t>
    </r>
    <r>
      <rPr>
        <sz val="11"/>
        <color theme="1"/>
        <rFont val="Noto Sans CJK SC"/>
        <family val="2"/>
      </rPr>
      <t xml:space="preserve">，實為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</si>
  <si>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年新增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</si>
  <si>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差額（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D0 −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</si>
  <si>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D0 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</si>
  <si>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</si>
  <si>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內已有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WYFI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、中國、主權、其他新雲待證據，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帳年新增大幅偏低。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</si>
  <si>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公告路徑缺漏：多數玩家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年後無公告值，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持平沿用 → 年新增為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2030 </t>
    </r>
    <r>
      <rPr>
        <sz val="11"/>
        <color theme="1"/>
        <rFont val="Noto Sans CJK SC"/>
        <family val="2"/>
      </rPr>
      <t xml:space="preserve">目標內插除外）。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</si>
  <si>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</si>
  <si>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為出貨（資本支出）年，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為公告上線年；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再延後。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</si>
  <si>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GIF_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gwledger/tools/export_snapshot.py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（設施電力）</t>
    </r>
  </si>
  <si>
    <r>
      <rPr>
        <sz val="11"/>
        <color theme="1"/>
        <rFont val="Noto Sans CJK SC"/>
        <family val="2"/>
      </rPr>
      <t xml:space="preserve">版本：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v0.7.1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</si>
  <si>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</si>
  <si>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</si>
  <si>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</si>
  <si>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GIF_MktGW_YE_A_D0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</si>
  <si>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</si>
  <si>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Deploy!E11:M11</t>
  </si>
  <si>
    <t xml:space="preserve">GIF_MktGW_YE_A_D1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</si>
  <si>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</si>
  <si>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Deploy!E12:M12</t>
  </si>
  <si>
    <t xml:space="preserve">GIF_MktGW_YE_A_D2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</si>
  <si>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</si>
  <si>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Deploy!E13:M13</t>
  </si>
  <si>
    <t xml:space="preserve">GIF_MktGW_YE_B_D0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</si>
  <si>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</si>
  <si>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Deploy!E27:M27</t>
  </si>
  <si>
    <t xml:space="preserve">GIF_MktGW_YE_B_D1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</si>
  <si>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</si>
  <si>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Deploy!E28:M28</t>
  </si>
  <si>
    <t xml:space="preserve">GIF_MktGW_YE_B_D2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</si>
  <si>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</si>
  <si>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Deploy!E29:M29</t>
  </si>
  <si>
    <t xml:space="preserve">GIF_MktGW_YE_C_D0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</si>
  <si>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</si>
  <si>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Deploy!E43:M43</t>
  </si>
  <si>
    <t xml:space="preserve">GIF_MktGW_YE_C_D1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</si>
  <si>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</si>
  <si>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Deploy!E44:M44</t>
  </si>
  <si>
    <t xml:space="preserve">GIF_MktGW_YE_C_D2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</si>
  <si>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</si>
  <si>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Deploy!E45:M45</t>
  </si>
  <si>
    <t xml:space="preserve">GIF_MktGW_Avg_A_D0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</si>
  <si>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</si>
  <si>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Deploy!E14:M14</t>
  </si>
  <si>
    <t xml:space="preserve">GIF_MktGW_Avg_A_D1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</si>
  <si>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</si>
  <si>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Deploy!E15:M15</t>
  </si>
  <si>
    <t xml:space="preserve">GIF_MktGW_Avg_A_D2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</si>
  <si>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</si>
  <si>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Deploy!E16:M16</t>
  </si>
  <si>
    <t xml:space="preserve">GIF_MktGW_Avg_B_D0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</si>
  <si>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</si>
  <si>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Deploy!E30:M30</t>
  </si>
  <si>
    <t xml:space="preserve">GIF_MktGW_Avg_B_D1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</si>
  <si>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</si>
  <si>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Deploy!E31:M31</t>
  </si>
  <si>
    <t xml:space="preserve">GIF_MktGW_Avg_B_D2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</si>
  <si>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</si>
  <si>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Deploy!E32:M32</t>
  </si>
  <si>
    <t xml:space="preserve">GIF_MktGW_Avg_C_D0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</si>
  <si>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</si>
  <si>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Deploy!E46:M46</t>
  </si>
  <si>
    <t xml:space="preserve">GIF_MktGW_Avg_C_D1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</si>
  <si>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</si>
  <si>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Deploy!E47:M47</t>
  </si>
  <si>
    <t xml:space="preserve">GIF_MktGW_Avg_C_D2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</si>
  <si>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</si>
  <si>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Deploy!E48:M48</t>
  </si>
  <si>
    <t xml:space="preserve">GIF_MktGW_Add_A_D0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</si>
  <si>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</si>
  <si>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Deploy!E17:M17</t>
  </si>
  <si>
    <t xml:space="preserve">GIF_MktGW_Add_A_D1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</si>
  <si>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</si>
  <si>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Deploy!E18:M18</t>
  </si>
  <si>
    <t xml:space="preserve">GIF_MktGW_Add_A_D2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</si>
  <si>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</si>
  <si>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Deploy!E19:M19</t>
  </si>
  <si>
    <t xml:space="preserve">GIF_MktGW_Add_B_D0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</si>
  <si>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</si>
  <si>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Deploy!E33:M33</t>
  </si>
  <si>
    <t xml:space="preserve">GIF_MktGW_Add_B_D1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</si>
  <si>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</si>
  <si>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Deploy!E34:M34</t>
  </si>
  <si>
    <t xml:space="preserve">GIF_MktGW_Add_B_D2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</si>
  <si>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</si>
  <si>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Deploy!E35:M35</t>
  </si>
  <si>
    <t xml:space="preserve">GIF_MktGW_Add_C_D0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</si>
  <si>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</si>
  <si>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Deploy!E49:M49</t>
  </si>
  <si>
    <t xml:space="preserve">GIF_MktGW_Add_C_D1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</si>
  <si>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</si>
  <si>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Deploy!E50:M50</t>
  </si>
  <si>
    <t xml:space="preserve">GIF_MktGW_Add_C_D2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</si>
  <si>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</si>
  <si>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Deploy!E51:M51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</si>
  <si>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</si>
  <si>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GIF_ShippedNotOnline_A_D1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</si>
  <si>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</si>
  <si>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Deploy!E20:M20</t>
  </si>
  <si>
    <t xml:space="preserve">GIF_ShippedNotOnline_A_D2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</si>
  <si>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</si>
  <si>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Deploy!E21:M21</t>
  </si>
  <si>
    <t xml:space="preserve">GIF_ShippedNotOnline_B_D1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</si>
  <si>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</si>
  <si>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Deploy!E36:M36</t>
  </si>
  <si>
    <t xml:space="preserve">GIF_ShippedNotOnline_B_D2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</si>
  <si>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</si>
  <si>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Deploy!E37:M37</t>
  </si>
  <si>
    <t xml:space="preserve">GIF_ShippedNotOnline_C_D1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</si>
  <si>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</si>
  <si>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Deploy!E52:M52</t>
  </si>
  <si>
    <t xml:space="preserve">GIF_ShippedNotOnline_C_D2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</si>
  <si>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</si>
  <si>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</si>
  <si>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（甲：公告路徑；營運者口徑；空白＝未知）</t>
    </r>
  </si>
  <si>
    <t xml:space="preserve">GIF_PlayerGW_YE_msft</t>
  </si>
  <si>
    <t xml:space="preserve">Players!E24:M24</t>
  </si>
  <si>
    <t xml:space="preserve">GIF_PlayerGW_YE_googl</t>
  </si>
  <si>
    <t xml:space="preserve">Players!E40:M40</t>
  </si>
  <si>
    <t xml:space="preserve">GIF_PlayerGW_YE_amzn</t>
  </si>
  <si>
    <t xml:space="preserve">Players!E56:M56</t>
  </si>
  <si>
    <t xml:space="preserve">GIF_PlayerGW_YE_orcl</t>
  </si>
  <si>
    <t xml:space="preserve">Players!E72:M72</t>
  </si>
  <si>
    <t xml:space="preserve">GIF_PlayerGW_YE_crwv</t>
  </si>
  <si>
    <t xml:space="preserve">Players!E88:M88</t>
  </si>
  <si>
    <t xml:space="preserve">GIF_PlayerGW_YE_nbis</t>
  </si>
  <si>
    <t xml:space="preserve">Players!E104:M104</t>
  </si>
  <si>
    <t xml:space="preserve">GIF_PlayerGW_YE_wyfi</t>
  </si>
  <si>
    <t xml:space="preserve">Players!E120:M120</t>
  </si>
  <si>
    <t xml:space="preserve">GIF_PlayerGW_YE_meta</t>
  </si>
  <si>
    <t xml:space="preserve">Players!E136:M136</t>
  </si>
  <si>
    <t xml:space="preserve">GIF_PlayerGW_YE_xai</t>
  </si>
  <si>
    <t xml:space="preserve">Players!E152:M152</t>
  </si>
  <si>
    <t xml:space="preserve">GIF_PlayerGW_YE_oai</t>
  </si>
  <si>
    <t xml:space="preserve">Players!E168:M168</t>
  </si>
  <si>
    <t xml:space="preserve">GIF_PlayerGW_YE_ant</t>
  </si>
  <si>
    <t xml:space="preserve">Players!E184:M184</t>
  </si>
  <si>
    <t xml:space="preserve">GIF_PlayerGW_YE_neo</t>
  </si>
  <si>
    <t xml:space="preserve">Players!E200:M200</t>
  </si>
  <si>
    <t xml:space="preserve">GIF_PlayerGW_YE_sov</t>
  </si>
  <si>
    <t xml:space="preserve">Players!E216:M216</t>
  </si>
  <si>
    <t xml:space="preserve">GIF_PlayerGW_YE_cn</t>
  </si>
  <si>
    <t xml:space="preserve">Players!E232:M232</t>
  </si>
  <si>
    <t xml:space="preserve">GIF_PlayerGW_YE_oth</t>
  </si>
  <si>
    <t xml:space="preserve">Players!E248:M248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</si>
  <si>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GGOV_Errors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GGOV_Warn</t>
    </r>
    <r>
      <rPr>
        <sz val="11"/>
        <color theme="1"/>
        <rFont val="Noto Sans CJK SC"/>
        <family val="2"/>
      </rPr>
      <t xml:space="preserve">，列為待補）</t>
    </r>
  </si>
  <si>
    <t xml:space="preserve">ID</t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</si>
  <si>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</si>
  <si>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</si>
  <si>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</si>
  <si>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</si>
  <si>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</si>
  <si>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</si>
  <si>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</si>
  <si>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</si>
  <si>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</si>
  <si>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</si>
  <si>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</si>
  <si>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</si>
  <si>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</si>
  <si>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</si>
  <si>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</si>
  <si>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</si>
  <si>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</si>
  <si>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</si>
  <si>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</si>
  <si>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</si>
  <si>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</si>
  <si>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</si>
  <si>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</si>
  <si>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</si>
  <si>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</si>
  <si>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</si>
  <si>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</si>
  <si>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</si>
  <si>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</si>
  <si>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</si>
  <si>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</si>
  <si>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</si>
  <si>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</si>
  <si>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</si>
  <si>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</si>
  <si>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</si>
  <si>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</si>
  <si>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</si>
  <si>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</si>
  <si>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</si>
  <si>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</si>
  <si>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</si>
  <si>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</si>
  <si>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</si>
  <si>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</si>
  <si>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</si>
  <si>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</si>
  <si>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</si>
  <si>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</si>
  <si>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</si>
  <si>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</si>
  <si>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</si>
  <si>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</si>
  <si>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</si>
  <si>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</si>
  <si>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</si>
  <si>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</si>
  <si>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</si>
  <si>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</si>
  <si>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</si>
  <si>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</si>
  <si>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</si>
  <si>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</si>
  <si>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</si>
  <si>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</si>
  <si>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</si>
  <si>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</si>
  <si>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</si>
  <si>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</si>
  <si>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</si>
  <si>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</si>
  <si>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</si>
  <si>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</si>
  <si>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</si>
  <si>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</si>
  <si>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</si>
  <si>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</si>
  <si>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</si>
  <si>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</si>
  <si>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</si>
  <si>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</si>
  <si>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</si>
  <si>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</si>
  <si>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</si>
  <si>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</si>
  <si>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</si>
  <si>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</si>
  <si>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</si>
  <si>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</si>
  <si>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</si>
  <si>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</si>
  <si>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</si>
  <si>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</si>
  <si>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</si>
  <si>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</si>
  <si>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</si>
  <si>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</si>
  <si>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</si>
  <si>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</si>
  <si>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</si>
  <si>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</si>
  <si>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</si>
  <si>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</si>
  <si>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</si>
  <si>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</si>
  <si>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</si>
  <si>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</si>
  <si>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</si>
  <si>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</si>
  <si>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</si>
  <si>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</si>
  <si>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</si>
  <si>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</si>
  <si>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</si>
  <si>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</si>
  <si>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</si>
  <si>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</si>
  <si>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</si>
  <si>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</si>
  <si>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</si>
  <si>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</si>
  <si>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</si>
  <si>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</si>
  <si>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</si>
  <si>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</si>
  <si>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</si>
  <si>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</si>
  <si>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</si>
  <si>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</si>
  <si>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</si>
  <si>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</si>
  <si>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</si>
  <si>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</si>
  <si>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</si>
  <si>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</si>
  <si>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</si>
  <si>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</si>
  <si>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</si>
  <si>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</si>
  <si>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</si>
  <si>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</si>
  <si>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</si>
  <si>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</si>
  <si>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</si>
  <si>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</si>
  <si>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</si>
  <si>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</si>
  <si>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</si>
  <si>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</si>
  <si>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</si>
  <si>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</si>
  <si>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</si>
  <si>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</si>
  <si>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</si>
  <si>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</si>
  <si>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快照含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（有則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應改讀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</si>
  <si>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</si>
  <si>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快照無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暫用規劃書 </t>
    </r>
    <r>
      <rPr>
        <sz val="11"/>
        <color theme="1"/>
        <rFont val="Calibri"/>
        <family val="2"/>
        <charset val="1"/>
      </rPr>
      <t xml:space="preserve">919.8 MW 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R1</t>
    </r>
    <r>
      <rPr>
        <sz val="11"/>
        <color theme="1"/>
        <rFont val="Noto Sans CJK SC"/>
        <family val="2"/>
      </rPr>
      <t xml:space="preserve">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</si>
  <si>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</si>
  <si>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</si>
  <si>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</si>
  <si>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</si>
  <si>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</si>
  <si>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</si>
  <si>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</si>
  <si>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</si>
  <si>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</si>
  <si>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</si>
  <si>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</si>
  <si>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</si>
  <si>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</si>
  <si>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</si>
  <si>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</si>
  <si>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</si>
  <si>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</si>
  <si>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</si>
  <si>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GGOV_Errors</t>
  </si>
  <si>
    <t xml:space="preserve">GGOV_Warn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</si>
  <si>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</si>
  <si>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</si>
  <si>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</si>
  <si>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</si>
  <si>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</si>
  <si>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</si>
  <si>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</si>
  <si>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</si>
  <si>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主口徑</t>
    </r>
  </si>
  <si>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＝設施電力；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gIT_vr200 0.9198</t>
    </r>
    <r>
      <rPr>
        <sz val="11"/>
        <color theme="1"/>
        <rFont val="Noto Sans CJK SC"/>
        <family val="2"/>
      </rPr>
      <t xml:space="preserve">；其他世代 </t>
    </r>
    <r>
      <rPr>
        <sz val="11"/>
        <color theme="1"/>
        <rFont val="Calibri"/>
        <family val="2"/>
        <charset val="1"/>
      </rPr>
      <t xml:space="preserve">gIT_oth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依年度世代組合加權（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各世代同值，數值無影響）</t>
    </r>
  </si>
  <si>
    <t xml:space="preserve">2026-10-28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</si>
  <si>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</si>
  <si>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</si>
  <si>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</si>
  <si>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</si>
  <si>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另列設施讀法（不 </t>
    </r>
    <r>
      <rPr>
        <sz val="11"/>
        <color theme="1"/>
        <rFont val="Calibri"/>
        <family val="2"/>
        <charset val="1"/>
      </rPr>
      <t xml:space="preserve">÷ g</t>
    </r>
    <r>
      <rPr>
        <sz val="11"/>
        <color theme="1"/>
        <rFont val="Noto Sans CJK SC"/>
        <family val="2"/>
      </rPr>
      <t xml:space="preserve">）的市場合計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</si>
  <si>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CoreWeave mwBasis </t>
    </r>
    <r>
      <rPr>
        <sz val="11"/>
        <color theme="1"/>
        <rFont val="Noto Sans CJK SC"/>
        <family val="2"/>
      </rPr>
      <t xml:space="preserve">先例）</t>
    </r>
  </si>
  <si>
    <t xml:space="preserve">GL01-03</t>
  </si>
  <si>
    <t xml:space="preserve">年底值缺漏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</si>
  <si>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計算值：有輸入取輸入；無輸入而最新觀測落在該年取觀測值；兩個已知值之間線性內插；最後已知值之後持平沿用；第一個已知值之前留空。每格旗標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沿用</t>
    </r>
  </si>
  <si>
    <t xml:space="preserve">工作單未規定（工程細節）</t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</si>
  <si>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</si>
  <si>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</si>
  <si>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</si>
  <si>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</si>
  <si>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</si>
  <si>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</si>
  <si>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</si>
  <si>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園區列（有上線年月且納入＝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才計入）＋各玩家各年『未分園區』殘差列（＝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該年已列園區）；殘差在該年均勻上線（觀測年則到觀測時點為止）；玩家第一個已知年為存量，不延遲。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</si>
  <si>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</si>
  <si>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</si>
  <si>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t xml:space="preserve">延遲情景機制</t>
  </si>
  <si>
    <r>
      <rPr>
        <sz val="11"/>
        <color theme="1"/>
        <rFont val="Noto Sans CJK SC"/>
        <family val="2"/>
      </rPr>
      <t xml:space="preserve">延遲只作用於評價時點（</t>
    </r>
    <r>
      <rPr>
        <sz val="11"/>
        <color theme="1"/>
        <rFont val="Calibri"/>
        <family val="2"/>
        <charset val="1"/>
      </rPr>
      <t xml:space="preserve">asof</t>
    </r>
    <r>
      <rPr>
        <sz val="11"/>
        <color theme="1"/>
        <rFont val="Noto Sans CJK SC"/>
        <family val="2"/>
      </rPr>
      <t xml:space="preserve">）之後的上線量；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延遲＝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已知延遲</t>
    </r>
    <r>
      <rPr>
        <sz val="11"/>
        <color theme="1"/>
        <rFont val="Calibri"/>
        <family val="2"/>
        <charset val="1"/>
      </rPr>
      <t xml:space="preserve">, dly_d1_m)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之上綁定比例 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</si>
  <si>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端佔位值</t>
    </r>
  </si>
  <si>
    <t xml:space="preserve">GL01-07</t>
  </si>
  <si>
    <t xml:space="preserve">需求情景</t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</si>
  <si>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）；年底＝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存量＋累計年新增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</si>
  <si>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</si>
  <si>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</si>
  <si>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</si>
  <si>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</si>
  <si>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</si>
  <si>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</si>
  <si>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</si>
  <si>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</si>
  <si>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</si>
  <si>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</si>
  <si>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</si>
  <si>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</si>
  <si>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</si>
  <si>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</si>
  <si>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</si>
  <si>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</si>
  <si>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</si>
  <si>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</si>
  <si>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t xml:space="preserve">待決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</si>
  <si>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</si>
  <si>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</si>
  <si>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</si>
  <si>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gwledger/evidence_raw/*.csv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</si>
  <si>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t xml:space="preserve">主張（摘要）</t>
  </si>
  <si>
    <t xml:space="preserve">來源</t>
  </si>
  <si>
    <t xml:space="preserve">對應鍵</t>
  </si>
  <si>
    <t xml:space="preserve">本庫當時值</t>
  </si>
  <si>
    <t xml:space="preserve">新資訊值</t>
  </si>
  <si>
    <t xml:space="preserve">判定</t>
  </si>
  <si>
    <t xml:space="preserve">處理版本</t>
  </si>
  <si>
    <t xml:space="preserve">備註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</si>
  <si>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骨架：尚無；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由查證代理產出，複核後交付再入本頁與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</si>
  <si>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</si>
  <si>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</si>
  <si>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gwledger/evidence_raw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</si>
  <si>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SRC_GL_001</t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</si>
  <si>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</si>
  <si>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</si>
  <si>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</si>
  <si>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</si>
  <si>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</si>
  <si>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</si>
  <si>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</si>
  <si>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gwledger/docs/workorders/20261028_GWLedger_v0.1.md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</si>
  <si>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</si>
  <si>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</si>
  <si>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</si>
  <si>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</si>
  <si>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</si>
  <si>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</si>
  <si>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</si>
  <si>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</si>
  <si>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</si>
  <si>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</si>
  <si>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</si>
  <si>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</si>
  <si>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</si>
  <si>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</si>
  <si>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</si>
  <si>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</si>
  <si>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</si>
  <si>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</si>
  <si>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</si>
  <si>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</si>
  <si>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</si>
  <si>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</si>
  <si>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</si>
  <si>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</si>
  <si>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</si>
  <si>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</si>
  <si>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</si>
  <si>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</si>
  <si>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</si>
  <si>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</si>
  <si>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</si>
  <si>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</si>
  <si>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</si>
  <si>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</si>
  <si>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</si>
  <si>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</si>
  <si>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</si>
  <si>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</si>
  <si>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</si>
  <si>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</si>
  <si>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</si>
  <si>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／設施比）或確認每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</si>
  <si>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快照註記『每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關鍵電力』，與規劃書『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＝設施電力；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919.8 MW IT</t>
    </r>
    <r>
      <rPr>
        <sz val="11"/>
        <color theme="1"/>
        <rFont val="Noto Sans CJK SC"/>
        <family val="2"/>
      </rPr>
      <t xml:space="preserve">』不一致；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暫用 </t>
    </r>
    <r>
      <rPr>
        <sz val="11"/>
        <color theme="1"/>
        <rFont val="Calibri"/>
        <family val="2"/>
        <charset val="1"/>
      </rPr>
      <t xml:space="preserve">0.9198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</si>
  <si>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TK</t>
    </r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</si>
  <si>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</si>
  <si>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</si>
  <si>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頁『部署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電力）』標籤改為 </t>
    </r>
    <r>
      <rPr>
        <sz val="11"/>
        <color theme="1"/>
        <rFont val="Calibri"/>
        <family val="2"/>
        <charset val="1"/>
      </rPr>
      <t xml:space="preserve">TK GW</t>
    </r>
  </si>
  <si>
    <r>
      <rPr>
        <sz val="11"/>
        <color theme="1"/>
        <rFont val="Noto Sans CJK SC"/>
        <family val="2"/>
      </rPr>
      <t xml:space="preserve">除數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為每 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</si>
  <si>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</t>
    </r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</si>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</sst>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0"/>
    <numFmt numFmtId="170" formatCode="#,##0"/>
    <numFmt numFmtId="171" formatCode="0.000"/>
    <numFmt numFmtId="172" formatCode="0"/>
    <numFmt numFmtId="173" formatCode="0.000000"/>
    <numFmt numFmtId="174" formatCode="0.0"/>
    <numFmt numFmtId="17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9</v>
      </c>
    </row>
    <row r="2" customFormat="false" ht="17.15" hidden="false" customHeight="false" outlineLevel="0" collapsed="false">
      <c r="A2" s="4" t="s">
        <v>10</v>
      </c>
    </row>
    <row r="4" customFormat="false" ht="17.15" hidden="false" customHeight="false" outlineLevel="0" collapsed="false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6" t="s">
        <v>27</v>
      </c>
      <c r="R4" s="5"/>
      <c r="S4" s="5" t="s">
        <v>28</v>
      </c>
    </row>
    <row r="5" customFormat="false" ht="17.15" hidden="false" customHeight="false" outlineLevel="0" collapsed="false">
      <c r="A5" s="7" t="s">
        <v>29</v>
      </c>
    </row>
    <row r="6" customFormat="false" ht="17.15" hidden="false" customHeight="false" outlineLevel="0" collapsed="false">
      <c r="A6" s="0" t="s">
        <v>30</v>
      </c>
      <c r="B6" s="4" t="s">
        <v>31</v>
      </c>
      <c r="C6" s="0" t="s">
        <v>32</v>
      </c>
      <c r="D6" s="0" t="s">
        <v>33</v>
      </c>
      <c r="E6" s="0" t="s">
        <v>34</v>
      </c>
      <c r="F6" s="0" t="s">
        <v>35</v>
      </c>
      <c r="G6" s="4" t="s">
        <v>36</v>
      </c>
      <c r="I6" s="8" t="n">
        <v>0.9198</v>
      </c>
      <c r="S6" s="0" t="n">
        <v>1</v>
      </c>
    </row>
    <row r="7" customFormat="false" ht="17.15" hidden="false" customHeight="false" outlineLevel="0" collapsed="false">
      <c r="A7" s="0" t="s">
        <v>37</v>
      </c>
      <c r="B7" s="4" t="s">
        <v>38</v>
      </c>
      <c r="C7" s="0" t="s">
        <v>32</v>
      </c>
      <c r="D7" s="0" t="s">
        <v>33</v>
      </c>
      <c r="E7" s="0" t="s">
        <v>39</v>
      </c>
      <c r="F7" s="0" t="s">
        <v>40</v>
      </c>
      <c r="G7" s="4" t="s">
        <v>41</v>
      </c>
      <c r="H7" s="8" t="n">
        <v>0.8333</v>
      </c>
      <c r="I7" s="8" t="n">
        <v>0.9198</v>
      </c>
      <c r="J7" s="8" t="n">
        <v>0.95</v>
      </c>
      <c r="S7" s="0" t="n">
        <v>1</v>
      </c>
    </row>
    <row r="8" customFormat="false" ht="17.15" hidden="false" customHeight="false" outlineLevel="0" collapsed="false">
      <c r="A8" s="0" t="s">
        <v>42</v>
      </c>
      <c r="B8" s="4" t="s">
        <v>43</v>
      </c>
      <c r="C8" s="0" t="s">
        <v>32</v>
      </c>
      <c r="D8" s="4" t="s">
        <v>44</v>
      </c>
      <c r="E8" s="0" t="s">
        <v>34</v>
      </c>
      <c r="F8" s="0" t="s">
        <v>40</v>
      </c>
      <c r="G8" s="0" t="s">
        <v>45</v>
      </c>
      <c r="I8" s="8" t="n">
        <v>2026.825</v>
      </c>
      <c r="S8" s="0" t="n">
        <v>1</v>
      </c>
    </row>
    <row r="9" customFormat="false" ht="17.15" hidden="false" customHeight="false" outlineLevel="0" collapsed="false">
      <c r="A9" s="0" t="s">
        <v>46</v>
      </c>
      <c r="B9" s="4" t="s">
        <v>47</v>
      </c>
      <c r="C9" s="0" t="s">
        <v>32</v>
      </c>
      <c r="D9" s="0" t="s">
        <v>48</v>
      </c>
      <c r="E9" s="0" t="s">
        <v>39</v>
      </c>
      <c r="F9" s="0" t="s">
        <v>35</v>
      </c>
      <c r="G9" s="4" t="s">
        <v>49</v>
      </c>
      <c r="H9" s="9" t="n">
        <v>0.1</v>
      </c>
      <c r="I9" s="9" t="n">
        <v>0.15</v>
      </c>
      <c r="J9" s="9" t="n">
        <v>0.2</v>
      </c>
      <c r="S9" s="0" t="n">
        <v>1</v>
      </c>
    </row>
    <row r="10" customFormat="false" ht="17.15" hidden="false" customHeight="false" outlineLevel="0" collapsed="false">
      <c r="A10" s="0" t="s">
        <v>50</v>
      </c>
      <c r="B10" s="4" t="s">
        <v>51</v>
      </c>
      <c r="C10" s="0" t="s">
        <v>32</v>
      </c>
      <c r="D10" s="4" t="s">
        <v>52</v>
      </c>
      <c r="E10" s="0" t="s">
        <v>39</v>
      </c>
      <c r="F10" s="0" t="s">
        <v>40</v>
      </c>
      <c r="G10" s="4" t="s">
        <v>53</v>
      </c>
      <c r="H10" s="8" t="n">
        <v>12</v>
      </c>
      <c r="I10" s="8" t="n">
        <v>18</v>
      </c>
      <c r="J10" s="8" t="n">
        <v>24</v>
      </c>
      <c r="S10" s="0" t="n">
        <v>1</v>
      </c>
    </row>
    <row r="11" customFormat="false" ht="17.15" hidden="false" customHeight="false" outlineLevel="0" collapsed="false">
      <c r="A11" s="0" t="s">
        <v>54</v>
      </c>
      <c r="B11" s="4" t="s">
        <v>55</v>
      </c>
      <c r="C11" s="0" t="s">
        <v>32</v>
      </c>
      <c r="D11" s="0" t="s">
        <v>48</v>
      </c>
      <c r="E11" s="0" t="s">
        <v>39</v>
      </c>
      <c r="F11" s="0" t="s">
        <v>40</v>
      </c>
      <c r="G11" s="4" t="s">
        <v>56</v>
      </c>
      <c r="H11" s="9" t="n">
        <v>0</v>
      </c>
      <c r="I11" s="9" t="n">
        <v>0.1</v>
      </c>
      <c r="J11" s="9" t="n">
        <v>0.2</v>
      </c>
      <c r="S11" s="0" t="n">
        <v>1</v>
      </c>
    </row>
    <row r="12" customFormat="false" ht="17.15" hidden="false" customHeight="false" outlineLevel="0" collapsed="false">
      <c r="A12" s="7" t="s">
        <v>57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0" t="s">
        <v>32</v>
      </c>
      <c r="D13" s="4" t="s">
        <v>52</v>
      </c>
      <c r="E13" s="0" t="s">
        <v>39</v>
      </c>
      <c r="F13" s="0" t="s">
        <v>60</v>
      </c>
      <c r="G13" s="4" t="s">
        <v>61</v>
      </c>
      <c r="H13" s="8" t="n">
        <v>3</v>
      </c>
      <c r="I13" s="8" t="n">
        <v>6</v>
      </c>
      <c r="J13" s="8" t="n">
        <v>9</v>
      </c>
      <c r="S13" s="0" t="n">
        <v>1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0" t="s">
        <v>32</v>
      </c>
      <c r="D14" s="0" t="s">
        <v>48</v>
      </c>
      <c r="E14" s="0" t="s">
        <v>39</v>
      </c>
      <c r="F14" s="0" t="s">
        <v>60</v>
      </c>
      <c r="G14" s="4" t="s">
        <v>64</v>
      </c>
      <c r="H14" s="9" t="n">
        <v>0.2</v>
      </c>
      <c r="I14" s="9" t="n">
        <v>0.35</v>
      </c>
      <c r="J14" s="9" t="n">
        <v>0.5</v>
      </c>
      <c r="S14" s="0" t="n">
        <v>1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0" t="s">
        <v>32</v>
      </c>
      <c r="D15" s="4" t="s">
        <v>52</v>
      </c>
      <c r="E15" s="0" t="s">
        <v>39</v>
      </c>
      <c r="F15" s="0" t="s">
        <v>60</v>
      </c>
      <c r="G15" s="4" t="s">
        <v>67</v>
      </c>
      <c r="H15" s="8" t="n">
        <v>12</v>
      </c>
      <c r="I15" s="8" t="n">
        <v>12</v>
      </c>
      <c r="J15" s="8" t="n">
        <v>12</v>
      </c>
      <c r="S15" s="0" t="n">
        <v>1</v>
      </c>
    </row>
    <row r="16" customFormat="false" ht="17.15" hidden="false" customHeight="false" outlineLevel="0" collapsed="false">
      <c r="A16" s="7" t="s">
        <v>68</v>
      </c>
    </row>
    <row r="17" customFormat="false" ht="17.15" hidden="false" customHeight="false" outlineLevel="0" collapsed="false">
      <c r="A17" s="0" t="s">
        <v>69</v>
      </c>
      <c r="B17" s="0" t="s">
        <v>70</v>
      </c>
      <c r="C17" s="0" t="s">
        <v>71</v>
      </c>
      <c r="D17" s="0" t="s">
        <v>72</v>
      </c>
      <c r="E17" s="0" t="s">
        <v>73</v>
      </c>
      <c r="F17" s="0" t="s">
        <v>74</v>
      </c>
      <c r="G17" s="0" t="s">
        <v>75</v>
      </c>
      <c r="H17" s="8" t="n">
        <v>3500</v>
      </c>
      <c r="I17" s="8" t="n">
        <v>4500</v>
      </c>
      <c r="J17" s="8" t="n">
        <v>5500</v>
      </c>
      <c r="S17" s="0" t="n">
        <v>1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0" t="s">
        <v>32</v>
      </c>
      <c r="D18" s="4" t="s">
        <v>44</v>
      </c>
      <c r="E18" s="0" t="s">
        <v>78</v>
      </c>
      <c r="F18" s="0" t="s">
        <v>74</v>
      </c>
      <c r="G18" s="0" t="s">
        <v>79</v>
      </c>
      <c r="I18" s="8" t="n">
        <v>2026.5</v>
      </c>
      <c r="S18" s="0" t="n">
        <v>1</v>
      </c>
    </row>
    <row r="19" customFormat="false" ht="17.15" hidden="false" customHeight="false" outlineLevel="0" collapsed="false">
      <c r="A19" s="0" t="s">
        <v>80</v>
      </c>
      <c r="B19" s="0" t="s">
        <v>81</v>
      </c>
      <c r="C19" s="0" t="s">
        <v>71</v>
      </c>
      <c r="D19" s="0" t="s">
        <v>72</v>
      </c>
      <c r="E19" s="0" t="s">
        <v>73</v>
      </c>
      <c r="F19" s="0" t="s">
        <v>82</v>
      </c>
      <c r="G19" s="0" t="s">
        <v>83</v>
      </c>
      <c r="H19" s="8" t="n">
        <v>5012</v>
      </c>
      <c r="I19" s="8" t="n">
        <v>6338</v>
      </c>
      <c r="J19" s="8" t="n">
        <v>7891</v>
      </c>
      <c r="S19" s="0" t="n">
        <v>1</v>
      </c>
    </row>
    <row r="20" customFormat="false" ht="17.15" hidden="false" customHeight="false" outlineLevel="0" collapsed="false">
      <c r="A20" s="0" t="s">
        <v>84</v>
      </c>
      <c r="B20" s="0" t="s">
        <v>85</v>
      </c>
      <c r="C20" s="0" t="s">
        <v>32</v>
      </c>
      <c r="D20" s="4" t="s">
        <v>44</v>
      </c>
      <c r="E20" s="0" t="s">
        <v>78</v>
      </c>
      <c r="F20" s="0" t="s">
        <v>82</v>
      </c>
      <c r="G20" s="0" t="s">
        <v>86</v>
      </c>
      <c r="I20" s="8" t="n">
        <v>2026.5</v>
      </c>
      <c r="S20" s="0" t="n">
        <v>1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0" t="s">
        <v>71</v>
      </c>
      <c r="D21" s="0" t="s">
        <v>72</v>
      </c>
      <c r="E21" s="0" t="s">
        <v>73</v>
      </c>
      <c r="F21" s="0" t="s">
        <v>89</v>
      </c>
      <c r="G21" s="0" t="s">
        <v>90</v>
      </c>
      <c r="H21" s="8" t="n">
        <v>2000</v>
      </c>
      <c r="I21" s="8" t="n">
        <v>2600</v>
      </c>
      <c r="J21" s="8" t="n">
        <v>3300</v>
      </c>
      <c r="S21" s="0" t="n">
        <v>1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0" t="s">
        <v>32</v>
      </c>
      <c r="D22" s="4" t="s">
        <v>44</v>
      </c>
      <c r="E22" s="0" t="s">
        <v>78</v>
      </c>
      <c r="F22" s="0" t="s">
        <v>89</v>
      </c>
      <c r="G22" s="0" t="s">
        <v>86</v>
      </c>
      <c r="I22" s="8" t="n">
        <v>2026.5</v>
      </c>
      <c r="S22" s="0" t="n">
        <v>1</v>
      </c>
    </row>
    <row r="23" customFormat="false" ht="17.15" hidden="false" customHeight="false" outlineLevel="0" collapsed="false">
      <c r="A23" s="0" t="s">
        <v>93</v>
      </c>
      <c r="B23" s="0" t="s">
        <v>94</v>
      </c>
      <c r="C23" s="0" t="s">
        <v>71</v>
      </c>
      <c r="D23" s="0" t="s">
        <v>72</v>
      </c>
      <c r="E23" s="0" t="s">
        <v>34</v>
      </c>
      <c r="F23" s="0" t="s">
        <v>95</v>
      </c>
      <c r="G23" s="0" t="s">
        <v>96</v>
      </c>
      <c r="I23" s="8" t="n">
        <v>2543</v>
      </c>
      <c r="S23" s="0" t="n">
        <v>1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32</v>
      </c>
      <c r="D24" s="4" t="s">
        <v>44</v>
      </c>
      <c r="E24" s="0" t="s">
        <v>78</v>
      </c>
      <c r="F24" s="0" t="s">
        <v>95</v>
      </c>
      <c r="G24" s="0" t="s">
        <v>99</v>
      </c>
      <c r="I24" s="8" t="n">
        <v>2026.667</v>
      </c>
      <c r="S24" s="0" t="n">
        <v>1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71</v>
      </c>
      <c r="D25" s="0" t="s">
        <v>72</v>
      </c>
      <c r="E25" s="0" t="s">
        <v>102</v>
      </c>
      <c r="F25" s="0" t="s">
        <v>103</v>
      </c>
      <c r="G25" s="0" t="s">
        <v>104</v>
      </c>
      <c r="I25" s="8" t="n">
        <v>1500</v>
      </c>
      <c r="S25" s="0" t="n">
        <v>1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32</v>
      </c>
      <c r="D26" s="4" t="s">
        <v>44</v>
      </c>
      <c r="E26" s="0" t="s">
        <v>78</v>
      </c>
      <c r="F26" s="0" t="s">
        <v>103</v>
      </c>
      <c r="G26" s="0" t="s">
        <v>107</v>
      </c>
      <c r="I26" s="8" t="n">
        <v>2026.5</v>
      </c>
      <c r="S26" s="0" t="n">
        <v>1</v>
      </c>
    </row>
    <row r="27" customFormat="false" ht="17.15" hidden="false" customHeight="false" outlineLevel="0" collapsed="false">
      <c r="A27" s="7" t="s">
        <v>108</v>
      </c>
    </row>
    <row r="28" customFormat="false" ht="17.15" hidden="false" customHeight="false" outlineLevel="0" collapsed="false">
      <c r="A28" s="0" t="s">
        <v>109</v>
      </c>
      <c r="B28" s="0" t="s">
        <v>110</v>
      </c>
      <c r="C28" s="0" t="s">
        <v>71</v>
      </c>
      <c r="D28" s="0" t="s">
        <v>111</v>
      </c>
      <c r="E28" s="0" t="s">
        <v>102</v>
      </c>
      <c r="F28" s="0" t="s">
        <v>103</v>
      </c>
      <c r="G28" s="0" t="s">
        <v>112</v>
      </c>
      <c r="I28" s="8" t="n">
        <v>4.2</v>
      </c>
      <c r="S28" s="0" t="n">
        <v>1</v>
      </c>
    </row>
    <row r="29" customFormat="false" ht="17.15" hidden="false" customHeight="false" outlineLevel="0" collapsed="false">
      <c r="A29" s="0" t="s">
        <v>113</v>
      </c>
      <c r="B29" s="0" t="s">
        <v>114</v>
      </c>
      <c r="C29" s="4" t="s">
        <v>115</v>
      </c>
      <c r="D29" s="0" t="s">
        <v>111</v>
      </c>
      <c r="E29" s="0" t="s">
        <v>102</v>
      </c>
      <c r="F29" s="0" t="s">
        <v>116</v>
      </c>
      <c r="G29" s="0" t="s">
        <v>117</v>
      </c>
      <c r="I29" s="8" t="n">
        <v>5</v>
      </c>
      <c r="S29" s="0" t="n">
        <v>1</v>
      </c>
    </row>
    <row r="30" customFormat="false" ht="17.15" hidden="false" customHeight="false" outlineLevel="0" collapsed="false">
      <c r="A30" s="0" t="s">
        <v>118</v>
      </c>
      <c r="B30" s="0" t="s">
        <v>119</v>
      </c>
      <c r="C30" s="0" t="s">
        <v>71</v>
      </c>
      <c r="D30" s="0" t="s">
        <v>72</v>
      </c>
      <c r="E30" s="0" t="s">
        <v>34</v>
      </c>
      <c r="F30" s="0" t="s">
        <v>95</v>
      </c>
      <c r="G30" s="0" t="s">
        <v>120</v>
      </c>
      <c r="H30" s="8" t="n">
        <v>6284</v>
      </c>
      <c r="I30" s="8" t="n">
        <v>8778</v>
      </c>
      <c r="J30" s="8" t="n">
        <v>8778</v>
      </c>
      <c r="S30" s="0" t="n">
        <v>1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32</v>
      </c>
      <c r="D31" s="0" t="s">
        <v>123</v>
      </c>
      <c r="E31" s="0" t="s">
        <v>78</v>
      </c>
      <c r="F31" s="0" t="s">
        <v>74</v>
      </c>
      <c r="G31" s="0" t="s">
        <v>124</v>
      </c>
      <c r="I31" s="8" t="n">
        <v>329.1</v>
      </c>
      <c r="S31" s="0" t="n">
        <v>1</v>
      </c>
    </row>
    <row r="32" customFormat="false" ht="17.15" hidden="false" customHeight="false" outlineLevel="0" collapsed="false">
      <c r="A32" s="0" t="s">
        <v>125</v>
      </c>
      <c r="B32" s="0" t="s">
        <v>126</v>
      </c>
      <c r="C32" s="0" t="s">
        <v>32</v>
      </c>
      <c r="D32" s="0" t="s">
        <v>123</v>
      </c>
      <c r="E32" s="0" t="s">
        <v>78</v>
      </c>
      <c r="F32" s="0" t="s">
        <v>82</v>
      </c>
      <c r="G32" s="0" t="s">
        <v>127</v>
      </c>
      <c r="I32" s="8" t="n">
        <v>85.2</v>
      </c>
      <c r="S32" s="0" t="n">
        <v>1</v>
      </c>
    </row>
    <row r="33" customFormat="false" ht="17.15" hidden="false" customHeight="false" outlineLevel="0" collapsed="false">
      <c r="A33" s="0" t="s">
        <v>128</v>
      </c>
      <c r="B33" s="0" t="s">
        <v>129</v>
      </c>
      <c r="C33" s="0" t="s">
        <v>32</v>
      </c>
      <c r="D33" s="0" t="s">
        <v>123</v>
      </c>
      <c r="E33" s="0" t="s">
        <v>78</v>
      </c>
      <c r="F33" s="0" t="s">
        <v>89</v>
      </c>
      <c r="G33" s="0" t="s">
        <v>130</v>
      </c>
      <c r="I33" s="8" t="n">
        <v>137.214</v>
      </c>
      <c r="S33" s="0" t="n">
        <v>1</v>
      </c>
    </row>
    <row r="34" customFormat="false" ht="17.15" hidden="false" customHeight="false" outlineLevel="0" collapsed="false">
      <c r="A34" s="7" t="s">
        <v>131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0" t="s">
        <v>32</v>
      </c>
      <c r="D35" s="0" t="s">
        <v>48</v>
      </c>
      <c r="E35" s="0" t="s">
        <v>34</v>
      </c>
      <c r="F35" s="0" t="s">
        <v>82</v>
      </c>
      <c r="G35" s="0" t="s">
        <v>134</v>
      </c>
      <c r="I35" s="9" t="n">
        <v>0.753</v>
      </c>
      <c r="S35" s="0" t="n">
        <v>1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32</v>
      </c>
      <c r="D36" s="0" t="s">
        <v>48</v>
      </c>
      <c r="E36" s="0" t="s">
        <v>34</v>
      </c>
      <c r="F36" s="0" t="s">
        <v>89</v>
      </c>
      <c r="G36" s="0" t="s">
        <v>137</v>
      </c>
      <c r="I36" s="9" t="n">
        <v>0.67</v>
      </c>
      <c r="S36" s="0" t="n">
        <v>1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32</v>
      </c>
      <c r="D37" s="0" t="s">
        <v>48</v>
      </c>
      <c r="E37" s="0" t="s">
        <v>34</v>
      </c>
      <c r="F37" s="0" t="s">
        <v>103</v>
      </c>
      <c r="G37" s="0" t="s">
        <v>140</v>
      </c>
      <c r="I37" s="9" t="n">
        <v>0</v>
      </c>
      <c r="S37" s="0" t="n">
        <v>1</v>
      </c>
    </row>
    <row r="38" customFormat="false" ht="17.15" hidden="false" customHeight="false" outlineLevel="0" collapsed="false">
      <c r="A38" s="0" t="s">
        <v>141</v>
      </c>
      <c r="B38" s="0" t="s">
        <v>142</v>
      </c>
      <c r="C38" s="0" t="s">
        <v>32</v>
      </c>
      <c r="D38" s="0" t="s">
        <v>48</v>
      </c>
      <c r="E38" s="0" t="s">
        <v>34</v>
      </c>
      <c r="F38" s="0" t="s">
        <v>143</v>
      </c>
      <c r="G38" s="0" t="s">
        <v>140</v>
      </c>
      <c r="I38" s="9" t="n">
        <v>0</v>
      </c>
      <c r="S38" s="0" t="n">
        <v>1</v>
      </c>
    </row>
    <row r="39" customFormat="false" ht="17.15" hidden="false" customHeight="false" outlineLevel="0" collapsed="false">
      <c r="A39" s="0" t="s">
        <v>144</v>
      </c>
      <c r="B39" s="0" t="s">
        <v>145</v>
      </c>
      <c r="C39" s="0" t="s">
        <v>32</v>
      </c>
      <c r="D39" s="0" t="s">
        <v>48</v>
      </c>
      <c r="E39" s="0" t="s">
        <v>34</v>
      </c>
      <c r="F39" s="0" t="s">
        <v>146</v>
      </c>
      <c r="G39" s="0" t="s">
        <v>140</v>
      </c>
      <c r="I39" s="9" t="n">
        <v>0</v>
      </c>
      <c r="S39" s="0" t="n">
        <v>1</v>
      </c>
    </row>
    <row r="40" customFormat="false" ht="17.15" hidden="false" customHeight="false" outlineLevel="0" collapsed="false">
      <c r="A40" s="7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32</v>
      </c>
      <c r="D41" s="4" t="s">
        <v>52</v>
      </c>
      <c r="E41" s="0" t="s">
        <v>78</v>
      </c>
      <c r="F41" s="0" t="s">
        <v>150</v>
      </c>
      <c r="G41" s="0" t="s">
        <v>151</v>
      </c>
      <c r="I41" s="8" t="n">
        <v>6</v>
      </c>
      <c r="S41" s="0" t="n">
        <v>1</v>
      </c>
    </row>
    <row r="42" customFormat="false" ht="17.15" hidden="false" customHeight="false" outlineLevel="0" collapsed="false">
      <c r="A42" s="0" t="s">
        <v>152</v>
      </c>
      <c r="B42" s="0" t="s">
        <v>153</v>
      </c>
      <c r="C42" s="0" t="s">
        <v>32</v>
      </c>
      <c r="D42" s="4" t="s">
        <v>52</v>
      </c>
      <c r="E42" s="0" t="s">
        <v>78</v>
      </c>
      <c r="F42" s="0" t="s">
        <v>154</v>
      </c>
      <c r="G42" s="0" t="s">
        <v>151</v>
      </c>
      <c r="I42" s="8" t="n">
        <v>12</v>
      </c>
      <c r="S42" s="0" t="n">
        <v>1</v>
      </c>
    </row>
    <row r="43" customFormat="false" ht="17.15" hidden="false" customHeight="false" outlineLevel="0" collapsed="false">
      <c r="A43" s="0" t="s">
        <v>155</v>
      </c>
      <c r="B43" s="0" t="s">
        <v>156</v>
      </c>
      <c r="C43" s="0" t="s">
        <v>32</v>
      </c>
      <c r="D43" s="4" t="s">
        <v>52</v>
      </c>
      <c r="E43" s="0" t="s">
        <v>78</v>
      </c>
      <c r="F43" s="0" t="s">
        <v>157</v>
      </c>
      <c r="G43" s="0" t="s">
        <v>151</v>
      </c>
      <c r="I43" s="8" t="n">
        <v>12</v>
      </c>
      <c r="S43" s="0" t="n">
        <v>1</v>
      </c>
    </row>
    <row r="44" customFormat="false" ht="17.15" hidden="false" customHeight="false" outlineLevel="0" collapsed="false">
      <c r="A44" s="0" t="s">
        <v>158</v>
      </c>
      <c r="B44" s="0" t="s">
        <v>159</v>
      </c>
      <c r="C44" s="0" t="s">
        <v>32</v>
      </c>
      <c r="D44" s="4" t="s">
        <v>52</v>
      </c>
      <c r="E44" s="0" t="s">
        <v>78</v>
      </c>
      <c r="F44" s="0" t="s">
        <v>160</v>
      </c>
      <c r="G44" s="0" t="s">
        <v>151</v>
      </c>
      <c r="I44" s="8" t="n">
        <v>5</v>
      </c>
      <c r="S44" s="0" t="n">
        <v>1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0" t="s">
        <v>32</v>
      </c>
      <c r="D45" s="4" t="s">
        <v>52</v>
      </c>
      <c r="E45" s="0" t="s">
        <v>78</v>
      </c>
      <c r="F45" s="0" t="s">
        <v>163</v>
      </c>
      <c r="G45" s="0" t="s">
        <v>151</v>
      </c>
      <c r="I45" s="8" t="n">
        <v>12</v>
      </c>
      <c r="S45" s="0" t="n">
        <v>1</v>
      </c>
    </row>
    <row r="46" customFormat="false" ht="17.15" hidden="false" customHeight="false" outlineLevel="0" collapsed="false">
      <c r="A46" s="0" t="s">
        <v>164</v>
      </c>
      <c r="B46" s="0" t="s">
        <v>165</v>
      </c>
      <c r="C46" s="0" t="s">
        <v>32</v>
      </c>
      <c r="D46" s="4" t="s">
        <v>52</v>
      </c>
      <c r="E46" s="0" t="s">
        <v>78</v>
      </c>
      <c r="F46" s="0" t="s">
        <v>116</v>
      </c>
      <c r="G46" s="0" t="s">
        <v>151</v>
      </c>
      <c r="I46" s="8" t="n">
        <v>12</v>
      </c>
      <c r="S46" s="0" t="n">
        <v>1</v>
      </c>
    </row>
    <row r="47" customFormat="false" ht="17.15" hidden="false" customHeight="false" outlineLevel="0" collapsed="false">
      <c r="A47" s="0" t="s">
        <v>166</v>
      </c>
      <c r="B47" s="0" t="s">
        <v>167</v>
      </c>
      <c r="C47" s="0" t="s">
        <v>32</v>
      </c>
      <c r="D47" s="4" t="s">
        <v>52</v>
      </c>
      <c r="E47" s="0" t="s">
        <v>78</v>
      </c>
      <c r="F47" s="0" t="s">
        <v>168</v>
      </c>
      <c r="G47" s="0" t="s">
        <v>151</v>
      </c>
      <c r="I47" s="8" t="n">
        <v>12</v>
      </c>
      <c r="S47" s="0" t="n">
        <v>1</v>
      </c>
    </row>
    <row r="48" customFormat="false" ht="17.15" hidden="false" customHeight="false" outlineLevel="0" collapsed="false">
      <c r="A48" s="7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71</v>
      </c>
      <c r="D49" s="0" t="s">
        <v>72</v>
      </c>
      <c r="E49" s="0" t="s">
        <v>73</v>
      </c>
      <c r="F49" s="0" t="s">
        <v>74</v>
      </c>
      <c r="G49" s="0" t="s">
        <v>172</v>
      </c>
      <c r="I49" s="10" t="n">
        <v>900</v>
      </c>
      <c r="J49" s="10" t="n">
        <v>2300</v>
      </c>
      <c r="S49" s="0" t="n">
        <v>2</v>
      </c>
    </row>
    <row r="50" customFormat="false" ht="17.15" hidden="false" customHeight="false" outlineLevel="0" collapsed="false">
      <c r="A50" s="0" t="s">
        <v>173</v>
      </c>
      <c r="B50" s="0" t="s">
        <v>174</v>
      </c>
      <c r="C50" s="0" t="s">
        <v>71</v>
      </c>
      <c r="D50" s="0" t="s">
        <v>72</v>
      </c>
      <c r="E50" s="0" t="s">
        <v>73</v>
      </c>
      <c r="F50" s="0" t="s">
        <v>82</v>
      </c>
      <c r="G50" s="0" t="s">
        <v>175</v>
      </c>
      <c r="H50" s="10" t="n">
        <v>635</v>
      </c>
      <c r="I50" s="10" t="n">
        <v>2142</v>
      </c>
      <c r="J50" s="10" t="n">
        <v>4873</v>
      </c>
      <c r="S50" s="0" t="n">
        <v>2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71</v>
      </c>
      <c r="D51" s="0" t="s">
        <v>72</v>
      </c>
      <c r="E51" s="0" t="s">
        <v>73</v>
      </c>
      <c r="F51" s="0" t="s">
        <v>89</v>
      </c>
      <c r="G51" s="0" t="s">
        <v>178</v>
      </c>
      <c r="H51" s="10" t="n">
        <v>150</v>
      </c>
      <c r="I51" s="10" t="n">
        <v>450</v>
      </c>
      <c r="J51" s="10" t="n">
        <v>1800</v>
      </c>
      <c r="S51" s="0" t="n">
        <v>2</v>
      </c>
    </row>
    <row r="52" customFormat="false" ht="17.15" hidden="false" customHeight="false" outlineLevel="0" collapsed="false">
      <c r="A52" s="0" t="s">
        <v>179</v>
      </c>
      <c r="B52" s="0" t="s">
        <v>180</v>
      </c>
      <c r="C52" s="0" t="s">
        <v>71</v>
      </c>
      <c r="D52" s="0" t="s">
        <v>72</v>
      </c>
      <c r="E52" s="0" t="s">
        <v>34</v>
      </c>
      <c r="F52" s="0" t="s">
        <v>95</v>
      </c>
      <c r="G52" s="0" t="s">
        <v>181</v>
      </c>
      <c r="L52" s="10" t="n">
        <v>4668</v>
      </c>
      <c r="S52" s="0" t="n">
        <v>2</v>
      </c>
    </row>
    <row r="53" customFormat="false" ht="17.15" hidden="false" customHeight="false" outlineLevel="0" collapsed="false">
      <c r="A53" s="0" t="s">
        <v>182</v>
      </c>
      <c r="B53" s="0" t="s">
        <v>183</v>
      </c>
      <c r="C53" s="0" t="s">
        <v>71</v>
      </c>
      <c r="D53" s="0" t="s">
        <v>72</v>
      </c>
      <c r="E53" s="0" t="s">
        <v>184</v>
      </c>
      <c r="F53" s="0" t="s">
        <v>103</v>
      </c>
      <c r="G53" s="0" t="s">
        <v>185</v>
      </c>
      <c r="H53" s="10" t="n">
        <v>70</v>
      </c>
      <c r="I53" s="10" t="n">
        <v>360</v>
      </c>
      <c r="J53" s="10" t="n">
        <v>850</v>
      </c>
      <c r="K53" s="10" t="n">
        <v>1850</v>
      </c>
      <c r="O53" s="10" t="n">
        <v>8000</v>
      </c>
      <c r="S53" s="0" t="n">
        <v>2</v>
      </c>
    </row>
    <row r="54" customFormat="false" ht="17.15" hidden="false" customHeight="false" outlineLevel="0" collapsed="false">
      <c r="A54" s="0" t="s">
        <v>186</v>
      </c>
      <c r="B54" s="0" t="s">
        <v>187</v>
      </c>
      <c r="C54" s="4" t="s">
        <v>115</v>
      </c>
      <c r="D54" s="0" t="s">
        <v>72</v>
      </c>
      <c r="E54" s="0" t="s">
        <v>102</v>
      </c>
      <c r="F54" s="0" t="s">
        <v>143</v>
      </c>
      <c r="G54" s="0" t="s">
        <v>188</v>
      </c>
      <c r="J54" s="10" t="n">
        <v>170</v>
      </c>
      <c r="K54" s="10" t="n">
        <v>900</v>
      </c>
      <c r="S54" s="0" t="n">
        <v>2</v>
      </c>
    </row>
    <row r="55" customFormat="false" ht="17.15" hidden="false" customHeight="false" outlineLevel="0" collapsed="false">
      <c r="A55" s="0" t="s">
        <v>189</v>
      </c>
      <c r="B55" s="0" t="s">
        <v>190</v>
      </c>
      <c r="C55" s="0" t="s">
        <v>71</v>
      </c>
      <c r="D55" s="0" t="s">
        <v>72</v>
      </c>
      <c r="E55" s="0" t="s">
        <v>34</v>
      </c>
      <c r="F55" s="0" t="s">
        <v>146</v>
      </c>
      <c r="G55" s="0" t="s">
        <v>191</v>
      </c>
      <c r="J55" s="10" t="n">
        <v>5.5</v>
      </c>
      <c r="K55" s="10" t="n">
        <v>14.574</v>
      </c>
      <c r="L55" s="10" t="n">
        <v>16.548</v>
      </c>
      <c r="S55" s="0" t="n">
        <v>2</v>
      </c>
    </row>
    <row r="56" customFormat="false" ht="17.15" hidden="false" customHeight="false" outlineLevel="0" collapsed="false">
      <c r="A56" s="11" t="s">
        <v>192</v>
      </c>
      <c r="B56" s="11" t="s">
        <v>193</v>
      </c>
      <c r="C56" s="12" t="s">
        <v>115</v>
      </c>
      <c r="D56" s="11" t="s">
        <v>72</v>
      </c>
      <c r="E56" s="12" t="s">
        <v>194</v>
      </c>
      <c r="F56" s="11" t="s">
        <v>168</v>
      </c>
      <c r="G56" s="12" t="s">
        <v>195</v>
      </c>
      <c r="S56" s="0" t="n">
        <v>2</v>
      </c>
    </row>
    <row r="57" customFormat="false" ht="17.15" hidden="false" customHeight="false" outlineLevel="0" collapsed="false">
      <c r="A57" s="11" t="s">
        <v>196</v>
      </c>
      <c r="B57" s="11" t="s">
        <v>197</v>
      </c>
      <c r="C57" s="12" t="s">
        <v>115</v>
      </c>
      <c r="D57" s="11" t="s">
        <v>72</v>
      </c>
      <c r="E57" s="12" t="s">
        <v>194</v>
      </c>
      <c r="F57" s="11" t="s">
        <v>168</v>
      </c>
      <c r="G57" s="12" t="s">
        <v>195</v>
      </c>
      <c r="S57" s="0" t="n">
        <v>2</v>
      </c>
    </row>
    <row r="58" customFormat="false" ht="17.15" hidden="false" customHeight="false" outlineLevel="0" collapsed="false">
      <c r="A58" s="11" t="s">
        <v>198</v>
      </c>
      <c r="B58" s="11" t="s">
        <v>199</v>
      </c>
      <c r="C58" s="12" t="s">
        <v>115</v>
      </c>
      <c r="D58" s="11" t="s">
        <v>72</v>
      </c>
      <c r="E58" s="12" t="s">
        <v>194</v>
      </c>
      <c r="F58" s="11" t="s">
        <v>168</v>
      </c>
      <c r="G58" s="12" t="s">
        <v>195</v>
      </c>
      <c r="S58" s="0" t="n">
        <v>2</v>
      </c>
    </row>
    <row r="59" customFormat="false" ht="17.15" hidden="false" customHeight="false" outlineLevel="0" collapsed="false">
      <c r="A59" s="11" t="s">
        <v>200</v>
      </c>
      <c r="B59" s="11" t="s">
        <v>201</v>
      </c>
      <c r="C59" s="12" t="s">
        <v>115</v>
      </c>
      <c r="D59" s="11" t="s">
        <v>72</v>
      </c>
      <c r="E59" s="12" t="s">
        <v>194</v>
      </c>
      <c r="F59" s="11" t="s">
        <v>168</v>
      </c>
      <c r="G59" s="12" t="s">
        <v>195</v>
      </c>
      <c r="S59" s="0" t="n">
        <v>2</v>
      </c>
    </row>
    <row r="60" customFormat="false" ht="17.15" hidden="false" customHeight="false" outlineLevel="0" collapsed="false">
      <c r="A60" s="11" t="s">
        <v>202</v>
      </c>
      <c r="B60" s="12" t="s">
        <v>203</v>
      </c>
      <c r="C60" s="12" t="s">
        <v>115</v>
      </c>
      <c r="D60" s="11" t="s">
        <v>72</v>
      </c>
      <c r="E60" s="12" t="s">
        <v>194</v>
      </c>
      <c r="F60" s="11" t="s">
        <v>168</v>
      </c>
      <c r="G60" s="12" t="s">
        <v>195</v>
      </c>
      <c r="S60" s="0" t="n">
        <v>2</v>
      </c>
    </row>
    <row r="61" customFormat="false" ht="17.15" hidden="false" customHeight="false" outlineLevel="0" collapsed="false">
      <c r="A61" s="11" t="s">
        <v>204</v>
      </c>
      <c r="B61" s="12" t="s">
        <v>205</v>
      </c>
      <c r="C61" s="12" t="s">
        <v>115</v>
      </c>
      <c r="D61" s="11" t="s">
        <v>72</v>
      </c>
      <c r="E61" s="12" t="s">
        <v>194</v>
      </c>
      <c r="F61" s="11" t="s">
        <v>168</v>
      </c>
      <c r="G61" s="12" t="s">
        <v>195</v>
      </c>
      <c r="S61" s="0" t="n">
        <v>2</v>
      </c>
    </row>
    <row r="62" customFormat="false" ht="17.15" hidden="false" customHeight="false" outlineLevel="0" collapsed="false">
      <c r="A62" s="11" t="s">
        <v>206</v>
      </c>
      <c r="B62" s="12" t="s">
        <v>207</v>
      </c>
      <c r="C62" s="12" t="s">
        <v>115</v>
      </c>
      <c r="D62" s="11" t="s">
        <v>72</v>
      </c>
      <c r="E62" s="12" t="s">
        <v>194</v>
      </c>
      <c r="F62" s="11" t="s">
        <v>168</v>
      </c>
      <c r="G62" s="12" t="s">
        <v>195</v>
      </c>
      <c r="S62" s="0" t="n">
        <v>2</v>
      </c>
    </row>
    <row r="63" customFormat="false" ht="17.15" hidden="false" customHeight="false" outlineLevel="0" collapsed="false">
      <c r="A63" s="11" t="s">
        <v>208</v>
      </c>
      <c r="B63" s="12" t="s">
        <v>209</v>
      </c>
      <c r="C63" s="12" t="s">
        <v>115</v>
      </c>
      <c r="D63" s="11" t="s">
        <v>72</v>
      </c>
      <c r="E63" s="12" t="s">
        <v>194</v>
      </c>
      <c r="F63" s="11" t="s">
        <v>168</v>
      </c>
      <c r="G63" s="12" t="s">
        <v>195</v>
      </c>
      <c r="S63" s="0" t="n">
        <v>2</v>
      </c>
    </row>
    <row r="64" customFormat="false" ht="17.15" hidden="false" customHeight="false" outlineLevel="0" collapsed="false">
      <c r="A64" s="7" t="s">
        <v>210</v>
      </c>
    </row>
    <row r="65" customFormat="false" ht="17.15" hidden="false" customHeight="false" outlineLevel="0" collapsed="false">
      <c r="A65" s="0" t="s">
        <v>211</v>
      </c>
      <c r="B65" s="0" t="s">
        <v>212</v>
      </c>
      <c r="C65" s="0" t="s">
        <v>32</v>
      </c>
      <c r="D65" s="0" t="s">
        <v>213</v>
      </c>
      <c r="E65" s="0" t="s">
        <v>102</v>
      </c>
      <c r="F65" s="0" t="s">
        <v>150</v>
      </c>
      <c r="G65" s="0" t="s">
        <v>214</v>
      </c>
      <c r="K65" s="10" t="n">
        <v>115.948</v>
      </c>
      <c r="L65" s="10" t="n">
        <v>192.827</v>
      </c>
      <c r="M65" s="10" t="n">
        <v>216.787</v>
      </c>
      <c r="N65" s="10" t="n">
        <v>251.173</v>
      </c>
      <c r="S65" s="0" t="n">
        <v>2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32</v>
      </c>
      <c r="D66" s="0" t="s">
        <v>213</v>
      </c>
      <c r="E66" s="0" t="s">
        <v>102</v>
      </c>
      <c r="F66" s="0" t="s">
        <v>154</v>
      </c>
      <c r="G66" s="0" t="s">
        <v>217</v>
      </c>
      <c r="J66" s="10" t="n">
        <v>91.447</v>
      </c>
      <c r="K66" s="10" t="n">
        <v>200</v>
      </c>
      <c r="L66" s="10" t="n">
        <v>300.979</v>
      </c>
      <c r="M66" s="10" t="n">
        <v>339.451</v>
      </c>
      <c r="S66" s="0" t="n">
        <v>2</v>
      </c>
    </row>
    <row r="67" customFormat="false" ht="17.15" hidden="false" customHeight="false" outlineLevel="0" collapsed="false">
      <c r="A67" s="0" t="s">
        <v>218</v>
      </c>
      <c r="B67" s="0" t="s">
        <v>219</v>
      </c>
      <c r="C67" s="0" t="s">
        <v>32</v>
      </c>
      <c r="D67" s="0" t="s">
        <v>213</v>
      </c>
      <c r="E67" s="0" t="s">
        <v>102</v>
      </c>
      <c r="F67" s="0" t="s">
        <v>157</v>
      </c>
      <c r="G67" s="0" t="s">
        <v>220</v>
      </c>
      <c r="K67" s="10" t="n">
        <v>220</v>
      </c>
      <c r="L67" s="10" t="n">
        <v>275.063</v>
      </c>
      <c r="M67" s="10" t="n">
        <v>292.927</v>
      </c>
      <c r="S67" s="0" t="n">
        <v>2</v>
      </c>
    </row>
    <row r="68" customFormat="false" ht="17.15" hidden="false" customHeight="false" outlineLevel="0" collapsed="false">
      <c r="A68" s="0" t="s">
        <v>221</v>
      </c>
      <c r="B68" s="0" t="s">
        <v>222</v>
      </c>
      <c r="C68" s="0" t="s">
        <v>32</v>
      </c>
      <c r="D68" s="0" t="s">
        <v>213</v>
      </c>
      <c r="E68" s="0" t="s">
        <v>102</v>
      </c>
      <c r="F68" s="0" t="s">
        <v>160</v>
      </c>
      <c r="G68" s="0" t="s">
        <v>223</v>
      </c>
      <c r="K68" s="10" t="n">
        <v>55.663</v>
      </c>
      <c r="L68" s="10" t="n">
        <v>92.5</v>
      </c>
      <c r="M68" s="10" t="n">
        <v>100.962</v>
      </c>
      <c r="N68" s="10" t="n">
        <v>84.848</v>
      </c>
      <c r="S68" s="0" t="n">
        <v>2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32</v>
      </c>
      <c r="D69" s="0" t="s">
        <v>213</v>
      </c>
      <c r="E69" s="0" t="s">
        <v>102</v>
      </c>
      <c r="F69" s="0" t="s">
        <v>163</v>
      </c>
      <c r="G69" s="0" t="s">
        <v>226</v>
      </c>
      <c r="K69" s="10" t="n">
        <v>37</v>
      </c>
      <c r="L69" s="10" t="n">
        <v>46.476</v>
      </c>
      <c r="M69" s="10" t="n">
        <v>50.129</v>
      </c>
      <c r="S69" s="0" t="n">
        <v>2</v>
      </c>
    </row>
    <row r="70" customFormat="false" ht="17.15" hidden="false" customHeight="false" outlineLevel="0" collapsed="false">
      <c r="A70" s="0" t="s">
        <v>227</v>
      </c>
      <c r="B70" s="0" t="s">
        <v>228</v>
      </c>
      <c r="C70" s="0" t="s">
        <v>32</v>
      </c>
      <c r="D70" s="0" t="s">
        <v>213</v>
      </c>
      <c r="E70" s="0" t="s">
        <v>102</v>
      </c>
      <c r="F70" s="0" t="s">
        <v>116</v>
      </c>
      <c r="G70" s="0" t="s">
        <v>229</v>
      </c>
      <c r="K70" s="10" t="n">
        <v>22.5</v>
      </c>
      <c r="L70" s="10" t="n">
        <v>27.243</v>
      </c>
      <c r="M70" s="10" t="n">
        <v>38.39</v>
      </c>
      <c r="S70" s="0" t="n">
        <v>2</v>
      </c>
    </row>
    <row r="71" customFormat="false" ht="17.15" hidden="false" customHeight="false" outlineLevel="0" collapsed="false">
      <c r="A71" s="11" t="s">
        <v>230</v>
      </c>
      <c r="B71" s="11" t="s">
        <v>231</v>
      </c>
      <c r="C71" s="11" t="s">
        <v>32</v>
      </c>
      <c r="D71" s="11" t="s">
        <v>213</v>
      </c>
      <c r="E71" s="12" t="s">
        <v>194</v>
      </c>
      <c r="F71" s="11" t="s">
        <v>168</v>
      </c>
      <c r="G71" s="12" t="s">
        <v>232</v>
      </c>
      <c r="S71" s="0" t="n">
        <v>2</v>
      </c>
    </row>
    <row r="72" customFormat="false" ht="17.15" hidden="false" customHeight="false" outlineLevel="0" collapsed="false">
      <c r="A72" s="11" t="s">
        <v>233</v>
      </c>
      <c r="B72" s="11" t="s">
        <v>234</v>
      </c>
      <c r="C72" s="11" t="s">
        <v>32</v>
      </c>
      <c r="D72" s="11" t="s">
        <v>213</v>
      </c>
      <c r="E72" s="12" t="s">
        <v>194</v>
      </c>
      <c r="F72" s="11" t="s">
        <v>168</v>
      </c>
      <c r="G72" s="12" t="s">
        <v>235</v>
      </c>
      <c r="S72" s="0" t="n">
        <v>2</v>
      </c>
    </row>
    <row r="73" customFormat="false" ht="17.15" hidden="false" customHeight="false" outlineLevel="0" collapsed="false">
      <c r="A73" s="11" t="s">
        <v>236</v>
      </c>
      <c r="B73" s="11" t="s">
        <v>237</v>
      </c>
      <c r="C73" s="11" t="s">
        <v>32</v>
      </c>
      <c r="D73" s="11" t="s">
        <v>213</v>
      </c>
      <c r="E73" s="12" t="s">
        <v>194</v>
      </c>
      <c r="F73" s="11" t="s">
        <v>168</v>
      </c>
      <c r="G73" s="12" t="s">
        <v>235</v>
      </c>
      <c r="S73" s="0" t="n">
        <v>2</v>
      </c>
    </row>
    <row r="74" customFormat="false" ht="17.15" hidden="false" customHeight="false" outlineLevel="0" collapsed="false">
      <c r="A74" s="11" t="s">
        <v>238</v>
      </c>
      <c r="B74" s="11" t="s">
        <v>239</v>
      </c>
      <c r="C74" s="11" t="s">
        <v>32</v>
      </c>
      <c r="D74" s="11" t="s">
        <v>213</v>
      </c>
      <c r="E74" s="12" t="s">
        <v>194</v>
      </c>
      <c r="F74" s="11" t="s">
        <v>168</v>
      </c>
      <c r="G74" s="12" t="s">
        <v>235</v>
      </c>
      <c r="S74" s="0" t="n">
        <v>2</v>
      </c>
    </row>
    <row r="75" customFormat="false" ht="17.15" hidden="false" customHeight="false" outlineLevel="0" collapsed="false">
      <c r="A75" s="11" t="s">
        <v>240</v>
      </c>
      <c r="B75" s="11" t="s">
        <v>241</v>
      </c>
      <c r="C75" s="11" t="s">
        <v>32</v>
      </c>
      <c r="D75" s="11" t="s">
        <v>213</v>
      </c>
      <c r="E75" s="12" t="s">
        <v>194</v>
      </c>
      <c r="F75" s="11" t="s">
        <v>168</v>
      </c>
      <c r="G75" s="12" t="s">
        <v>235</v>
      </c>
      <c r="S75" s="0" t="n">
        <v>2</v>
      </c>
    </row>
    <row r="76" customFormat="false" ht="17.15" hidden="false" customHeight="false" outlineLevel="0" collapsed="false">
      <c r="A76" s="11" t="s">
        <v>242</v>
      </c>
      <c r="B76" s="12" t="s">
        <v>243</v>
      </c>
      <c r="C76" s="11" t="s">
        <v>32</v>
      </c>
      <c r="D76" s="11" t="s">
        <v>213</v>
      </c>
      <c r="E76" s="12" t="s">
        <v>194</v>
      </c>
      <c r="F76" s="11" t="s">
        <v>168</v>
      </c>
      <c r="G76" s="12" t="s">
        <v>235</v>
      </c>
      <c r="S76" s="0" t="n">
        <v>2</v>
      </c>
    </row>
    <row r="77" customFormat="false" ht="17.15" hidden="false" customHeight="false" outlineLevel="0" collapsed="false">
      <c r="A77" s="11" t="s">
        <v>244</v>
      </c>
      <c r="B77" s="12" t="s">
        <v>245</v>
      </c>
      <c r="C77" s="11" t="s">
        <v>32</v>
      </c>
      <c r="D77" s="11" t="s">
        <v>213</v>
      </c>
      <c r="E77" s="12" t="s">
        <v>194</v>
      </c>
      <c r="F77" s="11" t="s">
        <v>168</v>
      </c>
      <c r="G77" s="12" t="s">
        <v>235</v>
      </c>
      <c r="S77" s="0" t="n">
        <v>2</v>
      </c>
    </row>
    <row r="78" customFormat="false" ht="17.15" hidden="false" customHeight="false" outlineLevel="0" collapsed="false">
      <c r="A78" s="11" t="s">
        <v>246</v>
      </c>
      <c r="B78" s="12" t="s">
        <v>247</v>
      </c>
      <c r="C78" s="11" t="s">
        <v>32</v>
      </c>
      <c r="D78" s="11" t="s">
        <v>213</v>
      </c>
      <c r="E78" s="12" t="s">
        <v>194</v>
      </c>
      <c r="F78" s="11" t="s">
        <v>168</v>
      </c>
      <c r="G78" s="12" t="s">
        <v>235</v>
      </c>
      <c r="S78" s="0" t="n">
        <v>2</v>
      </c>
    </row>
    <row r="79" customFormat="false" ht="15" hidden="false" customHeight="false" outlineLevel="0" collapsed="false">
      <c r="A79" s="11" t="s">
        <v>248</v>
      </c>
      <c r="B79" s="12" t="s">
        <v>249</v>
      </c>
      <c r="C79" s="11" t="s">
        <v>32</v>
      </c>
      <c r="D79" s="11" t="s">
        <v>213</v>
      </c>
      <c r="E79" s="12" t="s">
        <v>194</v>
      </c>
      <c r="F79" s="11" t="s">
        <v>168</v>
      </c>
      <c r="G79" s="12" t="s">
        <v>235</v>
      </c>
      <c r="S79" s="0" t="n">
        <v>2</v>
      </c>
    </row>
    <row r="80" customFormat="false" ht="17.15" hidden="false" customHeight="false" outlineLevel="0" collapsed="false">
      <c r="A80" s="7" t="s">
        <v>250</v>
      </c>
    </row>
    <row r="81" customFormat="false" ht="17.15" hidden="false" customHeight="false" outlineLevel="0" collapsed="false">
      <c r="A81" s="11" t="s">
        <v>251</v>
      </c>
      <c r="B81" s="11" t="s">
        <v>252</v>
      </c>
      <c r="C81" s="11" t="s">
        <v>32</v>
      </c>
      <c r="D81" s="11" t="s">
        <v>213</v>
      </c>
      <c r="E81" s="12" t="s">
        <v>194</v>
      </c>
      <c r="F81" s="11" t="s">
        <v>168</v>
      </c>
      <c r="G81" s="12" t="s">
        <v>253</v>
      </c>
      <c r="S81" s="0" t="n">
        <v>2</v>
      </c>
    </row>
    <row r="82" customFormat="false" ht="17.15" hidden="false" customHeight="false" outlineLevel="0" collapsed="false">
      <c r="A82" s="11" t="s">
        <v>254</v>
      </c>
      <c r="B82" s="11" t="s">
        <v>255</v>
      </c>
      <c r="C82" s="11" t="s">
        <v>32</v>
      </c>
      <c r="D82" s="11" t="s">
        <v>213</v>
      </c>
      <c r="E82" s="12" t="s">
        <v>194</v>
      </c>
      <c r="F82" s="11" t="s">
        <v>168</v>
      </c>
      <c r="G82" s="12" t="s">
        <v>253</v>
      </c>
      <c r="S82" s="0" t="n">
        <v>2</v>
      </c>
    </row>
    <row r="83" customFormat="false" ht="17.15" hidden="false" customHeight="false" outlineLevel="0" collapsed="false">
      <c r="A83" s="11" t="s">
        <v>256</v>
      </c>
      <c r="B83" s="11" t="s">
        <v>257</v>
      </c>
      <c r="C83" s="11" t="s">
        <v>32</v>
      </c>
      <c r="D83" s="11" t="s">
        <v>213</v>
      </c>
      <c r="E83" s="12" t="s">
        <v>194</v>
      </c>
      <c r="F83" s="11" t="s">
        <v>168</v>
      </c>
      <c r="G83" s="12" t="s">
        <v>253</v>
      </c>
      <c r="S83" s="0" t="n">
        <v>2</v>
      </c>
    </row>
    <row r="84" customFormat="false" ht="17.15" hidden="false" customHeight="false" outlineLevel="0" collapsed="false">
      <c r="A84" s="11" t="s">
        <v>258</v>
      </c>
      <c r="B84" s="11" t="s">
        <v>259</v>
      </c>
      <c r="C84" s="11" t="s">
        <v>32</v>
      </c>
      <c r="D84" s="11" t="s">
        <v>213</v>
      </c>
      <c r="E84" s="12" t="s">
        <v>194</v>
      </c>
      <c r="F84" s="11" t="s">
        <v>168</v>
      </c>
      <c r="G84" s="12" t="s">
        <v>253</v>
      </c>
      <c r="S84" s="0" t="n">
        <v>2</v>
      </c>
    </row>
    <row r="85" customFormat="false" ht="17.15" hidden="false" customHeight="false" outlineLevel="0" collapsed="false">
      <c r="A85" s="11" t="s">
        <v>260</v>
      </c>
      <c r="B85" s="11" t="s">
        <v>261</v>
      </c>
      <c r="C85" s="11" t="s">
        <v>32</v>
      </c>
      <c r="D85" s="11" t="s">
        <v>213</v>
      </c>
      <c r="E85" s="12" t="s">
        <v>194</v>
      </c>
      <c r="F85" s="11" t="s">
        <v>168</v>
      </c>
      <c r="G85" s="12" t="s">
        <v>253</v>
      </c>
      <c r="S85" s="0" t="n">
        <v>2</v>
      </c>
    </row>
    <row r="86" customFormat="false" ht="17.15" hidden="false" customHeight="false" outlineLevel="0" collapsed="false">
      <c r="A86" s="11" t="s">
        <v>262</v>
      </c>
      <c r="B86" s="11" t="s">
        <v>263</v>
      </c>
      <c r="C86" s="11" t="s">
        <v>32</v>
      </c>
      <c r="D86" s="11" t="s">
        <v>213</v>
      </c>
      <c r="E86" s="12" t="s">
        <v>194</v>
      </c>
      <c r="F86" s="11" t="s">
        <v>168</v>
      </c>
      <c r="G86" s="12" t="s">
        <v>253</v>
      </c>
      <c r="S86" s="0" t="n">
        <v>2</v>
      </c>
    </row>
    <row r="87" customFormat="false" ht="17.15" hidden="false" customHeight="false" outlineLevel="0" collapsed="false">
      <c r="A87" s="11" t="s">
        <v>264</v>
      </c>
      <c r="B87" s="11" t="s">
        <v>265</v>
      </c>
      <c r="C87" s="11" t="s">
        <v>32</v>
      </c>
      <c r="D87" s="11" t="s">
        <v>213</v>
      </c>
      <c r="E87" s="12" t="s">
        <v>194</v>
      </c>
      <c r="F87" s="11" t="s">
        <v>168</v>
      </c>
      <c r="G87" s="12" t="s">
        <v>253</v>
      </c>
      <c r="S87" s="0" t="n">
        <v>2</v>
      </c>
    </row>
    <row r="88" customFormat="false" ht="17.15" hidden="false" customHeight="false" outlineLevel="0" collapsed="false">
      <c r="A88" s="11" t="s">
        <v>266</v>
      </c>
      <c r="B88" s="11" t="s">
        <v>267</v>
      </c>
      <c r="C88" s="11" t="s">
        <v>32</v>
      </c>
      <c r="D88" s="11" t="s">
        <v>213</v>
      </c>
      <c r="E88" s="12" t="s">
        <v>194</v>
      </c>
      <c r="F88" s="11" t="s">
        <v>168</v>
      </c>
      <c r="G88" s="12" t="s">
        <v>253</v>
      </c>
      <c r="S88" s="0" t="n">
        <v>2</v>
      </c>
    </row>
    <row r="89" customFormat="false" ht="17.15" hidden="false" customHeight="false" outlineLevel="0" collapsed="false">
      <c r="A89" s="11" t="s">
        <v>268</v>
      </c>
      <c r="B89" s="11" t="s">
        <v>269</v>
      </c>
      <c r="C89" s="11" t="s">
        <v>32</v>
      </c>
      <c r="D89" s="11" t="s">
        <v>213</v>
      </c>
      <c r="E89" s="12" t="s">
        <v>194</v>
      </c>
      <c r="F89" s="11" t="s">
        <v>168</v>
      </c>
      <c r="G89" s="12" t="s">
        <v>253</v>
      </c>
      <c r="S89" s="0" t="n">
        <v>2</v>
      </c>
    </row>
    <row r="90" customFormat="false" ht="17.15" hidden="false" customHeight="false" outlineLevel="0" collapsed="false">
      <c r="A90" s="11" t="s">
        <v>270</v>
      </c>
      <c r="B90" s="11" t="s">
        <v>271</v>
      </c>
      <c r="C90" s="11" t="s">
        <v>32</v>
      </c>
      <c r="D90" s="11" t="s">
        <v>213</v>
      </c>
      <c r="E90" s="12" t="s">
        <v>194</v>
      </c>
      <c r="F90" s="11" t="s">
        <v>168</v>
      </c>
      <c r="G90" s="12" t="s">
        <v>253</v>
      </c>
      <c r="S90" s="0" t="n">
        <v>2</v>
      </c>
    </row>
    <row r="91" customFormat="false" ht="17.15" hidden="false" customHeight="false" outlineLevel="0" collapsed="false">
      <c r="A91" s="11" t="s">
        <v>272</v>
      </c>
      <c r="B91" s="11" t="s">
        <v>273</v>
      </c>
      <c r="C91" s="11" t="s">
        <v>32</v>
      </c>
      <c r="D91" s="11" t="s">
        <v>213</v>
      </c>
      <c r="E91" s="12" t="s">
        <v>194</v>
      </c>
      <c r="F91" s="11" t="s">
        <v>168</v>
      </c>
      <c r="G91" s="12" t="s">
        <v>253</v>
      </c>
      <c r="S91" s="0" t="n">
        <v>2</v>
      </c>
    </row>
    <row r="92" customFormat="false" ht="17.15" hidden="false" customHeight="false" outlineLevel="0" collapsed="false">
      <c r="A92" s="11" t="s">
        <v>274</v>
      </c>
      <c r="B92" s="12" t="s">
        <v>275</v>
      </c>
      <c r="C92" s="11" t="s">
        <v>32</v>
      </c>
      <c r="D92" s="11" t="s">
        <v>213</v>
      </c>
      <c r="E92" s="12" t="s">
        <v>194</v>
      </c>
      <c r="F92" s="11" t="s">
        <v>168</v>
      </c>
      <c r="G92" s="12" t="s">
        <v>253</v>
      </c>
      <c r="S92" s="0" t="n">
        <v>2</v>
      </c>
    </row>
    <row r="93" customFormat="false" ht="17.15" hidden="false" customHeight="false" outlineLevel="0" collapsed="false">
      <c r="A93" s="11" t="s">
        <v>276</v>
      </c>
      <c r="B93" s="12" t="s">
        <v>277</v>
      </c>
      <c r="C93" s="11" t="s">
        <v>32</v>
      </c>
      <c r="D93" s="11" t="s">
        <v>213</v>
      </c>
      <c r="E93" s="12" t="s">
        <v>194</v>
      </c>
      <c r="F93" s="11" t="s">
        <v>168</v>
      </c>
      <c r="G93" s="12" t="s">
        <v>253</v>
      </c>
      <c r="S93" s="0" t="n">
        <v>2</v>
      </c>
    </row>
    <row r="94" customFormat="false" ht="17.15" hidden="false" customHeight="false" outlineLevel="0" collapsed="false">
      <c r="A94" s="11" t="s">
        <v>278</v>
      </c>
      <c r="B94" s="12" t="s">
        <v>279</v>
      </c>
      <c r="C94" s="11" t="s">
        <v>32</v>
      </c>
      <c r="D94" s="11" t="s">
        <v>213</v>
      </c>
      <c r="E94" s="12" t="s">
        <v>194</v>
      </c>
      <c r="F94" s="11" t="s">
        <v>168</v>
      </c>
      <c r="G94" s="12" t="s">
        <v>253</v>
      </c>
      <c r="S94" s="0" t="n">
        <v>2</v>
      </c>
    </row>
    <row r="95" customFormat="false" ht="17.15" hidden="false" customHeight="false" outlineLevel="0" collapsed="false">
      <c r="A95" s="11" t="s">
        <v>280</v>
      </c>
      <c r="B95" s="12" t="s">
        <v>281</v>
      </c>
      <c r="C95" s="11" t="s">
        <v>32</v>
      </c>
      <c r="D95" s="11" t="s">
        <v>213</v>
      </c>
      <c r="E95" s="12" t="s">
        <v>194</v>
      </c>
      <c r="F95" s="11" t="s">
        <v>168</v>
      </c>
      <c r="G95" s="12" t="s">
        <v>253</v>
      </c>
      <c r="S95" s="0" t="n">
        <v>2</v>
      </c>
    </row>
    <row r="96" customFormat="false" ht="17.15" hidden="false" customHeight="false" outlineLevel="0" collapsed="false">
      <c r="A96" s="7" t="s">
        <v>282</v>
      </c>
    </row>
    <row r="97" customFormat="false" ht="17.15" hidden="false" customHeight="false" outlineLevel="0" collapsed="false">
      <c r="A97" s="0" t="s">
        <v>283</v>
      </c>
      <c r="B97" s="0" t="s">
        <v>284</v>
      </c>
      <c r="C97" s="4" t="s">
        <v>115</v>
      </c>
      <c r="D97" s="0" t="s">
        <v>111</v>
      </c>
      <c r="E97" s="0" t="s">
        <v>102</v>
      </c>
      <c r="F97" s="0" t="s">
        <v>285</v>
      </c>
      <c r="G97" s="0" t="s">
        <v>286</v>
      </c>
      <c r="J97" s="13" t="n">
        <v>1.9</v>
      </c>
      <c r="K97" s="13" t="n">
        <v>4.6</v>
      </c>
      <c r="S97" s="0" t="n">
        <v>2</v>
      </c>
    </row>
    <row r="98" customFormat="false" ht="17.15" hidden="false" customHeight="false" outlineLevel="0" collapsed="false">
      <c r="A98" s="0" t="s">
        <v>287</v>
      </c>
      <c r="B98" s="0" t="s">
        <v>288</v>
      </c>
      <c r="C98" s="4" t="s">
        <v>115</v>
      </c>
      <c r="D98" s="0" t="s">
        <v>111</v>
      </c>
      <c r="E98" s="0" t="s">
        <v>102</v>
      </c>
      <c r="F98" s="0" t="s">
        <v>289</v>
      </c>
      <c r="G98" s="0" t="s">
        <v>290</v>
      </c>
      <c r="J98" s="13" t="n">
        <v>1.4</v>
      </c>
      <c r="K98" s="13" t="n">
        <v>5</v>
      </c>
      <c r="L98" s="13" t="n">
        <v>10</v>
      </c>
      <c r="S98" s="0" t="n">
        <v>2</v>
      </c>
    </row>
    <row r="99" customFormat="false" ht="17.15" hidden="false" customHeight="false" outlineLevel="0" collapsed="false">
      <c r="A99" s="7" t="s">
        <v>291</v>
      </c>
    </row>
    <row r="100" customFormat="false" ht="17.15" hidden="false" customHeight="false" outlineLevel="0" collapsed="false">
      <c r="A100" s="11" t="s">
        <v>292</v>
      </c>
      <c r="B100" s="11" t="s">
        <v>293</v>
      </c>
      <c r="C100" s="12" t="s">
        <v>115</v>
      </c>
      <c r="D100" s="11" t="s">
        <v>111</v>
      </c>
      <c r="E100" s="12" t="s">
        <v>194</v>
      </c>
      <c r="F100" s="11" t="s">
        <v>168</v>
      </c>
      <c r="G100" s="12" t="s">
        <v>294</v>
      </c>
      <c r="S100" s="0" t="n">
        <v>2</v>
      </c>
    </row>
    <row r="101" customFormat="false" ht="17.15" hidden="false" customHeight="false" outlineLevel="0" collapsed="false">
      <c r="A101" s="11" t="s">
        <v>295</v>
      </c>
      <c r="B101" s="11" t="s">
        <v>296</v>
      </c>
      <c r="C101" s="12" t="s">
        <v>115</v>
      </c>
      <c r="D101" s="11" t="s">
        <v>111</v>
      </c>
      <c r="E101" s="12" t="s">
        <v>194</v>
      </c>
      <c r="F101" s="11" t="s">
        <v>168</v>
      </c>
      <c r="G101" s="12" t="s">
        <v>294</v>
      </c>
      <c r="S101" s="0" t="n">
        <v>2</v>
      </c>
    </row>
    <row r="102" customFormat="false" ht="17.15" hidden="false" customHeight="false" outlineLevel="0" collapsed="false">
      <c r="A102" s="11" t="s">
        <v>297</v>
      </c>
      <c r="B102" s="11" t="s">
        <v>298</v>
      </c>
      <c r="C102" s="12" t="s">
        <v>115</v>
      </c>
      <c r="D102" s="11" t="s">
        <v>111</v>
      </c>
      <c r="E102" s="12" t="s">
        <v>194</v>
      </c>
      <c r="F102" s="11" t="s">
        <v>168</v>
      </c>
      <c r="G102" s="12" t="s">
        <v>294</v>
      </c>
      <c r="S102" s="0" t="n">
        <v>2</v>
      </c>
    </row>
    <row r="103" customFormat="false" ht="17.15" hidden="false" customHeight="false" outlineLevel="0" collapsed="false">
      <c r="A103" s="7" t="s">
        <v>299</v>
      </c>
    </row>
    <row r="104" customFormat="false" ht="17.15" hidden="false" customHeight="false" outlineLevel="0" collapsed="false">
      <c r="A104" s="0" t="s">
        <v>300</v>
      </c>
      <c r="B104" s="4" t="s">
        <v>301</v>
      </c>
      <c r="C104" s="0" t="s">
        <v>32</v>
      </c>
      <c r="D104" s="0" t="s">
        <v>48</v>
      </c>
      <c r="E104" s="0" t="s">
        <v>302</v>
      </c>
      <c r="F104" s="0" t="s">
        <v>303</v>
      </c>
      <c r="G104" s="0" t="s">
        <v>304</v>
      </c>
      <c r="H104" s="14" t="n">
        <v>1</v>
      </c>
      <c r="I104" s="14" t="n">
        <v>1</v>
      </c>
      <c r="J104" s="14" t="n">
        <v>0.1</v>
      </c>
      <c r="S104" s="0" t="n">
        <v>2</v>
      </c>
    </row>
    <row r="105" customFormat="false" ht="17.15" hidden="false" customHeight="false" outlineLevel="0" collapsed="false">
      <c r="A105" s="0" t="s">
        <v>305</v>
      </c>
      <c r="B105" s="4" t="s">
        <v>306</v>
      </c>
      <c r="C105" s="0" t="s">
        <v>32</v>
      </c>
      <c r="D105" s="0" t="s">
        <v>48</v>
      </c>
      <c r="E105" s="0" t="s">
        <v>302</v>
      </c>
      <c r="F105" s="0" t="s">
        <v>303</v>
      </c>
      <c r="G105" s="0" t="s">
        <v>304</v>
      </c>
      <c r="J105" s="14" t="n">
        <v>0.7</v>
      </c>
      <c r="S105" s="0" t="n">
        <v>2</v>
      </c>
    </row>
    <row r="106" customFormat="false" ht="17.15" hidden="false" customHeight="false" outlineLevel="0" collapsed="false">
      <c r="A106" s="0" t="s">
        <v>307</v>
      </c>
      <c r="B106" s="4" t="s">
        <v>308</v>
      </c>
      <c r="C106" s="0" t="s">
        <v>32</v>
      </c>
      <c r="D106" s="0" t="s">
        <v>48</v>
      </c>
      <c r="E106" s="0" t="s">
        <v>302</v>
      </c>
      <c r="F106" s="0" t="s">
        <v>303</v>
      </c>
      <c r="G106" s="0" t="s">
        <v>304</v>
      </c>
      <c r="J106" s="14" t="n">
        <v>0.2</v>
      </c>
      <c r="S106" s="0" t="n">
        <v>2</v>
      </c>
    </row>
    <row r="107" customFormat="false" ht="17.15" hidden="false" customHeight="false" outlineLevel="0" collapsed="false">
      <c r="A107" s="0" t="s">
        <v>309</v>
      </c>
      <c r="B107" s="4" t="s">
        <v>310</v>
      </c>
      <c r="C107" s="0" t="s">
        <v>32</v>
      </c>
      <c r="D107" s="0" t="s">
        <v>48</v>
      </c>
      <c r="E107" s="0" t="s">
        <v>302</v>
      </c>
      <c r="F107" s="0" t="s">
        <v>303</v>
      </c>
      <c r="G107" s="0" t="s">
        <v>304</v>
      </c>
      <c r="S107" s="0" t="n">
        <v>2</v>
      </c>
    </row>
    <row r="108" customFormat="false" ht="17.15" hidden="false" customHeight="false" outlineLevel="0" collapsed="false">
      <c r="A108" s="0" t="s">
        <v>311</v>
      </c>
      <c r="B108" s="4" t="s">
        <v>312</v>
      </c>
      <c r="C108" s="0" t="s">
        <v>32</v>
      </c>
      <c r="D108" s="0" t="s">
        <v>48</v>
      </c>
      <c r="E108" s="0" t="s">
        <v>302</v>
      </c>
      <c r="F108" s="0" t="s">
        <v>303</v>
      </c>
      <c r="G108" s="0" t="s">
        <v>304</v>
      </c>
      <c r="S108" s="0" t="n">
        <v>2</v>
      </c>
    </row>
    <row r="109" customFormat="false" ht="17.15" hidden="false" customHeight="false" outlineLevel="0" collapsed="false">
      <c r="A109" s="11" t="s">
        <v>313</v>
      </c>
      <c r="B109" s="12" t="s">
        <v>314</v>
      </c>
      <c r="C109" s="11" t="s">
        <v>32</v>
      </c>
      <c r="D109" s="11" t="s">
        <v>48</v>
      </c>
      <c r="E109" s="12" t="s">
        <v>194</v>
      </c>
      <c r="F109" s="11" t="s">
        <v>168</v>
      </c>
      <c r="G109" s="11" t="s">
        <v>315</v>
      </c>
      <c r="S109" s="0" t="n">
        <v>2</v>
      </c>
    </row>
    <row r="110" customFormat="false" ht="17.15" hidden="false" customHeight="false" outlineLevel="0" collapsed="false">
      <c r="A110" s="7" t="s">
        <v>316</v>
      </c>
    </row>
    <row r="111" customFormat="false" ht="17.15" hidden="false" customHeight="false" outlineLevel="0" collapsed="false">
      <c r="A111" s="5" t="s">
        <v>11</v>
      </c>
      <c r="B111" s="5" t="s">
        <v>317</v>
      </c>
      <c r="C111" s="5" t="s">
        <v>13</v>
      </c>
      <c r="D111" s="5" t="s">
        <v>14</v>
      </c>
      <c r="E111" s="5" t="s">
        <v>15</v>
      </c>
      <c r="F111" s="5" t="s">
        <v>16</v>
      </c>
      <c r="G111" s="5" t="s">
        <v>17</v>
      </c>
      <c r="H111" s="5" t="s">
        <v>318</v>
      </c>
      <c r="I111" s="6" t="s">
        <v>319</v>
      </c>
      <c r="J111" s="6" t="s">
        <v>320</v>
      </c>
      <c r="K111" s="6" t="s">
        <v>321</v>
      </c>
      <c r="L111" s="6" t="s">
        <v>322</v>
      </c>
      <c r="M111" s="5" t="s">
        <v>323</v>
      </c>
    </row>
    <row r="112" customFormat="false" ht="17.15" hidden="false" customHeight="false" outlineLevel="0" collapsed="false">
      <c r="A112" s="0" t="s">
        <v>324</v>
      </c>
      <c r="B112" s="0" t="s">
        <v>325</v>
      </c>
      <c r="C112" s="0" t="s">
        <v>32</v>
      </c>
      <c r="D112" s="4" t="s">
        <v>326</v>
      </c>
      <c r="E112" s="0" t="s">
        <v>39</v>
      </c>
      <c r="F112" s="0" t="s">
        <v>74</v>
      </c>
      <c r="G112" s="4" t="s">
        <v>327</v>
      </c>
      <c r="H112" s="14" t="n">
        <v>0.4</v>
      </c>
      <c r="S112" s="0" t="n">
        <v>3</v>
      </c>
    </row>
    <row r="113" customFormat="false" ht="17.15" hidden="false" customHeight="false" outlineLevel="0" collapsed="false">
      <c r="A113" s="0" t="s">
        <v>328</v>
      </c>
      <c r="B113" s="0" t="s">
        <v>329</v>
      </c>
      <c r="C113" s="0" t="s">
        <v>32</v>
      </c>
      <c r="D113" s="4" t="s">
        <v>326</v>
      </c>
      <c r="E113" s="0" t="s">
        <v>39</v>
      </c>
      <c r="F113" s="0" t="s">
        <v>82</v>
      </c>
      <c r="G113" s="4" t="s">
        <v>330</v>
      </c>
      <c r="H113" s="14" t="n">
        <v>0.7</v>
      </c>
      <c r="S113" s="0" t="n">
        <v>3</v>
      </c>
    </row>
    <row r="114" customFormat="false" ht="17.15" hidden="false" customHeight="false" outlineLevel="0" collapsed="false">
      <c r="A114" s="0" t="s">
        <v>331</v>
      </c>
      <c r="B114" s="0" t="s">
        <v>332</v>
      </c>
      <c r="C114" s="0" t="s">
        <v>32</v>
      </c>
      <c r="D114" s="4" t="s">
        <v>326</v>
      </c>
      <c r="E114" s="0" t="s">
        <v>39</v>
      </c>
      <c r="F114" s="0" t="s">
        <v>89</v>
      </c>
      <c r="G114" s="4" t="s">
        <v>333</v>
      </c>
      <c r="H114" s="14" t="n">
        <v>0.2</v>
      </c>
      <c r="S114" s="0" t="n">
        <v>3</v>
      </c>
    </row>
    <row r="115" customFormat="false" ht="17.15" hidden="false" customHeight="false" outlineLevel="0" collapsed="false">
      <c r="A115" s="11" t="s">
        <v>334</v>
      </c>
      <c r="B115" s="11" t="s">
        <v>335</v>
      </c>
      <c r="C115" s="11" t="s">
        <v>32</v>
      </c>
      <c r="D115" s="12" t="s">
        <v>326</v>
      </c>
      <c r="E115" s="12" t="s">
        <v>194</v>
      </c>
      <c r="F115" s="11" t="s">
        <v>168</v>
      </c>
      <c r="G115" s="12" t="s">
        <v>194</v>
      </c>
      <c r="S115" s="0" t="n">
        <v>3</v>
      </c>
    </row>
    <row r="116" customFormat="false" ht="17.15" hidden="false" customHeight="false" outlineLevel="0" collapsed="false">
      <c r="A116" s="11" t="s">
        <v>336</v>
      </c>
      <c r="B116" s="11" t="s">
        <v>337</v>
      </c>
      <c r="C116" s="11" t="s">
        <v>32</v>
      </c>
      <c r="D116" s="12" t="s">
        <v>326</v>
      </c>
      <c r="E116" s="12" t="s">
        <v>194</v>
      </c>
      <c r="F116" s="11" t="s">
        <v>168</v>
      </c>
      <c r="G116" s="12" t="s">
        <v>194</v>
      </c>
      <c r="S116" s="0" t="n">
        <v>3</v>
      </c>
    </row>
    <row r="117" customFormat="false" ht="17.15" hidden="false" customHeight="false" outlineLevel="0" collapsed="false">
      <c r="A117" s="11" t="s">
        <v>338</v>
      </c>
      <c r="B117" s="11" t="s">
        <v>339</v>
      </c>
      <c r="C117" s="11" t="s">
        <v>32</v>
      </c>
      <c r="D117" s="12" t="s">
        <v>326</v>
      </c>
      <c r="E117" s="12" t="s">
        <v>194</v>
      </c>
      <c r="F117" s="11" t="s">
        <v>168</v>
      </c>
      <c r="G117" s="12" t="s">
        <v>194</v>
      </c>
      <c r="S117" s="0" t="n">
        <v>3</v>
      </c>
    </row>
    <row r="118" customFormat="false" ht="17.15" hidden="false" customHeight="false" outlineLevel="0" collapsed="false">
      <c r="A118" s="11" t="s">
        <v>340</v>
      </c>
      <c r="B118" s="11" t="s">
        <v>341</v>
      </c>
      <c r="C118" s="11" t="s">
        <v>32</v>
      </c>
      <c r="D118" s="12" t="s">
        <v>326</v>
      </c>
      <c r="E118" s="12" t="s">
        <v>194</v>
      </c>
      <c r="F118" s="11" t="s">
        <v>168</v>
      </c>
      <c r="G118" s="12" t="s">
        <v>194</v>
      </c>
      <c r="S118" s="0" t="n">
        <v>3</v>
      </c>
    </row>
    <row r="119" customFormat="false" ht="17.15" hidden="false" customHeight="false" outlineLevel="0" collapsed="false">
      <c r="A119" s="0" t="s">
        <v>342</v>
      </c>
      <c r="B119" s="0" t="s">
        <v>343</v>
      </c>
      <c r="C119" s="0" t="s">
        <v>32</v>
      </c>
      <c r="D119" s="4" t="s">
        <v>326</v>
      </c>
      <c r="E119" s="0" t="s">
        <v>34</v>
      </c>
      <c r="F119" s="0" t="s">
        <v>40</v>
      </c>
      <c r="G119" s="4" t="s">
        <v>344</v>
      </c>
      <c r="L119" s="14" t="n">
        <v>1</v>
      </c>
      <c r="S119" s="0" t="n">
        <v>3</v>
      </c>
    </row>
    <row r="120" customFormat="false" ht="17.15" hidden="false" customHeight="false" outlineLevel="0" collapsed="false">
      <c r="A120" s="0" t="s">
        <v>345</v>
      </c>
      <c r="B120" s="0" t="s">
        <v>346</v>
      </c>
      <c r="C120" s="0" t="s">
        <v>32</v>
      </c>
      <c r="D120" s="4" t="s">
        <v>326</v>
      </c>
      <c r="E120" s="0" t="s">
        <v>34</v>
      </c>
      <c r="F120" s="0" t="s">
        <v>40</v>
      </c>
      <c r="G120" s="4" t="s">
        <v>347</v>
      </c>
      <c r="K120" s="14" t="n">
        <v>1</v>
      </c>
      <c r="S120" s="0" t="n">
        <v>3</v>
      </c>
    </row>
    <row r="121" customFormat="false" ht="17.15" hidden="false" customHeight="false" outlineLevel="0" collapsed="false">
      <c r="A121" s="0" t="s">
        <v>348</v>
      </c>
      <c r="B121" s="0" t="s">
        <v>349</v>
      </c>
      <c r="C121" s="0" t="s">
        <v>32</v>
      </c>
      <c r="D121" s="4" t="s">
        <v>326</v>
      </c>
      <c r="E121" s="0" t="s">
        <v>34</v>
      </c>
      <c r="F121" s="0" t="s">
        <v>40</v>
      </c>
      <c r="G121" s="4" t="s">
        <v>347</v>
      </c>
      <c r="I121" s="14" t="n">
        <v>1</v>
      </c>
      <c r="S121" s="0" t="n">
        <v>3</v>
      </c>
    </row>
    <row r="122" customFormat="false" ht="17.15" hidden="false" customHeight="false" outlineLevel="0" collapsed="false">
      <c r="A122" s="0" t="s">
        <v>350</v>
      </c>
      <c r="B122" s="0" t="s">
        <v>351</v>
      </c>
      <c r="C122" s="0" t="s">
        <v>32</v>
      </c>
      <c r="D122" s="4" t="s">
        <v>326</v>
      </c>
      <c r="E122" s="0" t="s">
        <v>34</v>
      </c>
      <c r="F122" s="0" t="s">
        <v>40</v>
      </c>
      <c r="G122" s="4" t="s">
        <v>347</v>
      </c>
      <c r="J122" s="14" t="n">
        <v>1</v>
      </c>
      <c r="S122" s="0" t="n">
        <v>3</v>
      </c>
    </row>
    <row r="123" customFormat="false" ht="17.15" hidden="false" customHeight="false" outlineLevel="0" collapsed="false">
      <c r="A123" s="11" t="s">
        <v>352</v>
      </c>
      <c r="B123" s="12" t="s">
        <v>353</v>
      </c>
      <c r="C123" s="11" t="s">
        <v>32</v>
      </c>
      <c r="D123" s="12" t="s">
        <v>326</v>
      </c>
      <c r="E123" s="12" t="s">
        <v>194</v>
      </c>
      <c r="F123" s="11" t="s">
        <v>168</v>
      </c>
      <c r="G123" s="12" t="s">
        <v>194</v>
      </c>
      <c r="S123" s="0" t="n">
        <v>3</v>
      </c>
    </row>
    <row r="124" customFormat="false" ht="17.15" hidden="false" customHeight="false" outlineLevel="0" collapsed="false">
      <c r="A124" s="11" t="s">
        <v>354</v>
      </c>
      <c r="B124" s="12" t="s">
        <v>355</v>
      </c>
      <c r="C124" s="11" t="s">
        <v>32</v>
      </c>
      <c r="D124" s="12" t="s">
        <v>326</v>
      </c>
      <c r="E124" s="12" t="s">
        <v>194</v>
      </c>
      <c r="F124" s="11" t="s">
        <v>168</v>
      </c>
      <c r="G124" s="12" t="s">
        <v>194</v>
      </c>
      <c r="S124" s="0" t="n">
        <v>3</v>
      </c>
    </row>
    <row r="125" customFormat="false" ht="17.15" hidden="false" customHeight="false" outlineLevel="0" collapsed="false">
      <c r="A125" s="11" t="s">
        <v>356</v>
      </c>
      <c r="B125" s="12" t="s">
        <v>357</v>
      </c>
      <c r="C125" s="11" t="s">
        <v>32</v>
      </c>
      <c r="D125" s="12" t="s">
        <v>326</v>
      </c>
      <c r="E125" s="12" t="s">
        <v>194</v>
      </c>
      <c r="F125" s="11" t="s">
        <v>168</v>
      </c>
      <c r="G125" s="12" t="s">
        <v>194</v>
      </c>
      <c r="S125" s="0" t="n">
        <v>3</v>
      </c>
    </row>
    <row r="126" customFormat="false" ht="15" hidden="false" customHeight="false" outlineLevel="0" collapsed="false">
      <c r="A126" s="11" t="s">
        <v>358</v>
      </c>
      <c r="B126" s="12" t="s">
        <v>359</v>
      </c>
      <c r="C126" s="11" t="s">
        <v>32</v>
      </c>
      <c r="D126" s="12" t="s">
        <v>326</v>
      </c>
      <c r="E126" s="12" t="s">
        <v>194</v>
      </c>
      <c r="F126" s="11" t="s">
        <v>168</v>
      </c>
      <c r="G126" s="12" t="s">
        <v>194</v>
      </c>
      <c r="S126" s="0" t="n">
        <v>3</v>
      </c>
    </row>
    <row r="128" customFormat="false" ht="17.15" hidden="false" customHeight="false" outlineLevel="0" collapsed="false">
      <c r="A128" s="7" t="s">
        <v>360</v>
      </c>
    </row>
    <row r="129" customFormat="false" ht="17.15" hidden="false" customHeight="false" outlineLevel="0" collapsed="false">
      <c r="A129" s="5" t="s">
        <v>11</v>
      </c>
      <c r="B129" s="5" t="s">
        <v>361</v>
      </c>
      <c r="C129" s="5" t="s">
        <v>13</v>
      </c>
      <c r="D129" s="5" t="s">
        <v>14</v>
      </c>
      <c r="E129" s="5" t="s">
        <v>15</v>
      </c>
      <c r="F129" s="5" t="s">
        <v>16</v>
      </c>
      <c r="G129" s="5" t="s">
        <v>17</v>
      </c>
      <c r="H129" s="5" t="s">
        <v>317</v>
      </c>
      <c r="I129" s="5" t="s">
        <v>362</v>
      </c>
      <c r="J129" s="6" t="s">
        <v>72</v>
      </c>
      <c r="K129" s="5" t="s">
        <v>363</v>
      </c>
      <c r="L129" s="5" t="s">
        <v>364</v>
      </c>
      <c r="M129" s="5" t="s">
        <v>365</v>
      </c>
      <c r="N129" s="5" t="s">
        <v>366</v>
      </c>
    </row>
    <row r="130" customFormat="false" ht="17.15" hidden="false" customHeight="false" outlineLevel="0" collapsed="false">
      <c r="A130" s="0" t="s">
        <v>367</v>
      </c>
      <c r="B130" s="0" t="s">
        <v>368</v>
      </c>
      <c r="C130" s="0" t="s">
        <v>71</v>
      </c>
      <c r="D130" s="0" t="s">
        <v>72</v>
      </c>
      <c r="E130" s="0" t="s">
        <v>102</v>
      </c>
      <c r="F130" s="0" t="s">
        <v>74</v>
      </c>
      <c r="G130" s="0" t="s">
        <v>369</v>
      </c>
      <c r="H130" s="8" t="s">
        <v>370</v>
      </c>
      <c r="I130" s="8" t="s">
        <v>371</v>
      </c>
      <c r="J130" s="8" t="n">
        <v>369</v>
      </c>
      <c r="N130" s="8" t="n">
        <v>0</v>
      </c>
      <c r="S130" s="0" t="n">
        <v>4</v>
      </c>
    </row>
    <row r="131" customFormat="false" ht="17.15" hidden="false" customHeight="false" outlineLevel="0" collapsed="false">
      <c r="A131" s="0" t="s">
        <v>372</v>
      </c>
      <c r="B131" s="0" t="s">
        <v>373</v>
      </c>
      <c r="C131" s="0" t="s">
        <v>71</v>
      </c>
      <c r="D131" s="0" t="s">
        <v>72</v>
      </c>
      <c r="E131" s="0" t="s">
        <v>102</v>
      </c>
      <c r="F131" s="0" t="s">
        <v>74</v>
      </c>
      <c r="G131" s="0" t="s">
        <v>369</v>
      </c>
      <c r="H131" s="8" t="s">
        <v>370</v>
      </c>
      <c r="I131" s="8" t="s">
        <v>371</v>
      </c>
      <c r="J131" s="8" t="n">
        <v>636</v>
      </c>
      <c r="N131" s="8" t="n">
        <v>0</v>
      </c>
      <c r="S131" s="0" t="n">
        <v>4</v>
      </c>
    </row>
    <row r="132" customFormat="false" ht="17.15" hidden="false" customHeight="false" outlineLevel="0" collapsed="false">
      <c r="A132" s="0" t="s">
        <v>374</v>
      </c>
      <c r="B132" s="0" t="s">
        <v>375</v>
      </c>
      <c r="C132" s="0" t="s">
        <v>71</v>
      </c>
      <c r="D132" s="0" t="s">
        <v>72</v>
      </c>
      <c r="E132" s="0" t="s">
        <v>102</v>
      </c>
      <c r="F132" s="0" t="s">
        <v>89</v>
      </c>
      <c r="G132" s="0" t="s">
        <v>376</v>
      </c>
      <c r="H132" s="8" t="s">
        <v>377</v>
      </c>
      <c r="I132" s="8" t="s">
        <v>378</v>
      </c>
      <c r="J132" s="8" t="n">
        <v>910</v>
      </c>
      <c r="N132" s="8" t="n">
        <v>0</v>
      </c>
      <c r="S132" s="0" t="n">
        <v>4</v>
      </c>
    </row>
    <row r="133" customFormat="false" ht="17.15" hidden="false" customHeight="false" outlineLevel="0" collapsed="false">
      <c r="A133" s="0" t="s">
        <v>379</v>
      </c>
      <c r="B133" s="0" t="s">
        <v>380</v>
      </c>
      <c r="C133" s="0" t="s">
        <v>71</v>
      </c>
      <c r="D133" s="0" t="s">
        <v>72</v>
      </c>
      <c r="E133" s="0" t="s">
        <v>102</v>
      </c>
      <c r="F133" s="0" t="s">
        <v>89</v>
      </c>
      <c r="G133" s="0" t="s">
        <v>381</v>
      </c>
      <c r="H133" s="8" t="s">
        <v>377</v>
      </c>
      <c r="I133" s="8" t="s">
        <v>378</v>
      </c>
      <c r="J133" s="8" t="n">
        <v>228</v>
      </c>
      <c r="N133" s="8" t="n">
        <v>0</v>
      </c>
      <c r="S133" s="0" t="n">
        <v>4</v>
      </c>
    </row>
    <row r="134" customFormat="false" ht="17.15" hidden="false" customHeight="false" outlineLevel="0" collapsed="false">
      <c r="A134" s="0" t="s">
        <v>382</v>
      </c>
      <c r="B134" s="0" t="s">
        <v>383</v>
      </c>
      <c r="C134" s="0" t="s">
        <v>71</v>
      </c>
      <c r="D134" s="0" t="s">
        <v>72</v>
      </c>
      <c r="E134" s="0" t="s">
        <v>102</v>
      </c>
      <c r="F134" s="0" t="s">
        <v>89</v>
      </c>
      <c r="G134" s="0" t="s">
        <v>381</v>
      </c>
      <c r="H134" s="8" t="s">
        <v>377</v>
      </c>
      <c r="I134" s="8" t="s">
        <v>378</v>
      </c>
      <c r="J134" s="8" t="n">
        <v>284</v>
      </c>
      <c r="N134" s="8" t="n">
        <v>0</v>
      </c>
      <c r="S134" s="0" t="n">
        <v>4</v>
      </c>
    </row>
    <row r="135" customFormat="false" ht="17.15" hidden="false" customHeight="false" outlineLevel="0" collapsed="false">
      <c r="A135" s="0" t="s">
        <v>384</v>
      </c>
      <c r="B135" s="0" t="s">
        <v>385</v>
      </c>
      <c r="C135" s="0" t="s">
        <v>71</v>
      </c>
      <c r="D135" s="0" t="s">
        <v>72</v>
      </c>
      <c r="E135" s="0" t="s">
        <v>34</v>
      </c>
      <c r="F135" s="0" t="s">
        <v>95</v>
      </c>
      <c r="G135" s="0" t="s">
        <v>386</v>
      </c>
      <c r="H135" s="8" t="s">
        <v>387</v>
      </c>
      <c r="I135" s="8" t="s">
        <v>371</v>
      </c>
      <c r="J135" s="8" t="n">
        <v>515</v>
      </c>
      <c r="N135" s="8" t="n">
        <v>0</v>
      </c>
      <c r="S135" s="0" t="n">
        <v>4</v>
      </c>
    </row>
    <row r="136" customFormat="false" ht="17.15" hidden="false" customHeight="false" outlineLevel="0" collapsed="false">
      <c r="A136" s="0" t="s">
        <v>388</v>
      </c>
      <c r="B136" s="0" t="s">
        <v>389</v>
      </c>
      <c r="C136" s="4" t="s">
        <v>390</v>
      </c>
      <c r="D136" s="0" t="s">
        <v>72</v>
      </c>
      <c r="E136" s="0" t="s">
        <v>102</v>
      </c>
      <c r="F136" s="0" t="s">
        <v>95</v>
      </c>
      <c r="G136" s="0" t="s">
        <v>391</v>
      </c>
      <c r="H136" s="8" t="s">
        <v>387</v>
      </c>
      <c r="I136" s="8" t="s">
        <v>371</v>
      </c>
      <c r="J136" s="8" t="n">
        <v>8100</v>
      </c>
      <c r="N136" s="8" t="n">
        <v>0</v>
      </c>
      <c r="S13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392</v>
      </c>
    </row>
    <row r="2" customFormat="false" ht="17.15" hidden="false" customHeight="false" outlineLevel="0" collapsed="false">
      <c r="A2" s="4" t="s">
        <v>393</v>
      </c>
    </row>
    <row r="4" customFormat="false" ht="17.15" hidden="false" customHeight="false" outlineLevel="0" collapsed="false">
      <c r="A4" s="5" t="s">
        <v>394</v>
      </c>
      <c r="B4" s="5" t="s">
        <v>395</v>
      </c>
      <c r="C4" s="5" t="s">
        <v>396</v>
      </c>
      <c r="D4" s="5" t="s">
        <v>397</v>
      </c>
      <c r="E4" s="5" t="s">
        <v>398</v>
      </c>
      <c r="F4" s="5" t="s">
        <v>399</v>
      </c>
      <c r="G4" s="5" t="s">
        <v>14</v>
      </c>
      <c r="H4" s="6" t="s">
        <v>400</v>
      </c>
    </row>
    <row r="5" customFormat="false" ht="15" hidden="false" customHeight="false" outlineLevel="0" collapsed="false">
      <c r="A5" s="0" t="s">
        <v>401</v>
      </c>
      <c r="B5" s="0" t="s">
        <v>402</v>
      </c>
      <c r="C5" s="0" t="s">
        <v>403</v>
      </c>
      <c r="D5" s="15" t="n">
        <v>22439</v>
      </c>
      <c r="E5" s="15" t="n">
        <v>22439</v>
      </c>
      <c r="F5" s="15" t="n">
        <v>22439</v>
      </c>
      <c r="G5" s="4" t="s">
        <v>404</v>
      </c>
      <c r="H5" s="16" t="s">
        <v>405</v>
      </c>
    </row>
    <row r="6" customFormat="false" ht="15" hidden="false" customHeight="false" outlineLevel="0" collapsed="false">
      <c r="A6" s="0" t="s">
        <v>401</v>
      </c>
      <c r="B6" s="0" t="s">
        <v>406</v>
      </c>
      <c r="C6" s="0" t="s">
        <v>407</v>
      </c>
      <c r="D6" s="15" t="n">
        <v>6969</v>
      </c>
      <c r="E6" s="15" t="n">
        <v>6969</v>
      </c>
      <c r="F6" s="15" t="n">
        <v>6969</v>
      </c>
      <c r="G6" s="4" t="s">
        <v>404</v>
      </c>
      <c r="H6" s="16" t="s">
        <v>405</v>
      </c>
    </row>
    <row r="7" customFormat="false" ht="15" hidden="false" customHeight="false" outlineLevel="0" collapsed="false">
      <c r="A7" s="0" t="s">
        <v>401</v>
      </c>
      <c r="B7" s="0" t="s">
        <v>408</v>
      </c>
      <c r="C7" s="0" t="s">
        <v>409</v>
      </c>
      <c r="D7" s="15" t="n">
        <v>6764</v>
      </c>
      <c r="E7" s="15" t="n">
        <v>6764</v>
      </c>
      <c r="F7" s="15" t="n">
        <v>6764</v>
      </c>
      <c r="G7" s="4" t="s">
        <v>404</v>
      </c>
      <c r="H7" s="16" t="s">
        <v>405</v>
      </c>
    </row>
    <row r="8" customFormat="false" ht="15" hidden="false" customHeight="false" outlineLevel="0" collapsed="false">
      <c r="A8" s="0" t="s">
        <v>401</v>
      </c>
      <c r="B8" s="0" t="s">
        <v>410</v>
      </c>
      <c r="C8" s="0" t="s">
        <v>411</v>
      </c>
      <c r="D8" s="15" t="n">
        <v>4052</v>
      </c>
      <c r="E8" s="15" t="n">
        <v>4052</v>
      </c>
      <c r="F8" s="15" t="n">
        <v>4052</v>
      </c>
      <c r="G8" s="4" t="s">
        <v>404</v>
      </c>
      <c r="H8" s="16" t="s">
        <v>405</v>
      </c>
    </row>
    <row r="9" customFormat="false" ht="17.15" hidden="false" customHeight="false" outlineLevel="0" collapsed="false">
      <c r="A9" s="0" t="s">
        <v>401</v>
      </c>
      <c r="B9" s="0" t="s">
        <v>412</v>
      </c>
      <c r="C9" s="0" t="s">
        <v>413</v>
      </c>
      <c r="D9" s="15" t="n">
        <v>2705</v>
      </c>
      <c r="E9" s="15" t="n">
        <v>2705</v>
      </c>
      <c r="F9" s="15" t="n">
        <v>2705</v>
      </c>
      <c r="G9" s="4" t="s">
        <v>404</v>
      </c>
      <c r="H9" s="16" t="s">
        <v>405</v>
      </c>
    </row>
    <row r="10" customFormat="false" ht="15" hidden="false" customHeight="false" outlineLevel="0" collapsed="false">
      <c r="A10" s="0" t="s">
        <v>414</v>
      </c>
      <c r="B10" s="0" t="s">
        <v>402</v>
      </c>
      <c r="C10" s="0" t="s">
        <v>415</v>
      </c>
      <c r="D10" s="15" t="n">
        <v>718048</v>
      </c>
      <c r="E10" s="15" t="n">
        <v>718048</v>
      </c>
      <c r="F10" s="15" t="n">
        <v>718048</v>
      </c>
      <c r="G10" s="4" t="s">
        <v>416</v>
      </c>
      <c r="H10" s="16" t="s">
        <v>417</v>
      </c>
    </row>
    <row r="11" customFormat="false" ht="15" hidden="false" customHeight="false" outlineLevel="0" collapsed="false">
      <c r="A11" s="0" t="s">
        <v>414</v>
      </c>
      <c r="B11" s="0" t="s">
        <v>406</v>
      </c>
      <c r="C11" s="0" t="s">
        <v>418</v>
      </c>
      <c r="D11" s="15" t="n">
        <v>501768</v>
      </c>
      <c r="E11" s="15" t="n">
        <v>501768</v>
      </c>
      <c r="F11" s="15" t="n">
        <v>501768</v>
      </c>
      <c r="G11" s="4" t="s">
        <v>416</v>
      </c>
      <c r="H11" s="16" t="s">
        <v>417</v>
      </c>
    </row>
    <row r="12" customFormat="false" ht="15" hidden="false" customHeight="false" outlineLevel="0" collapsed="false">
      <c r="A12" s="0" t="s">
        <v>414</v>
      </c>
      <c r="B12" s="0" t="s">
        <v>408</v>
      </c>
      <c r="C12" s="0" t="s">
        <v>419</v>
      </c>
      <c r="D12" s="15" t="n">
        <v>487008</v>
      </c>
      <c r="E12" s="15" t="n">
        <v>487008</v>
      </c>
      <c r="F12" s="15" t="n">
        <v>487008</v>
      </c>
      <c r="G12" s="4" t="s">
        <v>416</v>
      </c>
      <c r="H12" s="16" t="s">
        <v>417</v>
      </c>
    </row>
    <row r="13" customFormat="false" ht="15" hidden="false" customHeight="false" outlineLevel="0" collapsed="false">
      <c r="A13" s="0" t="s">
        <v>414</v>
      </c>
      <c r="B13" s="0" t="s">
        <v>410</v>
      </c>
      <c r="C13" s="0" t="s">
        <v>420</v>
      </c>
      <c r="D13" s="15" t="n">
        <v>291744</v>
      </c>
      <c r="E13" s="15" t="n">
        <v>291744</v>
      </c>
      <c r="F13" s="15" t="n">
        <v>291744</v>
      </c>
      <c r="G13" s="4" t="s">
        <v>416</v>
      </c>
      <c r="H13" s="16" t="s">
        <v>417</v>
      </c>
    </row>
    <row r="14" customFormat="false" ht="17.15" hidden="false" customHeight="false" outlineLevel="0" collapsed="false">
      <c r="A14" s="0" t="s">
        <v>414</v>
      </c>
      <c r="B14" s="0" t="s">
        <v>412</v>
      </c>
      <c r="C14" s="0" t="s">
        <v>421</v>
      </c>
      <c r="D14" s="15" t="n">
        <v>194760</v>
      </c>
      <c r="E14" s="15" t="n">
        <v>194760</v>
      </c>
      <c r="F14" s="15" t="n">
        <v>194760</v>
      </c>
      <c r="G14" s="4" t="s">
        <v>416</v>
      </c>
      <c r="H14" s="16" t="s">
        <v>417</v>
      </c>
    </row>
    <row r="15" customFormat="false" ht="15" hidden="false" customHeight="false" outlineLevel="0" collapsed="false">
      <c r="A15" s="0" t="s">
        <v>422</v>
      </c>
      <c r="B15" s="0" t="s">
        <v>402</v>
      </c>
      <c r="C15" s="0" t="s">
        <v>423</v>
      </c>
      <c r="D15" s="15" t="n">
        <v>21.4202694</v>
      </c>
      <c r="E15" s="15" t="n">
        <v>27.510214</v>
      </c>
      <c r="F15" s="15" t="n">
        <v>34.1207434</v>
      </c>
      <c r="G15" s="16" t="s">
        <v>123</v>
      </c>
      <c r="H15" s="16" t="s">
        <v>424</v>
      </c>
    </row>
    <row r="16" customFormat="false" ht="15" hidden="false" customHeight="false" outlineLevel="0" collapsed="false">
      <c r="A16" s="0" t="s">
        <v>422</v>
      </c>
      <c r="B16" s="0" t="s">
        <v>406</v>
      </c>
      <c r="C16" s="0" t="s">
        <v>425</v>
      </c>
      <c r="D16" s="15" t="n">
        <v>20.6393904</v>
      </c>
      <c r="E16" s="15" t="n">
        <v>24.015174</v>
      </c>
      <c r="F16" s="15" t="n">
        <v>27.6502044</v>
      </c>
      <c r="G16" s="16" t="s">
        <v>123</v>
      </c>
      <c r="H16" s="16" t="s">
        <v>424</v>
      </c>
    </row>
    <row r="17" customFormat="false" ht="15" hidden="false" customHeight="false" outlineLevel="0" collapsed="false">
      <c r="A17" s="0" t="s">
        <v>422</v>
      </c>
      <c r="B17" s="0" t="s">
        <v>408</v>
      </c>
      <c r="C17" s="0" t="s">
        <v>426</v>
      </c>
      <c r="D17" s="15" t="n">
        <v>28.5549024</v>
      </c>
      <c r="E17" s="15" t="n">
        <v>32.237224</v>
      </c>
      <c r="F17" s="15" t="n">
        <v>39.2826064</v>
      </c>
      <c r="G17" s="16" t="s">
        <v>123</v>
      </c>
      <c r="H17" s="16" t="s">
        <v>424</v>
      </c>
    </row>
    <row r="18" customFormat="false" ht="15" hidden="false" customHeight="false" outlineLevel="0" collapsed="false">
      <c r="A18" s="0" t="s">
        <v>422</v>
      </c>
      <c r="B18" s="0" t="s">
        <v>410</v>
      </c>
      <c r="C18" s="0" t="s">
        <v>427</v>
      </c>
      <c r="D18" s="15" t="n">
        <v>31.9970232</v>
      </c>
      <c r="E18" s="15" t="n">
        <v>37.586352</v>
      </c>
      <c r="F18" s="15" t="n">
        <v>42.6375752</v>
      </c>
      <c r="G18" s="16" t="s">
        <v>123</v>
      </c>
      <c r="H18" s="16" t="s">
        <v>424</v>
      </c>
    </row>
    <row r="19" customFormat="false" ht="17.15" hidden="false" customHeight="false" outlineLevel="0" collapsed="false">
      <c r="A19" s="0" t="s">
        <v>422</v>
      </c>
      <c r="B19" s="0" t="s">
        <v>412</v>
      </c>
      <c r="C19" s="0" t="s">
        <v>428</v>
      </c>
      <c r="D19" s="15" t="n">
        <v>35.845578</v>
      </c>
      <c r="E19" s="15" t="n">
        <v>50.08578</v>
      </c>
      <c r="F19" s="15" t="n">
        <v>65.481558</v>
      </c>
      <c r="G19" s="16" t="s">
        <v>123</v>
      </c>
      <c r="H19" s="16" t="s">
        <v>424</v>
      </c>
    </row>
    <row r="20" customFormat="false" ht="15" hidden="false" customHeight="false" outlineLevel="0" collapsed="false">
      <c r="A20" s="0" t="s">
        <v>429</v>
      </c>
      <c r="B20" s="0" t="s">
        <v>402</v>
      </c>
      <c r="C20" s="0" t="s">
        <v>430</v>
      </c>
      <c r="D20" s="15" t="n">
        <v>10.212</v>
      </c>
      <c r="E20" s="15" t="n">
        <v>12.67</v>
      </c>
      <c r="F20" s="15" t="n">
        <v>16.186</v>
      </c>
      <c r="G20" s="16" t="s">
        <v>123</v>
      </c>
      <c r="H20" s="16" t="s">
        <v>431</v>
      </c>
    </row>
    <row r="21" customFormat="false" ht="15" hidden="false" customHeight="false" outlineLevel="0" collapsed="false">
      <c r="A21" s="0" t="s">
        <v>429</v>
      </c>
      <c r="B21" s="0" t="s">
        <v>406</v>
      </c>
      <c r="C21" s="0" t="s">
        <v>432</v>
      </c>
      <c r="D21" s="15" t="n">
        <v>10.212</v>
      </c>
      <c r="E21" s="15" t="n">
        <v>12.67</v>
      </c>
      <c r="F21" s="15" t="n">
        <v>16.186</v>
      </c>
      <c r="G21" s="16" t="s">
        <v>123</v>
      </c>
      <c r="H21" s="16" t="s">
        <v>431</v>
      </c>
    </row>
    <row r="22" customFormat="false" ht="15" hidden="false" customHeight="false" outlineLevel="0" collapsed="false">
      <c r="A22" s="0" t="s">
        <v>429</v>
      </c>
      <c r="B22" s="0" t="s">
        <v>408</v>
      </c>
      <c r="C22" s="0" t="s">
        <v>433</v>
      </c>
      <c r="D22" s="15" t="n">
        <v>10.212</v>
      </c>
      <c r="E22" s="15" t="n">
        <v>12.67</v>
      </c>
      <c r="F22" s="15" t="n">
        <v>16.186</v>
      </c>
      <c r="G22" s="16" t="s">
        <v>123</v>
      </c>
      <c r="H22" s="16" t="s">
        <v>431</v>
      </c>
    </row>
    <row r="23" customFormat="false" ht="15" hidden="false" customHeight="false" outlineLevel="0" collapsed="false">
      <c r="A23" s="0" t="s">
        <v>429</v>
      </c>
      <c r="B23" s="0" t="s">
        <v>410</v>
      </c>
      <c r="C23" s="0" t="s">
        <v>434</v>
      </c>
      <c r="D23" s="15" t="n">
        <v>10.212</v>
      </c>
      <c r="E23" s="15" t="n">
        <v>12.67</v>
      </c>
      <c r="F23" s="15" t="n">
        <v>16.186</v>
      </c>
      <c r="G23" s="16" t="s">
        <v>123</v>
      </c>
      <c r="H23" s="16" t="s">
        <v>431</v>
      </c>
    </row>
    <row r="24" customFormat="false" ht="17.15" hidden="false" customHeight="false" outlineLevel="0" collapsed="false">
      <c r="A24" s="0" t="s">
        <v>429</v>
      </c>
      <c r="B24" s="0" t="s">
        <v>412</v>
      </c>
      <c r="C24" s="0" t="s">
        <v>435</v>
      </c>
      <c r="D24" s="15" t="n">
        <v>10.212</v>
      </c>
      <c r="E24" s="15" t="n">
        <v>12.67</v>
      </c>
      <c r="F24" s="15" t="n">
        <v>16.186</v>
      </c>
      <c r="G24" s="16" t="s">
        <v>123</v>
      </c>
      <c r="H24" s="16" t="s">
        <v>431</v>
      </c>
    </row>
    <row r="25" customFormat="false" ht="15" hidden="false" customHeight="false" outlineLevel="0" collapsed="false">
      <c r="A25" s="0" t="s">
        <v>436</v>
      </c>
      <c r="B25" s="0" t="s">
        <v>402</v>
      </c>
      <c r="C25" s="0" t="s">
        <v>437</v>
      </c>
      <c r="D25" s="15" t="n">
        <v>31.6322694</v>
      </c>
      <c r="E25" s="15" t="n">
        <v>40.180214</v>
      </c>
      <c r="F25" s="15" t="n">
        <v>50.3067434</v>
      </c>
      <c r="G25" s="16" t="s">
        <v>123</v>
      </c>
      <c r="H25" s="16" t="s">
        <v>438</v>
      </c>
    </row>
    <row r="26" customFormat="false" ht="15" hidden="false" customHeight="false" outlineLevel="0" collapsed="false">
      <c r="A26" s="0" t="s">
        <v>436</v>
      </c>
      <c r="B26" s="0" t="s">
        <v>406</v>
      </c>
      <c r="C26" s="0" t="s">
        <v>439</v>
      </c>
      <c r="D26" s="15" t="n">
        <v>30.8513904</v>
      </c>
      <c r="E26" s="15" t="n">
        <v>36.685174</v>
      </c>
      <c r="F26" s="15" t="n">
        <v>43.8362044</v>
      </c>
      <c r="G26" s="16" t="s">
        <v>123</v>
      </c>
      <c r="H26" s="16" t="s">
        <v>438</v>
      </c>
    </row>
    <row r="27" customFormat="false" ht="15" hidden="false" customHeight="false" outlineLevel="0" collapsed="false">
      <c r="A27" s="0" t="s">
        <v>436</v>
      </c>
      <c r="B27" s="0" t="s">
        <v>408</v>
      </c>
      <c r="C27" s="0" t="s">
        <v>440</v>
      </c>
      <c r="D27" s="15" t="n">
        <v>38.7669024</v>
      </c>
      <c r="E27" s="15" t="n">
        <v>44.907224</v>
      </c>
      <c r="F27" s="15" t="n">
        <v>55.4686064</v>
      </c>
      <c r="G27" s="16" t="s">
        <v>123</v>
      </c>
      <c r="H27" s="16" t="s">
        <v>438</v>
      </c>
    </row>
    <row r="28" customFormat="false" ht="15" hidden="false" customHeight="false" outlineLevel="0" collapsed="false">
      <c r="A28" s="0" t="s">
        <v>436</v>
      </c>
      <c r="B28" s="0" t="s">
        <v>410</v>
      </c>
      <c r="C28" s="0" t="s">
        <v>441</v>
      </c>
      <c r="D28" s="15" t="n">
        <v>42.2090232</v>
      </c>
      <c r="E28" s="15" t="n">
        <v>50.256352</v>
      </c>
      <c r="F28" s="15" t="n">
        <v>58.8235752</v>
      </c>
      <c r="G28" s="16" t="s">
        <v>123</v>
      </c>
      <c r="H28" s="16" t="s">
        <v>438</v>
      </c>
    </row>
    <row r="29" customFormat="false" ht="17.15" hidden="false" customHeight="false" outlineLevel="0" collapsed="false">
      <c r="A29" s="0" t="s">
        <v>436</v>
      </c>
      <c r="B29" s="0" t="s">
        <v>412</v>
      </c>
      <c r="C29" s="0" t="s">
        <v>442</v>
      </c>
      <c r="D29" s="15" t="n">
        <v>46.057578</v>
      </c>
      <c r="E29" s="15" t="n">
        <v>62.75578</v>
      </c>
      <c r="F29" s="15" t="n">
        <v>81.667558</v>
      </c>
      <c r="G29" s="16" t="s">
        <v>123</v>
      </c>
      <c r="H29" s="16" t="s">
        <v>438</v>
      </c>
    </row>
    <row r="30" customFormat="false" ht="17.15" hidden="false" customHeight="false" outlineLevel="0" collapsed="false">
      <c r="A30" s="0" t="s">
        <v>443</v>
      </c>
      <c r="B30" s="0" t="s">
        <v>402</v>
      </c>
      <c r="C30" s="0" t="s">
        <v>444</v>
      </c>
      <c r="D30" s="15" t="n">
        <v>0.9</v>
      </c>
      <c r="E30" s="15" t="n">
        <v>1.1</v>
      </c>
      <c r="F30" s="15" t="n">
        <v>1.3</v>
      </c>
      <c r="G30" s="16" t="s">
        <v>445</v>
      </c>
      <c r="H30" s="16" t="s">
        <v>446</v>
      </c>
    </row>
    <row r="31" customFormat="false" ht="17.15" hidden="false" customHeight="false" outlineLevel="0" collapsed="false">
      <c r="A31" s="0" t="s">
        <v>443</v>
      </c>
      <c r="B31" s="0" t="s">
        <v>406</v>
      </c>
      <c r="C31" s="0" t="s">
        <v>447</v>
      </c>
      <c r="D31" s="15" t="n">
        <v>2.8</v>
      </c>
      <c r="E31" s="15" t="n">
        <v>3.1</v>
      </c>
      <c r="F31" s="15" t="n">
        <v>3.4</v>
      </c>
      <c r="G31" s="16" t="s">
        <v>445</v>
      </c>
      <c r="H31" s="16" t="s">
        <v>446</v>
      </c>
    </row>
    <row r="32" customFormat="false" ht="17.15" hidden="false" customHeight="false" outlineLevel="0" collapsed="false">
      <c r="A32" s="0" t="s">
        <v>443</v>
      </c>
      <c r="B32" s="0" t="s">
        <v>408</v>
      </c>
      <c r="C32" s="0" t="s">
        <v>448</v>
      </c>
      <c r="D32" s="15" t="n">
        <v>4</v>
      </c>
      <c r="E32" s="15" t="n">
        <v>4.3</v>
      </c>
      <c r="F32" s="15" t="n">
        <v>5</v>
      </c>
      <c r="G32" s="16" t="s">
        <v>445</v>
      </c>
      <c r="H32" s="16" t="s">
        <v>446</v>
      </c>
    </row>
    <row r="33" customFormat="false" ht="17.15" hidden="false" customHeight="false" outlineLevel="0" collapsed="false">
      <c r="A33" s="0" t="s">
        <v>443</v>
      </c>
      <c r="B33" s="0" t="s">
        <v>410</v>
      </c>
      <c r="C33" s="0" t="s">
        <v>449</v>
      </c>
      <c r="D33" s="15" t="n">
        <v>7.5</v>
      </c>
      <c r="E33" s="15" t="n">
        <v>8.4</v>
      </c>
      <c r="F33" s="15" t="n">
        <v>9.1</v>
      </c>
      <c r="G33" s="16" t="s">
        <v>445</v>
      </c>
      <c r="H33" s="16" t="s">
        <v>446</v>
      </c>
    </row>
    <row r="34" customFormat="false" ht="17.15" hidden="false" customHeight="false" outlineLevel="0" collapsed="false">
      <c r="A34" s="0" t="s">
        <v>443</v>
      </c>
      <c r="B34" s="0" t="s">
        <v>412</v>
      </c>
      <c r="C34" s="0" t="s">
        <v>450</v>
      </c>
      <c r="D34" s="15" t="n">
        <v>12.6</v>
      </c>
      <c r="E34" s="15" t="n">
        <v>16.8</v>
      </c>
      <c r="F34" s="15" t="n">
        <v>21</v>
      </c>
      <c r="G34" s="16" t="s">
        <v>445</v>
      </c>
      <c r="H34" s="16" t="s">
        <v>446</v>
      </c>
    </row>
    <row r="35" customFormat="false" ht="17.15" hidden="false" customHeight="false" outlineLevel="0" collapsed="false">
      <c r="A35" s="0" t="s">
        <v>451</v>
      </c>
      <c r="B35" s="0" t="s">
        <v>402</v>
      </c>
      <c r="C35" s="0" t="s">
        <v>452</v>
      </c>
      <c r="D35" s="15" t="n">
        <v>0.05</v>
      </c>
      <c r="E35" s="15" t="n">
        <v>0.1</v>
      </c>
      <c r="F35" s="15" t="n">
        <v>0.15</v>
      </c>
      <c r="G35" s="4" t="s">
        <v>453</v>
      </c>
      <c r="H35" s="16" t="s">
        <v>454</v>
      </c>
    </row>
    <row r="36" customFormat="false" ht="17.15" hidden="false" customHeight="false" outlineLevel="0" collapsed="false">
      <c r="A36" s="0" t="s">
        <v>451</v>
      </c>
      <c r="B36" s="0" t="s">
        <v>406</v>
      </c>
      <c r="C36" s="0" t="s">
        <v>455</v>
      </c>
      <c r="D36" s="15" t="n">
        <v>0.05</v>
      </c>
      <c r="E36" s="15" t="n">
        <v>0.1</v>
      </c>
      <c r="F36" s="15" t="n">
        <v>0.15</v>
      </c>
      <c r="G36" s="4" t="s">
        <v>453</v>
      </c>
      <c r="H36" s="16" t="s">
        <v>454</v>
      </c>
    </row>
    <row r="37" customFormat="false" ht="17.15" hidden="false" customHeight="false" outlineLevel="0" collapsed="false">
      <c r="A37" s="0" t="s">
        <v>451</v>
      </c>
      <c r="B37" s="0" t="s">
        <v>408</v>
      </c>
      <c r="C37" s="0" t="s">
        <v>456</v>
      </c>
      <c r="D37" s="15" t="n">
        <v>0.05</v>
      </c>
      <c r="E37" s="15" t="n">
        <v>0.1</v>
      </c>
      <c r="F37" s="15" t="n">
        <v>0.15</v>
      </c>
      <c r="G37" s="4" t="s">
        <v>453</v>
      </c>
      <c r="H37" s="16" t="s">
        <v>454</v>
      </c>
    </row>
    <row r="38" customFormat="false" ht="17.15" hidden="false" customHeight="false" outlineLevel="0" collapsed="false">
      <c r="A38" s="0" t="s">
        <v>451</v>
      </c>
      <c r="B38" s="0" t="s">
        <v>410</v>
      </c>
      <c r="C38" s="0" t="s">
        <v>457</v>
      </c>
      <c r="D38" s="15" t="n">
        <v>0.05</v>
      </c>
      <c r="E38" s="15" t="n">
        <v>0.1</v>
      </c>
      <c r="F38" s="15" t="n">
        <v>0.15</v>
      </c>
      <c r="G38" s="4" t="s">
        <v>453</v>
      </c>
      <c r="H38" s="16" t="s">
        <v>454</v>
      </c>
    </row>
    <row r="39" customFormat="false" ht="17.15" hidden="false" customHeight="false" outlineLevel="0" collapsed="false">
      <c r="A39" s="0" t="s">
        <v>451</v>
      </c>
      <c r="B39" s="0" t="s">
        <v>412</v>
      </c>
      <c r="C39" s="0" t="s">
        <v>458</v>
      </c>
      <c r="D39" s="15" t="n">
        <v>0.05</v>
      </c>
      <c r="E39" s="15" t="n">
        <v>0.1</v>
      </c>
      <c r="F39" s="15" t="n">
        <v>0.15</v>
      </c>
      <c r="G39" s="4" t="s">
        <v>453</v>
      </c>
      <c r="H39" s="16" t="s">
        <v>454</v>
      </c>
    </row>
    <row r="40" customFormat="false" ht="15" hidden="false" customHeight="false" outlineLevel="0" collapsed="false">
      <c r="A40" s="0" t="s">
        <v>459</v>
      </c>
      <c r="B40" s="0" t="s">
        <v>402</v>
      </c>
      <c r="C40" s="0" t="s">
        <v>460</v>
      </c>
      <c r="D40" s="15" t="n">
        <v>300</v>
      </c>
      <c r="E40" s="15" t="n">
        <v>500</v>
      </c>
      <c r="F40" s="15" t="n">
        <v>800</v>
      </c>
      <c r="G40" s="16" t="s">
        <v>461</v>
      </c>
      <c r="H40" s="16" t="s">
        <v>462</v>
      </c>
    </row>
    <row r="41" customFormat="false" ht="15" hidden="false" customHeight="false" outlineLevel="0" collapsed="false">
      <c r="A41" s="0" t="s">
        <v>459</v>
      </c>
      <c r="B41" s="0" t="s">
        <v>406</v>
      </c>
      <c r="C41" s="0" t="s">
        <v>463</v>
      </c>
      <c r="D41" s="15" t="n">
        <v>300</v>
      </c>
      <c r="E41" s="15" t="n">
        <v>500</v>
      </c>
      <c r="F41" s="15" t="n">
        <v>800</v>
      </c>
      <c r="G41" s="16" t="s">
        <v>461</v>
      </c>
      <c r="H41" s="16" t="s">
        <v>462</v>
      </c>
    </row>
    <row r="42" customFormat="false" ht="15" hidden="false" customHeight="false" outlineLevel="0" collapsed="false">
      <c r="A42" s="0" t="s">
        <v>459</v>
      </c>
      <c r="B42" s="0" t="s">
        <v>408</v>
      </c>
      <c r="C42" s="0" t="s">
        <v>464</v>
      </c>
      <c r="D42" s="15" t="n">
        <v>300</v>
      </c>
      <c r="E42" s="15" t="n">
        <v>500</v>
      </c>
      <c r="F42" s="15" t="n">
        <v>800</v>
      </c>
      <c r="G42" s="16" t="s">
        <v>461</v>
      </c>
      <c r="H42" s="16" t="s">
        <v>462</v>
      </c>
    </row>
    <row r="43" customFormat="false" ht="15" hidden="false" customHeight="false" outlineLevel="0" collapsed="false">
      <c r="A43" s="0" t="s">
        <v>459</v>
      </c>
      <c r="B43" s="0" t="s">
        <v>410</v>
      </c>
      <c r="C43" s="0" t="s">
        <v>465</v>
      </c>
      <c r="D43" s="15" t="n">
        <v>300</v>
      </c>
      <c r="E43" s="15" t="n">
        <v>500</v>
      </c>
      <c r="F43" s="15" t="n">
        <v>800</v>
      </c>
      <c r="G43" s="16" t="s">
        <v>461</v>
      </c>
      <c r="H43" s="16" t="s">
        <v>462</v>
      </c>
    </row>
    <row r="44" customFormat="false" ht="17.15" hidden="false" customHeight="false" outlineLevel="0" collapsed="false">
      <c r="A44" s="0" t="s">
        <v>459</v>
      </c>
      <c r="B44" s="0" t="s">
        <v>412</v>
      </c>
      <c r="C44" s="0" t="s">
        <v>466</v>
      </c>
      <c r="D44" s="15" t="n">
        <v>300</v>
      </c>
      <c r="E44" s="15" t="n">
        <v>500</v>
      </c>
      <c r="F44" s="15" t="n">
        <v>800</v>
      </c>
      <c r="G44" s="16" t="s">
        <v>461</v>
      </c>
      <c r="H44" s="16" t="s">
        <v>462</v>
      </c>
    </row>
    <row r="45" customFormat="false" ht="17.15" hidden="false" customHeight="false" outlineLevel="0" collapsed="false">
      <c r="A45" s="0" t="s">
        <v>467</v>
      </c>
      <c r="B45" s="0" t="s">
        <v>468</v>
      </c>
      <c r="C45" s="0" t="s">
        <v>469</v>
      </c>
      <c r="D45" s="15" t="n">
        <v>0.7</v>
      </c>
      <c r="E45" s="15" t="n">
        <v>0.8</v>
      </c>
      <c r="F45" s="15" t="n">
        <v>1.15</v>
      </c>
      <c r="G45" s="4" t="s">
        <v>470</v>
      </c>
      <c r="H45" s="16" t="s">
        <v>471</v>
      </c>
    </row>
    <row r="46" customFormat="false" ht="17.15" hidden="false" customHeight="false" outlineLevel="0" collapsed="false">
      <c r="A46" s="0" t="s">
        <v>472</v>
      </c>
      <c r="B46" s="0" t="s">
        <v>473</v>
      </c>
      <c r="C46" s="0" t="s">
        <v>474</v>
      </c>
      <c r="D46" s="15" t="n">
        <v>0.6</v>
      </c>
      <c r="E46" s="15" t="n">
        <v>0.8</v>
      </c>
      <c r="F46" s="15" t="n">
        <v>1.1</v>
      </c>
      <c r="G46" s="4" t="s">
        <v>470</v>
      </c>
      <c r="H46" s="16" t="s">
        <v>475</v>
      </c>
    </row>
    <row r="47" customFormat="false" ht="17.15" hidden="false" customHeight="false" outlineLevel="0" collapsed="false">
      <c r="A47" s="0" t="s">
        <v>476</v>
      </c>
      <c r="B47" s="0" t="s">
        <v>477</v>
      </c>
      <c r="C47" s="0" t="s">
        <v>478</v>
      </c>
      <c r="D47" s="15" t="n">
        <v>0.3</v>
      </c>
      <c r="E47" s="15" t="n">
        <v>0.5</v>
      </c>
      <c r="F47" s="15" t="n">
        <v>0.8</v>
      </c>
      <c r="G47" s="4" t="s">
        <v>470</v>
      </c>
      <c r="H47" s="16" t="s">
        <v>479</v>
      </c>
    </row>
    <row r="48" customFormat="false" ht="17.15" hidden="false" customHeight="false" outlineLevel="0" collapsed="false">
      <c r="A48" s="0" t="s">
        <v>480</v>
      </c>
      <c r="B48" s="0" t="s">
        <v>481</v>
      </c>
      <c r="C48" s="0" t="s">
        <v>482</v>
      </c>
      <c r="D48" s="15" t="n">
        <v>0.2</v>
      </c>
      <c r="E48" s="15" t="n">
        <v>0.4</v>
      </c>
      <c r="F48" s="15" t="n">
        <v>0.8</v>
      </c>
      <c r="G48" s="4" t="s">
        <v>470</v>
      </c>
      <c r="H48" s="16" t="s">
        <v>483</v>
      </c>
    </row>
    <row r="49" customFormat="false" ht="17.15" hidden="false" customHeight="false" outlineLevel="0" collapsed="false">
      <c r="A49" s="0" t="s">
        <v>484</v>
      </c>
      <c r="B49" s="0" t="s">
        <v>485</v>
      </c>
      <c r="C49" s="0" t="s">
        <v>486</v>
      </c>
      <c r="D49" s="15" t="n">
        <v>0.4</v>
      </c>
      <c r="E49" s="15" t="n">
        <v>0.6</v>
      </c>
      <c r="F49" s="15" t="n">
        <v>0.9</v>
      </c>
      <c r="G49" s="4" t="s">
        <v>470</v>
      </c>
      <c r="H49" s="16" t="s">
        <v>487</v>
      </c>
    </row>
    <row r="50" customFormat="false" ht="17.15" hidden="false" customHeight="false" outlineLevel="0" collapsed="false">
      <c r="A50" s="0" t="s">
        <v>488</v>
      </c>
      <c r="B50" s="4" t="s">
        <v>489</v>
      </c>
      <c r="C50" s="0" t="s">
        <v>490</v>
      </c>
      <c r="D50" s="15" t="n">
        <v>0.05</v>
      </c>
      <c r="E50" s="15" t="n">
        <v>0.08</v>
      </c>
      <c r="F50" s="15" t="n">
        <v>0.15</v>
      </c>
      <c r="G50" s="4" t="s">
        <v>470</v>
      </c>
      <c r="H50" s="16" t="s">
        <v>491</v>
      </c>
    </row>
    <row r="51" customFormat="false" ht="17.15" hidden="false" customHeight="false" outlineLevel="0" collapsed="false">
      <c r="A51" s="0" t="s">
        <v>492</v>
      </c>
      <c r="B51" s="0" t="s">
        <v>493</v>
      </c>
      <c r="C51" s="0" t="s">
        <v>494</v>
      </c>
      <c r="D51" s="15" t="n">
        <v>0.25</v>
      </c>
      <c r="E51" s="15" t="n">
        <v>0.55</v>
      </c>
      <c r="F51" s="15" t="n">
        <v>0.75</v>
      </c>
      <c r="G51" s="4" t="s">
        <v>470</v>
      </c>
      <c r="H51" s="16" t="s">
        <v>495</v>
      </c>
    </row>
    <row r="52" customFormat="false" ht="17.15" hidden="false" customHeight="false" outlineLevel="0" collapsed="false">
      <c r="A52" s="0" t="s">
        <v>496</v>
      </c>
      <c r="B52" s="0" t="s">
        <v>497</v>
      </c>
      <c r="C52" s="0" t="s">
        <v>498</v>
      </c>
      <c r="D52" s="15" t="n">
        <v>0.67</v>
      </c>
      <c r="E52" s="15" t="n">
        <v>0.85</v>
      </c>
      <c r="F52" s="15" t="n">
        <v>1.12</v>
      </c>
      <c r="G52" s="4" t="s">
        <v>470</v>
      </c>
      <c r="H52" s="16" t="s">
        <v>499</v>
      </c>
    </row>
    <row r="53" customFormat="false" ht="17.15" hidden="false" customHeight="false" outlineLevel="0" collapsed="false">
      <c r="A53" s="0" t="s">
        <v>500</v>
      </c>
      <c r="B53" s="0" t="s">
        <v>501</v>
      </c>
      <c r="C53" s="0" t="s">
        <v>502</v>
      </c>
      <c r="D53" s="15" t="n">
        <v>0.65</v>
      </c>
      <c r="E53" s="15" t="n">
        <v>0.7</v>
      </c>
      <c r="F53" s="15" t="n">
        <v>0.9</v>
      </c>
      <c r="G53" s="4" t="s">
        <v>470</v>
      </c>
      <c r="H53" s="16" t="s">
        <v>503</v>
      </c>
    </row>
    <row r="54" customFormat="false" ht="17.15" hidden="false" customHeight="false" outlineLevel="0" collapsed="false">
      <c r="A54" s="0" t="s">
        <v>504</v>
      </c>
      <c r="B54" s="0" t="s">
        <v>505</v>
      </c>
      <c r="C54" s="0" t="s">
        <v>506</v>
      </c>
      <c r="D54" s="15" t="n">
        <v>0.45</v>
      </c>
      <c r="E54" s="15" t="n">
        <v>0.61</v>
      </c>
      <c r="F54" s="15" t="n">
        <v>0.7</v>
      </c>
      <c r="G54" s="4" t="s">
        <v>470</v>
      </c>
      <c r="H54" s="16" t="s">
        <v>507</v>
      </c>
    </row>
    <row r="55" customFormat="false" ht="17.15" hidden="false" customHeight="false" outlineLevel="0" collapsed="false">
      <c r="A55" s="0" t="s">
        <v>508</v>
      </c>
      <c r="B55" s="0" t="s">
        <v>509</v>
      </c>
      <c r="C55" s="0" t="s">
        <v>510</v>
      </c>
      <c r="D55" s="15" t="n">
        <v>0.8</v>
      </c>
      <c r="E55" s="15" t="n">
        <v>1</v>
      </c>
      <c r="F55" s="15" t="n">
        <v>1.2</v>
      </c>
      <c r="G55" s="4" t="s">
        <v>470</v>
      </c>
      <c r="H55" s="16" t="s">
        <v>511</v>
      </c>
    </row>
    <row r="56" customFormat="false" ht="17.15" hidden="false" customHeight="false" outlineLevel="0" collapsed="false">
      <c r="A56" s="0" t="s">
        <v>512</v>
      </c>
      <c r="B56" s="0" t="s">
        <v>513</v>
      </c>
      <c r="C56" s="0" t="s">
        <v>514</v>
      </c>
      <c r="D56" s="15" t="n">
        <v>0.7</v>
      </c>
      <c r="E56" s="15" t="n">
        <v>0.8</v>
      </c>
      <c r="F56" s="15" t="n">
        <v>1</v>
      </c>
      <c r="G56" s="4" t="s">
        <v>470</v>
      </c>
      <c r="H56" s="16" t="s">
        <v>515</v>
      </c>
    </row>
    <row r="57" customFormat="false" ht="17.15" hidden="false" customHeight="false" outlineLevel="0" collapsed="false">
      <c r="A57" s="0" t="s">
        <v>516</v>
      </c>
      <c r="B57" s="4" t="s">
        <v>517</v>
      </c>
      <c r="C57" s="0" t="s">
        <v>518</v>
      </c>
      <c r="D57" s="15" t="n">
        <v>0.45</v>
      </c>
      <c r="E57" s="15" t="n">
        <v>0.55</v>
      </c>
      <c r="F57" s="15" t="n">
        <v>0.7</v>
      </c>
      <c r="G57" s="4" t="s">
        <v>470</v>
      </c>
      <c r="H57" s="16" t="s">
        <v>519</v>
      </c>
    </row>
    <row r="58" customFormat="false" ht="17.15" hidden="false" customHeight="false" outlineLevel="0" collapsed="false">
      <c r="A58" s="0" t="s">
        <v>520</v>
      </c>
      <c r="B58" s="0" t="s">
        <v>521</v>
      </c>
      <c r="C58" s="0" t="s">
        <v>522</v>
      </c>
      <c r="D58" s="15" t="n">
        <v>0.4</v>
      </c>
      <c r="E58" s="15" t="n">
        <v>0.5</v>
      </c>
      <c r="F58" s="15" t="n">
        <v>0.6</v>
      </c>
      <c r="G58" s="4" t="s">
        <v>470</v>
      </c>
      <c r="H58" s="16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524</v>
      </c>
    </row>
    <row r="3" customFormat="false" ht="17.15" hidden="false" customHeight="false" outlineLevel="0" collapsed="false">
      <c r="A3" s="5" t="s">
        <v>525</v>
      </c>
      <c r="B3" s="5" t="s">
        <v>396</v>
      </c>
      <c r="C3" s="5" t="s">
        <v>14</v>
      </c>
      <c r="D3" s="5" t="s">
        <v>526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7" t="s">
        <v>527</v>
      </c>
    </row>
    <row r="5" customFormat="false" ht="15" hidden="false" customHeight="false" outlineLevel="0" collapsed="false">
      <c r="A5" s="0" t="s">
        <v>528</v>
      </c>
      <c r="B5" s="0" t="s">
        <v>529</v>
      </c>
      <c r="C5" s="0" t="s">
        <v>33</v>
      </c>
      <c r="D5" s="15" t="n">
        <v>0.22</v>
      </c>
    </row>
    <row r="6" customFormat="false" ht="15" hidden="false" customHeight="false" outlineLevel="0" collapsed="false">
      <c r="A6" s="0" t="s">
        <v>530</v>
      </c>
      <c r="B6" s="0" t="s">
        <v>531</v>
      </c>
      <c r="C6" s="0" t="s">
        <v>33</v>
      </c>
      <c r="D6" s="15" t="n">
        <v>0.15</v>
      </c>
    </row>
    <row r="7" customFormat="false" ht="15" hidden="false" customHeight="false" outlineLevel="0" collapsed="false">
      <c r="A7" s="0" t="s">
        <v>532</v>
      </c>
      <c r="B7" s="0" t="s">
        <v>533</v>
      </c>
      <c r="C7" s="0" t="s">
        <v>33</v>
      </c>
      <c r="D7" s="15" t="n">
        <v>0.3</v>
      </c>
    </row>
    <row r="8" customFormat="false" ht="17.15" hidden="false" customHeight="false" outlineLevel="0" collapsed="false">
      <c r="A8" s="0" t="s">
        <v>534</v>
      </c>
      <c r="B8" s="0" t="s">
        <v>535</v>
      </c>
      <c r="C8" s="0" t="s">
        <v>536</v>
      </c>
      <c r="D8" s="15" t="n">
        <v>66.1944444444444</v>
      </c>
    </row>
    <row r="9" customFormat="false" ht="17.15" hidden="false" customHeight="false" outlineLevel="0" collapsed="false">
      <c r="A9" s="0" t="s">
        <v>537</v>
      </c>
      <c r="B9" s="0" t="s">
        <v>538</v>
      </c>
      <c r="C9" s="0" t="s">
        <v>536</v>
      </c>
      <c r="D9" s="15" t="n">
        <v>128.833333333333</v>
      </c>
    </row>
    <row r="10" customFormat="false" ht="17.15" hidden="false" customHeight="false" outlineLevel="0" collapsed="false">
      <c r="A10" s="0" t="s">
        <v>539</v>
      </c>
      <c r="B10" s="0" t="s">
        <v>540</v>
      </c>
      <c r="C10" s="0" t="s">
        <v>536</v>
      </c>
      <c r="D10" s="15" t="n">
        <v>257.166666666667</v>
      </c>
    </row>
    <row r="11" customFormat="false" ht="17.15" hidden="false" customHeight="false" outlineLevel="0" collapsed="false">
      <c r="A11" s="0" t="s">
        <v>541</v>
      </c>
      <c r="B11" s="0" t="s">
        <v>542</v>
      </c>
      <c r="C11" s="0" t="s">
        <v>536</v>
      </c>
      <c r="D11" s="15" t="n">
        <v>38.3125</v>
      </c>
    </row>
    <row r="12" customFormat="false" ht="17.15" hidden="false" customHeight="false" outlineLevel="0" collapsed="false">
      <c r="A12" s="0" t="s">
        <v>543</v>
      </c>
      <c r="B12" s="0" t="s">
        <v>544</v>
      </c>
      <c r="C12" s="0" t="s">
        <v>536</v>
      </c>
      <c r="D12" s="15" t="n">
        <v>40</v>
      </c>
    </row>
    <row r="13" customFormat="false" ht="17.15" hidden="false" customHeight="false" outlineLevel="0" collapsed="false">
      <c r="A13" s="0" t="s">
        <v>545</v>
      </c>
      <c r="B13" s="0" t="s">
        <v>546</v>
      </c>
      <c r="C13" s="0" t="s">
        <v>536</v>
      </c>
      <c r="D13" s="15" t="n">
        <v>100</v>
      </c>
    </row>
    <row r="14" customFormat="false" ht="17.15" hidden="false" customHeight="false" outlineLevel="0" collapsed="false">
      <c r="A14" s="0" t="s">
        <v>547</v>
      </c>
      <c r="B14" s="0" t="s">
        <v>548</v>
      </c>
      <c r="C14" s="0" t="s">
        <v>536</v>
      </c>
      <c r="D14" s="15" t="n">
        <v>25</v>
      </c>
    </row>
    <row r="15" customFormat="false" ht="17.15" hidden="false" customHeight="false" outlineLevel="0" collapsed="false">
      <c r="A15" s="0" t="s">
        <v>549</v>
      </c>
      <c r="B15" s="0" t="s">
        <v>550</v>
      </c>
      <c r="C15" s="0" t="s">
        <v>536</v>
      </c>
      <c r="D15" s="15" t="n">
        <v>20</v>
      </c>
    </row>
    <row r="16" customFormat="false" ht="17.15" hidden="false" customHeight="false" outlineLevel="0" collapsed="false">
      <c r="A16" s="0" t="s">
        <v>551</v>
      </c>
      <c r="B16" s="0" t="s">
        <v>552</v>
      </c>
      <c r="C16" s="0" t="s">
        <v>536</v>
      </c>
      <c r="D16" s="15" t="n">
        <v>20</v>
      </c>
    </row>
    <row r="18" customFormat="false" ht="17.15" hidden="false" customHeight="false" outlineLevel="0" collapsed="false">
      <c r="A18" s="7" t="s">
        <v>553</v>
      </c>
    </row>
    <row r="19" customFormat="false" ht="15" hidden="false" customHeight="false" outlineLevel="0" collapsed="false">
      <c r="A19" s="0" t="s">
        <v>554</v>
      </c>
      <c r="C19" s="4" t="s">
        <v>555</v>
      </c>
      <c r="G19" s="15" t="n">
        <v>5.4</v>
      </c>
      <c r="H19" s="15" t="n">
        <v>2.4</v>
      </c>
      <c r="I19" s="15" t="n">
        <v>0.5</v>
      </c>
      <c r="J19" s="15" t="n">
        <v>0.25</v>
      </c>
    </row>
    <row r="20" customFormat="false" ht="15" hidden="false" customHeight="false" outlineLevel="0" collapsed="false">
      <c r="A20" s="0" t="s">
        <v>556</v>
      </c>
      <c r="C20" s="4" t="s">
        <v>555</v>
      </c>
      <c r="G20" s="15" t="n">
        <v>1.7</v>
      </c>
      <c r="H20" s="15" t="n">
        <v>7</v>
      </c>
      <c r="I20" s="15" t="n">
        <v>7</v>
      </c>
      <c r="J20" s="15" t="n">
        <v>8.05</v>
      </c>
    </row>
    <row r="21" customFormat="false" ht="15" hidden="false" customHeight="false" outlineLevel="0" collapsed="false">
      <c r="A21" s="0" t="s">
        <v>557</v>
      </c>
      <c r="C21" s="4" t="s">
        <v>555</v>
      </c>
      <c r="G21" s="15" t="n">
        <v>0</v>
      </c>
      <c r="H21" s="15" t="n">
        <v>0.3</v>
      </c>
      <c r="I21" s="15" t="n">
        <v>2</v>
      </c>
      <c r="J21" s="15" t="n">
        <v>2.3</v>
      </c>
    </row>
    <row r="22" customFormat="false" ht="15" hidden="false" customHeight="false" outlineLevel="0" collapsed="false">
      <c r="A22" s="0" t="s">
        <v>558</v>
      </c>
      <c r="C22" s="4" t="s">
        <v>555</v>
      </c>
      <c r="G22" s="15" t="n">
        <v>0.5</v>
      </c>
      <c r="H22" s="15" t="n">
        <v>0</v>
      </c>
      <c r="I22" s="15" t="n">
        <v>0</v>
      </c>
      <c r="J22" s="15" t="n">
        <v>0</v>
      </c>
    </row>
    <row r="23" customFormat="false" ht="15" hidden="false" customHeight="false" outlineLevel="0" collapsed="false">
      <c r="A23" s="0" t="s">
        <v>559</v>
      </c>
      <c r="C23" s="4" t="s">
        <v>555</v>
      </c>
      <c r="G23" s="15" t="n">
        <v>0.75</v>
      </c>
      <c r="H23" s="15" t="n">
        <v>1.5</v>
      </c>
      <c r="I23" s="15" t="n">
        <v>2</v>
      </c>
      <c r="J23" s="15" t="n">
        <v>2.3</v>
      </c>
    </row>
    <row r="24" customFormat="false" ht="15" hidden="false" customHeight="false" outlineLevel="0" collapsed="false">
      <c r="A24" s="0" t="s">
        <v>560</v>
      </c>
      <c r="C24" s="4" t="s">
        <v>555</v>
      </c>
      <c r="G24" s="15" t="n">
        <v>3.85</v>
      </c>
      <c r="H24" s="15" t="n">
        <v>5.5</v>
      </c>
      <c r="I24" s="15" t="n">
        <v>7</v>
      </c>
      <c r="J24" s="15" t="n">
        <v>8.05</v>
      </c>
    </row>
    <row r="25" customFormat="false" ht="15" hidden="false" customHeight="false" outlineLevel="0" collapsed="false">
      <c r="A25" s="0" t="s">
        <v>561</v>
      </c>
      <c r="C25" s="4" t="s">
        <v>555</v>
      </c>
      <c r="G25" s="15" t="n">
        <v>2</v>
      </c>
      <c r="H25" s="15" t="n">
        <v>2.5</v>
      </c>
      <c r="I25" s="15" t="n">
        <v>3</v>
      </c>
      <c r="J25" s="15" t="n">
        <v>3.45</v>
      </c>
    </row>
    <row r="26" customFormat="false" ht="15" hidden="false" customHeight="false" outlineLevel="0" collapsed="false">
      <c r="A26" s="0" t="s">
        <v>562</v>
      </c>
      <c r="C26" s="4" t="s">
        <v>555</v>
      </c>
      <c r="G26" s="15" t="n">
        <v>1</v>
      </c>
      <c r="H26" s="15" t="n">
        <v>4.5</v>
      </c>
      <c r="I26" s="15" t="n">
        <v>5</v>
      </c>
      <c r="J26" s="15" t="n">
        <v>5.75</v>
      </c>
    </row>
    <row r="27" customFormat="false" ht="15" hidden="false" customHeight="false" outlineLevel="0" collapsed="false">
      <c r="A27" s="0" t="s">
        <v>563</v>
      </c>
      <c r="C27" s="0" t="s">
        <v>33</v>
      </c>
      <c r="G27" s="15" t="n">
        <v>1</v>
      </c>
      <c r="H27" s="15" t="n">
        <v>1</v>
      </c>
      <c r="I27" s="15" t="n">
        <v>1</v>
      </c>
      <c r="J27" s="15" t="n">
        <v>1</v>
      </c>
    </row>
    <row r="28" customFormat="false" ht="15" hidden="false" customHeight="false" outlineLevel="0" collapsed="false">
      <c r="A28" s="0" t="s">
        <v>564</v>
      </c>
      <c r="C28" s="0" t="s">
        <v>33</v>
      </c>
      <c r="G28" s="15" t="n">
        <v>1</v>
      </c>
      <c r="H28" s="15" t="n">
        <v>1</v>
      </c>
      <c r="I28" s="15" t="n">
        <v>0.8</v>
      </c>
      <c r="J28" s="15" t="n">
        <v>0.85</v>
      </c>
    </row>
    <row r="29" customFormat="false" ht="15" hidden="false" customHeight="false" outlineLevel="0" collapsed="false">
      <c r="A29" s="0" t="s">
        <v>565</v>
      </c>
      <c r="C29" s="0" t="s">
        <v>33</v>
      </c>
      <c r="G29" s="15" t="n">
        <v>1</v>
      </c>
      <c r="H29" s="15" t="n">
        <v>1</v>
      </c>
      <c r="I29" s="15" t="n">
        <v>0.6</v>
      </c>
      <c r="J29" s="15" t="n">
        <v>0.6</v>
      </c>
    </row>
    <row r="30" customFormat="false" ht="17.15" hidden="false" customHeight="false" outlineLevel="0" collapsed="false">
      <c r="A30" s="0" t="s">
        <v>566</v>
      </c>
      <c r="C30" s="0" t="s">
        <v>567</v>
      </c>
      <c r="G30" s="15" t="n">
        <v>23.3995380420639</v>
      </c>
      <c r="H30" s="15" t="n">
        <v>41.6467658260637</v>
      </c>
      <c r="I30" s="15" t="n">
        <v>52.792138191248</v>
      </c>
      <c r="J30" s="15" t="n">
        <v>60.1385917361115</v>
      </c>
    </row>
    <row r="31" customFormat="false" ht="17.15" hidden="false" customHeight="false" outlineLevel="0" collapsed="false">
      <c r="A31" s="0" t="s">
        <v>568</v>
      </c>
      <c r="C31" s="0" t="s">
        <v>567</v>
      </c>
      <c r="G31" s="15" t="n">
        <v>23.3995380420639</v>
      </c>
      <c r="H31" s="15" t="n">
        <v>41.6467658260637</v>
      </c>
      <c r="I31" s="15" t="n">
        <v>42.2337105529984</v>
      </c>
      <c r="J31" s="15" t="n">
        <v>51.1178029756948</v>
      </c>
    </row>
    <row r="32" customFormat="false" ht="17.15" hidden="false" customHeight="false" outlineLevel="0" collapsed="false">
      <c r="A32" s="0" t="s">
        <v>569</v>
      </c>
      <c r="C32" s="0" t="s">
        <v>567</v>
      </c>
      <c r="G32" s="15" t="n">
        <v>23.3995380420639</v>
      </c>
      <c r="H32" s="15" t="n">
        <v>41.6467658260637</v>
      </c>
      <c r="I32" s="15" t="n">
        <v>31.6752829147488</v>
      </c>
      <c r="J32" s="15" t="n">
        <v>36.0831550416669</v>
      </c>
    </row>
    <row r="33" customFormat="false" ht="15" hidden="false" customHeight="false" outlineLevel="0" collapsed="false">
      <c r="A33" s="0" t="s">
        <v>570</v>
      </c>
      <c r="C33" s="0" t="s">
        <v>213</v>
      </c>
      <c r="G33" s="15" t="n">
        <v>781.872916666667</v>
      </c>
      <c r="H33" s="15" t="n">
        <v>1565.35</v>
      </c>
      <c r="I33" s="15" t="n">
        <v>1984.26388888889</v>
      </c>
      <c r="J33" s="15" t="n">
        <v>2260.39027777778</v>
      </c>
    </row>
    <row r="34" customFormat="false" ht="15" hidden="false" customHeight="false" outlineLevel="0" collapsed="false">
      <c r="A34" s="0" t="s">
        <v>571</v>
      </c>
      <c r="C34" s="0" t="s">
        <v>213</v>
      </c>
      <c r="G34" s="15" t="n">
        <v>781.872916666667</v>
      </c>
      <c r="H34" s="15" t="n">
        <v>1565.35</v>
      </c>
      <c r="I34" s="15" t="n">
        <v>1587.41111111111</v>
      </c>
      <c r="J34" s="15" t="n">
        <v>1921.33173611111</v>
      </c>
    </row>
    <row r="35" customFormat="false" ht="15" hidden="false" customHeight="false" outlineLevel="0" collapsed="false">
      <c r="A35" s="0" t="s">
        <v>572</v>
      </c>
      <c r="C35" s="0" t="s">
        <v>213</v>
      </c>
      <c r="G35" s="15" t="n">
        <v>781.872916666667</v>
      </c>
      <c r="H35" s="15" t="n">
        <v>1565.35</v>
      </c>
      <c r="I35" s="15" t="n">
        <v>1190.55833333333</v>
      </c>
      <c r="J35" s="15" t="n">
        <v>1356.23416666667</v>
      </c>
    </row>
    <row r="36" customFormat="false" ht="15" hidden="false" customHeight="false" outlineLevel="0" collapsed="false">
      <c r="A36" s="0" t="s">
        <v>573</v>
      </c>
      <c r="C36" s="0" t="s">
        <v>574</v>
      </c>
      <c r="G36" s="15" t="n">
        <v>33.41403216</v>
      </c>
      <c r="H36" s="15" t="n">
        <v>37.586352</v>
      </c>
      <c r="I36" s="15" t="n">
        <v>37.586352</v>
      </c>
      <c r="J36" s="15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575</v>
      </c>
    </row>
    <row r="2" customFormat="false" ht="17.15" hidden="false" customHeight="false" outlineLevel="0" collapsed="false">
      <c r="A2" s="4" t="s">
        <v>576</v>
      </c>
    </row>
    <row r="3" customFormat="false" ht="15" hidden="false" customHeight="false" outlineLevel="0" collapsed="false">
      <c r="A3" s="5" t="s">
        <v>12</v>
      </c>
      <c r="B3" s="5" t="s">
        <v>11</v>
      </c>
      <c r="C3" s="5" t="s">
        <v>14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17" t="s">
        <v>577</v>
      </c>
    </row>
    <row r="5" customFormat="false" ht="17.15" hidden="false" customHeight="false" outlineLevel="0" collapsed="false">
      <c r="A5" s="4" t="s">
        <v>578</v>
      </c>
      <c r="B5" s="0" t="s">
        <v>300</v>
      </c>
      <c r="C5" s="0" t="s">
        <v>48</v>
      </c>
      <c r="D5" s="18" t="n">
        <f aca="false">IF(In!$H$104&lt;&gt;"",In!$H$104,0)</f>
        <v>1</v>
      </c>
      <c r="E5" s="18" t="n">
        <f aca="false">IF(In!$I$104&lt;&gt;"",In!$I$104,0)</f>
        <v>1</v>
      </c>
      <c r="F5" s="18" t="n">
        <f aca="false">IF(In!$J$104&lt;&gt;"",In!$J$104,0)</f>
        <v>0.1</v>
      </c>
      <c r="G5" s="18" t="n">
        <f aca="false">IF(In!$K$104&lt;&gt;"",In!$K$104,0)</f>
        <v>0</v>
      </c>
      <c r="H5" s="18" t="n">
        <f aca="false">IF(In!$L$104&lt;&gt;"",In!$L$104,0)</f>
        <v>0</v>
      </c>
      <c r="I5" s="18" t="n">
        <f aca="false">IF(In!$M$104&lt;&gt;"",In!$M$104,0)</f>
        <v>0</v>
      </c>
      <c r="J5" s="18" t="n">
        <f aca="false">IF(In!$N$104&lt;&gt;"",In!$N$104,0)</f>
        <v>0</v>
      </c>
      <c r="K5" s="18" t="n">
        <f aca="false">IF(In!$O$104&lt;&gt;"",In!$O$104,J5)</f>
        <v>0</v>
      </c>
      <c r="L5" s="18" t="n">
        <f aca="false">IF(In!$P$104&lt;&gt;"",In!$P$104,J5)</f>
        <v>0</v>
      </c>
      <c r="M5" s="18" t="n">
        <f aca="false">IF(In!$Q$104&lt;&gt;"",In!$Q$104,J5)</f>
        <v>0</v>
      </c>
    </row>
    <row r="6" customFormat="false" ht="17.15" hidden="false" customHeight="false" outlineLevel="0" collapsed="false">
      <c r="A6" s="4" t="s">
        <v>579</v>
      </c>
      <c r="B6" s="0" t="s">
        <v>305</v>
      </c>
      <c r="C6" s="0" t="s">
        <v>48</v>
      </c>
      <c r="D6" s="18" t="n">
        <f aca="false">IF(In!$H$105&lt;&gt;"",In!$H$105,0)</f>
        <v>0</v>
      </c>
      <c r="E6" s="18" t="n">
        <f aca="false">IF(In!$I$105&lt;&gt;"",In!$I$105,0)</f>
        <v>0</v>
      </c>
      <c r="F6" s="18" t="n">
        <f aca="false">IF(In!$J$105&lt;&gt;"",In!$J$105,0)</f>
        <v>0.7</v>
      </c>
      <c r="G6" s="18" t="n">
        <f aca="false">IF(In!$K$105&lt;&gt;"",In!$K$105,0)</f>
        <v>0</v>
      </c>
      <c r="H6" s="18" t="n">
        <f aca="false">IF(In!$L$105&lt;&gt;"",In!$L$105,0)</f>
        <v>0</v>
      </c>
      <c r="I6" s="18" t="n">
        <f aca="false">IF(In!$M$105&lt;&gt;"",In!$M$105,0)</f>
        <v>0</v>
      </c>
      <c r="J6" s="18" t="n">
        <f aca="false">IF(In!$N$105&lt;&gt;"",In!$N$105,0)</f>
        <v>0</v>
      </c>
      <c r="K6" s="18" t="n">
        <f aca="false">IF(In!$O$105&lt;&gt;"",In!$O$105,J6)</f>
        <v>0</v>
      </c>
      <c r="L6" s="18" t="n">
        <f aca="false">IF(In!$P$105&lt;&gt;"",In!$P$105,J6)</f>
        <v>0</v>
      </c>
      <c r="M6" s="18" t="n">
        <f aca="false">IF(In!$Q$105&lt;&gt;"",In!$Q$105,J6)</f>
        <v>0</v>
      </c>
    </row>
    <row r="7" customFormat="false" ht="17.15" hidden="false" customHeight="false" outlineLevel="0" collapsed="false">
      <c r="A7" s="4" t="s">
        <v>580</v>
      </c>
      <c r="B7" s="0" t="s">
        <v>307</v>
      </c>
      <c r="C7" s="0" t="s">
        <v>48</v>
      </c>
      <c r="D7" s="18" t="n">
        <f aca="false">IF(In!$H$106&lt;&gt;"",In!$H$106,0)</f>
        <v>0</v>
      </c>
      <c r="E7" s="18" t="n">
        <f aca="false">IF(In!$I$106&lt;&gt;"",In!$I$106,0)</f>
        <v>0</v>
      </c>
      <c r="F7" s="18" t="n">
        <f aca="false">IF(In!$J$106&lt;&gt;"",In!$J$106,0)</f>
        <v>0.2</v>
      </c>
      <c r="G7" s="18" t="n">
        <f aca="false">IF(In!$K$106&lt;&gt;"",In!$K$106,(1-SIL_vr26))</f>
        <v>0.78</v>
      </c>
      <c r="H7" s="18" t="n">
        <f aca="false">IF(In!$L$106&lt;&gt;"",In!$L$106,0)</f>
        <v>0</v>
      </c>
      <c r="I7" s="18" t="n">
        <f aca="false">IF(In!$M$106&lt;&gt;"",In!$M$106,0)</f>
        <v>0</v>
      </c>
      <c r="J7" s="18" t="n">
        <f aca="false">IF(In!$N$106&lt;&gt;"",In!$N$106,0)</f>
        <v>0</v>
      </c>
      <c r="K7" s="18" t="n">
        <f aca="false">IF(In!$O$106&lt;&gt;"",In!$O$106,J7)</f>
        <v>0</v>
      </c>
      <c r="L7" s="18" t="n">
        <f aca="false">IF(In!$P$106&lt;&gt;"",In!$P$106,J7)</f>
        <v>0</v>
      </c>
      <c r="M7" s="18" t="n">
        <f aca="false">IF(In!$Q$106&lt;&gt;"",In!$Q$106,J7)</f>
        <v>0</v>
      </c>
    </row>
    <row r="8" customFormat="false" ht="17.15" hidden="false" customHeight="false" outlineLevel="0" collapsed="false">
      <c r="A8" s="4" t="s">
        <v>581</v>
      </c>
      <c r="B8" s="0" t="s">
        <v>309</v>
      </c>
      <c r="C8" s="0" t="s">
        <v>48</v>
      </c>
      <c r="D8" s="18" t="n">
        <f aca="false">IF(In!$H$107&lt;&gt;"",In!$H$107,0)</f>
        <v>0</v>
      </c>
      <c r="E8" s="18" t="n">
        <f aca="false">IF(In!$I$107&lt;&gt;"",In!$I$107,0)</f>
        <v>0</v>
      </c>
      <c r="F8" s="18" t="n">
        <f aca="false">IF(In!$J$107&lt;&gt;"",In!$J$107,0)</f>
        <v>0</v>
      </c>
      <c r="G8" s="18" t="n">
        <f aca="false">IF(In!$K$107&lt;&gt;"",In!$K$107,SIL_vr26)</f>
        <v>0.22</v>
      </c>
      <c r="H8" s="18" t="n">
        <f aca="false">IF(In!$L$107&lt;&gt;"",In!$L$107,(1-H$11))</f>
        <v>0.939674252875845</v>
      </c>
      <c r="I8" s="18" t="n">
        <f aca="false">IF(In!$M$107&lt;&gt;"",In!$M$107,(1-I$11))</f>
        <v>0.700284773845187</v>
      </c>
      <c r="J8" s="18" t="n">
        <f aca="false">IF(In!$N$107&lt;&gt;"",In!$N$107,(1-J$11))</f>
        <v>0.700284773845187</v>
      </c>
      <c r="K8" s="18" t="n">
        <f aca="false">IF(In!$O$107&lt;&gt;"",In!$O$107,J8)</f>
        <v>0.700284773845187</v>
      </c>
      <c r="L8" s="18" t="n">
        <f aca="false">IF(In!$P$107&lt;&gt;"",In!$P$107,J8)</f>
        <v>0.700284773845187</v>
      </c>
      <c r="M8" s="18" t="n">
        <f aca="false">IF(In!$Q$107&lt;&gt;"",In!$Q$107,J8)</f>
        <v>0.700284773845187</v>
      </c>
    </row>
    <row r="9" customFormat="false" ht="17.15" hidden="false" customHeight="false" outlineLevel="0" collapsed="false">
      <c r="A9" s="4" t="s">
        <v>582</v>
      </c>
      <c r="B9" s="0" t="s">
        <v>311</v>
      </c>
      <c r="C9" s="0" t="s">
        <v>48</v>
      </c>
      <c r="D9" s="18" t="n">
        <f aca="false">IF(In!$H$108&lt;&gt;"",In!$H$108,0)</f>
        <v>0</v>
      </c>
      <c r="E9" s="18" t="n">
        <f aca="false">IF(In!$I$108&lt;&gt;"",In!$I$108,0)</f>
        <v>0</v>
      </c>
      <c r="F9" s="18" t="n">
        <f aca="false">IF(In!$J$108&lt;&gt;"",In!$J$108,0)</f>
        <v>0</v>
      </c>
      <c r="G9" s="18" t="n">
        <f aca="false">IF(In!$K$108&lt;&gt;"",In!$K$108,0)</f>
        <v>0</v>
      </c>
      <c r="H9" s="18" t="n">
        <f aca="false">IF(In!$L$108&lt;&gt;"",In!$L$108,H$11)</f>
        <v>0.0603257471241551</v>
      </c>
      <c r="I9" s="18" t="n">
        <f aca="false">IF(In!$M$108&lt;&gt;"",In!$M$108,I$11)</f>
        <v>0.299715226154813</v>
      </c>
      <c r="J9" s="18" t="n">
        <f aca="false">IF(In!$N$108&lt;&gt;"",In!$N$108,J$11)</f>
        <v>0.299715226154813</v>
      </c>
      <c r="K9" s="18" t="n">
        <f aca="false">IF(In!$O$108&lt;&gt;"",In!$O$108,J9)</f>
        <v>0.299715226154813</v>
      </c>
      <c r="L9" s="18" t="n">
        <f aca="false">IF(In!$P$108&lt;&gt;"",In!$P$108,J9)</f>
        <v>0.299715226154813</v>
      </c>
      <c r="M9" s="18" t="n">
        <f aca="false">IF(In!$Q$108&lt;&gt;"",In!$Q$108,J9)</f>
        <v>0.299715226154813</v>
      </c>
    </row>
    <row r="10" customFormat="false" ht="17.15" hidden="false" customHeight="false" outlineLevel="0" collapsed="false">
      <c r="A10" s="4" t="s">
        <v>583</v>
      </c>
      <c r="C10" s="0" t="s">
        <v>48</v>
      </c>
      <c r="D10" s="18" t="n">
        <f aca="false">SUM(D5:D9)</f>
        <v>1</v>
      </c>
      <c r="E10" s="18" t="n">
        <f aca="false">SUM(E5:E9)</f>
        <v>1</v>
      </c>
      <c r="F10" s="18" t="n">
        <f aca="false">SUM(F5:F9)</f>
        <v>1</v>
      </c>
      <c r="G10" s="18" t="n">
        <f aca="false">SUM(G5:G9)</f>
        <v>1</v>
      </c>
      <c r="H10" s="18" t="n">
        <f aca="false">SUM(H5:H9)</f>
        <v>1</v>
      </c>
      <c r="I10" s="18" t="n">
        <f aca="false">SUM(I5:I9)</f>
        <v>1</v>
      </c>
      <c r="J10" s="18" t="n">
        <f aca="false">SUM(J5:J9)</f>
        <v>1</v>
      </c>
      <c r="K10" s="18" t="n">
        <f aca="false">SUM(K5:K9)</f>
        <v>1</v>
      </c>
      <c r="L10" s="18" t="n">
        <f aca="false">SUM(L5:L9)</f>
        <v>1</v>
      </c>
      <c r="M10" s="18" t="n">
        <f aca="false">SUM(M5:M9)</f>
        <v>1</v>
      </c>
    </row>
    <row r="11" customFormat="false" ht="17.15" hidden="false" customHeight="false" outlineLevel="0" collapsed="false">
      <c r="A11" s="0" t="s">
        <v>584</v>
      </c>
      <c r="C11" s="0" t="s">
        <v>48</v>
      </c>
      <c r="H11" s="19" t="n">
        <f aca="false">(SIL_In!$H$21/TK_GPUsPerGW_RU)/(SIL_In!$H$20/TK_GPUsPerGW_VR200+SIL_In!$H$21/TK_GPUsPerGW_RU)</f>
        <v>0.0603257471241551</v>
      </c>
      <c r="I11" s="19" t="n">
        <f aca="false">(SIL_In!$I$21/TK_GPUsPerGW_RU)/(SIL_In!$I$20/TK_GPUsPerGW_VR200+SIL_In!$I$21/TK_GPUsPerGW_RU)</f>
        <v>0.299715226154813</v>
      </c>
      <c r="J11" s="19" t="n">
        <f aca="false">(SIL_In!$J$21/TK_GPUsPerGW_RU)/(SIL_In!$J$20/TK_GPUsPerGW_VR200+SIL_In!$J$21/TK_GPUsPerGW_RU)</f>
        <v>0.299715226154813</v>
      </c>
      <c r="N11" s="4" t="s">
        <v>585</v>
      </c>
    </row>
    <row r="12" customFormat="false" ht="17.15" hidden="false" customHeight="false" outlineLevel="0" collapsed="false">
      <c r="A12" s="4" t="s">
        <v>586</v>
      </c>
      <c r="B12" s="0" t="s">
        <v>313</v>
      </c>
      <c r="C12" s="0" t="s">
        <v>48</v>
      </c>
      <c r="D12" s="19" t="n">
        <f aca="false">IF(In!$H$109&lt;&gt;"",In!$H$109,G12)</f>
        <v>0.238210067173108</v>
      </c>
      <c r="E12" s="19" t="n">
        <f aca="false">IF(In!$I$109&lt;&gt;"",In!$I$109,G12)</f>
        <v>0.238210067173108</v>
      </c>
      <c r="F12" s="19" t="n">
        <f aca="false">IF(In!$J$109&lt;&gt;"",In!$J$109,G12)</f>
        <v>0.238210067173108</v>
      </c>
      <c r="G12" s="19" t="n">
        <f aca="false">IF(In!$K$109&lt;&gt;"",In!$K$109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19" t="n">
        <f aca="false">IF(In!$L$109&lt;&gt;"",In!$L$109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19" t="n">
        <f aca="false">IF(In!$M$109&lt;&gt;"",In!$M$109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19" t="n">
        <f aca="false">IF(In!$N$109&lt;&gt;"",In!$N$109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19" t="n">
        <f aca="false">IF(In!$O$109&lt;&gt;"",In!$O$109,J12)</f>
        <v>0.272187509408712</v>
      </c>
      <c r="L12" s="19" t="n">
        <f aca="false">IF(In!$P$109&lt;&gt;"",In!$P$109,J12)</f>
        <v>0.272187509408712</v>
      </c>
      <c r="M12" s="19" t="n">
        <f aca="false">IF(In!$Q$109&lt;&gt;"",In!$Q$109,J12)</f>
        <v>0.272187509408712</v>
      </c>
      <c r="N12" s="16" t="s">
        <v>587</v>
      </c>
    </row>
    <row r="13" customFormat="false" ht="17.15" hidden="false" customHeight="false" outlineLevel="0" collapsed="false">
      <c r="A13" s="0" t="s">
        <v>588</v>
      </c>
      <c r="C13" s="0" t="s">
        <v>33</v>
      </c>
      <c r="D13" s="20" t="n">
        <f aca="false">gIT_oth+(gIT_vr200-gIT_oth)*D8*(1-D12)</f>
        <v>0.9198</v>
      </c>
      <c r="E13" s="20" t="n">
        <f aca="false">gIT_oth+(gIT_vr200-gIT_oth)*E8*(1-E12)</f>
        <v>0.9198</v>
      </c>
      <c r="F13" s="20" t="n">
        <f aca="false">gIT_oth+(gIT_vr200-gIT_oth)*F8*(1-F12)</f>
        <v>0.9198</v>
      </c>
      <c r="G13" s="20" t="n">
        <f aca="false">gIT_oth+(gIT_vr200-gIT_oth)*G8*(1-G12)</f>
        <v>0.9198</v>
      </c>
      <c r="H13" s="20" t="n">
        <f aca="false">gIT_oth+(gIT_vr200-gIT_oth)*H8*(1-H12)</f>
        <v>0.9198</v>
      </c>
      <c r="I13" s="20" t="n">
        <f aca="false">gIT_oth+(gIT_vr200-gIT_oth)*I8*(1-I12)</f>
        <v>0.9198</v>
      </c>
      <c r="J13" s="20" t="n">
        <f aca="false">gIT_oth+(gIT_vr200-gIT_oth)*J8*(1-J12)</f>
        <v>0.9198</v>
      </c>
      <c r="K13" s="20" t="n">
        <f aca="false">gIT_oth+(gIT_vr200-gIT_oth)*K8*(1-K12)</f>
        <v>0.9198</v>
      </c>
      <c r="L13" s="20" t="n">
        <f aca="false">gIT_oth+(gIT_vr200-gIT_oth)*L8*(1-L12)</f>
        <v>0.9198</v>
      </c>
      <c r="M13" s="20" t="n">
        <f aca="false">gIT_oth+(gIT_vr200-gIT_oth)*M8*(1-M12)</f>
        <v>0.9198</v>
      </c>
      <c r="N13" s="16" t="s">
        <v>589</v>
      </c>
    </row>
    <row r="15" customFormat="false" ht="17.15" hidden="false" customHeight="false" outlineLevel="0" collapsed="false">
      <c r="A15" s="7" t="s">
        <v>590</v>
      </c>
      <c r="B15" s="16" t="s">
        <v>370</v>
      </c>
      <c r="N15" s="16" t="s">
        <v>591</v>
      </c>
    </row>
    <row r="16" customFormat="false" ht="17.15" hidden="false" customHeight="false" outlineLevel="0" collapsed="false">
      <c r="A16" s="4" t="s">
        <v>592</v>
      </c>
      <c r="B16" s="0" t="s">
        <v>593</v>
      </c>
      <c r="C16" s="0" t="s">
        <v>72</v>
      </c>
      <c r="D16" s="15" t="str">
        <f aca="false">IF(In!$H$49&lt;&gt;"",In!$H$49,"")</f>
        <v/>
      </c>
      <c r="E16" s="21" t="n">
        <f aca="false">IF(In!$I$49&lt;&gt;"",In!$I$49,"")</f>
        <v>900</v>
      </c>
      <c r="F16" s="21" t="n">
        <f aca="false">IF(In!$J$49&lt;&gt;"",In!$J$49,"")</f>
        <v>2300</v>
      </c>
      <c r="G16" s="15" t="str">
        <f aca="false">IF(In!$K$49&lt;&gt;"",In!$K$49,"")</f>
        <v/>
      </c>
      <c r="H16" s="15" t="str">
        <f aca="false">IF(In!$L$49&lt;&gt;"",In!$L$49,"")</f>
        <v/>
      </c>
      <c r="I16" s="15" t="str">
        <f aca="false">IF(In!$M$49&lt;&gt;"",In!$M$49,"")</f>
        <v/>
      </c>
      <c r="J16" s="15" t="str">
        <f aca="false">IF(In!$N$49&lt;&gt;"",In!$N$49,"")</f>
        <v/>
      </c>
      <c r="K16" s="15" t="str">
        <f aca="false">IF(In!$O$49&lt;&gt;"",In!$O$49,"")</f>
        <v/>
      </c>
      <c r="L16" s="15" t="str">
        <f aca="false">IF(In!$P$49&lt;&gt;"",In!$P$49,"")</f>
        <v/>
      </c>
      <c r="M16" s="15" t="str">
        <f aca="false">IF(In!$Q$49&lt;&gt;"",In!$Q$49,"")</f>
        <v/>
      </c>
    </row>
    <row r="17" customFormat="false" ht="15" hidden="false" customHeight="false" outlineLevel="0" collapsed="false">
      <c r="A17" s="4" t="s">
        <v>594</v>
      </c>
      <c r="B17" s="0" t="s">
        <v>595</v>
      </c>
      <c r="C17" s="0" t="s">
        <v>72</v>
      </c>
      <c r="D17" s="0" t="str">
        <f aca="false">IF(In!$H$49&lt;&gt;"",In!$H$49,IF(AND(In!$I$17&lt;&gt;"",INT(obsd_msft)=2023),obs_msft,""))</f>
        <v/>
      </c>
      <c r="E17" s="22" t="n">
        <f aca="false">IF(In!$I$49&lt;&gt;"",In!$I$49,IF(AND(In!$I$17&lt;&gt;"",INT(obsd_msft)=2024),obs_msft,""))</f>
        <v>900</v>
      </c>
      <c r="F17" s="22" t="n">
        <f aca="false">IF(In!$J$49&lt;&gt;"",In!$J$49,IF(AND(In!$I$17&lt;&gt;"",INT(obsd_msft)=2025),obs_msft,""))</f>
        <v>2300</v>
      </c>
      <c r="G17" s="16" t="n">
        <f aca="false">IF(In!$K$49&lt;&gt;"",In!$K$49,IF(AND(In!$I$17&lt;&gt;"",INT(obsd_msft)=2026),obs_msft,""))</f>
        <v>4500</v>
      </c>
      <c r="H17" s="0" t="str">
        <f aca="false">IF(In!$L$49&lt;&gt;"",In!$L$49,IF(AND(In!$I$17&lt;&gt;"",INT(obsd_msft)=2027),obs_msft,""))</f>
        <v/>
      </c>
      <c r="I17" s="0" t="str">
        <f aca="false">IF(In!$M$49&lt;&gt;"",In!$M$49,IF(AND(In!$I$17&lt;&gt;"",INT(obsd_msft)=2028),obs_msft,""))</f>
        <v/>
      </c>
      <c r="J17" s="0" t="str">
        <f aca="false">IF(In!$N$49&lt;&gt;"",In!$N$49,IF(AND(In!$I$17&lt;&gt;"",INT(obsd_msft)=2029),obs_msft,""))</f>
        <v/>
      </c>
      <c r="K17" s="0" t="str">
        <f aca="false">IF(In!$O$49&lt;&gt;"",In!$O$49,IF(AND(In!$I$17&lt;&gt;"",INT(obsd_msft)=2030),obs_msft,""))</f>
        <v/>
      </c>
      <c r="L17" s="0" t="str">
        <f aca="false">IF(In!$P$49&lt;&gt;"",In!$P$49,IF(AND(In!$I$17&lt;&gt;"",INT(obsd_msft)=2031),obs_msft,""))</f>
        <v/>
      </c>
      <c r="M17" s="0" t="str">
        <f aca="false">IF(In!$Q$49&lt;&gt;"",In!$Q$49,IF(AND(In!$I$17&lt;&gt;"",INT(obsd_msft)=2032),obs_msft,""))</f>
        <v/>
      </c>
    </row>
    <row r="18" customFormat="false" ht="15" hidden="false" customHeight="false" outlineLevel="0" collapsed="false">
      <c r="A18" s="4" t="s">
        <v>596</v>
      </c>
      <c r="B18" s="0" t="s">
        <v>597</v>
      </c>
      <c r="C18" s="0" t="s">
        <v>72</v>
      </c>
      <c r="D18" s="0" t="str">
        <f aca="false">IF(D17&lt;&gt;"",D17,"")</f>
        <v/>
      </c>
      <c r="E18" s="22" t="n">
        <f aca="false">IF(E17&lt;&gt;"",E17,D18)</f>
        <v>900</v>
      </c>
      <c r="F18" s="22" t="n">
        <f aca="false">IF(F17&lt;&gt;"",F17,E18)</f>
        <v>2300</v>
      </c>
      <c r="G18" s="16" t="n">
        <f aca="false">IF(G17&lt;&gt;"",G17,F18)</f>
        <v>4500</v>
      </c>
      <c r="H18" s="16" t="n">
        <f aca="false">IF(H17&lt;&gt;"",H17,G18)</f>
        <v>4500</v>
      </c>
      <c r="I18" s="16" t="n">
        <f aca="false">IF(I17&lt;&gt;"",I17,H18)</f>
        <v>4500</v>
      </c>
      <c r="J18" s="16" t="n">
        <f aca="false">IF(J17&lt;&gt;"",J17,I18)</f>
        <v>4500</v>
      </c>
      <c r="K18" s="16" t="n">
        <f aca="false">IF(K17&lt;&gt;"",K17,J18)</f>
        <v>4500</v>
      </c>
      <c r="L18" s="16" t="n">
        <f aca="false">IF(L17&lt;&gt;"",L17,K18)</f>
        <v>4500</v>
      </c>
      <c r="M18" s="16" t="n">
        <f aca="false">IF(M17&lt;&gt;"",M17,L18)</f>
        <v>4500</v>
      </c>
    </row>
    <row r="19" customFormat="false" ht="15" hidden="false" customHeight="false" outlineLevel="0" collapsed="false">
      <c r="A19" s="4" t="s">
        <v>598</v>
      </c>
      <c r="B19" s="0" t="s">
        <v>599</v>
      </c>
      <c r="C19" s="4" t="s">
        <v>44</v>
      </c>
      <c r="D19" s="0" t="str">
        <f aca="false">IF(D17&lt;&gt;"",2023,"")</f>
        <v/>
      </c>
      <c r="E19" s="0" t="n">
        <f aca="false">IF(E17&lt;&gt;"",2024,D19)</f>
        <v>2024</v>
      </c>
      <c r="F19" s="0" t="n">
        <f aca="false">IF(F17&lt;&gt;"",2025,E19)</f>
        <v>2025</v>
      </c>
      <c r="G19" s="0" t="n">
        <f aca="false">IF(G17&lt;&gt;"",2026,F19)</f>
        <v>2026</v>
      </c>
      <c r="H19" s="0" t="n">
        <f aca="false">IF(H17&lt;&gt;"",2027,G19)</f>
        <v>2026</v>
      </c>
      <c r="I19" s="0" t="n">
        <f aca="false">IF(I17&lt;&gt;"",2028,H19)</f>
        <v>2026</v>
      </c>
      <c r="J19" s="0" t="n">
        <f aca="false">IF(J17&lt;&gt;"",2029,I19)</f>
        <v>2026</v>
      </c>
      <c r="K19" s="0" t="n">
        <f aca="false">IF(K17&lt;&gt;"",2030,J19)</f>
        <v>2026</v>
      </c>
      <c r="L19" s="0" t="n">
        <f aca="false">IF(L17&lt;&gt;"",2031,K19)</f>
        <v>2026</v>
      </c>
      <c r="M19" s="0" t="n">
        <f aca="false">IF(M17&lt;&gt;"",2032,L19)</f>
        <v>2026</v>
      </c>
    </row>
    <row r="20" customFormat="false" ht="15" hidden="false" customHeight="false" outlineLevel="0" collapsed="false">
      <c r="A20" s="4" t="s">
        <v>600</v>
      </c>
      <c r="B20" s="0" t="s">
        <v>601</v>
      </c>
      <c r="C20" s="0" t="s">
        <v>72</v>
      </c>
      <c r="D20" s="22" t="n">
        <f aca="false">IF(D17&lt;&gt;"",D17,E20)</f>
        <v>900</v>
      </c>
      <c r="E20" s="22" t="n">
        <f aca="false">IF(E17&lt;&gt;"",E17,F20)</f>
        <v>900</v>
      </c>
      <c r="F20" s="22" t="n">
        <f aca="false">IF(F17&lt;&gt;"",F17,G20)</f>
        <v>2300</v>
      </c>
      <c r="G20" s="16" t="n">
        <f aca="false">IF(G17&lt;&gt;"",G17,H20)</f>
        <v>4500</v>
      </c>
      <c r="H20" s="0" t="str">
        <f aca="false">IF(H17&lt;&gt;"",H17,I20)</f>
        <v/>
      </c>
      <c r="I20" s="0" t="str">
        <f aca="false">IF(I17&lt;&gt;"",I17,J20)</f>
        <v/>
      </c>
      <c r="J20" s="0" t="str">
        <f aca="false">IF(J17&lt;&gt;"",J17,K20)</f>
        <v/>
      </c>
      <c r="K20" s="0" t="str">
        <f aca="false">IF(K17&lt;&gt;"",K17,L20)</f>
        <v/>
      </c>
      <c r="L20" s="0" t="str">
        <f aca="false">IF(L17&lt;&gt;"",L17,M20)</f>
        <v/>
      </c>
      <c r="M20" s="0" t="str">
        <f aca="false">IF(M17&lt;&gt;"",M17,"")</f>
        <v/>
      </c>
    </row>
    <row r="21" customFormat="false" ht="15" hidden="false" customHeight="false" outlineLevel="0" collapsed="false">
      <c r="A21" s="4" t="s">
        <v>602</v>
      </c>
      <c r="B21" s="0" t="s">
        <v>603</v>
      </c>
      <c r="C21" s="4" t="s">
        <v>44</v>
      </c>
      <c r="D21" s="0" t="n">
        <f aca="false">IF(D17&lt;&gt;"",2023,E21)</f>
        <v>2024</v>
      </c>
      <c r="E21" s="0" t="n">
        <f aca="false">IF(E17&lt;&gt;"",2024,F21)</f>
        <v>2024</v>
      </c>
      <c r="F21" s="0" t="n">
        <f aca="false">IF(F17&lt;&gt;"",2025,G21)</f>
        <v>2025</v>
      </c>
      <c r="G21" s="0" t="n">
        <f aca="false">IF(G17&lt;&gt;"",2026,H21)</f>
        <v>2026</v>
      </c>
      <c r="H21" s="0" t="str">
        <f aca="false">IF(H17&lt;&gt;"",2027,I21)</f>
        <v/>
      </c>
      <c r="I21" s="0" t="str">
        <f aca="false">IF(I17&lt;&gt;"",2028,J21)</f>
        <v/>
      </c>
      <c r="J21" s="0" t="str">
        <f aca="false">IF(J17&lt;&gt;"",2029,K21)</f>
        <v/>
      </c>
      <c r="K21" s="0" t="str">
        <f aca="false">IF(K17&lt;&gt;"",2030,L21)</f>
        <v/>
      </c>
      <c r="L21" s="0" t="str">
        <f aca="false">IF(L17&lt;&gt;"",2031,M21)</f>
        <v/>
      </c>
      <c r="M21" s="0" t="str">
        <f aca="false">IF(M17&lt;&gt;"",2032,"")</f>
        <v/>
      </c>
    </row>
    <row r="22" customFormat="false" ht="17.15" hidden="false" customHeight="false" outlineLevel="0" collapsed="false">
      <c r="A22" s="4" t="s">
        <v>604</v>
      </c>
      <c r="B22" s="0" t="s">
        <v>605</v>
      </c>
      <c r="C22" s="0" t="s">
        <v>72</v>
      </c>
      <c r="D22" s="23" t="str">
        <f aca="false">IF(D17&lt;&gt;"",D17,IF(AND(D18&lt;&gt;"",D20&lt;&gt;""),D18+(D20-D18)*(2023-D19)/(D21-D19),IF(D18&lt;&gt;"",D18,"")))</f>
        <v/>
      </c>
      <c r="E22" s="23" t="n">
        <f aca="false">IF(E17&lt;&gt;"",E17,IF(AND(E18&lt;&gt;"",E20&lt;&gt;""),E18+(E20-E18)*(2024-E19)/(E21-E19),IF(E18&lt;&gt;"",E18,"")))</f>
        <v>900</v>
      </c>
      <c r="F22" s="23" t="n">
        <f aca="false">IF(F17&lt;&gt;"",F17,IF(AND(F18&lt;&gt;"",F20&lt;&gt;""),F18+(F20-F18)*(2025-F19)/(F21-F19),IF(F18&lt;&gt;"",F18,"")))</f>
        <v>2300</v>
      </c>
      <c r="G22" s="23" t="n">
        <f aca="false">IF(G17&lt;&gt;"",G17,IF(AND(G18&lt;&gt;"",G20&lt;&gt;""),G18+(G20-G18)*(2026-G19)/(G21-G19),IF(G18&lt;&gt;"",G18,"")))</f>
        <v>4500</v>
      </c>
      <c r="H22" s="23" t="n">
        <f aca="false">IF(H17&lt;&gt;"",H17,IF(AND(H18&lt;&gt;"",H20&lt;&gt;""),H18+(H20-H18)*(2027-H19)/(H21-H19),IF(H18&lt;&gt;"",H18,"")))</f>
        <v>4500</v>
      </c>
      <c r="I22" s="23" t="n">
        <f aca="false">IF(I17&lt;&gt;"",I17,IF(AND(I18&lt;&gt;"",I20&lt;&gt;""),I18+(I20-I18)*(2028-I19)/(I21-I19),IF(I18&lt;&gt;"",I18,"")))</f>
        <v>4500</v>
      </c>
      <c r="J22" s="23" t="n">
        <f aca="false">IF(J17&lt;&gt;"",J17,IF(AND(J18&lt;&gt;"",J20&lt;&gt;""),J18+(J20-J18)*(2029-J19)/(J21-J19),IF(J18&lt;&gt;"",J18,"")))</f>
        <v>4500</v>
      </c>
      <c r="K22" s="23" t="n">
        <f aca="false">IF(K17&lt;&gt;"",K17,IF(AND(K18&lt;&gt;"",K20&lt;&gt;""),K18+(K20-K18)*(2030-K19)/(K21-K19),IF(K18&lt;&gt;"",K18,"")))</f>
        <v>4500</v>
      </c>
      <c r="L22" s="23" t="n">
        <f aca="false">IF(L17&lt;&gt;"",L17,IF(AND(L18&lt;&gt;"",L20&lt;&gt;""),L18+(L20-L18)*(2031-L19)/(L21-L19),IF(L18&lt;&gt;"",L18,"")))</f>
        <v>4500</v>
      </c>
      <c r="M22" s="23" t="n">
        <f aca="false">IF(M17&lt;&gt;"",M17,IF(AND(M18&lt;&gt;"",M20&lt;&gt;""),M18+(M20-M18)*(2032-M19)/(M21-M19),IF(M18&lt;&gt;"",M18,"")))</f>
        <v>4500</v>
      </c>
    </row>
    <row r="23" customFormat="false" ht="15" hidden="false" customHeight="false" outlineLevel="0" collapsed="false">
      <c r="A23" s="4" t="s">
        <v>606</v>
      </c>
      <c r="B23" s="0" t="s">
        <v>607</v>
      </c>
      <c r="C23" s="0" t="s">
        <v>32</v>
      </c>
      <c r="D23" s="0" t="n">
        <f aca="false">IF(In!$H$49&lt;&gt;"",1,IF(D17&lt;&gt;"",2,IF(AND(D18&lt;&gt;"",D20&lt;&gt;""),3,IF(D18&lt;&gt;"",4,0))))</f>
        <v>0</v>
      </c>
      <c r="E23" s="0" t="n">
        <f aca="false">IF(In!$I$49&lt;&gt;"",1,IF(E17&lt;&gt;"",2,IF(AND(E18&lt;&gt;"",E20&lt;&gt;""),3,IF(E18&lt;&gt;"",4,0))))</f>
        <v>1</v>
      </c>
      <c r="F23" s="0" t="n">
        <f aca="false">IF(In!$J$49&lt;&gt;"",1,IF(F17&lt;&gt;"",2,IF(AND(F18&lt;&gt;"",F20&lt;&gt;""),3,IF(F18&lt;&gt;"",4,0))))</f>
        <v>1</v>
      </c>
      <c r="G23" s="0" t="n">
        <f aca="false">IF(In!$K$49&lt;&gt;"",1,IF(G17&lt;&gt;"",2,IF(AND(G18&lt;&gt;"",G20&lt;&gt;""),3,IF(G18&lt;&gt;"",4,0))))</f>
        <v>2</v>
      </c>
      <c r="H23" s="0" t="n">
        <f aca="false">IF(In!$L$49&lt;&gt;"",1,IF(H17&lt;&gt;"",2,IF(AND(H18&lt;&gt;"",H20&lt;&gt;""),3,IF(H18&lt;&gt;"",4,0))))</f>
        <v>4</v>
      </c>
      <c r="I23" s="0" t="n">
        <f aca="false">IF(In!$M$49&lt;&gt;"",1,IF(I17&lt;&gt;"",2,IF(AND(I18&lt;&gt;"",I20&lt;&gt;""),3,IF(I18&lt;&gt;"",4,0))))</f>
        <v>4</v>
      </c>
      <c r="J23" s="0" t="n">
        <f aca="false">IF(In!$N$49&lt;&gt;"",1,IF(J17&lt;&gt;"",2,IF(AND(J18&lt;&gt;"",J20&lt;&gt;""),3,IF(J18&lt;&gt;"",4,0))))</f>
        <v>4</v>
      </c>
      <c r="K23" s="0" t="n">
        <f aca="false">IF(In!$O$49&lt;&gt;"",1,IF(K17&lt;&gt;"",2,IF(AND(K18&lt;&gt;"",K20&lt;&gt;""),3,IF(K18&lt;&gt;"",4,0))))</f>
        <v>4</v>
      </c>
      <c r="L23" s="0" t="n">
        <f aca="false">IF(In!$P$49&lt;&gt;"",1,IF(L17&lt;&gt;"",2,IF(AND(L18&lt;&gt;"",L20&lt;&gt;""),3,IF(L18&lt;&gt;"",4,0))))</f>
        <v>4</v>
      </c>
      <c r="M23" s="0" t="n">
        <f aca="false">IF(In!$Q$49&lt;&gt;"",1,IF(M17&lt;&gt;"",2,IF(AND(M18&lt;&gt;"",M20&lt;&gt;""),3,IF(M18&lt;&gt;"",4,0))))</f>
        <v>4</v>
      </c>
    </row>
    <row r="24" customFormat="false" ht="17.15" hidden="false" customHeight="false" outlineLevel="0" collapsed="false">
      <c r="A24" s="4" t="s">
        <v>608</v>
      </c>
      <c r="B24" s="0" t="s">
        <v>609</v>
      </c>
      <c r="C24" s="0" t="s">
        <v>111</v>
      </c>
      <c r="D24" s="24" t="str">
        <f aca="false">IF(D22="","",IF(In!$C$49="設施",D22/1000,D22/1000/D$13))</f>
        <v/>
      </c>
      <c r="E24" s="24" t="n">
        <f aca="false">IF(E22="","",IF(In!$C$49="設施",E22/1000,E22/1000/E$13))</f>
        <v>0.978473581213307</v>
      </c>
      <c r="F24" s="24" t="n">
        <f aca="false">IF(F22="","",IF(In!$C$49="設施",F22/1000,F22/1000/F$13))</f>
        <v>2.50054359643401</v>
      </c>
      <c r="G24" s="24" t="n">
        <f aca="false">IF(G22="","",IF(In!$C$49="設施",G22/1000,G22/1000/G$13))</f>
        <v>4.89236790606654</v>
      </c>
      <c r="H24" s="24" t="n">
        <f aca="false">IF(H22="","",IF(In!$C$49="設施",H22/1000,H22/1000/H$13))</f>
        <v>4.89236790606654</v>
      </c>
      <c r="I24" s="24" t="n">
        <f aca="false">IF(I22="","",IF(In!$C$49="設施",I22/1000,I22/1000/I$13))</f>
        <v>4.89236790606654</v>
      </c>
      <c r="J24" s="24" t="n">
        <f aca="false">IF(J22="","",IF(In!$C$49="設施",J22/1000,J22/1000/J$13))</f>
        <v>4.89236790606654</v>
      </c>
      <c r="K24" s="24" t="n">
        <f aca="false">IF(K22="","",IF(In!$C$49="設施",K22/1000,K22/1000/K$13))</f>
        <v>4.89236790606654</v>
      </c>
      <c r="L24" s="24" t="n">
        <f aca="false">IF(L22="","",IF(In!$C$49="設施",L22/1000,L22/1000/L$13))</f>
        <v>4.89236790606654</v>
      </c>
      <c r="M24" s="24" t="n">
        <f aca="false">IF(M22="","",IF(In!$C$49="設施",M22/1000,M22/1000/M$13))</f>
        <v>4.89236790606654</v>
      </c>
    </row>
    <row r="25" customFormat="false" ht="17.15" hidden="false" customHeight="false" outlineLevel="0" collapsed="false">
      <c r="A25" s="4" t="s">
        <v>610</v>
      </c>
      <c r="B25" s="0" t="s">
        <v>611</v>
      </c>
      <c r="C25" s="0" t="s">
        <v>111</v>
      </c>
      <c r="D25" s="25" t="str">
        <f aca="false">IF(D22="","",IF(In!$C$49="未說明",D22/1000,D24))</f>
        <v/>
      </c>
      <c r="E25" s="25" t="n">
        <f aca="false">IF(E22="","",IF(In!$C$49="未說明",E22/1000,E24))</f>
        <v>0.978473581213307</v>
      </c>
      <c r="F25" s="25" t="n">
        <f aca="false">IF(F22="","",IF(In!$C$49="未說明",F22/1000,F24))</f>
        <v>2.50054359643401</v>
      </c>
      <c r="G25" s="25" t="n">
        <f aca="false">IF(G22="","",IF(In!$C$49="未說明",G22/1000,G24))</f>
        <v>4.89236790606654</v>
      </c>
      <c r="H25" s="25" t="n">
        <f aca="false">IF(H22="","",IF(In!$C$49="未說明",H22/1000,H24))</f>
        <v>4.89236790606654</v>
      </c>
      <c r="I25" s="25" t="n">
        <f aca="false">IF(I22="","",IF(In!$C$49="未說明",I22/1000,I24))</f>
        <v>4.89236790606654</v>
      </c>
      <c r="J25" s="25" t="n">
        <f aca="false">IF(J22="","",IF(In!$C$49="未說明",J22/1000,J24))</f>
        <v>4.89236790606654</v>
      </c>
      <c r="K25" s="25" t="n">
        <f aca="false">IF(K22="","",IF(In!$C$49="未說明",K22/1000,K24))</f>
        <v>4.89236790606654</v>
      </c>
      <c r="L25" s="25" t="n">
        <f aca="false">IF(L22="","",IF(In!$C$49="未說明",L22/1000,L24))</f>
        <v>4.89236790606654</v>
      </c>
      <c r="M25" s="25" t="n">
        <f aca="false">IF(M22="","",IF(In!$C$49="未說明",M22/1000,M24))</f>
        <v>4.89236790606654</v>
      </c>
    </row>
    <row r="26" customFormat="false" ht="17.15" hidden="false" customHeight="false" outlineLevel="0" collapsed="false">
      <c r="A26" s="4" t="s">
        <v>612</v>
      </c>
      <c r="B26" s="0" t="s">
        <v>613</v>
      </c>
      <c r="C26" s="0" t="s">
        <v>111</v>
      </c>
      <c r="D26" s="0" t="str">
        <f aca="false">""</f>
        <v/>
      </c>
      <c r="E26" s="25" t="str">
        <f aca="false">IF(AND(D24&lt;&gt;"",E24&lt;&gt;""),(D24+E24)/2,"")</f>
        <v/>
      </c>
      <c r="F26" s="25" t="n">
        <f aca="false">IF(AND(E24&lt;&gt;"",F24&lt;&gt;""),(E24+F24)/2,"")</f>
        <v>1.73950858882366</v>
      </c>
      <c r="G26" s="25" t="n">
        <f aca="false">IF(AND(F24&lt;&gt;"",G24&lt;&gt;""),(F24+G24)/2,"")</f>
        <v>3.69645575125027</v>
      </c>
      <c r="H26" s="25" t="n">
        <f aca="false">IF(AND(G24&lt;&gt;"",H24&lt;&gt;""),(G24+H24)/2,"")</f>
        <v>4.89236790606654</v>
      </c>
      <c r="I26" s="25" t="n">
        <f aca="false">IF(AND(H24&lt;&gt;"",I24&lt;&gt;""),(H24+I24)/2,"")</f>
        <v>4.89236790606654</v>
      </c>
      <c r="J26" s="25" t="n">
        <f aca="false">IF(AND(I24&lt;&gt;"",J24&lt;&gt;""),(I24+J24)/2,"")</f>
        <v>4.89236790606654</v>
      </c>
      <c r="K26" s="25" t="n">
        <f aca="false">IF(AND(J24&lt;&gt;"",K24&lt;&gt;""),(J24+K24)/2,"")</f>
        <v>4.89236790606654</v>
      </c>
      <c r="L26" s="25" t="n">
        <f aca="false">IF(AND(K24&lt;&gt;"",L24&lt;&gt;""),(K24+L24)/2,"")</f>
        <v>4.89236790606654</v>
      </c>
      <c r="M26" s="25" t="n">
        <f aca="false">IF(AND(L24&lt;&gt;"",M24&lt;&gt;""),(L24+M24)/2,"")</f>
        <v>4.89236790606654</v>
      </c>
    </row>
    <row r="27" customFormat="false" ht="17.15" hidden="false" customHeight="false" outlineLevel="0" collapsed="false">
      <c r="A27" s="4" t="s">
        <v>614</v>
      </c>
      <c r="B27" s="0" t="s">
        <v>615</v>
      </c>
      <c r="C27" s="0" t="s">
        <v>111</v>
      </c>
      <c r="D27" s="0" t="n">
        <v>0</v>
      </c>
      <c r="E27" s="25" t="n">
        <f aca="false">IF(AND(D24&lt;&gt;"",E24&lt;&gt;""),E24-D24,0)</f>
        <v>0</v>
      </c>
      <c r="F27" s="25" t="n">
        <f aca="false">IF(AND(E24&lt;&gt;"",F24&lt;&gt;""),F24-E24,0)</f>
        <v>1.5220700152207</v>
      </c>
      <c r="G27" s="25" t="n">
        <f aca="false">IF(AND(F24&lt;&gt;"",G24&lt;&gt;""),G24-F24,0)</f>
        <v>2.39182430963253</v>
      </c>
      <c r="H27" s="25" t="n">
        <f aca="false">IF(AND(G24&lt;&gt;"",H24&lt;&gt;""),H24-G24,0)</f>
        <v>0</v>
      </c>
      <c r="I27" s="25" t="n">
        <f aca="false">IF(AND(H24&lt;&gt;"",I24&lt;&gt;""),I24-H24,0)</f>
        <v>0</v>
      </c>
      <c r="J27" s="25" t="n">
        <f aca="false">IF(AND(I24&lt;&gt;"",J24&lt;&gt;""),J24-I24,0)</f>
        <v>0</v>
      </c>
      <c r="K27" s="25" t="n">
        <f aca="false">IF(AND(J24&lt;&gt;"",K24&lt;&gt;""),K24-J24,0)</f>
        <v>0</v>
      </c>
      <c r="L27" s="25" t="n">
        <f aca="false">IF(AND(K24&lt;&gt;"",L24&lt;&gt;""),L24-K24,0)</f>
        <v>0</v>
      </c>
      <c r="M27" s="25" t="n">
        <f aca="false">IF(AND(L24&lt;&gt;"",M24&lt;&gt;""),M24-L24,0)</f>
        <v>0</v>
      </c>
    </row>
    <row r="28" customFormat="false" ht="17.15" hidden="false" customHeight="false" outlineLevel="0" collapsed="false">
      <c r="A28" s="4" t="s">
        <v>616</v>
      </c>
      <c r="B28" s="0" t="s">
        <v>617</v>
      </c>
      <c r="C28" s="0" t="s">
        <v>111</v>
      </c>
      <c r="D28" s="25" t="n">
        <f aca="false">IF(D24&lt;&gt;"",D24,0)</f>
        <v>0</v>
      </c>
      <c r="E28" s="25" t="n">
        <f aca="false">IF(AND(D24="",E24&lt;&gt;""),E24,0)</f>
        <v>0.978473581213307</v>
      </c>
      <c r="F28" s="25" t="n">
        <f aca="false">IF(AND(E24="",F24&lt;&gt;""),F24,0)</f>
        <v>0</v>
      </c>
      <c r="G28" s="25" t="n">
        <f aca="false">IF(AND(F24="",G24&lt;&gt;""),G24,0)</f>
        <v>0</v>
      </c>
      <c r="H28" s="25" t="n">
        <f aca="false">IF(AND(G24="",H24&lt;&gt;""),H24,0)</f>
        <v>0</v>
      </c>
      <c r="I28" s="25" t="n">
        <f aca="false">IF(AND(H24="",I24&lt;&gt;""),I24,0)</f>
        <v>0</v>
      </c>
      <c r="J28" s="25" t="n">
        <f aca="false">IF(AND(I24="",J24&lt;&gt;""),J24,0)</f>
        <v>0</v>
      </c>
      <c r="K28" s="25" t="n">
        <f aca="false">IF(AND(J24="",K24&lt;&gt;""),K24,0)</f>
        <v>0</v>
      </c>
      <c r="L28" s="25" t="n">
        <f aca="false">IF(AND(K24="",L24&lt;&gt;""),L24,0)</f>
        <v>0</v>
      </c>
      <c r="M28" s="25" t="n">
        <f aca="false">IF(AND(L24="",M24&lt;&gt;""),M24,0)</f>
        <v>0</v>
      </c>
    </row>
    <row r="29" customFormat="false" ht="17.15" hidden="false" customHeight="false" outlineLevel="0" collapsed="false">
      <c r="A29" s="4" t="s">
        <v>618</v>
      </c>
      <c r="B29" s="0" t="s">
        <v>619</v>
      </c>
      <c r="C29" s="0" t="s">
        <v>48</v>
      </c>
      <c r="D29" s="19" t="n">
        <f aca="false">D$12</f>
        <v>0.238210067173108</v>
      </c>
      <c r="E29" s="19" t="n">
        <f aca="false">E$12</f>
        <v>0.238210067173108</v>
      </c>
      <c r="F29" s="19" t="n">
        <f aca="false">F$12</f>
        <v>0.238210067173108</v>
      </c>
      <c r="G29" s="19" t="n">
        <f aca="false">G$12</f>
        <v>0.238210067173108</v>
      </c>
      <c r="H29" s="19" t="n">
        <f aca="false">H$12</f>
        <v>0.273101862203342</v>
      </c>
      <c r="I29" s="19" t="n">
        <f aca="false">I$12</f>
        <v>0.269621396123668</v>
      </c>
      <c r="J29" s="19" t="n">
        <f aca="false">J$12</f>
        <v>0.272187509408712</v>
      </c>
      <c r="K29" s="19" t="n">
        <f aca="false">K$12</f>
        <v>0.272187509408712</v>
      </c>
      <c r="L29" s="19" t="n">
        <f aca="false">L$12</f>
        <v>0.272187509408712</v>
      </c>
      <c r="M29" s="19" t="n">
        <f aca="false">M$12</f>
        <v>0.272187509408712</v>
      </c>
    </row>
    <row r="31" customFormat="false" ht="17.15" hidden="false" customHeight="false" outlineLevel="0" collapsed="false">
      <c r="A31" s="7" t="s">
        <v>620</v>
      </c>
      <c r="B31" s="16" t="s">
        <v>621</v>
      </c>
      <c r="N31" s="16" t="s">
        <v>622</v>
      </c>
    </row>
    <row r="32" customFormat="false" ht="17.15" hidden="false" customHeight="false" outlineLevel="0" collapsed="false">
      <c r="A32" s="4" t="s">
        <v>592</v>
      </c>
      <c r="B32" s="0" t="s">
        <v>623</v>
      </c>
      <c r="C32" s="0" t="s">
        <v>72</v>
      </c>
      <c r="D32" s="21" t="n">
        <f aca="false">IF(In!$H$50&lt;&gt;"",In!$H$50,"")</f>
        <v>635</v>
      </c>
      <c r="E32" s="21" t="n">
        <f aca="false">IF(In!$I$50&lt;&gt;"",In!$I$50,"")</f>
        <v>2142</v>
      </c>
      <c r="F32" s="21" t="n">
        <f aca="false">IF(In!$J$50&lt;&gt;"",In!$J$50,"")</f>
        <v>4873</v>
      </c>
      <c r="G32" s="15" t="str">
        <f aca="false">IF(In!$K$50&lt;&gt;"",In!$K$50,"")</f>
        <v/>
      </c>
      <c r="H32" s="15" t="str">
        <f aca="false">IF(In!$L$50&lt;&gt;"",In!$L$50,"")</f>
        <v/>
      </c>
      <c r="I32" s="15" t="str">
        <f aca="false">IF(In!$M$50&lt;&gt;"",In!$M$50,"")</f>
        <v/>
      </c>
      <c r="J32" s="15" t="str">
        <f aca="false">IF(In!$N$50&lt;&gt;"",In!$N$50,"")</f>
        <v/>
      </c>
      <c r="K32" s="15" t="str">
        <f aca="false">IF(In!$O$50&lt;&gt;"",In!$O$50,"")</f>
        <v/>
      </c>
      <c r="L32" s="15" t="str">
        <f aca="false">IF(In!$P$50&lt;&gt;"",In!$P$50,"")</f>
        <v/>
      </c>
      <c r="M32" s="15" t="str">
        <f aca="false">IF(In!$Q$50&lt;&gt;"",In!$Q$50,"")</f>
        <v/>
      </c>
    </row>
    <row r="33" customFormat="false" ht="15" hidden="false" customHeight="false" outlineLevel="0" collapsed="false">
      <c r="A33" s="4" t="s">
        <v>594</v>
      </c>
      <c r="B33" s="0" t="s">
        <v>624</v>
      </c>
      <c r="C33" s="0" t="s">
        <v>72</v>
      </c>
      <c r="D33" s="22" t="n">
        <f aca="false">IF(In!$H$50&lt;&gt;"",In!$H$50,IF(AND(In!$I$19&lt;&gt;"",INT(obsd_googl)=2023),obs_googl,""))</f>
        <v>635</v>
      </c>
      <c r="E33" s="22" t="n">
        <f aca="false">IF(In!$I$50&lt;&gt;"",In!$I$50,IF(AND(In!$I$19&lt;&gt;"",INT(obsd_googl)=2024),obs_googl,""))</f>
        <v>2142</v>
      </c>
      <c r="F33" s="22" t="n">
        <f aca="false">IF(In!$J$50&lt;&gt;"",In!$J$50,IF(AND(In!$I$19&lt;&gt;"",INT(obsd_googl)=2025),obs_googl,""))</f>
        <v>4873</v>
      </c>
      <c r="G33" s="16" t="n">
        <f aca="false">IF(In!$K$50&lt;&gt;"",In!$K$50,IF(AND(In!$I$19&lt;&gt;"",INT(obsd_googl)=2026),obs_googl,""))</f>
        <v>6338</v>
      </c>
      <c r="H33" s="0" t="str">
        <f aca="false">IF(In!$L$50&lt;&gt;"",In!$L$50,IF(AND(In!$I$19&lt;&gt;"",INT(obsd_googl)=2027),obs_googl,""))</f>
        <v/>
      </c>
      <c r="I33" s="0" t="str">
        <f aca="false">IF(In!$M$50&lt;&gt;"",In!$M$50,IF(AND(In!$I$19&lt;&gt;"",INT(obsd_googl)=2028),obs_googl,""))</f>
        <v/>
      </c>
      <c r="J33" s="0" t="str">
        <f aca="false">IF(In!$N$50&lt;&gt;"",In!$N$50,IF(AND(In!$I$19&lt;&gt;"",INT(obsd_googl)=2029),obs_googl,""))</f>
        <v/>
      </c>
      <c r="K33" s="0" t="str">
        <f aca="false">IF(In!$O$50&lt;&gt;"",In!$O$50,IF(AND(In!$I$19&lt;&gt;"",INT(obsd_googl)=2030),obs_googl,""))</f>
        <v/>
      </c>
      <c r="L33" s="0" t="str">
        <f aca="false">IF(In!$P$50&lt;&gt;"",In!$P$50,IF(AND(In!$I$19&lt;&gt;"",INT(obsd_googl)=2031),obs_googl,""))</f>
        <v/>
      </c>
      <c r="M33" s="0" t="str">
        <f aca="false">IF(In!$Q$50&lt;&gt;"",In!$Q$50,IF(AND(In!$I$19&lt;&gt;"",INT(obsd_googl)=2032),obs_googl,""))</f>
        <v/>
      </c>
    </row>
    <row r="34" customFormat="false" ht="15" hidden="false" customHeight="false" outlineLevel="0" collapsed="false">
      <c r="A34" s="4" t="s">
        <v>596</v>
      </c>
      <c r="B34" s="0" t="s">
        <v>625</v>
      </c>
      <c r="C34" s="0" t="s">
        <v>72</v>
      </c>
      <c r="D34" s="22" t="n">
        <f aca="false">IF(D33&lt;&gt;"",D33,"")</f>
        <v>635</v>
      </c>
      <c r="E34" s="22" t="n">
        <f aca="false">IF(E33&lt;&gt;"",E33,D34)</f>
        <v>2142</v>
      </c>
      <c r="F34" s="22" t="n">
        <f aca="false">IF(F33&lt;&gt;"",F33,E34)</f>
        <v>4873</v>
      </c>
      <c r="G34" s="16" t="n">
        <f aca="false">IF(G33&lt;&gt;"",G33,F34)</f>
        <v>6338</v>
      </c>
      <c r="H34" s="16" t="n">
        <f aca="false">IF(H33&lt;&gt;"",H33,G34)</f>
        <v>6338</v>
      </c>
      <c r="I34" s="16" t="n">
        <f aca="false">IF(I33&lt;&gt;"",I33,H34)</f>
        <v>6338</v>
      </c>
      <c r="J34" s="16" t="n">
        <f aca="false">IF(J33&lt;&gt;"",J33,I34)</f>
        <v>6338</v>
      </c>
      <c r="K34" s="16" t="n">
        <f aca="false">IF(K33&lt;&gt;"",K33,J34)</f>
        <v>6338</v>
      </c>
      <c r="L34" s="16" t="n">
        <f aca="false">IF(L33&lt;&gt;"",L33,K34)</f>
        <v>6338</v>
      </c>
      <c r="M34" s="16" t="n">
        <f aca="false">IF(M33&lt;&gt;"",M33,L34)</f>
        <v>6338</v>
      </c>
    </row>
    <row r="35" customFormat="false" ht="15" hidden="false" customHeight="false" outlineLevel="0" collapsed="false">
      <c r="A35" s="4" t="s">
        <v>598</v>
      </c>
      <c r="B35" s="0" t="s">
        <v>626</v>
      </c>
      <c r="C35" s="4" t="s">
        <v>44</v>
      </c>
      <c r="D35" s="0" t="n">
        <f aca="false">IF(D33&lt;&gt;"",2023,"")</f>
        <v>2023</v>
      </c>
      <c r="E35" s="0" t="n">
        <f aca="false">IF(E33&lt;&gt;"",2024,D35)</f>
        <v>2024</v>
      </c>
      <c r="F35" s="0" t="n">
        <f aca="false">IF(F33&lt;&gt;"",2025,E35)</f>
        <v>2025</v>
      </c>
      <c r="G35" s="0" t="n">
        <f aca="false">IF(G33&lt;&gt;"",2026,F35)</f>
        <v>2026</v>
      </c>
      <c r="H35" s="0" t="n">
        <f aca="false">IF(H33&lt;&gt;"",2027,G35)</f>
        <v>2026</v>
      </c>
      <c r="I35" s="0" t="n">
        <f aca="false">IF(I33&lt;&gt;"",2028,H35)</f>
        <v>2026</v>
      </c>
      <c r="J35" s="0" t="n">
        <f aca="false">IF(J33&lt;&gt;"",2029,I35)</f>
        <v>2026</v>
      </c>
      <c r="K35" s="0" t="n">
        <f aca="false">IF(K33&lt;&gt;"",2030,J35)</f>
        <v>2026</v>
      </c>
      <c r="L35" s="0" t="n">
        <f aca="false">IF(L33&lt;&gt;"",2031,K35)</f>
        <v>2026</v>
      </c>
      <c r="M35" s="0" t="n">
        <f aca="false">IF(M33&lt;&gt;"",2032,L35)</f>
        <v>2026</v>
      </c>
    </row>
    <row r="36" customFormat="false" ht="15" hidden="false" customHeight="false" outlineLevel="0" collapsed="false">
      <c r="A36" s="4" t="s">
        <v>600</v>
      </c>
      <c r="B36" s="0" t="s">
        <v>627</v>
      </c>
      <c r="C36" s="0" t="s">
        <v>72</v>
      </c>
      <c r="D36" s="22" t="n">
        <f aca="false">IF(D33&lt;&gt;"",D33,E36)</f>
        <v>635</v>
      </c>
      <c r="E36" s="22" t="n">
        <f aca="false">IF(E33&lt;&gt;"",E33,F36)</f>
        <v>2142</v>
      </c>
      <c r="F36" s="22" t="n">
        <f aca="false">IF(F33&lt;&gt;"",F33,G36)</f>
        <v>4873</v>
      </c>
      <c r="G36" s="16" t="n">
        <f aca="false">IF(G33&lt;&gt;"",G33,H36)</f>
        <v>6338</v>
      </c>
      <c r="H36" s="0" t="str">
        <f aca="false">IF(H33&lt;&gt;"",H33,I36)</f>
        <v/>
      </c>
      <c r="I36" s="0" t="str">
        <f aca="false">IF(I33&lt;&gt;"",I33,J36)</f>
        <v/>
      </c>
      <c r="J36" s="0" t="str">
        <f aca="false">IF(J33&lt;&gt;"",J33,K36)</f>
        <v/>
      </c>
      <c r="K36" s="0" t="str">
        <f aca="false">IF(K33&lt;&gt;"",K33,L36)</f>
        <v/>
      </c>
      <c r="L36" s="0" t="str">
        <f aca="false">IF(L33&lt;&gt;"",L33,M36)</f>
        <v/>
      </c>
      <c r="M36" s="0" t="str">
        <f aca="false">IF(M33&lt;&gt;"",M33,"")</f>
        <v/>
      </c>
    </row>
    <row r="37" customFormat="false" ht="15" hidden="false" customHeight="false" outlineLevel="0" collapsed="false">
      <c r="A37" s="4" t="s">
        <v>602</v>
      </c>
      <c r="B37" s="0" t="s">
        <v>628</v>
      </c>
      <c r="C37" s="4" t="s">
        <v>44</v>
      </c>
      <c r="D37" s="0" t="n">
        <f aca="false">IF(D33&lt;&gt;"",2023,E37)</f>
        <v>2023</v>
      </c>
      <c r="E37" s="0" t="n">
        <f aca="false">IF(E33&lt;&gt;"",2024,F37)</f>
        <v>2024</v>
      </c>
      <c r="F37" s="0" t="n">
        <f aca="false">IF(F33&lt;&gt;"",2025,G37)</f>
        <v>2025</v>
      </c>
      <c r="G37" s="0" t="n">
        <f aca="false">IF(G33&lt;&gt;"",2026,H37)</f>
        <v>2026</v>
      </c>
      <c r="H37" s="0" t="str">
        <f aca="false">IF(H33&lt;&gt;"",2027,I37)</f>
        <v/>
      </c>
      <c r="I37" s="0" t="str">
        <f aca="false">IF(I33&lt;&gt;"",2028,J37)</f>
        <v/>
      </c>
      <c r="J37" s="0" t="str">
        <f aca="false">IF(J33&lt;&gt;"",2029,K37)</f>
        <v/>
      </c>
      <c r="K37" s="0" t="str">
        <f aca="false">IF(K33&lt;&gt;"",2030,L37)</f>
        <v/>
      </c>
      <c r="L37" s="0" t="str">
        <f aca="false">IF(L33&lt;&gt;"",2031,M37)</f>
        <v/>
      </c>
      <c r="M37" s="0" t="str">
        <f aca="false">IF(M33&lt;&gt;"",2032,"")</f>
        <v/>
      </c>
    </row>
    <row r="38" customFormat="false" ht="17.15" hidden="false" customHeight="false" outlineLevel="0" collapsed="false">
      <c r="A38" s="4" t="s">
        <v>604</v>
      </c>
      <c r="B38" s="0" t="s">
        <v>629</v>
      </c>
      <c r="C38" s="0" t="s">
        <v>72</v>
      </c>
      <c r="D38" s="23" t="n">
        <f aca="false">IF(D33&lt;&gt;"",D33,IF(AND(D34&lt;&gt;"",D36&lt;&gt;""),D34+(D36-D34)*(2023-D35)/(D37-D35),IF(D34&lt;&gt;"",D34,"")))</f>
        <v>635</v>
      </c>
      <c r="E38" s="23" t="n">
        <f aca="false">IF(E33&lt;&gt;"",E33,IF(AND(E34&lt;&gt;"",E36&lt;&gt;""),E34+(E36-E34)*(2024-E35)/(E37-E35),IF(E34&lt;&gt;"",E34,"")))</f>
        <v>2142</v>
      </c>
      <c r="F38" s="23" t="n">
        <f aca="false">IF(F33&lt;&gt;"",F33,IF(AND(F34&lt;&gt;"",F36&lt;&gt;""),F34+(F36-F34)*(2025-F35)/(F37-F35),IF(F34&lt;&gt;"",F34,"")))</f>
        <v>4873</v>
      </c>
      <c r="G38" s="23" t="n">
        <f aca="false">IF(G33&lt;&gt;"",G33,IF(AND(G34&lt;&gt;"",G36&lt;&gt;""),G34+(G36-G34)*(2026-G35)/(G37-G35),IF(G34&lt;&gt;"",G34,"")))</f>
        <v>6338</v>
      </c>
      <c r="H38" s="23" t="n">
        <f aca="false">IF(H33&lt;&gt;"",H33,IF(AND(H34&lt;&gt;"",H36&lt;&gt;""),H34+(H36-H34)*(2027-H35)/(H37-H35),IF(H34&lt;&gt;"",H34,"")))</f>
        <v>6338</v>
      </c>
      <c r="I38" s="23" t="n">
        <f aca="false">IF(I33&lt;&gt;"",I33,IF(AND(I34&lt;&gt;"",I36&lt;&gt;""),I34+(I36-I34)*(2028-I35)/(I37-I35),IF(I34&lt;&gt;"",I34,"")))</f>
        <v>6338</v>
      </c>
      <c r="J38" s="23" t="n">
        <f aca="false">IF(J33&lt;&gt;"",J33,IF(AND(J34&lt;&gt;"",J36&lt;&gt;""),J34+(J36-J34)*(2029-J35)/(J37-J35),IF(J34&lt;&gt;"",J34,"")))</f>
        <v>6338</v>
      </c>
      <c r="K38" s="23" t="n">
        <f aca="false">IF(K33&lt;&gt;"",K33,IF(AND(K34&lt;&gt;"",K36&lt;&gt;""),K34+(K36-K34)*(2030-K35)/(K37-K35),IF(K34&lt;&gt;"",K34,"")))</f>
        <v>6338</v>
      </c>
      <c r="L38" s="23" t="n">
        <f aca="false">IF(L33&lt;&gt;"",L33,IF(AND(L34&lt;&gt;"",L36&lt;&gt;""),L34+(L36-L34)*(2031-L35)/(L37-L35),IF(L34&lt;&gt;"",L34,"")))</f>
        <v>6338</v>
      </c>
      <c r="M38" s="23" t="n">
        <f aca="false">IF(M33&lt;&gt;"",M33,IF(AND(M34&lt;&gt;"",M36&lt;&gt;""),M34+(M36-M34)*(2032-M35)/(M37-M35),IF(M34&lt;&gt;"",M34,"")))</f>
        <v>6338</v>
      </c>
    </row>
    <row r="39" customFormat="false" ht="15" hidden="false" customHeight="false" outlineLevel="0" collapsed="false">
      <c r="A39" s="4" t="s">
        <v>606</v>
      </c>
      <c r="B39" s="0" t="s">
        <v>630</v>
      </c>
      <c r="C39" s="0" t="s">
        <v>32</v>
      </c>
      <c r="D39" s="0" t="n">
        <f aca="false">IF(In!$H$50&lt;&gt;"",1,IF(D33&lt;&gt;"",2,IF(AND(D34&lt;&gt;"",D36&lt;&gt;""),3,IF(D34&lt;&gt;"",4,0))))</f>
        <v>1</v>
      </c>
      <c r="E39" s="0" t="n">
        <f aca="false">IF(In!$I$50&lt;&gt;"",1,IF(E33&lt;&gt;"",2,IF(AND(E34&lt;&gt;"",E36&lt;&gt;""),3,IF(E34&lt;&gt;"",4,0))))</f>
        <v>1</v>
      </c>
      <c r="F39" s="0" t="n">
        <f aca="false">IF(In!$J$50&lt;&gt;"",1,IF(F33&lt;&gt;"",2,IF(AND(F34&lt;&gt;"",F36&lt;&gt;""),3,IF(F34&lt;&gt;"",4,0))))</f>
        <v>1</v>
      </c>
      <c r="G39" s="0" t="n">
        <f aca="false">IF(In!$K$50&lt;&gt;"",1,IF(G33&lt;&gt;"",2,IF(AND(G34&lt;&gt;"",G36&lt;&gt;""),3,IF(G34&lt;&gt;"",4,0))))</f>
        <v>2</v>
      </c>
      <c r="H39" s="0" t="n">
        <f aca="false">IF(In!$L$50&lt;&gt;"",1,IF(H33&lt;&gt;"",2,IF(AND(H34&lt;&gt;"",H36&lt;&gt;""),3,IF(H34&lt;&gt;"",4,0))))</f>
        <v>4</v>
      </c>
      <c r="I39" s="0" t="n">
        <f aca="false">IF(In!$M$50&lt;&gt;"",1,IF(I33&lt;&gt;"",2,IF(AND(I34&lt;&gt;"",I36&lt;&gt;""),3,IF(I34&lt;&gt;"",4,0))))</f>
        <v>4</v>
      </c>
      <c r="J39" s="0" t="n">
        <f aca="false">IF(In!$N$50&lt;&gt;"",1,IF(J33&lt;&gt;"",2,IF(AND(J34&lt;&gt;"",J36&lt;&gt;""),3,IF(J34&lt;&gt;"",4,0))))</f>
        <v>4</v>
      </c>
      <c r="K39" s="0" t="n">
        <f aca="false">IF(In!$O$50&lt;&gt;"",1,IF(K33&lt;&gt;"",2,IF(AND(K34&lt;&gt;"",K36&lt;&gt;""),3,IF(K34&lt;&gt;"",4,0))))</f>
        <v>4</v>
      </c>
      <c r="L39" s="0" t="n">
        <f aca="false">IF(In!$P$50&lt;&gt;"",1,IF(L33&lt;&gt;"",2,IF(AND(L34&lt;&gt;"",L36&lt;&gt;""),3,IF(L34&lt;&gt;"",4,0))))</f>
        <v>4</v>
      </c>
      <c r="M39" s="0" t="n">
        <f aca="false">IF(In!$Q$50&lt;&gt;"",1,IF(M33&lt;&gt;"",2,IF(AND(M34&lt;&gt;"",M36&lt;&gt;""),3,IF(M34&lt;&gt;"",4,0))))</f>
        <v>4</v>
      </c>
    </row>
    <row r="40" customFormat="false" ht="17.15" hidden="false" customHeight="false" outlineLevel="0" collapsed="false">
      <c r="A40" s="4" t="s">
        <v>608</v>
      </c>
      <c r="B40" s="0" t="s">
        <v>631</v>
      </c>
      <c r="C40" s="0" t="s">
        <v>111</v>
      </c>
      <c r="D40" s="24" t="n">
        <f aca="false">IF(D38="","",IF(In!$C$50="設施",D38/1000,D38/1000/D$13))</f>
        <v>0.690367471189389</v>
      </c>
      <c r="E40" s="24" t="n">
        <f aca="false">IF(E38="","",IF(In!$C$50="設施",E38/1000,E38/1000/E$13))</f>
        <v>2.32876712328767</v>
      </c>
      <c r="F40" s="24" t="n">
        <f aca="false">IF(F38="","",IF(In!$C$50="設施",F38/1000,F38/1000/F$13))</f>
        <v>5.29789084583605</v>
      </c>
      <c r="G40" s="24" t="n">
        <f aca="false">IF(G38="","",IF(In!$C$50="設施",G38/1000,G38/1000/G$13))</f>
        <v>6.89062839747771</v>
      </c>
      <c r="H40" s="24" t="n">
        <f aca="false">IF(H38="","",IF(In!$C$50="設施",H38/1000,H38/1000/H$13))</f>
        <v>6.89062839747771</v>
      </c>
      <c r="I40" s="24" t="n">
        <f aca="false">IF(I38="","",IF(In!$C$50="設施",I38/1000,I38/1000/I$13))</f>
        <v>6.89062839747771</v>
      </c>
      <c r="J40" s="24" t="n">
        <f aca="false">IF(J38="","",IF(In!$C$50="設施",J38/1000,J38/1000/J$13))</f>
        <v>6.89062839747771</v>
      </c>
      <c r="K40" s="24" t="n">
        <f aca="false">IF(K38="","",IF(In!$C$50="設施",K38/1000,K38/1000/K$13))</f>
        <v>6.89062839747771</v>
      </c>
      <c r="L40" s="24" t="n">
        <f aca="false">IF(L38="","",IF(In!$C$50="設施",L38/1000,L38/1000/L$13))</f>
        <v>6.89062839747771</v>
      </c>
      <c r="M40" s="24" t="n">
        <f aca="false">IF(M38="","",IF(In!$C$50="設施",M38/1000,M38/1000/M$13))</f>
        <v>6.89062839747771</v>
      </c>
    </row>
    <row r="41" customFormat="false" ht="17.15" hidden="false" customHeight="false" outlineLevel="0" collapsed="false">
      <c r="A41" s="4" t="s">
        <v>610</v>
      </c>
      <c r="B41" s="0" t="s">
        <v>632</v>
      </c>
      <c r="C41" s="0" t="s">
        <v>111</v>
      </c>
      <c r="D41" s="25" t="n">
        <f aca="false">IF(D38="","",IF(In!$C$50="未說明",D38/1000,D40))</f>
        <v>0.690367471189389</v>
      </c>
      <c r="E41" s="25" t="n">
        <f aca="false">IF(E38="","",IF(In!$C$50="未說明",E38/1000,E40))</f>
        <v>2.32876712328767</v>
      </c>
      <c r="F41" s="25" t="n">
        <f aca="false">IF(F38="","",IF(In!$C$50="未說明",F38/1000,F40))</f>
        <v>5.29789084583605</v>
      </c>
      <c r="G41" s="25" t="n">
        <f aca="false">IF(G38="","",IF(In!$C$50="未說明",G38/1000,G40))</f>
        <v>6.89062839747771</v>
      </c>
      <c r="H41" s="25" t="n">
        <f aca="false">IF(H38="","",IF(In!$C$50="未說明",H38/1000,H40))</f>
        <v>6.89062839747771</v>
      </c>
      <c r="I41" s="25" t="n">
        <f aca="false">IF(I38="","",IF(In!$C$50="未說明",I38/1000,I40))</f>
        <v>6.89062839747771</v>
      </c>
      <c r="J41" s="25" t="n">
        <f aca="false">IF(J38="","",IF(In!$C$50="未說明",J38/1000,J40))</f>
        <v>6.89062839747771</v>
      </c>
      <c r="K41" s="25" t="n">
        <f aca="false">IF(K38="","",IF(In!$C$50="未說明",K38/1000,K40))</f>
        <v>6.89062839747771</v>
      </c>
      <c r="L41" s="25" t="n">
        <f aca="false">IF(L38="","",IF(In!$C$50="未說明",L38/1000,L40))</f>
        <v>6.89062839747771</v>
      </c>
      <c r="M41" s="25" t="n">
        <f aca="false">IF(M38="","",IF(In!$C$50="未說明",M38/1000,M40))</f>
        <v>6.89062839747771</v>
      </c>
    </row>
    <row r="42" customFormat="false" ht="17.15" hidden="false" customHeight="false" outlineLevel="0" collapsed="false">
      <c r="A42" s="4" t="s">
        <v>612</v>
      </c>
      <c r="B42" s="0" t="s">
        <v>633</v>
      </c>
      <c r="C42" s="0" t="s">
        <v>111</v>
      </c>
      <c r="D42" s="0" t="str">
        <f aca="false">""</f>
        <v/>
      </c>
      <c r="E42" s="25" t="n">
        <f aca="false">IF(AND(D40&lt;&gt;"",E40&lt;&gt;""),(D40+E40)/2,"")</f>
        <v>1.50956729723853</v>
      </c>
      <c r="F42" s="25" t="n">
        <f aca="false">IF(AND(E40&lt;&gt;"",F40&lt;&gt;""),(E40+F40)/2,"")</f>
        <v>3.81332898456186</v>
      </c>
      <c r="G42" s="25" t="n">
        <f aca="false">IF(AND(F40&lt;&gt;"",G40&lt;&gt;""),(F40+G40)/2,"")</f>
        <v>6.09425962165688</v>
      </c>
      <c r="H42" s="25" t="n">
        <f aca="false">IF(AND(G40&lt;&gt;"",H40&lt;&gt;""),(G40+H40)/2,"")</f>
        <v>6.89062839747771</v>
      </c>
      <c r="I42" s="25" t="n">
        <f aca="false">IF(AND(H40&lt;&gt;"",I40&lt;&gt;""),(H40+I40)/2,"")</f>
        <v>6.89062839747771</v>
      </c>
      <c r="J42" s="25" t="n">
        <f aca="false">IF(AND(I40&lt;&gt;"",J40&lt;&gt;""),(I40+J40)/2,"")</f>
        <v>6.89062839747771</v>
      </c>
      <c r="K42" s="25" t="n">
        <f aca="false">IF(AND(J40&lt;&gt;"",K40&lt;&gt;""),(J40+K40)/2,"")</f>
        <v>6.89062839747771</v>
      </c>
      <c r="L42" s="25" t="n">
        <f aca="false">IF(AND(K40&lt;&gt;"",L40&lt;&gt;""),(K40+L40)/2,"")</f>
        <v>6.89062839747771</v>
      </c>
      <c r="M42" s="25" t="n">
        <f aca="false">IF(AND(L40&lt;&gt;"",M40&lt;&gt;""),(L40+M40)/2,"")</f>
        <v>6.89062839747771</v>
      </c>
    </row>
    <row r="43" customFormat="false" ht="17.15" hidden="false" customHeight="false" outlineLevel="0" collapsed="false">
      <c r="A43" s="4" t="s">
        <v>614</v>
      </c>
      <c r="B43" s="0" t="s">
        <v>634</v>
      </c>
      <c r="C43" s="0" t="s">
        <v>111</v>
      </c>
      <c r="D43" s="0" t="n">
        <v>0</v>
      </c>
      <c r="E43" s="25" t="n">
        <f aca="false">IF(AND(D40&lt;&gt;"",E40&lt;&gt;""),E40-D40,0)</f>
        <v>1.63839965209828</v>
      </c>
      <c r="F43" s="25" t="n">
        <f aca="false">IF(AND(E40&lt;&gt;"",F40&lt;&gt;""),F40-E40,0)</f>
        <v>2.96912372254838</v>
      </c>
      <c r="G43" s="25" t="n">
        <f aca="false">IF(AND(F40&lt;&gt;"",G40&lt;&gt;""),G40-F40,0)</f>
        <v>1.59273755164166</v>
      </c>
      <c r="H43" s="25" t="n">
        <f aca="false">IF(AND(G40&lt;&gt;"",H40&lt;&gt;""),H40-G40,0)</f>
        <v>0</v>
      </c>
      <c r="I43" s="25" t="n">
        <f aca="false">IF(AND(H40&lt;&gt;"",I40&lt;&gt;""),I40-H40,0)</f>
        <v>0</v>
      </c>
      <c r="J43" s="25" t="n">
        <f aca="false">IF(AND(I40&lt;&gt;"",J40&lt;&gt;""),J40-I40,0)</f>
        <v>0</v>
      </c>
      <c r="K43" s="25" t="n">
        <f aca="false">IF(AND(J40&lt;&gt;"",K40&lt;&gt;""),K40-J40,0)</f>
        <v>0</v>
      </c>
      <c r="L43" s="25" t="n">
        <f aca="false">IF(AND(K40&lt;&gt;"",L40&lt;&gt;""),L40-K40,0)</f>
        <v>0</v>
      </c>
      <c r="M43" s="25" t="n">
        <f aca="false">IF(AND(L40&lt;&gt;"",M40&lt;&gt;""),M40-L40,0)</f>
        <v>0</v>
      </c>
    </row>
    <row r="44" customFormat="false" ht="17.15" hidden="false" customHeight="false" outlineLevel="0" collapsed="false">
      <c r="A44" s="4" t="s">
        <v>616</v>
      </c>
      <c r="B44" s="0" t="s">
        <v>635</v>
      </c>
      <c r="C44" s="0" t="s">
        <v>111</v>
      </c>
      <c r="D44" s="25" t="n">
        <f aca="false">IF(D40&lt;&gt;"",D40,0)</f>
        <v>0.690367471189389</v>
      </c>
      <c r="E44" s="25" t="n">
        <f aca="false">IF(AND(D40="",E40&lt;&gt;""),E40,0)</f>
        <v>0</v>
      </c>
      <c r="F44" s="25" t="n">
        <f aca="false">IF(AND(E40="",F40&lt;&gt;""),F40,0)</f>
        <v>0</v>
      </c>
      <c r="G44" s="25" t="n">
        <f aca="false">IF(AND(F40="",G40&lt;&gt;""),G40,0)</f>
        <v>0</v>
      </c>
      <c r="H44" s="25" t="n">
        <f aca="false">IF(AND(G40="",H40&lt;&gt;""),H40,0)</f>
        <v>0</v>
      </c>
      <c r="I44" s="25" t="n">
        <f aca="false">IF(AND(H40="",I40&lt;&gt;""),I40,0)</f>
        <v>0</v>
      </c>
      <c r="J44" s="25" t="n">
        <f aca="false">IF(AND(I40="",J40&lt;&gt;""),J40,0)</f>
        <v>0</v>
      </c>
      <c r="K44" s="25" t="n">
        <f aca="false">IF(AND(J40="",K40&lt;&gt;""),K40,0)</f>
        <v>0</v>
      </c>
      <c r="L44" s="25" t="n">
        <f aca="false">IF(AND(K40="",L40&lt;&gt;""),L40,0)</f>
        <v>0</v>
      </c>
      <c r="M44" s="25" t="n">
        <f aca="false">IF(AND(L40="",M40&lt;&gt;""),M40,0)</f>
        <v>0</v>
      </c>
    </row>
    <row r="45" customFormat="false" ht="17.15" hidden="false" customHeight="false" outlineLevel="0" collapsed="false">
      <c r="A45" s="4" t="s">
        <v>618</v>
      </c>
      <c r="B45" s="0" t="s">
        <v>636</v>
      </c>
      <c r="C45" s="0" t="s">
        <v>48</v>
      </c>
      <c r="D45" s="19" t="n">
        <f aca="false">nnv_googl</f>
        <v>0.753</v>
      </c>
      <c r="E45" s="19" t="n">
        <f aca="false">nnv_googl</f>
        <v>0.753</v>
      </c>
      <c r="F45" s="19" t="n">
        <f aca="false">nnv_googl</f>
        <v>0.753</v>
      </c>
      <c r="G45" s="19" t="n">
        <f aca="false">nnv_googl</f>
        <v>0.753</v>
      </c>
      <c r="H45" s="19" t="n">
        <f aca="false">nnv_googl</f>
        <v>0.753</v>
      </c>
      <c r="I45" s="19" t="n">
        <f aca="false">nnv_googl</f>
        <v>0.753</v>
      </c>
      <c r="J45" s="19" t="n">
        <f aca="false">nnv_googl</f>
        <v>0.753</v>
      </c>
      <c r="K45" s="19" t="n">
        <f aca="false">nnv_googl</f>
        <v>0.753</v>
      </c>
      <c r="L45" s="19" t="n">
        <f aca="false">nnv_googl</f>
        <v>0.753</v>
      </c>
      <c r="M45" s="19" t="n">
        <f aca="false">nnv_googl</f>
        <v>0.753</v>
      </c>
    </row>
    <row r="47" customFormat="false" ht="17.15" hidden="false" customHeight="false" outlineLevel="0" collapsed="false">
      <c r="A47" s="7" t="s">
        <v>637</v>
      </c>
      <c r="B47" s="16" t="s">
        <v>377</v>
      </c>
      <c r="N47" s="16" t="s">
        <v>638</v>
      </c>
    </row>
    <row r="48" customFormat="false" ht="17.15" hidden="false" customHeight="false" outlineLevel="0" collapsed="false">
      <c r="A48" s="4" t="s">
        <v>592</v>
      </c>
      <c r="B48" s="0" t="s">
        <v>639</v>
      </c>
      <c r="C48" s="0" t="s">
        <v>72</v>
      </c>
      <c r="D48" s="21" t="n">
        <f aca="false">IF(In!$H$51&lt;&gt;"",In!$H$51,"")</f>
        <v>150</v>
      </c>
      <c r="E48" s="21" t="n">
        <f aca="false">IF(In!$I$51&lt;&gt;"",In!$I$51,"")</f>
        <v>450</v>
      </c>
      <c r="F48" s="21" t="n">
        <f aca="false">IF(In!$J$51&lt;&gt;"",In!$J$51,"")</f>
        <v>1800</v>
      </c>
      <c r="G48" s="15" t="str">
        <f aca="false">IF(In!$K$51&lt;&gt;"",In!$K$51,"")</f>
        <v/>
      </c>
      <c r="H48" s="15" t="str">
        <f aca="false">IF(In!$L$51&lt;&gt;"",In!$L$51,"")</f>
        <v/>
      </c>
      <c r="I48" s="15" t="str">
        <f aca="false">IF(In!$M$51&lt;&gt;"",In!$M$51,"")</f>
        <v/>
      </c>
      <c r="J48" s="15" t="str">
        <f aca="false">IF(In!$N$51&lt;&gt;"",In!$N$51,"")</f>
        <v/>
      </c>
      <c r="K48" s="15" t="str">
        <f aca="false">IF(In!$O$51&lt;&gt;"",In!$O$51,"")</f>
        <v/>
      </c>
      <c r="L48" s="15" t="str">
        <f aca="false">IF(In!$P$51&lt;&gt;"",In!$P$51,"")</f>
        <v/>
      </c>
      <c r="M48" s="15" t="str">
        <f aca="false">IF(In!$Q$51&lt;&gt;"",In!$Q$51,"")</f>
        <v/>
      </c>
    </row>
    <row r="49" customFormat="false" ht="15" hidden="false" customHeight="false" outlineLevel="0" collapsed="false">
      <c r="A49" s="4" t="s">
        <v>594</v>
      </c>
      <c r="B49" s="0" t="s">
        <v>640</v>
      </c>
      <c r="C49" s="0" t="s">
        <v>72</v>
      </c>
      <c r="D49" s="22" t="n">
        <f aca="false">IF(In!$H$51&lt;&gt;"",In!$H$51,IF(AND(In!$I$21&lt;&gt;"",INT(obsd_amzn)=2023),obs_amzn,""))</f>
        <v>150</v>
      </c>
      <c r="E49" s="22" t="n">
        <f aca="false">IF(In!$I$51&lt;&gt;"",In!$I$51,IF(AND(In!$I$21&lt;&gt;"",INT(obsd_amzn)=2024),obs_amzn,""))</f>
        <v>450</v>
      </c>
      <c r="F49" s="22" t="n">
        <f aca="false">IF(In!$J$51&lt;&gt;"",In!$J$51,IF(AND(In!$I$21&lt;&gt;"",INT(obsd_amzn)=2025),obs_amzn,""))</f>
        <v>1800</v>
      </c>
      <c r="G49" s="16" t="n">
        <f aca="false">IF(In!$K$51&lt;&gt;"",In!$K$51,IF(AND(In!$I$21&lt;&gt;"",INT(obsd_amzn)=2026),obs_amzn,""))</f>
        <v>2600</v>
      </c>
      <c r="H49" s="0" t="str">
        <f aca="false">IF(In!$L$51&lt;&gt;"",In!$L$51,IF(AND(In!$I$21&lt;&gt;"",INT(obsd_amzn)=2027),obs_amzn,""))</f>
        <v/>
      </c>
      <c r="I49" s="0" t="str">
        <f aca="false">IF(In!$M$51&lt;&gt;"",In!$M$51,IF(AND(In!$I$21&lt;&gt;"",INT(obsd_amzn)=2028),obs_amzn,""))</f>
        <v/>
      </c>
      <c r="J49" s="0" t="str">
        <f aca="false">IF(In!$N$51&lt;&gt;"",In!$N$51,IF(AND(In!$I$21&lt;&gt;"",INT(obsd_amzn)=2029),obs_amzn,""))</f>
        <v/>
      </c>
      <c r="K49" s="0" t="str">
        <f aca="false">IF(In!$O$51&lt;&gt;"",In!$O$51,IF(AND(In!$I$21&lt;&gt;"",INT(obsd_amzn)=2030),obs_amzn,""))</f>
        <v/>
      </c>
      <c r="L49" s="0" t="str">
        <f aca="false">IF(In!$P$51&lt;&gt;"",In!$P$51,IF(AND(In!$I$21&lt;&gt;"",INT(obsd_amzn)=2031),obs_amzn,""))</f>
        <v/>
      </c>
      <c r="M49" s="0" t="str">
        <f aca="false">IF(In!$Q$51&lt;&gt;"",In!$Q$51,IF(AND(In!$I$21&lt;&gt;"",INT(obsd_amzn)=2032),obs_amzn,""))</f>
        <v/>
      </c>
    </row>
    <row r="50" customFormat="false" ht="15" hidden="false" customHeight="false" outlineLevel="0" collapsed="false">
      <c r="A50" s="4" t="s">
        <v>596</v>
      </c>
      <c r="B50" s="0" t="s">
        <v>641</v>
      </c>
      <c r="C50" s="0" t="s">
        <v>72</v>
      </c>
      <c r="D50" s="22" t="n">
        <f aca="false">IF(D49&lt;&gt;"",D49,"")</f>
        <v>150</v>
      </c>
      <c r="E50" s="22" t="n">
        <f aca="false">IF(E49&lt;&gt;"",E49,D50)</f>
        <v>450</v>
      </c>
      <c r="F50" s="22" t="n">
        <f aca="false">IF(F49&lt;&gt;"",F49,E50)</f>
        <v>1800</v>
      </c>
      <c r="G50" s="16" t="n">
        <f aca="false">IF(G49&lt;&gt;"",G49,F50)</f>
        <v>2600</v>
      </c>
      <c r="H50" s="16" t="n">
        <f aca="false">IF(H49&lt;&gt;"",H49,G50)</f>
        <v>2600</v>
      </c>
      <c r="I50" s="16" t="n">
        <f aca="false">IF(I49&lt;&gt;"",I49,H50)</f>
        <v>2600</v>
      </c>
      <c r="J50" s="16" t="n">
        <f aca="false">IF(J49&lt;&gt;"",J49,I50)</f>
        <v>2600</v>
      </c>
      <c r="K50" s="16" t="n">
        <f aca="false">IF(K49&lt;&gt;"",K49,J50)</f>
        <v>2600</v>
      </c>
      <c r="L50" s="16" t="n">
        <f aca="false">IF(L49&lt;&gt;"",L49,K50)</f>
        <v>2600</v>
      </c>
      <c r="M50" s="16" t="n">
        <f aca="false">IF(M49&lt;&gt;"",M49,L50)</f>
        <v>2600</v>
      </c>
    </row>
    <row r="51" customFormat="false" ht="15" hidden="false" customHeight="false" outlineLevel="0" collapsed="false">
      <c r="A51" s="4" t="s">
        <v>598</v>
      </c>
      <c r="B51" s="0" t="s">
        <v>642</v>
      </c>
      <c r="C51" s="4" t="s">
        <v>44</v>
      </c>
      <c r="D51" s="0" t="n">
        <f aca="false">IF(D49&lt;&gt;"",2023,"")</f>
        <v>2023</v>
      </c>
      <c r="E51" s="0" t="n">
        <f aca="false">IF(E49&lt;&gt;"",2024,D51)</f>
        <v>2024</v>
      </c>
      <c r="F51" s="0" t="n">
        <f aca="false">IF(F49&lt;&gt;"",2025,E51)</f>
        <v>2025</v>
      </c>
      <c r="G51" s="0" t="n">
        <f aca="false">IF(G49&lt;&gt;"",2026,F51)</f>
        <v>2026</v>
      </c>
      <c r="H51" s="0" t="n">
        <f aca="false">IF(H49&lt;&gt;"",2027,G51)</f>
        <v>2026</v>
      </c>
      <c r="I51" s="0" t="n">
        <f aca="false">IF(I49&lt;&gt;"",2028,H51)</f>
        <v>2026</v>
      </c>
      <c r="J51" s="0" t="n">
        <f aca="false">IF(J49&lt;&gt;"",2029,I51)</f>
        <v>2026</v>
      </c>
      <c r="K51" s="0" t="n">
        <f aca="false">IF(K49&lt;&gt;"",2030,J51)</f>
        <v>2026</v>
      </c>
      <c r="L51" s="0" t="n">
        <f aca="false">IF(L49&lt;&gt;"",2031,K51)</f>
        <v>2026</v>
      </c>
      <c r="M51" s="0" t="n">
        <f aca="false">IF(M49&lt;&gt;"",2032,L51)</f>
        <v>2026</v>
      </c>
    </row>
    <row r="52" customFormat="false" ht="15" hidden="false" customHeight="false" outlineLevel="0" collapsed="false">
      <c r="A52" s="4" t="s">
        <v>600</v>
      </c>
      <c r="B52" s="0" t="s">
        <v>643</v>
      </c>
      <c r="C52" s="0" t="s">
        <v>72</v>
      </c>
      <c r="D52" s="22" t="n">
        <f aca="false">IF(D49&lt;&gt;"",D49,E52)</f>
        <v>150</v>
      </c>
      <c r="E52" s="22" t="n">
        <f aca="false">IF(E49&lt;&gt;"",E49,F52)</f>
        <v>450</v>
      </c>
      <c r="F52" s="22" t="n">
        <f aca="false">IF(F49&lt;&gt;"",F49,G52)</f>
        <v>1800</v>
      </c>
      <c r="G52" s="16" t="n">
        <f aca="false">IF(G49&lt;&gt;"",G49,H52)</f>
        <v>2600</v>
      </c>
      <c r="H52" s="0" t="str">
        <f aca="false">IF(H49&lt;&gt;"",H49,I52)</f>
        <v/>
      </c>
      <c r="I52" s="0" t="str">
        <f aca="false">IF(I49&lt;&gt;"",I49,J52)</f>
        <v/>
      </c>
      <c r="J52" s="0" t="str">
        <f aca="false">IF(J49&lt;&gt;"",J49,K52)</f>
        <v/>
      </c>
      <c r="K52" s="0" t="str">
        <f aca="false">IF(K49&lt;&gt;"",K49,L52)</f>
        <v/>
      </c>
      <c r="L52" s="0" t="str">
        <f aca="false">IF(L49&lt;&gt;"",L49,M52)</f>
        <v/>
      </c>
      <c r="M52" s="0" t="str">
        <f aca="false">IF(M49&lt;&gt;"",M49,"")</f>
        <v/>
      </c>
    </row>
    <row r="53" customFormat="false" ht="15" hidden="false" customHeight="false" outlineLevel="0" collapsed="false">
      <c r="A53" s="4" t="s">
        <v>602</v>
      </c>
      <c r="B53" s="0" t="s">
        <v>644</v>
      </c>
      <c r="C53" s="4" t="s">
        <v>44</v>
      </c>
      <c r="D53" s="0" t="n">
        <f aca="false">IF(D49&lt;&gt;"",2023,E53)</f>
        <v>2023</v>
      </c>
      <c r="E53" s="0" t="n">
        <f aca="false">IF(E49&lt;&gt;"",2024,F53)</f>
        <v>2024</v>
      </c>
      <c r="F53" s="0" t="n">
        <f aca="false">IF(F49&lt;&gt;"",2025,G53)</f>
        <v>2025</v>
      </c>
      <c r="G53" s="0" t="n">
        <f aca="false">IF(G49&lt;&gt;"",2026,H53)</f>
        <v>2026</v>
      </c>
      <c r="H53" s="0" t="str">
        <f aca="false">IF(H49&lt;&gt;"",2027,I53)</f>
        <v/>
      </c>
      <c r="I53" s="0" t="str">
        <f aca="false">IF(I49&lt;&gt;"",2028,J53)</f>
        <v/>
      </c>
      <c r="J53" s="0" t="str">
        <f aca="false">IF(J49&lt;&gt;"",2029,K53)</f>
        <v/>
      </c>
      <c r="K53" s="0" t="str">
        <f aca="false">IF(K49&lt;&gt;"",2030,L53)</f>
        <v/>
      </c>
      <c r="L53" s="0" t="str">
        <f aca="false">IF(L49&lt;&gt;"",2031,M53)</f>
        <v/>
      </c>
      <c r="M53" s="0" t="str">
        <f aca="false">IF(M49&lt;&gt;"",2032,"")</f>
        <v/>
      </c>
    </row>
    <row r="54" customFormat="false" ht="17.15" hidden="false" customHeight="false" outlineLevel="0" collapsed="false">
      <c r="A54" s="4" t="s">
        <v>604</v>
      </c>
      <c r="B54" s="0" t="s">
        <v>645</v>
      </c>
      <c r="C54" s="0" t="s">
        <v>72</v>
      </c>
      <c r="D54" s="23" t="n">
        <f aca="false">IF(D49&lt;&gt;"",D49,IF(AND(D50&lt;&gt;"",D52&lt;&gt;""),D50+(D52-D50)*(2023-D51)/(D53-D51),IF(D50&lt;&gt;"",D50,"")))</f>
        <v>150</v>
      </c>
      <c r="E54" s="23" t="n">
        <f aca="false">IF(E49&lt;&gt;"",E49,IF(AND(E50&lt;&gt;"",E52&lt;&gt;""),E50+(E52-E50)*(2024-E51)/(E53-E51),IF(E50&lt;&gt;"",E50,"")))</f>
        <v>450</v>
      </c>
      <c r="F54" s="23" t="n">
        <f aca="false">IF(F49&lt;&gt;"",F49,IF(AND(F50&lt;&gt;"",F52&lt;&gt;""),F50+(F52-F50)*(2025-F51)/(F53-F51),IF(F50&lt;&gt;"",F50,"")))</f>
        <v>1800</v>
      </c>
      <c r="G54" s="23" t="n">
        <f aca="false">IF(G49&lt;&gt;"",G49,IF(AND(G50&lt;&gt;"",G52&lt;&gt;""),G50+(G52-G50)*(2026-G51)/(G53-G51),IF(G50&lt;&gt;"",G50,"")))</f>
        <v>2600</v>
      </c>
      <c r="H54" s="23" t="n">
        <f aca="false">IF(H49&lt;&gt;"",H49,IF(AND(H50&lt;&gt;"",H52&lt;&gt;""),H50+(H52-H50)*(2027-H51)/(H53-H51),IF(H50&lt;&gt;"",H50,"")))</f>
        <v>2600</v>
      </c>
      <c r="I54" s="23" t="n">
        <f aca="false">IF(I49&lt;&gt;"",I49,IF(AND(I50&lt;&gt;"",I52&lt;&gt;""),I50+(I52-I50)*(2028-I51)/(I53-I51),IF(I50&lt;&gt;"",I50,"")))</f>
        <v>2600</v>
      </c>
      <c r="J54" s="23" t="n">
        <f aca="false">IF(J49&lt;&gt;"",J49,IF(AND(J50&lt;&gt;"",J52&lt;&gt;""),J50+(J52-J50)*(2029-J51)/(J53-J51),IF(J50&lt;&gt;"",J50,"")))</f>
        <v>2600</v>
      </c>
      <c r="K54" s="23" t="n">
        <f aca="false">IF(K49&lt;&gt;"",K49,IF(AND(K50&lt;&gt;"",K52&lt;&gt;""),K50+(K52-K50)*(2030-K51)/(K53-K51),IF(K50&lt;&gt;"",K50,"")))</f>
        <v>2600</v>
      </c>
      <c r="L54" s="23" t="n">
        <f aca="false">IF(L49&lt;&gt;"",L49,IF(AND(L50&lt;&gt;"",L52&lt;&gt;""),L50+(L52-L50)*(2031-L51)/(L53-L51),IF(L50&lt;&gt;"",L50,"")))</f>
        <v>2600</v>
      </c>
      <c r="M54" s="23" t="n">
        <f aca="false">IF(M49&lt;&gt;"",M49,IF(AND(M50&lt;&gt;"",M52&lt;&gt;""),M50+(M52-M50)*(2032-M51)/(M53-M51),IF(M50&lt;&gt;"",M50,"")))</f>
        <v>2600</v>
      </c>
    </row>
    <row r="55" customFormat="false" ht="15" hidden="false" customHeight="false" outlineLevel="0" collapsed="false">
      <c r="A55" s="4" t="s">
        <v>606</v>
      </c>
      <c r="B55" s="0" t="s">
        <v>646</v>
      </c>
      <c r="C55" s="0" t="s">
        <v>32</v>
      </c>
      <c r="D55" s="0" t="n">
        <f aca="false">IF(In!$H$51&lt;&gt;"",1,IF(D49&lt;&gt;"",2,IF(AND(D50&lt;&gt;"",D52&lt;&gt;""),3,IF(D50&lt;&gt;"",4,0))))</f>
        <v>1</v>
      </c>
      <c r="E55" s="0" t="n">
        <f aca="false">IF(In!$I$51&lt;&gt;"",1,IF(E49&lt;&gt;"",2,IF(AND(E50&lt;&gt;"",E52&lt;&gt;""),3,IF(E50&lt;&gt;"",4,0))))</f>
        <v>1</v>
      </c>
      <c r="F55" s="0" t="n">
        <f aca="false">IF(In!$J$51&lt;&gt;"",1,IF(F49&lt;&gt;"",2,IF(AND(F50&lt;&gt;"",F52&lt;&gt;""),3,IF(F50&lt;&gt;"",4,0))))</f>
        <v>1</v>
      </c>
      <c r="G55" s="0" t="n">
        <f aca="false">IF(In!$K$51&lt;&gt;"",1,IF(G49&lt;&gt;"",2,IF(AND(G50&lt;&gt;"",G52&lt;&gt;""),3,IF(G50&lt;&gt;"",4,0))))</f>
        <v>2</v>
      </c>
      <c r="H55" s="0" t="n">
        <f aca="false">IF(In!$L$51&lt;&gt;"",1,IF(H49&lt;&gt;"",2,IF(AND(H50&lt;&gt;"",H52&lt;&gt;""),3,IF(H50&lt;&gt;"",4,0))))</f>
        <v>4</v>
      </c>
      <c r="I55" s="0" t="n">
        <f aca="false">IF(In!$M$51&lt;&gt;"",1,IF(I49&lt;&gt;"",2,IF(AND(I50&lt;&gt;"",I52&lt;&gt;""),3,IF(I50&lt;&gt;"",4,0))))</f>
        <v>4</v>
      </c>
      <c r="J55" s="0" t="n">
        <f aca="false">IF(In!$N$51&lt;&gt;"",1,IF(J49&lt;&gt;"",2,IF(AND(J50&lt;&gt;"",J52&lt;&gt;""),3,IF(J50&lt;&gt;"",4,0))))</f>
        <v>4</v>
      </c>
      <c r="K55" s="0" t="n">
        <f aca="false">IF(In!$O$51&lt;&gt;"",1,IF(K49&lt;&gt;"",2,IF(AND(K50&lt;&gt;"",K52&lt;&gt;""),3,IF(K50&lt;&gt;"",4,0))))</f>
        <v>4</v>
      </c>
      <c r="L55" s="0" t="n">
        <f aca="false">IF(In!$P$51&lt;&gt;"",1,IF(L49&lt;&gt;"",2,IF(AND(L50&lt;&gt;"",L52&lt;&gt;""),3,IF(L50&lt;&gt;"",4,0))))</f>
        <v>4</v>
      </c>
      <c r="M55" s="0" t="n">
        <f aca="false">IF(In!$Q$51&lt;&gt;"",1,IF(M49&lt;&gt;"",2,IF(AND(M50&lt;&gt;"",M52&lt;&gt;""),3,IF(M50&lt;&gt;"",4,0))))</f>
        <v>4</v>
      </c>
    </row>
    <row r="56" customFormat="false" ht="17.15" hidden="false" customHeight="false" outlineLevel="0" collapsed="false">
      <c r="A56" s="4" t="s">
        <v>608</v>
      </c>
      <c r="B56" s="0" t="s">
        <v>647</v>
      </c>
      <c r="C56" s="0" t="s">
        <v>111</v>
      </c>
      <c r="D56" s="24" t="n">
        <f aca="false">IF(D54="","",IF(In!$C$51="設施",D54/1000,D54/1000/D$13))</f>
        <v>0.163078930202218</v>
      </c>
      <c r="E56" s="24" t="n">
        <f aca="false">IF(E54="","",IF(In!$C$51="設施",E54/1000,E54/1000/E$13))</f>
        <v>0.489236790606654</v>
      </c>
      <c r="F56" s="24" t="n">
        <f aca="false">IF(F54="","",IF(In!$C$51="設施",F54/1000,F54/1000/F$13))</f>
        <v>1.95694716242661</v>
      </c>
      <c r="G56" s="24" t="n">
        <f aca="false">IF(G54="","",IF(In!$C$51="設施",G54/1000,G54/1000/G$13))</f>
        <v>2.82670145683844</v>
      </c>
      <c r="H56" s="24" t="n">
        <f aca="false">IF(H54="","",IF(In!$C$51="設施",H54/1000,H54/1000/H$13))</f>
        <v>2.82670145683844</v>
      </c>
      <c r="I56" s="24" t="n">
        <f aca="false">IF(I54="","",IF(In!$C$51="設施",I54/1000,I54/1000/I$13))</f>
        <v>2.82670145683844</v>
      </c>
      <c r="J56" s="24" t="n">
        <f aca="false">IF(J54="","",IF(In!$C$51="設施",J54/1000,J54/1000/J$13))</f>
        <v>2.82670145683844</v>
      </c>
      <c r="K56" s="24" t="n">
        <f aca="false">IF(K54="","",IF(In!$C$51="設施",K54/1000,K54/1000/K$13))</f>
        <v>2.82670145683844</v>
      </c>
      <c r="L56" s="24" t="n">
        <f aca="false">IF(L54="","",IF(In!$C$51="設施",L54/1000,L54/1000/L$13))</f>
        <v>2.82670145683844</v>
      </c>
      <c r="M56" s="24" t="n">
        <f aca="false">IF(M54="","",IF(In!$C$51="設施",M54/1000,M54/1000/M$13))</f>
        <v>2.82670145683844</v>
      </c>
    </row>
    <row r="57" customFormat="false" ht="17.15" hidden="false" customHeight="false" outlineLevel="0" collapsed="false">
      <c r="A57" s="4" t="s">
        <v>610</v>
      </c>
      <c r="B57" s="0" t="s">
        <v>648</v>
      </c>
      <c r="C57" s="0" t="s">
        <v>111</v>
      </c>
      <c r="D57" s="25" t="n">
        <f aca="false">IF(D54="","",IF(In!$C$51="未說明",D54/1000,D56))</f>
        <v>0.163078930202218</v>
      </c>
      <c r="E57" s="25" t="n">
        <f aca="false">IF(E54="","",IF(In!$C$51="未說明",E54/1000,E56))</f>
        <v>0.489236790606654</v>
      </c>
      <c r="F57" s="25" t="n">
        <f aca="false">IF(F54="","",IF(In!$C$51="未說明",F54/1000,F56))</f>
        <v>1.95694716242661</v>
      </c>
      <c r="G57" s="25" t="n">
        <f aca="false">IF(G54="","",IF(In!$C$51="未說明",G54/1000,G56))</f>
        <v>2.82670145683844</v>
      </c>
      <c r="H57" s="25" t="n">
        <f aca="false">IF(H54="","",IF(In!$C$51="未說明",H54/1000,H56))</f>
        <v>2.82670145683844</v>
      </c>
      <c r="I57" s="25" t="n">
        <f aca="false">IF(I54="","",IF(In!$C$51="未說明",I54/1000,I56))</f>
        <v>2.82670145683844</v>
      </c>
      <c r="J57" s="25" t="n">
        <f aca="false">IF(J54="","",IF(In!$C$51="未說明",J54/1000,J56))</f>
        <v>2.82670145683844</v>
      </c>
      <c r="K57" s="25" t="n">
        <f aca="false">IF(K54="","",IF(In!$C$51="未說明",K54/1000,K56))</f>
        <v>2.82670145683844</v>
      </c>
      <c r="L57" s="25" t="n">
        <f aca="false">IF(L54="","",IF(In!$C$51="未說明",L54/1000,L56))</f>
        <v>2.82670145683844</v>
      </c>
      <c r="M57" s="25" t="n">
        <f aca="false">IF(M54="","",IF(In!$C$51="未說明",M54/1000,M56))</f>
        <v>2.82670145683844</v>
      </c>
    </row>
    <row r="58" customFormat="false" ht="17.15" hidden="false" customHeight="false" outlineLevel="0" collapsed="false">
      <c r="A58" s="4" t="s">
        <v>612</v>
      </c>
      <c r="B58" s="0" t="s">
        <v>649</v>
      </c>
      <c r="C58" s="0" t="s">
        <v>111</v>
      </c>
      <c r="D58" s="0" t="str">
        <f aca="false">""</f>
        <v/>
      </c>
      <c r="E58" s="25" t="n">
        <f aca="false">IF(AND(D56&lt;&gt;"",E56&lt;&gt;""),(D56+E56)/2,"")</f>
        <v>0.326157860404436</v>
      </c>
      <c r="F58" s="25" t="n">
        <f aca="false">IF(AND(E56&lt;&gt;"",F56&lt;&gt;""),(E56+F56)/2,"")</f>
        <v>1.22309197651663</v>
      </c>
      <c r="G58" s="25" t="n">
        <f aca="false">IF(AND(F56&lt;&gt;"",G56&lt;&gt;""),(F56+G56)/2,"")</f>
        <v>2.39182430963253</v>
      </c>
      <c r="H58" s="25" t="n">
        <f aca="false">IF(AND(G56&lt;&gt;"",H56&lt;&gt;""),(G56+H56)/2,"")</f>
        <v>2.82670145683844</v>
      </c>
      <c r="I58" s="25" t="n">
        <f aca="false">IF(AND(H56&lt;&gt;"",I56&lt;&gt;""),(H56+I56)/2,"")</f>
        <v>2.82670145683844</v>
      </c>
      <c r="J58" s="25" t="n">
        <f aca="false">IF(AND(I56&lt;&gt;"",J56&lt;&gt;""),(I56+J56)/2,"")</f>
        <v>2.82670145683844</v>
      </c>
      <c r="K58" s="25" t="n">
        <f aca="false">IF(AND(J56&lt;&gt;"",K56&lt;&gt;""),(J56+K56)/2,"")</f>
        <v>2.82670145683844</v>
      </c>
      <c r="L58" s="25" t="n">
        <f aca="false">IF(AND(K56&lt;&gt;"",L56&lt;&gt;""),(K56+L56)/2,"")</f>
        <v>2.82670145683844</v>
      </c>
      <c r="M58" s="25" t="n">
        <f aca="false">IF(AND(L56&lt;&gt;"",M56&lt;&gt;""),(L56+M56)/2,"")</f>
        <v>2.82670145683844</v>
      </c>
    </row>
    <row r="59" customFormat="false" ht="17.15" hidden="false" customHeight="false" outlineLevel="0" collapsed="false">
      <c r="A59" s="4" t="s">
        <v>614</v>
      </c>
      <c r="B59" s="0" t="s">
        <v>650</v>
      </c>
      <c r="C59" s="0" t="s">
        <v>111</v>
      </c>
      <c r="D59" s="0" t="n">
        <v>0</v>
      </c>
      <c r="E59" s="25" t="n">
        <f aca="false">IF(AND(D56&lt;&gt;"",E56&lt;&gt;""),E56-D56,0)</f>
        <v>0.326157860404436</v>
      </c>
      <c r="F59" s="25" t="n">
        <f aca="false">IF(AND(E56&lt;&gt;"",F56&lt;&gt;""),F56-E56,0)</f>
        <v>1.46771037181996</v>
      </c>
      <c r="G59" s="25" t="n">
        <f aca="false">IF(AND(F56&lt;&gt;"",G56&lt;&gt;""),G56-F56,0)</f>
        <v>0.869754294411829</v>
      </c>
      <c r="H59" s="25" t="n">
        <f aca="false">IF(AND(G56&lt;&gt;"",H56&lt;&gt;""),H56-G56,0)</f>
        <v>0</v>
      </c>
      <c r="I59" s="25" t="n">
        <f aca="false">IF(AND(H56&lt;&gt;"",I56&lt;&gt;""),I56-H56,0)</f>
        <v>0</v>
      </c>
      <c r="J59" s="25" t="n">
        <f aca="false">IF(AND(I56&lt;&gt;"",J56&lt;&gt;""),J56-I56,0)</f>
        <v>0</v>
      </c>
      <c r="K59" s="25" t="n">
        <f aca="false">IF(AND(J56&lt;&gt;"",K56&lt;&gt;""),K56-J56,0)</f>
        <v>0</v>
      </c>
      <c r="L59" s="25" t="n">
        <f aca="false">IF(AND(K56&lt;&gt;"",L56&lt;&gt;""),L56-K56,0)</f>
        <v>0</v>
      </c>
      <c r="M59" s="25" t="n">
        <f aca="false">IF(AND(L56&lt;&gt;"",M56&lt;&gt;""),M56-L56,0)</f>
        <v>0</v>
      </c>
    </row>
    <row r="60" customFormat="false" ht="17.15" hidden="false" customHeight="false" outlineLevel="0" collapsed="false">
      <c r="A60" s="4" t="s">
        <v>616</v>
      </c>
      <c r="B60" s="0" t="s">
        <v>651</v>
      </c>
      <c r="C60" s="0" t="s">
        <v>111</v>
      </c>
      <c r="D60" s="25" t="n">
        <f aca="false">IF(D56&lt;&gt;"",D56,0)</f>
        <v>0.163078930202218</v>
      </c>
      <c r="E60" s="25" t="n">
        <f aca="false">IF(AND(D56="",E56&lt;&gt;""),E56,0)</f>
        <v>0</v>
      </c>
      <c r="F60" s="25" t="n">
        <f aca="false">IF(AND(E56="",F56&lt;&gt;""),F56,0)</f>
        <v>0</v>
      </c>
      <c r="G60" s="25" t="n">
        <f aca="false">IF(AND(F56="",G56&lt;&gt;""),G56,0)</f>
        <v>0</v>
      </c>
      <c r="H60" s="25" t="n">
        <f aca="false">IF(AND(G56="",H56&lt;&gt;""),H56,0)</f>
        <v>0</v>
      </c>
      <c r="I60" s="25" t="n">
        <f aca="false">IF(AND(H56="",I56&lt;&gt;""),I56,0)</f>
        <v>0</v>
      </c>
      <c r="J60" s="25" t="n">
        <f aca="false">IF(AND(I56="",J56&lt;&gt;""),J56,0)</f>
        <v>0</v>
      </c>
      <c r="K60" s="25" t="n">
        <f aca="false">IF(AND(J56="",K56&lt;&gt;""),K56,0)</f>
        <v>0</v>
      </c>
      <c r="L60" s="25" t="n">
        <f aca="false">IF(AND(K56="",L56&lt;&gt;""),L56,0)</f>
        <v>0</v>
      </c>
      <c r="M60" s="25" t="n">
        <f aca="false">IF(AND(L56="",M56&lt;&gt;""),M56,0)</f>
        <v>0</v>
      </c>
    </row>
    <row r="61" customFormat="false" ht="17.15" hidden="false" customHeight="false" outlineLevel="0" collapsed="false">
      <c r="A61" s="4" t="s">
        <v>618</v>
      </c>
      <c r="B61" s="0" t="s">
        <v>652</v>
      </c>
      <c r="C61" s="0" t="s">
        <v>48</v>
      </c>
      <c r="D61" s="19" t="n">
        <f aca="false">nnv_amzn</f>
        <v>0.67</v>
      </c>
      <c r="E61" s="19" t="n">
        <f aca="false">nnv_amzn</f>
        <v>0.67</v>
      </c>
      <c r="F61" s="19" t="n">
        <f aca="false">nnv_amzn</f>
        <v>0.67</v>
      </c>
      <c r="G61" s="19" t="n">
        <f aca="false">nnv_amzn</f>
        <v>0.67</v>
      </c>
      <c r="H61" s="19" t="n">
        <f aca="false">nnv_amzn</f>
        <v>0.67</v>
      </c>
      <c r="I61" s="19" t="n">
        <f aca="false">nnv_amzn</f>
        <v>0.67</v>
      </c>
      <c r="J61" s="19" t="n">
        <f aca="false">nnv_amzn</f>
        <v>0.67</v>
      </c>
      <c r="K61" s="19" t="n">
        <f aca="false">nnv_amzn</f>
        <v>0.67</v>
      </c>
      <c r="L61" s="19" t="n">
        <f aca="false">nnv_amzn</f>
        <v>0.67</v>
      </c>
      <c r="M61" s="19" t="n">
        <f aca="false">nnv_amzn</f>
        <v>0.67</v>
      </c>
    </row>
    <row r="63" customFormat="false" ht="17.15" hidden="false" customHeight="false" outlineLevel="0" collapsed="false">
      <c r="A63" s="7" t="s">
        <v>653</v>
      </c>
      <c r="B63" s="16" t="s">
        <v>387</v>
      </c>
      <c r="N63" s="16" t="s">
        <v>654</v>
      </c>
    </row>
    <row r="64" customFormat="false" ht="17.15" hidden="false" customHeight="false" outlineLevel="0" collapsed="false">
      <c r="A64" s="4" t="s">
        <v>592</v>
      </c>
      <c r="B64" s="0" t="s">
        <v>655</v>
      </c>
      <c r="C64" s="0" t="s">
        <v>72</v>
      </c>
      <c r="D64" s="15" t="str">
        <f aca="false">IF(In!$H$52&lt;&gt;"",In!$H$52,"")</f>
        <v/>
      </c>
      <c r="E64" s="15" t="str">
        <f aca="false">IF(In!$I$52&lt;&gt;"",In!$I$52,"")</f>
        <v/>
      </c>
      <c r="F64" s="15" t="str">
        <f aca="false">IF(In!$J$52&lt;&gt;"",In!$J$52,"")</f>
        <v/>
      </c>
      <c r="G64" s="15" t="str">
        <f aca="false">IF(In!$K$52&lt;&gt;"",In!$K$52,"")</f>
        <v/>
      </c>
      <c r="H64" s="21" t="n">
        <f aca="false">IF(In!$L$52&lt;&gt;"",In!$L$52,"")</f>
        <v>4668</v>
      </c>
      <c r="I64" s="15" t="str">
        <f aca="false">IF(In!$M$52&lt;&gt;"",In!$M$52,"")</f>
        <v/>
      </c>
      <c r="J64" s="15" t="str">
        <f aca="false">IF(In!$N$52&lt;&gt;"",In!$N$52,"")</f>
        <v/>
      </c>
      <c r="K64" s="15" t="str">
        <f aca="false">IF(In!$O$52&lt;&gt;"",In!$O$52,"")</f>
        <v/>
      </c>
      <c r="L64" s="15" t="str">
        <f aca="false">IF(In!$P$52&lt;&gt;"",In!$P$52,"")</f>
        <v/>
      </c>
      <c r="M64" s="15" t="str">
        <f aca="false">IF(In!$Q$52&lt;&gt;"",In!$Q$52,"")</f>
        <v/>
      </c>
    </row>
    <row r="65" customFormat="false" ht="15" hidden="false" customHeight="false" outlineLevel="0" collapsed="false">
      <c r="A65" s="4" t="s">
        <v>594</v>
      </c>
      <c r="B65" s="0" t="s">
        <v>656</v>
      </c>
      <c r="C65" s="0" t="s">
        <v>72</v>
      </c>
      <c r="D65" s="0" t="str">
        <f aca="false">IF(In!$H$52&lt;&gt;"",In!$H$52,IF(AND(In!$I$23&lt;&gt;"",INT(obsd_orcl)=2023),obs_orcl,""))</f>
        <v/>
      </c>
      <c r="E65" s="0" t="str">
        <f aca="false">IF(In!$I$52&lt;&gt;"",In!$I$52,IF(AND(In!$I$23&lt;&gt;"",INT(obsd_orcl)=2024),obs_orcl,""))</f>
        <v/>
      </c>
      <c r="F65" s="0" t="str">
        <f aca="false">IF(In!$J$52&lt;&gt;"",In!$J$52,IF(AND(In!$I$23&lt;&gt;"",INT(obsd_orcl)=2025),obs_orcl,""))</f>
        <v/>
      </c>
      <c r="G65" s="0" t="n">
        <f aca="false">IF(In!$K$52&lt;&gt;"",In!$K$52,IF(AND(In!$I$23&lt;&gt;"",INT(obsd_orcl)=2026),obs_orcl,""))</f>
        <v>2543</v>
      </c>
      <c r="H65" s="22" t="n">
        <f aca="false">IF(In!$L$52&lt;&gt;"",In!$L$52,IF(AND(In!$I$23&lt;&gt;"",INT(obsd_orcl)=2027),obs_orcl,""))</f>
        <v>4668</v>
      </c>
      <c r="I65" s="0" t="str">
        <f aca="false">IF(In!$M$52&lt;&gt;"",In!$M$52,IF(AND(In!$I$23&lt;&gt;"",INT(obsd_orcl)=2028),obs_orcl,""))</f>
        <v/>
      </c>
      <c r="J65" s="0" t="str">
        <f aca="false">IF(In!$N$52&lt;&gt;"",In!$N$52,IF(AND(In!$I$23&lt;&gt;"",INT(obsd_orcl)=2029),obs_orcl,""))</f>
        <v/>
      </c>
      <c r="K65" s="0" t="str">
        <f aca="false">IF(In!$O$52&lt;&gt;"",In!$O$52,IF(AND(In!$I$23&lt;&gt;"",INT(obsd_orcl)=2030),obs_orcl,""))</f>
        <v/>
      </c>
      <c r="L65" s="0" t="str">
        <f aca="false">IF(In!$P$52&lt;&gt;"",In!$P$52,IF(AND(In!$I$23&lt;&gt;"",INT(obsd_orcl)=2031),obs_orcl,""))</f>
        <v/>
      </c>
      <c r="M65" s="0" t="str">
        <f aca="false">IF(In!$Q$52&lt;&gt;"",In!$Q$52,IF(AND(In!$I$23&lt;&gt;"",INT(obsd_orcl)=2032),obs_orcl,""))</f>
        <v/>
      </c>
    </row>
    <row r="66" customFormat="false" ht="15" hidden="false" customHeight="false" outlineLevel="0" collapsed="false">
      <c r="A66" s="4" t="s">
        <v>596</v>
      </c>
      <c r="B66" s="0" t="s">
        <v>657</v>
      </c>
      <c r="C66" s="0" t="s">
        <v>72</v>
      </c>
      <c r="D66" s="0" t="str">
        <f aca="false">IF(D65&lt;&gt;"",D65,"")</f>
        <v/>
      </c>
      <c r="E66" s="0" t="str">
        <f aca="false">IF(E65&lt;&gt;"",E65,D66)</f>
        <v/>
      </c>
      <c r="F66" s="0" t="str">
        <f aca="false">IF(F65&lt;&gt;"",F65,E66)</f>
        <v/>
      </c>
      <c r="G66" s="0" t="n">
        <f aca="false">IF(G65&lt;&gt;"",G65,F66)</f>
        <v>2543</v>
      </c>
      <c r="H66" s="22" t="n">
        <f aca="false">IF(H65&lt;&gt;"",H65,G66)</f>
        <v>4668</v>
      </c>
      <c r="I66" s="22" t="n">
        <f aca="false">IF(I65&lt;&gt;"",I65,H66)</f>
        <v>4668</v>
      </c>
      <c r="J66" s="22" t="n">
        <f aca="false">IF(J65&lt;&gt;"",J65,I66)</f>
        <v>4668</v>
      </c>
      <c r="K66" s="22" t="n">
        <f aca="false">IF(K65&lt;&gt;"",K65,J66)</f>
        <v>4668</v>
      </c>
      <c r="L66" s="22" t="n">
        <f aca="false">IF(L65&lt;&gt;"",L65,K66)</f>
        <v>4668</v>
      </c>
      <c r="M66" s="22" t="n">
        <f aca="false">IF(M65&lt;&gt;"",M65,L66)</f>
        <v>4668</v>
      </c>
    </row>
    <row r="67" customFormat="false" ht="15" hidden="false" customHeight="false" outlineLevel="0" collapsed="false">
      <c r="A67" s="4" t="s">
        <v>598</v>
      </c>
      <c r="B67" s="0" t="s">
        <v>658</v>
      </c>
      <c r="C67" s="4" t="s">
        <v>44</v>
      </c>
      <c r="D67" s="0" t="str">
        <f aca="false">IF(D65&lt;&gt;"",2023,"")</f>
        <v/>
      </c>
      <c r="E67" s="0" t="str">
        <f aca="false">IF(E65&lt;&gt;"",2024,D67)</f>
        <v/>
      </c>
      <c r="F67" s="0" t="str">
        <f aca="false">IF(F65&lt;&gt;"",2025,E67)</f>
        <v/>
      </c>
      <c r="G67" s="0" t="n">
        <f aca="false">IF(G65&lt;&gt;"",2026,F67)</f>
        <v>2026</v>
      </c>
      <c r="H67" s="0" t="n">
        <f aca="false">IF(H65&lt;&gt;"",2027,G67)</f>
        <v>2027</v>
      </c>
      <c r="I67" s="0" t="n">
        <f aca="false">IF(I65&lt;&gt;"",2028,H67)</f>
        <v>2027</v>
      </c>
      <c r="J67" s="0" t="n">
        <f aca="false">IF(J65&lt;&gt;"",2029,I67)</f>
        <v>2027</v>
      </c>
      <c r="K67" s="0" t="n">
        <f aca="false">IF(K65&lt;&gt;"",2030,J67)</f>
        <v>2027</v>
      </c>
      <c r="L67" s="0" t="n">
        <f aca="false">IF(L65&lt;&gt;"",2031,K67)</f>
        <v>2027</v>
      </c>
      <c r="M67" s="0" t="n">
        <f aca="false">IF(M65&lt;&gt;"",2032,L67)</f>
        <v>2027</v>
      </c>
    </row>
    <row r="68" customFormat="false" ht="15" hidden="false" customHeight="false" outlineLevel="0" collapsed="false">
      <c r="A68" s="4" t="s">
        <v>600</v>
      </c>
      <c r="B68" s="0" t="s">
        <v>659</v>
      </c>
      <c r="C68" s="0" t="s">
        <v>72</v>
      </c>
      <c r="D68" s="0" t="n">
        <f aca="false">IF(D65&lt;&gt;"",D65,E68)</f>
        <v>2543</v>
      </c>
      <c r="E68" s="0" t="n">
        <f aca="false">IF(E65&lt;&gt;"",E65,F68)</f>
        <v>2543</v>
      </c>
      <c r="F68" s="0" t="n">
        <f aca="false">IF(F65&lt;&gt;"",F65,G68)</f>
        <v>2543</v>
      </c>
      <c r="G68" s="0" t="n">
        <f aca="false">IF(G65&lt;&gt;"",G65,H68)</f>
        <v>2543</v>
      </c>
      <c r="H68" s="22" t="n">
        <f aca="false">IF(H65&lt;&gt;"",H65,I68)</f>
        <v>4668</v>
      </c>
      <c r="I68" s="0" t="str">
        <f aca="false">IF(I65&lt;&gt;"",I65,J68)</f>
        <v/>
      </c>
      <c r="J68" s="0" t="str">
        <f aca="false">IF(J65&lt;&gt;"",J65,K68)</f>
        <v/>
      </c>
      <c r="K68" s="0" t="str">
        <f aca="false">IF(K65&lt;&gt;"",K65,L68)</f>
        <v/>
      </c>
      <c r="L68" s="0" t="str">
        <f aca="false">IF(L65&lt;&gt;"",L65,M68)</f>
        <v/>
      </c>
      <c r="M68" s="0" t="str">
        <f aca="false">IF(M65&lt;&gt;"",M65,"")</f>
        <v/>
      </c>
    </row>
    <row r="69" customFormat="false" ht="15" hidden="false" customHeight="false" outlineLevel="0" collapsed="false">
      <c r="A69" s="4" t="s">
        <v>602</v>
      </c>
      <c r="B69" s="0" t="s">
        <v>660</v>
      </c>
      <c r="C69" s="4" t="s">
        <v>44</v>
      </c>
      <c r="D69" s="0" t="n">
        <f aca="false">IF(D65&lt;&gt;"",2023,E69)</f>
        <v>2026</v>
      </c>
      <c r="E69" s="0" t="n">
        <f aca="false">IF(E65&lt;&gt;"",2024,F69)</f>
        <v>2026</v>
      </c>
      <c r="F69" s="0" t="n">
        <f aca="false">IF(F65&lt;&gt;"",2025,G69)</f>
        <v>2026</v>
      </c>
      <c r="G69" s="0" t="n">
        <f aca="false">IF(G65&lt;&gt;"",2026,H69)</f>
        <v>2026</v>
      </c>
      <c r="H69" s="0" t="n">
        <f aca="false">IF(H65&lt;&gt;"",2027,I69)</f>
        <v>2027</v>
      </c>
      <c r="I69" s="0" t="str">
        <f aca="false">IF(I65&lt;&gt;"",2028,J69)</f>
        <v/>
      </c>
      <c r="J69" s="0" t="str">
        <f aca="false">IF(J65&lt;&gt;"",2029,K69)</f>
        <v/>
      </c>
      <c r="K69" s="0" t="str">
        <f aca="false">IF(K65&lt;&gt;"",2030,L69)</f>
        <v/>
      </c>
      <c r="L69" s="0" t="str">
        <f aca="false">IF(L65&lt;&gt;"",2031,M69)</f>
        <v/>
      </c>
      <c r="M69" s="0" t="str">
        <f aca="false">IF(M65&lt;&gt;"",2032,"")</f>
        <v/>
      </c>
    </row>
    <row r="70" customFormat="false" ht="17.15" hidden="false" customHeight="false" outlineLevel="0" collapsed="false">
      <c r="A70" s="4" t="s">
        <v>604</v>
      </c>
      <c r="B70" s="0" t="s">
        <v>661</v>
      </c>
      <c r="C70" s="0" t="s">
        <v>72</v>
      </c>
      <c r="D70" s="23" t="str">
        <f aca="false">IF(D65&lt;&gt;"",D65,IF(AND(D66&lt;&gt;"",D68&lt;&gt;""),D66+(D68-D66)*(2023-D67)/(D69-D67),IF(D66&lt;&gt;"",D66,"")))</f>
        <v/>
      </c>
      <c r="E70" s="23" t="str">
        <f aca="false">IF(E65&lt;&gt;"",E65,IF(AND(E66&lt;&gt;"",E68&lt;&gt;""),E66+(E68-E66)*(2024-E67)/(E69-E67),IF(E66&lt;&gt;"",E66,"")))</f>
        <v/>
      </c>
      <c r="F70" s="23" t="str">
        <f aca="false">IF(F65&lt;&gt;"",F65,IF(AND(F66&lt;&gt;"",F68&lt;&gt;""),F66+(F68-F66)*(2025-F67)/(F69-F67),IF(F66&lt;&gt;"",F66,"")))</f>
        <v/>
      </c>
      <c r="G70" s="23" t="n">
        <f aca="false">IF(G65&lt;&gt;"",G65,IF(AND(G66&lt;&gt;"",G68&lt;&gt;""),G66+(G68-G66)*(2026-G67)/(G69-G67),IF(G66&lt;&gt;"",G66,"")))</f>
        <v>2543</v>
      </c>
      <c r="H70" s="23" t="n">
        <f aca="false">IF(H65&lt;&gt;"",H65,IF(AND(H66&lt;&gt;"",H68&lt;&gt;""),H66+(H68-H66)*(2027-H67)/(H69-H67),IF(H66&lt;&gt;"",H66,"")))</f>
        <v>4668</v>
      </c>
      <c r="I70" s="23" t="n">
        <f aca="false">IF(I65&lt;&gt;"",I65,IF(AND(I66&lt;&gt;"",I68&lt;&gt;""),I66+(I68-I66)*(2028-I67)/(I69-I67),IF(I66&lt;&gt;"",I66,"")))</f>
        <v>4668</v>
      </c>
      <c r="J70" s="23" t="n">
        <f aca="false">IF(J65&lt;&gt;"",J65,IF(AND(J66&lt;&gt;"",J68&lt;&gt;""),J66+(J68-J66)*(2029-J67)/(J69-J67),IF(J66&lt;&gt;"",J66,"")))</f>
        <v>4668</v>
      </c>
      <c r="K70" s="23" t="n">
        <f aca="false">IF(K65&lt;&gt;"",K65,IF(AND(K66&lt;&gt;"",K68&lt;&gt;""),K66+(K68-K66)*(2030-K67)/(K69-K67),IF(K66&lt;&gt;"",K66,"")))</f>
        <v>4668</v>
      </c>
      <c r="L70" s="23" t="n">
        <f aca="false">IF(L65&lt;&gt;"",L65,IF(AND(L66&lt;&gt;"",L68&lt;&gt;""),L66+(L68-L66)*(2031-L67)/(L69-L67),IF(L66&lt;&gt;"",L66,"")))</f>
        <v>4668</v>
      </c>
      <c r="M70" s="23" t="n">
        <f aca="false">IF(M65&lt;&gt;"",M65,IF(AND(M66&lt;&gt;"",M68&lt;&gt;""),M66+(M68-M66)*(2032-M67)/(M69-M67),IF(M66&lt;&gt;"",M66,"")))</f>
        <v>4668</v>
      </c>
    </row>
    <row r="71" customFormat="false" ht="15" hidden="false" customHeight="false" outlineLevel="0" collapsed="false">
      <c r="A71" s="4" t="s">
        <v>606</v>
      </c>
      <c r="B71" s="0" t="s">
        <v>662</v>
      </c>
      <c r="C71" s="0" t="s">
        <v>32</v>
      </c>
      <c r="D71" s="0" t="n">
        <f aca="false">IF(In!$H$52&lt;&gt;"",1,IF(D65&lt;&gt;"",2,IF(AND(D66&lt;&gt;"",D68&lt;&gt;""),3,IF(D66&lt;&gt;"",4,0))))</f>
        <v>0</v>
      </c>
      <c r="E71" s="0" t="n">
        <f aca="false">IF(In!$I$52&lt;&gt;"",1,IF(E65&lt;&gt;"",2,IF(AND(E66&lt;&gt;"",E68&lt;&gt;""),3,IF(E66&lt;&gt;"",4,0))))</f>
        <v>0</v>
      </c>
      <c r="F71" s="0" t="n">
        <f aca="false">IF(In!$J$52&lt;&gt;"",1,IF(F65&lt;&gt;"",2,IF(AND(F66&lt;&gt;"",F68&lt;&gt;""),3,IF(F66&lt;&gt;"",4,0))))</f>
        <v>0</v>
      </c>
      <c r="G71" s="0" t="n">
        <f aca="false">IF(In!$K$52&lt;&gt;"",1,IF(G65&lt;&gt;"",2,IF(AND(G66&lt;&gt;"",G68&lt;&gt;""),3,IF(G66&lt;&gt;"",4,0))))</f>
        <v>2</v>
      </c>
      <c r="H71" s="0" t="n">
        <f aca="false">IF(In!$L$52&lt;&gt;"",1,IF(H65&lt;&gt;"",2,IF(AND(H66&lt;&gt;"",H68&lt;&gt;""),3,IF(H66&lt;&gt;"",4,0))))</f>
        <v>1</v>
      </c>
      <c r="I71" s="0" t="n">
        <f aca="false">IF(In!$M$52&lt;&gt;"",1,IF(I65&lt;&gt;"",2,IF(AND(I66&lt;&gt;"",I68&lt;&gt;""),3,IF(I66&lt;&gt;"",4,0))))</f>
        <v>4</v>
      </c>
      <c r="J71" s="0" t="n">
        <f aca="false">IF(In!$N$52&lt;&gt;"",1,IF(J65&lt;&gt;"",2,IF(AND(J66&lt;&gt;"",J68&lt;&gt;""),3,IF(J66&lt;&gt;"",4,0))))</f>
        <v>4</v>
      </c>
      <c r="K71" s="0" t="n">
        <f aca="false">IF(In!$O$52&lt;&gt;"",1,IF(K65&lt;&gt;"",2,IF(AND(K66&lt;&gt;"",K68&lt;&gt;""),3,IF(K66&lt;&gt;"",4,0))))</f>
        <v>4</v>
      </c>
      <c r="L71" s="0" t="n">
        <f aca="false">IF(In!$P$52&lt;&gt;"",1,IF(L65&lt;&gt;"",2,IF(AND(L66&lt;&gt;"",L68&lt;&gt;""),3,IF(L66&lt;&gt;"",4,0))))</f>
        <v>4</v>
      </c>
      <c r="M71" s="0" t="n">
        <f aca="false">IF(In!$Q$52&lt;&gt;"",1,IF(M65&lt;&gt;"",2,IF(AND(M66&lt;&gt;"",M68&lt;&gt;""),3,IF(M66&lt;&gt;"",4,0))))</f>
        <v>4</v>
      </c>
    </row>
    <row r="72" customFormat="false" ht="17.15" hidden="false" customHeight="false" outlineLevel="0" collapsed="false">
      <c r="A72" s="4" t="s">
        <v>608</v>
      </c>
      <c r="B72" s="0" t="s">
        <v>663</v>
      </c>
      <c r="C72" s="0" t="s">
        <v>111</v>
      </c>
      <c r="D72" s="24" t="str">
        <f aca="false">IF(D70="","",IF(In!$C$52="設施",D70/1000,D70/1000/D$13))</f>
        <v/>
      </c>
      <c r="E72" s="24" t="str">
        <f aca="false">IF(E70="","",IF(In!$C$52="設施",E70/1000,E70/1000/E$13))</f>
        <v/>
      </c>
      <c r="F72" s="24" t="str">
        <f aca="false">IF(F70="","",IF(In!$C$52="設施",F70/1000,F70/1000/F$13))</f>
        <v/>
      </c>
      <c r="G72" s="24" t="n">
        <f aca="false">IF(G70="","",IF(In!$C$52="設施",G70/1000,G70/1000/G$13))</f>
        <v>2.7647314633616</v>
      </c>
      <c r="H72" s="24" t="n">
        <f aca="false">IF(H70="","",IF(In!$C$52="設施",H70/1000,H70/1000/H$13))</f>
        <v>5.07501630789302</v>
      </c>
      <c r="I72" s="24" t="n">
        <f aca="false">IF(I70="","",IF(In!$C$52="設施",I70/1000,I70/1000/I$13))</f>
        <v>5.07501630789302</v>
      </c>
      <c r="J72" s="24" t="n">
        <f aca="false">IF(J70="","",IF(In!$C$52="設施",J70/1000,J70/1000/J$13))</f>
        <v>5.07501630789302</v>
      </c>
      <c r="K72" s="24" t="n">
        <f aca="false">IF(K70="","",IF(In!$C$52="設施",K70/1000,K70/1000/K$13))</f>
        <v>5.07501630789302</v>
      </c>
      <c r="L72" s="24" t="n">
        <f aca="false">IF(L70="","",IF(In!$C$52="設施",L70/1000,L70/1000/L$13))</f>
        <v>5.07501630789302</v>
      </c>
      <c r="M72" s="24" t="n">
        <f aca="false">IF(M70="","",IF(In!$C$52="設施",M70/1000,M70/1000/M$13))</f>
        <v>5.07501630789302</v>
      </c>
    </row>
    <row r="73" customFormat="false" ht="17.15" hidden="false" customHeight="false" outlineLevel="0" collapsed="false">
      <c r="A73" s="4" t="s">
        <v>610</v>
      </c>
      <c r="B73" s="0" t="s">
        <v>664</v>
      </c>
      <c r="C73" s="0" t="s">
        <v>111</v>
      </c>
      <c r="D73" s="25" t="str">
        <f aca="false">IF(D70="","",IF(In!$C$52="未說明",D70/1000,D72))</f>
        <v/>
      </c>
      <c r="E73" s="25" t="str">
        <f aca="false">IF(E70="","",IF(In!$C$52="未說明",E70/1000,E72))</f>
        <v/>
      </c>
      <c r="F73" s="25" t="str">
        <f aca="false">IF(F70="","",IF(In!$C$52="未說明",F70/1000,F72))</f>
        <v/>
      </c>
      <c r="G73" s="25" t="n">
        <f aca="false">IF(G70="","",IF(In!$C$52="未說明",G70/1000,G72))</f>
        <v>2.7647314633616</v>
      </c>
      <c r="H73" s="25" t="n">
        <f aca="false">IF(H70="","",IF(In!$C$52="未說明",H70/1000,H72))</f>
        <v>5.07501630789302</v>
      </c>
      <c r="I73" s="25" t="n">
        <f aca="false">IF(I70="","",IF(In!$C$52="未說明",I70/1000,I72))</f>
        <v>5.07501630789302</v>
      </c>
      <c r="J73" s="25" t="n">
        <f aca="false">IF(J70="","",IF(In!$C$52="未說明",J70/1000,J72))</f>
        <v>5.07501630789302</v>
      </c>
      <c r="K73" s="25" t="n">
        <f aca="false">IF(K70="","",IF(In!$C$52="未說明",K70/1000,K72))</f>
        <v>5.07501630789302</v>
      </c>
      <c r="L73" s="25" t="n">
        <f aca="false">IF(L70="","",IF(In!$C$52="未說明",L70/1000,L72))</f>
        <v>5.07501630789302</v>
      </c>
      <c r="M73" s="25" t="n">
        <f aca="false">IF(M70="","",IF(In!$C$52="未說明",M70/1000,M72))</f>
        <v>5.07501630789302</v>
      </c>
    </row>
    <row r="74" customFormat="false" ht="17.15" hidden="false" customHeight="false" outlineLevel="0" collapsed="false">
      <c r="A74" s="4" t="s">
        <v>612</v>
      </c>
      <c r="B74" s="0" t="s">
        <v>665</v>
      </c>
      <c r="C74" s="0" t="s">
        <v>111</v>
      </c>
      <c r="D74" s="0" t="str">
        <f aca="false">""</f>
        <v/>
      </c>
      <c r="E74" s="25" t="str">
        <f aca="false">IF(AND(D72&lt;&gt;"",E72&lt;&gt;""),(D72+E72)/2,"")</f>
        <v/>
      </c>
      <c r="F74" s="25" t="str">
        <f aca="false">IF(AND(E72&lt;&gt;"",F72&lt;&gt;""),(E72+F72)/2,"")</f>
        <v/>
      </c>
      <c r="G74" s="25" t="str">
        <f aca="false">IF(AND(F72&lt;&gt;"",G72&lt;&gt;""),(F72+G72)/2,"")</f>
        <v/>
      </c>
      <c r="H74" s="25" t="n">
        <f aca="false">IF(AND(G72&lt;&gt;"",H72&lt;&gt;""),(G72+H72)/2,"")</f>
        <v>3.91987388562731</v>
      </c>
      <c r="I74" s="25" t="n">
        <f aca="false">IF(AND(H72&lt;&gt;"",I72&lt;&gt;""),(H72+I72)/2,"")</f>
        <v>5.07501630789302</v>
      </c>
      <c r="J74" s="25" t="n">
        <f aca="false">IF(AND(I72&lt;&gt;"",J72&lt;&gt;""),(I72+J72)/2,"")</f>
        <v>5.07501630789302</v>
      </c>
      <c r="K74" s="25" t="n">
        <f aca="false">IF(AND(J72&lt;&gt;"",K72&lt;&gt;""),(J72+K72)/2,"")</f>
        <v>5.07501630789302</v>
      </c>
      <c r="L74" s="25" t="n">
        <f aca="false">IF(AND(K72&lt;&gt;"",L72&lt;&gt;""),(K72+L72)/2,"")</f>
        <v>5.07501630789302</v>
      </c>
      <c r="M74" s="25" t="n">
        <f aca="false">IF(AND(L72&lt;&gt;"",M72&lt;&gt;""),(L72+M72)/2,"")</f>
        <v>5.07501630789302</v>
      </c>
    </row>
    <row r="75" customFormat="false" ht="17.15" hidden="false" customHeight="false" outlineLevel="0" collapsed="false">
      <c r="A75" s="4" t="s">
        <v>614</v>
      </c>
      <c r="B75" s="0" t="s">
        <v>666</v>
      </c>
      <c r="C75" s="0" t="s">
        <v>111</v>
      </c>
      <c r="D75" s="0" t="n">
        <v>0</v>
      </c>
      <c r="E75" s="25" t="n">
        <f aca="false">IF(AND(D72&lt;&gt;"",E72&lt;&gt;""),E72-D72,0)</f>
        <v>0</v>
      </c>
      <c r="F75" s="25" t="n">
        <f aca="false">IF(AND(E72&lt;&gt;"",F72&lt;&gt;""),F72-E72,0)</f>
        <v>0</v>
      </c>
      <c r="G75" s="25" t="n">
        <f aca="false">IF(AND(F72&lt;&gt;"",G72&lt;&gt;""),G72-F72,0)</f>
        <v>0</v>
      </c>
      <c r="H75" s="25" t="n">
        <f aca="false">IF(AND(G72&lt;&gt;"",H72&lt;&gt;""),H72-G72,0)</f>
        <v>2.31028484453142</v>
      </c>
      <c r="I75" s="25" t="n">
        <f aca="false">IF(AND(H72&lt;&gt;"",I72&lt;&gt;""),I72-H72,0)</f>
        <v>0</v>
      </c>
      <c r="J75" s="25" t="n">
        <f aca="false">IF(AND(I72&lt;&gt;"",J72&lt;&gt;""),J72-I72,0)</f>
        <v>0</v>
      </c>
      <c r="K75" s="25" t="n">
        <f aca="false">IF(AND(J72&lt;&gt;"",K72&lt;&gt;""),K72-J72,0)</f>
        <v>0</v>
      </c>
      <c r="L75" s="25" t="n">
        <f aca="false">IF(AND(K72&lt;&gt;"",L72&lt;&gt;""),L72-K72,0)</f>
        <v>0</v>
      </c>
      <c r="M75" s="25" t="n">
        <f aca="false">IF(AND(L72&lt;&gt;"",M72&lt;&gt;""),M72-L72,0)</f>
        <v>0</v>
      </c>
    </row>
    <row r="76" customFormat="false" ht="17.15" hidden="false" customHeight="false" outlineLevel="0" collapsed="false">
      <c r="A76" s="4" t="s">
        <v>616</v>
      </c>
      <c r="B76" s="0" t="s">
        <v>667</v>
      </c>
      <c r="C76" s="0" t="s">
        <v>111</v>
      </c>
      <c r="D76" s="25" t="n">
        <f aca="false">IF(D72&lt;&gt;"",D72,0)</f>
        <v>0</v>
      </c>
      <c r="E76" s="25" t="n">
        <f aca="false">IF(AND(D72="",E72&lt;&gt;""),E72,0)</f>
        <v>0</v>
      </c>
      <c r="F76" s="25" t="n">
        <f aca="false">IF(AND(E72="",F72&lt;&gt;""),F72,0)</f>
        <v>0</v>
      </c>
      <c r="G76" s="25" t="n">
        <f aca="false">IF(AND(F72="",G72&lt;&gt;""),G72,0)</f>
        <v>2.7647314633616</v>
      </c>
      <c r="H76" s="25" t="n">
        <f aca="false">IF(AND(G72="",H72&lt;&gt;""),H72,0)</f>
        <v>0</v>
      </c>
      <c r="I76" s="25" t="n">
        <f aca="false">IF(AND(H72="",I72&lt;&gt;""),I72,0)</f>
        <v>0</v>
      </c>
      <c r="J76" s="25" t="n">
        <f aca="false">IF(AND(I72="",J72&lt;&gt;""),J72,0)</f>
        <v>0</v>
      </c>
      <c r="K76" s="25" t="n">
        <f aca="false">IF(AND(J72="",K72&lt;&gt;""),K72,0)</f>
        <v>0</v>
      </c>
      <c r="L76" s="25" t="n">
        <f aca="false">IF(AND(K72="",L72&lt;&gt;""),L72,0)</f>
        <v>0</v>
      </c>
      <c r="M76" s="25" t="n">
        <f aca="false">IF(AND(L72="",M72&lt;&gt;""),M72,0)</f>
        <v>0</v>
      </c>
    </row>
    <row r="77" customFormat="false" ht="17.15" hidden="false" customHeight="false" outlineLevel="0" collapsed="false">
      <c r="A77" s="4" t="s">
        <v>618</v>
      </c>
      <c r="B77" s="0" t="s">
        <v>668</v>
      </c>
      <c r="C77" s="0" t="s">
        <v>48</v>
      </c>
      <c r="D77" s="19" t="n">
        <f aca="false">D$12</f>
        <v>0.238210067173108</v>
      </c>
      <c r="E77" s="19" t="n">
        <f aca="false">E$12</f>
        <v>0.238210067173108</v>
      </c>
      <c r="F77" s="19" t="n">
        <f aca="false">F$12</f>
        <v>0.238210067173108</v>
      </c>
      <c r="G77" s="19" t="n">
        <f aca="false">G$12</f>
        <v>0.238210067173108</v>
      </c>
      <c r="H77" s="19" t="n">
        <f aca="false">H$12</f>
        <v>0.273101862203342</v>
      </c>
      <c r="I77" s="19" t="n">
        <f aca="false">I$12</f>
        <v>0.269621396123668</v>
      </c>
      <c r="J77" s="19" t="n">
        <f aca="false">J$12</f>
        <v>0.272187509408712</v>
      </c>
      <c r="K77" s="19" t="n">
        <f aca="false">K$12</f>
        <v>0.272187509408712</v>
      </c>
      <c r="L77" s="19" t="n">
        <f aca="false">L$12</f>
        <v>0.272187509408712</v>
      </c>
      <c r="M77" s="19" t="n">
        <f aca="false">M$12</f>
        <v>0.272187509408712</v>
      </c>
    </row>
    <row r="79" customFormat="false" ht="17.15" hidden="false" customHeight="false" outlineLevel="0" collapsed="false">
      <c r="A79" s="7" t="s">
        <v>669</v>
      </c>
      <c r="B79" s="16" t="s">
        <v>670</v>
      </c>
      <c r="N79" s="16" t="s">
        <v>671</v>
      </c>
    </row>
    <row r="80" customFormat="false" ht="17.15" hidden="false" customHeight="false" outlineLevel="0" collapsed="false">
      <c r="A80" s="4" t="s">
        <v>592</v>
      </c>
      <c r="B80" s="0" t="s">
        <v>672</v>
      </c>
      <c r="C80" s="0" t="s">
        <v>72</v>
      </c>
      <c r="D80" s="21" t="n">
        <f aca="false">IF(In!$H$53&lt;&gt;"",In!$H$53,"")</f>
        <v>70</v>
      </c>
      <c r="E80" s="21" t="n">
        <f aca="false">IF(In!$I$53&lt;&gt;"",In!$I$53,"")</f>
        <v>360</v>
      </c>
      <c r="F80" s="21" t="n">
        <f aca="false">IF(In!$J$53&lt;&gt;"",In!$J$53,"")</f>
        <v>850</v>
      </c>
      <c r="G80" s="21" t="n">
        <f aca="false">IF(In!$K$53&lt;&gt;"",In!$K$53,"")</f>
        <v>1850</v>
      </c>
      <c r="H80" s="15" t="str">
        <f aca="false">IF(In!$L$53&lt;&gt;"",In!$L$53,"")</f>
        <v/>
      </c>
      <c r="I80" s="15" t="str">
        <f aca="false">IF(In!$M$53&lt;&gt;"",In!$M$53,"")</f>
        <v/>
      </c>
      <c r="J80" s="15" t="str">
        <f aca="false">IF(In!$N$53&lt;&gt;"",In!$N$53,"")</f>
        <v/>
      </c>
      <c r="K80" s="21" t="n">
        <f aca="false">IF(In!$O$53&lt;&gt;"",In!$O$53,"")</f>
        <v>8000</v>
      </c>
      <c r="L80" s="15" t="str">
        <f aca="false">IF(In!$P$53&lt;&gt;"",In!$P$53,"")</f>
        <v/>
      </c>
      <c r="M80" s="15" t="str">
        <f aca="false">IF(In!$Q$53&lt;&gt;"",In!$Q$53,"")</f>
        <v/>
      </c>
    </row>
    <row r="81" customFormat="false" ht="15" hidden="false" customHeight="false" outlineLevel="0" collapsed="false">
      <c r="A81" s="4" t="s">
        <v>594</v>
      </c>
      <c r="B81" s="0" t="s">
        <v>673</v>
      </c>
      <c r="C81" s="0" t="s">
        <v>72</v>
      </c>
      <c r="D81" s="22" t="n">
        <f aca="false">IF(In!$H$53&lt;&gt;"",In!$H$53,IF(AND(In!$I$25&lt;&gt;"",INT(obsd_crwv)=2023),obs_crwv,""))</f>
        <v>70</v>
      </c>
      <c r="E81" s="22" t="n">
        <f aca="false">IF(In!$I$53&lt;&gt;"",In!$I$53,IF(AND(In!$I$25&lt;&gt;"",INT(obsd_crwv)=2024),obs_crwv,""))</f>
        <v>360</v>
      </c>
      <c r="F81" s="22" t="n">
        <f aca="false">IF(In!$J$53&lt;&gt;"",In!$J$53,IF(AND(In!$I$25&lt;&gt;"",INT(obsd_crwv)=2025),obs_crwv,""))</f>
        <v>850</v>
      </c>
      <c r="G81" s="22" t="n">
        <f aca="false">IF(In!$K$53&lt;&gt;"",In!$K$53,IF(AND(In!$I$25&lt;&gt;"",INT(obsd_crwv)=2026),obs_crwv,""))</f>
        <v>1850</v>
      </c>
      <c r="H81" s="0" t="str">
        <f aca="false">IF(In!$L$53&lt;&gt;"",In!$L$53,IF(AND(In!$I$25&lt;&gt;"",INT(obsd_crwv)=2027),obs_crwv,""))</f>
        <v/>
      </c>
      <c r="I81" s="0" t="str">
        <f aca="false">IF(In!$M$53&lt;&gt;"",In!$M$53,IF(AND(In!$I$25&lt;&gt;"",INT(obsd_crwv)=2028),obs_crwv,""))</f>
        <v/>
      </c>
      <c r="J81" s="0" t="str">
        <f aca="false">IF(In!$N$53&lt;&gt;"",In!$N$53,IF(AND(In!$I$25&lt;&gt;"",INT(obsd_crwv)=2029),obs_crwv,""))</f>
        <v/>
      </c>
      <c r="K81" s="22" t="n">
        <f aca="false">IF(In!$O$53&lt;&gt;"",In!$O$53,IF(AND(In!$I$25&lt;&gt;"",INT(obsd_crwv)=2030),obs_crwv,""))</f>
        <v>8000</v>
      </c>
      <c r="L81" s="0" t="str">
        <f aca="false">IF(In!$P$53&lt;&gt;"",In!$P$53,IF(AND(In!$I$25&lt;&gt;"",INT(obsd_crwv)=2031),obs_crwv,""))</f>
        <v/>
      </c>
      <c r="M81" s="0" t="str">
        <f aca="false">IF(In!$Q$53&lt;&gt;"",In!$Q$53,IF(AND(In!$I$25&lt;&gt;"",INT(obsd_crwv)=2032),obs_crwv,""))</f>
        <v/>
      </c>
    </row>
    <row r="82" customFormat="false" ht="15" hidden="false" customHeight="false" outlineLevel="0" collapsed="false">
      <c r="A82" s="4" t="s">
        <v>596</v>
      </c>
      <c r="B82" s="0" t="s">
        <v>674</v>
      </c>
      <c r="C82" s="0" t="s">
        <v>72</v>
      </c>
      <c r="D82" s="22" t="n">
        <f aca="false">IF(D81&lt;&gt;"",D81,"")</f>
        <v>70</v>
      </c>
      <c r="E82" s="22" t="n">
        <f aca="false">IF(E81&lt;&gt;"",E81,D82)</f>
        <v>360</v>
      </c>
      <c r="F82" s="22" t="n">
        <f aca="false">IF(F81&lt;&gt;"",F81,E82)</f>
        <v>850</v>
      </c>
      <c r="G82" s="22" t="n">
        <f aca="false">IF(G81&lt;&gt;"",G81,F82)</f>
        <v>1850</v>
      </c>
      <c r="H82" s="22" t="n">
        <f aca="false">IF(H81&lt;&gt;"",H81,G82)</f>
        <v>1850</v>
      </c>
      <c r="I82" s="22" t="n">
        <f aca="false">IF(I81&lt;&gt;"",I81,H82)</f>
        <v>1850</v>
      </c>
      <c r="J82" s="22" t="n">
        <f aca="false">IF(J81&lt;&gt;"",J81,I82)</f>
        <v>1850</v>
      </c>
      <c r="K82" s="22" t="n">
        <f aca="false">IF(K81&lt;&gt;"",K81,J82)</f>
        <v>8000</v>
      </c>
      <c r="L82" s="22" t="n">
        <f aca="false">IF(L81&lt;&gt;"",L81,K82)</f>
        <v>8000</v>
      </c>
      <c r="M82" s="22" t="n">
        <f aca="false">IF(M81&lt;&gt;"",M81,L82)</f>
        <v>8000</v>
      </c>
    </row>
    <row r="83" customFormat="false" ht="15" hidden="false" customHeight="false" outlineLevel="0" collapsed="false">
      <c r="A83" s="4" t="s">
        <v>598</v>
      </c>
      <c r="B83" s="0" t="s">
        <v>675</v>
      </c>
      <c r="C83" s="4" t="s">
        <v>44</v>
      </c>
      <c r="D83" s="0" t="n">
        <f aca="false">IF(D81&lt;&gt;"",2023,"")</f>
        <v>2023</v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2026</v>
      </c>
      <c r="H83" s="0" t="n">
        <f aca="false">IF(H81&lt;&gt;"",2027,G83)</f>
        <v>2026</v>
      </c>
      <c r="I83" s="0" t="n">
        <f aca="false">IF(I81&lt;&gt;"",2028,H83)</f>
        <v>2026</v>
      </c>
      <c r="J83" s="0" t="n">
        <f aca="false">IF(J81&lt;&gt;"",2029,I83)</f>
        <v>2026</v>
      </c>
      <c r="K83" s="0" t="n">
        <f aca="false">IF(K81&lt;&gt;"",2030,J83)</f>
        <v>2030</v>
      </c>
      <c r="L83" s="0" t="n">
        <f aca="false">IF(L81&lt;&gt;"",2031,K83)</f>
        <v>2030</v>
      </c>
      <c r="M83" s="0" t="n">
        <f aca="false">IF(M81&lt;&gt;"",2032,L83)</f>
        <v>2030</v>
      </c>
    </row>
    <row r="84" customFormat="false" ht="15" hidden="false" customHeight="false" outlineLevel="0" collapsed="false">
      <c r="A84" s="4" t="s">
        <v>600</v>
      </c>
      <c r="B84" s="0" t="s">
        <v>676</v>
      </c>
      <c r="C84" s="0" t="s">
        <v>72</v>
      </c>
      <c r="D84" s="22" t="n">
        <f aca="false">IF(D81&lt;&gt;"",D81,E84)</f>
        <v>70</v>
      </c>
      <c r="E84" s="22" t="n">
        <f aca="false">IF(E81&lt;&gt;"",E81,F84)</f>
        <v>360</v>
      </c>
      <c r="F84" s="22" t="n">
        <f aca="false">IF(F81&lt;&gt;"",F81,G84)</f>
        <v>850</v>
      </c>
      <c r="G84" s="22" t="n">
        <f aca="false">IF(G81&lt;&gt;"",G81,H84)</f>
        <v>1850</v>
      </c>
      <c r="H84" s="22" t="n">
        <f aca="false">IF(H81&lt;&gt;"",H81,I84)</f>
        <v>8000</v>
      </c>
      <c r="I84" s="22" t="n">
        <f aca="false">IF(I81&lt;&gt;"",I81,J84)</f>
        <v>8000</v>
      </c>
      <c r="J84" s="22" t="n">
        <f aca="false">IF(J81&lt;&gt;"",J81,K84)</f>
        <v>8000</v>
      </c>
      <c r="K84" s="22" t="n">
        <f aca="false">IF(K81&lt;&gt;"",K81,L84)</f>
        <v>8000</v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4" t="s">
        <v>602</v>
      </c>
      <c r="B85" s="0" t="s">
        <v>677</v>
      </c>
      <c r="C85" s="4" t="s">
        <v>44</v>
      </c>
      <c r="D85" s="0" t="n">
        <f aca="false">IF(D81&lt;&gt;"",2023,E85)</f>
        <v>2023</v>
      </c>
      <c r="E85" s="0" t="n">
        <f aca="false">IF(E81&lt;&gt;"",2024,F85)</f>
        <v>2024</v>
      </c>
      <c r="F85" s="0" t="n">
        <f aca="false">IF(F81&lt;&gt;"",2025,G85)</f>
        <v>2025</v>
      </c>
      <c r="G85" s="0" t="n">
        <f aca="false">IF(G81&lt;&gt;"",2026,H85)</f>
        <v>2026</v>
      </c>
      <c r="H85" s="0" t="n">
        <f aca="false">IF(H81&lt;&gt;"",2027,I85)</f>
        <v>2030</v>
      </c>
      <c r="I85" s="0" t="n">
        <f aca="false">IF(I81&lt;&gt;"",2028,J85)</f>
        <v>2030</v>
      </c>
      <c r="J85" s="0" t="n">
        <f aca="false">IF(J81&lt;&gt;"",2029,K85)</f>
        <v>2030</v>
      </c>
      <c r="K85" s="0" t="n">
        <f aca="false">IF(K81&lt;&gt;"",2030,L85)</f>
        <v>2030</v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4" t="s">
        <v>604</v>
      </c>
      <c r="B86" s="0" t="s">
        <v>678</v>
      </c>
      <c r="C86" s="0" t="s">
        <v>72</v>
      </c>
      <c r="D86" s="23" t="n">
        <f aca="false">IF(D81&lt;&gt;"",D81,IF(AND(D82&lt;&gt;"",D84&lt;&gt;""),D82+(D84-D82)*(2023-D83)/(D85-D83),IF(D82&lt;&gt;"",D82,"")))</f>
        <v>70</v>
      </c>
      <c r="E86" s="23" t="n">
        <f aca="false">IF(E81&lt;&gt;"",E81,IF(AND(E82&lt;&gt;"",E84&lt;&gt;""),E82+(E84-E82)*(2024-E83)/(E85-E83),IF(E82&lt;&gt;"",E82,"")))</f>
        <v>360</v>
      </c>
      <c r="F86" s="23" t="n">
        <f aca="false">IF(F81&lt;&gt;"",F81,IF(AND(F82&lt;&gt;"",F84&lt;&gt;""),F82+(F84-F82)*(2025-F83)/(F85-F83),IF(F82&lt;&gt;"",F82,"")))</f>
        <v>850</v>
      </c>
      <c r="G86" s="23" t="n">
        <f aca="false">IF(G81&lt;&gt;"",G81,IF(AND(G82&lt;&gt;"",G84&lt;&gt;""),G82+(G84-G82)*(2026-G83)/(G85-G83),IF(G82&lt;&gt;"",G82,"")))</f>
        <v>1850</v>
      </c>
      <c r="H86" s="23" t="n">
        <f aca="false">IF(H81&lt;&gt;"",H81,IF(AND(H82&lt;&gt;"",H84&lt;&gt;""),H82+(H84-H82)*(2027-H83)/(H85-H83),IF(H82&lt;&gt;"",H82,"")))</f>
        <v>3387.5</v>
      </c>
      <c r="I86" s="23" t="n">
        <f aca="false">IF(I81&lt;&gt;"",I81,IF(AND(I82&lt;&gt;"",I84&lt;&gt;""),I82+(I84-I82)*(2028-I83)/(I85-I83),IF(I82&lt;&gt;"",I82,"")))</f>
        <v>4925</v>
      </c>
      <c r="J86" s="23" t="n">
        <f aca="false">IF(J81&lt;&gt;"",J81,IF(AND(J82&lt;&gt;"",J84&lt;&gt;""),J82+(J84-J82)*(2029-J83)/(J85-J83),IF(J82&lt;&gt;"",J82,"")))</f>
        <v>6462.5</v>
      </c>
      <c r="K86" s="23" t="n">
        <f aca="false">IF(K81&lt;&gt;"",K81,IF(AND(K82&lt;&gt;"",K84&lt;&gt;""),K82+(K84-K82)*(2030-K83)/(K85-K83),IF(K82&lt;&gt;"",K82,"")))</f>
        <v>8000</v>
      </c>
      <c r="L86" s="23" t="n">
        <f aca="false">IF(L81&lt;&gt;"",L81,IF(AND(L82&lt;&gt;"",L84&lt;&gt;""),L82+(L84-L82)*(2031-L83)/(L85-L83),IF(L82&lt;&gt;"",L82,"")))</f>
        <v>8000</v>
      </c>
      <c r="M86" s="23" t="n">
        <f aca="false">IF(M81&lt;&gt;"",M81,IF(AND(M82&lt;&gt;"",M84&lt;&gt;""),M82+(M84-M82)*(2032-M83)/(M85-M83),IF(M82&lt;&gt;"",M82,"")))</f>
        <v>8000</v>
      </c>
    </row>
    <row r="87" customFormat="false" ht="15" hidden="false" customHeight="false" outlineLevel="0" collapsed="false">
      <c r="A87" s="4" t="s">
        <v>606</v>
      </c>
      <c r="B87" s="0" t="s">
        <v>679</v>
      </c>
      <c r="C87" s="0" t="s">
        <v>32</v>
      </c>
      <c r="D87" s="0" t="n">
        <f aca="false">IF(In!$H$53&lt;&gt;"",1,IF(D81&lt;&gt;"",2,IF(AND(D82&lt;&gt;"",D84&lt;&gt;""),3,IF(D82&lt;&gt;"",4,0))))</f>
        <v>1</v>
      </c>
      <c r="E87" s="0" t="n">
        <f aca="false">IF(In!$I$53&lt;&gt;"",1,IF(E81&lt;&gt;"",2,IF(AND(E82&lt;&gt;"",E84&lt;&gt;""),3,IF(E82&lt;&gt;"",4,0))))</f>
        <v>1</v>
      </c>
      <c r="F87" s="0" t="n">
        <f aca="false">IF(In!$J$53&lt;&gt;"",1,IF(F81&lt;&gt;"",2,IF(AND(F82&lt;&gt;"",F84&lt;&gt;""),3,IF(F82&lt;&gt;"",4,0))))</f>
        <v>1</v>
      </c>
      <c r="G87" s="0" t="n">
        <f aca="false">IF(In!$K$53&lt;&gt;"",1,IF(G81&lt;&gt;"",2,IF(AND(G82&lt;&gt;"",G84&lt;&gt;""),3,IF(G82&lt;&gt;"",4,0))))</f>
        <v>1</v>
      </c>
      <c r="H87" s="0" t="n">
        <f aca="false">IF(In!$L$53&lt;&gt;"",1,IF(H81&lt;&gt;"",2,IF(AND(H82&lt;&gt;"",H84&lt;&gt;""),3,IF(H82&lt;&gt;"",4,0))))</f>
        <v>3</v>
      </c>
      <c r="I87" s="0" t="n">
        <f aca="false">IF(In!$M$53&lt;&gt;"",1,IF(I81&lt;&gt;"",2,IF(AND(I82&lt;&gt;"",I84&lt;&gt;""),3,IF(I82&lt;&gt;"",4,0))))</f>
        <v>3</v>
      </c>
      <c r="J87" s="0" t="n">
        <f aca="false">IF(In!$N$53&lt;&gt;"",1,IF(J81&lt;&gt;"",2,IF(AND(J82&lt;&gt;"",J84&lt;&gt;""),3,IF(J82&lt;&gt;"",4,0))))</f>
        <v>3</v>
      </c>
      <c r="K87" s="0" t="n">
        <f aca="false">IF(In!$O$53&lt;&gt;"",1,IF(K81&lt;&gt;"",2,IF(AND(K82&lt;&gt;"",K84&lt;&gt;""),3,IF(K82&lt;&gt;"",4,0))))</f>
        <v>1</v>
      </c>
      <c r="L87" s="0" t="n">
        <f aca="false">IF(In!$P$53&lt;&gt;"",1,IF(L81&lt;&gt;"",2,IF(AND(L82&lt;&gt;"",L84&lt;&gt;""),3,IF(L82&lt;&gt;"",4,0))))</f>
        <v>4</v>
      </c>
      <c r="M87" s="0" t="n">
        <f aca="false">IF(In!$Q$53&lt;&gt;"",1,IF(M81&lt;&gt;"",2,IF(AND(M82&lt;&gt;"",M84&lt;&gt;""),3,IF(M82&lt;&gt;"",4,0))))</f>
        <v>4</v>
      </c>
    </row>
    <row r="88" customFormat="false" ht="17.15" hidden="false" customHeight="false" outlineLevel="0" collapsed="false">
      <c r="A88" s="4" t="s">
        <v>608</v>
      </c>
      <c r="B88" s="0" t="s">
        <v>680</v>
      </c>
      <c r="C88" s="0" t="s">
        <v>111</v>
      </c>
      <c r="D88" s="24" t="n">
        <f aca="false">IF(D86="","",IF(In!$C$53="設施",D86/1000,D86/1000/D$13))</f>
        <v>0.076103500761035</v>
      </c>
      <c r="E88" s="24" t="n">
        <f aca="false">IF(E86="","",IF(In!$C$53="設施",E86/1000,E86/1000/E$13))</f>
        <v>0.391389432485323</v>
      </c>
      <c r="F88" s="24" t="n">
        <f aca="false">IF(F86="","",IF(In!$C$53="設施",F86/1000,F86/1000/F$13))</f>
        <v>0.924113937812568</v>
      </c>
      <c r="G88" s="24" t="n">
        <f aca="false">IF(G86="","",IF(In!$C$53="設施",G86/1000,G86/1000/G$13))</f>
        <v>2.01130680582735</v>
      </c>
      <c r="H88" s="24" t="n">
        <f aca="false">IF(H86="","",IF(In!$C$53="設施",H86/1000,H86/1000/H$13))</f>
        <v>3.68286584040009</v>
      </c>
      <c r="I88" s="24" t="n">
        <f aca="false">IF(I86="","",IF(In!$C$53="設施",I86/1000,I86/1000/I$13))</f>
        <v>5.35442487497282</v>
      </c>
      <c r="J88" s="24" t="n">
        <f aca="false">IF(J86="","",IF(In!$C$53="設施",J86/1000,J86/1000/J$13))</f>
        <v>7.02598390954555</v>
      </c>
      <c r="K88" s="24" t="n">
        <f aca="false">IF(K86="","",IF(In!$C$53="設施",K86/1000,K86/1000/K$13))</f>
        <v>8.69754294411829</v>
      </c>
      <c r="L88" s="24" t="n">
        <f aca="false">IF(L86="","",IF(In!$C$53="設施",L86/1000,L86/1000/L$13))</f>
        <v>8.69754294411829</v>
      </c>
      <c r="M88" s="24" t="n">
        <f aca="false">IF(M86="","",IF(In!$C$53="設施",M86/1000,M86/1000/M$13))</f>
        <v>8.69754294411829</v>
      </c>
    </row>
    <row r="89" customFormat="false" ht="17.15" hidden="false" customHeight="false" outlineLevel="0" collapsed="false">
      <c r="A89" s="4" t="s">
        <v>610</v>
      </c>
      <c r="B89" s="0" t="s">
        <v>681</v>
      </c>
      <c r="C89" s="0" t="s">
        <v>111</v>
      </c>
      <c r="D89" s="25" t="n">
        <f aca="false">IF(D86="","",IF(In!$C$53="未說明",D86/1000,D88))</f>
        <v>0.076103500761035</v>
      </c>
      <c r="E89" s="25" t="n">
        <f aca="false">IF(E86="","",IF(In!$C$53="未說明",E86/1000,E88))</f>
        <v>0.391389432485323</v>
      </c>
      <c r="F89" s="25" t="n">
        <f aca="false">IF(F86="","",IF(In!$C$53="未說明",F86/1000,F88))</f>
        <v>0.924113937812568</v>
      </c>
      <c r="G89" s="25" t="n">
        <f aca="false">IF(G86="","",IF(In!$C$53="未說明",G86/1000,G88))</f>
        <v>2.01130680582735</v>
      </c>
      <c r="H89" s="25" t="n">
        <f aca="false">IF(H86="","",IF(In!$C$53="未說明",H86/1000,H88))</f>
        <v>3.68286584040009</v>
      </c>
      <c r="I89" s="25" t="n">
        <f aca="false">IF(I86="","",IF(In!$C$53="未說明",I86/1000,I88))</f>
        <v>5.35442487497282</v>
      </c>
      <c r="J89" s="25" t="n">
        <f aca="false">IF(J86="","",IF(In!$C$53="未說明",J86/1000,J88))</f>
        <v>7.02598390954555</v>
      </c>
      <c r="K89" s="25" t="n">
        <f aca="false">IF(K86="","",IF(In!$C$53="未說明",K86/1000,K88))</f>
        <v>8.69754294411829</v>
      </c>
      <c r="L89" s="25" t="n">
        <f aca="false">IF(L86="","",IF(In!$C$53="未說明",L86/1000,L88))</f>
        <v>8.69754294411829</v>
      </c>
      <c r="M89" s="25" t="n">
        <f aca="false">IF(M86="","",IF(In!$C$53="未說明",M86/1000,M88))</f>
        <v>8.69754294411829</v>
      </c>
    </row>
    <row r="90" customFormat="false" ht="17.15" hidden="false" customHeight="false" outlineLevel="0" collapsed="false">
      <c r="A90" s="4" t="s">
        <v>612</v>
      </c>
      <c r="B90" s="0" t="s">
        <v>682</v>
      </c>
      <c r="C90" s="0" t="s">
        <v>111</v>
      </c>
      <c r="D90" s="0" t="str">
        <f aca="false">""</f>
        <v/>
      </c>
      <c r="E90" s="25" t="n">
        <f aca="false">IF(AND(D88&lt;&gt;"",E88&lt;&gt;""),(D88+E88)/2,"")</f>
        <v>0.233746466623179</v>
      </c>
      <c r="F90" s="25" t="n">
        <f aca="false">IF(AND(E88&lt;&gt;"",F88&lt;&gt;""),(E88+F88)/2,"")</f>
        <v>0.657751685148945</v>
      </c>
      <c r="G90" s="25" t="n">
        <f aca="false">IF(AND(F88&lt;&gt;"",G88&lt;&gt;""),(F88+G88)/2,"")</f>
        <v>1.46771037181996</v>
      </c>
      <c r="H90" s="25" t="n">
        <f aca="false">IF(AND(G88&lt;&gt;"",H88&lt;&gt;""),(G88+H88)/2,"")</f>
        <v>2.84708632311372</v>
      </c>
      <c r="I90" s="25" t="n">
        <f aca="false">IF(AND(H88&lt;&gt;"",I88&lt;&gt;""),(H88+I88)/2,"")</f>
        <v>4.51864535768645</v>
      </c>
      <c r="J90" s="25" t="n">
        <f aca="false">IF(AND(I88&lt;&gt;"",J88&lt;&gt;""),(I88+J88)/2,"")</f>
        <v>6.19020439225919</v>
      </c>
      <c r="K90" s="25" t="n">
        <f aca="false">IF(AND(J88&lt;&gt;"",K88&lt;&gt;""),(J88+K88)/2,"")</f>
        <v>7.86176342683192</v>
      </c>
      <c r="L90" s="25" t="n">
        <f aca="false">IF(AND(K88&lt;&gt;"",L88&lt;&gt;""),(K88+L88)/2,"")</f>
        <v>8.69754294411829</v>
      </c>
      <c r="M90" s="25" t="n">
        <f aca="false">IF(AND(L88&lt;&gt;"",M88&lt;&gt;""),(L88+M88)/2,"")</f>
        <v>8.69754294411829</v>
      </c>
    </row>
    <row r="91" customFormat="false" ht="17.15" hidden="false" customHeight="false" outlineLevel="0" collapsed="false">
      <c r="A91" s="4" t="s">
        <v>614</v>
      </c>
      <c r="B91" s="0" t="s">
        <v>683</v>
      </c>
      <c r="C91" s="0" t="s">
        <v>111</v>
      </c>
      <c r="D91" s="0" t="n">
        <v>0</v>
      </c>
      <c r="E91" s="25" t="n">
        <f aca="false">IF(AND(D88&lt;&gt;"",E88&lt;&gt;""),E88-D88,0)</f>
        <v>0.315285931724288</v>
      </c>
      <c r="F91" s="25" t="n">
        <f aca="false">IF(AND(E88&lt;&gt;"",F88&lt;&gt;""),F88-E88,0)</f>
        <v>0.532724505327245</v>
      </c>
      <c r="G91" s="25" t="n">
        <f aca="false">IF(AND(F88&lt;&gt;"",G88&lt;&gt;""),G88-F88,0)</f>
        <v>1.08719286801479</v>
      </c>
      <c r="H91" s="25" t="n">
        <f aca="false">IF(AND(G88&lt;&gt;"",H88&lt;&gt;""),H88-G88,0)</f>
        <v>1.67155903457273</v>
      </c>
      <c r="I91" s="25" t="n">
        <f aca="false">IF(AND(H88&lt;&gt;"",I88&lt;&gt;""),I88-H88,0)</f>
        <v>1.67155903457273</v>
      </c>
      <c r="J91" s="25" t="n">
        <f aca="false">IF(AND(I88&lt;&gt;"",J88&lt;&gt;""),J88-I88,0)</f>
        <v>1.67155903457273</v>
      </c>
      <c r="K91" s="25" t="n">
        <f aca="false">IF(AND(J88&lt;&gt;"",K88&lt;&gt;""),K88-J88,0)</f>
        <v>1.67155903457273</v>
      </c>
      <c r="L91" s="25" t="n">
        <f aca="false">IF(AND(K88&lt;&gt;"",L88&lt;&gt;""),L88-K88,0)</f>
        <v>0</v>
      </c>
      <c r="M91" s="25" t="n">
        <f aca="false">IF(AND(L88&lt;&gt;"",M88&lt;&gt;""),M88-L88,0)</f>
        <v>0</v>
      </c>
    </row>
    <row r="92" customFormat="false" ht="17.15" hidden="false" customHeight="false" outlineLevel="0" collapsed="false">
      <c r="A92" s="4" t="s">
        <v>616</v>
      </c>
      <c r="B92" s="0" t="s">
        <v>684</v>
      </c>
      <c r="C92" s="0" t="s">
        <v>111</v>
      </c>
      <c r="D92" s="25" t="n">
        <f aca="false">IF(D88&lt;&gt;"",D88,0)</f>
        <v>0.076103500761035</v>
      </c>
      <c r="E92" s="25" t="n">
        <f aca="false">IF(AND(D88="",E88&lt;&gt;""),E88,0)</f>
        <v>0</v>
      </c>
      <c r="F92" s="25" t="n">
        <f aca="false">IF(AND(E88="",F88&lt;&gt;""),F88,0)</f>
        <v>0</v>
      </c>
      <c r="G92" s="25" t="n">
        <f aca="false">IF(AND(F88="",G88&lt;&gt;""),G88,0)</f>
        <v>0</v>
      </c>
      <c r="H92" s="25" t="n">
        <f aca="false">IF(AND(G88="",H88&lt;&gt;""),H88,0)</f>
        <v>0</v>
      </c>
      <c r="I92" s="25" t="n">
        <f aca="false">IF(AND(H88="",I88&lt;&gt;""),I88,0)</f>
        <v>0</v>
      </c>
      <c r="J92" s="25" t="n">
        <f aca="false">IF(AND(I88="",J88&lt;&gt;""),J88,0)</f>
        <v>0</v>
      </c>
      <c r="K92" s="25" t="n">
        <f aca="false">IF(AND(J88="",K88&lt;&gt;""),K88,0)</f>
        <v>0</v>
      </c>
      <c r="L92" s="25" t="n">
        <f aca="false">IF(AND(K88="",L88&lt;&gt;""),L88,0)</f>
        <v>0</v>
      </c>
      <c r="M92" s="25" t="n">
        <f aca="false">IF(AND(L88="",M88&lt;&gt;""),M88,0)</f>
        <v>0</v>
      </c>
    </row>
    <row r="93" customFormat="false" ht="17.15" hidden="false" customHeight="false" outlineLevel="0" collapsed="false">
      <c r="A93" s="4" t="s">
        <v>618</v>
      </c>
      <c r="B93" s="0" t="s">
        <v>685</v>
      </c>
      <c r="C93" s="0" t="s">
        <v>48</v>
      </c>
      <c r="D93" s="19" t="n">
        <f aca="false">nnv_crwv</f>
        <v>0</v>
      </c>
      <c r="E93" s="19" t="n">
        <f aca="false">nnv_crwv</f>
        <v>0</v>
      </c>
      <c r="F93" s="19" t="n">
        <f aca="false">nnv_crwv</f>
        <v>0</v>
      </c>
      <c r="G93" s="19" t="n">
        <f aca="false">nnv_crwv</f>
        <v>0</v>
      </c>
      <c r="H93" s="19" t="n">
        <f aca="false">nnv_crwv</f>
        <v>0</v>
      </c>
      <c r="I93" s="19" t="n">
        <f aca="false">nnv_crwv</f>
        <v>0</v>
      </c>
      <c r="J93" s="19" t="n">
        <f aca="false">nnv_crwv</f>
        <v>0</v>
      </c>
      <c r="K93" s="19" t="n">
        <f aca="false">nnv_crwv</f>
        <v>0</v>
      </c>
      <c r="L93" s="19" t="n">
        <f aca="false">nnv_crwv</f>
        <v>0</v>
      </c>
      <c r="M93" s="19" t="n">
        <f aca="false">nnv_crwv</f>
        <v>0</v>
      </c>
    </row>
    <row r="95" customFormat="false" ht="17.15" hidden="false" customHeight="false" outlineLevel="0" collapsed="false">
      <c r="A95" s="7" t="s">
        <v>686</v>
      </c>
      <c r="B95" s="16" t="s">
        <v>687</v>
      </c>
      <c r="N95" s="16" t="s">
        <v>688</v>
      </c>
    </row>
    <row r="96" customFormat="false" ht="17.15" hidden="false" customHeight="false" outlineLevel="0" collapsed="false">
      <c r="A96" s="4" t="s">
        <v>592</v>
      </c>
      <c r="B96" s="0" t="s">
        <v>689</v>
      </c>
      <c r="C96" s="0" t="s">
        <v>72</v>
      </c>
      <c r="D96" s="15" t="str">
        <f aca="false">IF(In!$H$54&lt;&gt;"",In!$H$54,"")</f>
        <v/>
      </c>
      <c r="E96" s="15" t="str">
        <f aca="false">IF(In!$I$54&lt;&gt;"",In!$I$54,"")</f>
        <v/>
      </c>
      <c r="F96" s="21" t="n">
        <f aca="false">IF(In!$J$54&lt;&gt;"",In!$J$54,"")</f>
        <v>170</v>
      </c>
      <c r="G96" s="21" t="n">
        <f aca="false">IF(In!$K$54&lt;&gt;"",In!$K$54,"")</f>
        <v>900</v>
      </c>
      <c r="H96" s="15" t="str">
        <f aca="false">IF(In!$L$54&lt;&gt;"",In!$L$54,"")</f>
        <v/>
      </c>
      <c r="I96" s="15" t="str">
        <f aca="false">IF(In!$M$54&lt;&gt;"",In!$M$54,"")</f>
        <v/>
      </c>
      <c r="J96" s="15" t="str">
        <f aca="false">IF(In!$N$54&lt;&gt;"",In!$N$54,"")</f>
        <v/>
      </c>
      <c r="K96" s="15" t="str">
        <f aca="false">IF(In!$O$54&lt;&gt;"",In!$O$54,"")</f>
        <v/>
      </c>
      <c r="L96" s="15" t="str">
        <f aca="false">IF(In!$P$54&lt;&gt;"",In!$P$54,"")</f>
        <v/>
      </c>
      <c r="M96" s="15" t="str">
        <f aca="false">IF(In!$Q$54&lt;&gt;"",In!$Q$54,"")</f>
        <v/>
      </c>
    </row>
    <row r="97" customFormat="false" ht="15" hidden="false" customHeight="false" outlineLevel="0" collapsed="false">
      <c r="A97" s="4" t="s">
        <v>594</v>
      </c>
      <c r="B97" s="0" t="s">
        <v>690</v>
      </c>
      <c r="C97" s="0" t="s">
        <v>72</v>
      </c>
      <c r="D97" s="0" t="str">
        <f aca="false">IF(In!$H$54&lt;&gt;"",In!$H$54,"")</f>
        <v/>
      </c>
      <c r="E97" s="0" t="str">
        <f aca="false">IF(In!$I$54&lt;&gt;"",In!$I$54,"")</f>
        <v/>
      </c>
      <c r="F97" s="22" t="n">
        <f aca="false">IF(In!$J$54&lt;&gt;"",In!$J$54,"")</f>
        <v>170</v>
      </c>
      <c r="G97" s="22" t="n">
        <f aca="false">IF(In!$K$54&lt;&gt;"",In!$K$54,"")</f>
        <v>900</v>
      </c>
      <c r="H97" s="0" t="str">
        <f aca="false">IF(In!$L$54&lt;&gt;"",In!$L$54,"")</f>
        <v/>
      </c>
      <c r="I97" s="0" t="str">
        <f aca="false">IF(In!$M$54&lt;&gt;"",In!$M$54,"")</f>
        <v/>
      </c>
      <c r="J97" s="0" t="str">
        <f aca="false">IF(In!$N$54&lt;&gt;"",In!$N$54,"")</f>
        <v/>
      </c>
      <c r="K97" s="0" t="str">
        <f aca="false">IF(In!$O$54&lt;&gt;"",In!$O$54,"")</f>
        <v/>
      </c>
      <c r="L97" s="0" t="str">
        <f aca="false">IF(In!$P$54&lt;&gt;"",In!$P$54,"")</f>
        <v/>
      </c>
      <c r="M97" s="0" t="str">
        <f aca="false">IF(In!$Q$54&lt;&gt;"",In!$Q$54,"")</f>
        <v/>
      </c>
    </row>
    <row r="98" customFormat="false" ht="15" hidden="false" customHeight="false" outlineLevel="0" collapsed="false">
      <c r="A98" s="4" t="s">
        <v>596</v>
      </c>
      <c r="B98" s="0" t="s">
        <v>691</v>
      </c>
      <c r="C98" s="0" t="s">
        <v>72</v>
      </c>
      <c r="D98" s="0" t="str">
        <f aca="false">IF(D97&lt;&gt;"",D97,"")</f>
        <v/>
      </c>
      <c r="E98" s="0" t="str">
        <f aca="false">IF(E97&lt;&gt;"",E97,D98)</f>
        <v/>
      </c>
      <c r="F98" s="22" t="n">
        <f aca="false">IF(F97&lt;&gt;"",F97,E98)</f>
        <v>170</v>
      </c>
      <c r="G98" s="22" t="n">
        <f aca="false">IF(G97&lt;&gt;"",G97,F98)</f>
        <v>900</v>
      </c>
      <c r="H98" s="22" t="n">
        <f aca="false">IF(H97&lt;&gt;"",H97,G98)</f>
        <v>900</v>
      </c>
      <c r="I98" s="22" t="n">
        <f aca="false">IF(I97&lt;&gt;"",I97,H98)</f>
        <v>900</v>
      </c>
      <c r="J98" s="22" t="n">
        <f aca="false">IF(J97&lt;&gt;"",J97,I98)</f>
        <v>900</v>
      </c>
      <c r="K98" s="22" t="n">
        <f aca="false">IF(K97&lt;&gt;"",K97,J98)</f>
        <v>900</v>
      </c>
      <c r="L98" s="22" t="n">
        <f aca="false">IF(L97&lt;&gt;"",L97,K98)</f>
        <v>900</v>
      </c>
      <c r="M98" s="22" t="n">
        <f aca="false">IF(M97&lt;&gt;"",M97,L98)</f>
        <v>900</v>
      </c>
    </row>
    <row r="99" customFormat="false" ht="15" hidden="false" customHeight="false" outlineLevel="0" collapsed="false">
      <c r="A99" s="4" t="s">
        <v>598</v>
      </c>
      <c r="B99" s="0" t="s">
        <v>692</v>
      </c>
      <c r="C99" s="4" t="s">
        <v>44</v>
      </c>
      <c r="D99" s="0" t="str">
        <f aca="false">IF(D97&lt;&gt;"",2023,"")</f>
        <v/>
      </c>
      <c r="E99" s="0" t="str">
        <f aca="false">IF(E97&lt;&gt;"",2024,D99)</f>
        <v/>
      </c>
      <c r="F99" s="0" t="n">
        <f aca="false">IF(F97&lt;&gt;"",2025,E99)</f>
        <v>2025</v>
      </c>
      <c r="G99" s="0" t="n">
        <f aca="false">IF(G97&lt;&gt;"",2026,F99)</f>
        <v>2026</v>
      </c>
      <c r="H99" s="0" t="n">
        <f aca="false">IF(H97&lt;&gt;"",2027,G99)</f>
        <v>2026</v>
      </c>
      <c r="I99" s="0" t="n">
        <f aca="false">IF(I97&lt;&gt;"",2028,H99)</f>
        <v>2026</v>
      </c>
      <c r="J99" s="0" t="n">
        <f aca="false">IF(J97&lt;&gt;"",2029,I99)</f>
        <v>2026</v>
      </c>
      <c r="K99" s="0" t="n">
        <f aca="false">IF(K97&lt;&gt;"",2030,J99)</f>
        <v>2026</v>
      </c>
      <c r="L99" s="0" t="n">
        <f aca="false">IF(L97&lt;&gt;"",2031,K99)</f>
        <v>2026</v>
      </c>
      <c r="M99" s="0" t="n">
        <f aca="false">IF(M97&lt;&gt;"",2032,L99)</f>
        <v>2026</v>
      </c>
    </row>
    <row r="100" customFormat="false" ht="15" hidden="false" customHeight="false" outlineLevel="0" collapsed="false">
      <c r="A100" s="4" t="s">
        <v>600</v>
      </c>
      <c r="B100" s="0" t="s">
        <v>693</v>
      </c>
      <c r="C100" s="0" t="s">
        <v>72</v>
      </c>
      <c r="D100" s="22" t="n">
        <f aca="false">IF(D97&lt;&gt;"",D97,E100)</f>
        <v>170</v>
      </c>
      <c r="E100" s="22" t="n">
        <f aca="false">IF(E97&lt;&gt;"",E97,F100)</f>
        <v>170</v>
      </c>
      <c r="F100" s="22" t="n">
        <f aca="false">IF(F97&lt;&gt;"",F97,G100)</f>
        <v>170</v>
      </c>
      <c r="G100" s="22" t="n">
        <f aca="false">IF(G97&lt;&gt;"",G97,H100)</f>
        <v>900</v>
      </c>
      <c r="H100" s="0" t="str">
        <f aca="false">IF(H97&lt;&gt;"",H97,I100)</f>
        <v/>
      </c>
      <c r="I100" s="0" t="str">
        <f aca="false">IF(I97&lt;&gt;"",I97,J100)</f>
        <v/>
      </c>
      <c r="J100" s="0" t="str">
        <f aca="false">IF(J97&lt;&gt;"",J97,K100)</f>
        <v/>
      </c>
      <c r="K100" s="0" t="str">
        <f aca="false">IF(K97&lt;&gt;"",K97,L100)</f>
        <v/>
      </c>
      <c r="L100" s="0" t="str">
        <f aca="false">IF(L97&lt;&gt;"",L97,M100)</f>
        <v/>
      </c>
      <c r="M100" s="0" t="str">
        <f aca="false">IF(M97&lt;&gt;"",M97,"")</f>
        <v/>
      </c>
    </row>
    <row r="101" customFormat="false" ht="15" hidden="false" customHeight="false" outlineLevel="0" collapsed="false">
      <c r="A101" s="4" t="s">
        <v>602</v>
      </c>
      <c r="B101" s="0" t="s">
        <v>694</v>
      </c>
      <c r="C101" s="4" t="s">
        <v>44</v>
      </c>
      <c r="D101" s="0" t="n">
        <f aca="false">IF(D97&lt;&gt;"",2023,E101)</f>
        <v>2025</v>
      </c>
      <c r="E101" s="0" t="n">
        <f aca="false">IF(E97&lt;&gt;"",2024,F101)</f>
        <v>2025</v>
      </c>
      <c r="F101" s="0" t="n">
        <f aca="false">IF(F97&lt;&gt;"",2025,G101)</f>
        <v>2025</v>
      </c>
      <c r="G101" s="0" t="n">
        <f aca="false">IF(G97&lt;&gt;"",2026,H101)</f>
        <v>2026</v>
      </c>
      <c r="H101" s="0" t="str">
        <f aca="false">IF(H97&lt;&gt;"",2027,I101)</f>
        <v/>
      </c>
      <c r="I101" s="0" t="str">
        <f aca="false">IF(I97&lt;&gt;"",2028,J101)</f>
        <v/>
      </c>
      <c r="J101" s="0" t="str">
        <f aca="false">IF(J97&lt;&gt;"",2029,K101)</f>
        <v/>
      </c>
      <c r="K101" s="0" t="str">
        <f aca="false">IF(K97&lt;&gt;"",2030,L101)</f>
        <v/>
      </c>
      <c r="L101" s="0" t="str">
        <f aca="false">IF(L97&lt;&gt;"",2031,M101)</f>
        <v/>
      </c>
      <c r="M101" s="0" t="str">
        <f aca="false">IF(M97&lt;&gt;"",2032,"")</f>
        <v/>
      </c>
    </row>
    <row r="102" customFormat="false" ht="17.15" hidden="false" customHeight="false" outlineLevel="0" collapsed="false">
      <c r="A102" s="4" t="s">
        <v>604</v>
      </c>
      <c r="B102" s="0" t="s">
        <v>695</v>
      </c>
      <c r="C102" s="0" t="s">
        <v>72</v>
      </c>
      <c r="D102" s="23" t="str">
        <f aca="false">IF(D97&lt;&gt;"",D97,IF(AND(D98&lt;&gt;"",D100&lt;&gt;""),D98+(D100-D98)*(2023-D99)/(D101-D99),IF(D98&lt;&gt;"",D98,"")))</f>
        <v/>
      </c>
      <c r="E102" s="23" t="str">
        <f aca="false">IF(E97&lt;&gt;"",E97,IF(AND(E98&lt;&gt;"",E100&lt;&gt;""),E98+(E100-E98)*(2024-E99)/(E101-E99),IF(E98&lt;&gt;"",E98,"")))</f>
        <v/>
      </c>
      <c r="F102" s="23" t="n">
        <f aca="false">IF(F97&lt;&gt;"",F97,IF(AND(F98&lt;&gt;"",F100&lt;&gt;""),F98+(F100-F98)*(2025-F99)/(F101-F99),IF(F98&lt;&gt;"",F98,"")))</f>
        <v>170</v>
      </c>
      <c r="G102" s="23" t="n">
        <f aca="false">IF(G97&lt;&gt;"",G97,IF(AND(G98&lt;&gt;"",G100&lt;&gt;""),G98+(G100-G98)*(2026-G99)/(G101-G99),IF(G98&lt;&gt;"",G98,"")))</f>
        <v>900</v>
      </c>
      <c r="H102" s="23" t="n">
        <f aca="false">IF(H97&lt;&gt;"",H97,IF(AND(H98&lt;&gt;"",H100&lt;&gt;""),H98+(H100-H98)*(2027-H99)/(H101-H99),IF(H98&lt;&gt;"",H98,"")))</f>
        <v>900</v>
      </c>
      <c r="I102" s="23" t="n">
        <f aca="false">IF(I97&lt;&gt;"",I97,IF(AND(I98&lt;&gt;"",I100&lt;&gt;""),I98+(I100-I98)*(2028-I99)/(I101-I99),IF(I98&lt;&gt;"",I98,"")))</f>
        <v>900</v>
      </c>
      <c r="J102" s="23" t="n">
        <f aca="false">IF(J97&lt;&gt;"",J97,IF(AND(J98&lt;&gt;"",J100&lt;&gt;""),J98+(J100-J98)*(2029-J99)/(J101-J99),IF(J98&lt;&gt;"",J98,"")))</f>
        <v>900</v>
      </c>
      <c r="K102" s="23" t="n">
        <f aca="false">IF(K97&lt;&gt;"",K97,IF(AND(K98&lt;&gt;"",K100&lt;&gt;""),K98+(K100-K98)*(2030-K99)/(K101-K99),IF(K98&lt;&gt;"",K98,"")))</f>
        <v>900</v>
      </c>
      <c r="L102" s="23" t="n">
        <f aca="false">IF(L97&lt;&gt;"",L97,IF(AND(L98&lt;&gt;"",L100&lt;&gt;""),L98+(L100-L98)*(2031-L99)/(L101-L99),IF(L98&lt;&gt;"",L98,"")))</f>
        <v>900</v>
      </c>
      <c r="M102" s="23" t="n">
        <f aca="false">IF(M97&lt;&gt;"",M97,IF(AND(M98&lt;&gt;"",M100&lt;&gt;""),M98+(M100-M98)*(2032-M99)/(M101-M99),IF(M98&lt;&gt;"",M98,"")))</f>
        <v>900</v>
      </c>
    </row>
    <row r="103" customFormat="false" ht="15" hidden="false" customHeight="false" outlineLevel="0" collapsed="false">
      <c r="A103" s="4" t="s">
        <v>606</v>
      </c>
      <c r="B103" s="0" t="s">
        <v>696</v>
      </c>
      <c r="C103" s="0" t="s">
        <v>32</v>
      </c>
      <c r="D103" s="0" t="n">
        <f aca="false">IF(In!$H$54&lt;&gt;"",1,IF(D97&lt;&gt;"",2,IF(AND(D98&lt;&gt;"",D100&lt;&gt;""),3,IF(D98&lt;&gt;"",4,0))))</f>
        <v>0</v>
      </c>
      <c r="E103" s="0" t="n">
        <f aca="false">IF(In!$I$54&lt;&gt;"",1,IF(E97&lt;&gt;"",2,IF(AND(E98&lt;&gt;"",E100&lt;&gt;""),3,IF(E98&lt;&gt;"",4,0))))</f>
        <v>0</v>
      </c>
      <c r="F103" s="0" t="n">
        <f aca="false">IF(In!$J$54&lt;&gt;"",1,IF(F97&lt;&gt;"",2,IF(AND(F98&lt;&gt;"",F100&lt;&gt;""),3,IF(F98&lt;&gt;"",4,0))))</f>
        <v>1</v>
      </c>
      <c r="G103" s="0" t="n">
        <f aca="false">IF(In!$K$54&lt;&gt;"",1,IF(G97&lt;&gt;"",2,IF(AND(G98&lt;&gt;"",G100&lt;&gt;""),3,IF(G98&lt;&gt;"",4,0))))</f>
        <v>1</v>
      </c>
      <c r="H103" s="0" t="n">
        <f aca="false">IF(In!$L$54&lt;&gt;"",1,IF(H97&lt;&gt;"",2,IF(AND(H98&lt;&gt;"",H100&lt;&gt;""),3,IF(H98&lt;&gt;"",4,0))))</f>
        <v>4</v>
      </c>
      <c r="I103" s="0" t="n">
        <f aca="false">IF(In!$M$54&lt;&gt;"",1,IF(I97&lt;&gt;"",2,IF(AND(I98&lt;&gt;"",I100&lt;&gt;""),3,IF(I98&lt;&gt;"",4,0))))</f>
        <v>4</v>
      </c>
      <c r="J103" s="0" t="n">
        <f aca="false">IF(In!$N$54&lt;&gt;"",1,IF(J97&lt;&gt;"",2,IF(AND(J98&lt;&gt;"",J100&lt;&gt;""),3,IF(J98&lt;&gt;"",4,0))))</f>
        <v>4</v>
      </c>
      <c r="K103" s="0" t="n">
        <f aca="false">IF(In!$O$54&lt;&gt;"",1,IF(K97&lt;&gt;"",2,IF(AND(K98&lt;&gt;"",K100&lt;&gt;""),3,IF(K98&lt;&gt;"",4,0))))</f>
        <v>4</v>
      </c>
      <c r="L103" s="0" t="n">
        <f aca="false">IF(In!$P$54&lt;&gt;"",1,IF(L97&lt;&gt;"",2,IF(AND(L98&lt;&gt;"",L100&lt;&gt;""),3,IF(L98&lt;&gt;"",4,0))))</f>
        <v>4</v>
      </c>
      <c r="M103" s="0" t="n">
        <f aca="false">IF(In!$Q$54&lt;&gt;"",1,IF(M97&lt;&gt;"",2,IF(AND(M98&lt;&gt;"",M100&lt;&gt;""),3,IF(M98&lt;&gt;"",4,0))))</f>
        <v>4</v>
      </c>
    </row>
    <row r="104" customFormat="false" ht="17.15" hidden="false" customHeight="false" outlineLevel="0" collapsed="false">
      <c r="A104" s="4" t="s">
        <v>608</v>
      </c>
      <c r="B104" s="0" t="s">
        <v>697</v>
      </c>
      <c r="C104" s="0" t="s">
        <v>111</v>
      </c>
      <c r="D104" s="24" t="str">
        <f aca="false">IF(D102="","",IF(In!$C$54="設施",D102/1000,D102/1000/D$13))</f>
        <v/>
      </c>
      <c r="E104" s="24" t="str">
        <f aca="false">IF(E102="","",IF(In!$C$54="設施",E102/1000,E102/1000/E$13))</f>
        <v/>
      </c>
      <c r="F104" s="24" t="n">
        <f aca="false">IF(F102="","",IF(In!$C$54="設施",F102/1000,F102/1000/F$13))</f>
        <v>0.184822787562514</v>
      </c>
      <c r="G104" s="24" t="n">
        <f aca="false">IF(G102="","",IF(In!$C$54="設施",G102/1000,G102/1000/G$13))</f>
        <v>0.978473581213307</v>
      </c>
      <c r="H104" s="24" t="n">
        <f aca="false">IF(H102="","",IF(In!$C$54="設施",H102/1000,H102/1000/H$13))</f>
        <v>0.978473581213307</v>
      </c>
      <c r="I104" s="24" t="n">
        <f aca="false">IF(I102="","",IF(In!$C$54="設施",I102/1000,I102/1000/I$13))</f>
        <v>0.978473581213307</v>
      </c>
      <c r="J104" s="24" t="n">
        <f aca="false">IF(J102="","",IF(In!$C$54="設施",J102/1000,J102/1000/J$13))</f>
        <v>0.978473581213307</v>
      </c>
      <c r="K104" s="24" t="n">
        <f aca="false">IF(K102="","",IF(In!$C$54="設施",K102/1000,K102/1000/K$13))</f>
        <v>0.978473581213307</v>
      </c>
      <c r="L104" s="24" t="n">
        <f aca="false">IF(L102="","",IF(In!$C$54="設施",L102/1000,L102/1000/L$13))</f>
        <v>0.978473581213307</v>
      </c>
      <c r="M104" s="24" t="n">
        <f aca="false">IF(M102="","",IF(In!$C$54="設施",M102/1000,M102/1000/M$13))</f>
        <v>0.978473581213307</v>
      </c>
    </row>
    <row r="105" customFormat="false" ht="17.15" hidden="false" customHeight="false" outlineLevel="0" collapsed="false">
      <c r="A105" s="4" t="s">
        <v>610</v>
      </c>
      <c r="B105" s="0" t="s">
        <v>698</v>
      </c>
      <c r="C105" s="0" t="s">
        <v>111</v>
      </c>
      <c r="D105" s="25" t="str">
        <f aca="false">IF(D102="","",IF(In!$C$54="未說明",D102/1000,D104))</f>
        <v/>
      </c>
      <c r="E105" s="25" t="str">
        <f aca="false">IF(E102="","",IF(In!$C$54="未說明",E102/1000,E104))</f>
        <v/>
      </c>
      <c r="F105" s="25" t="n">
        <f aca="false">IF(F102="","",IF(In!$C$54="未說明",F102/1000,F104))</f>
        <v>0.17</v>
      </c>
      <c r="G105" s="25" t="n">
        <f aca="false">IF(G102="","",IF(In!$C$54="未說明",G102/1000,G104))</f>
        <v>0.9</v>
      </c>
      <c r="H105" s="25" t="n">
        <f aca="false">IF(H102="","",IF(In!$C$54="未說明",H102/1000,H104))</f>
        <v>0.9</v>
      </c>
      <c r="I105" s="25" t="n">
        <f aca="false">IF(I102="","",IF(In!$C$54="未說明",I102/1000,I104))</f>
        <v>0.9</v>
      </c>
      <c r="J105" s="25" t="n">
        <f aca="false">IF(J102="","",IF(In!$C$54="未說明",J102/1000,J104))</f>
        <v>0.9</v>
      </c>
      <c r="K105" s="25" t="n">
        <f aca="false">IF(K102="","",IF(In!$C$54="未說明",K102/1000,K104))</f>
        <v>0.9</v>
      </c>
      <c r="L105" s="25" t="n">
        <f aca="false">IF(L102="","",IF(In!$C$54="未說明",L102/1000,L104))</f>
        <v>0.9</v>
      </c>
      <c r="M105" s="25" t="n">
        <f aca="false">IF(M102="","",IF(In!$C$54="未說明",M102/1000,M104))</f>
        <v>0.9</v>
      </c>
    </row>
    <row r="106" customFormat="false" ht="17.15" hidden="false" customHeight="false" outlineLevel="0" collapsed="false">
      <c r="A106" s="4" t="s">
        <v>612</v>
      </c>
      <c r="B106" s="0" t="s">
        <v>699</v>
      </c>
      <c r="C106" s="0" t="s">
        <v>111</v>
      </c>
      <c r="D106" s="0" t="str">
        <f aca="false">""</f>
        <v/>
      </c>
      <c r="E106" s="25" t="str">
        <f aca="false">IF(AND(D104&lt;&gt;"",E104&lt;&gt;""),(D104+E104)/2,"")</f>
        <v/>
      </c>
      <c r="F106" s="25" t="str">
        <f aca="false">IF(AND(E104&lt;&gt;"",F104&lt;&gt;""),(E104+F104)/2,"")</f>
        <v/>
      </c>
      <c r="G106" s="25" t="n">
        <f aca="false">IF(AND(F104&lt;&gt;"",G104&lt;&gt;""),(F104+G104)/2,"")</f>
        <v>0.58164818438791</v>
      </c>
      <c r="H106" s="25" t="n">
        <f aca="false">IF(AND(G104&lt;&gt;"",H104&lt;&gt;""),(G104+H104)/2,"")</f>
        <v>0.978473581213307</v>
      </c>
      <c r="I106" s="25" t="n">
        <f aca="false">IF(AND(H104&lt;&gt;"",I104&lt;&gt;""),(H104+I104)/2,"")</f>
        <v>0.978473581213307</v>
      </c>
      <c r="J106" s="25" t="n">
        <f aca="false">IF(AND(I104&lt;&gt;"",J104&lt;&gt;""),(I104+J104)/2,"")</f>
        <v>0.978473581213307</v>
      </c>
      <c r="K106" s="25" t="n">
        <f aca="false">IF(AND(J104&lt;&gt;"",K104&lt;&gt;""),(J104+K104)/2,"")</f>
        <v>0.978473581213307</v>
      </c>
      <c r="L106" s="25" t="n">
        <f aca="false">IF(AND(K104&lt;&gt;"",L104&lt;&gt;""),(K104+L104)/2,"")</f>
        <v>0.978473581213307</v>
      </c>
      <c r="M106" s="25" t="n">
        <f aca="false">IF(AND(L104&lt;&gt;"",M104&lt;&gt;""),(L104+M104)/2,"")</f>
        <v>0.978473581213307</v>
      </c>
    </row>
    <row r="107" customFormat="false" ht="17.15" hidden="false" customHeight="false" outlineLevel="0" collapsed="false">
      <c r="A107" s="4" t="s">
        <v>614</v>
      </c>
      <c r="B107" s="0" t="s">
        <v>700</v>
      </c>
      <c r="C107" s="0" t="s">
        <v>111</v>
      </c>
      <c r="D107" s="0" t="n">
        <v>0</v>
      </c>
      <c r="E107" s="25" t="n">
        <f aca="false">IF(AND(D104&lt;&gt;"",E104&lt;&gt;""),E104-D104,0)</f>
        <v>0</v>
      </c>
      <c r="F107" s="25" t="n">
        <f aca="false">IF(AND(E104&lt;&gt;"",F104&lt;&gt;""),F104-E104,0)</f>
        <v>0</v>
      </c>
      <c r="G107" s="25" t="n">
        <f aca="false">IF(AND(F104&lt;&gt;"",G104&lt;&gt;""),G104-F104,0)</f>
        <v>0.793650793650794</v>
      </c>
      <c r="H107" s="25" t="n">
        <f aca="false">IF(AND(G104&lt;&gt;"",H104&lt;&gt;""),H104-G104,0)</f>
        <v>0</v>
      </c>
      <c r="I107" s="25" t="n">
        <f aca="false">IF(AND(H104&lt;&gt;"",I104&lt;&gt;""),I104-H104,0)</f>
        <v>0</v>
      </c>
      <c r="J107" s="25" t="n">
        <f aca="false">IF(AND(I104&lt;&gt;"",J104&lt;&gt;""),J104-I104,0)</f>
        <v>0</v>
      </c>
      <c r="K107" s="25" t="n">
        <f aca="false">IF(AND(J104&lt;&gt;"",K104&lt;&gt;""),K104-J104,0)</f>
        <v>0</v>
      </c>
      <c r="L107" s="25" t="n">
        <f aca="false">IF(AND(K104&lt;&gt;"",L104&lt;&gt;""),L104-K104,0)</f>
        <v>0</v>
      </c>
      <c r="M107" s="25" t="n">
        <f aca="false">IF(AND(L104&lt;&gt;"",M104&lt;&gt;""),M104-L104,0)</f>
        <v>0</v>
      </c>
    </row>
    <row r="108" customFormat="false" ht="17.15" hidden="false" customHeight="false" outlineLevel="0" collapsed="false">
      <c r="A108" s="4" t="s">
        <v>616</v>
      </c>
      <c r="B108" s="0" t="s">
        <v>701</v>
      </c>
      <c r="C108" s="0" t="s">
        <v>111</v>
      </c>
      <c r="D108" s="25" t="n">
        <f aca="false">IF(D104&lt;&gt;"",D104,0)</f>
        <v>0</v>
      </c>
      <c r="E108" s="25" t="n">
        <f aca="false">IF(AND(D104="",E104&lt;&gt;""),E104,0)</f>
        <v>0</v>
      </c>
      <c r="F108" s="25" t="n">
        <f aca="false">IF(AND(E104="",F104&lt;&gt;""),F104,0)</f>
        <v>0.184822787562514</v>
      </c>
      <c r="G108" s="25" t="n">
        <f aca="false">IF(AND(F104="",G104&lt;&gt;""),G104,0)</f>
        <v>0</v>
      </c>
      <c r="H108" s="25" t="n">
        <f aca="false">IF(AND(G104="",H104&lt;&gt;""),H104,0)</f>
        <v>0</v>
      </c>
      <c r="I108" s="25" t="n">
        <f aca="false">IF(AND(H104="",I104&lt;&gt;""),I104,0)</f>
        <v>0</v>
      </c>
      <c r="J108" s="25" t="n">
        <f aca="false">IF(AND(I104="",J104&lt;&gt;""),J104,0)</f>
        <v>0</v>
      </c>
      <c r="K108" s="25" t="n">
        <f aca="false">IF(AND(J104="",K104&lt;&gt;""),K104,0)</f>
        <v>0</v>
      </c>
      <c r="L108" s="25" t="n">
        <f aca="false">IF(AND(K104="",L104&lt;&gt;""),L104,0)</f>
        <v>0</v>
      </c>
      <c r="M108" s="25" t="n">
        <f aca="false">IF(AND(L104="",M104&lt;&gt;""),M104,0)</f>
        <v>0</v>
      </c>
    </row>
    <row r="109" customFormat="false" ht="17.15" hidden="false" customHeight="false" outlineLevel="0" collapsed="false">
      <c r="A109" s="4" t="s">
        <v>618</v>
      </c>
      <c r="B109" s="0" t="s">
        <v>702</v>
      </c>
      <c r="C109" s="0" t="s">
        <v>48</v>
      </c>
      <c r="D109" s="19" t="n">
        <f aca="false">nnv_nbis</f>
        <v>0</v>
      </c>
      <c r="E109" s="19" t="n">
        <f aca="false">nnv_nbis</f>
        <v>0</v>
      </c>
      <c r="F109" s="19" t="n">
        <f aca="false">nnv_nbis</f>
        <v>0</v>
      </c>
      <c r="G109" s="19" t="n">
        <f aca="false">nnv_nbis</f>
        <v>0</v>
      </c>
      <c r="H109" s="19" t="n">
        <f aca="false">nnv_nbis</f>
        <v>0</v>
      </c>
      <c r="I109" s="19" t="n">
        <f aca="false">nnv_nbis</f>
        <v>0</v>
      </c>
      <c r="J109" s="19" t="n">
        <f aca="false">nnv_nbis</f>
        <v>0</v>
      </c>
      <c r="K109" s="19" t="n">
        <f aca="false">nnv_nbis</f>
        <v>0</v>
      </c>
      <c r="L109" s="19" t="n">
        <f aca="false">nnv_nbis</f>
        <v>0</v>
      </c>
      <c r="M109" s="19" t="n">
        <f aca="false">nnv_nbis</f>
        <v>0</v>
      </c>
    </row>
    <row r="111" customFormat="false" ht="17.15" hidden="false" customHeight="false" outlineLevel="0" collapsed="false">
      <c r="A111" s="7" t="s">
        <v>703</v>
      </c>
      <c r="B111" s="16" t="s">
        <v>704</v>
      </c>
      <c r="N111" s="16" t="s">
        <v>705</v>
      </c>
    </row>
    <row r="112" customFormat="false" ht="17.15" hidden="false" customHeight="false" outlineLevel="0" collapsed="false">
      <c r="A112" s="4" t="s">
        <v>592</v>
      </c>
      <c r="B112" s="0" t="s">
        <v>706</v>
      </c>
      <c r="C112" s="0" t="s">
        <v>72</v>
      </c>
      <c r="D112" s="15" t="str">
        <f aca="false">IF(In!$H$55&lt;&gt;"",In!$H$55,"")</f>
        <v/>
      </c>
      <c r="E112" s="15" t="str">
        <f aca="false">IF(In!$I$55&lt;&gt;"",In!$I$55,"")</f>
        <v/>
      </c>
      <c r="F112" s="21" t="n">
        <f aca="false">IF(In!$J$55&lt;&gt;"",In!$J$55,"")</f>
        <v>5.5</v>
      </c>
      <c r="G112" s="21" t="n">
        <f aca="false">IF(In!$K$55&lt;&gt;"",In!$K$55,"")</f>
        <v>14.574</v>
      </c>
      <c r="H112" s="21" t="n">
        <f aca="false">IF(In!$L$55&lt;&gt;"",In!$L$55,"")</f>
        <v>16.548</v>
      </c>
      <c r="I112" s="15" t="str">
        <f aca="false">IF(In!$M$55&lt;&gt;"",In!$M$55,"")</f>
        <v/>
      </c>
      <c r="J112" s="15" t="str">
        <f aca="false">IF(In!$N$55&lt;&gt;"",In!$N$55,"")</f>
        <v/>
      </c>
      <c r="K112" s="15" t="str">
        <f aca="false">IF(In!$O$55&lt;&gt;"",In!$O$55,"")</f>
        <v/>
      </c>
      <c r="L112" s="15" t="str">
        <f aca="false">IF(In!$P$55&lt;&gt;"",In!$P$55,"")</f>
        <v/>
      </c>
      <c r="M112" s="15" t="str">
        <f aca="false">IF(In!$Q$55&lt;&gt;"",In!$Q$55,"")</f>
        <v/>
      </c>
    </row>
    <row r="113" customFormat="false" ht="15" hidden="false" customHeight="false" outlineLevel="0" collapsed="false">
      <c r="A113" s="4" t="s">
        <v>594</v>
      </c>
      <c r="B113" s="0" t="s">
        <v>707</v>
      </c>
      <c r="C113" s="0" t="s">
        <v>72</v>
      </c>
      <c r="D113" s="0" t="str">
        <f aca="false">IF(In!$H$55&lt;&gt;"",In!$H$55,"")</f>
        <v/>
      </c>
      <c r="E113" s="0" t="str">
        <f aca="false">IF(In!$I$55&lt;&gt;"",In!$I$55,"")</f>
        <v/>
      </c>
      <c r="F113" s="22" t="n">
        <f aca="false">IF(In!$J$55&lt;&gt;"",In!$J$55,"")</f>
        <v>5.5</v>
      </c>
      <c r="G113" s="22" t="n">
        <f aca="false">IF(In!$K$55&lt;&gt;"",In!$K$55,"")</f>
        <v>14.574</v>
      </c>
      <c r="H113" s="22" t="n">
        <f aca="false">IF(In!$L$55&lt;&gt;"",In!$L$55,"")</f>
        <v>16.548</v>
      </c>
      <c r="I113" s="0" t="str">
        <f aca="false">IF(In!$M$55&lt;&gt;"",In!$M$55,"")</f>
        <v/>
      </c>
      <c r="J113" s="0" t="str">
        <f aca="false">IF(In!$N$55&lt;&gt;"",In!$N$55,"")</f>
        <v/>
      </c>
      <c r="K113" s="0" t="str">
        <f aca="false">IF(In!$O$55&lt;&gt;"",In!$O$55,"")</f>
        <v/>
      </c>
      <c r="L113" s="0" t="str">
        <f aca="false">IF(In!$P$55&lt;&gt;"",In!$P$55,"")</f>
        <v/>
      </c>
      <c r="M113" s="0" t="str">
        <f aca="false">IF(In!$Q$55&lt;&gt;"",In!$Q$55,"")</f>
        <v/>
      </c>
    </row>
    <row r="114" customFormat="false" ht="15" hidden="false" customHeight="false" outlineLevel="0" collapsed="false">
      <c r="A114" s="4" t="s">
        <v>596</v>
      </c>
      <c r="B114" s="0" t="s">
        <v>708</v>
      </c>
      <c r="C114" s="0" t="s">
        <v>72</v>
      </c>
      <c r="D114" s="0" t="str">
        <f aca="false">IF(D113&lt;&gt;"",D113,"")</f>
        <v/>
      </c>
      <c r="E114" s="0" t="str">
        <f aca="false">IF(E113&lt;&gt;"",E113,D114)</f>
        <v/>
      </c>
      <c r="F114" s="22" t="n">
        <f aca="false">IF(F113&lt;&gt;"",F113,E114)</f>
        <v>5.5</v>
      </c>
      <c r="G114" s="22" t="n">
        <f aca="false">IF(G113&lt;&gt;"",G113,F114)</f>
        <v>14.574</v>
      </c>
      <c r="H114" s="22" t="n">
        <f aca="false">IF(H113&lt;&gt;"",H113,G114)</f>
        <v>16.548</v>
      </c>
      <c r="I114" s="22" t="n">
        <f aca="false">IF(I113&lt;&gt;"",I113,H114)</f>
        <v>16.548</v>
      </c>
      <c r="J114" s="22" t="n">
        <f aca="false">IF(J113&lt;&gt;"",J113,I114)</f>
        <v>16.548</v>
      </c>
      <c r="K114" s="22" t="n">
        <f aca="false">IF(K113&lt;&gt;"",K113,J114)</f>
        <v>16.548</v>
      </c>
      <c r="L114" s="22" t="n">
        <f aca="false">IF(L113&lt;&gt;"",L113,K114)</f>
        <v>16.548</v>
      </c>
      <c r="M114" s="22" t="n">
        <f aca="false">IF(M113&lt;&gt;"",M113,L114)</f>
        <v>16.548</v>
      </c>
    </row>
    <row r="115" customFormat="false" ht="15" hidden="false" customHeight="false" outlineLevel="0" collapsed="false">
      <c r="A115" s="4" t="s">
        <v>598</v>
      </c>
      <c r="B115" s="0" t="s">
        <v>709</v>
      </c>
      <c r="C115" s="4" t="s">
        <v>44</v>
      </c>
      <c r="D115" s="0" t="str">
        <f aca="false">IF(D113&lt;&gt;"",2023,"")</f>
        <v/>
      </c>
      <c r="E115" s="0" t="str">
        <f aca="false">IF(E113&lt;&gt;"",2024,D115)</f>
        <v/>
      </c>
      <c r="F115" s="0" t="n">
        <f aca="false">IF(F113&lt;&gt;"",2025,E115)</f>
        <v>2025</v>
      </c>
      <c r="G115" s="0" t="n">
        <f aca="false">IF(G113&lt;&gt;"",2026,F115)</f>
        <v>2026</v>
      </c>
      <c r="H115" s="0" t="n">
        <f aca="false">IF(H113&lt;&gt;"",2027,G115)</f>
        <v>2027</v>
      </c>
      <c r="I115" s="0" t="n">
        <f aca="false">IF(I113&lt;&gt;"",2028,H115)</f>
        <v>2027</v>
      </c>
      <c r="J115" s="0" t="n">
        <f aca="false">IF(J113&lt;&gt;"",2029,I115)</f>
        <v>2027</v>
      </c>
      <c r="K115" s="0" t="n">
        <f aca="false">IF(K113&lt;&gt;"",2030,J115)</f>
        <v>2027</v>
      </c>
      <c r="L115" s="0" t="n">
        <f aca="false">IF(L113&lt;&gt;"",2031,K115)</f>
        <v>2027</v>
      </c>
      <c r="M115" s="0" t="n">
        <f aca="false">IF(M113&lt;&gt;"",2032,L115)</f>
        <v>2027</v>
      </c>
    </row>
    <row r="116" customFormat="false" ht="15" hidden="false" customHeight="false" outlineLevel="0" collapsed="false">
      <c r="A116" s="4" t="s">
        <v>600</v>
      </c>
      <c r="B116" s="0" t="s">
        <v>710</v>
      </c>
      <c r="C116" s="0" t="s">
        <v>72</v>
      </c>
      <c r="D116" s="22" t="n">
        <f aca="false">IF(D113&lt;&gt;"",D113,E116)</f>
        <v>5.5</v>
      </c>
      <c r="E116" s="22" t="n">
        <f aca="false">IF(E113&lt;&gt;"",E113,F116)</f>
        <v>5.5</v>
      </c>
      <c r="F116" s="22" t="n">
        <f aca="false">IF(F113&lt;&gt;"",F113,G116)</f>
        <v>5.5</v>
      </c>
      <c r="G116" s="22" t="n">
        <f aca="false">IF(G113&lt;&gt;"",G113,H116)</f>
        <v>14.574</v>
      </c>
      <c r="H116" s="22" t="n">
        <f aca="false">IF(H113&lt;&gt;"",H113,I116)</f>
        <v>16.548</v>
      </c>
      <c r="I116" s="0" t="str">
        <f aca="false">IF(I113&lt;&gt;"",I113,J116)</f>
        <v/>
      </c>
      <c r="J116" s="0" t="str">
        <f aca="false">IF(J113&lt;&gt;"",J113,K116)</f>
        <v/>
      </c>
      <c r="K116" s="0" t="str">
        <f aca="false">IF(K113&lt;&gt;"",K113,L116)</f>
        <v/>
      </c>
      <c r="L116" s="0" t="str">
        <f aca="false">IF(L113&lt;&gt;"",L113,M116)</f>
        <v/>
      </c>
      <c r="M116" s="0" t="str">
        <f aca="false">IF(M113&lt;&gt;"",M113,"")</f>
        <v/>
      </c>
    </row>
    <row r="117" customFormat="false" ht="15" hidden="false" customHeight="false" outlineLevel="0" collapsed="false">
      <c r="A117" s="4" t="s">
        <v>602</v>
      </c>
      <c r="B117" s="0" t="s">
        <v>711</v>
      </c>
      <c r="C117" s="4" t="s">
        <v>44</v>
      </c>
      <c r="D117" s="0" t="n">
        <f aca="false">IF(D113&lt;&gt;"",2023,E117)</f>
        <v>2025</v>
      </c>
      <c r="E117" s="0" t="n">
        <f aca="false">IF(E113&lt;&gt;"",2024,F117)</f>
        <v>2025</v>
      </c>
      <c r="F117" s="0" t="n">
        <f aca="false">IF(F113&lt;&gt;"",2025,G117)</f>
        <v>2025</v>
      </c>
      <c r="G117" s="0" t="n">
        <f aca="false">IF(G113&lt;&gt;"",2026,H117)</f>
        <v>2026</v>
      </c>
      <c r="H117" s="0" t="n">
        <f aca="false">IF(H113&lt;&gt;"",2027,I117)</f>
        <v>2027</v>
      </c>
      <c r="I117" s="0" t="str">
        <f aca="false">IF(I113&lt;&gt;"",2028,J117)</f>
        <v/>
      </c>
      <c r="J117" s="0" t="str">
        <f aca="false">IF(J113&lt;&gt;"",2029,K117)</f>
        <v/>
      </c>
      <c r="K117" s="0" t="str">
        <f aca="false">IF(K113&lt;&gt;"",2030,L117)</f>
        <v/>
      </c>
      <c r="L117" s="0" t="str">
        <f aca="false">IF(L113&lt;&gt;"",2031,M117)</f>
        <v/>
      </c>
      <c r="M117" s="0" t="str">
        <f aca="false">IF(M113&lt;&gt;"",2032,"")</f>
        <v/>
      </c>
    </row>
    <row r="118" customFormat="false" ht="17.15" hidden="false" customHeight="false" outlineLevel="0" collapsed="false">
      <c r="A118" s="4" t="s">
        <v>604</v>
      </c>
      <c r="B118" s="0" t="s">
        <v>712</v>
      </c>
      <c r="C118" s="0" t="s">
        <v>72</v>
      </c>
      <c r="D118" s="23" t="str">
        <f aca="false">IF(D113&lt;&gt;"",D113,IF(AND(D114&lt;&gt;"",D116&lt;&gt;""),D114+(D116-D114)*(2023-D115)/(D117-D115),IF(D114&lt;&gt;"",D114,"")))</f>
        <v/>
      </c>
      <c r="E118" s="23" t="str">
        <f aca="false">IF(E113&lt;&gt;"",E113,IF(AND(E114&lt;&gt;"",E116&lt;&gt;""),E114+(E116-E114)*(2024-E115)/(E117-E115),IF(E114&lt;&gt;"",E114,"")))</f>
        <v/>
      </c>
      <c r="F118" s="23" t="n">
        <f aca="false">IF(F113&lt;&gt;"",F113,IF(AND(F114&lt;&gt;"",F116&lt;&gt;""),F114+(F116-F114)*(2025-F115)/(F117-F115),IF(F114&lt;&gt;"",F114,"")))</f>
        <v>5.5</v>
      </c>
      <c r="G118" s="23" t="n">
        <f aca="false">IF(G113&lt;&gt;"",G113,IF(AND(G114&lt;&gt;"",G116&lt;&gt;""),G114+(G116-G114)*(2026-G115)/(G117-G115),IF(G114&lt;&gt;"",G114,"")))</f>
        <v>14.574</v>
      </c>
      <c r="H118" s="23" t="n">
        <f aca="false">IF(H113&lt;&gt;"",H113,IF(AND(H114&lt;&gt;"",H116&lt;&gt;""),H114+(H116-H114)*(2027-H115)/(H117-H115),IF(H114&lt;&gt;"",H114,"")))</f>
        <v>16.548</v>
      </c>
      <c r="I118" s="23" t="n">
        <f aca="false">IF(I113&lt;&gt;"",I113,IF(AND(I114&lt;&gt;"",I116&lt;&gt;""),I114+(I116-I114)*(2028-I115)/(I117-I115),IF(I114&lt;&gt;"",I114,"")))</f>
        <v>16.548</v>
      </c>
      <c r="J118" s="23" t="n">
        <f aca="false">IF(J113&lt;&gt;"",J113,IF(AND(J114&lt;&gt;"",J116&lt;&gt;""),J114+(J116-J114)*(2029-J115)/(J117-J115),IF(J114&lt;&gt;"",J114,"")))</f>
        <v>16.548</v>
      </c>
      <c r="K118" s="23" t="n">
        <f aca="false">IF(K113&lt;&gt;"",K113,IF(AND(K114&lt;&gt;"",K116&lt;&gt;""),K114+(K116-K114)*(2030-K115)/(K117-K115),IF(K114&lt;&gt;"",K114,"")))</f>
        <v>16.548</v>
      </c>
      <c r="L118" s="23" t="n">
        <f aca="false">IF(L113&lt;&gt;"",L113,IF(AND(L114&lt;&gt;"",L116&lt;&gt;""),L114+(L116-L114)*(2031-L115)/(L117-L115),IF(L114&lt;&gt;"",L114,"")))</f>
        <v>16.548</v>
      </c>
      <c r="M118" s="23" t="n">
        <f aca="false">IF(M113&lt;&gt;"",M113,IF(AND(M114&lt;&gt;"",M116&lt;&gt;""),M114+(M116-M114)*(2032-M115)/(M117-M115),IF(M114&lt;&gt;"",M114,"")))</f>
        <v>16.548</v>
      </c>
    </row>
    <row r="119" customFormat="false" ht="15" hidden="false" customHeight="false" outlineLevel="0" collapsed="false">
      <c r="A119" s="4" t="s">
        <v>606</v>
      </c>
      <c r="B119" s="0" t="s">
        <v>713</v>
      </c>
      <c r="C119" s="0" t="s">
        <v>32</v>
      </c>
      <c r="D119" s="0" t="n">
        <f aca="false">IF(In!$H$55&lt;&gt;"",1,IF(D113&lt;&gt;"",2,IF(AND(D114&lt;&gt;"",D116&lt;&gt;""),3,IF(D114&lt;&gt;"",4,0))))</f>
        <v>0</v>
      </c>
      <c r="E119" s="0" t="n">
        <f aca="false">IF(In!$I$55&lt;&gt;"",1,IF(E113&lt;&gt;"",2,IF(AND(E114&lt;&gt;"",E116&lt;&gt;""),3,IF(E114&lt;&gt;"",4,0))))</f>
        <v>0</v>
      </c>
      <c r="F119" s="0" t="n">
        <f aca="false">IF(In!$J$55&lt;&gt;"",1,IF(F113&lt;&gt;"",2,IF(AND(F114&lt;&gt;"",F116&lt;&gt;""),3,IF(F114&lt;&gt;"",4,0))))</f>
        <v>1</v>
      </c>
      <c r="G119" s="0" t="n">
        <f aca="false">IF(In!$K$55&lt;&gt;"",1,IF(G113&lt;&gt;"",2,IF(AND(G114&lt;&gt;"",G116&lt;&gt;""),3,IF(G114&lt;&gt;"",4,0))))</f>
        <v>1</v>
      </c>
      <c r="H119" s="0" t="n">
        <f aca="false">IF(In!$L$55&lt;&gt;"",1,IF(H113&lt;&gt;"",2,IF(AND(H114&lt;&gt;"",H116&lt;&gt;""),3,IF(H114&lt;&gt;"",4,0))))</f>
        <v>1</v>
      </c>
      <c r="I119" s="0" t="n">
        <f aca="false">IF(In!$M$55&lt;&gt;"",1,IF(I113&lt;&gt;"",2,IF(AND(I114&lt;&gt;"",I116&lt;&gt;""),3,IF(I114&lt;&gt;"",4,0))))</f>
        <v>4</v>
      </c>
      <c r="J119" s="0" t="n">
        <f aca="false">IF(In!$N$55&lt;&gt;"",1,IF(J113&lt;&gt;"",2,IF(AND(J114&lt;&gt;"",J116&lt;&gt;""),3,IF(J114&lt;&gt;"",4,0))))</f>
        <v>4</v>
      </c>
      <c r="K119" s="0" t="n">
        <f aca="false">IF(In!$O$55&lt;&gt;"",1,IF(K113&lt;&gt;"",2,IF(AND(K114&lt;&gt;"",K116&lt;&gt;""),3,IF(K114&lt;&gt;"",4,0))))</f>
        <v>4</v>
      </c>
      <c r="L119" s="0" t="n">
        <f aca="false">IF(In!$P$55&lt;&gt;"",1,IF(L113&lt;&gt;"",2,IF(AND(L114&lt;&gt;"",L116&lt;&gt;""),3,IF(L114&lt;&gt;"",4,0))))</f>
        <v>4</v>
      </c>
      <c r="M119" s="0" t="n">
        <f aca="false">IF(In!$Q$55&lt;&gt;"",1,IF(M113&lt;&gt;"",2,IF(AND(M114&lt;&gt;"",M116&lt;&gt;""),3,IF(M114&lt;&gt;"",4,0))))</f>
        <v>4</v>
      </c>
    </row>
    <row r="120" customFormat="false" ht="17.15" hidden="false" customHeight="false" outlineLevel="0" collapsed="false">
      <c r="A120" s="4" t="s">
        <v>608</v>
      </c>
      <c r="B120" s="0" t="s">
        <v>714</v>
      </c>
      <c r="C120" s="0" t="s">
        <v>111</v>
      </c>
      <c r="D120" s="24" t="str">
        <f aca="false">IF(D118="","",IF(In!$C$55="設施",D118/1000,D118/1000/D$13))</f>
        <v/>
      </c>
      <c r="E120" s="24" t="str">
        <f aca="false">IF(E118="","",IF(In!$C$55="設施",E118/1000,E118/1000/E$13))</f>
        <v/>
      </c>
      <c r="F120" s="24" t="n">
        <f aca="false">IF(F118="","",IF(In!$C$55="設施",F118/1000,F118/1000/F$13))</f>
        <v>0.00597956077408132</v>
      </c>
      <c r="G120" s="24" t="n">
        <f aca="false">IF(G118="","",IF(In!$C$55="設施",G118/1000,G118/1000/G$13))</f>
        <v>0.0158447488584475</v>
      </c>
      <c r="H120" s="24" t="n">
        <f aca="false">IF(H118="","",IF(In!$C$55="設施",H118/1000,H118/1000/H$13))</f>
        <v>0.0179908675799087</v>
      </c>
      <c r="I120" s="24" t="n">
        <f aca="false">IF(I118="","",IF(In!$C$55="設施",I118/1000,I118/1000/I$13))</f>
        <v>0.0179908675799087</v>
      </c>
      <c r="J120" s="24" t="n">
        <f aca="false">IF(J118="","",IF(In!$C$55="設施",J118/1000,J118/1000/J$13))</f>
        <v>0.0179908675799087</v>
      </c>
      <c r="K120" s="24" t="n">
        <f aca="false">IF(K118="","",IF(In!$C$55="設施",K118/1000,K118/1000/K$13))</f>
        <v>0.0179908675799087</v>
      </c>
      <c r="L120" s="24" t="n">
        <f aca="false">IF(L118="","",IF(In!$C$55="設施",L118/1000,L118/1000/L$13))</f>
        <v>0.0179908675799087</v>
      </c>
      <c r="M120" s="24" t="n">
        <f aca="false">IF(M118="","",IF(In!$C$55="設施",M118/1000,M118/1000/M$13))</f>
        <v>0.0179908675799087</v>
      </c>
    </row>
    <row r="121" customFormat="false" ht="17.15" hidden="false" customHeight="false" outlineLevel="0" collapsed="false">
      <c r="A121" s="4" t="s">
        <v>610</v>
      </c>
      <c r="B121" s="0" t="s">
        <v>715</v>
      </c>
      <c r="C121" s="0" t="s">
        <v>111</v>
      </c>
      <c r="D121" s="25" t="str">
        <f aca="false">IF(D118="","",IF(In!$C$55="未說明",D118/1000,D120))</f>
        <v/>
      </c>
      <c r="E121" s="25" t="str">
        <f aca="false">IF(E118="","",IF(In!$C$55="未說明",E118/1000,E120))</f>
        <v/>
      </c>
      <c r="F121" s="25" t="n">
        <f aca="false">IF(F118="","",IF(In!$C$55="未說明",F118/1000,F120))</f>
        <v>0.00597956077408132</v>
      </c>
      <c r="G121" s="25" t="n">
        <f aca="false">IF(G118="","",IF(In!$C$55="未說明",G118/1000,G120))</f>
        <v>0.0158447488584475</v>
      </c>
      <c r="H121" s="25" t="n">
        <f aca="false">IF(H118="","",IF(In!$C$55="未說明",H118/1000,H120))</f>
        <v>0.0179908675799087</v>
      </c>
      <c r="I121" s="25" t="n">
        <f aca="false">IF(I118="","",IF(In!$C$55="未說明",I118/1000,I120))</f>
        <v>0.0179908675799087</v>
      </c>
      <c r="J121" s="25" t="n">
        <f aca="false">IF(J118="","",IF(In!$C$55="未說明",J118/1000,J120))</f>
        <v>0.0179908675799087</v>
      </c>
      <c r="K121" s="25" t="n">
        <f aca="false">IF(K118="","",IF(In!$C$55="未說明",K118/1000,K120))</f>
        <v>0.0179908675799087</v>
      </c>
      <c r="L121" s="25" t="n">
        <f aca="false">IF(L118="","",IF(In!$C$55="未說明",L118/1000,L120))</f>
        <v>0.0179908675799087</v>
      </c>
      <c r="M121" s="25" t="n">
        <f aca="false">IF(M118="","",IF(In!$C$55="未說明",M118/1000,M120))</f>
        <v>0.0179908675799087</v>
      </c>
    </row>
    <row r="122" customFormat="false" ht="17.15" hidden="false" customHeight="false" outlineLevel="0" collapsed="false">
      <c r="A122" s="4" t="s">
        <v>612</v>
      </c>
      <c r="B122" s="0" t="s">
        <v>716</v>
      </c>
      <c r="C122" s="0" t="s">
        <v>111</v>
      </c>
      <c r="D122" s="0" t="str">
        <f aca="false">""</f>
        <v/>
      </c>
      <c r="E122" s="25" t="str">
        <f aca="false">IF(AND(D120&lt;&gt;"",E120&lt;&gt;""),(D120+E120)/2,"")</f>
        <v/>
      </c>
      <c r="F122" s="25" t="str">
        <f aca="false">IF(AND(E120&lt;&gt;"",F120&lt;&gt;""),(E120+F120)/2,"")</f>
        <v/>
      </c>
      <c r="G122" s="25" t="n">
        <f aca="false">IF(AND(F120&lt;&gt;"",G120&lt;&gt;""),(F120+G120)/2,"")</f>
        <v>0.0109121548162644</v>
      </c>
      <c r="H122" s="25" t="n">
        <f aca="false">IF(AND(G120&lt;&gt;"",H120&lt;&gt;""),(G120+H120)/2,"")</f>
        <v>0.0169178082191781</v>
      </c>
      <c r="I122" s="25" t="n">
        <f aca="false">IF(AND(H120&lt;&gt;"",I120&lt;&gt;""),(H120+I120)/2,"")</f>
        <v>0.0179908675799087</v>
      </c>
      <c r="J122" s="25" t="n">
        <f aca="false">IF(AND(I120&lt;&gt;"",J120&lt;&gt;""),(I120+J120)/2,"")</f>
        <v>0.0179908675799087</v>
      </c>
      <c r="K122" s="25" t="n">
        <f aca="false">IF(AND(J120&lt;&gt;"",K120&lt;&gt;""),(J120+K120)/2,"")</f>
        <v>0.0179908675799087</v>
      </c>
      <c r="L122" s="25" t="n">
        <f aca="false">IF(AND(K120&lt;&gt;"",L120&lt;&gt;""),(K120+L120)/2,"")</f>
        <v>0.0179908675799087</v>
      </c>
      <c r="M122" s="25" t="n">
        <f aca="false">IF(AND(L120&lt;&gt;"",M120&lt;&gt;""),(L120+M120)/2,"")</f>
        <v>0.0179908675799087</v>
      </c>
    </row>
    <row r="123" customFormat="false" ht="17.15" hidden="false" customHeight="false" outlineLevel="0" collapsed="false">
      <c r="A123" s="4" t="s">
        <v>614</v>
      </c>
      <c r="B123" s="0" t="s">
        <v>717</v>
      </c>
      <c r="C123" s="0" t="s">
        <v>111</v>
      </c>
      <c r="D123" s="0" t="n">
        <v>0</v>
      </c>
      <c r="E123" s="25" t="n">
        <f aca="false">IF(AND(D120&lt;&gt;"",E120&lt;&gt;""),E120-D120,0)</f>
        <v>0</v>
      </c>
      <c r="F123" s="25" t="n">
        <f aca="false">IF(AND(E120&lt;&gt;"",F120&lt;&gt;""),F120-E120,0)</f>
        <v>0</v>
      </c>
      <c r="G123" s="25" t="n">
        <f aca="false">IF(AND(F120&lt;&gt;"",G120&lt;&gt;""),G120-F120,0)</f>
        <v>0.00986518808436617</v>
      </c>
      <c r="H123" s="25" t="n">
        <f aca="false">IF(AND(G120&lt;&gt;"",H120&lt;&gt;""),H120-G120,0)</f>
        <v>0.00214611872146119</v>
      </c>
      <c r="I123" s="25" t="n">
        <f aca="false">IF(AND(H120&lt;&gt;"",I120&lt;&gt;""),I120-H120,0)</f>
        <v>0</v>
      </c>
      <c r="J123" s="25" t="n">
        <f aca="false">IF(AND(I120&lt;&gt;"",J120&lt;&gt;""),J120-I120,0)</f>
        <v>0</v>
      </c>
      <c r="K123" s="25" t="n">
        <f aca="false">IF(AND(J120&lt;&gt;"",K120&lt;&gt;""),K120-J120,0)</f>
        <v>0</v>
      </c>
      <c r="L123" s="25" t="n">
        <f aca="false">IF(AND(K120&lt;&gt;"",L120&lt;&gt;""),L120-K120,0)</f>
        <v>0</v>
      </c>
      <c r="M123" s="25" t="n">
        <f aca="false">IF(AND(L120&lt;&gt;"",M120&lt;&gt;""),M120-L120,0)</f>
        <v>0</v>
      </c>
    </row>
    <row r="124" customFormat="false" ht="17.15" hidden="false" customHeight="false" outlineLevel="0" collapsed="false">
      <c r="A124" s="4" t="s">
        <v>616</v>
      </c>
      <c r="B124" s="0" t="s">
        <v>718</v>
      </c>
      <c r="C124" s="0" t="s">
        <v>111</v>
      </c>
      <c r="D124" s="25" t="n">
        <f aca="false">IF(D120&lt;&gt;"",D120,0)</f>
        <v>0</v>
      </c>
      <c r="E124" s="25" t="n">
        <f aca="false">IF(AND(D120="",E120&lt;&gt;""),E120,0)</f>
        <v>0</v>
      </c>
      <c r="F124" s="25" t="n">
        <f aca="false">IF(AND(E120="",F120&lt;&gt;""),F120,0)</f>
        <v>0.00597956077408132</v>
      </c>
      <c r="G124" s="25" t="n">
        <f aca="false">IF(AND(F120="",G120&lt;&gt;""),G120,0)</f>
        <v>0</v>
      </c>
      <c r="H124" s="25" t="n">
        <f aca="false">IF(AND(G120="",H120&lt;&gt;""),H120,0)</f>
        <v>0</v>
      </c>
      <c r="I124" s="25" t="n">
        <f aca="false">IF(AND(H120="",I120&lt;&gt;""),I120,0)</f>
        <v>0</v>
      </c>
      <c r="J124" s="25" t="n">
        <f aca="false">IF(AND(I120="",J120&lt;&gt;""),J120,0)</f>
        <v>0</v>
      </c>
      <c r="K124" s="25" t="n">
        <f aca="false">IF(AND(J120="",K120&lt;&gt;""),K120,0)</f>
        <v>0</v>
      </c>
      <c r="L124" s="25" t="n">
        <f aca="false">IF(AND(K120="",L120&lt;&gt;""),L120,0)</f>
        <v>0</v>
      </c>
      <c r="M124" s="25" t="n">
        <f aca="false">IF(AND(L120="",M120&lt;&gt;""),M120,0)</f>
        <v>0</v>
      </c>
    </row>
    <row r="125" customFormat="false" ht="17.15" hidden="false" customHeight="false" outlineLevel="0" collapsed="false">
      <c r="A125" s="4" t="s">
        <v>618</v>
      </c>
      <c r="B125" s="0" t="s">
        <v>719</v>
      </c>
      <c r="C125" s="0" t="s">
        <v>48</v>
      </c>
      <c r="D125" s="19" t="n">
        <f aca="false">nnv_wyfi</f>
        <v>0</v>
      </c>
      <c r="E125" s="19" t="n">
        <f aca="false">nnv_wyfi</f>
        <v>0</v>
      </c>
      <c r="F125" s="19" t="n">
        <f aca="false">nnv_wyfi</f>
        <v>0</v>
      </c>
      <c r="G125" s="19" t="n">
        <f aca="false">nnv_wyfi</f>
        <v>0</v>
      </c>
      <c r="H125" s="19" t="n">
        <f aca="false">nnv_wyfi</f>
        <v>0</v>
      </c>
      <c r="I125" s="19" t="n">
        <f aca="false">nnv_wyfi</f>
        <v>0</v>
      </c>
      <c r="J125" s="19" t="n">
        <f aca="false">nnv_wyfi</f>
        <v>0</v>
      </c>
      <c r="K125" s="19" t="n">
        <f aca="false">nnv_wyfi</f>
        <v>0</v>
      </c>
      <c r="L125" s="19" t="n">
        <f aca="false">nnv_wyfi</f>
        <v>0</v>
      </c>
      <c r="M125" s="19" t="n">
        <f aca="false">nnv_wyfi</f>
        <v>0</v>
      </c>
    </row>
    <row r="127" customFormat="false" ht="17.15" hidden="false" customHeight="false" outlineLevel="0" collapsed="false">
      <c r="A127" s="7" t="s">
        <v>322</v>
      </c>
      <c r="B127" s="16" t="s">
        <v>720</v>
      </c>
      <c r="N127" s="16" t="s">
        <v>721</v>
      </c>
    </row>
    <row r="128" customFormat="false" ht="17.15" hidden="false" customHeight="false" outlineLevel="0" collapsed="false">
      <c r="A128" s="4" t="s">
        <v>592</v>
      </c>
      <c r="B128" s="0" t="s">
        <v>722</v>
      </c>
      <c r="C128" s="0" t="s">
        <v>72</v>
      </c>
      <c r="D128" s="15" t="str">
        <f aca="false">IF(In!$H$56&lt;&gt;"",In!$H$56,"")</f>
        <v/>
      </c>
      <c r="E128" s="15" t="str">
        <f aca="false">IF(In!$I$56&lt;&gt;"",In!$I$56,"")</f>
        <v/>
      </c>
      <c r="F128" s="15" t="str">
        <f aca="false">IF(In!$J$56&lt;&gt;"",In!$J$56,"")</f>
        <v/>
      </c>
      <c r="G128" s="15" t="str">
        <f aca="false">IF(In!$K$56&lt;&gt;"",In!$K$56,"")</f>
        <v/>
      </c>
      <c r="H128" s="15" t="str">
        <f aca="false">IF(In!$L$56&lt;&gt;"",In!$L$56,"")</f>
        <v/>
      </c>
      <c r="I128" s="15" t="str">
        <f aca="false">IF(In!$M$56&lt;&gt;"",In!$M$56,"")</f>
        <v/>
      </c>
      <c r="J128" s="15" t="str">
        <f aca="false">IF(In!$N$56&lt;&gt;"",In!$N$56,"")</f>
        <v/>
      </c>
      <c r="K128" s="15" t="str">
        <f aca="false">IF(In!$O$56&lt;&gt;"",In!$O$56,"")</f>
        <v/>
      </c>
      <c r="L128" s="15" t="str">
        <f aca="false">IF(In!$P$56&lt;&gt;"",In!$P$56,"")</f>
        <v/>
      </c>
      <c r="M128" s="15" t="str">
        <f aca="false">IF(In!$Q$56&lt;&gt;"",In!$Q$56,"")</f>
        <v/>
      </c>
    </row>
    <row r="129" customFormat="false" ht="15" hidden="false" customHeight="false" outlineLevel="0" collapsed="false">
      <c r="A129" s="4" t="s">
        <v>594</v>
      </c>
      <c r="B129" s="0" t="s">
        <v>723</v>
      </c>
      <c r="C129" s="0" t="s">
        <v>72</v>
      </c>
      <c r="D129" s="0" t="str">
        <f aca="false">IF(In!$H$56&lt;&gt;"",In!$H$56,"")</f>
        <v/>
      </c>
      <c r="E129" s="0" t="str">
        <f aca="false">IF(In!$I$56&lt;&gt;"",In!$I$56,"")</f>
        <v/>
      </c>
      <c r="F129" s="0" t="str">
        <f aca="false">IF(In!$J$56&lt;&gt;"",In!$J$56,"")</f>
        <v/>
      </c>
      <c r="G129" s="0" t="str">
        <f aca="false">IF(In!$K$56&lt;&gt;"",In!$K$56,"")</f>
        <v/>
      </c>
      <c r="H129" s="0" t="str">
        <f aca="false">IF(In!$L$56&lt;&gt;"",In!$L$56,"")</f>
        <v/>
      </c>
      <c r="I129" s="0" t="str">
        <f aca="false">IF(In!$M$56&lt;&gt;"",In!$M$56,"")</f>
        <v/>
      </c>
      <c r="J129" s="0" t="str">
        <f aca="false">IF(In!$N$56&lt;&gt;"",In!$N$56,"")</f>
        <v/>
      </c>
      <c r="K129" s="0" t="str">
        <f aca="false">IF(In!$O$56&lt;&gt;"",In!$O$56,"")</f>
        <v/>
      </c>
      <c r="L129" s="0" t="str">
        <f aca="false">IF(In!$P$56&lt;&gt;"",In!$P$56,"")</f>
        <v/>
      </c>
      <c r="M129" s="0" t="str">
        <f aca="false">IF(In!$Q$56&lt;&gt;"",In!$Q$56,"")</f>
        <v/>
      </c>
    </row>
    <row r="130" customFormat="false" ht="15" hidden="false" customHeight="false" outlineLevel="0" collapsed="false">
      <c r="A130" s="4" t="s">
        <v>596</v>
      </c>
      <c r="B130" s="0" t="s">
        <v>724</v>
      </c>
      <c r="C130" s="0" t="s">
        <v>72</v>
      </c>
      <c r="D130" s="0" t="str">
        <f aca="false">IF(D129&lt;&gt;"",D129,"")</f>
        <v/>
      </c>
      <c r="E130" s="0" t="str">
        <f aca="false">IF(E129&lt;&gt;"",E129,D130)</f>
        <v/>
      </c>
      <c r="F130" s="0" t="str">
        <f aca="false">IF(F129&lt;&gt;"",F129,E130)</f>
        <v/>
      </c>
      <c r="G130" s="0" t="str">
        <f aca="false">IF(G129&lt;&gt;"",G129,F130)</f>
        <v/>
      </c>
      <c r="H130" s="0" t="str">
        <f aca="false">IF(H129&lt;&gt;"",H129,G130)</f>
        <v/>
      </c>
      <c r="I130" s="0" t="str">
        <f aca="false">IF(I129&lt;&gt;"",I129,H130)</f>
        <v/>
      </c>
      <c r="J130" s="0" t="str">
        <f aca="false">IF(J129&lt;&gt;"",J129,I130)</f>
        <v/>
      </c>
      <c r="K130" s="0" t="str">
        <f aca="false">IF(K129&lt;&gt;"",K129,J130)</f>
        <v/>
      </c>
      <c r="L130" s="0" t="str">
        <f aca="false">IF(L129&lt;&gt;"",L129,K130)</f>
        <v/>
      </c>
      <c r="M130" s="0" t="str">
        <f aca="false">IF(M129&lt;&gt;"",M129,L130)</f>
        <v/>
      </c>
    </row>
    <row r="131" customFormat="false" ht="15" hidden="false" customHeight="false" outlineLevel="0" collapsed="false">
      <c r="A131" s="4" t="s">
        <v>598</v>
      </c>
      <c r="B131" s="0" t="s">
        <v>725</v>
      </c>
      <c r="C131" s="4" t="s">
        <v>44</v>
      </c>
      <c r="D131" s="0" t="str">
        <f aca="false">IF(D129&lt;&gt;"",2023,"")</f>
        <v/>
      </c>
      <c r="E131" s="0" t="str">
        <f aca="false">IF(E129&lt;&gt;"",2024,D131)</f>
        <v/>
      </c>
      <c r="F131" s="0" t="str">
        <f aca="false">IF(F129&lt;&gt;"",2025,E131)</f>
        <v/>
      </c>
      <c r="G131" s="0" t="str">
        <f aca="false">IF(G129&lt;&gt;"",2026,F131)</f>
        <v/>
      </c>
      <c r="H131" s="0" t="str">
        <f aca="false">IF(H129&lt;&gt;"",2027,G131)</f>
        <v/>
      </c>
      <c r="I131" s="0" t="str">
        <f aca="false">IF(I129&lt;&gt;"",2028,H131)</f>
        <v/>
      </c>
      <c r="J131" s="0" t="str">
        <f aca="false">IF(J129&lt;&gt;"",2029,I131)</f>
        <v/>
      </c>
      <c r="K131" s="0" t="str">
        <f aca="false">IF(K129&lt;&gt;"",2030,J131)</f>
        <v/>
      </c>
      <c r="L131" s="0" t="str">
        <f aca="false">IF(L129&lt;&gt;"",2031,K131)</f>
        <v/>
      </c>
      <c r="M131" s="0" t="str">
        <f aca="false">IF(M129&lt;&gt;"",2032,L131)</f>
        <v/>
      </c>
    </row>
    <row r="132" customFormat="false" ht="15" hidden="false" customHeight="false" outlineLevel="0" collapsed="false">
      <c r="A132" s="4" t="s">
        <v>600</v>
      </c>
      <c r="B132" s="0" t="s">
        <v>726</v>
      </c>
      <c r="C132" s="0" t="s">
        <v>72</v>
      </c>
      <c r="D132" s="0" t="str">
        <f aca="false">IF(D129&lt;&gt;"",D129,E132)</f>
        <v/>
      </c>
      <c r="E132" s="0" t="str">
        <f aca="false">IF(E129&lt;&gt;"",E129,F132)</f>
        <v/>
      </c>
      <c r="F132" s="0" t="str">
        <f aca="false">IF(F129&lt;&gt;"",F129,G132)</f>
        <v/>
      </c>
      <c r="G132" s="0" t="str">
        <f aca="false">IF(G129&lt;&gt;"",G129,H132)</f>
        <v/>
      </c>
      <c r="H132" s="0" t="str">
        <f aca="false">IF(H129&lt;&gt;"",H129,I132)</f>
        <v/>
      </c>
      <c r="I132" s="0" t="str">
        <f aca="false">IF(I129&lt;&gt;"",I129,J132)</f>
        <v/>
      </c>
      <c r="J132" s="0" t="str">
        <f aca="false">IF(J129&lt;&gt;"",J129,K132)</f>
        <v/>
      </c>
      <c r="K132" s="0" t="str">
        <f aca="false">IF(K129&lt;&gt;"",K129,L132)</f>
        <v/>
      </c>
      <c r="L132" s="0" t="str">
        <f aca="false">IF(L129&lt;&gt;"",L129,M132)</f>
        <v/>
      </c>
      <c r="M132" s="0" t="str">
        <f aca="false">IF(M129&lt;&gt;"",M129,"")</f>
        <v/>
      </c>
    </row>
    <row r="133" customFormat="false" ht="15" hidden="false" customHeight="false" outlineLevel="0" collapsed="false">
      <c r="A133" s="4" t="s">
        <v>602</v>
      </c>
      <c r="B133" s="0" t="s">
        <v>727</v>
      </c>
      <c r="C133" s="4" t="s">
        <v>44</v>
      </c>
      <c r="D133" s="0" t="str">
        <f aca="false">IF(D129&lt;&gt;"",2023,E133)</f>
        <v/>
      </c>
      <c r="E133" s="0" t="str">
        <f aca="false">IF(E129&lt;&gt;"",2024,F133)</f>
        <v/>
      </c>
      <c r="F133" s="0" t="str">
        <f aca="false">IF(F129&lt;&gt;"",2025,G133)</f>
        <v/>
      </c>
      <c r="G133" s="0" t="str">
        <f aca="false">IF(G129&lt;&gt;"",2026,H133)</f>
        <v/>
      </c>
      <c r="H133" s="0" t="str">
        <f aca="false">IF(H129&lt;&gt;"",2027,I133)</f>
        <v/>
      </c>
      <c r="I133" s="0" t="str">
        <f aca="false">IF(I129&lt;&gt;"",2028,J133)</f>
        <v/>
      </c>
      <c r="J133" s="0" t="str">
        <f aca="false">IF(J129&lt;&gt;"",2029,K133)</f>
        <v/>
      </c>
      <c r="K133" s="0" t="str">
        <f aca="false">IF(K129&lt;&gt;"",2030,L133)</f>
        <v/>
      </c>
      <c r="L133" s="0" t="str">
        <f aca="false">IF(L129&lt;&gt;"",2031,M133)</f>
        <v/>
      </c>
      <c r="M133" s="0" t="str">
        <f aca="false">IF(M129&lt;&gt;"",2032,"")</f>
        <v/>
      </c>
    </row>
    <row r="134" customFormat="false" ht="17.15" hidden="false" customHeight="false" outlineLevel="0" collapsed="false">
      <c r="A134" s="4" t="s">
        <v>604</v>
      </c>
      <c r="B134" s="0" t="s">
        <v>728</v>
      </c>
      <c r="C134" s="0" t="s">
        <v>72</v>
      </c>
      <c r="D134" s="23" t="str">
        <f aca="false">IF(D129&lt;&gt;"",D129,IF(AND(D130&lt;&gt;"",D132&lt;&gt;""),D130+(D132-D130)*(2023-D131)/(D133-D131),IF(D130&lt;&gt;"",D130,"")))</f>
        <v/>
      </c>
      <c r="E134" s="23" t="str">
        <f aca="false">IF(E129&lt;&gt;"",E129,IF(AND(E130&lt;&gt;"",E132&lt;&gt;""),E130+(E132-E130)*(2024-E131)/(E133-E131),IF(E130&lt;&gt;"",E130,"")))</f>
        <v/>
      </c>
      <c r="F134" s="23" t="str">
        <f aca="false">IF(F129&lt;&gt;"",F129,IF(AND(F130&lt;&gt;"",F132&lt;&gt;""),F130+(F132-F130)*(2025-F131)/(F133-F131),IF(F130&lt;&gt;"",F130,"")))</f>
        <v/>
      </c>
      <c r="G134" s="23" t="str">
        <f aca="false">IF(G129&lt;&gt;"",G129,IF(AND(G130&lt;&gt;"",G132&lt;&gt;""),G130+(G132-G130)*(2026-G131)/(G133-G131),IF(G130&lt;&gt;"",G130,"")))</f>
        <v/>
      </c>
      <c r="H134" s="23" t="str">
        <f aca="false">IF(H129&lt;&gt;"",H129,IF(AND(H130&lt;&gt;"",H132&lt;&gt;""),H130+(H132-H130)*(2027-H131)/(H133-H131),IF(H130&lt;&gt;"",H130,"")))</f>
        <v/>
      </c>
      <c r="I134" s="23" t="str">
        <f aca="false">IF(I129&lt;&gt;"",I129,IF(AND(I130&lt;&gt;"",I132&lt;&gt;""),I130+(I132-I130)*(2028-I131)/(I133-I131),IF(I130&lt;&gt;"",I130,"")))</f>
        <v/>
      </c>
      <c r="J134" s="23" t="str">
        <f aca="false">IF(J129&lt;&gt;"",J129,IF(AND(J130&lt;&gt;"",J132&lt;&gt;""),J130+(J132-J130)*(2029-J131)/(J133-J131),IF(J130&lt;&gt;"",J130,"")))</f>
        <v/>
      </c>
      <c r="K134" s="23" t="str">
        <f aca="false">IF(K129&lt;&gt;"",K129,IF(AND(K130&lt;&gt;"",K132&lt;&gt;""),K130+(K132-K130)*(2030-K131)/(K133-K131),IF(K130&lt;&gt;"",K130,"")))</f>
        <v/>
      </c>
      <c r="L134" s="23" t="str">
        <f aca="false">IF(L129&lt;&gt;"",L129,IF(AND(L130&lt;&gt;"",L132&lt;&gt;""),L130+(L132-L130)*(2031-L131)/(L133-L131),IF(L130&lt;&gt;"",L130,"")))</f>
        <v/>
      </c>
      <c r="M134" s="23" t="str">
        <f aca="false">IF(M129&lt;&gt;"",M129,IF(AND(M130&lt;&gt;"",M132&lt;&gt;""),M130+(M132-M130)*(2032-M131)/(M133-M131),IF(M130&lt;&gt;"",M130,"")))</f>
        <v/>
      </c>
    </row>
    <row r="135" customFormat="false" ht="15" hidden="false" customHeight="false" outlineLevel="0" collapsed="false">
      <c r="A135" s="4" t="s">
        <v>606</v>
      </c>
      <c r="B135" s="0" t="s">
        <v>729</v>
      </c>
      <c r="C135" s="0" t="s">
        <v>32</v>
      </c>
      <c r="D135" s="0" t="n">
        <f aca="false">IF(In!$H$56&lt;&gt;"",1,IF(D129&lt;&gt;"",2,IF(AND(D130&lt;&gt;"",D132&lt;&gt;""),3,IF(D130&lt;&gt;"",4,0))))</f>
        <v>0</v>
      </c>
      <c r="E135" s="0" t="n">
        <f aca="false">IF(In!$I$56&lt;&gt;"",1,IF(E129&lt;&gt;"",2,IF(AND(E130&lt;&gt;"",E132&lt;&gt;""),3,IF(E130&lt;&gt;"",4,0))))</f>
        <v>0</v>
      </c>
      <c r="F135" s="0" t="n">
        <f aca="false">IF(In!$J$56&lt;&gt;"",1,IF(F129&lt;&gt;"",2,IF(AND(F130&lt;&gt;"",F132&lt;&gt;""),3,IF(F130&lt;&gt;"",4,0))))</f>
        <v>0</v>
      </c>
      <c r="G135" s="0" t="n">
        <f aca="false">IF(In!$K$56&lt;&gt;"",1,IF(G129&lt;&gt;"",2,IF(AND(G130&lt;&gt;"",G132&lt;&gt;""),3,IF(G130&lt;&gt;"",4,0))))</f>
        <v>0</v>
      </c>
      <c r="H135" s="0" t="n">
        <f aca="false">IF(In!$L$56&lt;&gt;"",1,IF(H129&lt;&gt;"",2,IF(AND(H130&lt;&gt;"",H132&lt;&gt;""),3,IF(H130&lt;&gt;"",4,0))))</f>
        <v>0</v>
      </c>
      <c r="I135" s="0" t="n">
        <f aca="false">IF(In!$M$56&lt;&gt;"",1,IF(I129&lt;&gt;"",2,IF(AND(I130&lt;&gt;"",I132&lt;&gt;""),3,IF(I130&lt;&gt;"",4,0))))</f>
        <v>0</v>
      </c>
      <c r="J135" s="0" t="n">
        <f aca="false">IF(In!$N$56&lt;&gt;"",1,IF(J129&lt;&gt;"",2,IF(AND(J130&lt;&gt;"",J132&lt;&gt;""),3,IF(J130&lt;&gt;"",4,0))))</f>
        <v>0</v>
      </c>
      <c r="K135" s="0" t="n">
        <f aca="false">IF(In!$O$56&lt;&gt;"",1,IF(K129&lt;&gt;"",2,IF(AND(K130&lt;&gt;"",K132&lt;&gt;""),3,IF(K130&lt;&gt;"",4,0))))</f>
        <v>0</v>
      </c>
      <c r="L135" s="0" t="n">
        <f aca="false">IF(In!$P$56&lt;&gt;"",1,IF(L129&lt;&gt;"",2,IF(AND(L130&lt;&gt;"",L132&lt;&gt;""),3,IF(L130&lt;&gt;"",4,0))))</f>
        <v>0</v>
      </c>
      <c r="M135" s="0" t="n">
        <f aca="false">IF(In!$Q$56&lt;&gt;"",1,IF(M129&lt;&gt;"",2,IF(AND(M130&lt;&gt;"",M132&lt;&gt;""),3,IF(M130&lt;&gt;"",4,0))))</f>
        <v>0</v>
      </c>
    </row>
    <row r="136" customFormat="false" ht="17.15" hidden="false" customHeight="false" outlineLevel="0" collapsed="false">
      <c r="A136" s="4" t="s">
        <v>608</v>
      </c>
      <c r="B136" s="0" t="s">
        <v>730</v>
      </c>
      <c r="C136" s="0" t="s">
        <v>111</v>
      </c>
      <c r="D136" s="24" t="str">
        <f aca="false">IF(D134="","",IF(In!$C$56="設施",D134/1000,D134/1000/D$13))</f>
        <v/>
      </c>
      <c r="E136" s="24" t="str">
        <f aca="false">IF(E134="","",IF(In!$C$56="設施",E134/1000,E134/1000/E$13))</f>
        <v/>
      </c>
      <c r="F136" s="24" t="str">
        <f aca="false">IF(F134="","",IF(In!$C$56="設施",F134/1000,F134/1000/F$13))</f>
        <v/>
      </c>
      <c r="G136" s="24" t="str">
        <f aca="false">IF(G134="","",IF(In!$C$56="設施",G134/1000,G134/1000/G$13))</f>
        <v/>
      </c>
      <c r="H136" s="24" t="str">
        <f aca="false">IF(H134="","",IF(In!$C$56="設施",H134/1000,H134/1000/H$13))</f>
        <v/>
      </c>
      <c r="I136" s="24" t="str">
        <f aca="false">IF(I134="","",IF(In!$C$56="設施",I134/1000,I134/1000/I$13))</f>
        <v/>
      </c>
      <c r="J136" s="24" t="str">
        <f aca="false">IF(J134="","",IF(In!$C$56="設施",J134/1000,J134/1000/J$13))</f>
        <v/>
      </c>
      <c r="K136" s="24" t="str">
        <f aca="false">IF(K134="","",IF(In!$C$56="設施",K134/1000,K134/1000/K$13))</f>
        <v/>
      </c>
      <c r="L136" s="24" t="str">
        <f aca="false">IF(L134="","",IF(In!$C$56="設施",L134/1000,L134/1000/L$13))</f>
        <v/>
      </c>
      <c r="M136" s="24" t="str">
        <f aca="false">IF(M134="","",IF(In!$C$56="設施",M134/1000,M134/1000/M$13))</f>
        <v/>
      </c>
    </row>
    <row r="137" customFormat="false" ht="17.15" hidden="false" customHeight="false" outlineLevel="0" collapsed="false">
      <c r="A137" s="4" t="s">
        <v>610</v>
      </c>
      <c r="B137" s="0" t="s">
        <v>731</v>
      </c>
      <c r="C137" s="0" t="s">
        <v>111</v>
      </c>
      <c r="D137" s="25" t="str">
        <f aca="false">IF(D134="","",IF(In!$C$56="未說明",D134/1000,D136))</f>
        <v/>
      </c>
      <c r="E137" s="25" t="str">
        <f aca="false">IF(E134="","",IF(In!$C$56="未說明",E134/1000,E136))</f>
        <v/>
      </c>
      <c r="F137" s="25" t="str">
        <f aca="false">IF(F134="","",IF(In!$C$56="未說明",F134/1000,F136))</f>
        <v/>
      </c>
      <c r="G137" s="25" t="str">
        <f aca="false">IF(G134="","",IF(In!$C$56="未說明",G134/1000,G136))</f>
        <v/>
      </c>
      <c r="H137" s="25" t="str">
        <f aca="false">IF(H134="","",IF(In!$C$56="未說明",H134/1000,H136))</f>
        <v/>
      </c>
      <c r="I137" s="25" t="str">
        <f aca="false">IF(I134="","",IF(In!$C$56="未說明",I134/1000,I136))</f>
        <v/>
      </c>
      <c r="J137" s="25" t="str">
        <f aca="false">IF(J134="","",IF(In!$C$56="未說明",J134/1000,J136))</f>
        <v/>
      </c>
      <c r="K137" s="25" t="str">
        <f aca="false">IF(K134="","",IF(In!$C$56="未說明",K134/1000,K136))</f>
        <v/>
      </c>
      <c r="L137" s="25" t="str">
        <f aca="false">IF(L134="","",IF(In!$C$56="未說明",L134/1000,L136))</f>
        <v/>
      </c>
      <c r="M137" s="25" t="str">
        <f aca="false">IF(M134="","",IF(In!$C$56="未說明",M134/1000,M136))</f>
        <v/>
      </c>
    </row>
    <row r="138" customFormat="false" ht="17.15" hidden="false" customHeight="false" outlineLevel="0" collapsed="false">
      <c r="A138" s="4" t="s">
        <v>612</v>
      </c>
      <c r="B138" s="0" t="s">
        <v>732</v>
      </c>
      <c r="C138" s="0" t="s">
        <v>111</v>
      </c>
      <c r="D138" s="0" t="str">
        <f aca="false">""</f>
        <v/>
      </c>
      <c r="E138" s="25" t="str">
        <f aca="false">IF(AND(D136&lt;&gt;"",E136&lt;&gt;""),(D136+E136)/2,"")</f>
        <v/>
      </c>
      <c r="F138" s="25" t="str">
        <f aca="false">IF(AND(E136&lt;&gt;"",F136&lt;&gt;""),(E136+F136)/2,"")</f>
        <v/>
      </c>
      <c r="G138" s="25" t="str">
        <f aca="false">IF(AND(F136&lt;&gt;"",G136&lt;&gt;""),(F136+G136)/2,"")</f>
        <v/>
      </c>
      <c r="H138" s="25" t="str">
        <f aca="false">IF(AND(G136&lt;&gt;"",H136&lt;&gt;""),(G136+H136)/2,"")</f>
        <v/>
      </c>
      <c r="I138" s="25" t="str">
        <f aca="false">IF(AND(H136&lt;&gt;"",I136&lt;&gt;""),(H136+I136)/2,"")</f>
        <v/>
      </c>
      <c r="J138" s="25" t="str">
        <f aca="false">IF(AND(I136&lt;&gt;"",J136&lt;&gt;""),(I136+J136)/2,"")</f>
        <v/>
      </c>
      <c r="K138" s="25" t="str">
        <f aca="false">IF(AND(J136&lt;&gt;"",K136&lt;&gt;""),(J136+K136)/2,"")</f>
        <v/>
      </c>
      <c r="L138" s="25" t="str">
        <f aca="false">IF(AND(K136&lt;&gt;"",L136&lt;&gt;""),(K136+L136)/2,"")</f>
        <v/>
      </c>
      <c r="M138" s="25" t="str">
        <f aca="false">IF(AND(L136&lt;&gt;"",M136&lt;&gt;""),(L136+M136)/2,"")</f>
        <v/>
      </c>
    </row>
    <row r="139" customFormat="false" ht="17.15" hidden="false" customHeight="false" outlineLevel="0" collapsed="false">
      <c r="A139" s="4" t="s">
        <v>614</v>
      </c>
      <c r="B139" s="0" t="s">
        <v>733</v>
      </c>
      <c r="C139" s="0" t="s">
        <v>111</v>
      </c>
      <c r="D139" s="0" t="n">
        <v>0</v>
      </c>
      <c r="E139" s="25" t="n">
        <f aca="false">IF(AND(D136&lt;&gt;"",E136&lt;&gt;""),E136-D136,0)</f>
        <v>0</v>
      </c>
      <c r="F139" s="25" t="n">
        <f aca="false">IF(AND(E136&lt;&gt;"",F136&lt;&gt;""),F136-E136,0)</f>
        <v>0</v>
      </c>
      <c r="G139" s="25" t="n">
        <f aca="false">IF(AND(F136&lt;&gt;"",G136&lt;&gt;""),G136-F136,0)</f>
        <v>0</v>
      </c>
      <c r="H139" s="25" t="n">
        <f aca="false">IF(AND(G136&lt;&gt;"",H136&lt;&gt;""),H136-G136,0)</f>
        <v>0</v>
      </c>
      <c r="I139" s="25" t="n">
        <f aca="false">IF(AND(H136&lt;&gt;"",I136&lt;&gt;""),I136-H136,0)</f>
        <v>0</v>
      </c>
      <c r="J139" s="25" t="n">
        <f aca="false">IF(AND(I136&lt;&gt;"",J136&lt;&gt;""),J136-I136,0)</f>
        <v>0</v>
      </c>
      <c r="K139" s="25" t="n">
        <f aca="false">IF(AND(J136&lt;&gt;"",K136&lt;&gt;""),K136-J136,0)</f>
        <v>0</v>
      </c>
      <c r="L139" s="25" t="n">
        <f aca="false">IF(AND(K136&lt;&gt;"",L136&lt;&gt;""),L136-K136,0)</f>
        <v>0</v>
      </c>
      <c r="M139" s="25" t="n">
        <f aca="false">IF(AND(L136&lt;&gt;"",M136&lt;&gt;""),M136-L136,0)</f>
        <v>0</v>
      </c>
    </row>
    <row r="140" customFormat="false" ht="17.15" hidden="false" customHeight="false" outlineLevel="0" collapsed="false">
      <c r="A140" s="4" t="s">
        <v>616</v>
      </c>
      <c r="B140" s="0" t="s">
        <v>734</v>
      </c>
      <c r="C140" s="0" t="s">
        <v>111</v>
      </c>
      <c r="D140" s="25" t="n">
        <f aca="false">IF(D136&lt;&gt;"",D136,0)</f>
        <v>0</v>
      </c>
      <c r="E140" s="25" t="n">
        <f aca="false">IF(AND(D136="",E136&lt;&gt;""),E136,0)</f>
        <v>0</v>
      </c>
      <c r="F140" s="25" t="n">
        <f aca="false">IF(AND(E136="",F136&lt;&gt;""),F136,0)</f>
        <v>0</v>
      </c>
      <c r="G140" s="25" t="n">
        <f aca="false">IF(AND(F136="",G136&lt;&gt;""),G136,0)</f>
        <v>0</v>
      </c>
      <c r="H140" s="25" t="n">
        <f aca="false">IF(AND(G136="",H136&lt;&gt;""),H136,0)</f>
        <v>0</v>
      </c>
      <c r="I140" s="25" t="n">
        <f aca="false">IF(AND(H136="",I136&lt;&gt;""),I136,0)</f>
        <v>0</v>
      </c>
      <c r="J140" s="25" t="n">
        <f aca="false">IF(AND(I136="",J136&lt;&gt;""),J136,0)</f>
        <v>0</v>
      </c>
      <c r="K140" s="25" t="n">
        <f aca="false">IF(AND(J136="",K136&lt;&gt;""),K136,0)</f>
        <v>0</v>
      </c>
      <c r="L140" s="25" t="n">
        <f aca="false">IF(AND(K136="",L136&lt;&gt;""),L136,0)</f>
        <v>0</v>
      </c>
      <c r="M140" s="25" t="n">
        <f aca="false">IF(AND(L136="",M136&lt;&gt;""),M136,0)</f>
        <v>0</v>
      </c>
    </row>
    <row r="141" customFormat="false" ht="17.15" hidden="false" customHeight="false" outlineLevel="0" collapsed="false">
      <c r="A141" s="4" t="s">
        <v>618</v>
      </c>
      <c r="B141" s="0" t="s">
        <v>735</v>
      </c>
      <c r="C141" s="0" t="s">
        <v>48</v>
      </c>
      <c r="D141" s="19" t="n">
        <f aca="false">D$12</f>
        <v>0.238210067173108</v>
      </c>
      <c r="E141" s="19" t="n">
        <f aca="false">E$12</f>
        <v>0.238210067173108</v>
      </c>
      <c r="F141" s="19" t="n">
        <f aca="false">F$12</f>
        <v>0.238210067173108</v>
      </c>
      <c r="G141" s="19" t="n">
        <f aca="false">G$12</f>
        <v>0.238210067173108</v>
      </c>
      <c r="H141" s="19" t="n">
        <f aca="false">H$12</f>
        <v>0.273101862203342</v>
      </c>
      <c r="I141" s="19" t="n">
        <f aca="false">I$12</f>
        <v>0.269621396123668</v>
      </c>
      <c r="J141" s="19" t="n">
        <f aca="false">J$12</f>
        <v>0.272187509408712</v>
      </c>
      <c r="K141" s="19" t="n">
        <f aca="false">K$12</f>
        <v>0.272187509408712</v>
      </c>
      <c r="L141" s="19" t="n">
        <f aca="false">L$12</f>
        <v>0.272187509408712</v>
      </c>
      <c r="M141" s="19" t="n">
        <f aca="false">M$12</f>
        <v>0.272187509408712</v>
      </c>
    </row>
    <row r="143" customFormat="false" ht="17.15" hidden="false" customHeight="false" outlineLevel="0" collapsed="false">
      <c r="A143" s="7" t="s">
        <v>321</v>
      </c>
      <c r="B143" s="16" t="s">
        <v>736</v>
      </c>
      <c r="N143" s="16" t="s">
        <v>737</v>
      </c>
    </row>
    <row r="144" customFormat="false" ht="17.15" hidden="false" customHeight="false" outlineLevel="0" collapsed="false">
      <c r="A144" s="4" t="s">
        <v>592</v>
      </c>
      <c r="B144" s="0" t="s">
        <v>738</v>
      </c>
      <c r="C144" s="0" t="s">
        <v>72</v>
      </c>
      <c r="D144" s="15" t="str">
        <f aca="false">IF(In!$H$57&lt;&gt;"",In!$H$57,"")</f>
        <v/>
      </c>
      <c r="E144" s="15" t="str">
        <f aca="false">IF(In!$I$57&lt;&gt;"",In!$I$57,"")</f>
        <v/>
      </c>
      <c r="F144" s="15" t="str">
        <f aca="false">IF(In!$J$57&lt;&gt;"",In!$J$57,"")</f>
        <v/>
      </c>
      <c r="G144" s="15" t="str">
        <f aca="false">IF(In!$K$57&lt;&gt;"",In!$K$57,"")</f>
        <v/>
      </c>
      <c r="H144" s="15" t="str">
        <f aca="false">IF(In!$L$57&lt;&gt;"",In!$L$57,"")</f>
        <v/>
      </c>
      <c r="I144" s="15" t="str">
        <f aca="false">IF(In!$M$57&lt;&gt;"",In!$M$57,"")</f>
        <v/>
      </c>
      <c r="J144" s="15" t="str">
        <f aca="false">IF(In!$N$57&lt;&gt;"",In!$N$57,"")</f>
        <v/>
      </c>
      <c r="K144" s="15" t="str">
        <f aca="false">IF(In!$O$57&lt;&gt;"",In!$O$57,"")</f>
        <v/>
      </c>
      <c r="L144" s="15" t="str">
        <f aca="false">IF(In!$P$57&lt;&gt;"",In!$P$57,"")</f>
        <v/>
      </c>
      <c r="M144" s="15" t="str">
        <f aca="false">IF(In!$Q$57&lt;&gt;"",In!$Q$57,"")</f>
        <v/>
      </c>
    </row>
    <row r="145" customFormat="false" ht="15" hidden="false" customHeight="false" outlineLevel="0" collapsed="false">
      <c r="A145" s="4" t="s">
        <v>594</v>
      </c>
      <c r="B145" s="0" t="s">
        <v>739</v>
      </c>
      <c r="C145" s="0" t="s">
        <v>72</v>
      </c>
      <c r="D145" s="0" t="str">
        <f aca="false">IF(In!$H$57&lt;&gt;"",In!$H$57,"")</f>
        <v/>
      </c>
      <c r="E145" s="0" t="str">
        <f aca="false">IF(In!$I$57&lt;&gt;"",In!$I$57,"")</f>
        <v/>
      </c>
      <c r="F145" s="0" t="str">
        <f aca="false">IF(In!$J$57&lt;&gt;"",In!$J$57,"")</f>
        <v/>
      </c>
      <c r="G145" s="0" t="str">
        <f aca="false">IF(In!$K$57&lt;&gt;"",In!$K$57,"")</f>
        <v/>
      </c>
      <c r="H145" s="0" t="str">
        <f aca="false">IF(In!$L$57&lt;&gt;"",In!$L$57,"")</f>
        <v/>
      </c>
      <c r="I145" s="0" t="str">
        <f aca="false">IF(In!$M$57&lt;&gt;"",In!$M$57,"")</f>
        <v/>
      </c>
      <c r="J145" s="0" t="str">
        <f aca="false">IF(In!$N$57&lt;&gt;"",In!$N$57,"")</f>
        <v/>
      </c>
      <c r="K145" s="0" t="str">
        <f aca="false">IF(In!$O$57&lt;&gt;"",In!$O$57,"")</f>
        <v/>
      </c>
      <c r="L145" s="0" t="str">
        <f aca="false">IF(In!$P$57&lt;&gt;"",In!$P$57,"")</f>
        <v/>
      </c>
      <c r="M145" s="0" t="str">
        <f aca="false">IF(In!$Q$57&lt;&gt;"",In!$Q$57,"")</f>
        <v/>
      </c>
    </row>
    <row r="146" customFormat="false" ht="15" hidden="false" customHeight="false" outlineLevel="0" collapsed="false">
      <c r="A146" s="4" t="s">
        <v>596</v>
      </c>
      <c r="B146" s="0" t="s">
        <v>740</v>
      </c>
      <c r="C146" s="0" t="s">
        <v>72</v>
      </c>
      <c r="D146" s="0" t="str">
        <f aca="false">IF(D145&lt;&gt;"",D145,"")</f>
        <v/>
      </c>
      <c r="E146" s="0" t="str">
        <f aca="false">IF(E145&lt;&gt;"",E145,D146)</f>
        <v/>
      </c>
      <c r="F146" s="0" t="str">
        <f aca="false">IF(F145&lt;&gt;"",F145,E146)</f>
        <v/>
      </c>
      <c r="G146" s="0" t="str">
        <f aca="false">IF(G145&lt;&gt;"",G145,F146)</f>
        <v/>
      </c>
      <c r="H146" s="0" t="str">
        <f aca="false">IF(H145&lt;&gt;"",H145,G146)</f>
        <v/>
      </c>
      <c r="I146" s="0" t="str">
        <f aca="false">IF(I145&lt;&gt;"",I145,H146)</f>
        <v/>
      </c>
      <c r="J146" s="0" t="str">
        <f aca="false">IF(J145&lt;&gt;"",J145,I146)</f>
        <v/>
      </c>
      <c r="K146" s="0" t="str">
        <f aca="false">IF(K145&lt;&gt;"",K145,J146)</f>
        <v/>
      </c>
      <c r="L146" s="0" t="str">
        <f aca="false">IF(L145&lt;&gt;"",L145,K146)</f>
        <v/>
      </c>
      <c r="M146" s="0" t="str">
        <f aca="false">IF(M145&lt;&gt;"",M145,L146)</f>
        <v/>
      </c>
    </row>
    <row r="147" customFormat="false" ht="15" hidden="false" customHeight="false" outlineLevel="0" collapsed="false">
      <c r="A147" s="4" t="s">
        <v>598</v>
      </c>
      <c r="B147" s="0" t="s">
        <v>741</v>
      </c>
      <c r="C147" s="4" t="s">
        <v>44</v>
      </c>
      <c r="D147" s="0" t="str">
        <f aca="false">IF(D145&lt;&gt;"",2023,"")</f>
        <v/>
      </c>
      <c r="E147" s="0" t="str">
        <f aca="false">IF(E145&lt;&gt;"",2024,D147)</f>
        <v/>
      </c>
      <c r="F147" s="0" t="str">
        <f aca="false">IF(F145&lt;&gt;"",2025,E147)</f>
        <v/>
      </c>
      <c r="G147" s="0" t="str">
        <f aca="false">IF(G145&lt;&gt;"",2026,F147)</f>
        <v/>
      </c>
      <c r="H147" s="0" t="str">
        <f aca="false">IF(H145&lt;&gt;"",2027,G147)</f>
        <v/>
      </c>
      <c r="I147" s="0" t="str">
        <f aca="false">IF(I145&lt;&gt;"",2028,H147)</f>
        <v/>
      </c>
      <c r="J147" s="0" t="str">
        <f aca="false">IF(J145&lt;&gt;"",2029,I147)</f>
        <v/>
      </c>
      <c r="K147" s="0" t="str">
        <f aca="false">IF(K145&lt;&gt;"",2030,J147)</f>
        <v/>
      </c>
      <c r="L147" s="0" t="str">
        <f aca="false">IF(L145&lt;&gt;"",2031,K147)</f>
        <v/>
      </c>
      <c r="M147" s="0" t="str">
        <f aca="false">IF(M145&lt;&gt;"",2032,L147)</f>
        <v/>
      </c>
    </row>
    <row r="148" customFormat="false" ht="15" hidden="false" customHeight="false" outlineLevel="0" collapsed="false">
      <c r="A148" s="4" t="s">
        <v>600</v>
      </c>
      <c r="B148" s="0" t="s">
        <v>742</v>
      </c>
      <c r="C148" s="0" t="s">
        <v>72</v>
      </c>
      <c r="D148" s="0" t="str">
        <f aca="false">IF(D145&lt;&gt;"",D145,E148)</f>
        <v/>
      </c>
      <c r="E148" s="0" t="str">
        <f aca="false">IF(E145&lt;&gt;"",E145,F148)</f>
        <v/>
      </c>
      <c r="F148" s="0" t="str">
        <f aca="false">IF(F145&lt;&gt;"",F145,G148)</f>
        <v/>
      </c>
      <c r="G148" s="0" t="str">
        <f aca="false">IF(G145&lt;&gt;"",G145,H148)</f>
        <v/>
      </c>
      <c r="H148" s="0" t="str">
        <f aca="false">IF(H145&lt;&gt;"",H145,I148)</f>
        <v/>
      </c>
      <c r="I148" s="0" t="str">
        <f aca="false">IF(I145&lt;&gt;"",I145,J148)</f>
        <v/>
      </c>
      <c r="J148" s="0" t="str">
        <f aca="false">IF(J145&lt;&gt;"",J145,K148)</f>
        <v/>
      </c>
      <c r="K148" s="0" t="str">
        <f aca="false">IF(K145&lt;&gt;"",K145,L148)</f>
        <v/>
      </c>
      <c r="L148" s="0" t="str">
        <f aca="false">IF(L145&lt;&gt;"",L145,M148)</f>
        <v/>
      </c>
      <c r="M148" s="0" t="str">
        <f aca="false">IF(M145&lt;&gt;"",M145,"")</f>
        <v/>
      </c>
    </row>
    <row r="149" customFormat="false" ht="15" hidden="false" customHeight="false" outlineLevel="0" collapsed="false">
      <c r="A149" s="4" t="s">
        <v>602</v>
      </c>
      <c r="B149" s="0" t="s">
        <v>743</v>
      </c>
      <c r="C149" s="4" t="s">
        <v>44</v>
      </c>
      <c r="D149" s="0" t="str">
        <f aca="false">IF(D145&lt;&gt;"",2023,E149)</f>
        <v/>
      </c>
      <c r="E149" s="0" t="str">
        <f aca="false">IF(E145&lt;&gt;"",2024,F149)</f>
        <v/>
      </c>
      <c r="F149" s="0" t="str">
        <f aca="false">IF(F145&lt;&gt;"",2025,G149)</f>
        <v/>
      </c>
      <c r="G149" s="0" t="str">
        <f aca="false">IF(G145&lt;&gt;"",2026,H149)</f>
        <v/>
      </c>
      <c r="H149" s="0" t="str">
        <f aca="false">IF(H145&lt;&gt;"",2027,I149)</f>
        <v/>
      </c>
      <c r="I149" s="0" t="str">
        <f aca="false">IF(I145&lt;&gt;"",2028,J149)</f>
        <v/>
      </c>
      <c r="J149" s="0" t="str">
        <f aca="false">IF(J145&lt;&gt;"",2029,K149)</f>
        <v/>
      </c>
      <c r="K149" s="0" t="str">
        <f aca="false">IF(K145&lt;&gt;"",2030,L149)</f>
        <v/>
      </c>
      <c r="L149" s="0" t="str">
        <f aca="false">IF(L145&lt;&gt;"",2031,M149)</f>
        <v/>
      </c>
      <c r="M149" s="0" t="str">
        <f aca="false">IF(M145&lt;&gt;"",2032,"")</f>
        <v/>
      </c>
    </row>
    <row r="150" customFormat="false" ht="17.15" hidden="false" customHeight="false" outlineLevel="0" collapsed="false">
      <c r="A150" s="4" t="s">
        <v>604</v>
      </c>
      <c r="B150" s="0" t="s">
        <v>744</v>
      </c>
      <c r="C150" s="0" t="s">
        <v>72</v>
      </c>
      <c r="D150" s="23" t="str">
        <f aca="false">IF(D145&lt;&gt;"",D145,IF(AND(D146&lt;&gt;"",D148&lt;&gt;""),D146+(D148-D146)*(2023-D147)/(D149-D147),IF(D146&lt;&gt;"",D146,"")))</f>
        <v/>
      </c>
      <c r="E150" s="23" t="str">
        <f aca="false">IF(E145&lt;&gt;"",E145,IF(AND(E146&lt;&gt;"",E148&lt;&gt;""),E146+(E148-E146)*(2024-E147)/(E149-E147),IF(E146&lt;&gt;"",E146,"")))</f>
        <v/>
      </c>
      <c r="F150" s="23" t="str">
        <f aca="false">IF(F145&lt;&gt;"",F145,IF(AND(F146&lt;&gt;"",F148&lt;&gt;""),F146+(F148-F146)*(2025-F147)/(F149-F147),IF(F146&lt;&gt;"",F146,"")))</f>
        <v/>
      </c>
      <c r="G150" s="23" t="str">
        <f aca="false">IF(G145&lt;&gt;"",G145,IF(AND(G146&lt;&gt;"",G148&lt;&gt;""),G146+(G148-G146)*(2026-G147)/(G149-G147),IF(G146&lt;&gt;"",G146,"")))</f>
        <v/>
      </c>
      <c r="H150" s="23" t="str">
        <f aca="false">IF(H145&lt;&gt;"",H145,IF(AND(H146&lt;&gt;"",H148&lt;&gt;""),H146+(H148-H146)*(2027-H147)/(H149-H147),IF(H146&lt;&gt;"",H146,"")))</f>
        <v/>
      </c>
      <c r="I150" s="23" t="str">
        <f aca="false">IF(I145&lt;&gt;"",I145,IF(AND(I146&lt;&gt;"",I148&lt;&gt;""),I146+(I148-I146)*(2028-I147)/(I149-I147),IF(I146&lt;&gt;"",I146,"")))</f>
        <v/>
      </c>
      <c r="J150" s="23" t="str">
        <f aca="false">IF(J145&lt;&gt;"",J145,IF(AND(J146&lt;&gt;"",J148&lt;&gt;""),J146+(J148-J146)*(2029-J147)/(J149-J147),IF(J146&lt;&gt;"",J146,"")))</f>
        <v/>
      </c>
      <c r="K150" s="23" t="str">
        <f aca="false">IF(K145&lt;&gt;"",K145,IF(AND(K146&lt;&gt;"",K148&lt;&gt;""),K146+(K148-K146)*(2030-K147)/(K149-K147),IF(K146&lt;&gt;"",K146,"")))</f>
        <v/>
      </c>
      <c r="L150" s="23" t="str">
        <f aca="false">IF(L145&lt;&gt;"",L145,IF(AND(L146&lt;&gt;"",L148&lt;&gt;""),L146+(L148-L146)*(2031-L147)/(L149-L147),IF(L146&lt;&gt;"",L146,"")))</f>
        <v/>
      </c>
      <c r="M150" s="23" t="str">
        <f aca="false">IF(M145&lt;&gt;"",M145,IF(AND(M146&lt;&gt;"",M148&lt;&gt;""),M146+(M148-M146)*(2032-M147)/(M149-M147),IF(M146&lt;&gt;"",M146,"")))</f>
        <v/>
      </c>
    </row>
    <row r="151" customFormat="false" ht="15" hidden="false" customHeight="false" outlineLevel="0" collapsed="false">
      <c r="A151" s="4" t="s">
        <v>606</v>
      </c>
      <c r="B151" s="0" t="s">
        <v>745</v>
      </c>
      <c r="C151" s="0" t="s">
        <v>32</v>
      </c>
      <c r="D151" s="0" t="n">
        <f aca="false">IF(In!$H$57&lt;&gt;"",1,IF(D145&lt;&gt;"",2,IF(AND(D146&lt;&gt;"",D148&lt;&gt;""),3,IF(D146&lt;&gt;"",4,0))))</f>
        <v>0</v>
      </c>
      <c r="E151" s="0" t="n">
        <f aca="false">IF(In!$I$57&lt;&gt;"",1,IF(E145&lt;&gt;"",2,IF(AND(E146&lt;&gt;"",E148&lt;&gt;""),3,IF(E146&lt;&gt;"",4,0))))</f>
        <v>0</v>
      </c>
      <c r="F151" s="0" t="n">
        <f aca="false">IF(In!$J$57&lt;&gt;"",1,IF(F145&lt;&gt;"",2,IF(AND(F146&lt;&gt;"",F148&lt;&gt;""),3,IF(F146&lt;&gt;"",4,0))))</f>
        <v>0</v>
      </c>
      <c r="G151" s="0" t="n">
        <f aca="false">IF(In!$K$57&lt;&gt;"",1,IF(G145&lt;&gt;"",2,IF(AND(G146&lt;&gt;"",G148&lt;&gt;""),3,IF(G146&lt;&gt;"",4,0))))</f>
        <v>0</v>
      </c>
      <c r="H151" s="0" t="n">
        <f aca="false">IF(In!$L$57&lt;&gt;"",1,IF(H145&lt;&gt;"",2,IF(AND(H146&lt;&gt;"",H148&lt;&gt;""),3,IF(H146&lt;&gt;"",4,0))))</f>
        <v>0</v>
      </c>
      <c r="I151" s="0" t="n">
        <f aca="false">IF(In!$M$57&lt;&gt;"",1,IF(I145&lt;&gt;"",2,IF(AND(I146&lt;&gt;"",I148&lt;&gt;""),3,IF(I146&lt;&gt;"",4,0))))</f>
        <v>0</v>
      </c>
      <c r="J151" s="0" t="n">
        <f aca="false">IF(In!$N$57&lt;&gt;"",1,IF(J145&lt;&gt;"",2,IF(AND(J146&lt;&gt;"",J148&lt;&gt;""),3,IF(J146&lt;&gt;"",4,0))))</f>
        <v>0</v>
      </c>
      <c r="K151" s="0" t="n">
        <f aca="false">IF(In!$O$57&lt;&gt;"",1,IF(K145&lt;&gt;"",2,IF(AND(K146&lt;&gt;"",K148&lt;&gt;""),3,IF(K146&lt;&gt;"",4,0))))</f>
        <v>0</v>
      </c>
      <c r="L151" s="0" t="n">
        <f aca="false">IF(In!$P$57&lt;&gt;"",1,IF(L145&lt;&gt;"",2,IF(AND(L146&lt;&gt;"",L148&lt;&gt;""),3,IF(L146&lt;&gt;"",4,0))))</f>
        <v>0</v>
      </c>
      <c r="M151" s="0" t="n">
        <f aca="false">IF(In!$Q$57&lt;&gt;"",1,IF(M145&lt;&gt;"",2,IF(AND(M146&lt;&gt;"",M148&lt;&gt;""),3,IF(M146&lt;&gt;"",4,0))))</f>
        <v>0</v>
      </c>
    </row>
    <row r="152" customFormat="false" ht="17.15" hidden="false" customHeight="false" outlineLevel="0" collapsed="false">
      <c r="A152" s="4" t="s">
        <v>608</v>
      </c>
      <c r="B152" s="0" t="s">
        <v>746</v>
      </c>
      <c r="C152" s="0" t="s">
        <v>111</v>
      </c>
      <c r="D152" s="24" t="str">
        <f aca="false">IF(D150="","",IF(In!$C$57="設施",D150/1000,D150/1000/D$13))</f>
        <v/>
      </c>
      <c r="E152" s="24" t="str">
        <f aca="false">IF(E150="","",IF(In!$C$57="設施",E150/1000,E150/1000/E$13))</f>
        <v/>
      </c>
      <c r="F152" s="24" t="str">
        <f aca="false">IF(F150="","",IF(In!$C$57="設施",F150/1000,F150/1000/F$13))</f>
        <v/>
      </c>
      <c r="G152" s="24" t="str">
        <f aca="false">IF(G150="","",IF(In!$C$57="設施",G150/1000,G150/1000/G$13))</f>
        <v/>
      </c>
      <c r="H152" s="24" t="str">
        <f aca="false">IF(H150="","",IF(In!$C$57="設施",H150/1000,H150/1000/H$13))</f>
        <v/>
      </c>
      <c r="I152" s="24" t="str">
        <f aca="false">IF(I150="","",IF(In!$C$57="設施",I150/1000,I150/1000/I$13))</f>
        <v/>
      </c>
      <c r="J152" s="24" t="str">
        <f aca="false">IF(J150="","",IF(In!$C$57="設施",J150/1000,J150/1000/J$13))</f>
        <v/>
      </c>
      <c r="K152" s="24" t="str">
        <f aca="false">IF(K150="","",IF(In!$C$57="設施",K150/1000,K150/1000/K$13))</f>
        <v/>
      </c>
      <c r="L152" s="24" t="str">
        <f aca="false">IF(L150="","",IF(In!$C$57="設施",L150/1000,L150/1000/L$13))</f>
        <v/>
      </c>
      <c r="M152" s="24" t="str">
        <f aca="false">IF(M150="","",IF(In!$C$57="設施",M150/1000,M150/1000/M$13))</f>
        <v/>
      </c>
    </row>
    <row r="153" customFormat="false" ht="17.15" hidden="false" customHeight="false" outlineLevel="0" collapsed="false">
      <c r="A153" s="4" t="s">
        <v>610</v>
      </c>
      <c r="B153" s="0" t="s">
        <v>747</v>
      </c>
      <c r="C153" s="0" t="s">
        <v>111</v>
      </c>
      <c r="D153" s="25" t="str">
        <f aca="false">IF(D150="","",IF(In!$C$57="未說明",D150/1000,D152))</f>
        <v/>
      </c>
      <c r="E153" s="25" t="str">
        <f aca="false">IF(E150="","",IF(In!$C$57="未說明",E150/1000,E152))</f>
        <v/>
      </c>
      <c r="F153" s="25" t="str">
        <f aca="false">IF(F150="","",IF(In!$C$57="未說明",F150/1000,F152))</f>
        <v/>
      </c>
      <c r="G153" s="25" t="str">
        <f aca="false">IF(G150="","",IF(In!$C$57="未說明",G150/1000,G152))</f>
        <v/>
      </c>
      <c r="H153" s="25" t="str">
        <f aca="false">IF(H150="","",IF(In!$C$57="未說明",H150/1000,H152))</f>
        <v/>
      </c>
      <c r="I153" s="25" t="str">
        <f aca="false">IF(I150="","",IF(In!$C$57="未說明",I150/1000,I152))</f>
        <v/>
      </c>
      <c r="J153" s="25" t="str">
        <f aca="false">IF(J150="","",IF(In!$C$57="未說明",J150/1000,J152))</f>
        <v/>
      </c>
      <c r="K153" s="25" t="str">
        <f aca="false">IF(K150="","",IF(In!$C$57="未說明",K150/1000,K152))</f>
        <v/>
      </c>
      <c r="L153" s="25" t="str">
        <f aca="false">IF(L150="","",IF(In!$C$57="未說明",L150/1000,L152))</f>
        <v/>
      </c>
      <c r="M153" s="25" t="str">
        <f aca="false">IF(M150="","",IF(In!$C$57="未說明",M150/1000,M152))</f>
        <v/>
      </c>
    </row>
    <row r="154" customFormat="false" ht="17.15" hidden="false" customHeight="false" outlineLevel="0" collapsed="false">
      <c r="A154" s="4" t="s">
        <v>612</v>
      </c>
      <c r="B154" s="0" t="s">
        <v>748</v>
      </c>
      <c r="C154" s="0" t="s">
        <v>111</v>
      </c>
      <c r="D154" s="0" t="str">
        <f aca="false">""</f>
        <v/>
      </c>
      <c r="E154" s="25" t="str">
        <f aca="false">IF(AND(D152&lt;&gt;"",E152&lt;&gt;""),(D152+E152)/2,"")</f>
        <v/>
      </c>
      <c r="F154" s="25" t="str">
        <f aca="false">IF(AND(E152&lt;&gt;"",F152&lt;&gt;""),(E152+F152)/2,"")</f>
        <v/>
      </c>
      <c r="G154" s="25" t="str">
        <f aca="false">IF(AND(F152&lt;&gt;"",G152&lt;&gt;""),(F152+G152)/2,"")</f>
        <v/>
      </c>
      <c r="H154" s="25" t="str">
        <f aca="false">IF(AND(G152&lt;&gt;"",H152&lt;&gt;""),(G152+H152)/2,"")</f>
        <v/>
      </c>
      <c r="I154" s="25" t="str">
        <f aca="false">IF(AND(H152&lt;&gt;"",I152&lt;&gt;""),(H152+I152)/2,"")</f>
        <v/>
      </c>
      <c r="J154" s="25" t="str">
        <f aca="false">IF(AND(I152&lt;&gt;"",J152&lt;&gt;""),(I152+J152)/2,"")</f>
        <v/>
      </c>
      <c r="K154" s="25" t="str">
        <f aca="false">IF(AND(J152&lt;&gt;"",K152&lt;&gt;""),(J152+K152)/2,"")</f>
        <v/>
      </c>
      <c r="L154" s="25" t="str">
        <f aca="false">IF(AND(K152&lt;&gt;"",L152&lt;&gt;""),(K152+L152)/2,"")</f>
        <v/>
      </c>
      <c r="M154" s="25" t="str">
        <f aca="false">IF(AND(L152&lt;&gt;"",M152&lt;&gt;""),(L152+M152)/2,"")</f>
        <v/>
      </c>
    </row>
    <row r="155" customFormat="false" ht="17.15" hidden="false" customHeight="false" outlineLevel="0" collapsed="false">
      <c r="A155" s="4" t="s">
        <v>614</v>
      </c>
      <c r="B155" s="0" t="s">
        <v>749</v>
      </c>
      <c r="C155" s="0" t="s">
        <v>111</v>
      </c>
      <c r="D155" s="0" t="n">
        <v>0</v>
      </c>
      <c r="E155" s="25" t="n">
        <f aca="false">IF(AND(D152&lt;&gt;"",E152&lt;&gt;""),E152-D152,0)</f>
        <v>0</v>
      </c>
      <c r="F155" s="25" t="n">
        <f aca="false">IF(AND(E152&lt;&gt;"",F152&lt;&gt;""),F152-E152,0)</f>
        <v>0</v>
      </c>
      <c r="G155" s="25" t="n">
        <f aca="false">IF(AND(F152&lt;&gt;"",G152&lt;&gt;""),G152-F152,0)</f>
        <v>0</v>
      </c>
      <c r="H155" s="25" t="n">
        <f aca="false">IF(AND(G152&lt;&gt;"",H152&lt;&gt;""),H152-G152,0)</f>
        <v>0</v>
      </c>
      <c r="I155" s="25" t="n">
        <f aca="false">IF(AND(H152&lt;&gt;"",I152&lt;&gt;""),I152-H152,0)</f>
        <v>0</v>
      </c>
      <c r="J155" s="25" t="n">
        <f aca="false">IF(AND(I152&lt;&gt;"",J152&lt;&gt;""),J152-I152,0)</f>
        <v>0</v>
      </c>
      <c r="K155" s="25" t="n">
        <f aca="false">IF(AND(J152&lt;&gt;"",K152&lt;&gt;""),K152-J152,0)</f>
        <v>0</v>
      </c>
      <c r="L155" s="25" t="n">
        <f aca="false">IF(AND(K152&lt;&gt;"",L152&lt;&gt;""),L152-K152,0)</f>
        <v>0</v>
      </c>
      <c r="M155" s="25" t="n">
        <f aca="false">IF(AND(L152&lt;&gt;"",M152&lt;&gt;""),M152-L152,0)</f>
        <v>0</v>
      </c>
    </row>
    <row r="156" customFormat="false" ht="17.15" hidden="false" customHeight="false" outlineLevel="0" collapsed="false">
      <c r="A156" s="4" t="s">
        <v>616</v>
      </c>
      <c r="B156" s="0" t="s">
        <v>750</v>
      </c>
      <c r="C156" s="0" t="s">
        <v>111</v>
      </c>
      <c r="D156" s="25" t="n">
        <f aca="false">IF(D152&lt;&gt;"",D152,0)</f>
        <v>0</v>
      </c>
      <c r="E156" s="25" t="n">
        <f aca="false">IF(AND(D152="",E152&lt;&gt;""),E152,0)</f>
        <v>0</v>
      </c>
      <c r="F156" s="25" t="n">
        <f aca="false">IF(AND(E152="",F152&lt;&gt;""),F152,0)</f>
        <v>0</v>
      </c>
      <c r="G156" s="25" t="n">
        <f aca="false">IF(AND(F152="",G152&lt;&gt;""),G152,0)</f>
        <v>0</v>
      </c>
      <c r="H156" s="25" t="n">
        <f aca="false">IF(AND(G152="",H152&lt;&gt;""),H152,0)</f>
        <v>0</v>
      </c>
      <c r="I156" s="25" t="n">
        <f aca="false">IF(AND(H152="",I152&lt;&gt;""),I152,0)</f>
        <v>0</v>
      </c>
      <c r="J156" s="25" t="n">
        <f aca="false">IF(AND(I152="",J152&lt;&gt;""),J152,0)</f>
        <v>0</v>
      </c>
      <c r="K156" s="25" t="n">
        <f aca="false">IF(AND(J152="",K152&lt;&gt;""),K152,0)</f>
        <v>0</v>
      </c>
      <c r="L156" s="25" t="n">
        <f aca="false">IF(AND(K152="",L152&lt;&gt;""),L152,0)</f>
        <v>0</v>
      </c>
      <c r="M156" s="25" t="n">
        <f aca="false">IF(AND(L152="",M152&lt;&gt;""),M152,0)</f>
        <v>0</v>
      </c>
    </row>
    <row r="157" customFormat="false" ht="17.15" hidden="false" customHeight="false" outlineLevel="0" collapsed="false">
      <c r="A157" s="4" t="s">
        <v>618</v>
      </c>
      <c r="B157" s="0" t="s">
        <v>751</v>
      </c>
      <c r="C157" s="0" t="s">
        <v>48</v>
      </c>
      <c r="D157" s="19" t="n">
        <f aca="false">D$12</f>
        <v>0.238210067173108</v>
      </c>
      <c r="E157" s="19" t="n">
        <f aca="false">E$12</f>
        <v>0.238210067173108</v>
      </c>
      <c r="F157" s="19" t="n">
        <f aca="false">F$12</f>
        <v>0.238210067173108</v>
      </c>
      <c r="G157" s="19" t="n">
        <f aca="false">G$12</f>
        <v>0.238210067173108</v>
      </c>
      <c r="H157" s="19" t="n">
        <f aca="false">H$12</f>
        <v>0.273101862203342</v>
      </c>
      <c r="I157" s="19" t="n">
        <f aca="false">I$12</f>
        <v>0.269621396123668</v>
      </c>
      <c r="J157" s="19" t="n">
        <f aca="false">J$12</f>
        <v>0.272187509408712</v>
      </c>
      <c r="K157" s="19" t="n">
        <f aca="false">K$12</f>
        <v>0.272187509408712</v>
      </c>
      <c r="L157" s="19" t="n">
        <f aca="false">L$12</f>
        <v>0.272187509408712</v>
      </c>
      <c r="M157" s="19" t="n">
        <f aca="false">M$12</f>
        <v>0.272187509408712</v>
      </c>
    </row>
    <row r="159" customFormat="false" ht="17.15" hidden="false" customHeight="false" outlineLevel="0" collapsed="false">
      <c r="A159" s="7" t="s">
        <v>752</v>
      </c>
      <c r="B159" s="16" t="s">
        <v>371</v>
      </c>
      <c r="N159" s="16" t="s">
        <v>753</v>
      </c>
    </row>
    <row r="160" customFormat="false" ht="17.15" hidden="false" customHeight="false" outlineLevel="0" collapsed="false">
      <c r="A160" s="4" t="s">
        <v>592</v>
      </c>
      <c r="B160" s="0" t="s">
        <v>754</v>
      </c>
      <c r="C160" s="0" t="s">
        <v>72</v>
      </c>
      <c r="D160" s="15" t="str">
        <f aca="false">IF(In!$H$58&lt;&gt;"",In!$H$58,"")</f>
        <v/>
      </c>
      <c r="E160" s="15" t="str">
        <f aca="false">IF(In!$I$58&lt;&gt;"",In!$I$58,"")</f>
        <v/>
      </c>
      <c r="F160" s="15" t="str">
        <f aca="false">IF(In!$J$58&lt;&gt;"",In!$J$58,"")</f>
        <v/>
      </c>
      <c r="G160" s="15" t="str">
        <f aca="false">IF(In!$K$58&lt;&gt;"",In!$K$58,"")</f>
        <v/>
      </c>
      <c r="H160" s="15" t="str">
        <f aca="false">IF(In!$L$58&lt;&gt;"",In!$L$58,"")</f>
        <v/>
      </c>
      <c r="I160" s="15" t="str">
        <f aca="false">IF(In!$M$58&lt;&gt;"",In!$M$58,"")</f>
        <v/>
      </c>
      <c r="J160" s="15" t="str">
        <f aca="false">IF(In!$N$58&lt;&gt;"",In!$N$58,"")</f>
        <v/>
      </c>
      <c r="K160" s="15" t="str">
        <f aca="false">IF(In!$O$58&lt;&gt;"",In!$O$58,"")</f>
        <v/>
      </c>
      <c r="L160" s="15" t="str">
        <f aca="false">IF(In!$P$58&lt;&gt;"",In!$P$58,"")</f>
        <v/>
      </c>
      <c r="M160" s="15" t="str">
        <f aca="false">IF(In!$Q$58&lt;&gt;"",In!$Q$58,"")</f>
        <v/>
      </c>
    </row>
    <row r="161" customFormat="false" ht="15" hidden="false" customHeight="false" outlineLevel="0" collapsed="false">
      <c r="A161" s="4" t="s">
        <v>594</v>
      </c>
      <c r="B161" s="0" t="s">
        <v>755</v>
      </c>
      <c r="C161" s="0" t="s">
        <v>72</v>
      </c>
      <c r="D161" s="0" t="str">
        <f aca="false">IF(In!$H$58&lt;&gt;"",In!$H$58,"")</f>
        <v/>
      </c>
      <c r="E161" s="0" t="str">
        <f aca="false">IF(In!$I$58&lt;&gt;"",In!$I$58,"")</f>
        <v/>
      </c>
      <c r="F161" s="0" t="str">
        <f aca="false">IF(In!$J$58&lt;&gt;"",In!$J$58,"")</f>
        <v/>
      </c>
      <c r="G161" s="0" t="str">
        <f aca="false">IF(In!$K$58&lt;&gt;"",In!$K$58,"")</f>
        <v/>
      </c>
      <c r="H161" s="0" t="str">
        <f aca="false">IF(In!$L$58&lt;&gt;"",In!$L$58,"")</f>
        <v/>
      </c>
      <c r="I161" s="0" t="str">
        <f aca="false">IF(In!$M$58&lt;&gt;"",In!$M$58,"")</f>
        <v/>
      </c>
      <c r="J161" s="0" t="str">
        <f aca="false">IF(In!$N$58&lt;&gt;"",In!$N$58,"")</f>
        <v/>
      </c>
      <c r="K161" s="0" t="str">
        <f aca="false">IF(In!$O$58&lt;&gt;"",In!$O$58,"")</f>
        <v/>
      </c>
      <c r="L161" s="0" t="str">
        <f aca="false">IF(In!$P$58&lt;&gt;"",In!$P$58,"")</f>
        <v/>
      </c>
      <c r="M161" s="0" t="str">
        <f aca="false">IF(In!$Q$58&lt;&gt;"",In!$Q$58,"")</f>
        <v/>
      </c>
    </row>
    <row r="162" customFormat="false" ht="15" hidden="false" customHeight="false" outlineLevel="0" collapsed="false">
      <c r="A162" s="4" t="s">
        <v>596</v>
      </c>
      <c r="B162" s="0" t="s">
        <v>756</v>
      </c>
      <c r="C162" s="0" t="s">
        <v>72</v>
      </c>
      <c r="D162" s="0" t="str">
        <f aca="false">IF(D161&lt;&gt;"",D161,"")</f>
        <v/>
      </c>
      <c r="E162" s="0" t="str">
        <f aca="false">IF(E161&lt;&gt;"",E161,D162)</f>
        <v/>
      </c>
      <c r="F162" s="0" t="str">
        <f aca="false">IF(F161&lt;&gt;"",F161,E162)</f>
        <v/>
      </c>
      <c r="G162" s="0" t="str">
        <f aca="false">IF(G161&lt;&gt;"",G161,F162)</f>
        <v/>
      </c>
      <c r="H162" s="0" t="str">
        <f aca="false">IF(H161&lt;&gt;"",H161,G162)</f>
        <v/>
      </c>
      <c r="I162" s="0" t="str">
        <f aca="false">IF(I161&lt;&gt;"",I161,H162)</f>
        <v/>
      </c>
      <c r="J162" s="0" t="str">
        <f aca="false">IF(J161&lt;&gt;"",J161,I162)</f>
        <v/>
      </c>
      <c r="K162" s="0" t="str">
        <f aca="false">IF(K161&lt;&gt;"",K161,J162)</f>
        <v/>
      </c>
      <c r="L162" s="0" t="str">
        <f aca="false">IF(L161&lt;&gt;"",L161,K162)</f>
        <v/>
      </c>
      <c r="M162" s="0" t="str">
        <f aca="false">IF(M161&lt;&gt;"",M161,L162)</f>
        <v/>
      </c>
    </row>
    <row r="163" customFormat="false" ht="15" hidden="false" customHeight="false" outlineLevel="0" collapsed="false">
      <c r="A163" s="4" t="s">
        <v>598</v>
      </c>
      <c r="B163" s="0" t="s">
        <v>757</v>
      </c>
      <c r="C163" s="4" t="s">
        <v>44</v>
      </c>
      <c r="D163" s="0" t="str">
        <f aca="false">IF(D161&lt;&gt;"",2023,"")</f>
        <v/>
      </c>
      <c r="E163" s="0" t="str">
        <f aca="false">IF(E161&lt;&gt;"",2024,D163)</f>
        <v/>
      </c>
      <c r="F163" s="0" t="str">
        <f aca="false">IF(F161&lt;&gt;"",2025,E163)</f>
        <v/>
      </c>
      <c r="G163" s="0" t="str">
        <f aca="false">IF(G161&lt;&gt;"",2026,F163)</f>
        <v/>
      </c>
      <c r="H163" s="0" t="str">
        <f aca="false">IF(H161&lt;&gt;"",2027,G163)</f>
        <v/>
      </c>
      <c r="I163" s="0" t="str">
        <f aca="false">IF(I161&lt;&gt;"",2028,H163)</f>
        <v/>
      </c>
      <c r="J163" s="0" t="str">
        <f aca="false">IF(J161&lt;&gt;"",2029,I163)</f>
        <v/>
      </c>
      <c r="K163" s="0" t="str">
        <f aca="false">IF(K161&lt;&gt;"",2030,J163)</f>
        <v/>
      </c>
      <c r="L163" s="0" t="str">
        <f aca="false">IF(L161&lt;&gt;"",2031,K163)</f>
        <v/>
      </c>
      <c r="M163" s="0" t="str">
        <f aca="false">IF(M161&lt;&gt;"",2032,L163)</f>
        <v/>
      </c>
    </row>
    <row r="164" customFormat="false" ht="15" hidden="false" customHeight="false" outlineLevel="0" collapsed="false">
      <c r="A164" s="4" t="s">
        <v>600</v>
      </c>
      <c r="B164" s="0" t="s">
        <v>758</v>
      </c>
      <c r="C164" s="0" t="s">
        <v>72</v>
      </c>
      <c r="D164" s="0" t="str">
        <f aca="false">IF(D161&lt;&gt;"",D161,E164)</f>
        <v/>
      </c>
      <c r="E164" s="0" t="str">
        <f aca="false">IF(E161&lt;&gt;"",E161,F164)</f>
        <v/>
      </c>
      <c r="F164" s="0" t="str">
        <f aca="false">IF(F161&lt;&gt;"",F161,G164)</f>
        <v/>
      </c>
      <c r="G164" s="0" t="str">
        <f aca="false">IF(G161&lt;&gt;"",G161,H164)</f>
        <v/>
      </c>
      <c r="H164" s="0" t="str">
        <f aca="false">IF(H161&lt;&gt;"",H161,I164)</f>
        <v/>
      </c>
      <c r="I164" s="0" t="str">
        <f aca="false">IF(I161&lt;&gt;"",I161,J164)</f>
        <v/>
      </c>
      <c r="J164" s="0" t="str">
        <f aca="false">IF(J161&lt;&gt;"",J161,K164)</f>
        <v/>
      </c>
      <c r="K164" s="0" t="str">
        <f aca="false">IF(K161&lt;&gt;"",K161,L164)</f>
        <v/>
      </c>
      <c r="L164" s="0" t="str">
        <f aca="false">IF(L161&lt;&gt;"",L161,M164)</f>
        <v/>
      </c>
      <c r="M164" s="0" t="str">
        <f aca="false">IF(M161&lt;&gt;"",M161,"")</f>
        <v/>
      </c>
    </row>
    <row r="165" customFormat="false" ht="15" hidden="false" customHeight="false" outlineLevel="0" collapsed="false">
      <c r="A165" s="4" t="s">
        <v>602</v>
      </c>
      <c r="B165" s="0" t="s">
        <v>759</v>
      </c>
      <c r="C165" s="4" t="s">
        <v>44</v>
      </c>
      <c r="D165" s="0" t="str">
        <f aca="false">IF(D161&lt;&gt;"",2023,E165)</f>
        <v/>
      </c>
      <c r="E165" s="0" t="str">
        <f aca="false">IF(E161&lt;&gt;"",2024,F165)</f>
        <v/>
      </c>
      <c r="F165" s="0" t="str">
        <f aca="false">IF(F161&lt;&gt;"",2025,G165)</f>
        <v/>
      </c>
      <c r="G165" s="0" t="str">
        <f aca="false">IF(G161&lt;&gt;"",2026,H165)</f>
        <v/>
      </c>
      <c r="H165" s="0" t="str">
        <f aca="false">IF(H161&lt;&gt;"",2027,I165)</f>
        <v/>
      </c>
      <c r="I165" s="0" t="str">
        <f aca="false">IF(I161&lt;&gt;"",2028,J165)</f>
        <v/>
      </c>
      <c r="J165" s="0" t="str">
        <f aca="false">IF(J161&lt;&gt;"",2029,K165)</f>
        <v/>
      </c>
      <c r="K165" s="0" t="str">
        <f aca="false">IF(K161&lt;&gt;"",2030,L165)</f>
        <v/>
      </c>
      <c r="L165" s="0" t="str">
        <f aca="false">IF(L161&lt;&gt;"",2031,M165)</f>
        <v/>
      </c>
      <c r="M165" s="0" t="str">
        <f aca="false">IF(M161&lt;&gt;"",2032,"")</f>
        <v/>
      </c>
    </row>
    <row r="166" customFormat="false" ht="17.15" hidden="false" customHeight="false" outlineLevel="0" collapsed="false">
      <c r="A166" s="4" t="s">
        <v>604</v>
      </c>
      <c r="B166" s="0" t="s">
        <v>760</v>
      </c>
      <c r="C166" s="0" t="s">
        <v>72</v>
      </c>
      <c r="D166" s="23" t="str">
        <f aca="false">IF(D161&lt;&gt;"",D161,IF(AND(D162&lt;&gt;"",D164&lt;&gt;""),D162+(D164-D162)*(2023-D163)/(D165-D163),IF(D162&lt;&gt;"",D162,"")))</f>
        <v/>
      </c>
      <c r="E166" s="23" t="str">
        <f aca="false">IF(E161&lt;&gt;"",E161,IF(AND(E162&lt;&gt;"",E164&lt;&gt;""),E162+(E164-E162)*(2024-E163)/(E165-E163),IF(E162&lt;&gt;"",E162,"")))</f>
        <v/>
      </c>
      <c r="F166" s="23" t="str">
        <f aca="false">IF(F161&lt;&gt;"",F161,IF(AND(F162&lt;&gt;"",F164&lt;&gt;""),F162+(F164-F162)*(2025-F163)/(F165-F163),IF(F162&lt;&gt;"",F162,"")))</f>
        <v/>
      </c>
      <c r="G166" s="23" t="str">
        <f aca="false">IF(G161&lt;&gt;"",G161,IF(AND(G162&lt;&gt;"",G164&lt;&gt;""),G162+(G164-G162)*(2026-G163)/(G165-G163),IF(G162&lt;&gt;"",G162,"")))</f>
        <v/>
      </c>
      <c r="H166" s="23" t="str">
        <f aca="false">IF(H161&lt;&gt;"",H161,IF(AND(H162&lt;&gt;"",H164&lt;&gt;""),H162+(H164-H162)*(2027-H163)/(H165-H163),IF(H162&lt;&gt;"",H162,"")))</f>
        <v/>
      </c>
      <c r="I166" s="23" t="str">
        <f aca="false">IF(I161&lt;&gt;"",I161,IF(AND(I162&lt;&gt;"",I164&lt;&gt;""),I162+(I164-I162)*(2028-I163)/(I165-I163),IF(I162&lt;&gt;"",I162,"")))</f>
        <v/>
      </c>
      <c r="J166" s="23" t="str">
        <f aca="false">IF(J161&lt;&gt;"",J161,IF(AND(J162&lt;&gt;"",J164&lt;&gt;""),J162+(J164-J162)*(2029-J163)/(J165-J163),IF(J162&lt;&gt;"",J162,"")))</f>
        <v/>
      </c>
      <c r="K166" s="23" t="str">
        <f aca="false">IF(K161&lt;&gt;"",K161,IF(AND(K162&lt;&gt;"",K164&lt;&gt;""),K162+(K164-K162)*(2030-K163)/(K165-K163),IF(K162&lt;&gt;"",K162,"")))</f>
        <v/>
      </c>
      <c r="L166" s="23" t="str">
        <f aca="false">IF(L161&lt;&gt;"",L161,IF(AND(L162&lt;&gt;"",L164&lt;&gt;""),L162+(L164-L162)*(2031-L163)/(L165-L163),IF(L162&lt;&gt;"",L162,"")))</f>
        <v/>
      </c>
      <c r="M166" s="23" t="str">
        <f aca="false">IF(M161&lt;&gt;"",M161,IF(AND(M162&lt;&gt;"",M164&lt;&gt;""),M162+(M164-M162)*(2032-M163)/(M165-M163),IF(M162&lt;&gt;"",M162,"")))</f>
        <v/>
      </c>
    </row>
    <row r="167" customFormat="false" ht="15" hidden="false" customHeight="false" outlineLevel="0" collapsed="false">
      <c r="A167" s="4" t="s">
        <v>606</v>
      </c>
      <c r="B167" s="0" t="s">
        <v>761</v>
      </c>
      <c r="C167" s="0" t="s">
        <v>32</v>
      </c>
      <c r="D167" s="0" t="n">
        <f aca="false">IF(In!$H$58&lt;&gt;"",1,IF(D161&lt;&gt;"",2,IF(AND(D162&lt;&gt;"",D164&lt;&gt;""),3,IF(D162&lt;&gt;"",4,0))))</f>
        <v>0</v>
      </c>
      <c r="E167" s="0" t="n">
        <f aca="false">IF(In!$I$58&lt;&gt;"",1,IF(E161&lt;&gt;"",2,IF(AND(E162&lt;&gt;"",E164&lt;&gt;""),3,IF(E162&lt;&gt;"",4,0))))</f>
        <v>0</v>
      </c>
      <c r="F167" s="0" t="n">
        <f aca="false">IF(In!$J$58&lt;&gt;"",1,IF(F161&lt;&gt;"",2,IF(AND(F162&lt;&gt;"",F164&lt;&gt;""),3,IF(F162&lt;&gt;"",4,0))))</f>
        <v>0</v>
      </c>
      <c r="G167" s="0" t="n">
        <f aca="false">IF(In!$K$58&lt;&gt;"",1,IF(G161&lt;&gt;"",2,IF(AND(G162&lt;&gt;"",G164&lt;&gt;""),3,IF(G162&lt;&gt;"",4,0))))</f>
        <v>0</v>
      </c>
      <c r="H167" s="0" t="n">
        <f aca="false">IF(In!$L$58&lt;&gt;"",1,IF(H161&lt;&gt;"",2,IF(AND(H162&lt;&gt;"",H164&lt;&gt;""),3,IF(H162&lt;&gt;"",4,0))))</f>
        <v>0</v>
      </c>
      <c r="I167" s="0" t="n">
        <f aca="false">IF(In!$M$58&lt;&gt;"",1,IF(I161&lt;&gt;"",2,IF(AND(I162&lt;&gt;"",I164&lt;&gt;""),3,IF(I162&lt;&gt;"",4,0))))</f>
        <v>0</v>
      </c>
      <c r="J167" s="0" t="n">
        <f aca="false">IF(In!$N$58&lt;&gt;"",1,IF(J161&lt;&gt;"",2,IF(AND(J162&lt;&gt;"",J164&lt;&gt;""),3,IF(J162&lt;&gt;"",4,0))))</f>
        <v>0</v>
      </c>
      <c r="K167" s="0" t="n">
        <f aca="false">IF(In!$O$58&lt;&gt;"",1,IF(K161&lt;&gt;"",2,IF(AND(K162&lt;&gt;"",K164&lt;&gt;""),3,IF(K162&lt;&gt;"",4,0))))</f>
        <v>0</v>
      </c>
      <c r="L167" s="0" t="n">
        <f aca="false">IF(In!$P$58&lt;&gt;"",1,IF(L161&lt;&gt;"",2,IF(AND(L162&lt;&gt;"",L164&lt;&gt;""),3,IF(L162&lt;&gt;"",4,0))))</f>
        <v>0</v>
      </c>
      <c r="M167" s="0" t="n">
        <f aca="false">IF(In!$Q$58&lt;&gt;"",1,IF(M161&lt;&gt;"",2,IF(AND(M162&lt;&gt;"",M164&lt;&gt;""),3,IF(M162&lt;&gt;"",4,0))))</f>
        <v>0</v>
      </c>
    </row>
    <row r="168" customFormat="false" ht="17.15" hidden="false" customHeight="false" outlineLevel="0" collapsed="false">
      <c r="A168" s="4" t="s">
        <v>608</v>
      </c>
      <c r="B168" s="0" t="s">
        <v>762</v>
      </c>
      <c r="C168" s="0" t="s">
        <v>111</v>
      </c>
      <c r="D168" s="24" t="str">
        <f aca="false">IF(D166="","",IF(In!$C$58="設施",D166/1000,D166/1000/D$13))</f>
        <v/>
      </c>
      <c r="E168" s="24" t="str">
        <f aca="false">IF(E166="","",IF(In!$C$58="設施",E166/1000,E166/1000/E$13))</f>
        <v/>
      </c>
      <c r="F168" s="24" t="str">
        <f aca="false">IF(F166="","",IF(In!$C$58="設施",F166/1000,F166/1000/F$13))</f>
        <v/>
      </c>
      <c r="G168" s="24" t="str">
        <f aca="false">IF(G166="","",IF(In!$C$58="設施",G166/1000,G166/1000/G$13))</f>
        <v/>
      </c>
      <c r="H168" s="24" t="str">
        <f aca="false">IF(H166="","",IF(In!$C$58="設施",H166/1000,H166/1000/H$13))</f>
        <v/>
      </c>
      <c r="I168" s="24" t="str">
        <f aca="false">IF(I166="","",IF(In!$C$58="設施",I166/1000,I166/1000/I$13))</f>
        <v/>
      </c>
      <c r="J168" s="24" t="str">
        <f aca="false">IF(J166="","",IF(In!$C$58="設施",J166/1000,J166/1000/J$13))</f>
        <v/>
      </c>
      <c r="K168" s="24" t="str">
        <f aca="false">IF(K166="","",IF(In!$C$58="設施",K166/1000,K166/1000/K$13))</f>
        <v/>
      </c>
      <c r="L168" s="24" t="str">
        <f aca="false">IF(L166="","",IF(In!$C$58="設施",L166/1000,L166/1000/L$13))</f>
        <v/>
      </c>
      <c r="M168" s="24" t="str">
        <f aca="false">IF(M166="","",IF(In!$C$58="設施",M166/1000,M166/1000/M$13))</f>
        <v/>
      </c>
    </row>
    <row r="169" customFormat="false" ht="17.15" hidden="false" customHeight="false" outlineLevel="0" collapsed="false">
      <c r="A169" s="4" t="s">
        <v>610</v>
      </c>
      <c r="B169" s="0" t="s">
        <v>763</v>
      </c>
      <c r="C169" s="0" t="s">
        <v>111</v>
      </c>
      <c r="D169" s="25" t="str">
        <f aca="false">IF(D166="","",IF(In!$C$58="未說明",D166/1000,D168))</f>
        <v/>
      </c>
      <c r="E169" s="25" t="str">
        <f aca="false">IF(E166="","",IF(In!$C$58="未說明",E166/1000,E168))</f>
        <v/>
      </c>
      <c r="F169" s="25" t="str">
        <f aca="false">IF(F166="","",IF(In!$C$58="未說明",F166/1000,F168))</f>
        <v/>
      </c>
      <c r="G169" s="25" t="str">
        <f aca="false">IF(G166="","",IF(In!$C$58="未說明",G166/1000,G168))</f>
        <v/>
      </c>
      <c r="H169" s="25" t="str">
        <f aca="false">IF(H166="","",IF(In!$C$58="未說明",H166/1000,H168))</f>
        <v/>
      </c>
      <c r="I169" s="25" t="str">
        <f aca="false">IF(I166="","",IF(In!$C$58="未說明",I166/1000,I168))</f>
        <v/>
      </c>
      <c r="J169" s="25" t="str">
        <f aca="false">IF(J166="","",IF(In!$C$58="未說明",J166/1000,J168))</f>
        <v/>
      </c>
      <c r="K169" s="25" t="str">
        <f aca="false">IF(K166="","",IF(In!$C$58="未說明",K166/1000,K168))</f>
        <v/>
      </c>
      <c r="L169" s="25" t="str">
        <f aca="false">IF(L166="","",IF(In!$C$58="未說明",L166/1000,L168))</f>
        <v/>
      </c>
      <c r="M169" s="25" t="str">
        <f aca="false">IF(M166="","",IF(In!$C$58="未說明",M166/1000,M168))</f>
        <v/>
      </c>
    </row>
    <row r="170" customFormat="false" ht="17.15" hidden="false" customHeight="false" outlineLevel="0" collapsed="false">
      <c r="A170" s="4" t="s">
        <v>612</v>
      </c>
      <c r="B170" s="0" t="s">
        <v>764</v>
      </c>
      <c r="C170" s="0" t="s">
        <v>111</v>
      </c>
      <c r="D170" s="0" t="str">
        <f aca="false">""</f>
        <v/>
      </c>
      <c r="E170" s="25" t="str">
        <f aca="false">IF(AND(D168&lt;&gt;"",E168&lt;&gt;""),(D168+E168)/2,"")</f>
        <v/>
      </c>
      <c r="F170" s="25" t="str">
        <f aca="false">IF(AND(E168&lt;&gt;"",F168&lt;&gt;""),(E168+F168)/2,"")</f>
        <v/>
      </c>
      <c r="G170" s="25" t="str">
        <f aca="false">IF(AND(F168&lt;&gt;"",G168&lt;&gt;""),(F168+G168)/2,"")</f>
        <v/>
      </c>
      <c r="H170" s="25" t="str">
        <f aca="false">IF(AND(G168&lt;&gt;"",H168&lt;&gt;""),(G168+H168)/2,"")</f>
        <v/>
      </c>
      <c r="I170" s="25" t="str">
        <f aca="false">IF(AND(H168&lt;&gt;"",I168&lt;&gt;""),(H168+I168)/2,"")</f>
        <v/>
      </c>
      <c r="J170" s="25" t="str">
        <f aca="false">IF(AND(I168&lt;&gt;"",J168&lt;&gt;""),(I168+J168)/2,"")</f>
        <v/>
      </c>
      <c r="K170" s="25" t="str">
        <f aca="false">IF(AND(J168&lt;&gt;"",K168&lt;&gt;""),(J168+K168)/2,"")</f>
        <v/>
      </c>
      <c r="L170" s="25" t="str">
        <f aca="false">IF(AND(K168&lt;&gt;"",L168&lt;&gt;""),(K168+L168)/2,"")</f>
        <v/>
      </c>
      <c r="M170" s="25" t="str">
        <f aca="false">IF(AND(L168&lt;&gt;"",M168&lt;&gt;""),(L168+M168)/2,"")</f>
        <v/>
      </c>
    </row>
    <row r="171" customFormat="false" ht="17.15" hidden="false" customHeight="false" outlineLevel="0" collapsed="false">
      <c r="A171" s="4" t="s">
        <v>614</v>
      </c>
      <c r="B171" s="0" t="s">
        <v>765</v>
      </c>
      <c r="C171" s="0" t="s">
        <v>111</v>
      </c>
      <c r="D171" s="0" t="n">
        <v>0</v>
      </c>
      <c r="E171" s="25" t="n">
        <f aca="false">IF(AND(D168&lt;&gt;"",E168&lt;&gt;""),E168-D168,0)</f>
        <v>0</v>
      </c>
      <c r="F171" s="25" t="n">
        <f aca="false">IF(AND(E168&lt;&gt;"",F168&lt;&gt;""),F168-E168,0)</f>
        <v>0</v>
      </c>
      <c r="G171" s="25" t="n">
        <f aca="false">IF(AND(F168&lt;&gt;"",G168&lt;&gt;""),G168-F168,0)</f>
        <v>0</v>
      </c>
      <c r="H171" s="25" t="n">
        <f aca="false">IF(AND(G168&lt;&gt;"",H168&lt;&gt;""),H168-G168,0)</f>
        <v>0</v>
      </c>
      <c r="I171" s="25" t="n">
        <f aca="false">IF(AND(H168&lt;&gt;"",I168&lt;&gt;""),I168-H168,0)</f>
        <v>0</v>
      </c>
      <c r="J171" s="25" t="n">
        <f aca="false">IF(AND(I168&lt;&gt;"",J168&lt;&gt;""),J168-I168,0)</f>
        <v>0</v>
      </c>
      <c r="K171" s="25" t="n">
        <f aca="false">IF(AND(J168&lt;&gt;"",K168&lt;&gt;""),K168-J168,0)</f>
        <v>0</v>
      </c>
      <c r="L171" s="25" t="n">
        <f aca="false">IF(AND(K168&lt;&gt;"",L168&lt;&gt;""),L168-K168,0)</f>
        <v>0</v>
      </c>
      <c r="M171" s="25" t="n">
        <f aca="false">IF(AND(L168&lt;&gt;"",M168&lt;&gt;""),M168-L168,0)</f>
        <v>0</v>
      </c>
    </row>
    <row r="172" customFormat="false" ht="17.15" hidden="false" customHeight="false" outlineLevel="0" collapsed="false">
      <c r="A172" s="4" t="s">
        <v>616</v>
      </c>
      <c r="B172" s="0" t="s">
        <v>766</v>
      </c>
      <c r="C172" s="0" t="s">
        <v>111</v>
      </c>
      <c r="D172" s="25" t="n">
        <f aca="false">IF(D168&lt;&gt;"",D168,0)</f>
        <v>0</v>
      </c>
      <c r="E172" s="25" t="n">
        <f aca="false">IF(AND(D168="",E168&lt;&gt;""),E168,0)</f>
        <v>0</v>
      </c>
      <c r="F172" s="25" t="n">
        <f aca="false">IF(AND(E168="",F168&lt;&gt;""),F168,0)</f>
        <v>0</v>
      </c>
      <c r="G172" s="25" t="n">
        <f aca="false">IF(AND(F168="",G168&lt;&gt;""),G168,0)</f>
        <v>0</v>
      </c>
      <c r="H172" s="25" t="n">
        <f aca="false">IF(AND(G168="",H168&lt;&gt;""),H168,0)</f>
        <v>0</v>
      </c>
      <c r="I172" s="25" t="n">
        <f aca="false">IF(AND(H168="",I168&lt;&gt;""),I168,0)</f>
        <v>0</v>
      </c>
      <c r="J172" s="25" t="n">
        <f aca="false">IF(AND(I168="",J168&lt;&gt;""),J168,0)</f>
        <v>0</v>
      </c>
      <c r="K172" s="25" t="n">
        <f aca="false">IF(AND(J168="",K168&lt;&gt;""),K168,0)</f>
        <v>0</v>
      </c>
      <c r="L172" s="25" t="n">
        <f aca="false">IF(AND(K168="",L168&lt;&gt;""),L168,0)</f>
        <v>0</v>
      </c>
      <c r="M172" s="25" t="n">
        <f aca="false">IF(AND(L168="",M168&lt;&gt;""),M168,0)</f>
        <v>0</v>
      </c>
    </row>
    <row r="173" customFormat="false" ht="17.15" hidden="false" customHeight="false" outlineLevel="0" collapsed="false">
      <c r="A173" s="4" t="s">
        <v>618</v>
      </c>
      <c r="B173" s="0" t="s">
        <v>767</v>
      </c>
      <c r="C173" s="0" t="s">
        <v>48</v>
      </c>
      <c r="D173" s="19" t="n">
        <f aca="false">D$12</f>
        <v>0.238210067173108</v>
      </c>
      <c r="E173" s="19" t="n">
        <f aca="false">E$12</f>
        <v>0.238210067173108</v>
      </c>
      <c r="F173" s="19" t="n">
        <f aca="false">F$12</f>
        <v>0.238210067173108</v>
      </c>
      <c r="G173" s="19" t="n">
        <f aca="false">G$12</f>
        <v>0.238210067173108</v>
      </c>
      <c r="H173" s="19" t="n">
        <f aca="false">H$12</f>
        <v>0.273101862203342</v>
      </c>
      <c r="I173" s="19" t="n">
        <f aca="false">I$12</f>
        <v>0.269621396123668</v>
      </c>
      <c r="J173" s="19" t="n">
        <f aca="false">J$12</f>
        <v>0.272187509408712</v>
      </c>
      <c r="K173" s="19" t="n">
        <f aca="false">K$12</f>
        <v>0.272187509408712</v>
      </c>
      <c r="L173" s="19" t="n">
        <f aca="false">L$12</f>
        <v>0.272187509408712</v>
      </c>
      <c r="M173" s="19" t="n">
        <f aca="false">M$12</f>
        <v>0.272187509408712</v>
      </c>
    </row>
    <row r="175" customFormat="false" ht="17.15" hidden="false" customHeight="false" outlineLevel="0" collapsed="false">
      <c r="A175" s="7" t="s">
        <v>768</v>
      </c>
      <c r="B175" s="16" t="s">
        <v>378</v>
      </c>
      <c r="N175" s="16" t="s">
        <v>769</v>
      </c>
    </row>
    <row r="176" customFormat="false" ht="17.15" hidden="false" customHeight="false" outlineLevel="0" collapsed="false">
      <c r="A176" s="4" t="s">
        <v>592</v>
      </c>
      <c r="B176" s="0" t="s">
        <v>770</v>
      </c>
      <c r="C176" s="0" t="s">
        <v>72</v>
      </c>
      <c r="D176" s="15" t="str">
        <f aca="false">IF(In!$H$59&lt;&gt;"",In!$H$59,"")</f>
        <v/>
      </c>
      <c r="E176" s="15" t="str">
        <f aca="false">IF(In!$I$59&lt;&gt;"",In!$I$59,"")</f>
        <v/>
      </c>
      <c r="F176" s="15" t="str">
        <f aca="false">IF(In!$J$59&lt;&gt;"",In!$J$59,"")</f>
        <v/>
      </c>
      <c r="G176" s="15" t="str">
        <f aca="false">IF(In!$K$59&lt;&gt;"",In!$K$59,"")</f>
        <v/>
      </c>
      <c r="H176" s="15" t="str">
        <f aca="false">IF(In!$L$59&lt;&gt;"",In!$L$59,"")</f>
        <v/>
      </c>
      <c r="I176" s="15" t="str">
        <f aca="false">IF(In!$M$59&lt;&gt;"",In!$M$59,"")</f>
        <v/>
      </c>
      <c r="J176" s="15" t="str">
        <f aca="false">IF(In!$N$59&lt;&gt;"",In!$N$59,"")</f>
        <v/>
      </c>
      <c r="K176" s="15" t="str">
        <f aca="false">IF(In!$O$59&lt;&gt;"",In!$O$59,"")</f>
        <v/>
      </c>
      <c r="L176" s="15" t="str">
        <f aca="false">IF(In!$P$59&lt;&gt;"",In!$P$59,"")</f>
        <v/>
      </c>
      <c r="M176" s="15" t="str">
        <f aca="false">IF(In!$Q$59&lt;&gt;"",In!$Q$59,"")</f>
        <v/>
      </c>
    </row>
    <row r="177" customFormat="false" ht="15" hidden="false" customHeight="false" outlineLevel="0" collapsed="false">
      <c r="A177" s="4" t="s">
        <v>594</v>
      </c>
      <c r="B177" s="0" t="s">
        <v>771</v>
      </c>
      <c r="C177" s="0" t="s">
        <v>72</v>
      </c>
      <c r="D177" s="0" t="str">
        <f aca="false">IF(In!$H$59&lt;&gt;"",In!$H$59,"")</f>
        <v/>
      </c>
      <c r="E177" s="0" t="str">
        <f aca="false">IF(In!$I$59&lt;&gt;"",In!$I$59,"")</f>
        <v/>
      </c>
      <c r="F177" s="0" t="str">
        <f aca="false">IF(In!$J$59&lt;&gt;"",In!$J$59,"")</f>
        <v/>
      </c>
      <c r="G177" s="0" t="str">
        <f aca="false">IF(In!$K$59&lt;&gt;"",In!$K$59,"")</f>
        <v/>
      </c>
      <c r="H177" s="0" t="str">
        <f aca="false">IF(In!$L$59&lt;&gt;"",In!$L$59,"")</f>
        <v/>
      </c>
      <c r="I177" s="0" t="str">
        <f aca="false">IF(In!$M$59&lt;&gt;"",In!$M$59,"")</f>
        <v/>
      </c>
      <c r="J177" s="0" t="str">
        <f aca="false">IF(In!$N$59&lt;&gt;"",In!$N$59,"")</f>
        <v/>
      </c>
      <c r="K177" s="0" t="str">
        <f aca="false">IF(In!$O$59&lt;&gt;"",In!$O$59,"")</f>
        <v/>
      </c>
      <c r="L177" s="0" t="str">
        <f aca="false">IF(In!$P$59&lt;&gt;"",In!$P$59,"")</f>
        <v/>
      </c>
      <c r="M177" s="0" t="str">
        <f aca="false">IF(In!$Q$59&lt;&gt;"",In!$Q$59,"")</f>
        <v/>
      </c>
    </row>
    <row r="178" customFormat="false" ht="15" hidden="false" customHeight="false" outlineLevel="0" collapsed="false">
      <c r="A178" s="4" t="s">
        <v>596</v>
      </c>
      <c r="B178" s="0" t="s">
        <v>772</v>
      </c>
      <c r="C178" s="0" t="s">
        <v>72</v>
      </c>
      <c r="D178" s="0" t="str">
        <f aca="false">IF(D177&lt;&gt;"",D177,"")</f>
        <v/>
      </c>
      <c r="E178" s="0" t="str">
        <f aca="false">IF(E177&lt;&gt;"",E177,D178)</f>
        <v/>
      </c>
      <c r="F178" s="0" t="str">
        <f aca="false">IF(F177&lt;&gt;"",F177,E178)</f>
        <v/>
      </c>
      <c r="G178" s="0" t="str">
        <f aca="false">IF(G177&lt;&gt;"",G177,F178)</f>
        <v/>
      </c>
      <c r="H178" s="0" t="str">
        <f aca="false">IF(H177&lt;&gt;"",H177,G178)</f>
        <v/>
      </c>
      <c r="I178" s="0" t="str">
        <f aca="false">IF(I177&lt;&gt;"",I177,H178)</f>
        <v/>
      </c>
      <c r="J178" s="0" t="str">
        <f aca="false">IF(J177&lt;&gt;"",J177,I178)</f>
        <v/>
      </c>
      <c r="K178" s="0" t="str">
        <f aca="false">IF(K177&lt;&gt;"",K177,J178)</f>
        <v/>
      </c>
      <c r="L178" s="0" t="str">
        <f aca="false">IF(L177&lt;&gt;"",L177,K178)</f>
        <v/>
      </c>
      <c r="M178" s="0" t="str">
        <f aca="false">IF(M177&lt;&gt;"",M177,L178)</f>
        <v/>
      </c>
    </row>
    <row r="179" customFormat="false" ht="15" hidden="false" customHeight="false" outlineLevel="0" collapsed="false">
      <c r="A179" s="4" t="s">
        <v>598</v>
      </c>
      <c r="B179" s="0" t="s">
        <v>773</v>
      </c>
      <c r="C179" s="4" t="s">
        <v>44</v>
      </c>
      <c r="D179" s="0" t="str">
        <f aca="false">IF(D177&lt;&gt;"",2023,"")</f>
        <v/>
      </c>
      <c r="E179" s="0" t="str">
        <f aca="false">IF(E177&lt;&gt;"",2024,D179)</f>
        <v/>
      </c>
      <c r="F179" s="0" t="str">
        <f aca="false">IF(F177&lt;&gt;"",2025,E179)</f>
        <v/>
      </c>
      <c r="G179" s="0" t="str">
        <f aca="false">IF(G177&lt;&gt;"",2026,F179)</f>
        <v/>
      </c>
      <c r="H179" s="0" t="str">
        <f aca="false">IF(H177&lt;&gt;"",2027,G179)</f>
        <v/>
      </c>
      <c r="I179" s="0" t="str">
        <f aca="false">IF(I177&lt;&gt;"",2028,H179)</f>
        <v/>
      </c>
      <c r="J179" s="0" t="str">
        <f aca="false">IF(J177&lt;&gt;"",2029,I179)</f>
        <v/>
      </c>
      <c r="K179" s="0" t="str">
        <f aca="false">IF(K177&lt;&gt;"",2030,J179)</f>
        <v/>
      </c>
      <c r="L179" s="0" t="str">
        <f aca="false">IF(L177&lt;&gt;"",2031,K179)</f>
        <v/>
      </c>
      <c r="M179" s="0" t="str">
        <f aca="false">IF(M177&lt;&gt;"",2032,L179)</f>
        <v/>
      </c>
    </row>
    <row r="180" customFormat="false" ht="15" hidden="false" customHeight="false" outlineLevel="0" collapsed="false">
      <c r="A180" s="4" t="s">
        <v>600</v>
      </c>
      <c r="B180" s="0" t="s">
        <v>774</v>
      </c>
      <c r="C180" s="0" t="s">
        <v>72</v>
      </c>
      <c r="D180" s="0" t="str">
        <f aca="false">IF(D177&lt;&gt;"",D177,E180)</f>
        <v/>
      </c>
      <c r="E180" s="0" t="str">
        <f aca="false">IF(E177&lt;&gt;"",E177,F180)</f>
        <v/>
      </c>
      <c r="F180" s="0" t="str">
        <f aca="false">IF(F177&lt;&gt;"",F177,G180)</f>
        <v/>
      </c>
      <c r="G180" s="0" t="str">
        <f aca="false">IF(G177&lt;&gt;"",G177,H180)</f>
        <v/>
      </c>
      <c r="H180" s="0" t="str">
        <f aca="false">IF(H177&lt;&gt;"",H177,I180)</f>
        <v/>
      </c>
      <c r="I180" s="0" t="str">
        <f aca="false">IF(I177&lt;&gt;"",I177,J180)</f>
        <v/>
      </c>
      <c r="J180" s="0" t="str">
        <f aca="false">IF(J177&lt;&gt;"",J177,K180)</f>
        <v/>
      </c>
      <c r="K180" s="0" t="str">
        <f aca="false">IF(K177&lt;&gt;"",K177,L180)</f>
        <v/>
      </c>
      <c r="L180" s="0" t="str">
        <f aca="false">IF(L177&lt;&gt;"",L177,M180)</f>
        <v/>
      </c>
      <c r="M180" s="0" t="str">
        <f aca="false">IF(M177&lt;&gt;"",M177,"")</f>
        <v/>
      </c>
    </row>
    <row r="181" customFormat="false" ht="15" hidden="false" customHeight="false" outlineLevel="0" collapsed="false">
      <c r="A181" s="4" t="s">
        <v>602</v>
      </c>
      <c r="B181" s="0" t="s">
        <v>775</v>
      </c>
      <c r="C181" s="4" t="s">
        <v>44</v>
      </c>
      <c r="D181" s="0" t="str">
        <f aca="false">IF(D177&lt;&gt;"",2023,E181)</f>
        <v/>
      </c>
      <c r="E181" s="0" t="str">
        <f aca="false">IF(E177&lt;&gt;"",2024,F181)</f>
        <v/>
      </c>
      <c r="F181" s="0" t="str">
        <f aca="false">IF(F177&lt;&gt;"",2025,G181)</f>
        <v/>
      </c>
      <c r="G181" s="0" t="str">
        <f aca="false">IF(G177&lt;&gt;"",2026,H181)</f>
        <v/>
      </c>
      <c r="H181" s="0" t="str">
        <f aca="false">IF(H177&lt;&gt;"",2027,I181)</f>
        <v/>
      </c>
      <c r="I181" s="0" t="str">
        <f aca="false">IF(I177&lt;&gt;"",2028,J181)</f>
        <v/>
      </c>
      <c r="J181" s="0" t="str">
        <f aca="false">IF(J177&lt;&gt;"",2029,K181)</f>
        <v/>
      </c>
      <c r="K181" s="0" t="str">
        <f aca="false">IF(K177&lt;&gt;"",2030,L181)</f>
        <v/>
      </c>
      <c r="L181" s="0" t="str">
        <f aca="false">IF(L177&lt;&gt;"",2031,M181)</f>
        <v/>
      </c>
      <c r="M181" s="0" t="str">
        <f aca="false">IF(M177&lt;&gt;"",2032,"")</f>
        <v/>
      </c>
    </row>
    <row r="182" customFormat="false" ht="17.15" hidden="false" customHeight="false" outlineLevel="0" collapsed="false">
      <c r="A182" s="4" t="s">
        <v>604</v>
      </c>
      <c r="B182" s="0" t="s">
        <v>776</v>
      </c>
      <c r="C182" s="0" t="s">
        <v>72</v>
      </c>
      <c r="D182" s="23" t="str">
        <f aca="false">IF(D177&lt;&gt;"",D177,IF(AND(D178&lt;&gt;"",D180&lt;&gt;""),D178+(D180-D178)*(2023-D179)/(D181-D179),IF(D178&lt;&gt;"",D178,"")))</f>
        <v/>
      </c>
      <c r="E182" s="23" t="str">
        <f aca="false">IF(E177&lt;&gt;"",E177,IF(AND(E178&lt;&gt;"",E180&lt;&gt;""),E178+(E180-E178)*(2024-E179)/(E181-E179),IF(E178&lt;&gt;"",E178,"")))</f>
        <v/>
      </c>
      <c r="F182" s="23" t="str">
        <f aca="false">IF(F177&lt;&gt;"",F177,IF(AND(F178&lt;&gt;"",F180&lt;&gt;""),F178+(F180-F178)*(2025-F179)/(F181-F179),IF(F178&lt;&gt;"",F178,"")))</f>
        <v/>
      </c>
      <c r="G182" s="23" t="str">
        <f aca="false">IF(G177&lt;&gt;"",G177,IF(AND(G178&lt;&gt;"",G180&lt;&gt;""),G178+(G180-G178)*(2026-G179)/(G181-G179),IF(G178&lt;&gt;"",G178,"")))</f>
        <v/>
      </c>
      <c r="H182" s="23" t="str">
        <f aca="false">IF(H177&lt;&gt;"",H177,IF(AND(H178&lt;&gt;"",H180&lt;&gt;""),H178+(H180-H178)*(2027-H179)/(H181-H179),IF(H178&lt;&gt;"",H178,"")))</f>
        <v/>
      </c>
      <c r="I182" s="23" t="str">
        <f aca="false">IF(I177&lt;&gt;"",I177,IF(AND(I178&lt;&gt;"",I180&lt;&gt;""),I178+(I180-I178)*(2028-I179)/(I181-I179),IF(I178&lt;&gt;"",I178,"")))</f>
        <v/>
      </c>
      <c r="J182" s="23" t="str">
        <f aca="false">IF(J177&lt;&gt;"",J177,IF(AND(J178&lt;&gt;"",J180&lt;&gt;""),J178+(J180-J178)*(2029-J179)/(J181-J179),IF(J178&lt;&gt;"",J178,"")))</f>
        <v/>
      </c>
      <c r="K182" s="23" t="str">
        <f aca="false">IF(K177&lt;&gt;"",K177,IF(AND(K178&lt;&gt;"",K180&lt;&gt;""),K178+(K180-K178)*(2030-K179)/(K181-K179),IF(K178&lt;&gt;"",K178,"")))</f>
        <v/>
      </c>
      <c r="L182" s="23" t="str">
        <f aca="false">IF(L177&lt;&gt;"",L177,IF(AND(L178&lt;&gt;"",L180&lt;&gt;""),L178+(L180-L178)*(2031-L179)/(L181-L179),IF(L178&lt;&gt;"",L178,"")))</f>
        <v/>
      </c>
      <c r="M182" s="23" t="str">
        <f aca="false">IF(M177&lt;&gt;"",M177,IF(AND(M178&lt;&gt;"",M180&lt;&gt;""),M178+(M180-M178)*(2032-M179)/(M181-M179),IF(M178&lt;&gt;"",M178,"")))</f>
        <v/>
      </c>
    </row>
    <row r="183" customFormat="false" ht="15" hidden="false" customHeight="false" outlineLevel="0" collapsed="false">
      <c r="A183" s="4" t="s">
        <v>606</v>
      </c>
      <c r="B183" s="0" t="s">
        <v>777</v>
      </c>
      <c r="C183" s="0" t="s">
        <v>32</v>
      </c>
      <c r="D183" s="0" t="n">
        <f aca="false">IF(In!$H$59&lt;&gt;"",1,IF(D177&lt;&gt;"",2,IF(AND(D178&lt;&gt;"",D180&lt;&gt;""),3,IF(D178&lt;&gt;"",4,0))))</f>
        <v>0</v>
      </c>
      <c r="E183" s="0" t="n">
        <f aca="false">IF(In!$I$59&lt;&gt;"",1,IF(E177&lt;&gt;"",2,IF(AND(E178&lt;&gt;"",E180&lt;&gt;""),3,IF(E178&lt;&gt;"",4,0))))</f>
        <v>0</v>
      </c>
      <c r="F183" s="0" t="n">
        <f aca="false">IF(In!$J$59&lt;&gt;"",1,IF(F177&lt;&gt;"",2,IF(AND(F178&lt;&gt;"",F180&lt;&gt;""),3,IF(F178&lt;&gt;"",4,0))))</f>
        <v>0</v>
      </c>
      <c r="G183" s="0" t="n">
        <f aca="false">IF(In!$K$59&lt;&gt;"",1,IF(G177&lt;&gt;"",2,IF(AND(G178&lt;&gt;"",G180&lt;&gt;""),3,IF(G178&lt;&gt;"",4,0))))</f>
        <v>0</v>
      </c>
      <c r="H183" s="0" t="n">
        <f aca="false">IF(In!$L$59&lt;&gt;"",1,IF(H177&lt;&gt;"",2,IF(AND(H178&lt;&gt;"",H180&lt;&gt;""),3,IF(H178&lt;&gt;"",4,0))))</f>
        <v>0</v>
      </c>
      <c r="I183" s="0" t="n">
        <f aca="false">IF(In!$M$59&lt;&gt;"",1,IF(I177&lt;&gt;"",2,IF(AND(I178&lt;&gt;"",I180&lt;&gt;""),3,IF(I178&lt;&gt;"",4,0))))</f>
        <v>0</v>
      </c>
      <c r="J183" s="0" t="n">
        <f aca="false">IF(In!$N$59&lt;&gt;"",1,IF(J177&lt;&gt;"",2,IF(AND(J178&lt;&gt;"",J180&lt;&gt;""),3,IF(J178&lt;&gt;"",4,0))))</f>
        <v>0</v>
      </c>
      <c r="K183" s="0" t="n">
        <f aca="false">IF(In!$O$59&lt;&gt;"",1,IF(K177&lt;&gt;"",2,IF(AND(K178&lt;&gt;"",K180&lt;&gt;""),3,IF(K178&lt;&gt;"",4,0))))</f>
        <v>0</v>
      </c>
      <c r="L183" s="0" t="n">
        <f aca="false">IF(In!$P$59&lt;&gt;"",1,IF(L177&lt;&gt;"",2,IF(AND(L178&lt;&gt;"",L180&lt;&gt;""),3,IF(L178&lt;&gt;"",4,0))))</f>
        <v>0</v>
      </c>
      <c r="M183" s="0" t="n">
        <f aca="false">IF(In!$Q$59&lt;&gt;"",1,IF(M177&lt;&gt;"",2,IF(AND(M178&lt;&gt;"",M180&lt;&gt;""),3,IF(M178&lt;&gt;"",4,0))))</f>
        <v>0</v>
      </c>
    </row>
    <row r="184" customFormat="false" ht="17.15" hidden="false" customHeight="false" outlineLevel="0" collapsed="false">
      <c r="A184" s="4" t="s">
        <v>608</v>
      </c>
      <c r="B184" s="0" t="s">
        <v>778</v>
      </c>
      <c r="C184" s="0" t="s">
        <v>111</v>
      </c>
      <c r="D184" s="24" t="str">
        <f aca="false">IF(D182="","",IF(In!$C$59="設施",D182/1000,D182/1000/D$13))</f>
        <v/>
      </c>
      <c r="E184" s="24" t="str">
        <f aca="false">IF(E182="","",IF(In!$C$59="設施",E182/1000,E182/1000/E$13))</f>
        <v/>
      </c>
      <c r="F184" s="24" t="str">
        <f aca="false">IF(F182="","",IF(In!$C$59="設施",F182/1000,F182/1000/F$13))</f>
        <v/>
      </c>
      <c r="G184" s="24" t="str">
        <f aca="false">IF(G182="","",IF(In!$C$59="設施",G182/1000,G182/1000/G$13))</f>
        <v/>
      </c>
      <c r="H184" s="24" t="str">
        <f aca="false">IF(H182="","",IF(In!$C$59="設施",H182/1000,H182/1000/H$13))</f>
        <v/>
      </c>
      <c r="I184" s="24" t="str">
        <f aca="false">IF(I182="","",IF(In!$C$59="設施",I182/1000,I182/1000/I$13))</f>
        <v/>
      </c>
      <c r="J184" s="24" t="str">
        <f aca="false">IF(J182="","",IF(In!$C$59="設施",J182/1000,J182/1000/J$13))</f>
        <v/>
      </c>
      <c r="K184" s="24" t="str">
        <f aca="false">IF(K182="","",IF(In!$C$59="設施",K182/1000,K182/1000/K$13))</f>
        <v/>
      </c>
      <c r="L184" s="24" t="str">
        <f aca="false">IF(L182="","",IF(In!$C$59="設施",L182/1000,L182/1000/L$13))</f>
        <v/>
      </c>
      <c r="M184" s="24" t="str">
        <f aca="false">IF(M182="","",IF(In!$C$59="設施",M182/1000,M182/1000/M$13))</f>
        <v/>
      </c>
    </row>
    <row r="185" customFormat="false" ht="17.15" hidden="false" customHeight="false" outlineLevel="0" collapsed="false">
      <c r="A185" s="4" t="s">
        <v>610</v>
      </c>
      <c r="B185" s="0" t="s">
        <v>779</v>
      </c>
      <c r="C185" s="0" t="s">
        <v>111</v>
      </c>
      <c r="D185" s="25" t="str">
        <f aca="false">IF(D182="","",IF(In!$C$59="未說明",D182/1000,D184))</f>
        <v/>
      </c>
      <c r="E185" s="25" t="str">
        <f aca="false">IF(E182="","",IF(In!$C$59="未說明",E182/1000,E184))</f>
        <v/>
      </c>
      <c r="F185" s="25" t="str">
        <f aca="false">IF(F182="","",IF(In!$C$59="未說明",F182/1000,F184))</f>
        <v/>
      </c>
      <c r="G185" s="25" t="str">
        <f aca="false">IF(G182="","",IF(In!$C$59="未說明",G182/1000,G184))</f>
        <v/>
      </c>
      <c r="H185" s="25" t="str">
        <f aca="false">IF(H182="","",IF(In!$C$59="未說明",H182/1000,H184))</f>
        <v/>
      </c>
      <c r="I185" s="25" t="str">
        <f aca="false">IF(I182="","",IF(In!$C$59="未說明",I182/1000,I184))</f>
        <v/>
      </c>
      <c r="J185" s="25" t="str">
        <f aca="false">IF(J182="","",IF(In!$C$59="未說明",J182/1000,J184))</f>
        <v/>
      </c>
      <c r="K185" s="25" t="str">
        <f aca="false">IF(K182="","",IF(In!$C$59="未說明",K182/1000,K184))</f>
        <v/>
      </c>
      <c r="L185" s="25" t="str">
        <f aca="false">IF(L182="","",IF(In!$C$59="未說明",L182/1000,L184))</f>
        <v/>
      </c>
      <c r="M185" s="25" t="str">
        <f aca="false">IF(M182="","",IF(In!$C$59="未說明",M182/1000,M184))</f>
        <v/>
      </c>
    </row>
    <row r="186" customFormat="false" ht="17.15" hidden="false" customHeight="false" outlineLevel="0" collapsed="false">
      <c r="A186" s="4" t="s">
        <v>612</v>
      </c>
      <c r="B186" s="0" t="s">
        <v>780</v>
      </c>
      <c r="C186" s="0" t="s">
        <v>111</v>
      </c>
      <c r="D186" s="0" t="str">
        <f aca="false">""</f>
        <v/>
      </c>
      <c r="E186" s="25" t="str">
        <f aca="false">IF(AND(D184&lt;&gt;"",E184&lt;&gt;""),(D184+E184)/2,"")</f>
        <v/>
      </c>
      <c r="F186" s="25" t="str">
        <f aca="false">IF(AND(E184&lt;&gt;"",F184&lt;&gt;""),(E184+F184)/2,"")</f>
        <v/>
      </c>
      <c r="G186" s="25" t="str">
        <f aca="false">IF(AND(F184&lt;&gt;"",G184&lt;&gt;""),(F184+G184)/2,"")</f>
        <v/>
      </c>
      <c r="H186" s="25" t="str">
        <f aca="false">IF(AND(G184&lt;&gt;"",H184&lt;&gt;""),(G184+H184)/2,"")</f>
        <v/>
      </c>
      <c r="I186" s="25" t="str">
        <f aca="false">IF(AND(H184&lt;&gt;"",I184&lt;&gt;""),(H184+I184)/2,"")</f>
        <v/>
      </c>
      <c r="J186" s="25" t="str">
        <f aca="false">IF(AND(I184&lt;&gt;"",J184&lt;&gt;""),(I184+J184)/2,"")</f>
        <v/>
      </c>
      <c r="K186" s="25" t="str">
        <f aca="false">IF(AND(J184&lt;&gt;"",K184&lt;&gt;""),(J184+K184)/2,"")</f>
        <v/>
      </c>
      <c r="L186" s="25" t="str">
        <f aca="false">IF(AND(K184&lt;&gt;"",L184&lt;&gt;""),(K184+L184)/2,"")</f>
        <v/>
      </c>
      <c r="M186" s="25" t="str">
        <f aca="false">IF(AND(L184&lt;&gt;"",M184&lt;&gt;""),(L184+M184)/2,"")</f>
        <v/>
      </c>
    </row>
    <row r="187" customFormat="false" ht="17.15" hidden="false" customHeight="false" outlineLevel="0" collapsed="false">
      <c r="A187" s="4" t="s">
        <v>614</v>
      </c>
      <c r="B187" s="0" t="s">
        <v>781</v>
      </c>
      <c r="C187" s="0" t="s">
        <v>111</v>
      </c>
      <c r="D187" s="0" t="n">
        <v>0</v>
      </c>
      <c r="E187" s="25" t="n">
        <f aca="false">IF(AND(D184&lt;&gt;"",E184&lt;&gt;""),E184-D184,0)</f>
        <v>0</v>
      </c>
      <c r="F187" s="25" t="n">
        <f aca="false">IF(AND(E184&lt;&gt;"",F184&lt;&gt;""),F184-E184,0)</f>
        <v>0</v>
      </c>
      <c r="G187" s="25" t="n">
        <f aca="false">IF(AND(F184&lt;&gt;"",G184&lt;&gt;""),G184-F184,0)</f>
        <v>0</v>
      </c>
      <c r="H187" s="25" t="n">
        <f aca="false">IF(AND(G184&lt;&gt;"",H184&lt;&gt;""),H184-G184,0)</f>
        <v>0</v>
      </c>
      <c r="I187" s="25" t="n">
        <f aca="false">IF(AND(H184&lt;&gt;"",I184&lt;&gt;""),I184-H184,0)</f>
        <v>0</v>
      </c>
      <c r="J187" s="25" t="n">
        <f aca="false">IF(AND(I184&lt;&gt;"",J184&lt;&gt;""),J184-I184,0)</f>
        <v>0</v>
      </c>
      <c r="K187" s="25" t="n">
        <f aca="false">IF(AND(J184&lt;&gt;"",K184&lt;&gt;""),K184-J184,0)</f>
        <v>0</v>
      </c>
      <c r="L187" s="25" t="n">
        <f aca="false">IF(AND(K184&lt;&gt;"",L184&lt;&gt;""),L184-K184,0)</f>
        <v>0</v>
      </c>
      <c r="M187" s="25" t="n">
        <f aca="false">IF(AND(L184&lt;&gt;"",M184&lt;&gt;""),M184-L184,0)</f>
        <v>0</v>
      </c>
    </row>
    <row r="188" customFormat="false" ht="17.15" hidden="false" customHeight="false" outlineLevel="0" collapsed="false">
      <c r="A188" s="4" t="s">
        <v>616</v>
      </c>
      <c r="B188" s="0" t="s">
        <v>782</v>
      </c>
      <c r="C188" s="0" t="s">
        <v>111</v>
      </c>
      <c r="D188" s="25" t="n">
        <f aca="false">IF(D184&lt;&gt;"",D184,0)</f>
        <v>0</v>
      </c>
      <c r="E188" s="25" t="n">
        <f aca="false">IF(AND(D184="",E184&lt;&gt;""),E184,0)</f>
        <v>0</v>
      </c>
      <c r="F188" s="25" t="n">
        <f aca="false">IF(AND(E184="",F184&lt;&gt;""),F184,0)</f>
        <v>0</v>
      </c>
      <c r="G188" s="25" t="n">
        <f aca="false">IF(AND(F184="",G184&lt;&gt;""),G184,0)</f>
        <v>0</v>
      </c>
      <c r="H188" s="25" t="n">
        <f aca="false">IF(AND(G184="",H184&lt;&gt;""),H184,0)</f>
        <v>0</v>
      </c>
      <c r="I188" s="25" t="n">
        <f aca="false">IF(AND(H184="",I184&lt;&gt;""),I184,0)</f>
        <v>0</v>
      </c>
      <c r="J188" s="25" t="n">
        <f aca="false">IF(AND(I184="",J184&lt;&gt;""),J184,0)</f>
        <v>0</v>
      </c>
      <c r="K188" s="25" t="n">
        <f aca="false">IF(AND(J184="",K184&lt;&gt;""),K184,0)</f>
        <v>0</v>
      </c>
      <c r="L188" s="25" t="n">
        <f aca="false">IF(AND(K184="",L184&lt;&gt;""),L184,0)</f>
        <v>0</v>
      </c>
      <c r="M188" s="25" t="n">
        <f aca="false">IF(AND(L184="",M184&lt;&gt;""),M184,0)</f>
        <v>0</v>
      </c>
    </row>
    <row r="189" customFormat="false" ht="17.15" hidden="false" customHeight="false" outlineLevel="0" collapsed="false">
      <c r="A189" s="4" t="s">
        <v>618</v>
      </c>
      <c r="B189" s="0" t="s">
        <v>783</v>
      </c>
      <c r="C189" s="0" t="s">
        <v>48</v>
      </c>
      <c r="D189" s="19" t="n">
        <f aca="false">D$12</f>
        <v>0.238210067173108</v>
      </c>
      <c r="E189" s="19" t="n">
        <f aca="false">E$12</f>
        <v>0.238210067173108</v>
      </c>
      <c r="F189" s="19" t="n">
        <f aca="false">F$12</f>
        <v>0.238210067173108</v>
      </c>
      <c r="G189" s="19" t="n">
        <f aca="false">G$12</f>
        <v>0.238210067173108</v>
      </c>
      <c r="H189" s="19" t="n">
        <f aca="false">H$12</f>
        <v>0.273101862203342</v>
      </c>
      <c r="I189" s="19" t="n">
        <f aca="false">I$12</f>
        <v>0.269621396123668</v>
      </c>
      <c r="J189" s="19" t="n">
        <f aca="false">J$12</f>
        <v>0.272187509408712</v>
      </c>
      <c r="K189" s="19" t="n">
        <f aca="false">K$12</f>
        <v>0.272187509408712</v>
      </c>
      <c r="L189" s="19" t="n">
        <f aca="false">L$12</f>
        <v>0.272187509408712</v>
      </c>
      <c r="M189" s="19" t="n">
        <f aca="false">M$12</f>
        <v>0.272187509408712</v>
      </c>
    </row>
    <row r="191" customFormat="false" ht="17.15" hidden="false" customHeight="false" outlineLevel="0" collapsed="false">
      <c r="A191" s="17" t="s">
        <v>784</v>
      </c>
      <c r="B191" s="16" t="s">
        <v>785</v>
      </c>
      <c r="N191" s="16" t="s">
        <v>786</v>
      </c>
    </row>
    <row r="192" customFormat="false" ht="17.15" hidden="false" customHeight="false" outlineLevel="0" collapsed="false">
      <c r="A192" s="4" t="s">
        <v>592</v>
      </c>
      <c r="B192" s="0" t="s">
        <v>787</v>
      </c>
      <c r="C192" s="0" t="s">
        <v>72</v>
      </c>
      <c r="D192" s="15" t="str">
        <f aca="false">IF(In!$H$60&lt;&gt;"",In!$H$60,"")</f>
        <v/>
      </c>
      <c r="E192" s="15" t="str">
        <f aca="false">IF(In!$I$60&lt;&gt;"",In!$I$60,"")</f>
        <v/>
      </c>
      <c r="F192" s="15" t="str">
        <f aca="false">IF(In!$J$60&lt;&gt;"",In!$J$60,"")</f>
        <v/>
      </c>
      <c r="G192" s="15" t="str">
        <f aca="false">IF(In!$K$60&lt;&gt;"",In!$K$60,"")</f>
        <v/>
      </c>
      <c r="H192" s="15" t="str">
        <f aca="false">IF(In!$L$60&lt;&gt;"",In!$L$60,"")</f>
        <v/>
      </c>
      <c r="I192" s="15" t="str">
        <f aca="false">IF(In!$M$60&lt;&gt;"",In!$M$60,"")</f>
        <v/>
      </c>
      <c r="J192" s="15" t="str">
        <f aca="false">IF(In!$N$60&lt;&gt;"",In!$N$60,"")</f>
        <v/>
      </c>
      <c r="K192" s="15" t="str">
        <f aca="false">IF(In!$O$60&lt;&gt;"",In!$O$60,"")</f>
        <v/>
      </c>
      <c r="L192" s="15" t="str">
        <f aca="false">IF(In!$P$60&lt;&gt;"",In!$P$60,"")</f>
        <v/>
      </c>
      <c r="M192" s="15" t="str">
        <f aca="false">IF(In!$Q$60&lt;&gt;"",In!$Q$60,"")</f>
        <v/>
      </c>
    </row>
    <row r="193" customFormat="false" ht="15" hidden="false" customHeight="false" outlineLevel="0" collapsed="false">
      <c r="A193" s="4" t="s">
        <v>594</v>
      </c>
      <c r="B193" s="0" t="s">
        <v>788</v>
      </c>
      <c r="C193" s="0" t="s">
        <v>72</v>
      </c>
      <c r="D193" s="0" t="str">
        <f aca="false">IF(In!$H$60&lt;&gt;"",In!$H$60,"")</f>
        <v/>
      </c>
      <c r="E193" s="0" t="str">
        <f aca="false">IF(In!$I$60&lt;&gt;"",In!$I$60,"")</f>
        <v/>
      </c>
      <c r="F193" s="0" t="str">
        <f aca="false">IF(In!$J$60&lt;&gt;"",In!$J$60,"")</f>
        <v/>
      </c>
      <c r="G193" s="0" t="str">
        <f aca="false">IF(In!$K$60&lt;&gt;"",In!$K$60,"")</f>
        <v/>
      </c>
      <c r="H193" s="0" t="str">
        <f aca="false">IF(In!$L$60&lt;&gt;"",In!$L$60,"")</f>
        <v/>
      </c>
      <c r="I193" s="0" t="str">
        <f aca="false">IF(In!$M$60&lt;&gt;"",In!$M$60,"")</f>
        <v/>
      </c>
      <c r="J193" s="0" t="str">
        <f aca="false">IF(In!$N$60&lt;&gt;"",In!$N$60,"")</f>
        <v/>
      </c>
      <c r="K193" s="0" t="str">
        <f aca="false">IF(In!$O$60&lt;&gt;"",In!$O$60,"")</f>
        <v/>
      </c>
      <c r="L193" s="0" t="str">
        <f aca="false">IF(In!$P$60&lt;&gt;"",In!$P$60,"")</f>
        <v/>
      </c>
      <c r="M193" s="0" t="str">
        <f aca="false">IF(In!$Q$60&lt;&gt;"",In!$Q$60,"")</f>
        <v/>
      </c>
    </row>
    <row r="194" customFormat="false" ht="15" hidden="false" customHeight="false" outlineLevel="0" collapsed="false">
      <c r="A194" s="4" t="s">
        <v>596</v>
      </c>
      <c r="B194" s="0" t="s">
        <v>789</v>
      </c>
      <c r="C194" s="0" t="s">
        <v>72</v>
      </c>
      <c r="D194" s="0" t="str">
        <f aca="false">IF(D193&lt;&gt;"",D193,"")</f>
        <v/>
      </c>
      <c r="E194" s="0" t="str">
        <f aca="false">IF(E193&lt;&gt;"",E193,D194)</f>
        <v/>
      </c>
      <c r="F194" s="0" t="str">
        <f aca="false">IF(F193&lt;&gt;"",F193,E194)</f>
        <v/>
      </c>
      <c r="G194" s="0" t="str">
        <f aca="false">IF(G193&lt;&gt;"",G193,F194)</f>
        <v/>
      </c>
      <c r="H194" s="0" t="str">
        <f aca="false">IF(H193&lt;&gt;"",H193,G194)</f>
        <v/>
      </c>
      <c r="I194" s="0" t="str">
        <f aca="false">IF(I193&lt;&gt;"",I193,H194)</f>
        <v/>
      </c>
      <c r="J194" s="0" t="str">
        <f aca="false">IF(J193&lt;&gt;"",J193,I194)</f>
        <v/>
      </c>
      <c r="K194" s="0" t="str">
        <f aca="false">IF(K193&lt;&gt;"",K193,J194)</f>
        <v/>
      </c>
      <c r="L194" s="0" t="str">
        <f aca="false">IF(L193&lt;&gt;"",L193,K194)</f>
        <v/>
      </c>
      <c r="M194" s="0" t="str">
        <f aca="false">IF(M193&lt;&gt;"",M193,L194)</f>
        <v/>
      </c>
    </row>
    <row r="195" customFormat="false" ht="15" hidden="false" customHeight="false" outlineLevel="0" collapsed="false">
      <c r="A195" s="4" t="s">
        <v>598</v>
      </c>
      <c r="B195" s="0" t="s">
        <v>790</v>
      </c>
      <c r="C195" s="4" t="s">
        <v>44</v>
      </c>
      <c r="D195" s="0" t="str">
        <f aca="false">IF(D193&lt;&gt;"",2023,"")</f>
        <v/>
      </c>
      <c r="E195" s="0" t="str">
        <f aca="false">IF(E193&lt;&gt;"",2024,D195)</f>
        <v/>
      </c>
      <c r="F195" s="0" t="str">
        <f aca="false">IF(F193&lt;&gt;"",2025,E195)</f>
        <v/>
      </c>
      <c r="G195" s="0" t="str">
        <f aca="false">IF(G193&lt;&gt;"",2026,F195)</f>
        <v/>
      </c>
      <c r="H195" s="0" t="str">
        <f aca="false">IF(H193&lt;&gt;"",2027,G195)</f>
        <v/>
      </c>
      <c r="I195" s="0" t="str">
        <f aca="false">IF(I193&lt;&gt;"",2028,H195)</f>
        <v/>
      </c>
      <c r="J195" s="0" t="str">
        <f aca="false">IF(J193&lt;&gt;"",2029,I195)</f>
        <v/>
      </c>
      <c r="K195" s="0" t="str">
        <f aca="false">IF(K193&lt;&gt;"",2030,J195)</f>
        <v/>
      </c>
      <c r="L195" s="0" t="str">
        <f aca="false">IF(L193&lt;&gt;"",2031,K195)</f>
        <v/>
      </c>
      <c r="M195" s="0" t="str">
        <f aca="false">IF(M193&lt;&gt;"",2032,L195)</f>
        <v/>
      </c>
    </row>
    <row r="196" customFormat="false" ht="15" hidden="false" customHeight="false" outlineLevel="0" collapsed="false">
      <c r="A196" s="4" t="s">
        <v>600</v>
      </c>
      <c r="B196" s="0" t="s">
        <v>791</v>
      </c>
      <c r="C196" s="0" t="s">
        <v>72</v>
      </c>
      <c r="D196" s="0" t="str">
        <f aca="false">IF(D193&lt;&gt;"",D193,E196)</f>
        <v/>
      </c>
      <c r="E196" s="0" t="str">
        <f aca="false">IF(E193&lt;&gt;"",E193,F196)</f>
        <v/>
      </c>
      <c r="F196" s="0" t="str">
        <f aca="false">IF(F193&lt;&gt;"",F193,G196)</f>
        <v/>
      </c>
      <c r="G196" s="0" t="str">
        <f aca="false">IF(G193&lt;&gt;"",G193,H196)</f>
        <v/>
      </c>
      <c r="H196" s="0" t="str">
        <f aca="false">IF(H193&lt;&gt;"",H193,I196)</f>
        <v/>
      </c>
      <c r="I196" s="0" t="str">
        <f aca="false">IF(I193&lt;&gt;"",I193,J196)</f>
        <v/>
      </c>
      <c r="J196" s="0" t="str">
        <f aca="false">IF(J193&lt;&gt;"",J193,K196)</f>
        <v/>
      </c>
      <c r="K196" s="0" t="str">
        <f aca="false">IF(K193&lt;&gt;"",K193,L196)</f>
        <v/>
      </c>
      <c r="L196" s="0" t="str">
        <f aca="false">IF(L193&lt;&gt;"",L193,M196)</f>
        <v/>
      </c>
      <c r="M196" s="0" t="str">
        <f aca="false">IF(M193&lt;&gt;"",M193,"")</f>
        <v/>
      </c>
    </row>
    <row r="197" customFormat="false" ht="15" hidden="false" customHeight="false" outlineLevel="0" collapsed="false">
      <c r="A197" s="4" t="s">
        <v>602</v>
      </c>
      <c r="B197" s="0" t="s">
        <v>792</v>
      </c>
      <c r="C197" s="4" t="s">
        <v>44</v>
      </c>
      <c r="D197" s="0" t="str">
        <f aca="false">IF(D193&lt;&gt;"",2023,E197)</f>
        <v/>
      </c>
      <c r="E197" s="0" t="str">
        <f aca="false">IF(E193&lt;&gt;"",2024,F197)</f>
        <v/>
      </c>
      <c r="F197" s="0" t="str">
        <f aca="false">IF(F193&lt;&gt;"",2025,G197)</f>
        <v/>
      </c>
      <c r="G197" s="0" t="str">
        <f aca="false">IF(G193&lt;&gt;"",2026,H197)</f>
        <v/>
      </c>
      <c r="H197" s="0" t="str">
        <f aca="false">IF(H193&lt;&gt;"",2027,I197)</f>
        <v/>
      </c>
      <c r="I197" s="0" t="str">
        <f aca="false">IF(I193&lt;&gt;"",2028,J197)</f>
        <v/>
      </c>
      <c r="J197" s="0" t="str">
        <f aca="false">IF(J193&lt;&gt;"",2029,K197)</f>
        <v/>
      </c>
      <c r="K197" s="0" t="str">
        <f aca="false">IF(K193&lt;&gt;"",2030,L197)</f>
        <v/>
      </c>
      <c r="L197" s="0" t="str">
        <f aca="false">IF(L193&lt;&gt;"",2031,M197)</f>
        <v/>
      </c>
      <c r="M197" s="0" t="str">
        <f aca="false">IF(M193&lt;&gt;"",2032,"")</f>
        <v/>
      </c>
    </row>
    <row r="198" customFormat="false" ht="17.15" hidden="false" customHeight="false" outlineLevel="0" collapsed="false">
      <c r="A198" s="4" t="s">
        <v>604</v>
      </c>
      <c r="B198" s="0" t="s">
        <v>793</v>
      </c>
      <c r="C198" s="0" t="s">
        <v>72</v>
      </c>
      <c r="D198" s="23" t="str">
        <f aca="false">IF(D193&lt;&gt;"",D193,IF(AND(D194&lt;&gt;"",D196&lt;&gt;""),D194+(D196-D194)*(2023-D195)/(D197-D195),IF(D194&lt;&gt;"",D194,"")))</f>
        <v/>
      </c>
      <c r="E198" s="23" t="str">
        <f aca="false">IF(E193&lt;&gt;"",E193,IF(AND(E194&lt;&gt;"",E196&lt;&gt;""),E194+(E196-E194)*(2024-E195)/(E197-E195),IF(E194&lt;&gt;"",E194,"")))</f>
        <v/>
      </c>
      <c r="F198" s="23" t="str">
        <f aca="false">IF(F193&lt;&gt;"",F193,IF(AND(F194&lt;&gt;"",F196&lt;&gt;""),F194+(F196-F194)*(2025-F195)/(F197-F195),IF(F194&lt;&gt;"",F194,"")))</f>
        <v/>
      </c>
      <c r="G198" s="23" t="str">
        <f aca="false">IF(G193&lt;&gt;"",G193,IF(AND(G194&lt;&gt;"",G196&lt;&gt;""),G194+(G196-G194)*(2026-G195)/(G197-G195),IF(G194&lt;&gt;"",G194,"")))</f>
        <v/>
      </c>
      <c r="H198" s="23" t="str">
        <f aca="false">IF(H193&lt;&gt;"",H193,IF(AND(H194&lt;&gt;"",H196&lt;&gt;""),H194+(H196-H194)*(2027-H195)/(H197-H195),IF(H194&lt;&gt;"",H194,"")))</f>
        <v/>
      </c>
      <c r="I198" s="23" t="str">
        <f aca="false">IF(I193&lt;&gt;"",I193,IF(AND(I194&lt;&gt;"",I196&lt;&gt;""),I194+(I196-I194)*(2028-I195)/(I197-I195),IF(I194&lt;&gt;"",I194,"")))</f>
        <v/>
      </c>
      <c r="J198" s="23" t="str">
        <f aca="false">IF(J193&lt;&gt;"",J193,IF(AND(J194&lt;&gt;"",J196&lt;&gt;""),J194+(J196-J194)*(2029-J195)/(J197-J195),IF(J194&lt;&gt;"",J194,"")))</f>
        <v/>
      </c>
      <c r="K198" s="23" t="str">
        <f aca="false">IF(K193&lt;&gt;"",K193,IF(AND(K194&lt;&gt;"",K196&lt;&gt;""),K194+(K196-K194)*(2030-K195)/(K197-K195),IF(K194&lt;&gt;"",K194,"")))</f>
        <v/>
      </c>
      <c r="L198" s="23" t="str">
        <f aca="false">IF(L193&lt;&gt;"",L193,IF(AND(L194&lt;&gt;"",L196&lt;&gt;""),L194+(L196-L194)*(2031-L195)/(L197-L195),IF(L194&lt;&gt;"",L194,"")))</f>
        <v/>
      </c>
      <c r="M198" s="23" t="str">
        <f aca="false">IF(M193&lt;&gt;"",M193,IF(AND(M194&lt;&gt;"",M196&lt;&gt;""),M194+(M196-M194)*(2032-M195)/(M197-M195),IF(M194&lt;&gt;"",M194,"")))</f>
        <v/>
      </c>
    </row>
    <row r="199" customFormat="false" ht="15" hidden="false" customHeight="false" outlineLevel="0" collapsed="false">
      <c r="A199" s="4" t="s">
        <v>606</v>
      </c>
      <c r="B199" s="0" t="s">
        <v>794</v>
      </c>
      <c r="C199" s="0" t="s">
        <v>32</v>
      </c>
      <c r="D199" s="0" t="n">
        <f aca="false">IF(In!$H$60&lt;&gt;"",1,IF(D193&lt;&gt;"",2,IF(AND(D194&lt;&gt;"",D196&lt;&gt;""),3,IF(D194&lt;&gt;"",4,0))))</f>
        <v>0</v>
      </c>
      <c r="E199" s="0" t="n">
        <f aca="false">IF(In!$I$60&lt;&gt;"",1,IF(E193&lt;&gt;"",2,IF(AND(E194&lt;&gt;"",E196&lt;&gt;""),3,IF(E194&lt;&gt;"",4,0))))</f>
        <v>0</v>
      </c>
      <c r="F199" s="0" t="n">
        <f aca="false">IF(In!$J$60&lt;&gt;"",1,IF(F193&lt;&gt;"",2,IF(AND(F194&lt;&gt;"",F196&lt;&gt;""),3,IF(F194&lt;&gt;"",4,0))))</f>
        <v>0</v>
      </c>
      <c r="G199" s="0" t="n">
        <f aca="false">IF(In!$K$60&lt;&gt;"",1,IF(G193&lt;&gt;"",2,IF(AND(G194&lt;&gt;"",G196&lt;&gt;""),3,IF(G194&lt;&gt;"",4,0))))</f>
        <v>0</v>
      </c>
      <c r="H199" s="0" t="n">
        <f aca="false">IF(In!$L$60&lt;&gt;"",1,IF(H193&lt;&gt;"",2,IF(AND(H194&lt;&gt;"",H196&lt;&gt;""),3,IF(H194&lt;&gt;"",4,0))))</f>
        <v>0</v>
      </c>
      <c r="I199" s="0" t="n">
        <f aca="false">IF(In!$M$60&lt;&gt;"",1,IF(I193&lt;&gt;"",2,IF(AND(I194&lt;&gt;"",I196&lt;&gt;""),3,IF(I194&lt;&gt;"",4,0))))</f>
        <v>0</v>
      </c>
      <c r="J199" s="0" t="n">
        <f aca="false">IF(In!$N$60&lt;&gt;"",1,IF(J193&lt;&gt;"",2,IF(AND(J194&lt;&gt;"",J196&lt;&gt;""),3,IF(J194&lt;&gt;"",4,0))))</f>
        <v>0</v>
      </c>
      <c r="K199" s="0" t="n">
        <f aca="false">IF(In!$O$60&lt;&gt;"",1,IF(K193&lt;&gt;"",2,IF(AND(K194&lt;&gt;"",K196&lt;&gt;""),3,IF(K194&lt;&gt;"",4,0))))</f>
        <v>0</v>
      </c>
      <c r="L199" s="0" t="n">
        <f aca="false">IF(In!$P$60&lt;&gt;"",1,IF(L193&lt;&gt;"",2,IF(AND(L194&lt;&gt;"",L196&lt;&gt;""),3,IF(L194&lt;&gt;"",4,0))))</f>
        <v>0</v>
      </c>
      <c r="M199" s="0" t="n">
        <f aca="false">IF(In!$Q$60&lt;&gt;"",1,IF(M193&lt;&gt;"",2,IF(AND(M194&lt;&gt;"",M196&lt;&gt;""),3,IF(M194&lt;&gt;"",4,0))))</f>
        <v>0</v>
      </c>
    </row>
    <row r="200" customFormat="false" ht="17.15" hidden="false" customHeight="false" outlineLevel="0" collapsed="false">
      <c r="A200" s="4" t="s">
        <v>608</v>
      </c>
      <c r="B200" s="0" t="s">
        <v>795</v>
      </c>
      <c r="C200" s="0" t="s">
        <v>111</v>
      </c>
      <c r="D200" s="24" t="str">
        <f aca="false">IF(D198="","",IF(In!$C$60="設施",D198/1000,D198/1000/D$13))</f>
        <v/>
      </c>
      <c r="E200" s="24" t="str">
        <f aca="false">IF(E198="","",IF(In!$C$60="設施",E198/1000,E198/1000/E$13))</f>
        <v/>
      </c>
      <c r="F200" s="24" t="str">
        <f aca="false">IF(F198="","",IF(In!$C$60="設施",F198/1000,F198/1000/F$13))</f>
        <v/>
      </c>
      <c r="G200" s="24" t="str">
        <f aca="false">IF(G198="","",IF(In!$C$60="設施",G198/1000,G198/1000/G$13))</f>
        <v/>
      </c>
      <c r="H200" s="24" t="str">
        <f aca="false">IF(H198="","",IF(In!$C$60="設施",H198/1000,H198/1000/H$13))</f>
        <v/>
      </c>
      <c r="I200" s="24" t="str">
        <f aca="false">IF(I198="","",IF(In!$C$60="設施",I198/1000,I198/1000/I$13))</f>
        <v/>
      </c>
      <c r="J200" s="24" t="str">
        <f aca="false">IF(J198="","",IF(In!$C$60="設施",J198/1000,J198/1000/J$13))</f>
        <v/>
      </c>
      <c r="K200" s="24" t="str">
        <f aca="false">IF(K198="","",IF(In!$C$60="設施",K198/1000,K198/1000/K$13))</f>
        <v/>
      </c>
      <c r="L200" s="24" t="str">
        <f aca="false">IF(L198="","",IF(In!$C$60="設施",L198/1000,L198/1000/L$13))</f>
        <v/>
      </c>
      <c r="M200" s="24" t="str">
        <f aca="false">IF(M198="","",IF(In!$C$60="設施",M198/1000,M198/1000/M$13))</f>
        <v/>
      </c>
    </row>
    <row r="201" customFormat="false" ht="17.15" hidden="false" customHeight="false" outlineLevel="0" collapsed="false">
      <c r="A201" s="4" t="s">
        <v>610</v>
      </c>
      <c r="B201" s="0" t="s">
        <v>796</v>
      </c>
      <c r="C201" s="0" t="s">
        <v>111</v>
      </c>
      <c r="D201" s="25" t="str">
        <f aca="false">IF(D198="","",IF(In!$C$60="未說明",D198/1000,D200))</f>
        <v/>
      </c>
      <c r="E201" s="25" t="str">
        <f aca="false">IF(E198="","",IF(In!$C$60="未說明",E198/1000,E200))</f>
        <v/>
      </c>
      <c r="F201" s="25" t="str">
        <f aca="false">IF(F198="","",IF(In!$C$60="未說明",F198/1000,F200))</f>
        <v/>
      </c>
      <c r="G201" s="25" t="str">
        <f aca="false">IF(G198="","",IF(In!$C$60="未說明",G198/1000,G200))</f>
        <v/>
      </c>
      <c r="H201" s="25" t="str">
        <f aca="false">IF(H198="","",IF(In!$C$60="未說明",H198/1000,H200))</f>
        <v/>
      </c>
      <c r="I201" s="25" t="str">
        <f aca="false">IF(I198="","",IF(In!$C$60="未說明",I198/1000,I200))</f>
        <v/>
      </c>
      <c r="J201" s="25" t="str">
        <f aca="false">IF(J198="","",IF(In!$C$60="未說明",J198/1000,J200))</f>
        <v/>
      </c>
      <c r="K201" s="25" t="str">
        <f aca="false">IF(K198="","",IF(In!$C$60="未說明",K198/1000,K200))</f>
        <v/>
      </c>
      <c r="L201" s="25" t="str">
        <f aca="false">IF(L198="","",IF(In!$C$60="未說明",L198/1000,L200))</f>
        <v/>
      </c>
      <c r="M201" s="25" t="str">
        <f aca="false">IF(M198="","",IF(In!$C$60="未說明",M198/1000,M200))</f>
        <v/>
      </c>
    </row>
    <row r="202" customFormat="false" ht="17.15" hidden="false" customHeight="false" outlineLevel="0" collapsed="false">
      <c r="A202" s="4" t="s">
        <v>612</v>
      </c>
      <c r="B202" s="0" t="s">
        <v>797</v>
      </c>
      <c r="C202" s="0" t="s">
        <v>111</v>
      </c>
      <c r="D202" s="0" t="str">
        <f aca="false">""</f>
        <v/>
      </c>
      <c r="E202" s="25" t="str">
        <f aca="false">IF(AND(D200&lt;&gt;"",E200&lt;&gt;""),(D200+E200)/2,"")</f>
        <v/>
      </c>
      <c r="F202" s="25" t="str">
        <f aca="false">IF(AND(E200&lt;&gt;"",F200&lt;&gt;""),(E200+F200)/2,"")</f>
        <v/>
      </c>
      <c r="G202" s="25" t="str">
        <f aca="false">IF(AND(F200&lt;&gt;"",G200&lt;&gt;""),(F200+G200)/2,"")</f>
        <v/>
      </c>
      <c r="H202" s="25" t="str">
        <f aca="false">IF(AND(G200&lt;&gt;"",H200&lt;&gt;""),(G200+H200)/2,"")</f>
        <v/>
      </c>
      <c r="I202" s="25" t="str">
        <f aca="false">IF(AND(H200&lt;&gt;"",I200&lt;&gt;""),(H200+I200)/2,"")</f>
        <v/>
      </c>
      <c r="J202" s="25" t="str">
        <f aca="false">IF(AND(I200&lt;&gt;"",J200&lt;&gt;""),(I200+J200)/2,"")</f>
        <v/>
      </c>
      <c r="K202" s="25" t="str">
        <f aca="false">IF(AND(J200&lt;&gt;"",K200&lt;&gt;""),(J200+K200)/2,"")</f>
        <v/>
      </c>
      <c r="L202" s="25" t="str">
        <f aca="false">IF(AND(K200&lt;&gt;"",L200&lt;&gt;""),(K200+L200)/2,"")</f>
        <v/>
      </c>
      <c r="M202" s="25" t="str">
        <f aca="false">IF(AND(L200&lt;&gt;"",M200&lt;&gt;""),(L200+M200)/2,"")</f>
        <v/>
      </c>
    </row>
    <row r="203" customFormat="false" ht="17.15" hidden="false" customHeight="false" outlineLevel="0" collapsed="false">
      <c r="A203" s="4" t="s">
        <v>614</v>
      </c>
      <c r="B203" s="0" t="s">
        <v>798</v>
      </c>
      <c r="C203" s="0" t="s">
        <v>111</v>
      </c>
      <c r="D203" s="0" t="n">
        <v>0</v>
      </c>
      <c r="E203" s="25" t="n">
        <f aca="false">IF(AND(D200&lt;&gt;"",E200&lt;&gt;""),E200-D200,0)</f>
        <v>0</v>
      </c>
      <c r="F203" s="25" t="n">
        <f aca="false">IF(AND(E200&lt;&gt;"",F200&lt;&gt;""),F200-E200,0)</f>
        <v>0</v>
      </c>
      <c r="G203" s="25" t="n">
        <f aca="false">IF(AND(F200&lt;&gt;"",G200&lt;&gt;""),G200-F200,0)</f>
        <v>0</v>
      </c>
      <c r="H203" s="25" t="n">
        <f aca="false">IF(AND(G200&lt;&gt;"",H200&lt;&gt;""),H200-G200,0)</f>
        <v>0</v>
      </c>
      <c r="I203" s="25" t="n">
        <f aca="false">IF(AND(H200&lt;&gt;"",I200&lt;&gt;""),I200-H200,0)</f>
        <v>0</v>
      </c>
      <c r="J203" s="25" t="n">
        <f aca="false">IF(AND(I200&lt;&gt;"",J200&lt;&gt;""),J200-I200,0)</f>
        <v>0</v>
      </c>
      <c r="K203" s="25" t="n">
        <f aca="false">IF(AND(J200&lt;&gt;"",K200&lt;&gt;""),K200-J200,0)</f>
        <v>0</v>
      </c>
      <c r="L203" s="25" t="n">
        <f aca="false">IF(AND(K200&lt;&gt;"",L200&lt;&gt;""),L200-K200,0)</f>
        <v>0</v>
      </c>
      <c r="M203" s="25" t="n">
        <f aca="false">IF(AND(L200&lt;&gt;"",M200&lt;&gt;""),M200-L200,0)</f>
        <v>0</v>
      </c>
    </row>
    <row r="204" customFormat="false" ht="17.15" hidden="false" customHeight="false" outlineLevel="0" collapsed="false">
      <c r="A204" s="4" t="s">
        <v>616</v>
      </c>
      <c r="B204" s="0" t="s">
        <v>799</v>
      </c>
      <c r="C204" s="0" t="s">
        <v>111</v>
      </c>
      <c r="D204" s="25" t="n">
        <f aca="false">IF(D200&lt;&gt;"",D200,0)</f>
        <v>0</v>
      </c>
      <c r="E204" s="25" t="n">
        <f aca="false">IF(AND(D200="",E200&lt;&gt;""),E200,0)</f>
        <v>0</v>
      </c>
      <c r="F204" s="25" t="n">
        <f aca="false">IF(AND(E200="",F200&lt;&gt;""),F200,0)</f>
        <v>0</v>
      </c>
      <c r="G204" s="25" t="n">
        <f aca="false">IF(AND(F200="",G200&lt;&gt;""),G200,0)</f>
        <v>0</v>
      </c>
      <c r="H204" s="25" t="n">
        <f aca="false">IF(AND(G200="",H200&lt;&gt;""),H200,0)</f>
        <v>0</v>
      </c>
      <c r="I204" s="25" t="n">
        <f aca="false">IF(AND(H200="",I200&lt;&gt;""),I200,0)</f>
        <v>0</v>
      </c>
      <c r="J204" s="25" t="n">
        <f aca="false">IF(AND(I200="",J200&lt;&gt;""),J200,0)</f>
        <v>0</v>
      </c>
      <c r="K204" s="25" t="n">
        <f aca="false">IF(AND(J200="",K200&lt;&gt;""),K200,0)</f>
        <v>0</v>
      </c>
      <c r="L204" s="25" t="n">
        <f aca="false">IF(AND(K200="",L200&lt;&gt;""),L200,0)</f>
        <v>0</v>
      </c>
      <c r="M204" s="25" t="n">
        <f aca="false">IF(AND(L200="",M200&lt;&gt;""),M200,0)</f>
        <v>0</v>
      </c>
    </row>
    <row r="205" customFormat="false" ht="17.15" hidden="false" customHeight="false" outlineLevel="0" collapsed="false">
      <c r="A205" s="4" t="s">
        <v>618</v>
      </c>
      <c r="B205" s="0" t="s">
        <v>800</v>
      </c>
      <c r="C205" s="0" t="s">
        <v>48</v>
      </c>
      <c r="D205" s="19" t="n">
        <f aca="false">D$12</f>
        <v>0.238210067173108</v>
      </c>
      <c r="E205" s="19" t="n">
        <f aca="false">E$12</f>
        <v>0.238210067173108</v>
      </c>
      <c r="F205" s="19" t="n">
        <f aca="false">F$12</f>
        <v>0.238210067173108</v>
      </c>
      <c r="G205" s="19" t="n">
        <f aca="false">G$12</f>
        <v>0.238210067173108</v>
      </c>
      <c r="H205" s="19" t="n">
        <f aca="false">H$12</f>
        <v>0.273101862203342</v>
      </c>
      <c r="I205" s="19" t="n">
        <f aca="false">I$12</f>
        <v>0.269621396123668</v>
      </c>
      <c r="J205" s="19" t="n">
        <f aca="false">J$12</f>
        <v>0.272187509408712</v>
      </c>
      <c r="K205" s="19" t="n">
        <f aca="false">K$12</f>
        <v>0.272187509408712</v>
      </c>
      <c r="L205" s="19" t="n">
        <f aca="false">L$12</f>
        <v>0.272187509408712</v>
      </c>
      <c r="M205" s="19" t="n">
        <f aca="false">M$12</f>
        <v>0.272187509408712</v>
      </c>
    </row>
    <row r="207" customFormat="false" ht="17.15" hidden="false" customHeight="false" outlineLevel="0" collapsed="false">
      <c r="A207" s="17" t="s">
        <v>801</v>
      </c>
      <c r="B207" s="16" t="s">
        <v>802</v>
      </c>
      <c r="N207" s="16" t="s">
        <v>803</v>
      </c>
    </row>
    <row r="208" customFormat="false" ht="17.15" hidden="false" customHeight="false" outlineLevel="0" collapsed="false">
      <c r="A208" s="4" t="s">
        <v>592</v>
      </c>
      <c r="B208" s="0" t="s">
        <v>804</v>
      </c>
      <c r="C208" s="0" t="s">
        <v>72</v>
      </c>
      <c r="D208" s="15" t="str">
        <f aca="false">IF(In!$H$61&lt;&gt;"",In!$H$61,"")</f>
        <v/>
      </c>
      <c r="E208" s="15" t="str">
        <f aca="false">IF(In!$I$61&lt;&gt;"",In!$I$61,"")</f>
        <v/>
      </c>
      <c r="F208" s="15" t="str">
        <f aca="false">IF(In!$J$61&lt;&gt;"",In!$J$61,"")</f>
        <v/>
      </c>
      <c r="G208" s="15" t="str">
        <f aca="false">IF(In!$K$61&lt;&gt;"",In!$K$61,"")</f>
        <v/>
      </c>
      <c r="H208" s="15" t="str">
        <f aca="false">IF(In!$L$61&lt;&gt;"",In!$L$61,"")</f>
        <v/>
      </c>
      <c r="I208" s="15" t="str">
        <f aca="false">IF(In!$M$61&lt;&gt;"",In!$M$61,"")</f>
        <v/>
      </c>
      <c r="J208" s="15" t="str">
        <f aca="false">IF(In!$N$61&lt;&gt;"",In!$N$61,"")</f>
        <v/>
      </c>
      <c r="K208" s="15" t="str">
        <f aca="false">IF(In!$O$61&lt;&gt;"",In!$O$61,"")</f>
        <v/>
      </c>
      <c r="L208" s="15" t="str">
        <f aca="false">IF(In!$P$61&lt;&gt;"",In!$P$61,"")</f>
        <v/>
      </c>
      <c r="M208" s="15" t="str">
        <f aca="false">IF(In!$Q$61&lt;&gt;"",In!$Q$61,"")</f>
        <v/>
      </c>
    </row>
    <row r="209" customFormat="false" ht="15" hidden="false" customHeight="false" outlineLevel="0" collapsed="false">
      <c r="A209" s="4" t="s">
        <v>594</v>
      </c>
      <c r="B209" s="0" t="s">
        <v>805</v>
      </c>
      <c r="C209" s="0" t="s">
        <v>72</v>
      </c>
      <c r="D209" s="0" t="str">
        <f aca="false">IF(In!$H$61&lt;&gt;"",In!$H$61,"")</f>
        <v/>
      </c>
      <c r="E209" s="0" t="str">
        <f aca="false">IF(In!$I$61&lt;&gt;"",In!$I$61,"")</f>
        <v/>
      </c>
      <c r="F209" s="0" t="str">
        <f aca="false">IF(In!$J$61&lt;&gt;"",In!$J$61,"")</f>
        <v/>
      </c>
      <c r="G209" s="0" t="str">
        <f aca="false">IF(In!$K$61&lt;&gt;"",In!$K$61,"")</f>
        <v/>
      </c>
      <c r="H209" s="0" t="str">
        <f aca="false">IF(In!$L$61&lt;&gt;"",In!$L$61,"")</f>
        <v/>
      </c>
      <c r="I209" s="0" t="str">
        <f aca="false">IF(In!$M$61&lt;&gt;"",In!$M$61,"")</f>
        <v/>
      </c>
      <c r="J209" s="0" t="str">
        <f aca="false">IF(In!$N$61&lt;&gt;"",In!$N$61,"")</f>
        <v/>
      </c>
      <c r="K209" s="0" t="str">
        <f aca="false">IF(In!$O$61&lt;&gt;"",In!$O$61,"")</f>
        <v/>
      </c>
      <c r="L209" s="0" t="str">
        <f aca="false">IF(In!$P$61&lt;&gt;"",In!$P$61,"")</f>
        <v/>
      </c>
      <c r="M209" s="0" t="str">
        <f aca="false">IF(In!$Q$61&lt;&gt;"",In!$Q$61,"")</f>
        <v/>
      </c>
    </row>
    <row r="210" customFormat="false" ht="15" hidden="false" customHeight="false" outlineLevel="0" collapsed="false">
      <c r="A210" s="4" t="s">
        <v>596</v>
      </c>
      <c r="B210" s="0" t="s">
        <v>806</v>
      </c>
      <c r="C210" s="0" t="s">
        <v>72</v>
      </c>
      <c r="D210" s="0" t="str">
        <f aca="false">IF(D209&lt;&gt;"",D209,"")</f>
        <v/>
      </c>
      <c r="E210" s="0" t="str">
        <f aca="false">IF(E209&lt;&gt;"",E209,D210)</f>
        <v/>
      </c>
      <c r="F210" s="0" t="str">
        <f aca="false">IF(F209&lt;&gt;"",F209,E210)</f>
        <v/>
      </c>
      <c r="G210" s="0" t="str">
        <f aca="false">IF(G209&lt;&gt;"",G209,F210)</f>
        <v/>
      </c>
      <c r="H210" s="0" t="str">
        <f aca="false">IF(H209&lt;&gt;"",H209,G210)</f>
        <v/>
      </c>
      <c r="I210" s="0" t="str">
        <f aca="false">IF(I209&lt;&gt;"",I209,H210)</f>
        <v/>
      </c>
      <c r="J210" s="0" t="str">
        <f aca="false">IF(J209&lt;&gt;"",J209,I210)</f>
        <v/>
      </c>
      <c r="K210" s="0" t="str">
        <f aca="false">IF(K209&lt;&gt;"",K209,J210)</f>
        <v/>
      </c>
      <c r="L210" s="0" t="str">
        <f aca="false">IF(L209&lt;&gt;"",L209,K210)</f>
        <v/>
      </c>
      <c r="M210" s="0" t="str">
        <f aca="false">IF(M209&lt;&gt;"",M209,L210)</f>
        <v/>
      </c>
    </row>
    <row r="211" customFormat="false" ht="15" hidden="false" customHeight="false" outlineLevel="0" collapsed="false">
      <c r="A211" s="4" t="s">
        <v>598</v>
      </c>
      <c r="B211" s="0" t="s">
        <v>807</v>
      </c>
      <c r="C211" s="4" t="s">
        <v>44</v>
      </c>
      <c r="D211" s="0" t="str">
        <f aca="false">IF(D209&lt;&gt;"",2023,"")</f>
        <v/>
      </c>
      <c r="E211" s="0" t="str">
        <f aca="false">IF(E209&lt;&gt;"",2024,D211)</f>
        <v/>
      </c>
      <c r="F211" s="0" t="str">
        <f aca="false">IF(F209&lt;&gt;"",2025,E211)</f>
        <v/>
      </c>
      <c r="G211" s="0" t="str">
        <f aca="false">IF(G209&lt;&gt;"",2026,F211)</f>
        <v/>
      </c>
      <c r="H211" s="0" t="str">
        <f aca="false">IF(H209&lt;&gt;"",2027,G211)</f>
        <v/>
      </c>
      <c r="I211" s="0" t="str">
        <f aca="false">IF(I209&lt;&gt;"",2028,H211)</f>
        <v/>
      </c>
      <c r="J211" s="0" t="str">
        <f aca="false">IF(J209&lt;&gt;"",2029,I211)</f>
        <v/>
      </c>
      <c r="K211" s="0" t="str">
        <f aca="false">IF(K209&lt;&gt;"",2030,J211)</f>
        <v/>
      </c>
      <c r="L211" s="0" t="str">
        <f aca="false">IF(L209&lt;&gt;"",2031,K211)</f>
        <v/>
      </c>
      <c r="M211" s="0" t="str">
        <f aca="false">IF(M209&lt;&gt;"",2032,L211)</f>
        <v/>
      </c>
    </row>
    <row r="212" customFormat="false" ht="15" hidden="false" customHeight="false" outlineLevel="0" collapsed="false">
      <c r="A212" s="4" t="s">
        <v>600</v>
      </c>
      <c r="B212" s="0" t="s">
        <v>808</v>
      </c>
      <c r="C212" s="0" t="s">
        <v>72</v>
      </c>
      <c r="D212" s="0" t="str">
        <f aca="false">IF(D209&lt;&gt;"",D209,E212)</f>
        <v/>
      </c>
      <c r="E212" s="0" t="str">
        <f aca="false">IF(E209&lt;&gt;"",E209,F212)</f>
        <v/>
      </c>
      <c r="F212" s="0" t="str">
        <f aca="false">IF(F209&lt;&gt;"",F209,G212)</f>
        <v/>
      </c>
      <c r="G212" s="0" t="str">
        <f aca="false">IF(G209&lt;&gt;"",G209,H212)</f>
        <v/>
      </c>
      <c r="H212" s="0" t="str">
        <f aca="false">IF(H209&lt;&gt;"",H209,I212)</f>
        <v/>
      </c>
      <c r="I212" s="0" t="str">
        <f aca="false">IF(I209&lt;&gt;"",I209,J212)</f>
        <v/>
      </c>
      <c r="J212" s="0" t="str">
        <f aca="false">IF(J209&lt;&gt;"",J209,K212)</f>
        <v/>
      </c>
      <c r="K212" s="0" t="str">
        <f aca="false">IF(K209&lt;&gt;"",K209,L212)</f>
        <v/>
      </c>
      <c r="L212" s="0" t="str">
        <f aca="false">IF(L209&lt;&gt;"",L209,M212)</f>
        <v/>
      </c>
      <c r="M212" s="0" t="str">
        <f aca="false">IF(M209&lt;&gt;"",M209,"")</f>
        <v/>
      </c>
    </row>
    <row r="213" customFormat="false" ht="15" hidden="false" customHeight="false" outlineLevel="0" collapsed="false">
      <c r="A213" s="4" t="s">
        <v>602</v>
      </c>
      <c r="B213" s="0" t="s">
        <v>809</v>
      </c>
      <c r="C213" s="4" t="s">
        <v>44</v>
      </c>
      <c r="D213" s="0" t="str">
        <f aca="false">IF(D209&lt;&gt;"",2023,E213)</f>
        <v/>
      </c>
      <c r="E213" s="0" t="str">
        <f aca="false">IF(E209&lt;&gt;"",2024,F213)</f>
        <v/>
      </c>
      <c r="F213" s="0" t="str">
        <f aca="false">IF(F209&lt;&gt;"",2025,G213)</f>
        <v/>
      </c>
      <c r="G213" s="0" t="str">
        <f aca="false">IF(G209&lt;&gt;"",2026,H213)</f>
        <v/>
      </c>
      <c r="H213" s="0" t="str">
        <f aca="false">IF(H209&lt;&gt;"",2027,I213)</f>
        <v/>
      </c>
      <c r="I213" s="0" t="str">
        <f aca="false">IF(I209&lt;&gt;"",2028,J213)</f>
        <v/>
      </c>
      <c r="J213" s="0" t="str">
        <f aca="false">IF(J209&lt;&gt;"",2029,K213)</f>
        <v/>
      </c>
      <c r="K213" s="0" t="str">
        <f aca="false">IF(K209&lt;&gt;"",2030,L213)</f>
        <v/>
      </c>
      <c r="L213" s="0" t="str">
        <f aca="false">IF(L209&lt;&gt;"",2031,M213)</f>
        <v/>
      </c>
      <c r="M213" s="0" t="str">
        <f aca="false">IF(M209&lt;&gt;"",2032,"")</f>
        <v/>
      </c>
    </row>
    <row r="214" customFormat="false" ht="17.15" hidden="false" customHeight="false" outlineLevel="0" collapsed="false">
      <c r="A214" s="4" t="s">
        <v>604</v>
      </c>
      <c r="B214" s="0" t="s">
        <v>810</v>
      </c>
      <c r="C214" s="0" t="s">
        <v>72</v>
      </c>
      <c r="D214" s="23" t="str">
        <f aca="false">IF(D209&lt;&gt;"",D209,IF(AND(D210&lt;&gt;"",D212&lt;&gt;""),D210+(D212-D210)*(2023-D211)/(D213-D211),IF(D210&lt;&gt;"",D210,"")))</f>
        <v/>
      </c>
      <c r="E214" s="23" t="str">
        <f aca="false">IF(E209&lt;&gt;"",E209,IF(AND(E210&lt;&gt;"",E212&lt;&gt;""),E210+(E212-E210)*(2024-E211)/(E213-E211),IF(E210&lt;&gt;"",E210,"")))</f>
        <v/>
      </c>
      <c r="F214" s="23" t="str">
        <f aca="false">IF(F209&lt;&gt;"",F209,IF(AND(F210&lt;&gt;"",F212&lt;&gt;""),F210+(F212-F210)*(2025-F211)/(F213-F211),IF(F210&lt;&gt;"",F210,"")))</f>
        <v/>
      </c>
      <c r="G214" s="23" t="str">
        <f aca="false">IF(G209&lt;&gt;"",G209,IF(AND(G210&lt;&gt;"",G212&lt;&gt;""),G210+(G212-G210)*(2026-G211)/(G213-G211),IF(G210&lt;&gt;"",G210,"")))</f>
        <v/>
      </c>
      <c r="H214" s="23" t="str">
        <f aca="false">IF(H209&lt;&gt;"",H209,IF(AND(H210&lt;&gt;"",H212&lt;&gt;""),H210+(H212-H210)*(2027-H211)/(H213-H211),IF(H210&lt;&gt;"",H210,"")))</f>
        <v/>
      </c>
      <c r="I214" s="23" t="str">
        <f aca="false">IF(I209&lt;&gt;"",I209,IF(AND(I210&lt;&gt;"",I212&lt;&gt;""),I210+(I212-I210)*(2028-I211)/(I213-I211),IF(I210&lt;&gt;"",I210,"")))</f>
        <v/>
      </c>
      <c r="J214" s="23" t="str">
        <f aca="false">IF(J209&lt;&gt;"",J209,IF(AND(J210&lt;&gt;"",J212&lt;&gt;""),J210+(J212-J210)*(2029-J211)/(J213-J211),IF(J210&lt;&gt;"",J210,"")))</f>
        <v/>
      </c>
      <c r="K214" s="23" t="str">
        <f aca="false">IF(K209&lt;&gt;"",K209,IF(AND(K210&lt;&gt;"",K212&lt;&gt;""),K210+(K212-K210)*(2030-K211)/(K213-K211),IF(K210&lt;&gt;"",K210,"")))</f>
        <v/>
      </c>
      <c r="L214" s="23" t="str">
        <f aca="false">IF(L209&lt;&gt;"",L209,IF(AND(L210&lt;&gt;"",L212&lt;&gt;""),L210+(L212-L210)*(2031-L211)/(L213-L211),IF(L210&lt;&gt;"",L210,"")))</f>
        <v/>
      </c>
      <c r="M214" s="23" t="str">
        <f aca="false">IF(M209&lt;&gt;"",M209,IF(AND(M210&lt;&gt;"",M212&lt;&gt;""),M210+(M212-M210)*(2032-M211)/(M213-M211),IF(M210&lt;&gt;"",M210,"")))</f>
        <v/>
      </c>
    </row>
    <row r="215" customFormat="false" ht="15" hidden="false" customHeight="false" outlineLevel="0" collapsed="false">
      <c r="A215" s="4" t="s">
        <v>606</v>
      </c>
      <c r="B215" s="0" t="s">
        <v>811</v>
      </c>
      <c r="C215" s="0" t="s">
        <v>32</v>
      </c>
      <c r="D215" s="0" t="n">
        <f aca="false">IF(In!$H$61&lt;&gt;"",1,IF(D209&lt;&gt;"",2,IF(AND(D210&lt;&gt;"",D212&lt;&gt;""),3,IF(D210&lt;&gt;"",4,0))))</f>
        <v>0</v>
      </c>
      <c r="E215" s="0" t="n">
        <f aca="false">IF(In!$I$61&lt;&gt;"",1,IF(E209&lt;&gt;"",2,IF(AND(E210&lt;&gt;"",E212&lt;&gt;""),3,IF(E210&lt;&gt;"",4,0))))</f>
        <v>0</v>
      </c>
      <c r="F215" s="0" t="n">
        <f aca="false">IF(In!$J$61&lt;&gt;"",1,IF(F209&lt;&gt;"",2,IF(AND(F210&lt;&gt;"",F212&lt;&gt;""),3,IF(F210&lt;&gt;"",4,0))))</f>
        <v>0</v>
      </c>
      <c r="G215" s="0" t="n">
        <f aca="false">IF(In!$K$61&lt;&gt;"",1,IF(G209&lt;&gt;"",2,IF(AND(G210&lt;&gt;"",G212&lt;&gt;""),3,IF(G210&lt;&gt;"",4,0))))</f>
        <v>0</v>
      </c>
      <c r="H215" s="0" t="n">
        <f aca="false">IF(In!$L$61&lt;&gt;"",1,IF(H209&lt;&gt;"",2,IF(AND(H210&lt;&gt;"",H212&lt;&gt;""),3,IF(H210&lt;&gt;"",4,0))))</f>
        <v>0</v>
      </c>
      <c r="I215" s="0" t="n">
        <f aca="false">IF(In!$M$61&lt;&gt;"",1,IF(I209&lt;&gt;"",2,IF(AND(I210&lt;&gt;"",I212&lt;&gt;""),3,IF(I210&lt;&gt;"",4,0))))</f>
        <v>0</v>
      </c>
      <c r="J215" s="0" t="n">
        <f aca="false">IF(In!$N$61&lt;&gt;"",1,IF(J209&lt;&gt;"",2,IF(AND(J210&lt;&gt;"",J212&lt;&gt;""),3,IF(J210&lt;&gt;"",4,0))))</f>
        <v>0</v>
      </c>
      <c r="K215" s="0" t="n">
        <f aca="false">IF(In!$O$61&lt;&gt;"",1,IF(K209&lt;&gt;"",2,IF(AND(K210&lt;&gt;"",K212&lt;&gt;""),3,IF(K210&lt;&gt;"",4,0))))</f>
        <v>0</v>
      </c>
      <c r="L215" s="0" t="n">
        <f aca="false">IF(In!$P$61&lt;&gt;"",1,IF(L209&lt;&gt;"",2,IF(AND(L210&lt;&gt;"",L212&lt;&gt;""),3,IF(L210&lt;&gt;"",4,0))))</f>
        <v>0</v>
      </c>
      <c r="M215" s="0" t="n">
        <f aca="false">IF(In!$Q$61&lt;&gt;"",1,IF(M209&lt;&gt;"",2,IF(AND(M210&lt;&gt;"",M212&lt;&gt;""),3,IF(M210&lt;&gt;"",4,0))))</f>
        <v>0</v>
      </c>
    </row>
    <row r="216" customFormat="false" ht="17.15" hidden="false" customHeight="false" outlineLevel="0" collapsed="false">
      <c r="A216" s="4" t="s">
        <v>608</v>
      </c>
      <c r="B216" s="0" t="s">
        <v>812</v>
      </c>
      <c r="C216" s="0" t="s">
        <v>111</v>
      </c>
      <c r="D216" s="24" t="str">
        <f aca="false">IF(D214="","",IF(In!$C$61="設施",D214/1000,D214/1000/D$13))</f>
        <v/>
      </c>
      <c r="E216" s="24" t="str">
        <f aca="false">IF(E214="","",IF(In!$C$61="設施",E214/1000,E214/1000/E$13))</f>
        <v/>
      </c>
      <c r="F216" s="24" t="str">
        <f aca="false">IF(F214="","",IF(In!$C$61="設施",F214/1000,F214/1000/F$13))</f>
        <v/>
      </c>
      <c r="G216" s="24" t="str">
        <f aca="false">IF(G214="","",IF(In!$C$61="設施",G214/1000,G214/1000/G$13))</f>
        <v/>
      </c>
      <c r="H216" s="24" t="str">
        <f aca="false">IF(H214="","",IF(In!$C$61="設施",H214/1000,H214/1000/H$13))</f>
        <v/>
      </c>
      <c r="I216" s="24" t="str">
        <f aca="false">IF(I214="","",IF(In!$C$61="設施",I214/1000,I214/1000/I$13))</f>
        <v/>
      </c>
      <c r="J216" s="24" t="str">
        <f aca="false">IF(J214="","",IF(In!$C$61="設施",J214/1000,J214/1000/J$13))</f>
        <v/>
      </c>
      <c r="K216" s="24" t="str">
        <f aca="false">IF(K214="","",IF(In!$C$61="設施",K214/1000,K214/1000/K$13))</f>
        <v/>
      </c>
      <c r="L216" s="24" t="str">
        <f aca="false">IF(L214="","",IF(In!$C$61="設施",L214/1000,L214/1000/L$13))</f>
        <v/>
      </c>
      <c r="M216" s="24" t="str">
        <f aca="false">IF(M214="","",IF(In!$C$61="設施",M214/1000,M214/1000/M$13))</f>
        <v/>
      </c>
    </row>
    <row r="217" customFormat="false" ht="17.15" hidden="false" customHeight="false" outlineLevel="0" collapsed="false">
      <c r="A217" s="4" t="s">
        <v>610</v>
      </c>
      <c r="B217" s="0" t="s">
        <v>813</v>
      </c>
      <c r="C217" s="0" t="s">
        <v>111</v>
      </c>
      <c r="D217" s="25" t="str">
        <f aca="false">IF(D214="","",IF(In!$C$61="未說明",D214/1000,D216))</f>
        <v/>
      </c>
      <c r="E217" s="25" t="str">
        <f aca="false">IF(E214="","",IF(In!$C$61="未說明",E214/1000,E216))</f>
        <v/>
      </c>
      <c r="F217" s="25" t="str">
        <f aca="false">IF(F214="","",IF(In!$C$61="未說明",F214/1000,F216))</f>
        <v/>
      </c>
      <c r="G217" s="25" t="str">
        <f aca="false">IF(G214="","",IF(In!$C$61="未說明",G214/1000,G216))</f>
        <v/>
      </c>
      <c r="H217" s="25" t="str">
        <f aca="false">IF(H214="","",IF(In!$C$61="未說明",H214/1000,H216))</f>
        <v/>
      </c>
      <c r="I217" s="25" t="str">
        <f aca="false">IF(I214="","",IF(In!$C$61="未說明",I214/1000,I216))</f>
        <v/>
      </c>
      <c r="J217" s="25" t="str">
        <f aca="false">IF(J214="","",IF(In!$C$61="未說明",J214/1000,J216))</f>
        <v/>
      </c>
      <c r="K217" s="25" t="str">
        <f aca="false">IF(K214="","",IF(In!$C$61="未說明",K214/1000,K216))</f>
        <v/>
      </c>
      <c r="L217" s="25" t="str">
        <f aca="false">IF(L214="","",IF(In!$C$61="未說明",L214/1000,L216))</f>
        <v/>
      </c>
      <c r="M217" s="25" t="str">
        <f aca="false">IF(M214="","",IF(In!$C$61="未說明",M214/1000,M216))</f>
        <v/>
      </c>
    </row>
    <row r="218" customFormat="false" ht="17.15" hidden="false" customHeight="false" outlineLevel="0" collapsed="false">
      <c r="A218" s="4" t="s">
        <v>612</v>
      </c>
      <c r="B218" s="0" t="s">
        <v>814</v>
      </c>
      <c r="C218" s="0" t="s">
        <v>111</v>
      </c>
      <c r="D218" s="0" t="str">
        <f aca="false">""</f>
        <v/>
      </c>
      <c r="E218" s="25" t="str">
        <f aca="false">IF(AND(D216&lt;&gt;"",E216&lt;&gt;""),(D216+E216)/2,"")</f>
        <v/>
      </c>
      <c r="F218" s="25" t="str">
        <f aca="false">IF(AND(E216&lt;&gt;"",F216&lt;&gt;""),(E216+F216)/2,"")</f>
        <v/>
      </c>
      <c r="G218" s="25" t="str">
        <f aca="false">IF(AND(F216&lt;&gt;"",G216&lt;&gt;""),(F216+G216)/2,"")</f>
        <v/>
      </c>
      <c r="H218" s="25" t="str">
        <f aca="false">IF(AND(G216&lt;&gt;"",H216&lt;&gt;""),(G216+H216)/2,"")</f>
        <v/>
      </c>
      <c r="I218" s="25" t="str">
        <f aca="false">IF(AND(H216&lt;&gt;"",I216&lt;&gt;""),(H216+I216)/2,"")</f>
        <v/>
      </c>
      <c r="J218" s="25" t="str">
        <f aca="false">IF(AND(I216&lt;&gt;"",J216&lt;&gt;""),(I216+J216)/2,"")</f>
        <v/>
      </c>
      <c r="K218" s="25" t="str">
        <f aca="false">IF(AND(J216&lt;&gt;"",K216&lt;&gt;""),(J216+K216)/2,"")</f>
        <v/>
      </c>
      <c r="L218" s="25" t="str">
        <f aca="false">IF(AND(K216&lt;&gt;"",L216&lt;&gt;""),(K216+L216)/2,"")</f>
        <v/>
      </c>
      <c r="M218" s="25" t="str">
        <f aca="false">IF(AND(L216&lt;&gt;"",M216&lt;&gt;""),(L216+M216)/2,"")</f>
        <v/>
      </c>
    </row>
    <row r="219" customFormat="false" ht="17.15" hidden="false" customHeight="false" outlineLevel="0" collapsed="false">
      <c r="A219" s="4" t="s">
        <v>614</v>
      </c>
      <c r="B219" s="0" t="s">
        <v>815</v>
      </c>
      <c r="C219" s="0" t="s">
        <v>111</v>
      </c>
      <c r="D219" s="0" t="n">
        <v>0</v>
      </c>
      <c r="E219" s="25" t="n">
        <f aca="false">IF(AND(D216&lt;&gt;"",E216&lt;&gt;""),E216-D216,0)</f>
        <v>0</v>
      </c>
      <c r="F219" s="25" t="n">
        <f aca="false">IF(AND(E216&lt;&gt;"",F216&lt;&gt;""),F216-E216,0)</f>
        <v>0</v>
      </c>
      <c r="G219" s="25" t="n">
        <f aca="false">IF(AND(F216&lt;&gt;"",G216&lt;&gt;""),G216-F216,0)</f>
        <v>0</v>
      </c>
      <c r="H219" s="25" t="n">
        <f aca="false">IF(AND(G216&lt;&gt;"",H216&lt;&gt;""),H216-G216,0)</f>
        <v>0</v>
      </c>
      <c r="I219" s="25" t="n">
        <f aca="false">IF(AND(H216&lt;&gt;"",I216&lt;&gt;""),I216-H216,0)</f>
        <v>0</v>
      </c>
      <c r="J219" s="25" t="n">
        <f aca="false">IF(AND(I216&lt;&gt;"",J216&lt;&gt;""),J216-I216,0)</f>
        <v>0</v>
      </c>
      <c r="K219" s="25" t="n">
        <f aca="false">IF(AND(J216&lt;&gt;"",K216&lt;&gt;""),K216-J216,0)</f>
        <v>0</v>
      </c>
      <c r="L219" s="25" t="n">
        <f aca="false">IF(AND(K216&lt;&gt;"",L216&lt;&gt;""),L216-K216,0)</f>
        <v>0</v>
      </c>
      <c r="M219" s="25" t="n">
        <f aca="false">IF(AND(L216&lt;&gt;"",M216&lt;&gt;""),M216-L216,0)</f>
        <v>0</v>
      </c>
    </row>
    <row r="220" customFormat="false" ht="17.15" hidden="false" customHeight="false" outlineLevel="0" collapsed="false">
      <c r="A220" s="4" t="s">
        <v>616</v>
      </c>
      <c r="B220" s="0" t="s">
        <v>816</v>
      </c>
      <c r="C220" s="0" t="s">
        <v>111</v>
      </c>
      <c r="D220" s="25" t="n">
        <f aca="false">IF(D216&lt;&gt;"",D216,0)</f>
        <v>0</v>
      </c>
      <c r="E220" s="25" t="n">
        <f aca="false">IF(AND(D216="",E216&lt;&gt;""),E216,0)</f>
        <v>0</v>
      </c>
      <c r="F220" s="25" t="n">
        <f aca="false">IF(AND(E216="",F216&lt;&gt;""),F216,0)</f>
        <v>0</v>
      </c>
      <c r="G220" s="25" t="n">
        <f aca="false">IF(AND(F216="",G216&lt;&gt;""),G216,0)</f>
        <v>0</v>
      </c>
      <c r="H220" s="25" t="n">
        <f aca="false">IF(AND(G216="",H216&lt;&gt;""),H216,0)</f>
        <v>0</v>
      </c>
      <c r="I220" s="25" t="n">
        <f aca="false">IF(AND(H216="",I216&lt;&gt;""),I216,0)</f>
        <v>0</v>
      </c>
      <c r="J220" s="25" t="n">
        <f aca="false">IF(AND(I216="",J216&lt;&gt;""),J216,0)</f>
        <v>0</v>
      </c>
      <c r="K220" s="25" t="n">
        <f aca="false">IF(AND(J216="",K216&lt;&gt;""),K216,0)</f>
        <v>0</v>
      </c>
      <c r="L220" s="25" t="n">
        <f aca="false">IF(AND(K216="",L216&lt;&gt;""),L216,0)</f>
        <v>0</v>
      </c>
      <c r="M220" s="25" t="n">
        <f aca="false">IF(AND(L216="",M216&lt;&gt;""),M216,0)</f>
        <v>0</v>
      </c>
    </row>
    <row r="221" customFormat="false" ht="17.15" hidden="false" customHeight="false" outlineLevel="0" collapsed="false">
      <c r="A221" s="4" t="s">
        <v>618</v>
      </c>
      <c r="B221" s="0" t="s">
        <v>817</v>
      </c>
      <c r="C221" s="0" t="s">
        <v>48</v>
      </c>
      <c r="D221" s="19" t="n">
        <f aca="false">D$12</f>
        <v>0.238210067173108</v>
      </c>
      <c r="E221" s="19" t="n">
        <f aca="false">E$12</f>
        <v>0.238210067173108</v>
      </c>
      <c r="F221" s="19" t="n">
        <f aca="false">F$12</f>
        <v>0.238210067173108</v>
      </c>
      <c r="G221" s="19" t="n">
        <f aca="false">G$12</f>
        <v>0.238210067173108</v>
      </c>
      <c r="H221" s="19" t="n">
        <f aca="false">H$12</f>
        <v>0.273101862203342</v>
      </c>
      <c r="I221" s="19" t="n">
        <f aca="false">I$12</f>
        <v>0.269621396123668</v>
      </c>
      <c r="J221" s="19" t="n">
        <f aca="false">J$12</f>
        <v>0.272187509408712</v>
      </c>
      <c r="K221" s="19" t="n">
        <f aca="false">K$12</f>
        <v>0.272187509408712</v>
      </c>
      <c r="L221" s="19" t="n">
        <f aca="false">L$12</f>
        <v>0.272187509408712</v>
      </c>
      <c r="M221" s="19" t="n">
        <f aca="false">M$12</f>
        <v>0.272187509408712</v>
      </c>
    </row>
    <row r="223" customFormat="false" ht="17.15" hidden="false" customHeight="false" outlineLevel="0" collapsed="false">
      <c r="A223" s="17" t="s">
        <v>818</v>
      </c>
      <c r="B223" s="16" t="s">
        <v>819</v>
      </c>
      <c r="N223" s="16" t="s">
        <v>820</v>
      </c>
    </row>
    <row r="224" customFormat="false" ht="17.15" hidden="false" customHeight="false" outlineLevel="0" collapsed="false">
      <c r="A224" s="4" t="s">
        <v>592</v>
      </c>
      <c r="B224" s="0" t="s">
        <v>821</v>
      </c>
      <c r="C224" s="0" t="s">
        <v>72</v>
      </c>
      <c r="D224" s="15" t="str">
        <f aca="false">IF(In!$H$62&lt;&gt;"",In!$H$62,"")</f>
        <v/>
      </c>
      <c r="E224" s="15" t="str">
        <f aca="false">IF(In!$I$62&lt;&gt;"",In!$I$62,"")</f>
        <v/>
      </c>
      <c r="F224" s="15" t="str">
        <f aca="false">IF(In!$J$62&lt;&gt;"",In!$J$62,"")</f>
        <v/>
      </c>
      <c r="G224" s="15" t="str">
        <f aca="false">IF(In!$K$62&lt;&gt;"",In!$K$62,"")</f>
        <v/>
      </c>
      <c r="H224" s="15" t="str">
        <f aca="false">IF(In!$L$62&lt;&gt;"",In!$L$62,"")</f>
        <v/>
      </c>
      <c r="I224" s="15" t="str">
        <f aca="false">IF(In!$M$62&lt;&gt;"",In!$M$62,"")</f>
        <v/>
      </c>
      <c r="J224" s="15" t="str">
        <f aca="false">IF(In!$N$62&lt;&gt;"",In!$N$62,"")</f>
        <v/>
      </c>
      <c r="K224" s="15" t="str">
        <f aca="false">IF(In!$O$62&lt;&gt;"",In!$O$62,"")</f>
        <v/>
      </c>
      <c r="L224" s="15" t="str">
        <f aca="false">IF(In!$P$62&lt;&gt;"",In!$P$62,"")</f>
        <v/>
      </c>
      <c r="M224" s="15" t="str">
        <f aca="false">IF(In!$Q$62&lt;&gt;"",In!$Q$62,"")</f>
        <v/>
      </c>
    </row>
    <row r="225" customFormat="false" ht="15" hidden="false" customHeight="false" outlineLevel="0" collapsed="false">
      <c r="A225" s="4" t="s">
        <v>594</v>
      </c>
      <c r="B225" s="0" t="s">
        <v>822</v>
      </c>
      <c r="C225" s="0" t="s">
        <v>72</v>
      </c>
      <c r="D225" s="0" t="str">
        <f aca="false">IF(In!$H$62&lt;&gt;"",In!$H$62,"")</f>
        <v/>
      </c>
      <c r="E225" s="0" t="str">
        <f aca="false">IF(In!$I$62&lt;&gt;"",In!$I$62,"")</f>
        <v/>
      </c>
      <c r="F225" s="0" t="str">
        <f aca="false">IF(In!$J$62&lt;&gt;"",In!$J$62,"")</f>
        <v/>
      </c>
      <c r="G225" s="0" t="str">
        <f aca="false">IF(In!$K$62&lt;&gt;"",In!$K$62,"")</f>
        <v/>
      </c>
      <c r="H225" s="0" t="str">
        <f aca="false">IF(In!$L$62&lt;&gt;"",In!$L$62,"")</f>
        <v/>
      </c>
      <c r="I225" s="0" t="str">
        <f aca="false">IF(In!$M$62&lt;&gt;"",In!$M$62,"")</f>
        <v/>
      </c>
      <c r="J225" s="0" t="str">
        <f aca="false">IF(In!$N$62&lt;&gt;"",In!$N$62,"")</f>
        <v/>
      </c>
      <c r="K225" s="0" t="str">
        <f aca="false">IF(In!$O$62&lt;&gt;"",In!$O$62,"")</f>
        <v/>
      </c>
      <c r="L225" s="0" t="str">
        <f aca="false">IF(In!$P$62&lt;&gt;"",In!$P$62,"")</f>
        <v/>
      </c>
      <c r="M225" s="0" t="str">
        <f aca="false">IF(In!$Q$62&lt;&gt;"",In!$Q$62,"")</f>
        <v/>
      </c>
    </row>
    <row r="226" customFormat="false" ht="15" hidden="false" customHeight="false" outlineLevel="0" collapsed="false">
      <c r="A226" s="4" t="s">
        <v>596</v>
      </c>
      <c r="B226" s="0" t="s">
        <v>823</v>
      </c>
      <c r="C226" s="0" t="s">
        <v>72</v>
      </c>
      <c r="D226" s="0" t="str">
        <f aca="false">IF(D225&lt;&gt;"",D225,"")</f>
        <v/>
      </c>
      <c r="E226" s="0" t="str">
        <f aca="false">IF(E225&lt;&gt;"",E225,D226)</f>
        <v/>
      </c>
      <c r="F226" s="0" t="str">
        <f aca="false">IF(F225&lt;&gt;"",F225,E226)</f>
        <v/>
      </c>
      <c r="G226" s="0" t="str">
        <f aca="false">IF(G225&lt;&gt;"",G225,F226)</f>
        <v/>
      </c>
      <c r="H226" s="0" t="str">
        <f aca="false">IF(H225&lt;&gt;"",H225,G226)</f>
        <v/>
      </c>
      <c r="I226" s="0" t="str">
        <f aca="false">IF(I225&lt;&gt;"",I225,H226)</f>
        <v/>
      </c>
      <c r="J226" s="0" t="str">
        <f aca="false">IF(J225&lt;&gt;"",J225,I226)</f>
        <v/>
      </c>
      <c r="K226" s="0" t="str">
        <f aca="false">IF(K225&lt;&gt;"",K225,J226)</f>
        <v/>
      </c>
      <c r="L226" s="0" t="str">
        <f aca="false">IF(L225&lt;&gt;"",L225,K226)</f>
        <v/>
      </c>
      <c r="M226" s="0" t="str">
        <f aca="false">IF(M225&lt;&gt;"",M225,L226)</f>
        <v/>
      </c>
    </row>
    <row r="227" customFormat="false" ht="15" hidden="false" customHeight="false" outlineLevel="0" collapsed="false">
      <c r="A227" s="4" t="s">
        <v>598</v>
      </c>
      <c r="B227" s="0" t="s">
        <v>824</v>
      </c>
      <c r="C227" s="4" t="s">
        <v>44</v>
      </c>
      <c r="D227" s="0" t="str">
        <f aca="false">IF(D225&lt;&gt;"",2023,"")</f>
        <v/>
      </c>
      <c r="E227" s="0" t="str">
        <f aca="false">IF(E225&lt;&gt;"",2024,D227)</f>
        <v/>
      </c>
      <c r="F227" s="0" t="str">
        <f aca="false">IF(F225&lt;&gt;"",2025,E227)</f>
        <v/>
      </c>
      <c r="G227" s="0" t="str">
        <f aca="false">IF(G225&lt;&gt;"",2026,F227)</f>
        <v/>
      </c>
      <c r="H227" s="0" t="str">
        <f aca="false">IF(H225&lt;&gt;"",2027,G227)</f>
        <v/>
      </c>
      <c r="I227" s="0" t="str">
        <f aca="false">IF(I225&lt;&gt;"",2028,H227)</f>
        <v/>
      </c>
      <c r="J227" s="0" t="str">
        <f aca="false">IF(J225&lt;&gt;"",2029,I227)</f>
        <v/>
      </c>
      <c r="K227" s="0" t="str">
        <f aca="false">IF(K225&lt;&gt;"",2030,J227)</f>
        <v/>
      </c>
      <c r="L227" s="0" t="str">
        <f aca="false">IF(L225&lt;&gt;"",2031,K227)</f>
        <v/>
      </c>
      <c r="M227" s="0" t="str">
        <f aca="false">IF(M225&lt;&gt;"",2032,L227)</f>
        <v/>
      </c>
    </row>
    <row r="228" customFormat="false" ht="15" hidden="false" customHeight="false" outlineLevel="0" collapsed="false">
      <c r="A228" s="4" t="s">
        <v>600</v>
      </c>
      <c r="B228" s="0" t="s">
        <v>825</v>
      </c>
      <c r="C228" s="0" t="s">
        <v>72</v>
      </c>
      <c r="D228" s="0" t="str">
        <f aca="false">IF(D225&lt;&gt;"",D225,E228)</f>
        <v/>
      </c>
      <c r="E228" s="0" t="str">
        <f aca="false">IF(E225&lt;&gt;"",E225,F228)</f>
        <v/>
      </c>
      <c r="F228" s="0" t="str">
        <f aca="false">IF(F225&lt;&gt;"",F225,G228)</f>
        <v/>
      </c>
      <c r="G228" s="0" t="str">
        <f aca="false">IF(G225&lt;&gt;"",G225,H228)</f>
        <v/>
      </c>
      <c r="H228" s="0" t="str">
        <f aca="false">IF(H225&lt;&gt;"",H225,I228)</f>
        <v/>
      </c>
      <c r="I228" s="0" t="str">
        <f aca="false">IF(I225&lt;&gt;"",I225,J228)</f>
        <v/>
      </c>
      <c r="J228" s="0" t="str">
        <f aca="false">IF(J225&lt;&gt;"",J225,K228)</f>
        <v/>
      </c>
      <c r="K228" s="0" t="str">
        <f aca="false">IF(K225&lt;&gt;"",K225,L228)</f>
        <v/>
      </c>
      <c r="L228" s="0" t="str">
        <f aca="false">IF(L225&lt;&gt;"",L225,M228)</f>
        <v/>
      </c>
      <c r="M228" s="0" t="str">
        <f aca="false">IF(M225&lt;&gt;"",M225,"")</f>
        <v/>
      </c>
    </row>
    <row r="229" customFormat="false" ht="15" hidden="false" customHeight="false" outlineLevel="0" collapsed="false">
      <c r="A229" s="4" t="s">
        <v>602</v>
      </c>
      <c r="B229" s="0" t="s">
        <v>826</v>
      </c>
      <c r="C229" s="4" t="s">
        <v>44</v>
      </c>
      <c r="D229" s="0" t="str">
        <f aca="false">IF(D225&lt;&gt;"",2023,E229)</f>
        <v/>
      </c>
      <c r="E229" s="0" t="str">
        <f aca="false">IF(E225&lt;&gt;"",2024,F229)</f>
        <v/>
      </c>
      <c r="F229" s="0" t="str">
        <f aca="false">IF(F225&lt;&gt;"",2025,G229)</f>
        <v/>
      </c>
      <c r="G229" s="0" t="str">
        <f aca="false">IF(G225&lt;&gt;"",2026,H229)</f>
        <v/>
      </c>
      <c r="H229" s="0" t="str">
        <f aca="false">IF(H225&lt;&gt;"",2027,I229)</f>
        <v/>
      </c>
      <c r="I229" s="0" t="str">
        <f aca="false">IF(I225&lt;&gt;"",2028,J229)</f>
        <v/>
      </c>
      <c r="J229" s="0" t="str">
        <f aca="false">IF(J225&lt;&gt;"",2029,K229)</f>
        <v/>
      </c>
      <c r="K229" s="0" t="str">
        <f aca="false">IF(K225&lt;&gt;"",2030,L229)</f>
        <v/>
      </c>
      <c r="L229" s="0" t="str">
        <f aca="false">IF(L225&lt;&gt;"",2031,M229)</f>
        <v/>
      </c>
      <c r="M229" s="0" t="str">
        <f aca="false">IF(M225&lt;&gt;"",2032,"")</f>
        <v/>
      </c>
    </row>
    <row r="230" customFormat="false" ht="17.15" hidden="false" customHeight="false" outlineLevel="0" collapsed="false">
      <c r="A230" s="4" t="s">
        <v>604</v>
      </c>
      <c r="B230" s="0" t="s">
        <v>827</v>
      </c>
      <c r="C230" s="0" t="s">
        <v>72</v>
      </c>
      <c r="D230" s="23" t="str">
        <f aca="false">IF(D225&lt;&gt;"",D225,IF(AND(D226&lt;&gt;"",D228&lt;&gt;""),D226+(D228-D226)*(2023-D227)/(D229-D227),IF(D226&lt;&gt;"",D226,"")))</f>
        <v/>
      </c>
      <c r="E230" s="23" t="str">
        <f aca="false">IF(E225&lt;&gt;"",E225,IF(AND(E226&lt;&gt;"",E228&lt;&gt;""),E226+(E228-E226)*(2024-E227)/(E229-E227),IF(E226&lt;&gt;"",E226,"")))</f>
        <v/>
      </c>
      <c r="F230" s="23" t="str">
        <f aca="false">IF(F225&lt;&gt;"",F225,IF(AND(F226&lt;&gt;"",F228&lt;&gt;""),F226+(F228-F226)*(2025-F227)/(F229-F227),IF(F226&lt;&gt;"",F226,"")))</f>
        <v/>
      </c>
      <c r="G230" s="23" t="str">
        <f aca="false">IF(G225&lt;&gt;"",G225,IF(AND(G226&lt;&gt;"",G228&lt;&gt;""),G226+(G228-G226)*(2026-G227)/(G229-G227),IF(G226&lt;&gt;"",G226,"")))</f>
        <v/>
      </c>
      <c r="H230" s="23" t="str">
        <f aca="false">IF(H225&lt;&gt;"",H225,IF(AND(H226&lt;&gt;"",H228&lt;&gt;""),H226+(H228-H226)*(2027-H227)/(H229-H227),IF(H226&lt;&gt;"",H226,"")))</f>
        <v/>
      </c>
      <c r="I230" s="23" t="str">
        <f aca="false">IF(I225&lt;&gt;"",I225,IF(AND(I226&lt;&gt;"",I228&lt;&gt;""),I226+(I228-I226)*(2028-I227)/(I229-I227),IF(I226&lt;&gt;"",I226,"")))</f>
        <v/>
      </c>
      <c r="J230" s="23" t="str">
        <f aca="false">IF(J225&lt;&gt;"",J225,IF(AND(J226&lt;&gt;"",J228&lt;&gt;""),J226+(J228-J226)*(2029-J227)/(J229-J227),IF(J226&lt;&gt;"",J226,"")))</f>
        <v/>
      </c>
      <c r="K230" s="23" t="str">
        <f aca="false">IF(K225&lt;&gt;"",K225,IF(AND(K226&lt;&gt;"",K228&lt;&gt;""),K226+(K228-K226)*(2030-K227)/(K229-K227),IF(K226&lt;&gt;"",K226,"")))</f>
        <v/>
      </c>
      <c r="L230" s="23" t="str">
        <f aca="false">IF(L225&lt;&gt;"",L225,IF(AND(L226&lt;&gt;"",L228&lt;&gt;""),L226+(L228-L226)*(2031-L227)/(L229-L227),IF(L226&lt;&gt;"",L226,"")))</f>
        <v/>
      </c>
      <c r="M230" s="23" t="str">
        <f aca="false">IF(M225&lt;&gt;"",M225,IF(AND(M226&lt;&gt;"",M228&lt;&gt;""),M226+(M228-M226)*(2032-M227)/(M229-M227),IF(M226&lt;&gt;"",M226,"")))</f>
        <v/>
      </c>
    </row>
    <row r="231" customFormat="false" ht="15" hidden="false" customHeight="false" outlineLevel="0" collapsed="false">
      <c r="A231" s="4" t="s">
        <v>606</v>
      </c>
      <c r="B231" s="0" t="s">
        <v>828</v>
      </c>
      <c r="C231" s="0" t="s">
        <v>32</v>
      </c>
      <c r="D231" s="0" t="n">
        <f aca="false">IF(In!$H$62&lt;&gt;"",1,IF(D225&lt;&gt;"",2,IF(AND(D226&lt;&gt;"",D228&lt;&gt;""),3,IF(D226&lt;&gt;"",4,0))))</f>
        <v>0</v>
      </c>
      <c r="E231" s="0" t="n">
        <f aca="false">IF(In!$I$62&lt;&gt;"",1,IF(E225&lt;&gt;"",2,IF(AND(E226&lt;&gt;"",E228&lt;&gt;""),3,IF(E226&lt;&gt;"",4,0))))</f>
        <v>0</v>
      </c>
      <c r="F231" s="0" t="n">
        <f aca="false">IF(In!$J$62&lt;&gt;"",1,IF(F225&lt;&gt;"",2,IF(AND(F226&lt;&gt;"",F228&lt;&gt;""),3,IF(F226&lt;&gt;"",4,0))))</f>
        <v>0</v>
      </c>
      <c r="G231" s="0" t="n">
        <f aca="false">IF(In!$K$62&lt;&gt;"",1,IF(G225&lt;&gt;"",2,IF(AND(G226&lt;&gt;"",G228&lt;&gt;""),3,IF(G226&lt;&gt;"",4,0))))</f>
        <v>0</v>
      </c>
      <c r="H231" s="0" t="n">
        <f aca="false">IF(In!$L$62&lt;&gt;"",1,IF(H225&lt;&gt;"",2,IF(AND(H226&lt;&gt;"",H228&lt;&gt;""),3,IF(H226&lt;&gt;"",4,0))))</f>
        <v>0</v>
      </c>
      <c r="I231" s="0" t="n">
        <f aca="false">IF(In!$M$62&lt;&gt;"",1,IF(I225&lt;&gt;"",2,IF(AND(I226&lt;&gt;"",I228&lt;&gt;""),3,IF(I226&lt;&gt;"",4,0))))</f>
        <v>0</v>
      </c>
      <c r="J231" s="0" t="n">
        <f aca="false">IF(In!$N$62&lt;&gt;"",1,IF(J225&lt;&gt;"",2,IF(AND(J226&lt;&gt;"",J228&lt;&gt;""),3,IF(J226&lt;&gt;"",4,0))))</f>
        <v>0</v>
      </c>
      <c r="K231" s="0" t="n">
        <f aca="false">IF(In!$O$62&lt;&gt;"",1,IF(K225&lt;&gt;"",2,IF(AND(K226&lt;&gt;"",K228&lt;&gt;""),3,IF(K226&lt;&gt;"",4,0))))</f>
        <v>0</v>
      </c>
      <c r="L231" s="0" t="n">
        <f aca="false">IF(In!$P$62&lt;&gt;"",1,IF(L225&lt;&gt;"",2,IF(AND(L226&lt;&gt;"",L228&lt;&gt;""),3,IF(L226&lt;&gt;"",4,0))))</f>
        <v>0</v>
      </c>
      <c r="M231" s="0" t="n">
        <f aca="false">IF(In!$Q$62&lt;&gt;"",1,IF(M225&lt;&gt;"",2,IF(AND(M226&lt;&gt;"",M228&lt;&gt;""),3,IF(M226&lt;&gt;"",4,0))))</f>
        <v>0</v>
      </c>
    </row>
    <row r="232" customFormat="false" ht="17.15" hidden="false" customHeight="false" outlineLevel="0" collapsed="false">
      <c r="A232" s="4" t="s">
        <v>608</v>
      </c>
      <c r="B232" s="0" t="s">
        <v>829</v>
      </c>
      <c r="C232" s="0" t="s">
        <v>111</v>
      </c>
      <c r="D232" s="24" t="str">
        <f aca="false">IF(D230="","",IF(In!$C$62="設施",D230/1000,D230/1000/D$13))</f>
        <v/>
      </c>
      <c r="E232" s="24" t="str">
        <f aca="false">IF(E230="","",IF(In!$C$62="設施",E230/1000,E230/1000/E$13))</f>
        <v/>
      </c>
      <c r="F232" s="24" t="str">
        <f aca="false">IF(F230="","",IF(In!$C$62="設施",F230/1000,F230/1000/F$13))</f>
        <v/>
      </c>
      <c r="G232" s="24" t="str">
        <f aca="false">IF(G230="","",IF(In!$C$62="設施",G230/1000,G230/1000/G$13))</f>
        <v/>
      </c>
      <c r="H232" s="24" t="str">
        <f aca="false">IF(H230="","",IF(In!$C$62="設施",H230/1000,H230/1000/H$13))</f>
        <v/>
      </c>
      <c r="I232" s="24" t="str">
        <f aca="false">IF(I230="","",IF(In!$C$62="設施",I230/1000,I230/1000/I$13))</f>
        <v/>
      </c>
      <c r="J232" s="24" t="str">
        <f aca="false">IF(J230="","",IF(In!$C$62="設施",J230/1000,J230/1000/J$13))</f>
        <v/>
      </c>
      <c r="K232" s="24" t="str">
        <f aca="false">IF(K230="","",IF(In!$C$62="設施",K230/1000,K230/1000/K$13))</f>
        <v/>
      </c>
      <c r="L232" s="24" t="str">
        <f aca="false">IF(L230="","",IF(In!$C$62="設施",L230/1000,L230/1000/L$13))</f>
        <v/>
      </c>
      <c r="M232" s="24" t="str">
        <f aca="false">IF(M230="","",IF(In!$C$62="設施",M230/1000,M230/1000/M$13))</f>
        <v/>
      </c>
    </row>
    <row r="233" customFormat="false" ht="17.15" hidden="false" customHeight="false" outlineLevel="0" collapsed="false">
      <c r="A233" s="4" t="s">
        <v>610</v>
      </c>
      <c r="B233" s="0" t="s">
        <v>830</v>
      </c>
      <c r="C233" s="0" t="s">
        <v>111</v>
      </c>
      <c r="D233" s="25" t="str">
        <f aca="false">IF(D230="","",IF(In!$C$62="未說明",D230/1000,D232))</f>
        <v/>
      </c>
      <c r="E233" s="25" t="str">
        <f aca="false">IF(E230="","",IF(In!$C$62="未說明",E230/1000,E232))</f>
        <v/>
      </c>
      <c r="F233" s="25" t="str">
        <f aca="false">IF(F230="","",IF(In!$C$62="未說明",F230/1000,F232))</f>
        <v/>
      </c>
      <c r="G233" s="25" t="str">
        <f aca="false">IF(G230="","",IF(In!$C$62="未說明",G230/1000,G232))</f>
        <v/>
      </c>
      <c r="H233" s="25" t="str">
        <f aca="false">IF(H230="","",IF(In!$C$62="未說明",H230/1000,H232))</f>
        <v/>
      </c>
      <c r="I233" s="25" t="str">
        <f aca="false">IF(I230="","",IF(In!$C$62="未說明",I230/1000,I232))</f>
        <v/>
      </c>
      <c r="J233" s="25" t="str">
        <f aca="false">IF(J230="","",IF(In!$C$62="未說明",J230/1000,J232))</f>
        <v/>
      </c>
      <c r="K233" s="25" t="str">
        <f aca="false">IF(K230="","",IF(In!$C$62="未說明",K230/1000,K232))</f>
        <v/>
      </c>
      <c r="L233" s="25" t="str">
        <f aca="false">IF(L230="","",IF(In!$C$62="未說明",L230/1000,L232))</f>
        <v/>
      </c>
      <c r="M233" s="25" t="str">
        <f aca="false">IF(M230="","",IF(In!$C$62="未說明",M230/1000,M232))</f>
        <v/>
      </c>
    </row>
    <row r="234" customFormat="false" ht="17.15" hidden="false" customHeight="false" outlineLevel="0" collapsed="false">
      <c r="A234" s="4" t="s">
        <v>612</v>
      </c>
      <c r="B234" s="0" t="s">
        <v>831</v>
      </c>
      <c r="C234" s="0" t="s">
        <v>111</v>
      </c>
      <c r="D234" s="0" t="str">
        <f aca="false">""</f>
        <v/>
      </c>
      <c r="E234" s="25" t="str">
        <f aca="false">IF(AND(D232&lt;&gt;"",E232&lt;&gt;""),(D232+E232)/2,"")</f>
        <v/>
      </c>
      <c r="F234" s="25" t="str">
        <f aca="false">IF(AND(E232&lt;&gt;"",F232&lt;&gt;""),(E232+F232)/2,"")</f>
        <v/>
      </c>
      <c r="G234" s="25" t="str">
        <f aca="false">IF(AND(F232&lt;&gt;"",G232&lt;&gt;""),(F232+G232)/2,"")</f>
        <v/>
      </c>
      <c r="H234" s="25" t="str">
        <f aca="false">IF(AND(G232&lt;&gt;"",H232&lt;&gt;""),(G232+H232)/2,"")</f>
        <v/>
      </c>
      <c r="I234" s="25" t="str">
        <f aca="false">IF(AND(H232&lt;&gt;"",I232&lt;&gt;""),(H232+I232)/2,"")</f>
        <v/>
      </c>
      <c r="J234" s="25" t="str">
        <f aca="false">IF(AND(I232&lt;&gt;"",J232&lt;&gt;""),(I232+J232)/2,"")</f>
        <v/>
      </c>
      <c r="K234" s="25" t="str">
        <f aca="false">IF(AND(J232&lt;&gt;"",K232&lt;&gt;""),(J232+K232)/2,"")</f>
        <v/>
      </c>
      <c r="L234" s="25" t="str">
        <f aca="false">IF(AND(K232&lt;&gt;"",L232&lt;&gt;""),(K232+L232)/2,"")</f>
        <v/>
      </c>
      <c r="M234" s="25" t="str">
        <f aca="false">IF(AND(L232&lt;&gt;"",M232&lt;&gt;""),(L232+M232)/2,"")</f>
        <v/>
      </c>
    </row>
    <row r="235" customFormat="false" ht="17.15" hidden="false" customHeight="false" outlineLevel="0" collapsed="false">
      <c r="A235" s="4" t="s">
        <v>614</v>
      </c>
      <c r="B235" s="0" t="s">
        <v>832</v>
      </c>
      <c r="C235" s="0" t="s">
        <v>111</v>
      </c>
      <c r="D235" s="0" t="n">
        <v>0</v>
      </c>
      <c r="E235" s="25" t="n">
        <f aca="false">IF(AND(D232&lt;&gt;"",E232&lt;&gt;""),E232-D232,0)</f>
        <v>0</v>
      </c>
      <c r="F235" s="25" t="n">
        <f aca="false">IF(AND(E232&lt;&gt;"",F232&lt;&gt;""),F232-E232,0)</f>
        <v>0</v>
      </c>
      <c r="G235" s="25" t="n">
        <f aca="false">IF(AND(F232&lt;&gt;"",G232&lt;&gt;""),G232-F232,0)</f>
        <v>0</v>
      </c>
      <c r="H235" s="25" t="n">
        <f aca="false">IF(AND(G232&lt;&gt;"",H232&lt;&gt;""),H232-G232,0)</f>
        <v>0</v>
      </c>
      <c r="I235" s="25" t="n">
        <f aca="false">IF(AND(H232&lt;&gt;"",I232&lt;&gt;""),I232-H232,0)</f>
        <v>0</v>
      </c>
      <c r="J235" s="25" t="n">
        <f aca="false">IF(AND(I232&lt;&gt;"",J232&lt;&gt;""),J232-I232,0)</f>
        <v>0</v>
      </c>
      <c r="K235" s="25" t="n">
        <f aca="false">IF(AND(J232&lt;&gt;"",K232&lt;&gt;""),K232-J232,0)</f>
        <v>0</v>
      </c>
      <c r="L235" s="25" t="n">
        <f aca="false">IF(AND(K232&lt;&gt;"",L232&lt;&gt;""),L232-K232,0)</f>
        <v>0</v>
      </c>
      <c r="M235" s="25" t="n">
        <f aca="false">IF(AND(L232&lt;&gt;"",M232&lt;&gt;""),M232-L232,0)</f>
        <v>0</v>
      </c>
    </row>
    <row r="236" customFormat="false" ht="17.15" hidden="false" customHeight="false" outlineLevel="0" collapsed="false">
      <c r="A236" s="4" t="s">
        <v>616</v>
      </c>
      <c r="B236" s="0" t="s">
        <v>833</v>
      </c>
      <c r="C236" s="0" t="s">
        <v>111</v>
      </c>
      <c r="D236" s="25" t="n">
        <f aca="false">IF(D232&lt;&gt;"",D232,0)</f>
        <v>0</v>
      </c>
      <c r="E236" s="25" t="n">
        <f aca="false">IF(AND(D232="",E232&lt;&gt;""),E232,0)</f>
        <v>0</v>
      </c>
      <c r="F236" s="25" t="n">
        <f aca="false">IF(AND(E232="",F232&lt;&gt;""),F232,0)</f>
        <v>0</v>
      </c>
      <c r="G236" s="25" t="n">
        <f aca="false">IF(AND(F232="",G232&lt;&gt;""),G232,0)</f>
        <v>0</v>
      </c>
      <c r="H236" s="25" t="n">
        <f aca="false">IF(AND(G232="",H232&lt;&gt;""),H232,0)</f>
        <v>0</v>
      </c>
      <c r="I236" s="25" t="n">
        <f aca="false">IF(AND(H232="",I232&lt;&gt;""),I232,0)</f>
        <v>0</v>
      </c>
      <c r="J236" s="25" t="n">
        <f aca="false">IF(AND(I232="",J232&lt;&gt;""),J232,0)</f>
        <v>0</v>
      </c>
      <c r="K236" s="25" t="n">
        <f aca="false">IF(AND(J232="",K232&lt;&gt;""),K232,0)</f>
        <v>0</v>
      </c>
      <c r="L236" s="25" t="n">
        <f aca="false">IF(AND(K232="",L232&lt;&gt;""),L232,0)</f>
        <v>0</v>
      </c>
      <c r="M236" s="25" t="n">
        <f aca="false">IF(AND(L232="",M232&lt;&gt;""),M232,0)</f>
        <v>0</v>
      </c>
    </row>
    <row r="237" customFormat="false" ht="17.15" hidden="false" customHeight="false" outlineLevel="0" collapsed="false">
      <c r="A237" s="4" t="s">
        <v>618</v>
      </c>
      <c r="B237" s="0" t="s">
        <v>834</v>
      </c>
      <c r="C237" s="0" t="s">
        <v>48</v>
      </c>
      <c r="D237" s="19" t="n">
        <f aca="false">D$12</f>
        <v>0.238210067173108</v>
      </c>
      <c r="E237" s="19" t="n">
        <f aca="false">E$12</f>
        <v>0.238210067173108</v>
      </c>
      <c r="F237" s="19" t="n">
        <f aca="false">F$12</f>
        <v>0.238210067173108</v>
      </c>
      <c r="G237" s="19" t="n">
        <f aca="false">G$12</f>
        <v>0.238210067173108</v>
      </c>
      <c r="H237" s="19" t="n">
        <f aca="false">H$12</f>
        <v>0.273101862203342</v>
      </c>
      <c r="I237" s="19" t="n">
        <f aca="false">I$12</f>
        <v>0.269621396123668</v>
      </c>
      <c r="J237" s="19" t="n">
        <f aca="false">J$12</f>
        <v>0.272187509408712</v>
      </c>
      <c r="K237" s="19" t="n">
        <f aca="false">K$12</f>
        <v>0.272187509408712</v>
      </c>
      <c r="L237" s="19" t="n">
        <f aca="false">L$12</f>
        <v>0.272187509408712</v>
      </c>
      <c r="M237" s="19" t="n">
        <f aca="false">M$12</f>
        <v>0.272187509408712</v>
      </c>
    </row>
    <row r="239" customFormat="false" ht="17.15" hidden="false" customHeight="false" outlineLevel="0" collapsed="false">
      <c r="A239" s="17" t="s">
        <v>835</v>
      </c>
      <c r="B239" s="16" t="s">
        <v>836</v>
      </c>
      <c r="N239" s="16" t="s">
        <v>837</v>
      </c>
    </row>
    <row r="240" customFormat="false" ht="17.15" hidden="false" customHeight="false" outlineLevel="0" collapsed="false">
      <c r="A240" s="4" t="s">
        <v>592</v>
      </c>
      <c r="B240" s="0" t="s">
        <v>838</v>
      </c>
      <c r="C240" s="0" t="s">
        <v>72</v>
      </c>
      <c r="D240" s="15" t="str">
        <f aca="false">IF(In!$H$63&lt;&gt;"",In!$H$63,"")</f>
        <v/>
      </c>
      <c r="E240" s="15" t="str">
        <f aca="false">IF(In!$I$63&lt;&gt;"",In!$I$63,"")</f>
        <v/>
      </c>
      <c r="F240" s="15" t="str">
        <f aca="false">IF(In!$J$63&lt;&gt;"",In!$J$63,"")</f>
        <v/>
      </c>
      <c r="G240" s="15" t="str">
        <f aca="false">IF(In!$K$63&lt;&gt;"",In!$K$63,"")</f>
        <v/>
      </c>
      <c r="H240" s="15" t="str">
        <f aca="false">IF(In!$L$63&lt;&gt;"",In!$L$63,"")</f>
        <v/>
      </c>
      <c r="I240" s="15" t="str">
        <f aca="false">IF(In!$M$63&lt;&gt;"",In!$M$63,"")</f>
        <v/>
      </c>
      <c r="J240" s="15" t="str">
        <f aca="false">IF(In!$N$63&lt;&gt;"",In!$N$63,"")</f>
        <v/>
      </c>
      <c r="K240" s="15" t="str">
        <f aca="false">IF(In!$O$63&lt;&gt;"",In!$O$63,"")</f>
        <v/>
      </c>
      <c r="L240" s="15" t="str">
        <f aca="false">IF(In!$P$63&lt;&gt;"",In!$P$63,"")</f>
        <v/>
      </c>
      <c r="M240" s="15" t="str">
        <f aca="false">IF(In!$Q$63&lt;&gt;"",In!$Q$63,"")</f>
        <v/>
      </c>
    </row>
    <row r="241" customFormat="false" ht="15" hidden="false" customHeight="false" outlineLevel="0" collapsed="false">
      <c r="A241" s="4" t="s">
        <v>594</v>
      </c>
      <c r="B241" s="0" t="s">
        <v>839</v>
      </c>
      <c r="C241" s="0" t="s">
        <v>72</v>
      </c>
      <c r="D241" s="0" t="str">
        <f aca="false">IF(In!$H$63&lt;&gt;"",In!$H$63,"")</f>
        <v/>
      </c>
      <c r="E241" s="0" t="str">
        <f aca="false">IF(In!$I$63&lt;&gt;"",In!$I$63,"")</f>
        <v/>
      </c>
      <c r="F241" s="0" t="str">
        <f aca="false">IF(In!$J$63&lt;&gt;"",In!$J$63,"")</f>
        <v/>
      </c>
      <c r="G241" s="0" t="str">
        <f aca="false">IF(In!$K$63&lt;&gt;"",In!$K$63,"")</f>
        <v/>
      </c>
      <c r="H241" s="0" t="str">
        <f aca="false">IF(In!$L$63&lt;&gt;"",In!$L$63,"")</f>
        <v/>
      </c>
      <c r="I241" s="0" t="str">
        <f aca="false">IF(In!$M$63&lt;&gt;"",In!$M$63,"")</f>
        <v/>
      </c>
      <c r="J241" s="0" t="str">
        <f aca="false">IF(In!$N$63&lt;&gt;"",In!$N$63,"")</f>
        <v/>
      </c>
      <c r="K241" s="0" t="str">
        <f aca="false">IF(In!$O$63&lt;&gt;"",In!$O$63,"")</f>
        <v/>
      </c>
      <c r="L241" s="0" t="str">
        <f aca="false">IF(In!$P$63&lt;&gt;"",In!$P$63,"")</f>
        <v/>
      </c>
      <c r="M241" s="0" t="str">
        <f aca="false">IF(In!$Q$63&lt;&gt;"",In!$Q$63,"")</f>
        <v/>
      </c>
    </row>
    <row r="242" customFormat="false" ht="15" hidden="false" customHeight="false" outlineLevel="0" collapsed="false">
      <c r="A242" s="4" t="s">
        <v>596</v>
      </c>
      <c r="B242" s="0" t="s">
        <v>840</v>
      </c>
      <c r="C242" s="0" t="s">
        <v>72</v>
      </c>
      <c r="D242" s="0" t="str">
        <f aca="false">IF(D241&lt;&gt;"",D241,"")</f>
        <v/>
      </c>
      <c r="E242" s="0" t="str">
        <f aca="false">IF(E241&lt;&gt;"",E241,D242)</f>
        <v/>
      </c>
      <c r="F242" s="0" t="str">
        <f aca="false">IF(F241&lt;&gt;"",F241,E242)</f>
        <v/>
      </c>
      <c r="G242" s="0" t="str">
        <f aca="false">IF(G241&lt;&gt;"",G241,F242)</f>
        <v/>
      </c>
      <c r="H242" s="0" t="str">
        <f aca="false">IF(H241&lt;&gt;"",H241,G242)</f>
        <v/>
      </c>
      <c r="I242" s="0" t="str">
        <f aca="false">IF(I241&lt;&gt;"",I241,H242)</f>
        <v/>
      </c>
      <c r="J242" s="0" t="str">
        <f aca="false">IF(J241&lt;&gt;"",J241,I242)</f>
        <v/>
      </c>
      <c r="K242" s="0" t="str">
        <f aca="false">IF(K241&lt;&gt;"",K241,J242)</f>
        <v/>
      </c>
      <c r="L242" s="0" t="str">
        <f aca="false">IF(L241&lt;&gt;"",L241,K242)</f>
        <v/>
      </c>
      <c r="M242" s="0" t="str">
        <f aca="false">IF(M241&lt;&gt;"",M241,L242)</f>
        <v/>
      </c>
    </row>
    <row r="243" customFormat="false" ht="15" hidden="false" customHeight="false" outlineLevel="0" collapsed="false">
      <c r="A243" s="4" t="s">
        <v>598</v>
      </c>
      <c r="B243" s="0" t="s">
        <v>841</v>
      </c>
      <c r="C243" s="4" t="s">
        <v>44</v>
      </c>
      <c r="D243" s="0" t="str">
        <f aca="false">IF(D241&lt;&gt;"",2023,"")</f>
        <v/>
      </c>
      <c r="E243" s="0" t="str">
        <f aca="false">IF(E241&lt;&gt;"",2024,D243)</f>
        <v/>
      </c>
      <c r="F243" s="0" t="str">
        <f aca="false">IF(F241&lt;&gt;"",2025,E243)</f>
        <v/>
      </c>
      <c r="G243" s="0" t="str">
        <f aca="false">IF(G241&lt;&gt;"",2026,F243)</f>
        <v/>
      </c>
      <c r="H243" s="0" t="str">
        <f aca="false">IF(H241&lt;&gt;"",2027,G243)</f>
        <v/>
      </c>
      <c r="I243" s="0" t="str">
        <f aca="false">IF(I241&lt;&gt;"",2028,H243)</f>
        <v/>
      </c>
      <c r="J243" s="0" t="str">
        <f aca="false">IF(J241&lt;&gt;"",2029,I243)</f>
        <v/>
      </c>
      <c r="K243" s="0" t="str">
        <f aca="false">IF(K241&lt;&gt;"",2030,J243)</f>
        <v/>
      </c>
      <c r="L243" s="0" t="str">
        <f aca="false">IF(L241&lt;&gt;"",2031,K243)</f>
        <v/>
      </c>
      <c r="M243" s="0" t="str">
        <f aca="false">IF(M241&lt;&gt;"",2032,L243)</f>
        <v/>
      </c>
    </row>
    <row r="244" customFormat="false" ht="15" hidden="false" customHeight="false" outlineLevel="0" collapsed="false">
      <c r="A244" s="4" t="s">
        <v>600</v>
      </c>
      <c r="B244" s="0" t="s">
        <v>842</v>
      </c>
      <c r="C244" s="0" t="s">
        <v>72</v>
      </c>
      <c r="D244" s="0" t="str">
        <f aca="false">IF(D241&lt;&gt;"",D241,E244)</f>
        <v/>
      </c>
      <c r="E244" s="0" t="str">
        <f aca="false">IF(E241&lt;&gt;"",E241,F244)</f>
        <v/>
      </c>
      <c r="F244" s="0" t="str">
        <f aca="false">IF(F241&lt;&gt;"",F241,G244)</f>
        <v/>
      </c>
      <c r="G244" s="0" t="str">
        <f aca="false">IF(G241&lt;&gt;"",G241,H244)</f>
        <v/>
      </c>
      <c r="H244" s="0" t="str">
        <f aca="false">IF(H241&lt;&gt;"",H241,I244)</f>
        <v/>
      </c>
      <c r="I244" s="0" t="str">
        <f aca="false">IF(I241&lt;&gt;"",I241,J244)</f>
        <v/>
      </c>
      <c r="J244" s="0" t="str">
        <f aca="false">IF(J241&lt;&gt;"",J241,K244)</f>
        <v/>
      </c>
      <c r="K244" s="0" t="str">
        <f aca="false">IF(K241&lt;&gt;"",K241,L244)</f>
        <v/>
      </c>
      <c r="L244" s="0" t="str">
        <f aca="false">IF(L241&lt;&gt;"",L241,M244)</f>
        <v/>
      </c>
      <c r="M244" s="0" t="str">
        <f aca="false">IF(M241&lt;&gt;"",M241,"")</f>
        <v/>
      </c>
    </row>
    <row r="245" customFormat="false" ht="15" hidden="false" customHeight="false" outlineLevel="0" collapsed="false">
      <c r="A245" s="4" t="s">
        <v>602</v>
      </c>
      <c r="B245" s="0" t="s">
        <v>843</v>
      </c>
      <c r="C245" s="4" t="s">
        <v>44</v>
      </c>
      <c r="D245" s="0" t="str">
        <f aca="false">IF(D241&lt;&gt;"",2023,E245)</f>
        <v/>
      </c>
      <c r="E245" s="0" t="str">
        <f aca="false">IF(E241&lt;&gt;"",2024,F245)</f>
        <v/>
      </c>
      <c r="F245" s="0" t="str">
        <f aca="false">IF(F241&lt;&gt;"",2025,G245)</f>
        <v/>
      </c>
      <c r="G245" s="0" t="str">
        <f aca="false">IF(G241&lt;&gt;"",2026,H245)</f>
        <v/>
      </c>
      <c r="H245" s="0" t="str">
        <f aca="false">IF(H241&lt;&gt;"",2027,I245)</f>
        <v/>
      </c>
      <c r="I245" s="0" t="str">
        <f aca="false">IF(I241&lt;&gt;"",2028,J245)</f>
        <v/>
      </c>
      <c r="J245" s="0" t="str">
        <f aca="false">IF(J241&lt;&gt;"",2029,K245)</f>
        <v/>
      </c>
      <c r="K245" s="0" t="str">
        <f aca="false">IF(K241&lt;&gt;"",2030,L245)</f>
        <v/>
      </c>
      <c r="L245" s="0" t="str">
        <f aca="false">IF(L241&lt;&gt;"",2031,M245)</f>
        <v/>
      </c>
      <c r="M245" s="0" t="str">
        <f aca="false">IF(M241&lt;&gt;"",2032,"")</f>
        <v/>
      </c>
    </row>
    <row r="246" customFormat="false" ht="17.15" hidden="false" customHeight="false" outlineLevel="0" collapsed="false">
      <c r="A246" s="4" t="s">
        <v>604</v>
      </c>
      <c r="B246" s="0" t="s">
        <v>844</v>
      </c>
      <c r="C246" s="0" t="s">
        <v>72</v>
      </c>
      <c r="D246" s="23" t="str">
        <f aca="false">IF(D241&lt;&gt;"",D241,IF(AND(D242&lt;&gt;"",D244&lt;&gt;""),D242+(D244-D242)*(2023-D243)/(D245-D243),IF(D242&lt;&gt;"",D242,"")))</f>
        <v/>
      </c>
      <c r="E246" s="23" t="str">
        <f aca="false">IF(E241&lt;&gt;"",E241,IF(AND(E242&lt;&gt;"",E244&lt;&gt;""),E242+(E244-E242)*(2024-E243)/(E245-E243),IF(E242&lt;&gt;"",E242,"")))</f>
        <v/>
      </c>
      <c r="F246" s="23" t="str">
        <f aca="false">IF(F241&lt;&gt;"",F241,IF(AND(F242&lt;&gt;"",F244&lt;&gt;""),F242+(F244-F242)*(2025-F243)/(F245-F243),IF(F242&lt;&gt;"",F242,"")))</f>
        <v/>
      </c>
      <c r="G246" s="23" t="str">
        <f aca="false">IF(G241&lt;&gt;"",G241,IF(AND(G242&lt;&gt;"",G244&lt;&gt;""),G242+(G244-G242)*(2026-G243)/(G245-G243),IF(G242&lt;&gt;"",G242,"")))</f>
        <v/>
      </c>
      <c r="H246" s="23" t="str">
        <f aca="false">IF(H241&lt;&gt;"",H241,IF(AND(H242&lt;&gt;"",H244&lt;&gt;""),H242+(H244-H242)*(2027-H243)/(H245-H243),IF(H242&lt;&gt;"",H242,"")))</f>
        <v/>
      </c>
      <c r="I246" s="23" t="str">
        <f aca="false">IF(I241&lt;&gt;"",I241,IF(AND(I242&lt;&gt;"",I244&lt;&gt;""),I242+(I244-I242)*(2028-I243)/(I245-I243),IF(I242&lt;&gt;"",I242,"")))</f>
        <v/>
      </c>
      <c r="J246" s="23" t="str">
        <f aca="false">IF(J241&lt;&gt;"",J241,IF(AND(J242&lt;&gt;"",J244&lt;&gt;""),J242+(J244-J242)*(2029-J243)/(J245-J243),IF(J242&lt;&gt;"",J242,"")))</f>
        <v/>
      </c>
      <c r="K246" s="23" t="str">
        <f aca="false">IF(K241&lt;&gt;"",K241,IF(AND(K242&lt;&gt;"",K244&lt;&gt;""),K242+(K244-K242)*(2030-K243)/(K245-K243),IF(K242&lt;&gt;"",K242,"")))</f>
        <v/>
      </c>
      <c r="L246" s="23" t="str">
        <f aca="false">IF(L241&lt;&gt;"",L241,IF(AND(L242&lt;&gt;"",L244&lt;&gt;""),L242+(L244-L242)*(2031-L243)/(L245-L243),IF(L242&lt;&gt;"",L242,"")))</f>
        <v/>
      </c>
      <c r="M246" s="23" t="str">
        <f aca="false">IF(M241&lt;&gt;"",M241,IF(AND(M242&lt;&gt;"",M244&lt;&gt;""),M242+(M244-M242)*(2032-M243)/(M245-M243),IF(M242&lt;&gt;"",M242,"")))</f>
        <v/>
      </c>
    </row>
    <row r="247" customFormat="false" ht="15" hidden="false" customHeight="false" outlineLevel="0" collapsed="false">
      <c r="A247" s="4" t="s">
        <v>606</v>
      </c>
      <c r="B247" s="0" t="s">
        <v>845</v>
      </c>
      <c r="C247" s="0" t="s">
        <v>32</v>
      </c>
      <c r="D247" s="0" t="n">
        <f aca="false">IF(In!$H$63&lt;&gt;"",1,IF(D241&lt;&gt;"",2,IF(AND(D242&lt;&gt;"",D244&lt;&gt;""),3,IF(D242&lt;&gt;"",4,0))))</f>
        <v>0</v>
      </c>
      <c r="E247" s="0" t="n">
        <f aca="false">IF(In!$I$63&lt;&gt;"",1,IF(E241&lt;&gt;"",2,IF(AND(E242&lt;&gt;"",E244&lt;&gt;""),3,IF(E242&lt;&gt;"",4,0))))</f>
        <v>0</v>
      </c>
      <c r="F247" s="0" t="n">
        <f aca="false">IF(In!$J$63&lt;&gt;"",1,IF(F241&lt;&gt;"",2,IF(AND(F242&lt;&gt;"",F244&lt;&gt;""),3,IF(F242&lt;&gt;"",4,0))))</f>
        <v>0</v>
      </c>
      <c r="G247" s="0" t="n">
        <f aca="false">IF(In!$K$63&lt;&gt;"",1,IF(G241&lt;&gt;"",2,IF(AND(G242&lt;&gt;"",G244&lt;&gt;""),3,IF(G242&lt;&gt;"",4,0))))</f>
        <v>0</v>
      </c>
      <c r="H247" s="0" t="n">
        <f aca="false">IF(In!$L$63&lt;&gt;"",1,IF(H241&lt;&gt;"",2,IF(AND(H242&lt;&gt;"",H244&lt;&gt;""),3,IF(H242&lt;&gt;"",4,0))))</f>
        <v>0</v>
      </c>
      <c r="I247" s="0" t="n">
        <f aca="false">IF(In!$M$63&lt;&gt;"",1,IF(I241&lt;&gt;"",2,IF(AND(I242&lt;&gt;"",I244&lt;&gt;""),3,IF(I242&lt;&gt;"",4,0))))</f>
        <v>0</v>
      </c>
      <c r="J247" s="0" t="n">
        <f aca="false">IF(In!$N$63&lt;&gt;"",1,IF(J241&lt;&gt;"",2,IF(AND(J242&lt;&gt;"",J244&lt;&gt;""),3,IF(J242&lt;&gt;"",4,0))))</f>
        <v>0</v>
      </c>
      <c r="K247" s="0" t="n">
        <f aca="false">IF(In!$O$63&lt;&gt;"",1,IF(K241&lt;&gt;"",2,IF(AND(K242&lt;&gt;"",K244&lt;&gt;""),3,IF(K242&lt;&gt;"",4,0))))</f>
        <v>0</v>
      </c>
      <c r="L247" s="0" t="n">
        <f aca="false">IF(In!$P$63&lt;&gt;"",1,IF(L241&lt;&gt;"",2,IF(AND(L242&lt;&gt;"",L244&lt;&gt;""),3,IF(L242&lt;&gt;"",4,0))))</f>
        <v>0</v>
      </c>
      <c r="M247" s="0" t="n">
        <f aca="false">IF(In!$Q$63&lt;&gt;"",1,IF(M241&lt;&gt;"",2,IF(AND(M242&lt;&gt;"",M244&lt;&gt;""),3,IF(M242&lt;&gt;"",4,0))))</f>
        <v>0</v>
      </c>
    </row>
    <row r="248" customFormat="false" ht="17.15" hidden="false" customHeight="false" outlineLevel="0" collapsed="false">
      <c r="A248" s="4" t="s">
        <v>608</v>
      </c>
      <c r="B248" s="0" t="s">
        <v>846</v>
      </c>
      <c r="C248" s="0" t="s">
        <v>111</v>
      </c>
      <c r="D248" s="24" t="str">
        <f aca="false">IF(D246="","",IF(In!$C$63="設施",D246/1000,D246/1000/D$13))</f>
        <v/>
      </c>
      <c r="E248" s="24" t="str">
        <f aca="false">IF(E246="","",IF(In!$C$63="設施",E246/1000,E246/1000/E$13))</f>
        <v/>
      </c>
      <c r="F248" s="24" t="str">
        <f aca="false">IF(F246="","",IF(In!$C$63="設施",F246/1000,F246/1000/F$13))</f>
        <v/>
      </c>
      <c r="G248" s="24" t="str">
        <f aca="false">IF(G246="","",IF(In!$C$63="設施",G246/1000,G246/1000/G$13))</f>
        <v/>
      </c>
      <c r="H248" s="24" t="str">
        <f aca="false">IF(H246="","",IF(In!$C$63="設施",H246/1000,H246/1000/H$13))</f>
        <v/>
      </c>
      <c r="I248" s="24" t="str">
        <f aca="false">IF(I246="","",IF(In!$C$63="設施",I246/1000,I246/1000/I$13))</f>
        <v/>
      </c>
      <c r="J248" s="24" t="str">
        <f aca="false">IF(J246="","",IF(In!$C$63="設施",J246/1000,J246/1000/J$13))</f>
        <v/>
      </c>
      <c r="K248" s="24" t="str">
        <f aca="false">IF(K246="","",IF(In!$C$63="設施",K246/1000,K246/1000/K$13))</f>
        <v/>
      </c>
      <c r="L248" s="24" t="str">
        <f aca="false">IF(L246="","",IF(In!$C$63="設施",L246/1000,L246/1000/L$13))</f>
        <v/>
      </c>
      <c r="M248" s="24" t="str">
        <f aca="false">IF(M246="","",IF(In!$C$63="設施",M246/1000,M246/1000/M$13))</f>
        <v/>
      </c>
    </row>
    <row r="249" customFormat="false" ht="17.15" hidden="false" customHeight="false" outlineLevel="0" collapsed="false">
      <c r="A249" s="4" t="s">
        <v>610</v>
      </c>
      <c r="B249" s="0" t="s">
        <v>847</v>
      </c>
      <c r="C249" s="0" t="s">
        <v>111</v>
      </c>
      <c r="D249" s="25" t="str">
        <f aca="false">IF(D246="","",IF(In!$C$63="未說明",D246/1000,D248))</f>
        <v/>
      </c>
      <c r="E249" s="25" t="str">
        <f aca="false">IF(E246="","",IF(In!$C$63="未說明",E246/1000,E248))</f>
        <v/>
      </c>
      <c r="F249" s="25" t="str">
        <f aca="false">IF(F246="","",IF(In!$C$63="未說明",F246/1000,F248))</f>
        <v/>
      </c>
      <c r="G249" s="25" t="str">
        <f aca="false">IF(G246="","",IF(In!$C$63="未說明",G246/1000,G248))</f>
        <v/>
      </c>
      <c r="H249" s="25" t="str">
        <f aca="false">IF(H246="","",IF(In!$C$63="未說明",H246/1000,H248))</f>
        <v/>
      </c>
      <c r="I249" s="25" t="str">
        <f aca="false">IF(I246="","",IF(In!$C$63="未說明",I246/1000,I248))</f>
        <v/>
      </c>
      <c r="J249" s="25" t="str">
        <f aca="false">IF(J246="","",IF(In!$C$63="未說明",J246/1000,J248))</f>
        <v/>
      </c>
      <c r="K249" s="25" t="str">
        <f aca="false">IF(K246="","",IF(In!$C$63="未說明",K246/1000,K248))</f>
        <v/>
      </c>
      <c r="L249" s="25" t="str">
        <f aca="false">IF(L246="","",IF(In!$C$63="未說明",L246/1000,L248))</f>
        <v/>
      </c>
      <c r="M249" s="25" t="str">
        <f aca="false">IF(M246="","",IF(In!$C$63="未說明",M246/1000,M248))</f>
        <v/>
      </c>
    </row>
    <row r="250" customFormat="false" ht="17.15" hidden="false" customHeight="false" outlineLevel="0" collapsed="false">
      <c r="A250" s="4" t="s">
        <v>612</v>
      </c>
      <c r="B250" s="0" t="s">
        <v>848</v>
      </c>
      <c r="C250" s="0" t="s">
        <v>111</v>
      </c>
      <c r="D250" s="0" t="str">
        <f aca="false">""</f>
        <v/>
      </c>
      <c r="E250" s="25" t="str">
        <f aca="false">IF(AND(D248&lt;&gt;"",E248&lt;&gt;""),(D248+E248)/2,"")</f>
        <v/>
      </c>
      <c r="F250" s="25" t="str">
        <f aca="false">IF(AND(E248&lt;&gt;"",F248&lt;&gt;""),(E248+F248)/2,"")</f>
        <v/>
      </c>
      <c r="G250" s="25" t="str">
        <f aca="false">IF(AND(F248&lt;&gt;"",G248&lt;&gt;""),(F248+G248)/2,"")</f>
        <v/>
      </c>
      <c r="H250" s="25" t="str">
        <f aca="false">IF(AND(G248&lt;&gt;"",H248&lt;&gt;""),(G248+H248)/2,"")</f>
        <v/>
      </c>
      <c r="I250" s="25" t="str">
        <f aca="false">IF(AND(H248&lt;&gt;"",I248&lt;&gt;""),(H248+I248)/2,"")</f>
        <v/>
      </c>
      <c r="J250" s="25" t="str">
        <f aca="false">IF(AND(I248&lt;&gt;"",J248&lt;&gt;""),(I248+J248)/2,"")</f>
        <v/>
      </c>
      <c r="K250" s="25" t="str">
        <f aca="false">IF(AND(J248&lt;&gt;"",K248&lt;&gt;""),(J248+K248)/2,"")</f>
        <v/>
      </c>
      <c r="L250" s="25" t="str">
        <f aca="false">IF(AND(K248&lt;&gt;"",L248&lt;&gt;""),(K248+L248)/2,"")</f>
        <v/>
      </c>
      <c r="M250" s="25" t="str">
        <f aca="false">IF(AND(L248&lt;&gt;"",M248&lt;&gt;""),(L248+M248)/2,"")</f>
        <v/>
      </c>
    </row>
    <row r="251" customFormat="false" ht="17.15" hidden="false" customHeight="false" outlineLevel="0" collapsed="false">
      <c r="A251" s="4" t="s">
        <v>614</v>
      </c>
      <c r="B251" s="0" t="s">
        <v>849</v>
      </c>
      <c r="C251" s="0" t="s">
        <v>111</v>
      </c>
      <c r="D251" s="0" t="n">
        <v>0</v>
      </c>
      <c r="E251" s="25" t="n">
        <f aca="false">IF(AND(D248&lt;&gt;"",E248&lt;&gt;""),E248-D248,0)</f>
        <v>0</v>
      </c>
      <c r="F251" s="25" t="n">
        <f aca="false">IF(AND(E248&lt;&gt;"",F248&lt;&gt;""),F248-E248,0)</f>
        <v>0</v>
      </c>
      <c r="G251" s="25" t="n">
        <f aca="false">IF(AND(F248&lt;&gt;"",G248&lt;&gt;""),G248-F248,0)</f>
        <v>0</v>
      </c>
      <c r="H251" s="25" t="n">
        <f aca="false">IF(AND(G248&lt;&gt;"",H248&lt;&gt;""),H248-G248,0)</f>
        <v>0</v>
      </c>
      <c r="I251" s="25" t="n">
        <f aca="false">IF(AND(H248&lt;&gt;"",I248&lt;&gt;""),I248-H248,0)</f>
        <v>0</v>
      </c>
      <c r="J251" s="25" t="n">
        <f aca="false">IF(AND(I248&lt;&gt;"",J248&lt;&gt;""),J248-I248,0)</f>
        <v>0</v>
      </c>
      <c r="K251" s="25" t="n">
        <f aca="false">IF(AND(J248&lt;&gt;"",K248&lt;&gt;""),K248-J248,0)</f>
        <v>0</v>
      </c>
      <c r="L251" s="25" t="n">
        <f aca="false">IF(AND(K248&lt;&gt;"",L248&lt;&gt;""),L248-K248,0)</f>
        <v>0</v>
      </c>
      <c r="M251" s="25" t="n">
        <f aca="false">IF(AND(L248&lt;&gt;"",M248&lt;&gt;""),M248-L248,0)</f>
        <v>0</v>
      </c>
    </row>
    <row r="252" customFormat="false" ht="17.15" hidden="false" customHeight="false" outlineLevel="0" collapsed="false">
      <c r="A252" s="4" t="s">
        <v>616</v>
      </c>
      <c r="B252" s="0" t="s">
        <v>850</v>
      </c>
      <c r="C252" s="0" t="s">
        <v>111</v>
      </c>
      <c r="D252" s="25" t="n">
        <f aca="false">IF(D248&lt;&gt;"",D248,0)</f>
        <v>0</v>
      </c>
      <c r="E252" s="25" t="n">
        <f aca="false">IF(AND(D248="",E248&lt;&gt;""),E248,0)</f>
        <v>0</v>
      </c>
      <c r="F252" s="25" t="n">
        <f aca="false">IF(AND(E248="",F248&lt;&gt;""),F248,0)</f>
        <v>0</v>
      </c>
      <c r="G252" s="25" t="n">
        <f aca="false">IF(AND(F248="",G248&lt;&gt;""),G248,0)</f>
        <v>0</v>
      </c>
      <c r="H252" s="25" t="n">
        <f aca="false">IF(AND(G248="",H248&lt;&gt;""),H248,0)</f>
        <v>0</v>
      </c>
      <c r="I252" s="25" t="n">
        <f aca="false">IF(AND(H248="",I248&lt;&gt;""),I248,0)</f>
        <v>0</v>
      </c>
      <c r="J252" s="25" t="n">
        <f aca="false">IF(AND(I248="",J248&lt;&gt;""),J248,0)</f>
        <v>0</v>
      </c>
      <c r="K252" s="25" t="n">
        <f aca="false">IF(AND(J248="",K248&lt;&gt;""),K248,0)</f>
        <v>0</v>
      </c>
      <c r="L252" s="25" t="n">
        <f aca="false">IF(AND(K248="",L248&lt;&gt;""),L248,0)</f>
        <v>0</v>
      </c>
      <c r="M252" s="25" t="n">
        <f aca="false">IF(AND(L248="",M248&lt;&gt;""),M248,0)</f>
        <v>0</v>
      </c>
    </row>
    <row r="253" customFormat="false" ht="17.15" hidden="false" customHeight="false" outlineLevel="0" collapsed="false">
      <c r="A253" s="4" t="s">
        <v>618</v>
      </c>
      <c r="B253" s="0" t="s">
        <v>851</v>
      </c>
      <c r="C253" s="0" t="s">
        <v>48</v>
      </c>
      <c r="D253" s="19" t="n">
        <f aca="false">D$12</f>
        <v>0.238210067173108</v>
      </c>
      <c r="E253" s="19" t="n">
        <f aca="false">E$12</f>
        <v>0.238210067173108</v>
      </c>
      <c r="F253" s="19" t="n">
        <f aca="false">F$12</f>
        <v>0.238210067173108</v>
      </c>
      <c r="G253" s="19" t="n">
        <f aca="false">G$12</f>
        <v>0.238210067173108</v>
      </c>
      <c r="H253" s="19" t="n">
        <f aca="false">H$12</f>
        <v>0.273101862203342</v>
      </c>
      <c r="I253" s="19" t="n">
        <f aca="false">I$12</f>
        <v>0.269621396123668</v>
      </c>
      <c r="J253" s="19" t="n">
        <f aca="false">J$12</f>
        <v>0.272187509408712</v>
      </c>
      <c r="K253" s="19" t="n">
        <f aca="false">K$12</f>
        <v>0.272187509408712</v>
      </c>
      <c r="L253" s="19" t="n">
        <f aca="false">L$12</f>
        <v>0.272187509408712</v>
      </c>
      <c r="M253" s="19" t="n">
        <f aca="false">M$12</f>
        <v>0.272187509408712</v>
      </c>
    </row>
    <row r="255" customFormat="false" ht="17.15" hidden="false" customHeight="false" outlineLevel="0" collapsed="false">
      <c r="A255" s="17" t="s">
        <v>852</v>
      </c>
    </row>
    <row r="256" customFormat="false" ht="17.15" hidden="false" customHeight="false" outlineLevel="0" collapsed="false">
      <c r="A256" s="4" t="s">
        <v>853</v>
      </c>
      <c r="B256" s="0" t="s">
        <v>854</v>
      </c>
      <c r="D256" s="24" t="n">
        <f aca="false">SUM(D24,D40,D56,D72,D88,D104,D120,D136,D152,D168,D184,D200,D216,D232,D248)</f>
        <v>0.929549902152642</v>
      </c>
      <c r="E256" s="24" t="n">
        <f aca="false">SUM(E24,E40,E56,E72,E88,E104,E120,E136,E152,E168,E184,E200,E216,E232,E248)</f>
        <v>4.18786692759296</v>
      </c>
      <c r="F256" s="24" t="n">
        <f aca="false">SUM(F24,F40,F56,F72,F88,F104,F120,F136,F152,F168,F184,F200,F216,F232,F248)</f>
        <v>10.8702978908458</v>
      </c>
      <c r="G256" s="24" t="n">
        <f aca="false">SUM(G24,G40,G56,G72,G88,G104,G120,G136,G152,G168,G184,G200,G216,G232,G248)</f>
        <v>20.3800543596434</v>
      </c>
      <c r="H256" s="24" t="n">
        <f aca="false">SUM(H24,H40,H56,H72,H88,H104,H120,H136,H152,H168,H184,H200,H216,H232,H248)</f>
        <v>24.364044357469</v>
      </c>
      <c r="I256" s="24" t="n">
        <f aca="false">SUM(I24,I40,I56,I72,I88,I104,I120,I136,I152,I168,I184,I200,I216,I232,I248)</f>
        <v>26.0356033920418</v>
      </c>
      <c r="J256" s="24" t="n">
        <f aca="false">SUM(J24,J40,J56,J72,J88,J104,J120,J136,J152,J168,J184,J200,J216,J232,J248)</f>
        <v>27.7071624266145</v>
      </c>
      <c r="K256" s="24" t="n">
        <f aca="false">SUM(K24,K40,K56,K72,K88,K104,K120,K136,K152,K168,K184,K200,K216,K232,K248)</f>
        <v>29.3787214611872</v>
      </c>
      <c r="L256" s="24" t="n">
        <f aca="false">SUM(L24,L40,L56,L72,L88,L104,L120,L136,L152,L168,L184,L200,L216,L232,L248)</f>
        <v>29.3787214611872</v>
      </c>
      <c r="M256" s="24" t="n">
        <f aca="false">SUM(M24,M40,M56,M72,M88,M104,M120,M136,M152,M168,M184,M200,M216,M232,M248)</f>
        <v>29.3787214611872</v>
      </c>
    </row>
    <row r="257" customFormat="false" ht="17.15" hidden="false" customHeight="false" outlineLevel="0" collapsed="false">
      <c r="A257" s="4" t="s">
        <v>855</v>
      </c>
      <c r="B257" s="0" t="s">
        <v>856</v>
      </c>
      <c r="D257" s="25" t="n">
        <f aca="false">SUM(D25,D41,D57,D73,D89,D105,D121,D137,D153,D169,D185,D201,D217,D233,D249)</f>
        <v>0.929549902152642</v>
      </c>
      <c r="E257" s="25" t="n">
        <f aca="false">SUM(E25,E41,E57,E73,E89,E105,E121,E137,E153,E169,E185,E201,E217,E233,E249)</f>
        <v>4.18786692759296</v>
      </c>
      <c r="F257" s="25" t="n">
        <f aca="false">SUM(F25,F41,F57,F73,F89,F105,F121,F137,F153,F169,F185,F201,F217,F233,F249)</f>
        <v>10.8554751032833</v>
      </c>
      <c r="G257" s="25" t="n">
        <f aca="false">SUM(G25,G41,G57,G73,G89,G105,G121,G137,G153,G169,G185,G201,G217,G233,G249)</f>
        <v>20.3015807784301</v>
      </c>
      <c r="H257" s="25" t="n">
        <f aca="false">SUM(H25,H41,H57,H73,H89,H105,H121,H137,H153,H169,H185,H201,H217,H233,H249)</f>
        <v>24.2855707762557</v>
      </c>
      <c r="I257" s="25" t="n">
        <f aca="false">SUM(I25,I41,I57,I73,I89,I105,I121,I137,I153,I169,I185,I201,I217,I233,I249)</f>
        <v>25.9571298108284</v>
      </c>
      <c r="J257" s="25" t="n">
        <f aca="false">SUM(J25,J41,J57,J73,J89,J105,J121,J137,J153,J169,J185,J201,J217,J233,J249)</f>
        <v>27.6286888454012</v>
      </c>
      <c r="K257" s="25" t="n">
        <f aca="false">SUM(K25,K41,K57,K73,K89,K105,K121,K137,K153,K169,K185,K201,K217,K233,K249)</f>
        <v>29.3002478799739</v>
      </c>
      <c r="L257" s="25" t="n">
        <f aca="false">SUM(L25,L41,L57,L73,L89,L105,L121,L137,L153,L169,L185,L201,L217,L233,L249)</f>
        <v>29.3002478799739</v>
      </c>
      <c r="M257" s="25" t="n">
        <f aca="false">SUM(M25,M41,M57,M73,M89,M105,M121,M137,M153,M169,M185,M201,M217,M233,M249)</f>
        <v>29.3002478799739</v>
      </c>
    </row>
    <row r="258" customFormat="false" ht="17.15" hidden="false" customHeight="false" outlineLevel="0" collapsed="false">
      <c r="A258" s="4" t="s">
        <v>857</v>
      </c>
      <c r="B258" s="0" t="s">
        <v>858</v>
      </c>
      <c r="D258" s="25" t="n">
        <f aca="false">D256*D$13</f>
        <v>0.855</v>
      </c>
      <c r="E258" s="25" t="n">
        <f aca="false">E256*E$13</f>
        <v>3.852</v>
      </c>
      <c r="F258" s="25" t="n">
        <f aca="false">F256*F$13</f>
        <v>9.9985</v>
      </c>
      <c r="G258" s="25" t="n">
        <f aca="false">G256*G$13</f>
        <v>18.745574</v>
      </c>
      <c r="H258" s="25" t="n">
        <f aca="false">H256*H$13</f>
        <v>22.410048</v>
      </c>
      <c r="I258" s="25" t="n">
        <f aca="false">I256*I$13</f>
        <v>23.947548</v>
      </c>
      <c r="J258" s="25" t="n">
        <f aca="false">J256*J$13</f>
        <v>25.485048</v>
      </c>
      <c r="K258" s="25" t="n">
        <f aca="false">K256*K$13</f>
        <v>27.022548</v>
      </c>
      <c r="L258" s="25" t="n">
        <f aca="false">L256*L$13</f>
        <v>27.022548</v>
      </c>
      <c r="M258" s="25" t="n">
        <f aca="false">M256*M$13</f>
        <v>27.022548</v>
      </c>
    </row>
    <row r="259" customFormat="false" ht="17.15" hidden="false" customHeight="false" outlineLevel="0" collapsed="false">
      <c r="A259" s="4" t="s">
        <v>859</v>
      </c>
      <c r="B259" s="0" t="s">
        <v>860</v>
      </c>
      <c r="D259" s="25" t="str">
        <f aca="false">""</f>
        <v/>
      </c>
      <c r="E259" s="25" t="n">
        <f aca="false">(D256+E256)/2</f>
        <v>2.5587084148728</v>
      </c>
      <c r="F259" s="25" t="n">
        <f aca="false">(E256+F256)/2</f>
        <v>7.5290824092194</v>
      </c>
      <c r="G259" s="25" t="n">
        <f aca="false">(F256+G256)/2</f>
        <v>15.6251761252446</v>
      </c>
      <c r="H259" s="25" t="n">
        <f aca="false">(G256+H256)/2</f>
        <v>22.3720493585562</v>
      </c>
      <c r="I259" s="25" t="n">
        <f aca="false">(H256+I256)/2</f>
        <v>25.1998238747554</v>
      </c>
      <c r="J259" s="25" t="n">
        <f aca="false">(I256+J256)/2</f>
        <v>26.8713829093281</v>
      </c>
      <c r="K259" s="25" t="n">
        <f aca="false">(J256+K256)/2</f>
        <v>28.5429419439009</v>
      </c>
      <c r="L259" s="25" t="n">
        <f aca="false">(K256+L256)/2</f>
        <v>29.3787214611872</v>
      </c>
      <c r="M259" s="25" t="n">
        <f aca="false">(L256+M256)/2</f>
        <v>29.3787214611872</v>
      </c>
    </row>
    <row r="260" customFormat="false" ht="17.15" hidden="false" customHeight="false" outlineLevel="0" collapsed="false">
      <c r="A260" s="4" t="s">
        <v>861</v>
      </c>
      <c r="B260" s="0" t="s">
        <v>862</v>
      </c>
      <c r="D260" s="25" t="n">
        <f aca="false">SUM(D27,D43,D59,D75,D91,D107,D123,D139,D155,D171,D187,D203,D219,D235,D251)</f>
        <v>0</v>
      </c>
      <c r="E260" s="25" t="n">
        <f aca="false">SUM(E27,E43,E59,E75,E91,E107,E123,E139,E155,E171,E187,E203,E219,E235,E251)</f>
        <v>2.27984344422701</v>
      </c>
      <c r="F260" s="25" t="n">
        <f aca="false">SUM(F27,F43,F59,F75,F91,F107,F123,F139,F155,F171,F187,F203,F219,F235,F251)</f>
        <v>6.49162861491629</v>
      </c>
      <c r="G260" s="25" t="n">
        <f aca="false">SUM(G27,G43,G59,G75,G91,G107,G123,G139,G155,G171,G187,G203,G219,G235,G251)</f>
        <v>6.74502500543597</v>
      </c>
      <c r="H260" s="25" t="n">
        <f aca="false">SUM(H27,H43,H59,H75,H91,H107,H123,H139,H155,H171,H187,H203,H219,H235,H251)</f>
        <v>3.98398999782562</v>
      </c>
      <c r="I260" s="25" t="n">
        <f aca="false">SUM(I27,I43,I59,I75,I91,I107,I123,I139,I155,I171,I187,I203,I219,I235,I251)</f>
        <v>1.67155903457273</v>
      </c>
      <c r="J260" s="25" t="n">
        <f aca="false">SUM(J27,J43,J59,J75,J91,J107,J123,J139,J155,J171,J187,J203,J219,J235,J251)</f>
        <v>1.67155903457273</v>
      </c>
      <c r="K260" s="25" t="n">
        <f aca="false">SUM(K27,K43,K59,K75,K91,K107,K123,K139,K155,K171,K187,K203,K219,K235,K251)</f>
        <v>1.67155903457273</v>
      </c>
      <c r="L260" s="25" t="n">
        <f aca="false">SUM(L27,L43,L59,L75,L91,L107,L123,L139,L155,L171,L187,L203,L219,L235,L251)</f>
        <v>0</v>
      </c>
      <c r="M260" s="25" t="n">
        <f aca="false">SUM(M27,M43,M59,M75,M91,M107,M123,M139,M155,M171,M187,M203,M219,M235,M251)</f>
        <v>0</v>
      </c>
    </row>
    <row r="261" customFormat="false" ht="17.15" hidden="false" customHeight="false" outlineLevel="0" collapsed="false">
      <c r="A261" s="4" t="s">
        <v>863</v>
      </c>
      <c r="B261" s="0" t="s">
        <v>864</v>
      </c>
      <c r="D261" s="25" t="n">
        <f aca="false">SUM(D28,D44,D60,D76,D92,D108,D124,D140,D156,D172,D188,D204,D220,D236,D252)</f>
        <v>0.929549902152642</v>
      </c>
      <c r="E261" s="25" t="n">
        <f aca="false">SUM(E28,E44,E60,E76,E92,E108,E124,E140,E156,E172,E188,E204,E220,E236,E252)</f>
        <v>0.978473581213307</v>
      </c>
      <c r="F261" s="25" t="n">
        <f aca="false">SUM(F28,F44,F60,F76,F92,F108,F124,F140,F156,F172,F188,F204,F220,F236,F252)</f>
        <v>0.190802348336595</v>
      </c>
      <c r="G261" s="25" t="n">
        <f aca="false">SUM(G28,G44,G60,G76,G92,G108,G124,G140,G156,G172,G188,G204,G220,G236,G252)</f>
        <v>2.7647314633616</v>
      </c>
      <c r="H261" s="25" t="n">
        <f aca="false">SUM(H28,H44,H60,H76,H92,H108,H124,H140,H156,H172,H188,H204,H220,H236,H252)</f>
        <v>0</v>
      </c>
      <c r="I261" s="25" t="n">
        <f aca="false">SUM(I28,I44,I60,I76,I92,I108,I124,I140,I156,I172,I188,I204,I220,I236,I252)</f>
        <v>0</v>
      </c>
      <c r="J261" s="25" t="n">
        <f aca="false">SUM(J28,J44,J60,J76,J92,J108,J124,J140,J156,J172,J188,J204,J220,J236,J252)</f>
        <v>0</v>
      </c>
      <c r="K261" s="25" t="n">
        <f aca="false">SUM(K28,K44,K60,K76,K92,K108,K124,K140,K156,K172,K188,K204,K220,K236,K252)</f>
        <v>0</v>
      </c>
      <c r="L261" s="25" t="n">
        <f aca="false">SUM(L28,L44,L60,L76,L92,L108,L124,L140,L156,L172,L188,L204,L220,L236,L252)</f>
        <v>0</v>
      </c>
      <c r="M261" s="25" t="n">
        <f aca="false">SUM(M28,M44,M60,M76,M92,M108,M124,M140,M156,M172,M188,M204,M220,M236,M252)</f>
        <v>0</v>
      </c>
    </row>
    <row r="262" customFormat="false" ht="15" hidden="false" customHeight="false" outlineLevel="0" collapsed="false">
      <c r="A262" s="4" t="s">
        <v>865</v>
      </c>
      <c r="B262" s="0" t="s">
        <v>866</v>
      </c>
      <c r="D262" s="26" t="n">
        <f aca="false">COUNT(D24,D40,D56,D72,D88,D104,D120,D136,D152,D168,D184,D200,D216,D232,D248)</f>
        <v>3</v>
      </c>
      <c r="E262" s="26" t="n">
        <f aca="false">COUNT(E24,E40,E56,E72,E88,E104,E120,E136,E152,E168,E184,E200,E216,E232,E248)</f>
        <v>4</v>
      </c>
      <c r="F262" s="26" t="n">
        <f aca="false">COUNT(F24,F40,F56,F72,F88,F104,F120,F136,F152,F168,F184,F200,F216,F232,F248)</f>
        <v>6</v>
      </c>
      <c r="G262" s="26" t="n">
        <f aca="false">COUNT(G24,G40,G56,G72,G88,G104,G120,G136,G152,G168,G184,G200,G216,G232,G248)</f>
        <v>7</v>
      </c>
      <c r="H262" s="26" t="n">
        <f aca="false">COUNT(H24,H40,H56,H72,H88,H104,H120,H136,H152,H168,H184,H200,H216,H232,H248)</f>
        <v>7</v>
      </c>
      <c r="I262" s="26" t="n">
        <f aca="false">COUNT(I24,I40,I56,I72,I88,I104,I120,I136,I152,I168,I184,I200,I216,I232,I248)</f>
        <v>7</v>
      </c>
      <c r="J262" s="26" t="n">
        <f aca="false">COUNT(J24,J40,J56,J72,J88,J104,J120,J136,J152,J168,J184,J200,J216,J232,J248)</f>
        <v>7</v>
      </c>
      <c r="K262" s="26" t="n">
        <f aca="false">COUNT(K24,K40,K56,K72,K88,K104,K120,K136,K152,K168,K184,K200,K216,K232,K248)</f>
        <v>7</v>
      </c>
      <c r="L262" s="26" t="n">
        <f aca="false">COUNT(L24,L40,L56,L72,L88,L104,L120,L136,L152,L168,L184,L200,L216,L232,L248)</f>
        <v>7</v>
      </c>
      <c r="M262" s="26" t="n">
        <f aca="false">COUNT(M24,M40,M56,M72,M88,M104,M120,M136,M152,M168,M184,M200,M216,M232,M248)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2" min="3" style="0" width="10"/>
  </cols>
  <sheetData>
    <row r="1" customFormat="false" ht="17.15" hidden="false" customHeight="false" outlineLevel="0" collapsed="false">
      <c r="A1" s="0" t="s">
        <v>867</v>
      </c>
    </row>
    <row r="3" customFormat="false" ht="17.15" hidden="false" customHeight="false" outlineLevel="0" collapsed="false">
      <c r="A3" s="7" t="s">
        <v>868</v>
      </c>
    </row>
    <row r="4" customFormat="false" ht="15" hidden="false" customHeight="false" outlineLevel="0" collapsed="false">
      <c r="A4" s="5" t="s">
        <v>317</v>
      </c>
      <c r="B4" s="5" t="s">
        <v>11</v>
      </c>
      <c r="C4" s="5" t="s">
        <v>318</v>
      </c>
      <c r="D4" s="6" t="s">
        <v>319</v>
      </c>
      <c r="E4" s="6" t="s">
        <v>320</v>
      </c>
      <c r="F4" s="6" t="s">
        <v>321</v>
      </c>
      <c r="G4" s="6" t="s">
        <v>322</v>
      </c>
      <c r="H4" s="5" t="s">
        <v>323</v>
      </c>
      <c r="I4" s="5" t="s">
        <v>869</v>
      </c>
      <c r="J4" s="5" t="s">
        <v>870</v>
      </c>
      <c r="K4" s="6" t="s">
        <v>871</v>
      </c>
      <c r="L4" s="5" t="s">
        <v>872</v>
      </c>
    </row>
    <row r="5" customFormat="false" ht="17.15" hidden="false" customHeight="false" outlineLevel="0" collapsed="false">
      <c r="A5" s="0" t="s">
        <v>873</v>
      </c>
      <c r="B5" s="0" t="s">
        <v>370</v>
      </c>
      <c r="C5" s="25" t="n">
        <f aca="false">$K5*N(In!H112)</f>
        <v>1.0002174385736</v>
      </c>
      <c r="D5" s="25" t="n">
        <f aca="false">$K5*N(In!I112)</f>
        <v>0</v>
      </c>
      <c r="E5" s="25" t="n">
        <f aca="false">$K5*N(In!J112)</f>
        <v>0</v>
      </c>
      <c r="F5" s="25" t="n">
        <f aca="false">$K5*N(In!K112)</f>
        <v>0</v>
      </c>
      <c r="G5" s="25" t="n">
        <f aca="false">$K5*N(In!L112)</f>
        <v>0</v>
      </c>
      <c r="H5" s="25" t="n">
        <f aca="false">$K5*N(In!M112)</f>
        <v>0</v>
      </c>
      <c r="I5" s="25" t="n">
        <f aca="false">$K5*(1-SUM(In!H112:M112))</f>
        <v>1.5003261578604</v>
      </c>
      <c r="J5" s="25" t="n">
        <f aca="false">SUM(C5:I5)</f>
        <v>2.50054359643401</v>
      </c>
      <c r="K5" s="27" t="n">
        <f aca="false">N(Players!F24)</f>
        <v>2.50054359643401</v>
      </c>
      <c r="L5" s="28" t="n">
        <f aca="false">J5-K5</f>
        <v>0</v>
      </c>
    </row>
    <row r="6" customFormat="false" ht="17.15" hidden="false" customHeight="false" outlineLevel="0" collapsed="false">
      <c r="A6" s="0" t="s">
        <v>874</v>
      </c>
      <c r="B6" s="0" t="s">
        <v>621</v>
      </c>
      <c r="C6" s="25" t="n">
        <f aca="false">$K6*N(In!H113)</f>
        <v>3.70852359208524</v>
      </c>
      <c r="D6" s="25" t="n">
        <f aca="false">$K6*N(In!I113)</f>
        <v>0</v>
      </c>
      <c r="E6" s="25" t="n">
        <f aca="false">$K6*N(In!J113)</f>
        <v>0</v>
      </c>
      <c r="F6" s="25" t="n">
        <f aca="false">$K6*N(In!K113)</f>
        <v>0</v>
      </c>
      <c r="G6" s="25" t="n">
        <f aca="false">$K6*N(In!L113)</f>
        <v>0</v>
      </c>
      <c r="H6" s="25" t="n">
        <f aca="false">$K6*N(In!M113)</f>
        <v>0</v>
      </c>
      <c r="I6" s="25" t="n">
        <f aca="false">$K6*(1-SUM(In!H113:M113))</f>
        <v>1.58936725375082</v>
      </c>
      <c r="J6" s="25" t="n">
        <f aca="false">SUM(C6:I6)</f>
        <v>5.29789084583605</v>
      </c>
      <c r="K6" s="27" t="n">
        <f aca="false">N(Players!F40)</f>
        <v>5.29789084583605</v>
      </c>
      <c r="L6" s="28" t="n">
        <f aca="false">J6-K6</f>
        <v>0</v>
      </c>
    </row>
    <row r="7" customFormat="false" ht="17.15" hidden="false" customHeight="false" outlineLevel="0" collapsed="false">
      <c r="A7" s="0" t="s">
        <v>875</v>
      </c>
      <c r="B7" s="0" t="s">
        <v>377</v>
      </c>
      <c r="C7" s="25" t="n">
        <f aca="false">$K7*N(In!H114)</f>
        <v>0.391389432485323</v>
      </c>
      <c r="D7" s="25" t="n">
        <f aca="false">$K7*N(In!I114)</f>
        <v>0</v>
      </c>
      <c r="E7" s="25" t="n">
        <f aca="false">$K7*N(In!J114)</f>
        <v>0</v>
      </c>
      <c r="F7" s="25" t="n">
        <f aca="false">$K7*N(In!K114)</f>
        <v>0</v>
      </c>
      <c r="G7" s="25" t="n">
        <f aca="false">$K7*N(In!L114)</f>
        <v>0</v>
      </c>
      <c r="H7" s="25" t="n">
        <f aca="false">$K7*N(In!M114)</f>
        <v>0</v>
      </c>
      <c r="I7" s="25" t="n">
        <f aca="false">$K7*(1-SUM(In!H114:M114))</f>
        <v>1.56555772994129</v>
      </c>
      <c r="J7" s="25" t="n">
        <f aca="false">SUM(C7:I7)</f>
        <v>1.95694716242661</v>
      </c>
      <c r="K7" s="27" t="n">
        <f aca="false">N(Players!F56)</f>
        <v>1.95694716242661</v>
      </c>
      <c r="L7" s="28" t="n">
        <f aca="false">J7-K7</f>
        <v>0</v>
      </c>
    </row>
    <row r="8" customFormat="false" ht="17.15" hidden="false" customHeight="false" outlineLevel="0" collapsed="false">
      <c r="A8" s="0" t="s">
        <v>876</v>
      </c>
      <c r="B8" s="0" t="s">
        <v>387</v>
      </c>
      <c r="C8" s="25" t="n">
        <f aca="false">$K8*N(In!H115)</f>
        <v>0</v>
      </c>
      <c r="D8" s="25" t="n">
        <f aca="false">$K8*N(In!I115)</f>
        <v>0</v>
      </c>
      <c r="E8" s="25" t="n">
        <f aca="false">$K8*N(In!J115)</f>
        <v>0</v>
      </c>
      <c r="F8" s="25" t="n">
        <f aca="false">$K8*N(In!K115)</f>
        <v>0</v>
      </c>
      <c r="G8" s="25" t="n">
        <f aca="false">$K8*N(In!L115)</f>
        <v>0</v>
      </c>
      <c r="H8" s="25" t="n">
        <f aca="false">$K8*N(In!M115)</f>
        <v>0</v>
      </c>
      <c r="I8" s="25" t="n">
        <f aca="false">$K8*(1-SUM(In!H115:M115))</f>
        <v>0</v>
      </c>
      <c r="J8" s="25" t="n">
        <f aca="false">SUM(C8:I8)</f>
        <v>0</v>
      </c>
      <c r="K8" s="27" t="n">
        <f aca="false">N(Players!F72)</f>
        <v>0</v>
      </c>
      <c r="L8" s="28" t="n">
        <f aca="false">J8-K8</f>
        <v>0</v>
      </c>
    </row>
    <row r="9" customFormat="false" ht="15" hidden="false" customHeight="false" outlineLevel="0" collapsed="false">
      <c r="A9" s="0" t="s">
        <v>669</v>
      </c>
      <c r="B9" s="0" t="s">
        <v>670</v>
      </c>
      <c r="C9" s="25" t="n">
        <f aca="false">$K9*N(In!H116)</f>
        <v>0</v>
      </c>
      <c r="D9" s="25" t="n">
        <f aca="false">$K9*N(In!I116)</f>
        <v>0</v>
      </c>
      <c r="E9" s="25" t="n">
        <f aca="false">$K9*N(In!J116)</f>
        <v>0</v>
      </c>
      <c r="F9" s="25" t="n">
        <f aca="false">$K9*N(In!K116)</f>
        <v>0</v>
      </c>
      <c r="G9" s="25" t="n">
        <f aca="false">$K9*N(In!L116)</f>
        <v>0</v>
      </c>
      <c r="H9" s="25" t="n">
        <f aca="false">$K9*N(In!M116)</f>
        <v>0</v>
      </c>
      <c r="I9" s="25" t="n">
        <f aca="false">$K9*(1-SUM(In!H116:M116))</f>
        <v>0.924113937812568</v>
      </c>
      <c r="J9" s="25" t="n">
        <f aca="false">SUM(C9:I9)</f>
        <v>0.924113937812568</v>
      </c>
      <c r="K9" s="27" t="n">
        <f aca="false">N(Players!F88)</f>
        <v>0.924113937812568</v>
      </c>
      <c r="L9" s="28" t="n">
        <f aca="false">J9-K9</f>
        <v>0</v>
      </c>
    </row>
    <row r="10" customFormat="false" ht="15" hidden="false" customHeight="false" outlineLevel="0" collapsed="false">
      <c r="A10" s="0" t="s">
        <v>686</v>
      </c>
      <c r="B10" s="0" t="s">
        <v>687</v>
      </c>
      <c r="C10" s="25" t="n">
        <f aca="false">$K10*N(In!H117)</f>
        <v>0</v>
      </c>
      <c r="D10" s="25" t="n">
        <f aca="false">$K10*N(In!I117)</f>
        <v>0</v>
      </c>
      <c r="E10" s="25" t="n">
        <f aca="false">$K10*N(In!J117)</f>
        <v>0</v>
      </c>
      <c r="F10" s="25" t="n">
        <f aca="false">$K10*N(In!K117)</f>
        <v>0</v>
      </c>
      <c r="G10" s="25" t="n">
        <f aca="false">$K10*N(In!L117)</f>
        <v>0</v>
      </c>
      <c r="H10" s="25" t="n">
        <f aca="false">$K10*N(In!M117)</f>
        <v>0</v>
      </c>
      <c r="I10" s="25" t="n">
        <f aca="false">$K10*(1-SUM(In!H117:M117))</f>
        <v>0.184822787562514</v>
      </c>
      <c r="J10" s="25" t="n">
        <f aca="false">SUM(C10:I10)</f>
        <v>0.184822787562514</v>
      </c>
      <c r="K10" s="27" t="n">
        <f aca="false">N(Players!F104)</f>
        <v>0.184822787562514</v>
      </c>
      <c r="L10" s="28" t="n">
        <f aca="false">J10-K10</f>
        <v>0</v>
      </c>
    </row>
    <row r="11" customFormat="false" ht="17.15" hidden="false" customHeight="false" outlineLevel="0" collapsed="false">
      <c r="A11" s="0" t="s">
        <v>877</v>
      </c>
      <c r="B11" s="0" t="s">
        <v>704</v>
      </c>
      <c r="C11" s="25" t="n">
        <f aca="false">$K11*N(In!H118)</f>
        <v>0</v>
      </c>
      <c r="D11" s="25" t="n">
        <f aca="false">$K11*N(In!I118)</f>
        <v>0</v>
      </c>
      <c r="E11" s="25" t="n">
        <f aca="false">$K11*N(In!J118)</f>
        <v>0</v>
      </c>
      <c r="F11" s="25" t="n">
        <f aca="false">$K11*N(In!K118)</f>
        <v>0</v>
      </c>
      <c r="G11" s="25" t="n">
        <f aca="false">$K11*N(In!L118)</f>
        <v>0</v>
      </c>
      <c r="H11" s="25" t="n">
        <f aca="false">$K11*N(In!M118)</f>
        <v>0</v>
      </c>
      <c r="I11" s="25" t="n">
        <f aca="false">$K11*(1-SUM(In!H118:M118))</f>
        <v>0.00597956077408132</v>
      </c>
      <c r="J11" s="25" t="n">
        <f aca="false">SUM(C11:I11)</f>
        <v>0.00597956077408132</v>
      </c>
      <c r="K11" s="27" t="n">
        <f aca="false">N(Players!F120)</f>
        <v>0.00597956077408132</v>
      </c>
      <c r="L11" s="28" t="n">
        <f aca="false">J11-K11</f>
        <v>0</v>
      </c>
    </row>
    <row r="12" customFormat="false" ht="15" hidden="false" customHeight="false" outlineLevel="0" collapsed="false">
      <c r="A12" s="0" t="s">
        <v>322</v>
      </c>
      <c r="B12" s="0" t="s">
        <v>720</v>
      </c>
      <c r="C12" s="25" t="n">
        <f aca="false">$K12*N(In!H119)</f>
        <v>0</v>
      </c>
      <c r="D12" s="25" t="n">
        <f aca="false">$K12*N(In!I119)</f>
        <v>0</v>
      </c>
      <c r="E12" s="25" t="n">
        <f aca="false">$K12*N(In!J119)</f>
        <v>0</v>
      </c>
      <c r="F12" s="25" t="n">
        <f aca="false">$K12*N(In!K119)</f>
        <v>0</v>
      </c>
      <c r="G12" s="25" t="n">
        <f aca="false">$K12*N(In!L119)</f>
        <v>0</v>
      </c>
      <c r="H12" s="25" t="n">
        <f aca="false">$K12*N(In!M119)</f>
        <v>0</v>
      </c>
      <c r="I12" s="25" t="n">
        <f aca="false">$K12*(1-SUM(In!H119:M119))</f>
        <v>0</v>
      </c>
      <c r="J12" s="25" t="n">
        <f aca="false">SUM(C12:I12)</f>
        <v>0</v>
      </c>
      <c r="K12" s="27" t="n">
        <f aca="false">N(Players!F136)</f>
        <v>0</v>
      </c>
      <c r="L12" s="28" t="n">
        <f aca="false">J12-K12</f>
        <v>0</v>
      </c>
    </row>
    <row r="13" customFormat="false" ht="15" hidden="false" customHeight="false" outlineLevel="0" collapsed="false">
      <c r="A13" s="0" t="s">
        <v>321</v>
      </c>
      <c r="B13" s="0" t="s">
        <v>736</v>
      </c>
      <c r="C13" s="25" t="n">
        <f aca="false">$K13*N(In!H120)</f>
        <v>0</v>
      </c>
      <c r="D13" s="25" t="n">
        <f aca="false">$K13*N(In!I120)</f>
        <v>0</v>
      </c>
      <c r="E13" s="25" t="n">
        <f aca="false">$K13*N(In!J120)</f>
        <v>0</v>
      </c>
      <c r="F13" s="25" t="n">
        <f aca="false">$K13*N(In!K120)</f>
        <v>0</v>
      </c>
      <c r="G13" s="25" t="n">
        <f aca="false">$K13*N(In!L120)</f>
        <v>0</v>
      </c>
      <c r="H13" s="25" t="n">
        <f aca="false">$K13*N(In!M120)</f>
        <v>0</v>
      </c>
      <c r="I13" s="25" t="n">
        <f aca="false">$K13*(1-SUM(In!H120:M120))</f>
        <v>0</v>
      </c>
      <c r="J13" s="25" t="n">
        <f aca="false">SUM(C13:I13)</f>
        <v>0</v>
      </c>
      <c r="K13" s="27" t="n">
        <f aca="false">N(Players!F152)</f>
        <v>0</v>
      </c>
      <c r="L13" s="28" t="n">
        <f aca="false">J13-K13</f>
        <v>0</v>
      </c>
    </row>
    <row r="14" customFormat="false" ht="17.15" hidden="false" customHeight="false" outlineLevel="0" collapsed="false">
      <c r="A14" s="0" t="s">
        <v>878</v>
      </c>
      <c r="B14" s="0" t="s">
        <v>371</v>
      </c>
      <c r="C14" s="25" t="n">
        <f aca="false">$K14*N(In!H121)</f>
        <v>0</v>
      </c>
      <c r="D14" s="25" t="n">
        <f aca="false">$K14*N(In!I121)</f>
        <v>0</v>
      </c>
      <c r="E14" s="25" t="n">
        <f aca="false">$K14*N(In!J121)</f>
        <v>0</v>
      </c>
      <c r="F14" s="25" t="n">
        <f aca="false">$K14*N(In!K121)</f>
        <v>0</v>
      </c>
      <c r="G14" s="25" t="n">
        <f aca="false">$K14*N(In!L121)</f>
        <v>0</v>
      </c>
      <c r="H14" s="25" t="n">
        <f aca="false">$K14*N(In!M121)</f>
        <v>0</v>
      </c>
      <c r="I14" s="25" t="n">
        <f aca="false">$K14*(1-SUM(In!H121:M121))</f>
        <v>0</v>
      </c>
      <c r="J14" s="25" t="n">
        <f aca="false">SUM(C14:I14)</f>
        <v>0</v>
      </c>
      <c r="K14" s="27" t="n">
        <f aca="false">N(Players!F168)</f>
        <v>0</v>
      </c>
      <c r="L14" s="28" t="n">
        <f aca="false">J14-K14</f>
        <v>0</v>
      </c>
    </row>
    <row r="15" customFormat="false" ht="17.15" hidden="false" customHeight="false" outlineLevel="0" collapsed="false">
      <c r="A15" s="0" t="s">
        <v>879</v>
      </c>
      <c r="B15" s="0" t="s">
        <v>378</v>
      </c>
      <c r="C15" s="25" t="n">
        <f aca="false">$K15*N(In!H122)</f>
        <v>0</v>
      </c>
      <c r="D15" s="25" t="n">
        <f aca="false">$K15*N(In!I122)</f>
        <v>0</v>
      </c>
      <c r="E15" s="25" t="n">
        <f aca="false">$K15*N(In!J122)</f>
        <v>0</v>
      </c>
      <c r="F15" s="25" t="n">
        <f aca="false">$K15*N(In!K122)</f>
        <v>0</v>
      </c>
      <c r="G15" s="25" t="n">
        <f aca="false">$K15*N(In!L122)</f>
        <v>0</v>
      </c>
      <c r="H15" s="25" t="n">
        <f aca="false">$K15*N(In!M122)</f>
        <v>0</v>
      </c>
      <c r="I15" s="25" t="n">
        <f aca="false">$K15*(1-SUM(In!H122:M122))</f>
        <v>0</v>
      </c>
      <c r="J15" s="25" t="n">
        <f aca="false">SUM(C15:I15)</f>
        <v>0</v>
      </c>
      <c r="K15" s="27" t="n">
        <f aca="false">N(Players!F184)</f>
        <v>0</v>
      </c>
      <c r="L15" s="28" t="n">
        <f aca="false">J15-K15</f>
        <v>0</v>
      </c>
    </row>
    <row r="16" customFormat="false" ht="17.15" hidden="false" customHeight="false" outlineLevel="0" collapsed="false">
      <c r="A16" s="4" t="s">
        <v>880</v>
      </c>
      <c r="B16" s="0" t="s">
        <v>785</v>
      </c>
      <c r="C16" s="25" t="n">
        <f aca="false">$K16*N(In!H123)</f>
        <v>0</v>
      </c>
      <c r="D16" s="25" t="n">
        <f aca="false">$K16*N(In!I123)</f>
        <v>0</v>
      </c>
      <c r="E16" s="25" t="n">
        <f aca="false">$K16*N(In!J123)</f>
        <v>0</v>
      </c>
      <c r="F16" s="25" t="n">
        <f aca="false">$K16*N(In!K123)</f>
        <v>0</v>
      </c>
      <c r="G16" s="25" t="n">
        <f aca="false">$K16*N(In!L123)</f>
        <v>0</v>
      </c>
      <c r="H16" s="25" t="n">
        <f aca="false">$K16*N(In!M123)</f>
        <v>0</v>
      </c>
      <c r="I16" s="25" t="n">
        <f aca="false">$K16*(1-SUM(In!H123:M123))</f>
        <v>0</v>
      </c>
      <c r="J16" s="25" t="n">
        <f aca="false">SUM(C16:I16)</f>
        <v>0</v>
      </c>
      <c r="K16" s="27" t="n">
        <f aca="false">N(Players!F200)</f>
        <v>0</v>
      </c>
      <c r="L16" s="28" t="n">
        <f aca="false">J16-K16</f>
        <v>0</v>
      </c>
    </row>
    <row r="17" customFormat="false" ht="17.15" hidden="false" customHeight="false" outlineLevel="0" collapsed="false">
      <c r="A17" s="4" t="s">
        <v>881</v>
      </c>
      <c r="B17" s="0" t="s">
        <v>802</v>
      </c>
      <c r="C17" s="25" t="n">
        <f aca="false">$K17*N(In!H124)</f>
        <v>0</v>
      </c>
      <c r="D17" s="25" t="n">
        <f aca="false">$K17*N(In!I124)</f>
        <v>0</v>
      </c>
      <c r="E17" s="25" t="n">
        <f aca="false">$K17*N(In!J124)</f>
        <v>0</v>
      </c>
      <c r="F17" s="25" t="n">
        <f aca="false">$K17*N(In!K124)</f>
        <v>0</v>
      </c>
      <c r="G17" s="25" t="n">
        <f aca="false">$K17*N(In!L124)</f>
        <v>0</v>
      </c>
      <c r="H17" s="25" t="n">
        <f aca="false">$K17*N(In!M124)</f>
        <v>0</v>
      </c>
      <c r="I17" s="25" t="n">
        <f aca="false">$K17*(1-SUM(In!H124:M124))</f>
        <v>0</v>
      </c>
      <c r="J17" s="25" t="n">
        <f aca="false">SUM(C17:I17)</f>
        <v>0</v>
      </c>
      <c r="K17" s="27" t="n">
        <f aca="false">N(Players!F216)</f>
        <v>0</v>
      </c>
      <c r="L17" s="28" t="n">
        <f aca="false">J17-K17</f>
        <v>0</v>
      </c>
    </row>
    <row r="18" customFormat="false" ht="17.15" hidden="false" customHeight="false" outlineLevel="0" collapsed="false">
      <c r="A18" s="4" t="s">
        <v>882</v>
      </c>
      <c r="B18" s="0" t="s">
        <v>819</v>
      </c>
      <c r="C18" s="25" t="n">
        <f aca="false">$K18*N(In!H125)</f>
        <v>0</v>
      </c>
      <c r="D18" s="25" t="n">
        <f aca="false">$K18*N(In!I125)</f>
        <v>0</v>
      </c>
      <c r="E18" s="25" t="n">
        <f aca="false">$K18*N(In!J125)</f>
        <v>0</v>
      </c>
      <c r="F18" s="25" t="n">
        <f aca="false">$K18*N(In!K125)</f>
        <v>0</v>
      </c>
      <c r="G18" s="25" t="n">
        <f aca="false">$K18*N(In!L125)</f>
        <v>0</v>
      </c>
      <c r="H18" s="25" t="n">
        <f aca="false">$K18*N(In!M125)</f>
        <v>0</v>
      </c>
      <c r="I18" s="25" t="n">
        <f aca="false">$K18*(1-SUM(In!H125:M125))</f>
        <v>0</v>
      </c>
      <c r="J18" s="25" t="n">
        <f aca="false">SUM(C18:I18)</f>
        <v>0</v>
      </c>
      <c r="K18" s="27" t="n">
        <f aca="false">N(Players!F232)</f>
        <v>0</v>
      </c>
      <c r="L18" s="28" t="n">
        <f aca="false">J18-K18</f>
        <v>0</v>
      </c>
    </row>
    <row r="19" customFormat="false" ht="15" hidden="false" customHeight="false" outlineLevel="0" collapsed="false">
      <c r="A19" s="4" t="s">
        <v>835</v>
      </c>
      <c r="B19" s="0" t="s">
        <v>836</v>
      </c>
      <c r="C19" s="25" t="n">
        <f aca="false">$K19*N(In!H126)</f>
        <v>0</v>
      </c>
      <c r="D19" s="25" t="n">
        <f aca="false">$K19*N(In!I126)</f>
        <v>0</v>
      </c>
      <c r="E19" s="25" t="n">
        <f aca="false">$K19*N(In!J126)</f>
        <v>0</v>
      </c>
      <c r="F19" s="25" t="n">
        <f aca="false">$K19*N(In!K126)</f>
        <v>0</v>
      </c>
      <c r="G19" s="25" t="n">
        <f aca="false">$K19*N(In!L126)</f>
        <v>0</v>
      </c>
      <c r="H19" s="25" t="n">
        <f aca="false">$K19*N(In!M126)</f>
        <v>0</v>
      </c>
      <c r="I19" s="25" t="n">
        <f aca="false">$K19*(1-SUM(In!H126:M126))</f>
        <v>0</v>
      </c>
      <c r="J19" s="25" t="n">
        <f aca="false">SUM(C19:I19)</f>
        <v>0</v>
      </c>
      <c r="K19" s="27" t="n">
        <f aca="false">N(Players!F248)</f>
        <v>0</v>
      </c>
      <c r="L19" s="28" t="n">
        <f aca="false">J19-K19</f>
        <v>0</v>
      </c>
    </row>
    <row r="20" customFormat="false" ht="15" hidden="false" customHeight="false" outlineLevel="0" collapsed="false">
      <c r="A20" s="17" t="s">
        <v>883</v>
      </c>
      <c r="C20" s="25" t="n">
        <f aca="false">SUM(C5:C19)</f>
        <v>5.10013046314416</v>
      </c>
      <c r="D20" s="25" t="n">
        <f aca="false">SUM(D5:D19)</f>
        <v>0</v>
      </c>
      <c r="E20" s="25" t="n">
        <f aca="false">SUM(E5:E19)</f>
        <v>0</v>
      </c>
      <c r="F20" s="25" t="n">
        <f aca="false">SUM(F5:F19)</f>
        <v>0</v>
      </c>
      <c r="G20" s="25" t="n">
        <f aca="false">SUM(G5:G19)</f>
        <v>0</v>
      </c>
      <c r="H20" s="25" t="n">
        <f aca="false">SUM(H5:H19)</f>
        <v>0</v>
      </c>
      <c r="I20" s="25" t="n">
        <f aca="false">SUM(I5:I19)</f>
        <v>5.77016742770168</v>
      </c>
      <c r="J20" s="25" t="n">
        <f aca="false">SUM(J5:J19)</f>
        <v>10.8702978908458</v>
      </c>
      <c r="K20" s="25" t="n">
        <f aca="false">SUM(K5:K19)</f>
        <v>10.8702978908458</v>
      </c>
      <c r="L20" s="28" t="n">
        <f aca="false">SUM(C20:I20)-K20</f>
        <v>0</v>
      </c>
    </row>
    <row r="21" customFormat="false" ht="17.15" hidden="false" customHeight="false" outlineLevel="0" collapsed="false">
      <c r="A21" s="4" t="s">
        <v>884</v>
      </c>
      <c r="D21" s="25" t="n">
        <f aca="false">IF(In!J97="","",IF(In!$C$97="設施",In!J97,In!J97/Players!F$13))</f>
        <v>2.06566644922809</v>
      </c>
      <c r="J21" s="29" t="n">
        <f aca="false">IF(OR(D21="",D21=0),"",D20/D21)</f>
        <v>0</v>
      </c>
      <c r="K21" s="4" t="s">
        <v>885</v>
      </c>
    </row>
    <row r="22" customFormat="false" ht="17.15" hidden="false" customHeight="false" outlineLevel="0" collapsed="false">
      <c r="A22" s="4" t="s">
        <v>886</v>
      </c>
      <c r="E22" s="25" t="n">
        <f aca="false">IF(In!J98="","",IF(In!$C$98="設施",In!J98,In!J98/Players!F$13))</f>
        <v>1.5220700152207</v>
      </c>
      <c r="J22" s="29" t="n">
        <f aca="false">IF(OR(E22="",E22=0),"",E20/E22)</f>
        <v>0</v>
      </c>
      <c r="K22" s="4" t="s">
        <v>885</v>
      </c>
    </row>
    <row r="24" customFormat="false" ht="17.15" hidden="false" customHeight="false" outlineLevel="0" collapsed="false">
      <c r="A24" s="7" t="s">
        <v>887</v>
      </c>
    </row>
    <row r="25" customFormat="false" ht="15" hidden="false" customHeight="false" outlineLevel="0" collapsed="false">
      <c r="A25" s="5" t="s">
        <v>317</v>
      </c>
      <c r="B25" s="5" t="s">
        <v>11</v>
      </c>
      <c r="C25" s="5" t="s">
        <v>318</v>
      </c>
      <c r="D25" s="6" t="s">
        <v>319</v>
      </c>
      <c r="E25" s="6" t="s">
        <v>320</v>
      </c>
      <c r="F25" s="6" t="s">
        <v>321</v>
      </c>
      <c r="G25" s="6" t="s">
        <v>322</v>
      </c>
      <c r="H25" s="5" t="s">
        <v>323</v>
      </c>
      <c r="I25" s="5" t="s">
        <v>869</v>
      </c>
      <c r="J25" s="5" t="s">
        <v>870</v>
      </c>
      <c r="K25" s="6" t="s">
        <v>871</v>
      </c>
      <c r="L25" s="5" t="s">
        <v>872</v>
      </c>
    </row>
    <row r="26" customFormat="false" ht="17.15" hidden="false" customHeight="false" outlineLevel="0" collapsed="false">
      <c r="A26" s="0" t="s">
        <v>873</v>
      </c>
      <c r="B26" s="0" t="s">
        <v>370</v>
      </c>
      <c r="C26" s="25" t="n">
        <f aca="false">$K26*N(In!H112)</f>
        <v>1.95694716242661</v>
      </c>
      <c r="D26" s="25" t="n">
        <f aca="false">$K26*N(In!I112)</f>
        <v>0</v>
      </c>
      <c r="E26" s="25" t="n">
        <f aca="false">$K26*N(In!J112)</f>
        <v>0</v>
      </c>
      <c r="F26" s="25" t="n">
        <f aca="false">$K26*N(In!K112)</f>
        <v>0</v>
      </c>
      <c r="G26" s="25" t="n">
        <f aca="false">$K26*N(In!L112)</f>
        <v>0</v>
      </c>
      <c r="H26" s="25" t="n">
        <f aca="false">$K26*N(In!M112)</f>
        <v>0</v>
      </c>
      <c r="I26" s="25" t="n">
        <f aca="false">$K26*(1-SUM(In!H112:M112))</f>
        <v>2.93542074363992</v>
      </c>
      <c r="J26" s="25" t="n">
        <f aca="false">SUM(C26:I26)</f>
        <v>4.89236790606654</v>
      </c>
      <c r="K26" s="27" t="n">
        <f aca="false">N(Players!G24)</f>
        <v>4.89236790606654</v>
      </c>
      <c r="L26" s="28" t="n">
        <f aca="false">J26-K26</f>
        <v>0</v>
      </c>
    </row>
    <row r="27" customFormat="false" ht="17.15" hidden="false" customHeight="false" outlineLevel="0" collapsed="false">
      <c r="A27" s="0" t="s">
        <v>874</v>
      </c>
      <c r="B27" s="0" t="s">
        <v>621</v>
      </c>
      <c r="C27" s="25" t="n">
        <f aca="false">$K27*N(In!H113)</f>
        <v>4.8234398782344</v>
      </c>
      <c r="D27" s="25" t="n">
        <f aca="false">$K27*N(In!I113)</f>
        <v>0</v>
      </c>
      <c r="E27" s="25" t="n">
        <f aca="false">$K27*N(In!J113)</f>
        <v>0</v>
      </c>
      <c r="F27" s="25" t="n">
        <f aca="false">$K27*N(In!K113)</f>
        <v>0</v>
      </c>
      <c r="G27" s="25" t="n">
        <f aca="false">$K27*N(In!L113)</f>
        <v>0</v>
      </c>
      <c r="H27" s="25" t="n">
        <f aca="false">$K27*N(In!M113)</f>
        <v>0</v>
      </c>
      <c r="I27" s="25" t="n">
        <f aca="false">$K27*(1-SUM(In!H113:M113))</f>
        <v>2.06718851924331</v>
      </c>
      <c r="J27" s="25" t="n">
        <f aca="false">SUM(C27:I27)</f>
        <v>6.89062839747771</v>
      </c>
      <c r="K27" s="27" t="n">
        <f aca="false">N(Players!G40)</f>
        <v>6.89062839747771</v>
      </c>
      <c r="L27" s="28" t="n">
        <f aca="false">J27-K27</f>
        <v>0</v>
      </c>
    </row>
    <row r="28" customFormat="false" ht="17.15" hidden="false" customHeight="false" outlineLevel="0" collapsed="false">
      <c r="A28" s="0" t="s">
        <v>875</v>
      </c>
      <c r="B28" s="0" t="s">
        <v>377</v>
      </c>
      <c r="C28" s="25" t="n">
        <f aca="false">$K28*N(In!H114)</f>
        <v>0.565340291367689</v>
      </c>
      <c r="D28" s="25" t="n">
        <f aca="false">$K28*N(In!I114)</f>
        <v>0</v>
      </c>
      <c r="E28" s="25" t="n">
        <f aca="false">$K28*N(In!J114)</f>
        <v>0</v>
      </c>
      <c r="F28" s="25" t="n">
        <f aca="false">$K28*N(In!K114)</f>
        <v>0</v>
      </c>
      <c r="G28" s="25" t="n">
        <f aca="false">$K28*N(In!L114)</f>
        <v>0</v>
      </c>
      <c r="H28" s="25" t="n">
        <f aca="false">$K28*N(In!M114)</f>
        <v>0</v>
      </c>
      <c r="I28" s="25" t="n">
        <f aca="false">$K28*(1-SUM(In!H114:M114))</f>
        <v>2.26136116547076</v>
      </c>
      <c r="J28" s="25" t="n">
        <f aca="false">SUM(C28:I28)</f>
        <v>2.82670145683844</v>
      </c>
      <c r="K28" s="27" t="n">
        <f aca="false">N(Players!G56)</f>
        <v>2.82670145683844</v>
      </c>
      <c r="L28" s="28" t="n">
        <f aca="false">J28-K28</f>
        <v>0</v>
      </c>
    </row>
    <row r="29" customFormat="false" ht="17.15" hidden="false" customHeight="false" outlineLevel="0" collapsed="false">
      <c r="A29" s="0" t="s">
        <v>876</v>
      </c>
      <c r="B29" s="0" t="s">
        <v>387</v>
      </c>
      <c r="C29" s="25" t="n">
        <f aca="false">$K29*N(In!H115)</f>
        <v>0</v>
      </c>
      <c r="D29" s="25" t="n">
        <f aca="false">$K29*N(In!I115)</f>
        <v>0</v>
      </c>
      <c r="E29" s="25" t="n">
        <f aca="false">$K29*N(In!J115)</f>
        <v>0</v>
      </c>
      <c r="F29" s="25" t="n">
        <f aca="false">$K29*N(In!K115)</f>
        <v>0</v>
      </c>
      <c r="G29" s="25" t="n">
        <f aca="false">$K29*N(In!L115)</f>
        <v>0</v>
      </c>
      <c r="H29" s="25" t="n">
        <f aca="false">$K29*N(In!M115)</f>
        <v>0</v>
      </c>
      <c r="I29" s="25" t="n">
        <f aca="false">$K29*(1-SUM(In!H115:M115))</f>
        <v>2.7647314633616</v>
      </c>
      <c r="J29" s="25" t="n">
        <f aca="false">SUM(C29:I29)</f>
        <v>2.7647314633616</v>
      </c>
      <c r="K29" s="27" t="n">
        <f aca="false">N(Players!G72)</f>
        <v>2.7647314633616</v>
      </c>
      <c r="L29" s="28" t="n">
        <f aca="false">J29-K29</f>
        <v>0</v>
      </c>
    </row>
    <row r="30" customFormat="false" ht="15" hidden="false" customHeight="false" outlineLevel="0" collapsed="false">
      <c r="A30" s="0" t="s">
        <v>669</v>
      </c>
      <c r="B30" s="0" t="s">
        <v>670</v>
      </c>
      <c r="C30" s="25" t="n">
        <f aca="false">$K30*N(In!H116)</f>
        <v>0</v>
      </c>
      <c r="D30" s="25" t="n">
        <f aca="false">$K30*N(In!I116)</f>
        <v>0</v>
      </c>
      <c r="E30" s="25" t="n">
        <f aca="false">$K30*N(In!J116)</f>
        <v>0</v>
      </c>
      <c r="F30" s="25" t="n">
        <f aca="false">$K30*N(In!K116)</f>
        <v>0</v>
      </c>
      <c r="G30" s="25" t="n">
        <f aca="false">$K30*N(In!L116)</f>
        <v>0</v>
      </c>
      <c r="H30" s="25" t="n">
        <f aca="false">$K30*N(In!M116)</f>
        <v>0</v>
      </c>
      <c r="I30" s="25" t="n">
        <f aca="false">$K30*(1-SUM(In!H116:M116))</f>
        <v>2.01130680582735</v>
      </c>
      <c r="J30" s="25" t="n">
        <f aca="false">SUM(C30:I30)</f>
        <v>2.01130680582735</v>
      </c>
      <c r="K30" s="27" t="n">
        <f aca="false">N(Players!G88)</f>
        <v>2.01130680582735</v>
      </c>
      <c r="L30" s="28" t="n">
        <f aca="false">J30-K30</f>
        <v>0</v>
      </c>
    </row>
    <row r="31" customFormat="false" ht="15" hidden="false" customHeight="false" outlineLevel="0" collapsed="false">
      <c r="A31" s="0" t="s">
        <v>686</v>
      </c>
      <c r="B31" s="0" t="s">
        <v>687</v>
      </c>
      <c r="C31" s="25" t="n">
        <f aca="false">$K31*N(In!H117)</f>
        <v>0</v>
      </c>
      <c r="D31" s="25" t="n">
        <f aca="false">$K31*N(In!I117)</f>
        <v>0</v>
      </c>
      <c r="E31" s="25" t="n">
        <f aca="false">$K31*N(In!J117)</f>
        <v>0</v>
      </c>
      <c r="F31" s="25" t="n">
        <f aca="false">$K31*N(In!K117)</f>
        <v>0</v>
      </c>
      <c r="G31" s="25" t="n">
        <f aca="false">$K31*N(In!L117)</f>
        <v>0</v>
      </c>
      <c r="H31" s="25" t="n">
        <f aca="false">$K31*N(In!M117)</f>
        <v>0</v>
      </c>
      <c r="I31" s="25" t="n">
        <f aca="false">$K31*(1-SUM(In!H117:M117))</f>
        <v>0.978473581213307</v>
      </c>
      <c r="J31" s="25" t="n">
        <f aca="false">SUM(C31:I31)</f>
        <v>0.978473581213307</v>
      </c>
      <c r="K31" s="27" t="n">
        <f aca="false">N(Players!G104)</f>
        <v>0.978473581213307</v>
      </c>
      <c r="L31" s="28" t="n">
        <f aca="false">J31-K31</f>
        <v>0</v>
      </c>
    </row>
    <row r="32" customFormat="false" ht="17.15" hidden="false" customHeight="false" outlineLevel="0" collapsed="false">
      <c r="A32" s="0" t="s">
        <v>877</v>
      </c>
      <c r="B32" s="0" t="s">
        <v>704</v>
      </c>
      <c r="C32" s="25" t="n">
        <f aca="false">$K32*N(In!H118)</f>
        <v>0</v>
      </c>
      <c r="D32" s="25" t="n">
        <f aca="false">$K32*N(In!I118)</f>
        <v>0</v>
      </c>
      <c r="E32" s="25" t="n">
        <f aca="false">$K32*N(In!J118)</f>
        <v>0</v>
      </c>
      <c r="F32" s="25" t="n">
        <f aca="false">$K32*N(In!K118)</f>
        <v>0</v>
      </c>
      <c r="G32" s="25" t="n">
        <f aca="false">$K32*N(In!L118)</f>
        <v>0</v>
      </c>
      <c r="H32" s="25" t="n">
        <f aca="false">$K32*N(In!M118)</f>
        <v>0</v>
      </c>
      <c r="I32" s="25" t="n">
        <f aca="false">$K32*(1-SUM(In!H118:M118))</f>
        <v>0.0158447488584475</v>
      </c>
      <c r="J32" s="25" t="n">
        <f aca="false">SUM(C32:I32)</f>
        <v>0.0158447488584475</v>
      </c>
      <c r="K32" s="27" t="n">
        <f aca="false">N(Players!G120)</f>
        <v>0.0158447488584475</v>
      </c>
      <c r="L32" s="28" t="n">
        <f aca="false">J32-K32</f>
        <v>0</v>
      </c>
    </row>
    <row r="33" customFormat="false" ht="15" hidden="false" customHeight="false" outlineLevel="0" collapsed="false">
      <c r="A33" s="0" t="s">
        <v>322</v>
      </c>
      <c r="B33" s="0" t="s">
        <v>720</v>
      </c>
      <c r="C33" s="25" t="n">
        <f aca="false">$K33*N(In!H119)</f>
        <v>0</v>
      </c>
      <c r="D33" s="25" t="n">
        <f aca="false">$K33*N(In!I119)</f>
        <v>0</v>
      </c>
      <c r="E33" s="25" t="n">
        <f aca="false">$K33*N(In!J119)</f>
        <v>0</v>
      </c>
      <c r="F33" s="25" t="n">
        <f aca="false">$K33*N(In!K119)</f>
        <v>0</v>
      </c>
      <c r="G33" s="25" t="n">
        <f aca="false">$K33*N(In!L119)</f>
        <v>0</v>
      </c>
      <c r="H33" s="25" t="n">
        <f aca="false">$K33*N(In!M119)</f>
        <v>0</v>
      </c>
      <c r="I33" s="25" t="n">
        <f aca="false">$K33*(1-SUM(In!H119:M119))</f>
        <v>0</v>
      </c>
      <c r="J33" s="25" t="n">
        <f aca="false">SUM(C33:I33)</f>
        <v>0</v>
      </c>
      <c r="K33" s="27" t="n">
        <f aca="false">N(Players!G136)</f>
        <v>0</v>
      </c>
      <c r="L33" s="28" t="n">
        <f aca="false">J33-K33</f>
        <v>0</v>
      </c>
    </row>
    <row r="34" customFormat="false" ht="15" hidden="false" customHeight="false" outlineLevel="0" collapsed="false">
      <c r="A34" s="0" t="s">
        <v>321</v>
      </c>
      <c r="B34" s="0" t="s">
        <v>736</v>
      </c>
      <c r="C34" s="25" t="n">
        <f aca="false">$K34*N(In!H120)</f>
        <v>0</v>
      </c>
      <c r="D34" s="25" t="n">
        <f aca="false">$K34*N(In!I120)</f>
        <v>0</v>
      </c>
      <c r="E34" s="25" t="n">
        <f aca="false">$K34*N(In!J120)</f>
        <v>0</v>
      </c>
      <c r="F34" s="25" t="n">
        <f aca="false">$K34*N(In!K120)</f>
        <v>0</v>
      </c>
      <c r="G34" s="25" t="n">
        <f aca="false">$K34*N(In!L120)</f>
        <v>0</v>
      </c>
      <c r="H34" s="25" t="n">
        <f aca="false">$K34*N(In!M120)</f>
        <v>0</v>
      </c>
      <c r="I34" s="25" t="n">
        <f aca="false">$K34*(1-SUM(In!H120:M120))</f>
        <v>0</v>
      </c>
      <c r="J34" s="25" t="n">
        <f aca="false">SUM(C34:I34)</f>
        <v>0</v>
      </c>
      <c r="K34" s="27" t="n">
        <f aca="false">N(Players!G152)</f>
        <v>0</v>
      </c>
      <c r="L34" s="28" t="n">
        <f aca="false">J34-K34</f>
        <v>0</v>
      </c>
    </row>
    <row r="35" customFormat="false" ht="17.15" hidden="false" customHeight="false" outlineLevel="0" collapsed="false">
      <c r="A35" s="0" t="s">
        <v>878</v>
      </c>
      <c r="B35" s="0" t="s">
        <v>371</v>
      </c>
      <c r="C35" s="25" t="n">
        <f aca="false">$K35*N(In!H121)</f>
        <v>0</v>
      </c>
      <c r="D35" s="25" t="n">
        <f aca="false">$K35*N(In!I121)</f>
        <v>0</v>
      </c>
      <c r="E35" s="25" t="n">
        <f aca="false">$K35*N(In!J121)</f>
        <v>0</v>
      </c>
      <c r="F35" s="25" t="n">
        <f aca="false">$K35*N(In!K121)</f>
        <v>0</v>
      </c>
      <c r="G35" s="25" t="n">
        <f aca="false">$K35*N(In!L121)</f>
        <v>0</v>
      </c>
      <c r="H35" s="25" t="n">
        <f aca="false">$K35*N(In!M121)</f>
        <v>0</v>
      </c>
      <c r="I35" s="25" t="n">
        <f aca="false">$K35*(1-SUM(In!H121:M121))</f>
        <v>0</v>
      </c>
      <c r="J35" s="25" t="n">
        <f aca="false">SUM(C35:I35)</f>
        <v>0</v>
      </c>
      <c r="K35" s="27" t="n">
        <f aca="false">N(Players!G168)</f>
        <v>0</v>
      </c>
      <c r="L35" s="28" t="n">
        <f aca="false">J35-K35</f>
        <v>0</v>
      </c>
    </row>
    <row r="36" customFormat="false" ht="17.15" hidden="false" customHeight="false" outlineLevel="0" collapsed="false">
      <c r="A36" s="0" t="s">
        <v>879</v>
      </c>
      <c r="B36" s="0" t="s">
        <v>378</v>
      </c>
      <c r="C36" s="25" t="n">
        <f aca="false">$K36*N(In!H122)</f>
        <v>0</v>
      </c>
      <c r="D36" s="25" t="n">
        <f aca="false">$K36*N(In!I122)</f>
        <v>0</v>
      </c>
      <c r="E36" s="25" t="n">
        <f aca="false">$K36*N(In!J122)</f>
        <v>0</v>
      </c>
      <c r="F36" s="25" t="n">
        <f aca="false">$K36*N(In!K122)</f>
        <v>0</v>
      </c>
      <c r="G36" s="25" t="n">
        <f aca="false">$K36*N(In!L122)</f>
        <v>0</v>
      </c>
      <c r="H36" s="25" t="n">
        <f aca="false">$K36*N(In!M122)</f>
        <v>0</v>
      </c>
      <c r="I36" s="25" t="n">
        <f aca="false">$K36*(1-SUM(In!H122:M122))</f>
        <v>0</v>
      </c>
      <c r="J36" s="25" t="n">
        <f aca="false">SUM(C36:I36)</f>
        <v>0</v>
      </c>
      <c r="K36" s="27" t="n">
        <f aca="false">N(Players!G184)</f>
        <v>0</v>
      </c>
      <c r="L36" s="28" t="n">
        <f aca="false">J36-K36</f>
        <v>0</v>
      </c>
    </row>
    <row r="37" customFormat="false" ht="17.15" hidden="false" customHeight="false" outlineLevel="0" collapsed="false">
      <c r="A37" s="4" t="s">
        <v>880</v>
      </c>
      <c r="B37" s="0" t="s">
        <v>785</v>
      </c>
      <c r="C37" s="25" t="n">
        <f aca="false">$K37*N(In!H123)</f>
        <v>0</v>
      </c>
      <c r="D37" s="25" t="n">
        <f aca="false">$K37*N(In!I123)</f>
        <v>0</v>
      </c>
      <c r="E37" s="25" t="n">
        <f aca="false">$K37*N(In!J123)</f>
        <v>0</v>
      </c>
      <c r="F37" s="25" t="n">
        <f aca="false">$K37*N(In!K123)</f>
        <v>0</v>
      </c>
      <c r="G37" s="25" t="n">
        <f aca="false">$K37*N(In!L123)</f>
        <v>0</v>
      </c>
      <c r="H37" s="25" t="n">
        <f aca="false">$K37*N(In!M123)</f>
        <v>0</v>
      </c>
      <c r="I37" s="25" t="n">
        <f aca="false">$K37*(1-SUM(In!H123:M123))</f>
        <v>0</v>
      </c>
      <c r="J37" s="25" t="n">
        <f aca="false">SUM(C37:I37)</f>
        <v>0</v>
      </c>
      <c r="K37" s="27" t="n">
        <f aca="false">N(Players!G200)</f>
        <v>0</v>
      </c>
      <c r="L37" s="28" t="n">
        <f aca="false">J37-K37</f>
        <v>0</v>
      </c>
    </row>
    <row r="38" customFormat="false" ht="17.15" hidden="false" customHeight="false" outlineLevel="0" collapsed="false">
      <c r="A38" s="4" t="s">
        <v>881</v>
      </c>
      <c r="B38" s="0" t="s">
        <v>802</v>
      </c>
      <c r="C38" s="25" t="n">
        <f aca="false">$K38*N(In!H124)</f>
        <v>0</v>
      </c>
      <c r="D38" s="25" t="n">
        <f aca="false">$K38*N(In!I124)</f>
        <v>0</v>
      </c>
      <c r="E38" s="25" t="n">
        <f aca="false">$K38*N(In!J124)</f>
        <v>0</v>
      </c>
      <c r="F38" s="25" t="n">
        <f aca="false">$K38*N(In!K124)</f>
        <v>0</v>
      </c>
      <c r="G38" s="25" t="n">
        <f aca="false">$K38*N(In!L124)</f>
        <v>0</v>
      </c>
      <c r="H38" s="25" t="n">
        <f aca="false">$K38*N(In!M124)</f>
        <v>0</v>
      </c>
      <c r="I38" s="25" t="n">
        <f aca="false">$K38*(1-SUM(In!H124:M124))</f>
        <v>0</v>
      </c>
      <c r="J38" s="25" t="n">
        <f aca="false">SUM(C38:I38)</f>
        <v>0</v>
      </c>
      <c r="K38" s="27" t="n">
        <f aca="false">N(Players!G216)</f>
        <v>0</v>
      </c>
      <c r="L38" s="28" t="n">
        <f aca="false">J38-K38</f>
        <v>0</v>
      </c>
    </row>
    <row r="39" customFormat="false" ht="17.15" hidden="false" customHeight="false" outlineLevel="0" collapsed="false">
      <c r="A39" s="4" t="s">
        <v>882</v>
      </c>
      <c r="B39" s="0" t="s">
        <v>819</v>
      </c>
      <c r="C39" s="25" t="n">
        <f aca="false">$K39*N(In!H125)</f>
        <v>0</v>
      </c>
      <c r="D39" s="25" t="n">
        <f aca="false">$K39*N(In!I125)</f>
        <v>0</v>
      </c>
      <c r="E39" s="25" t="n">
        <f aca="false">$K39*N(In!J125)</f>
        <v>0</v>
      </c>
      <c r="F39" s="25" t="n">
        <f aca="false">$K39*N(In!K125)</f>
        <v>0</v>
      </c>
      <c r="G39" s="25" t="n">
        <f aca="false">$K39*N(In!L125)</f>
        <v>0</v>
      </c>
      <c r="H39" s="25" t="n">
        <f aca="false">$K39*N(In!M125)</f>
        <v>0</v>
      </c>
      <c r="I39" s="25" t="n">
        <f aca="false">$K39*(1-SUM(In!H125:M125))</f>
        <v>0</v>
      </c>
      <c r="J39" s="25" t="n">
        <f aca="false">SUM(C39:I39)</f>
        <v>0</v>
      </c>
      <c r="K39" s="27" t="n">
        <f aca="false">N(Players!G232)</f>
        <v>0</v>
      </c>
      <c r="L39" s="28" t="n">
        <f aca="false">J39-K39</f>
        <v>0</v>
      </c>
    </row>
    <row r="40" customFormat="false" ht="15" hidden="false" customHeight="false" outlineLevel="0" collapsed="false">
      <c r="A40" s="4" t="s">
        <v>835</v>
      </c>
      <c r="B40" s="0" t="s">
        <v>836</v>
      </c>
      <c r="C40" s="25" t="n">
        <f aca="false">$K40*N(In!H126)</f>
        <v>0</v>
      </c>
      <c r="D40" s="25" t="n">
        <f aca="false">$K40*N(In!I126)</f>
        <v>0</v>
      </c>
      <c r="E40" s="25" t="n">
        <f aca="false">$K40*N(In!J126)</f>
        <v>0</v>
      </c>
      <c r="F40" s="25" t="n">
        <f aca="false">$K40*N(In!K126)</f>
        <v>0</v>
      </c>
      <c r="G40" s="25" t="n">
        <f aca="false">$K40*N(In!L126)</f>
        <v>0</v>
      </c>
      <c r="H40" s="25" t="n">
        <f aca="false">$K40*N(In!M126)</f>
        <v>0</v>
      </c>
      <c r="I40" s="25" t="n">
        <f aca="false">$K40*(1-SUM(In!H126:M126))</f>
        <v>0</v>
      </c>
      <c r="J40" s="25" t="n">
        <f aca="false">SUM(C40:I40)</f>
        <v>0</v>
      </c>
      <c r="K40" s="27" t="n">
        <f aca="false">N(Players!G248)</f>
        <v>0</v>
      </c>
      <c r="L40" s="28" t="n">
        <f aca="false">J40-K40</f>
        <v>0</v>
      </c>
    </row>
    <row r="41" customFormat="false" ht="15" hidden="false" customHeight="false" outlineLevel="0" collapsed="false">
      <c r="A41" s="17" t="s">
        <v>883</v>
      </c>
      <c r="C41" s="25" t="n">
        <f aca="false">SUM(C26:C40)</f>
        <v>7.3457273320287</v>
      </c>
      <c r="D41" s="25" t="n">
        <f aca="false">SUM(D26:D40)</f>
        <v>0</v>
      </c>
      <c r="E41" s="25" t="n">
        <f aca="false">SUM(E26:E40)</f>
        <v>0</v>
      </c>
      <c r="F41" s="25" t="n">
        <f aca="false">SUM(F26:F40)</f>
        <v>0</v>
      </c>
      <c r="G41" s="25" t="n">
        <f aca="false">SUM(G26:G40)</f>
        <v>0</v>
      </c>
      <c r="H41" s="25" t="n">
        <f aca="false">SUM(H26:H40)</f>
        <v>0</v>
      </c>
      <c r="I41" s="25" t="n">
        <f aca="false">SUM(I26:I40)</f>
        <v>13.0343270276147</v>
      </c>
      <c r="J41" s="25" t="n">
        <f aca="false">SUM(J26:J40)</f>
        <v>20.3800543596434</v>
      </c>
      <c r="K41" s="25" t="n">
        <f aca="false">SUM(K26:K40)</f>
        <v>20.3800543596434</v>
      </c>
      <c r="L41" s="28" t="n">
        <f aca="false">SUM(C41:I41)-K41</f>
        <v>0</v>
      </c>
    </row>
    <row r="42" customFormat="false" ht="17.15" hidden="false" customHeight="false" outlineLevel="0" collapsed="false">
      <c r="A42" s="4" t="s">
        <v>884</v>
      </c>
      <c r="D42" s="25" t="n">
        <f aca="false">IF(In!K97="","",IF(In!$C$97="設施",In!K97,In!K97/Players!G$13))</f>
        <v>5.00108719286802</v>
      </c>
      <c r="J42" s="29" t="n">
        <f aca="false">IF(OR(D42="",D42=0),"",D41/D42)</f>
        <v>0</v>
      </c>
      <c r="K42" s="4" t="s">
        <v>885</v>
      </c>
    </row>
    <row r="43" customFormat="false" ht="17.15" hidden="false" customHeight="false" outlineLevel="0" collapsed="false">
      <c r="A43" s="4" t="s">
        <v>886</v>
      </c>
      <c r="E43" s="25" t="n">
        <f aca="false">IF(In!K98="","",IF(In!$C$98="設施",In!K98,In!K98/Players!G$13))</f>
        <v>5.43596434007393</v>
      </c>
      <c r="J43" s="29" t="n">
        <f aca="false">IF(OR(E43="",E43=0),"",E41/E43)</f>
        <v>0</v>
      </c>
      <c r="K43" s="4" t="s">
        <v>885</v>
      </c>
    </row>
    <row r="45" customFormat="false" ht="17.15" hidden="false" customHeight="false" outlineLevel="0" collapsed="false">
      <c r="A45" s="7" t="s">
        <v>888</v>
      </c>
    </row>
    <row r="46" customFormat="false" ht="15" hidden="false" customHeight="false" outlineLevel="0" collapsed="false">
      <c r="A46" s="5" t="s">
        <v>317</v>
      </c>
      <c r="B46" s="5" t="s">
        <v>11</v>
      </c>
      <c r="C46" s="5" t="s">
        <v>318</v>
      </c>
      <c r="D46" s="6" t="s">
        <v>319</v>
      </c>
      <c r="E46" s="6" t="s">
        <v>320</v>
      </c>
      <c r="F46" s="6" t="s">
        <v>321</v>
      </c>
      <c r="G46" s="6" t="s">
        <v>322</v>
      </c>
      <c r="H46" s="5" t="s">
        <v>323</v>
      </c>
      <c r="I46" s="5" t="s">
        <v>869</v>
      </c>
      <c r="J46" s="5" t="s">
        <v>870</v>
      </c>
      <c r="K46" s="6" t="s">
        <v>871</v>
      </c>
      <c r="L46" s="5" t="s">
        <v>872</v>
      </c>
    </row>
    <row r="47" customFormat="false" ht="17.15" hidden="false" customHeight="false" outlineLevel="0" collapsed="false">
      <c r="A47" s="0" t="s">
        <v>873</v>
      </c>
      <c r="B47" s="0" t="s">
        <v>370</v>
      </c>
      <c r="C47" s="25" t="n">
        <f aca="false">$K47*N(In!H112)</f>
        <v>1.95694716242661</v>
      </c>
      <c r="D47" s="25" t="n">
        <f aca="false">$K47*N(In!I112)</f>
        <v>0</v>
      </c>
      <c r="E47" s="25" t="n">
        <f aca="false">$K47*N(In!J112)</f>
        <v>0</v>
      </c>
      <c r="F47" s="25" t="n">
        <f aca="false">$K47*N(In!K112)</f>
        <v>0</v>
      </c>
      <c r="G47" s="25" t="n">
        <f aca="false">$K47*N(In!L112)</f>
        <v>0</v>
      </c>
      <c r="H47" s="25" t="n">
        <f aca="false">$K47*N(In!M112)</f>
        <v>0</v>
      </c>
      <c r="I47" s="25" t="n">
        <f aca="false">$K47*(1-SUM(In!H112:M112))</f>
        <v>2.93542074363992</v>
      </c>
      <c r="J47" s="25" t="n">
        <f aca="false">SUM(C47:I47)</f>
        <v>4.89236790606654</v>
      </c>
      <c r="K47" s="27" t="n">
        <f aca="false">N(Players!H24)</f>
        <v>4.89236790606654</v>
      </c>
      <c r="L47" s="28" t="n">
        <f aca="false">J47-K47</f>
        <v>0</v>
      </c>
    </row>
    <row r="48" customFormat="false" ht="17.15" hidden="false" customHeight="false" outlineLevel="0" collapsed="false">
      <c r="A48" s="0" t="s">
        <v>874</v>
      </c>
      <c r="B48" s="0" t="s">
        <v>621</v>
      </c>
      <c r="C48" s="25" t="n">
        <f aca="false">$K48*N(In!H113)</f>
        <v>4.8234398782344</v>
      </c>
      <c r="D48" s="25" t="n">
        <f aca="false">$K48*N(In!I113)</f>
        <v>0</v>
      </c>
      <c r="E48" s="25" t="n">
        <f aca="false">$K48*N(In!J113)</f>
        <v>0</v>
      </c>
      <c r="F48" s="25" t="n">
        <f aca="false">$K48*N(In!K113)</f>
        <v>0</v>
      </c>
      <c r="G48" s="25" t="n">
        <f aca="false">$K48*N(In!L113)</f>
        <v>0</v>
      </c>
      <c r="H48" s="25" t="n">
        <f aca="false">$K48*N(In!M113)</f>
        <v>0</v>
      </c>
      <c r="I48" s="25" t="n">
        <f aca="false">$K48*(1-SUM(In!H113:M113))</f>
        <v>2.06718851924331</v>
      </c>
      <c r="J48" s="25" t="n">
        <f aca="false">SUM(C48:I48)</f>
        <v>6.89062839747771</v>
      </c>
      <c r="K48" s="27" t="n">
        <f aca="false">N(Players!H40)</f>
        <v>6.89062839747771</v>
      </c>
      <c r="L48" s="28" t="n">
        <f aca="false">J48-K48</f>
        <v>0</v>
      </c>
    </row>
    <row r="49" customFormat="false" ht="17.15" hidden="false" customHeight="false" outlineLevel="0" collapsed="false">
      <c r="A49" s="0" t="s">
        <v>875</v>
      </c>
      <c r="B49" s="0" t="s">
        <v>377</v>
      </c>
      <c r="C49" s="25" t="n">
        <f aca="false">$K49*N(In!H114)</f>
        <v>0.565340291367689</v>
      </c>
      <c r="D49" s="25" t="n">
        <f aca="false">$K49*N(In!I114)</f>
        <v>0</v>
      </c>
      <c r="E49" s="25" t="n">
        <f aca="false">$K49*N(In!J114)</f>
        <v>0</v>
      </c>
      <c r="F49" s="25" t="n">
        <f aca="false">$K49*N(In!K114)</f>
        <v>0</v>
      </c>
      <c r="G49" s="25" t="n">
        <f aca="false">$K49*N(In!L114)</f>
        <v>0</v>
      </c>
      <c r="H49" s="25" t="n">
        <f aca="false">$K49*N(In!M114)</f>
        <v>0</v>
      </c>
      <c r="I49" s="25" t="n">
        <f aca="false">$K49*(1-SUM(In!H114:M114))</f>
        <v>2.26136116547076</v>
      </c>
      <c r="J49" s="25" t="n">
        <f aca="false">SUM(C49:I49)</f>
        <v>2.82670145683844</v>
      </c>
      <c r="K49" s="27" t="n">
        <f aca="false">N(Players!H56)</f>
        <v>2.82670145683844</v>
      </c>
      <c r="L49" s="28" t="n">
        <f aca="false">J49-K49</f>
        <v>0</v>
      </c>
    </row>
    <row r="50" customFormat="false" ht="17.15" hidden="false" customHeight="false" outlineLevel="0" collapsed="false">
      <c r="A50" s="0" t="s">
        <v>876</v>
      </c>
      <c r="B50" s="0" t="s">
        <v>387</v>
      </c>
      <c r="C50" s="25" t="n">
        <f aca="false">$K50*N(In!H115)</f>
        <v>0</v>
      </c>
      <c r="D50" s="25" t="n">
        <f aca="false">$K50*N(In!I115)</f>
        <v>0</v>
      </c>
      <c r="E50" s="25" t="n">
        <f aca="false">$K50*N(In!J115)</f>
        <v>0</v>
      </c>
      <c r="F50" s="25" t="n">
        <f aca="false">$K50*N(In!K115)</f>
        <v>0</v>
      </c>
      <c r="G50" s="25" t="n">
        <f aca="false">$K50*N(In!L115)</f>
        <v>0</v>
      </c>
      <c r="H50" s="25" t="n">
        <f aca="false">$K50*N(In!M115)</f>
        <v>0</v>
      </c>
      <c r="I50" s="25" t="n">
        <f aca="false">$K50*(1-SUM(In!H115:M115))</f>
        <v>5.07501630789302</v>
      </c>
      <c r="J50" s="25" t="n">
        <f aca="false">SUM(C50:I50)</f>
        <v>5.07501630789302</v>
      </c>
      <c r="K50" s="27" t="n">
        <f aca="false">N(Players!H72)</f>
        <v>5.07501630789302</v>
      </c>
      <c r="L50" s="28" t="n">
        <f aca="false">J50-K50</f>
        <v>0</v>
      </c>
    </row>
    <row r="51" customFormat="false" ht="15" hidden="false" customHeight="false" outlineLevel="0" collapsed="false">
      <c r="A51" s="0" t="s">
        <v>669</v>
      </c>
      <c r="B51" s="0" t="s">
        <v>670</v>
      </c>
      <c r="C51" s="25" t="n">
        <f aca="false">$K51*N(In!H116)</f>
        <v>0</v>
      </c>
      <c r="D51" s="25" t="n">
        <f aca="false">$K51*N(In!I116)</f>
        <v>0</v>
      </c>
      <c r="E51" s="25" t="n">
        <f aca="false">$K51*N(In!J116)</f>
        <v>0</v>
      </c>
      <c r="F51" s="25" t="n">
        <f aca="false">$K51*N(In!K116)</f>
        <v>0</v>
      </c>
      <c r="G51" s="25" t="n">
        <f aca="false">$K51*N(In!L116)</f>
        <v>0</v>
      </c>
      <c r="H51" s="25" t="n">
        <f aca="false">$K51*N(In!M116)</f>
        <v>0</v>
      </c>
      <c r="I51" s="25" t="n">
        <f aca="false">$K51*(1-SUM(In!H116:M116))</f>
        <v>3.68286584040009</v>
      </c>
      <c r="J51" s="25" t="n">
        <f aca="false">SUM(C51:I51)</f>
        <v>3.68286584040009</v>
      </c>
      <c r="K51" s="27" t="n">
        <f aca="false">N(Players!H88)</f>
        <v>3.68286584040009</v>
      </c>
      <c r="L51" s="28" t="n">
        <f aca="false">J51-K51</f>
        <v>0</v>
      </c>
    </row>
    <row r="52" customFormat="false" ht="15" hidden="false" customHeight="false" outlineLevel="0" collapsed="false">
      <c r="A52" s="0" t="s">
        <v>686</v>
      </c>
      <c r="B52" s="0" t="s">
        <v>687</v>
      </c>
      <c r="C52" s="25" t="n">
        <f aca="false">$K52*N(In!H117)</f>
        <v>0</v>
      </c>
      <c r="D52" s="25" t="n">
        <f aca="false">$K52*N(In!I117)</f>
        <v>0</v>
      </c>
      <c r="E52" s="25" t="n">
        <f aca="false">$K52*N(In!J117)</f>
        <v>0</v>
      </c>
      <c r="F52" s="25" t="n">
        <f aca="false">$K52*N(In!K117)</f>
        <v>0</v>
      </c>
      <c r="G52" s="25" t="n">
        <f aca="false">$K52*N(In!L117)</f>
        <v>0</v>
      </c>
      <c r="H52" s="25" t="n">
        <f aca="false">$K52*N(In!M117)</f>
        <v>0</v>
      </c>
      <c r="I52" s="25" t="n">
        <f aca="false">$K52*(1-SUM(In!H117:M117))</f>
        <v>0.978473581213307</v>
      </c>
      <c r="J52" s="25" t="n">
        <f aca="false">SUM(C52:I52)</f>
        <v>0.978473581213307</v>
      </c>
      <c r="K52" s="27" t="n">
        <f aca="false">N(Players!H104)</f>
        <v>0.978473581213307</v>
      </c>
      <c r="L52" s="28" t="n">
        <f aca="false">J52-K52</f>
        <v>0</v>
      </c>
    </row>
    <row r="53" customFormat="false" ht="17.15" hidden="false" customHeight="false" outlineLevel="0" collapsed="false">
      <c r="A53" s="0" t="s">
        <v>877</v>
      </c>
      <c r="B53" s="0" t="s">
        <v>704</v>
      </c>
      <c r="C53" s="25" t="n">
        <f aca="false">$K53*N(In!H118)</f>
        <v>0</v>
      </c>
      <c r="D53" s="25" t="n">
        <f aca="false">$K53*N(In!I118)</f>
        <v>0</v>
      </c>
      <c r="E53" s="25" t="n">
        <f aca="false">$K53*N(In!J118)</f>
        <v>0</v>
      </c>
      <c r="F53" s="25" t="n">
        <f aca="false">$K53*N(In!K118)</f>
        <v>0</v>
      </c>
      <c r="G53" s="25" t="n">
        <f aca="false">$K53*N(In!L118)</f>
        <v>0</v>
      </c>
      <c r="H53" s="25" t="n">
        <f aca="false">$K53*N(In!M118)</f>
        <v>0</v>
      </c>
      <c r="I53" s="25" t="n">
        <f aca="false">$K53*(1-SUM(In!H118:M118))</f>
        <v>0.0179908675799087</v>
      </c>
      <c r="J53" s="25" t="n">
        <f aca="false">SUM(C53:I53)</f>
        <v>0.0179908675799087</v>
      </c>
      <c r="K53" s="27" t="n">
        <f aca="false">N(Players!H120)</f>
        <v>0.0179908675799087</v>
      </c>
      <c r="L53" s="28" t="n">
        <f aca="false">J53-K53</f>
        <v>0</v>
      </c>
    </row>
    <row r="54" customFormat="false" ht="15" hidden="false" customHeight="false" outlineLevel="0" collapsed="false">
      <c r="A54" s="0" t="s">
        <v>322</v>
      </c>
      <c r="B54" s="0" t="s">
        <v>720</v>
      </c>
      <c r="C54" s="25" t="n">
        <f aca="false">$K54*N(In!H119)</f>
        <v>0</v>
      </c>
      <c r="D54" s="25" t="n">
        <f aca="false">$K54*N(In!I119)</f>
        <v>0</v>
      </c>
      <c r="E54" s="25" t="n">
        <f aca="false">$K54*N(In!J119)</f>
        <v>0</v>
      </c>
      <c r="F54" s="25" t="n">
        <f aca="false">$K54*N(In!K119)</f>
        <v>0</v>
      </c>
      <c r="G54" s="25" t="n">
        <f aca="false">$K54*N(In!L119)</f>
        <v>0</v>
      </c>
      <c r="H54" s="25" t="n">
        <f aca="false">$K54*N(In!M119)</f>
        <v>0</v>
      </c>
      <c r="I54" s="25" t="n">
        <f aca="false">$K54*(1-SUM(In!H119:M119))</f>
        <v>0</v>
      </c>
      <c r="J54" s="25" t="n">
        <f aca="false">SUM(C54:I54)</f>
        <v>0</v>
      </c>
      <c r="K54" s="27" t="n">
        <f aca="false">N(Players!H136)</f>
        <v>0</v>
      </c>
      <c r="L54" s="28" t="n">
        <f aca="false">J54-K54</f>
        <v>0</v>
      </c>
    </row>
    <row r="55" customFormat="false" ht="15" hidden="false" customHeight="false" outlineLevel="0" collapsed="false">
      <c r="A55" s="0" t="s">
        <v>321</v>
      </c>
      <c r="B55" s="0" t="s">
        <v>736</v>
      </c>
      <c r="C55" s="25" t="n">
        <f aca="false">$K55*N(In!H120)</f>
        <v>0</v>
      </c>
      <c r="D55" s="25" t="n">
        <f aca="false">$K55*N(In!I120)</f>
        <v>0</v>
      </c>
      <c r="E55" s="25" t="n">
        <f aca="false">$K55*N(In!J120)</f>
        <v>0</v>
      </c>
      <c r="F55" s="25" t="n">
        <f aca="false">$K55*N(In!K120)</f>
        <v>0</v>
      </c>
      <c r="G55" s="25" t="n">
        <f aca="false">$K55*N(In!L120)</f>
        <v>0</v>
      </c>
      <c r="H55" s="25" t="n">
        <f aca="false">$K55*N(In!M120)</f>
        <v>0</v>
      </c>
      <c r="I55" s="25" t="n">
        <f aca="false">$K55*(1-SUM(In!H120:M120))</f>
        <v>0</v>
      </c>
      <c r="J55" s="25" t="n">
        <f aca="false">SUM(C55:I55)</f>
        <v>0</v>
      </c>
      <c r="K55" s="27" t="n">
        <f aca="false">N(Players!H152)</f>
        <v>0</v>
      </c>
      <c r="L55" s="28" t="n">
        <f aca="false">J55-K55</f>
        <v>0</v>
      </c>
    </row>
    <row r="56" customFormat="false" ht="17.15" hidden="false" customHeight="false" outlineLevel="0" collapsed="false">
      <c r="A56" s="0" t="s">
        <v>878</v>
      </c>
      <c r="B56" s="0" t="s">
        <v>371</v>
      </c>
      <c r="C56" s="25" t="n">
        <f aca="false">$K56*N(In!H121)</f>
        <v>0</v>
      </c>
      <c r="D56" s="25" t="n">
        <f aca="false">$K56*N(In!I121)</f>
        <v>0</v>
      </c>
      <c r="E56" s="25" t="n">
        <f aca="false">$K56*N(In!J121)</f>
        <v>0</v>
      </c>
      <c r="F56" s="25" t="n">
        <f aca="false">$K56*N(In!K121)</f>
        <v>0</v>
      </c>
      <c r="G56" s="25" t="n">
        <f aca="false">$K56*N(In!L121)</f>
        <v>0</v>
      </c>
      <c r="H56" s="25" t="n">
        <f aca="false">$K56*N(In!M121)</f>
        <v>0</v>
      </c>
      <c r="I56" s="25" t="n">
        <f aca="false">$K56*(1-SUM(In!H121:M121))</f>
        <v>0</v>
      </c>
      <c r="J56" s="25" t="n">
        <f aca="false">SUM(C56:I56)</f>
        <v>0</v>
      </c>
      <c r="K56" s="27" t="n">
        <f aca="false">N(Players!H168)</f>
        <v>0</v>
      </c>
      <c r="L56" s="28" t="n">
        <f aca="false">J56-K56</f>
        <v>0</v>
      </c>
    </row>
    <row r="57" customFormat="false" ht="17.15" hidden="false" customHeight="false" outlineLevel="0" collapsed="false">
      <c r="A57" s="0" t="s">
        <v>879</v>
      </c>
      <c r="B57" s="0" t="s">
        <v>378</v>
      </c>
      <c r="C57" s="25" t="n">
        <f aca="false">$K57*N(In!H122)</f>
        <v>0</v>
      </c>
      <c r="D57" s="25" t="n">
        <f aca="false">$K57*N(In!I122)</f>
        <v>0</v>
      </c>
      <c r="E57" s="25" t="n">
        <f aca="false">$K57*N(In!J122)</f>
        <v>0</v>
      </c>
      <c r="F57" s="25" t="n">
        <f aca="false">$K57*N(In!K122)</f>
        <v>0</v>
      </c>
      <c r="G57" s="25" t="n">
        <f aca="false">$K57*N(In!L122)</f>
        <v>0</v>
      </c>
      <c r="H57" s="25" t="n">
        <f aca="false">$K57*N(In!M122)</f>
        <v>0</v>
      </c>
      <c r="I57" s="25" t="n">
        <f aca="false">$K57*(1-SUM(In!H122:M122))</f>
        <v>0</v>
      </c>
      <c r="J57" s="25" t="n">
        <f aca="false">SUM(C57:I57)</f>
        <v>0</v>
      </c>
      <c r="K57" s="27" t="n">
        <f aca="false">N(Players!H184)</f>
        <v>0</v>
      </c>
      <c r="L57" s="28" t="n">
        <f aca="false">J57-K57</f>
        <v>0</v>
      </c>
    </row>
    <row r="58" customFormat="false" ht="17.15" hidden="false" customHeight="false" outlineLevel="0" collapsed="false">
      <c r="A58" s="4" t="s">
        <v>880</v>
      </c>
      <c r="B58" s="0" t="s">
        <v>785</v>
      </c>
      <c r="C58" s="25" t="n">
        <f aca="false">$K58*N(In!H123)</f>
        <v>0</v>
      </c>
      <c r="D58" s="25" t="n">
        <f aca="false">$K58*N(In!I123)</f>
        <v>0</v>
      </c>
      <c r="E58" s="25" t="n">
        <f aca="false">$K58*N(In!J123)</f>
        <v>0</v>
      </c>
      <c r="F58" s="25" t="n">
        <f aca="false">$K58*N(In!K123)</f>
        <v>0</v>
      </c>
      <c r="G58" s="25" t="n">
        <f aca="false">$K58*N(In!L123)</f>
        <v>0</v>
      </c>
      <c r="H58" s="25" t="n">
        <f aca="false">$K58*N(In!M123)</f>
        <v>0</v>
      </c>
      <c r="I58" s="25" t="n">
        <f aca="false">$K58*(1-SUM(In!H123:M123))</f>
        <v>0</v>
      </c>
      <c r="J58" s="25" t="n">
        <f aca="false">SUM(C58:I58)</f>
        <v>0</v>
      </c>
      <c r="K58" s="27" t="n">
        <f aca="false">N(Players!H200)</f>
        <v>0</v>
      </c>
      <c r="L58" s="28" t="n">
        <f aca="false">J58-K58</f>
        <v>0</v>
      </c>
    </row>
    <row r="59" customFormat="false" ht="17.15" hidden="false" customHeight="false" outlineLevel="0" collapsed="false">
      <c r="A59" s="4" t="s">
        <v>881</v>
      </c>
      <c r="B59" s="0" t="s">
        <v>802</v>
      </c>
      <c r="C59" s="25" t="n">
        <f aca="false">$K59*N(In!H124)</f>
        <v>0</v>
      </c>
      <c r="D59" s="25" t="n">
        <f aca="false">$K59*N(In!I124)</f>
        <v>0</v>
      </c>
      <c r="E59" s="25" t="n">
        <f aca="false">$K59*N(In!J124)</f>
        <v>0</v>
      </c>
      <c r="F59" s="25" t="n">
        <f aca="false">$K59*N(In!K124)</f>
        <v>0</v>
      </c>
      <c r="G59" s="25" t="n">
        <f aca="false">$K59*N(In!L124)</f>
        <v>0</v>
      </c>
      <c r="H59" s="25" t="n">
        <f aca="false">$K59*N(In!M124)</f>
        <v>0</v>
      </c>
      <c r="I59" s="25" t="n">
        <f aca="false">$K59*(1-SUM(In!H124:M124))</f>
        <v>0</v>
      </c>
      <c r="J59" s="25" t="n">
        <f aca="false">SUM(C59:I59)</f>
        <v>0</v>
      </c>
      <c r="K59" s="27" t="n">
        <f aca="false">N(Players!H216)</f>
        <v>0</v>
      </c>
      <c r="L59" s="28" t="n">
        <f aca="false">J59-K59</f>
        <v>0</v>
      </c>
    </row>
    <row r="60" customFormat="false" ht="17.15" hidden="false" customHeight="false" outlineLevel="0" collapsed="false">
      <c r="A60" s="4" t="s">
        <v>882</v>
      </c>
      <c r="B60" s="0" t="s">
        <v>819</v>
      </c>
      <c r="C60" s="25" t="n">
        <f aca="false">$K60*N(In!H125)</f>
        <v>0</v>
      </c>
      <c r="D60" s="25" t="n">
        <f aca="false">$K60*N(In!I125)</f>
        <v>0</v>
      </c>
      <c r="E60" s="25" t="n">
        <f aca="false">$K60*N(In!J125)</f>
        <v>0</v>
      </c>
      <c r="F60" s="25" t="n">
        <f aca="false">$K60*N(In!K125)</f>
        <v>0</v>
      </c>
      <c r="G60" s="25" t="n">
        <f aca="false">$K60*N(In!L125)</f>
        <v>0</v>
      </c>
      <c r="H60" s="25" t="n">
        <f aca="false">$K60*N(In!M125)</f>
        <v>0</v>
      </c>
      <c r="I60" s="25" t="n">
        <f aca="false">$K60*(1-SUM(In!H125:M125))</f>
        <v>0</v>
      </c>
      <c r="J60" s="25" t="n">
        <f aca="false">SUM(C60:I60)</f>
        <v>0</v>
      </c>
      <c r="K60" s="27" t="n">
        <f aca="false">N(Players!H232)</f>
        <v>0</v>
      </c>
      <c r="L60" s="28" t="n">
        <f aca="false">J60-K60</f>
        <v>0</v>
      </c>
    </row>
    <row r="61" customFormat="false" ht="15" hidden="false" customHeight="false" outlineLevel="0" collapsed="false">
      <c r="A61" s="4" t="s">
        <v>835</v>
      </c>
      <c r="B61" s="0" t="s">
        <v>836</v>
      </c>
      <c r="C61" s="25" t="n">
        <f aca="false">$K61*N(In!H126)</f>
        <v>0</v>
      </c>
      <c r="D61" s="25" t="n">
        <f aca="false">$K61*N(In!I126)</f>
        <v>0</v>
      </c>
      <c r="E61" s="25" t="n">
        <f aca="false">$K61*N(In!J126)</f>
        <v>0</v>
      </c>
      <c r="F61" s="25" t="n">
        <f aca="false">$K61*N(In!K126)</f>
        <v>0</v>
      </c>
      <c r="G61" s="25" t="n">
        <f aca="false">$K61*N(In!L126)</f>
        <v>0</v>
      </c>
      <c r="H61" s="25" t="n">
        <f aca="false">$K61*N(In!M126)</f>
        <v>0</v>
      </c>
      <c r="I61" s="25" t="n">
        <f aca="false">$K61*(1-SUM(In!H126:M126))</f>
        <v>0</v>
      </c>
      <c r="J61" s="25" t="n">
        <f aca="false">SUM(C61:I61)</f>
        <v>0</v>
      </c>
      <c r="K61" s="27" t="n">
        <f aca="false">N(Players!H248)</f>
        <v>0</v>
      </c>
      <c r="L61" s="28" t="n">
        <f aca="false">J61-K61</f>
        <v>0</v>
      </c>
    </row>
    <row r="62" customFormat="false" ht="15" hidden="false" customHeight="false" outlineLevel="0" collapsed="false">
      <c r="A62" s="17" t="s">
        <v>883</v>
      </c>
      <c r="C62" s="25" t="n">
        <f aca="false">SUM(C47:C61)</f>
        <v>7.3457273320287</v>
      </c>
      <c r="D62" s="25" t="n">
        <f aca="false">SUM(D47:D61)</f>
        <v>0</v>
      </c>
      <c r="E62" s="25" t="n">
        <f aca="false">SUM(E47:E61)</f>
        <v>0</v>
      </c>
      <c r="F62" s="25" t="n">
        <f aca="false">SUM(F47:F61)</f>
        <v>0</v>
      </c>
      <c r="G62" s="25" t="n">
        <f aca="false">SUM(G47:G61)</f>
        <v>0</v>
      </c>
      <c r="H62" s="25" t="n">
        <f aca="false">SUM(H47:H61)</f>
        <v>0</v>
      </c>
      <c r="I62" s="25" t="n">
        <f aca="false">SUM(I47:I61)</f>
        <v>17.0183170254403</v>
      </c>
      <c r="J62" s="25" t="n">
        <f aca="false">SUM(J47:J61)</f>
        <v>24.364044357469</v>
      </c>
      <c r="K62" s="25" t="n">
        <f aca="false">SUM(K47:K61)</f>
        <v>24.364044357469</v>
      </c>
      <c r="L62" s="28" t="n">
        <f aca="false">SUM(C62:I62)-K62</f>
        <v>0</v>
      </c>
    </row>
    <row r="63" customFormat="false" ht="17.15" hidden="false" customHeight="false" outlineLevel="0" collapsed="false">
      <c r="A63" s="4" t="s">
        <v>884</v>
      </c>
      <c r="D63" s="25" t="str">
        <f aca="false">IF(In!L97="","",IF(In!$C$97="設施",In!L97,In!L97/Players!H$13))</f>
        <v/>
      </c>
      <c r="J63" s="29" t="str">
        <f aca="false">IF(OR(D63="",D63=0),"",D62/D63)</f>
        <v/>
      </c>
      <c r="K63" s="4" t="s">
        <v>885</v>
      </c>
    </row>
    <row r="64" customFormat="false" ht="17.15" hidden="false" customHeight="false" outlineLevel="0" collapsed="false">
      <c r="A64" s="4" t="s">
        <v>886</v>
      </c>
      <c r="E64" s="25" t="n">
        <f aca="false">IF(In!L98="","",IF(In!$C$98="設施",In!L98,In!L98/Players!H$13))</f>
        <v>10.8719286801479</v>
      </c>
      <c r="J64" s="29" t="n">
        <f aca="false">IF(OR(E64="",E64=0),"",E62/E64)</f>
        <v>0</v>
      </c>
      <c r="K64" s="4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7" min="3" style="0" width="9"/>
  </cols>
  <sheetData>
    <row r="1" customFormat="false" ht="17.15" hidden="false" customHeight="false" outlineLevel="0" collapsed="false">
      <c r="A1" s="0" t="s">
        <v>889</v>
      </c>
    </row>
    <row r="3" customFormat="false" ht="17.15" hidden="false" customHeight="false" outlineLevel="0" collapsed="false">
      <c r="A3" s="7" t="s">
        <v>890</v>
      </c>
    </row>
    <row r="4" customFormat="false" ht="17.15" hidden="false" customHeight="false" outlineLevel="0" collapsed="false">
      <c r="A4" s="5" t="s">
        <v>891</v>
      </c>
      <c r="B4" s="5" t="s">
        <v>892</v>
      </c>
      <c r="C4" s="5" t="s">
        <v>317</v>
      </c>
      <c r="D4" s="5" t="s">
        <v>362</v>
      </c>
      <c r="E4" s="6" t="s">
        <v>72</v>
      </c>
      <c r="F4" s="5" t="s">
        <v>13</v>
      </c>
      <c r="G4" s="5" t="s">
        <v>366</v>
      </c>
      <c r="H4" s="5" t="s">
        <v>363</v>
      </c>
      <c r="I4" s="5" t="s">
        <v>364</v>
      </c>
      <c r="J4" s="5" t="s">
        <v>365</v>
      </c>
      <c r="K4" s="6" t="s">
        <v>893</v>
      </c>
      <c r="L4" s="6" t="s">
        <v>894</v>
      </c>
      <c r="M4" s="6" t="s">
        <v>895</v>
      </c>
      <c r="N4" s="6" t="s">
        <v>896</v>
      </c>
      <c r="O4" s="6" t="s">
        <v>897</v>
      </c>
      <c r="P4" s="6" t="s">
        <v>898</v>
      </c>
      <c r="Q4" s="5" t="s">
        <v>899</v>
      </c>
    </row>
    <row r="5" customFormat="false" ht="15" hidden="false" customHeight="false" outlineLevel="0" collapsed="false">
      <c r="A5" s="0" t="s">
        <v>367</v>
      </c>
      <c r="B5" s="15" t="str">
        <f aca="false">In!B130</f>
        <v>Fairwater Wisconsin</v>
      </c>
      <c r="C5" s="15" t="str">
        <f aca="false">IF(In!H130="","",In!H130)</f>
        <v>msft</v>
      </c>
      <c r="D5" s="15" t="str">
        <f aca="false">IF(In!I130="","",In!I130)</f>
        <v>oai</v>
      </c>
      <c r="E5" s="15" t="n">
        <f aca="false">IF(In!J130="","",In!J130)</f>
        <v>369</v>
      </c>
      <c r="F5" s="15" t="str">
        <f aca="false">In!C130</f>
        <v>IT</v>
      </c>
      <c r="G5" s="15" t="n">
        <f aca="false">IF(In!N130="","",In!N130)</f>
        <v>0</v>
      </c>
      <c r="H5" s="15" t="str">
        <f aca="false">IF(In!K130="","",In!K130)</f>
        <v/>
      </c>
      <c r="I5" s="15" t="str">
        <f aca="false">IF(In!L130="","",In!L130)</f>
        <v/>
      </c>
      <c r="J5" s="15" t="str">
        <f aca="false">IF(In!M130="","",In!M130)</f>
        <v/>
      </c>
      <c r="K5" s="25" t="n">
        <f aca="false">IF(OR(H5="",I5=""),9999,H5+I5/12)</f>
        <v>9999</v>
      </c>
      <c r="L5" s="25" t="n">
        <f aca="false">IF(E5="",0,IF(F5="設施",E5/1000,E5/1000/gIT_oth))</f>
        <v>0.401174168297456</v>
      </c>
      <c r="M5" s="25" t="n">
        <f aca="false">K5</f>
        <v>9999</v>
      </c>
      <c r="N5" s="25" t="n">
        <f aca="false">IF(K5&gt;asof,K5+MAX(N(J5),dly_d1_m)/12,K5)</f>
        <v>9999.5</v>
      </c>
      <c r="O5" s="25" t="n">
        <f aca="false">IF(K5&gt;asof,N5+dly_d2_m/12,K5)</f>
        <v>10000.5</v>
      </c>
      <c r="P5" s="0" t="str">
        <f aca="false">IF(K5=9999,"",ROUNDUP(K5,0)-1)</f>
        <v/>
      </c>
      <c r="Q5" s="16" t="n">
        <f aca="false">IF(AND(N(G5)=1,K5&lt;9999,L5&gt;0),1,0)</f>
        <v>0</v>
      </c>
    </row>
    <row r="6" customFormat="false" ht="15" hidden="false" customHeight="false" outlineLevel="0" collapsed="false">
      <c r="A6" s="0" t="s">
        <v>372</v>
      </c>
      <c r="B6" s="15" t="str">
        <f aca="false">In!B131</f>
        <v>Fairwater Atlanta</v>
      </c>
      <c r="C6" s="15" t="str">
        <f aca="false">IF(In!H131="","",In!H131)</f>
        <v>msft</v>
      </c>
      <c r="D6" s="15" t="str">
        <f aca="false">IF(In!I131="","",In!I131)</f>
        <v>oai</v>
      </c>
      <c r="E6" s="15" t="n">
        <f aca="false">IF(In!J131="","",In!J131)</f>
        <v>636</v>
      </c>
      <c r="F6" s="15" t="str">
        <f aca="false">In!C131</f>
        <v>IT</v>
      </c>
      <c r="G6" s="15" t="n">
        <f aca="false">IF(In!N131="","",In!N131)</f>
        <v>0</v>
      </c>
      <c r="H6" s="15" t="str">
        <f aca="false">IF(In!K131="","",In!K131)</f>
        <v/>
      </c>
      <c r="I6" s="15" t="str">
        <f aca="false">IF(In!L131="","",In!L131)</f>
        <v/>
      </c>
      <c r="J6" s="15" t="str">
        <f aca="false">IF(In!M131="","",In!M131)</f>
        <v/>
      </c>
      <c r="K6" s="25" t="n">
        <f aca="false">IF(OR(H6="",I6=""),9999,H6+I6/12)</f>
        <v>9999</v>
      </c>
      <c r="L6" s="25" t="n">
        <f aca="false">IF(E6="",0,IF(F6="設施",E6/1000,E6/1000/gIT_oth))</f>
        <v>0.691454664057404</v>
      </c>
      <c r="M6" s="25" t="n">
        <f aca="false">K6</f>
        <v>9999</v>
      </c>
      <c r="N6" s="25" t="n">
        <f aca="false">IF(K6&gt;asof,K6+MAX(N(J6),dly_d1_m)/12,K6)</f>
        <v>9999.5</v>
      </c>
      <c r="O6" s="25" t="n">
        <f aca="false">IF(K6&gt;asof,N6+dly_d2_m/12,K6)</f>
        <v>10000.5</v>
      </c>
      <c r="P6" s="0" t="str">
        <f aca="false">IF(K6=9999,"",ROUNDUP(K6,0)-1)</f>
        <v/>
      </c>
      <c r="Q6" s="16" t="n">
        <f aca="false">IF(AND(N(G6)=1,K6&lt;9999,L6&gt;0),1,0)</f>
        <v>0</v>
      </c>
    </row>
    <row r="7" customFormat="false" ht="17.15" hidden="false" customHeight="false" outlineLevel="0" collapsed="false">
      <c r="A7" s="0" t="s">
        <v>374</v>
      </c>
      <c r="B7" s="15" t="str">
        <f aca="false">In!B132</f>
        <v>New Carlisle（Rainier）</v>
      </c>
      <c r="C7" s="15" t="str">
        <f aca="false">IF(In!H132="","",In!H132)</f>
        <v>amzn</v>
      </c>
      <c r="D7" s="15" t="str">
        <f aca="false">IF(In!I132="","",In!I132)</f>
        <v>ant</v>
      </c>
      <c r="E7" s="15" t="n">
        <f aca="false">IF(In!J132="","",In!J132)</f>
        <v>910</v>
      </c>
      <c r="F7" s="15" t="str">
        <f aca="false">In!C132</f>
        <v>IT</v>
      </c>
      <c r="G7" s="15" t="n">
        <f aca="false">IF(In!N132="","",In!N132)</f>
        <v>0</v>
      </c>
      <c r="H7" s="15" t="str">
        <f aca="false">IF(In!K132="","",In!K132)</f>
        <v/>
      </c>
      <c r="I7" s="15" t="str">
        <f aca="false">IF(In!L132="","",In!L132)</f>
        <v/>
      </c>
      <c r="J7" s="15" t="str">
        <f aca="false">IF(In!M132="","",In!M132)</f>
        <v/>
      </c>
      <c r="K7" s="25" t="n">
        <f aca="false">IF(OR(H7="",I7=""),9999,H7+I7/12)</f>
        <v>9999</v>
      </c>
      <c r="L7" s="25" t="n">
        <f aca="false">IF(E7="",0,IF(F7="設施",E7/1000,E7/1000/gIT_oth))</f>
        <v>0.989345509893455</v>
      </c>
      <c r="M7" s="25" t="n">
        <f aca="false">K7</f>
        <v>9999</v>
      </c>
      <c r="N7" s="25" t="n">
        <f aca="false">IF(K7&gt;asof,K7+MAX(N(J7),dly_d1_m)/12,K7)</f>
        <v>9999.5</v>
      </c>
      <c r="O7" s="25" t="n">
        <f aca="false">IF(K7&gt;asof,N7+dly_d2_m/12,K7)</f>
        <v>10000.5</v>
      </c>
      <c r="P7" s="0" t="str">
        <f aca="false">IF(K7=9999,"",ROUNDUP(K7,0)-1)</f>
        <v/>
      </c>
      <c r="Q7" s="16" t="n">
        <f aca="false">IF(AND(N(G7)=1,K7&lt;9999,L7&gt;0),1,0)</f>
        <v>0</v>
      </c>
    </row>
    <row r="8" customFormat="false" ht="15" hidden="false" customHeight="false" outlineLevel="0" collapsed="false">
      <c r="A8" s="0" t="s">
        <v>379</v>
      </c>
      <c r="B8" s="15" t="str">
        <f aca="false">In!B133</f>
        <v>Ridgeland</v>
      </c>
      <c r="C8" s="15" t="str">
        <f aca="false">IF(In!H133="","",In!H133)</f>
        <v>amzn</v>
      </c>
      <c r="D8" s="15" t="str">
        <f aca="false">IF(In!I133="","",In!I133)</f>
        <v>ant</v>
      </c>
      <c r="E8" s="15" t="n">
        <f aca="false">IF(In!J133="","",In!J133)</f>
        <v>228</v>
      </c>
      <c r="F8" s="15" t="str">
        <f aca="false">In!C133</f>
        <v>IT</v>
      </c>
      <c r="G8" s="15" t="n">
        <f aca="false">IF(In!N133="","",In!N133)</f>
        <v>0</v>
      </c>
      <c r="H8" s="15" t="str">
        <f aca="false">IF(In!K133="","",In!K133)</f>
        <v/>
      </c>
      <c r="I8" s="15" t="str">
        <f aca="false">IF(In!L133="","",In!L133)</f>
        <v/>
      </c>
      <c r="J8" s="15" t="str">
        <f aca="false">IF(In!M133="","",In!M133)</f>
        <v/>
      </c>
      <c r="K8" s="25" t="n">
        <f aca="false">IF(OR(H8="",I8=""),9999,H8+I8/12)</f>
        <v>9999</v>
      </c>
      <c r="L8" s="25" t="n">
        <f aca="false">IF(E8="",0,IF(F8="設施",E8/1000,E8/1000/gIT_oth))</f>
        <v>0.247879973907371</v>
      </c>
      <c r="M8" s="25" t="n">
        <f aca="false">K8</f>
        <v>9999</v>
      </c>
      <c r="N8" s="25" t="n">
        <f aca="false">IF(K8&gt;asof,K8+MAX(N(J8),dly_d1_m)/12,K8)</f>
        <v>9999.5</v>
      </c>
      <c r="O8" s="25" t="n">
        <f aca="false">IF(K8&gt;asof,N8+dly_d2_m/12,K8)</f>
        <v>10000.5</v>
      </c>
      <c r="P8" s="0" t="str">
        <f aca="false">IF(K8=9999,"",ROUNDUP(K8,0)-1)</f>
        <v/>
      </c>
      <c r="Q8" s="16" t="n">
        <f aca="false">IF(AND(N(G8)=1,K8&lt;9999,L8&gt;0),1,0)</f>
        <v>0</v>
      </c>
    </row>
    <row r="9" customFormat="false" ht="15" hidden="false" customHeight="false" outlineLevel="0" collapsed="false">
      <c r="A9" s="0" t="s">
        <v>382</v>
      </c>
      <c r="B9" s="15" t="str">
        <f aca="false">In!B134</f>
        <v>Madison</v>
      </c>
      <c r="C9" s="15" t="str">
        <f aca="false">IF(In!H134="","",In!H134)</f>
        <v>amzn</v>
      </c>
      <c r="D9" s="15" t="str">
        <f aca="false">IF(In!I134="","",In!I134)</f>
        <v>ant</v>
      </c>
      <c r="E9" s="15" t="n">
        <f aca="false">IF(In!J134="","",In!J134)</f>
        <v>284</v>
      </c>
      <c r="F9" s="15" t="str">
        <f aca="false">In!C134</f>
        <v>IT</v>
      </c>
      <c r="G9" s="15" t="n">
        <f aca="false">IF(In!N134="","",In!N134)</f>
        <v>0</v>
      </c>
      <c r="H9" s="15" t="str">
        <f aca="false">IF(In!K134="","",In!K134)</f>
        <v/>
      </c>
      <c r="I9" s="15" t="str">
        <f aca="false">IF(In!L134="","",In!L134)</f>
        <v/>
      </c>
      <c r="J9" s="15" t="str">
        <f aca="false">IF(In!M134="","",In!M134)</f>
        <v/>
      </c>
      <c r="K9" s="25" t="n">
        <f aca="false">IF(OR(H9="",I9=""),9999,H9+I9/12)</f>
        <v>9999</v>
      </c>
      <c r="L9" s="25" t="n">
        <f aca="false">IF(E9="",0,IF(F9="設施",E9/1000,E9/1000/gIT_oth))</f>
        <v>0.308762774516199</v>
      </c>
      <c r="M9" s="25" t="n">
        <f aca="false">K9</f>
        <v>9999</v>
      </c>
      <c r="N9" s="25" t="n">
        <f aca="false">IF(K9&gt;asof,K9+MAX(N(J9),dly_d1_m)/12,K9)</f>
        <v>9999.5</v>
      </c>
      <c r="O9" s="25" t="n">
        <f aca="false">IF(K9&gt;asof,N9+dly_d2_m/12,K9)</f>
        <v>10000.5</v>
      </c>
      <c r="P9" s="0" t="str">
        <f aca="false">IF(K9=9999,"",ROUNDUP(K9,0)-1)</f>
        <v/>
      </c>
      <c r="Q9" s="16" t="n">
        <f aca="false">IF(AND(N(G9)=1,K9&lt;9999,L9&gt;0),1,0)</f>
        <v>0</v>
      </c>
    </row>
    <row r="10" customFormat="false" ht="17.15" hidden="false" customHeight="false" outlineLevel="0" collapsed="false">
      <c r="A10" s="0" t="s">
        <v>384</v>
      </c>
      <c r="B10" s="15" t="str">
        <f aca="false">In!B135</f>
        <v>Stargate Abilene（已交付部分）</v>
      </c>
      <c r="C10" s="15" t="str">
        <f aca="false">IF(In!H135="","",In!H135)</f>
        <v>orcl</v>
      </c>
      <c r="D10" s="15" t="str">
        <f aca="false">IF(In!I135="","",In!I135)</f>
        <v>oai</v>
      </c>
      <c r="E10" s="15" t="n">
        <f aca="false">IF(In!J135="","",In!J135)</f>
        <v>515</v>
      </c>
      <c r="F10" s="15" t="str">
        <f aca="false">In!C135</f>
        <v>IT</v>
      </c>
      <c r="G10" s="15" t="n">
        <f aca="false">IF(In!N135="","",In!N135)</f>
        <v>0</v>
      </c>
      <c r="H10" s="15" t="str">
        <f aca="false">IF(In!K135="","",In!K135)</f>
        <v/>
      </c>
      <c r="I10" s="15" t="str">
        <f aca="false">IF(In!L135="","",In!L135)</f>
        <v/>
      </c>
      <c r="J10" s="15" t="str">
        <f aca="false">IF(In!M135="","",In!M135)</f>
        <v/>
      </c>
      <c r="K10" s="25" t="n">
        <f aca="false">IF(OR(H10="",I10=""),9999,H10+I10/12)</f>
        <v>9999</v>
      </c>
      <c r="L10" s="25" t="n">
        <f aca="false">IF(E10="",0,IF(F10="設施",E10/1000,E10/1000/gIT_oth))</f>
        <v>0.559904327027615</v>
      </c>
      <c r="M10" s="25" t="n">
        <f aca="false">K10</f>
        <v>9999</v>
      </c>
      <c r="N10" s="25" t="n">
        <f aca="false">IF(K10&gt;asof,K10+MAX(N(J10),dly_d1_m)/12,K10)</f>
        <v>9999.5</v>
      </c>
      <c r="O10" s="25" t="n">
        <f aca="false">IF(K10&gt;asof,N10+dly_d2_m/12,K10)</f>
        <v>10000.5</v>
      </c>
      <c r="P10" s="0" t="str">
        <f aca="false">IF(K10=9999,"",ROUNDUP(K10,0)-1)</f>
        <v/>
      </c>
      <c r="Q10" s="16" t="n">
        <f aca="false">IF(AND(N(G10)=1,K10&lt;9999,L10&gt;0),1,0)</f>
        <v>0</v>
      </c>
    </row>
    <row r="11" customFormat="false" ht="17.15" hidden="false" customHeight="false" outlineLevel="0" collapsed="false">
      <c r="A11" s="0" t="s">
        <v>388</v>
      </c>
      <c r="B11" s="15" t="str">
        <f aca="false">In!B136</f>
        <v>Stargate 五站合計（Oracle 承租，第三方估計）</v>
      </c>
      <c r="C11" s="15" t="str">
        <f aca="false">IF(In!H136="","",In!H136)</f>
        <v>orcl</v>
      </c>
      <c r="D11" s="15" t="str">
        <f aca="false">IF(In!I136="","",In!I136)</f>
        <v>oai</v>
      </c>
      <c r="E11" s="15" t="n">
        <f aca="false">IF(In!J136="","",In!J136)</f>
        <v>8100</v>
      </c>
      <c r="F11" s="15" t="str">
        <f aca="false">In!C136</f>
        <v>設施</v>
      </c>
      <c r="G11" s="15" t="n">
        <f aca="false">IF(In!N136="","",In!N136)</f>
        <v>0</v>
      </c>
      <c r="H11" s="15" t="str">
        <f aca="false">IF(In!K136="","",In!K136)</f>
        <v/>
      </c>
      <c r="I11" s="15" t="str">
        <f aca="false">IF(In!L136="","",In!L136)</f>
        <v/>
      </c>
      <c r="J11" s="15" t="str">
        <f aca="false">IF(In!M136="","",In!M136)</f>
        <v/>
      </c>
      <c r="K11" s="25" t="n">
        <f aca="false">IF(OR(H11="",I11=""),9999,H11+I11/12)</f>
        <v>9999</v>
      </c>
      <c r="L11" s="25" t="n">
        <f aca="false">IF(E11="",0,IF(F11="設施",E11/1000,E11/1000/gIT_oth))</f>
        <v>8.1</v>
      </c>
      <c r="M11" s="25" t="n">
        <f aca="false">K11</f>
        <v>9999</v>
      </c>
      <c r="N11" s="25" t="n">
        <f aca="false">IF(K11&gt;asof,K11+MAX(N(J11),dly_d1_m)/12,K11)</f>
        <v>9999.5</v>
      </c>
      <c r="O11" s="25" t="n">
        <f aca="false">IF(K11&gt;asof,N11+dly_d2_m/12,K11)</f>
        <v>10000.5</v>
      </c>
      <c r="P11" s="0" t="str">
        <f aca="false">IF(K11=9999,"",ROUNDUP(K11,0)-1)</f>
        <v/>
      </c>
      <c r="Q11" s="16" t="n">
        <f aca="false">IF(AND(N(G11)=1,K11&lt;9999,L11&gt;0),1,0)</f>
        <v>0</v>
      </c>
    </row>
    <row r="13" customFormat="false" ht="17.15" hidden="false" customHeight="false" outlineLevel="0" collapsed="false">
      <c r="A13" s="7" t="s">
        <v>900</v>
      </c>
    </row>
    <row r="14" customFormat="false" ht="15" hidden="false" customHeight="false" outlineLevel="0" collapsed="false">
      <c r="A14" s="5" t="s">
        <v>901</v>
      </c>
      <c r="B14" s="5" t="s">
        <v>11</v>
      </c>
      <c r="C14" s="5" t="s">
        <v>902</v>
      </c>
      <c r="D14" s="6" t="s">
        <v>18</v>
      </c>
      <c r="E14" s="6" t="s">
        <v>19</v>
      </c>
      <c r="F14" s="6" t="s">
        <v>20</v>
      </c>
      <c r="G14" s="6" t="s">
        <v>21</v>
      </c>
      <c r="H14" s="6" t="s">
        <v>22</v>
      </c>
      <c r="I14" s="6" t="s">
        <v>23</v>
      </c>
      <c r="J14" s="6" t="s">
        <v>24</v>
      </c>
      <c r="K14" s="6" t="s">
        <v>25</v>
      </c>
      <c r="L14" s="6" t="s">
        <v>26</v>
      </c>
      <c r="M14" s="6" t="s">
        <v>27</v>
      </c>
    </row>
    <row r="15" customFormat="false" ht="17.15" hidden="false" customHeight="false" outlineLevel="0" collapsed="false">
      <c r="A15" s="0" t="s">
        <v>873</v>
      </c>
      <c r="B15" s="0" t="s">
        <v>370</v>
      </c>
      <c r="C15" s="4" t="s">
        <v>903</v>
      </c>
      <c r="E15" s="25" t="n">
        <f aca="false">Players!E27-SUMIFS($L$5:$L$11,$C$5:$C$11,"msft",$Q$5:$Q$11,1,$P$5:$P$11,2024)</f>
        <v>0</v>
      </c>
      <c r="F15" s="25" t="n">
        <f aca="false">Players!F27-SUMIFS($L$5:$L$11,$C$5:$C$11,"msft",$Q$5:$Q$11,1,$P$5:$P$11,2025)</f>
        <v>1.5220700152207</v>
      </c>
      <c r="G15" s="25" t="n">
        <f aca="false">Players!G27-SUMIFS($L$5:$L$11,$C$5:$C$11,"msft",$Q$5:$Q$11,1,$P$5:$P$11,2026)</f>
        <v>2.39182430963253</v>
      </c>
      <c r="H15" s="25" t="n">
        <f aca="false">Players!H27-SUMIFS($L$5:$L$11,$C$5:$C$11,"msft",$Q$5:$Q$11,1,$P$5:$P$11,2027)</f>
        <v>0</v>
      </c>
      <c r="I15" s="25" t="n">
        <f aca="false">Players!I27-SUMIFS($L$5:$L$11,$C$5:$C$11,"msft",$Q$5:$Q$11,1,$P$5:$P$11,2028)</f>
        <v>0</v>
      </c>
      <c r="J15" s="25" t="n">
        <f aca="false">Players!J27-SUMIFS($L$5:$L$11,$C$5:$C$11,"msft",$Q$5:$Q$11,1,$P$5:$P$11,2029)</f>
        <v>0</v>
      </c>
      <c r="K15" s="25" t="n">
        <f aca="false">Players!K27-SUMIFS($L$5:$L$11,$C$5:$C$11,"msft",$Q$5:$Q$11,1,$P$5:$P$11,2030)</f>
        <v>0</v>
      </c>
      <c r="L15" s="25" t="n">
        <f aca="false">Players!L27-SUMIFS($L$5:$L$11,$C$5:$C$11,"msft",$Q$5:$Q$11,1,$P$5:$P$11,2031)</f>
        <v>0</v>
      </c>
      <c r="M15" s="25" t="n">
        <f aca="false">Players!M27-SUMIFS($L$5:$L$11,$C$5:$C$11,"msft",$Q$5:$Q$11,1,$P$5:$P$11,2032)</f>
        <v>0</v>
      </c>
    </row>
    <row r="16" customFormat="false" ht="17.15" hidden="false" customHeight="false" outlineLevel="0" collapsed="false">
      <c r="A16" s="0" t="s">
        <v>874</v>
      </c>
      <c r="B16" s="0" t="s">
        <v>621</v>
      </c>
      <c r="C16" s="4" t="s">
        <v>903</v>
      </c>
      <c r="E16" s="25" t="n">
        <f aca="false">Players!E43-SUMIFS($L$5:$L$11,$C$5:$C$11,"googl",$Q$5:$Q$11,1,$P$5:$P$11,2024)</f>
        <v>1.63839965209828</v>
      </c>
      <c r="F16" s="25" t="n">
        <f aca="false">Players!F43-SUMIFS($L$5:$L$11,$C$5:$C$11,"googl",$Q$5:$Q$11,1,$P$5:$P$11,2025)</f>
        <v>2.96912372254838</v>
      </c>
      <c r="G16" s="25" t="n">
        <f aca="false">Players!G43-SUMIFS($L$5:$L$11,$C$5:$C$11,"googl",$Q$5:$Q$11,1,$P$5:$P$11,2026)</f>
        <v>1.59273755164166</v>
      </c>
      <c r="H16" s="25" t="n">
        <f aca="false">Players!H43-SUMIFS($L$5:$L$11,$C$5:$C$11,"googl",$Q$5:$Q$11,1,$P$5:$P$11,2027)</f>
        <v>0</v>
      </c>
      <c r="I16" s="25" t="n">
        <f aca="false">Players!I43-SUMIFS($L$5:$L$11,$C$5:$C$11,"googl",$Q$5:$Q$11,1,$P$5:$P$11,2028)</f>
        <v>0</v>
      </c>
      <c r="J16" s="25" t="n">
        <f aca="false">Players!J43-SUMIFS($L$5:$L$11,$C$5:$C$11,"googl",$Q$5:$Q$11,1,$P$5:$P$11,2029)</f>
        <v>0</v>
      </c>
      <c r="K16" s="25" t="n">
        <f aca="false">Players!K43-SUMIFS($L$5:$L$11,$C$5:$C$11,"googl",$Q$5:$Q$11,1,$P$5:$P$11,2030)</f>
        <v>0</v>
      </c>
      <c r="L16" s="25" t="n">
        <f aca="false">Players!L43-SUMIFS($L$5:$L$11,$C$5:$C$11,"googl",$Q$5:$Q$11,1,$P$5:$P$11,2031)</f>
        <v>0</v>
      </c>
      <c r="M16" s="25" t="n">
        <f aca="false">Players!M43-SUMIFS($L$5:$L$11,$C$5:$C$11,"googl",$Q$5:$Q$11,1,$P$5:$P$11,2032)</f>
        <v>0</v>
      </c>
    </row>
    <row r="17" customFormat="false" ht="17.15" hidden="false" customHeight="false" outlineLevel="0" collapsed="false">
      <c r="A17" s="0" t="s">
        <v>875</v>
      </c>
      <c r="B17" s="0" t="s">
        <v>377</v>
      </c>
      <c r="C17" s="4" t="s">
        <v>903</v>
      </c>
      <c r="E17" s="25" t="n">
        <f aca="false">Players!E59-SUMIFS($L$5:$L$11,$C$5:$C$11,"amzn",$Q$5:$Q$11,1,$P$5:$P$11,2024)</f>
        <v>0.326157860404436</v>
      </c>
      <c r="F17" s="25" t="n">
        <f aca="false">Players!F59-SUMIFS($L$5:$L$11,$C$5:$C$11,"amzn",$Q$5:$Q$11,1,$P$5:$P$11,2025)</f>
        <v>1.46771037181996</v>
      </c>
      <c r="G17" s="25" t="n">
        <f aca="false">Players!G59-SUMIFS($L$5:$L$11,$C$5:$C$11,"amzn",$Q$5:$Q$11,1,$P$5:$P$11,2026)</f>
        <v>0.869754294411829</v>
      </c>
      <c r="H17" s="25" t="n">
        <f aca="false">Players!H59-SUMIFS($L$5:$L$11,$C$5:$C$11,"amzn",$Q$5:$Q$11,1,$P$5:$P$11,2027)</f>
        <v>0</v>
      </c>
      <c r="I17" s="25" t="n">
        <f aca="false">Players!I59-SUMIFS($L$5:$L$11,$C$5:$C$11,"amzn",$Q$5:$Q$11,1,$P$5:$P$11,2028)</f>
        <v>0</v>
      </c>
      <c r="J17" s="25" t="n">
        <f aca="false">Players!J59-SUMIFS($L$5:$L$11,$C$5:$C$11,"amzn",$Q$5:$Q$11,1,$P$5:$P$11,2029)</f>
        <v>0</v>
      </c>
      <c r="K17" s="25" t="n">
        <f aca="false">Players!K59-SUMIFS($L$5:$L$11,$C$5:$C$11,"amzn",$Q$5:$Q$11,1,$P$5:$P$11,2030)</f>
        <v>0</v>
      </c>
      <c r="L17" s="25" t="n">
        <f aca="false">Players!L59-SUMIFS($L$5:$L$11,$C$5:$C$11,"amzn",$Q$5:$Q$11,1,$P$5:$P$11,2031)</f>
        <v>0</v>
      </c>
      <c r="M17" s="25" t="n">
        <f aca="false">Players!M59-SUMIFS($L$5:$L$11,$C$5:$C$11,"amzn",$Q$5:$Q$11,1,$P$5:$P$11,2032)</f>
        <v>0</v>
      </c>
    </row>
    <row r="18" customFormat="false" ht="17.15" hidden="false" customHeight="false" outlineLevel="0" collapsed="false">
      <c r="A18" s="0" t="s">
        <v>876</v>
      </c>
      <c r="B18" s="0" t="s">
        <v>387</v>
      </c>
      <c r="C18" s="4" t="s">
        <v>903</v>
      </c>
      <c r="E18" s="25" t="n">
        <f aca="false">Players!E75-SUMIFS($L$5:$L$11,$C$5:$C$11,"orcl",$Q$5:$Q$11,1,$P$5:$P$11,2024)</f>
        <v>0</v>
      </c>
      <c r="F18" s="25" t="n">
        <f aca="false">Players!F75-SUMIFS($L$5:$L$11,$C$5:$C$11,"orcl",$Q$5:$Q$11,1,$P$5:$P$11,2025)</f>
        <v>0</v>
      </c>
      <c r="G18" s="25" t="n">
        <f aca="false">Players!G75-SUMIFS($L$5:$L$11,$C$5:$C$11,"orcl",$Q$5:$Q$11,1,$P$5:$P$11,2026)</f>
        <v>0</v>
      </c>
      <c r="H18" s="25" t="n">
        <f aca="false">Players!H75-SUMIFS($L$5:$L$11,$C$5:$C$11,"orcl",$Q$5:$Q$11,1,$P$5:$P$11,2027)</f>
        <v>2.31028484453142</v>
      </c>
      <c r="I18" s="25" t="n">
        <f aca="false">Players!I75-SUMIFS($L$5:$L$11,$C$5:$C$11,"orcl",$Q$5:$Q$11,1,$P$5:$P$11,2028)</f>
        <v>0</v>
      </c>
      <c r="J18" s="25" t="n">
        <f aca="false">Players!J75-SUMIFS($L$5:$L$11,$C$5:$C$11,"orcl",$Q$5:$Q$11,1,$P$5:$P$11,2029)</f>
        <v>0</v>
      </c>
      <c r="K18" s="25" t="n">
        <f aca="false">Players!K75-SUMIFS($L$5:$L$11,$C$5:$C$11,"orcl",$Q$5:$Q$11,1,$P$5:$P$11,2030)</f>
        <v>0</v>
      </c>
      <c r="L18" s="25" t="n">
        <f aca="false">Players!L75-SUMIFS($L$5:$L$11,$C$5:$C$11,"orcl",$Q$5:$Q$11,1,$P$5:$P$11,2031)</f>
        <v>0</v>
      </c>
      <c r="M18" s="25" t="n">
        <f aca="false">Players!M75-SUMIFS($L$5:$L$11,$C$5:$C$11,"orcl",$Q$5:$Q$11,1,$P$5:$P$11,2032)</f>
        <v>0</v>
      </c>
    </row>
    <row r="19" customFormat="false" ht="15" hidden="false" customHeight="false" outlineLevel="0" collapsed="false">
      <c r="A19" s="0" t="s">
        <v>669</v>
      </c>
      <c r="B19" s="0" t="s">
        <v>670</v>
      </c>
      <c r="C19" s="4" t="s">
        <v>903</v>
      </c>
      <c r="E19" s="25" t="n">
        <f aca="false">Players!E91-SUMIFS($L$5:$L$11,$C$5:$C$11,"crwv",$Q$5:$Q$11,1,$P$5:$P$11,2024)</f>
        <v>0.315285931724288</v>
      </c>
      <c r="F19" s="25" t="n">
        <f aca="false">Players!F91-SUMIFS($L$5:$L$11,$C$5:$C$11,"crwv",$Q$5:$Q$11,1,$P$5:$P$11,2025)</f>
        <v>0.532724505327245</v>
      </c>
      <c r="G19" s="25" t="n">
        <f aca="false">Players!G91-SUMIFS($L$5:$L$11,$C$5:$C$11,"crwv",$Q$5:$Q$11,1,$P$5:$P$11,2026)</f>
        <v>1.08719286801479</v>
      </c>
      <c r="H19" s="25" t="n">
        <f aca="false">Players!H91-SUMIFS($L$5:$L$11,$C$5:$C$11,"crwv",$Q$5:$Q$11,1,$P$5:$P$11,2027)</f>
        <v>1.67155903457273</v>
      </c>
      <c r="I19" s="25" t="n">
        <f aca="false">Players!I91-SUMIFS($L$5:$L$11,$C$5:$C$11,"crwv",$Q$5:$Q$11,1,$P$5:$P$11,2028)</f>
        <v>1.67155903457273</v>
      </c>
      <c r="J19" s="25" t="n">
        <f aca="false">Players!J91-SUMIFS($L$5:$L$11,$C$5:$C$11,"crwv",$Q$5:$Q$11,1,$P$5:$P$11,2029)</f>
        <v>1.67155903457273</v>
      </c>
      <c r="K19" s="25" t="n">
        <f aca="false">Players!K91-SUMIFS($L$5:$L$11,$C$5:$C$11,"crwv",$Q$5:$Q$11,1,$P$5:$P$11,2030)</f>
        <v>1.67155903457273</v>
      </c>
      <c r="L19" s="25" t="n">
        <f aca="false">Players!L91-SUMIFS($L$5:$L$11,$C$5:$C$11,"crwv",$Q$5:$Q$11,1,$P$5:$P$11,2031)</f>
        <v>0</v>
      </c>
      <c r="M19" s="25" t="n">
        <f aca="false">Players!M91-SUMIFS($L$5:$L$11,$C$5:$C$11,"crwv",$Q$5:$Q$11,1,$P$5:$P$11,2032)</f>
        <v>0</v>
      </c>
    </row>
    <row r="20" customFormat="false" ht="15" hidden="false" customHeight="false" outlineLevel="0" collapsed="false">
      <c r="A20" s="0" t="s">
        <v>686</v>
      </c>
      <c r="B20" s="0" t="s">
        <v>687</v>
      </c>
      <c r="C20" s="4" t="s">
        <v>903</v>
      </c>
      <c r="E20" s="25" t="n">
        <f aca="false">Players!E107-SUMIFS($L$5:$L$11,$C$5:$C$11,"nbis",$Q$5:$Q$11,1,$P$5:$P$11,2024)</f>
        <v>0</v>
      </c>
      <c r="F20" s="25" t="n">
        <f aca="false">Players!F107-SUMIFS($L$5:$L$11,$C$5:$C$11,"nbis",$Q$5:$Q$11,1,$P$5:$P$11,2025)</f>
        <v>0</v>
      </c>
      <c r="G20" s="25" t="n">
        <f aca="false">Players!G107-SUMIFS($L$5:$L$11,$C$5:$C$11,"nbis",$Q$5:$Q$11,1,$P$5:$P$11,2026)</f>
        <v>0.793650793650794</v>
      </c>
      <c r="H20" s="25" t="n">
        <f aca="false">Players!H107-SUMIFS($L$5:$L$11,$C$5:$C$11,"nbis",$Q$5:$Q$11,1,$P$5:$P$11,2027)</f>
        <v>0</v>
      </c>
      <c r="I20" s="25" t="n">
        <f aca="false">Players!I107-SUMIFS($L$5:$L$11,$C$5:$C$11,"nbis",$Q$5:$Q$11,1,$P$5:$P$11,2028)</f>
        <v>0</v>
      </c>
      <c r="J20" s="25" t="n">
        <f aca="false">Players!J107-SUMIFS($L$5:$L$11,$C$5:$C$11,"nbis",$Q$5:$Q$11,1,$P$5:$P$11,2029)</f>
        <v>0</v>
      </c>
      <c r="K20" s="25" t="n">
        <f aca="false">Players!K107-SUMIFS($L$5:$L$11,$C$5:$C$11,"nbis",$Q$5:$Q$11,1,$P$5:$P$11,2030)</f>
        <v>0</v>
      </c>
      <c r="L20" s="25" t="n">
        <f aca="false">Players!L107-SUMIFS($L$5:$L$11,$C$5:$C$11,"nbis",$Q$5:$Q$11,1,$P$5:$P$11,2031)</f>
        <v>0</v>
      </c>
      <c r="M20" s="25" t="n">
        <f aca="false">Players!M107-SUMIFS($L$5:$L$11,$C$5:$C$11,"nbis",$Q$5:$Q$11,1,$P$5:$P$11,2032)</f>
        <v>0</v>
      </c>
    </row>
    <row r="21" customFormat="false" ht="17.15" hidden="false" customHeight="false" outlineLevel="0" collapsed="false">
      <c r="A21" s="0" t="s">
        <v>877</v>
      </c>
      <c r="B21" s="0" t="s">
        <v>704</v>
      </c>
      <c r="C21" s="4" t="s">
        <v>903</v>
      </c>
      <c r="E21" s="25" t="n">
        <f aca="false">Players!E123-SUMIFS($L$5:$L$11,$C$5:$C$11,"wyfi",$Q$5:$Q$11,1,$P$5:$P$11,2024)</f>
        <v>0</v>
      </c>
      <c r="F21" s="25" t="n">
        <f aca="false">Players!F123-SUMIFS($L$5:$L$11,$C$5:$C$11,"wyfi",$Q$5:$Q$11,1,$P$5:$P$11,2025)</f>
        <v>0</v>
      </c>
      <c r="G21" s="25" t="n">
        <f aca="false">Players!G123-SUMIFS($L$5:$L$11,$C$5:$C$11,"wyfi",$Q$5:$Q$11,1,$P$5:$P$11,2026)</f>
        <v>0.00986518808436617</v>
      </c>
      <c r="H21" s="25" t="n">
        <f aca="false">Players!H123-SUMIFS($L$5:$L$11,$C$5:$C$11,"wyfi",$Q$5:$Q$11,1,$P$5:$P$11,2027)</f>
        <v>0.00214611872146119</v>
      </c>
      <c r="I21" s="25" t="n">
        <f aca="false">Players!I123-SUMIFS($L$5:$L$11,$C$5:$C$11,"wyfi",$Q$5:$Q$11,1,$P$5:$P$11,2028)</f>
        <v>0</v>
      </c>
      <c r="J21" s="25" t="n">
        <f aca="false">Players!J123-SUMIFS($L$5:$L$11,$C$5:$C$11,"wyfi",$Q$5:$Q$11,1,$P$5:$P$11,2029)</f>
        <v>0</v>
      </c>
      <c r="K21" s="25" t="n">
        <f aca="false">Players!K123-SUMIFS($L$5:$L$11,$C$5:$C$11,"wyfi",$Q$5:$Q$11,1,$P$5:$P$11,2030)</f>
        <v>0</v>
      </c>
      <c r="L21" s="25" t="n">
        <f aca="false">Players!L123-SUMIFS($L$5:$L$11,$C$5:$C$11,"wyfi",$Q$5:$Q$11,1,$P$5:$P$11,2031)</f>
        <v>0</v>
      </c>
      <c r="M21" s="25" t="n">
        <f aca="false">Players!M123-SUMIFS($L$5:$L$11,$C$5:$C$11,"wyfi",$Q$5:$Q$11,1,$P$5:$P$11,2032)</f>
        <v>0</v>
      </c>
    </row>
    <row r="22" customFormat="false" ht="15" hidden="false" customHeight="false" outlineLevel="0" collapsed="false">
      <c r="A22" s="0" t="s">
        <v>322</v>
      </c>
      <c r="B22" s="0" t="s">
        <v>720</v>
      </c>
      <c r="C22" s="4" t="s">
        <v>903</v>
      </c>
      <c r="E22" s="25" t="n">
        <f aca="false">Players!E139-SUMIFS($L$5:$L$11,$C$5:$C$11,"meta",$Q$5:$Q$11,1,$P$5:$P$11,2024)</f>
        <v>0</v>
      </c>
      <c r="F22" s="25" t="n">
        <f aca="false">Players!F139-SUMIFS($L$5:$L$11,$C$5:$C$11,"meta",$Q$5:$Q$11,1,$P$5:$P$11,2025)</f>
        <v>0</v>
      </c>
      <c r="G22" s="25" t="n">
        <f aca="false">Players!G139-SUMIFS($L$5:$L$11,$C$5:$C$11,"meta",$Q$5:$Q$11,1,$P$5:$P$11,2026)</f>
        <v>0</v>
      </c>
      <c r="H22" s="25" t="n">
        <f aca="false">Players!H139-SUMIFS($L$5:$L$11,$C$5:$C$11,"meta",$Q$5:$Q$11,1,$P$5:$P$11,2027)</f>
        <v>0</v>
      </c>
      <c r="I22" s="25" t="n">
        <f aca="false">Players!I139-SUMIFS($L$5:$L$11,$C$5:$C$11,"meta",$Q$5:$Q$11,1,$P$5:$P$11,2028)</f>
        <v>0</v>
      </c>
      <c r="J22" s="25" t="n">
        <f aca="false">Players!J139-SUMIFS($L$5:$L$11,$C$5:$C$11,"meta",$Q$5:$Q$11,1,$P$5:$P$11,2029)</f>
        <v>0</v>
      </c>
      <c r="K22" s="25" t="n">
        <f aca="false">Players!K139-SUMIFS($L$5:$L$11,$C$5:$C$11,"meta",$Q$5:$Q$11,1,$P$5:$P$11,2030)</f>
        <v>0</v>
      </c>
      <c r="L22" s="25" t="n">
        <f aca="false">Players!L139-SUMIFS($L$5:$L$11,$C$5:$C$11,"meta",$Q$5:$Q$11,1,$P$5:$P$11,2031)</f>
        <v>0</v>
      </c>
      <c r="M22" s="25" t="n">
        <f aca="false">Players!M139-SUMIFS($L$5:$L$11,$C$5:$C$11,"meta",$Q$5:$Q$11,1,$P$5:$P$11,2032)</f>
        <v>0</v>
      </c>
    </row>
    <row r="23" customFormat="false" ht="15" hidden="false" customHeight="false" outlineLevel="0" collapsed="false">
      <c r="A23" s="0" t="s">
        <v>321</v>
      </c>
      <c r="B23" s="0" t="s">
        <v>736</v>
      </c>
      <c r="C23" s="4" t="s">
        <v>903</v>
      </c>
      <c r="E23" s="25" t="n">
        <f aca="false">Players!E155-SUMIFS($L$5:$L$11,$C$5:$C$11,"xai",$Q$5:$Q$11,1,$P$5:$P$11,2024)</f>
        <v>0</v>
      </c>
      <c r="F23" s="25" t="n">
        <f aca="false">Players!F155-SUMIFS($L$5:$L$11,$C$5:$C$11,"xai",$Q$5:$Q$11,1,$P$5:$P$11,2025)</f>
        <v>0</v>
      </c>
      <c r="G23" s="25" t="n">
        <f aca="false">Players!G155-SUMIFS($L$5:$L$11,$C$5:$C$11,"xai",$Q$5:$Q$11,1,$P$5:$P$11,2026)</f>
        <v>0</v>
      </c>
      <c r="H23" s="25" t="n">
        <f aca="false">Players!H155-SUMIFS($L$5:$L$11,$C$5:$C$11,"xai",$Q$5:$Q$11,1,$P$5:$P$11,2027)</f>
        <v>0</v>
      </c>
      <c r="I23" s="25" t="n">
        <f aca="false">Players!I155-SUMIFS($L$5:$L$11,$C$5:$C$11,"xai",$Q$5:$Q$11,1,$P$5:$P$11,2028)</f>
        <v>0</v>
      </c>
      <c r="J23" s="25" t="n">
        <f aca="false">Players!J155-SUMIFS($L$5:$L$11,$C$5:$C$11,"xai",$Q$5:$Q$11,1,$P$5:$P$11,2029)</f>
        <v>0</v>
      </c>
      <c r="K23" s="25" t="n">
        <f aca="false">Players!K155-SUMIFS($L$5:$L$11,$C$5:$C$11,"xai",$Q$5:$Q$11,1,$P$5:$P$11,2030)</f>
        <v>0</v>
      </c>
      <c r="L23" s="25" t="n">
        <f aca="false">Players!L155-SUMIFS($L$5:$L$11,$C$5:$C$11,"xai",$Q$5:$Q$11,1,$P$5:$P$11,2031)</f>
        <v>0</v>
      </c>
      <c r="M23" s="25" t="n">
        <f aca="false">Players!M155-SUMIFS($L$5:$L$11,$C$5:$C$11,"xai",$Q$5:$Q$11,1,$P$5:$P$11,2032)</f>
        <v>0</v>
      </c>
    </row>
    <row r="24" customFormat="false" ht="17.15" hidden="false" customHeight="false" outlineLevel="0" collapsed="false">
      <c r="A24" s="0" t="s">
        <v>878</v>
      </c>
      <c r="B24" s="0" t="s">
        <v>371</v>
      </c>
      <c r="C24" s="4" t="s">
        <v>903</v>
      </c>
      <c r="E24" s="25" t="n">
        <f aca="false">Players!E171-SUMIFS($L$5:$L$11,$C$5:$C$11,"oai",$Q$5:$Q$11,1,$P$5:$P$11,2024)</f>
        <v>0</v>
      </c>
      <c r="F24" s="25" t="n">
        <f aca="false">Players!F171-SUMIFS($L$5:$L$11,$C$5:$C$11,"oai",$Q$5:$Q$11,1,$P$5:$P$11,2025)</f>
        <v>0</v>
      </c>
      <c r="G24" s="25" t="n">
        <f aca="false">Players!G171-SUMIFS($L$5:$L$11,$C$5:$C$11,"oai",$Q$5:$Q$11,1,$P$5:$P$11,2026)</f>
        <v>0</v>
      </c>
      <c r="H24" s="25" t="n">
        <f aca="false">Players!H171-SUMIFS($L$5:$L$11,$C$5:$C$11,"oai",$Q$5:$Q$11,1,$P$5:$P$11,2027)</f>
        <v>0</v>
      </c>
      <c r="I24" s="25" t="n">
        <f aca="false">Players!I171-SUMIFS($L$5:$L$11,$C$5:$C$11,"oai",$Q$5:$Q$11,1,$P$5:$P$11,2028)</f>
        <v>0</v>
      </c>
      <c r="J24" s="25" t="n">
        <f aca="false">Players!J171-SUMIFS($L$5:$L$11,$C$5:$C$11,"oai",$Q$5:$Q$11,1,$P$5:$P$11,2029)</f>
        <v>0</v>
      </c>
      <c r="K24" s="25" t="n">
        <f aca="false">Players!K171-SUMIFS($L$5:$L$11,$C$5:$C$11,"oai",$Q$5:$Q$11,1,$P$5:$P$11,2030)</f>
        <v>0</v>
      </c>
      <c r="L24" s="25" t="n">
        <f aca="false">Players!L171-SUMIFS($L$5:$L$11,$C$5:$C$11,"oai",$Q$5:$Q$11,1,$P$5:$P$11,2031)</f>
        <v>0</v>
      </c>
      <c r="M24" s="25" t="n">
        <f aca="false">Players!M171-SUMIFS($L$5:$L$11,$C$5:$C$11,"oai",$Q$5:$Q$11,1,$P$5:$P$11,2032)</f>
        <v>0</v>
      </c>
    </row>
    <row r="25" customFormat="false" ht="17.15" hidden="false" customHeight="false" outlineLevel="0" collapsed="false">
      <c r="A25" s="0" t="s">
        <v>879</v>
      </c>
      <c r="B25" s="0" t="s">
        <v>378</v>
      </c>
      <c r="C25" s="4" t="s">
        <v>903</v>
      </c>
      <c r="E25" s="25" t="n">
        <f aca="false">Players!E187-SUMIFS($L$5:$L$11,$C$5:$C$11,"ant",$Q$5:$Q$11,1,$P$5:$P$11,2024)</f>
        <v>0</v>
      </c>
      <c r="F25" s="25" t="n">
        <f aca="false">Players!F187-SUMIFS($L$5:$L$11,$C$5:$C$11,"ant",$Q$5:$Q$11,1,$P$5:$P$11,2025)</f>
        <v>0</v>
      </c>
      <c r="G25" s="25" t="n">
        <f aca="false">Players!G187-SUMIFS($L$5:$L$11,$C$5:$C$11,"ant",$Q$5:$Q$11,1,$P$5:$P$11,2026)</f>
        <v>0</v>
      </c>
      <c r="H25" s="25" t="n">
        <f aca="false">Players!H187-SUMIFS($L$5:$L$11,$C$5:$C$11,"ant",$Q$5:$Q$11,1,$P$5:$P$11,2027)</f>
        <v>0</v>
      </c>
      <c r="I25" s="25" t="n">
        <f aca="false">Players!I187-SUMIFS($L$5:$L$11,$C$5:$C$11,"ant",$Q$5:$Q$11,1,$P$5:$P$11,2028)</f>
        <v>0</v>
      </c>
      <c r="J25" s="25" t="n">
        <f aca="false">Players!J187-SUMIFS($L$5:$L$11,$C$5:$C$11,"ant",$Q$5:$Q$11,1,$P$5:$P$11,2029)</f>
        <v>0</v>
      </c>
      <c r="K25" s="25" t="n">
        <f aca="false">Players!K187-SUMIFS($L$5:$L$11,$C$5:$C$11,"ant",$Q$5:$Q$11,1,$P$5:$P$11,2030)</f>
        <v>0</v>
      </c>
      <c r="L25" s="25" t="n">
        <f aca="false">Players!L187-SUMIFS($L$5:$L$11,$C$5:$C$11,"ant",$Q$5:$Q$11,1,$P$5:$P$11,2031)</f>
        <v>0</v>
      </c>
      <c r="M25" s="25" t="n">
        <f aca="false">Players!M187-SUMIFS($L$5:$L$11,$C$5:$C$11,"ant",$Q$5:$Q$11,1,$P$5:$P$11,2032)</f>
        <v>0</v>
      </c>
    </row>
    <row r="26" customFormat="false" ht="17.15" hidden="false" customHeight="false" outlineLevel="0" collapsed="false">
      <c r="A26" s="4" t="s">
        <v>880</v>
      </c>
      <c r="B26" s="0" t="s">
        <v>785</v>
      </c>
      <c r="C26" s="4" t="s">
        <v>903</v>
      </c>
      <c r="E26" s="25" t="n">
        <f aca="false">Players!E203-SUMIFS($L$5:$L$11,$C$5:$C$11,"neo",$Q$5:$Q$11,1,$P$5:$P$11,2024)</f>
        <v>0</v>
      </c>
      <c r="F26" s="25" t="n">
        <f aca="false">Players!F203-SUMIFS($L$5:$L$11,$C$5:$C$11,"neo",$Q$5:$Q$11,1,$P$5:$P$11,2025)</f>
        <v>0</v>
      </c>
      <c r="G26" s="25" t="n">
        <f aca="false">Players!G203-SUMIFS($L$5:$L$11,$C$5:$C$11,"neo",$Q$5:$Q$11,1,$P$5:$P$11,2026)</f>
        <v>0</v>
      </c>
      <c r="H26" s="25" t="n">
        <f aca="false">Players!H203-SUMIFS($L$5:$L$11,$C$5:$C$11,"neo",$Q$5:$Q$11,1,$P$5:$P$11,2027)</f>
        <v>0</v>
      </c>
      <c r="I26" s="25" t="n">
        <f aca="false">Players!I203-SUMIFS($L$5:$L$11,$C$5:$C$11,"neo",$Q$5:$Q$11,1,$P$5:$P$11,2028)</f>
        <v>0</v>
      </c>
      <c r="J26" s="25" t="n">
        <f aca="false">Players!J203-SUMIFS($L$5:$L$11,$C$5:$C$11,"neo",$Q$5:$Q$11,1,$P$5:$P$11,2029)</f>
        <v>0</v>
      </c>
      <c r="K26" s="25" t="n">
        <f aca="false">Players!K203-SUMIFS($L$5:$L$11,$C$5:$C$11,"neo",$Q$5:$Q$11,1,$P$5:$P$11,2030)</f>
        <v>0</v>
      </c>
      <c r="L26" s="25" t="n">
        <f aca="false">Players!L203-SUMIFS($L$5:$L$11,$C$5:$C$11,"neo",$Q$5:$Q$11,1,$P$5:$P$11,2031)</f>
        <v>0</v>
      </c>
      <c r="M26" s="25" t="n">
        <f aca="false">Players!M203-SUMIFS($L$5:$L$11,$C$5:$C$11,"neo",$Q$5:$Q$11,1,$P$5:$P$11,2032)</f>
        <v>0</v>
      </c>
    </row>
    <row r="27" customFormat="false" ht="17.15" hidden="false" customHeight="false" outlineLevel="0" collapsed="false">
      <c r="A27" s="4" t="s">
        <v>881</v>
      </c>
      <c r="B27" s="0" t="s">
        <v>802</v>
      </c>
      <c r="C27" s="4" t="s">
        <v>903</v>
      </c>
      <c r="E27" s="25" t="n">
        <f aca="false">Players!E219-SUMIFS($L$5:$L$11,$C$5:$C$11,"sov",$Q$5:$Q$11,1,$P$5:$P$11,2024)</f>
        <v>0</v>
      </c>
      <c r="F27" s="25" t="n">
        <f aca="false">Players!F219-SUMIFS($L$5:$L$11,$C$5:$C$11,"sov",$Q$5:$Q$11,1,$P$5:$P$11,2025)</f>
        <v>0</v>
      </c>
      <c r="G27" s="25" t="n">
        <f aca="false">Players!G219-SUMIFS($L$5:$L$11,$C$5:$C$11,"sov",$Q$5:$Q$11,1,$P$5:$P$11,2026)</f>
        <v>0</v>
      </c>
      <c r="H27" s="25" t="n">
        <f aca="false">Players!H219-SUMIFS($L$5:$L$11,$C$5:$C$11,"sov",$Q$5:$Q$11,1,$P$5:$P$11,2027)</f>
        <v>0</v>
      </c>
      <c r="I27" s="25" t="n">
        <f aca="false">Players!I219-SUMIFS($L$5:$L$11,$C$5:$C$11,"sov",$Q$5:$Q$11,1,$P$5:$P$11,2028)</f>
        <v>0</v>
      </c>
      <c r="J27" s="25" t="n">
        <f aca="false">Players!J219-SUMIFS($L$5:$L$11,$C$5:$C$11,"sov",$Q$5:$Q$11,1,$P$5:$P$11,2029)</f>
        <v>0</v>
      </c>
      <c r="K27" s="25" t="n">
        <f aca="false">Players!K219-SUMIFS($L$5:$L$11,$C$5:$C$11,"sov",$Q$5:$Q$11,1,$P$5:$P$11,2030)</f>
        <v>0</v>
      </c>
      <c r="L27" s="25" t="n">
        <f aca="false">Players!L219-SUMIFS($L$5:$L$11,$C$5:$C$11,"sov",$Q$5:$Q$11,1,$P$5:$P$11,2031)</f>
        <v>0</v>
      </c>
      <c r="M27" s="25" t="n">
        <f aca="false">Players!M219-SUMIFS($L$5:$L$11,$C$5:$C$11,"sov",$Q$5:$Q$11,1,$P$5:$P$11,2032)</f>
        <v>0</v>
      </c>
    </row>
    <row r="28" customFormat="false" ht="17.15" hidden="false" customHeight="false" outlineLevel="0" collapsed="false">
      <c r="A28" s="4" t="s">
        <v>882</v>
      </c>
      <c r="B28" s="0" t="s">
        <v>819</v>
      </c>
      <c r="C28" s="4" t="s">
        <v>903</v>
      </c>
      <c r="E28" s="25" t="n">
        <f aca="false">Players!E235-SUMIFS($L$5:$L$11,$C$5:$C$11,"cn",$Q$5:$Q$11,1,$P$5:$P$11,2024)</f>
        <v>0</v>
      </c>
      <c r="F28" s="25" t="n">
        <f aca="false">Players!F235-SUMIFS($L$5:$L$11,$C$5:$C$11,"cn",$Q$5:$Q$11,1,$P$5:$P$11,2025)</f>
        <v>0</v>
      </c>
      <c r="G28" s="25" t="n">
        <f aca="false">Players!G235-SUMIFS($L$5:$L$11,$C$5:$C$11,"cn",$Q$5:$Q$11,1,$P$5:$P$11,2026)</f>
        <v>0</v>
      </c>
      <c r="H28" s="25" t="n">
        <f aca="false">Players!H235-SUMIFS($L$5:$L$11,$C$5:$C$11,"cn",$Q$5:$Q$11,1,$P$5:$P$11,2027)</f>
        <v>0</v>
      </c>
      <c r="I28" s="25" t="n">
        <f aca="false">Players!I235-SUMIFS($L$5:$L$11,$C$5:$C$11,"cn",$Q$5:$Q$11,1,$P$5:$P$11,2028)</f>
        <v>0</v>
      </c>
      <c r="J28" s="25" t="n">
        <f aca="false">Players!J235-SUMIFS($L$5:$L$11,$C$5:$C$11,"cn",$Q$5:$Q$11,1,$P$5:$P$11,2029)</f>
        <v>0</v>
      </c>
      <c r="K28" s="25" t="n">
        <f aca="false">Players!K235-SUMIFS($L$5:$L$11,$C$5:$C$11,"cn",$Q$5:$Q$11,1,$P$5:$P$11,2030)</f>
        <v>0</v>
      </c>
      <c r="L28" s="25" t="n">
        <f aca="false">Players!L235-SUMIFS($L$5:$L$11,$C$5:$C$11,"cn",$Q$5:$Q$11,1,$P$5:$P$11,2031)</f>
        <v>0</v>
      </c>
      <c r="M28" s="25" t="n">
        <f aca="false">Players!M235-SUMIFS($L$5:$L$11,$C$5:$C$11,"cn",$Q$5:$Q$11,1,$P$5:$P$11,2032)</f>
        <v>0</v>
      </c>
    </row>
    <row r="29" customFormat="false" ht="15" hidden="false" customHeight="false" outlineLevel="0" collapsed="false">
      <c r="A29" s="4" t="s">
        <v>835</v>
      </c>
      <c r="B29" s="0" t="s">
        <v>836</v>
      </c>
      <c r="C29" s="4" t="s">
        <v>903</v>
      </c>
      <c r="E29" s="25" t="n">
        <f aca="false">Players!E251-SUMIFS($L$5:$L$11,$C$5:$C$11,"oth",$Q$5:$Q$11,1,$P$5:$P$11,2024)</f>
        <v>0</v>
      </c>
      <c r="F29" s="25" t="n">
        <f aca="false">Players!F251-SUMIFS($L$5:$L$11,$C$5:$C$11,"oth",$Q$5:$Q$11,1,$P$5:$P$11,2025)</f>
        <v>0</v>
      </c>
      <c r="G29" s="25" t="n">
        <f aca="false">Players!G251-SUMIFS($L$5:$L$11,$C$5:$C$11,"oth",$Q$5:$Q$11,1,$P$5:$P$11,2026)</f>
        <v>0</v>
      </c>
      <c r="H29" s="25" t="n">
        <f aca="false">Players!H251-SUMIFS($L$5:$L$11,$C$5:$C$11,"oth",$Q$5:$Q$11,1,$P$5:$P$11,2027)</f>
        <v>0</v>
      </c>
      <c r="I29" s="25" t="n">
        <f aca="false">Players!I251-SUMIFS($L$5:$L$11,$C$5:$C$11,"oth",$Q$5:$Q$11,1,$P$5:$P$11,2028)</f>
        <v>0</v>
      </c>
      <c r="J29" s="25" t="n">
        <f aca="false">Players!J251-SUMIFS($L$5:$L$11,$C$5:$C$11,"oth",$Q$5:$Q$11,1,$P$5:$P$11,2029)</f>
        <v>0</v>
      </c>
      <c r="K29" s="25" t="n">
        <f aca="false">Players!K251-SUMIFS($L$5:$L$11,$C$5:$C$11,"oth",$Q$5:$Q$11,1,$P$5:$P$11,2030)</f>
        <v>0</v>
      </c>
      <c r="L29" s="25" t="n">
        <f aca="false">Players!L251-SUMIFS($L$5:$L$11,$C$5:$C$11,"oth",$Q$5:$Q$11,1,$P$5:$P$11,2031)</f>
        <v>0</v>
      </c>
      <c r="M29" s="25" t="n">
        <f aca="false">Players!M251-SUMIFS($L$5:$L$11,$C$5:$C$11,"oth",$Q$5:$Q$11,1,$P$5:$P$11,2032)</f>
        <v>0</v>
      </c>
    </row>
    <row r="31" customFormat="false" ht="17.15" hidden="false" customHeight="false" outlineLevel="0" collapsed="false">
      <c r="A31" s="0" t="s">
        <v>873</v>
      </c>
      <c r="B31" s="0" t="s">
        <v>370</v>
      </c>
      <c r="C31" s="4" t="s">
        <v>904</v>
      </c>
      <c r="E31" s="25" t="n">
        <f aca="false">IF(Players!E23=2,E15,0)</f>
        <v>0</v>
      </c>
      <c r="F31" s="25" t="n">
        <f aca="false">IF(Players!F23=2,F15,0)</f>
        <v>0</v>
      </c>
      <c r="G31" s="25" t="n">
        <f aca="false">IF(Players!G23=2,G15,0)</f>
        <v>2.39182430963253</v>
      </c>
      <c r="H31" s="25" t="n">
        <f aca="false">IF(Players!H23=2,H15,0)</f>
        <v>0</v>
      </c>
      <c r="I31" s="25" t="n">
        <f aca="false">IF(Players!I23=2,I15,0)</f>
        <v>0</v>
      </c>
      <c r="J31" s="25" t="n">
        <f aca="false">IF(Players!J23=2,J15,0)</f>
        <v>0</v>
      </c>
      <c r="K31" s="25" t="n">
        <f aca="false">IF(Players!K23=2,K15,0)</f>
        <v>0</v>
      </c>
      <c r="L31" s="25" t="n">
        <f aca="false">IF(Players!L23=2,L15,0)</f>
        <v>0</v>
      </c>
      <c r="M31" s="25" t="n">
        <f aca="false">IF(Players!M23=2,M15,0)</f>
        <v>0</v>
      </c>
    </row>
    <row r="32" customFormat="false" ht="17.15" hidden="false" customHeight="false" outlineLevel="0" collapsed="false">
      <c r="A32" s="0" t="s">
        <v>874</v>
      </c>
      <c r="B32" s="0" t="s">
        <v>621</v>
      </c>
      <c r="C32" s="4" t="s">
        <v>904</v>
      </c>
      <c r="E32" s="25" t="n">
        <f aca="false">IF(Players!E39=2,E16,0)</f>
        <v>0</v>
      </c>
      <c r="F32" s="25" t="n">
        <f aca="false">IF(Players!F39=2,F16,0)</f>
        <v>0</v>
      </c>
      <c r="G32" s="25" t="n">
        <f aca="false">IF(Players!G39=2,G16,0)</f>
        <v>1.59273755164166</v>
      </c>
      <c r="H32" s="25" t="n">
        <f aca="false">IF(Players!H39=2,H16,0)</f>
        <v>0</v>
      </c>
      <c r="I32" s="25" t="n">
        <f aca="false">IF(Players!I39=2,I16,0)</f>
        <v>0</v>
      </c>
      <c r="J32" s="25" t="n">
        <f aca="false">IF(Players!J39=2,J16,0)</f>
        <v>0</v>
      </c>
      <c r="K32" s="25" t="n">
        <f aca="false">IF(Players!K39=2,K16,0)</f>
        <v>0</v>
      </c>
      <c r="L32" s="25" t="n">
        <f aca="false">IF(Players!L39=2,L16,0)</f>
        <v>0</v>
      </c>
      <c r="M32" s="25" t="n">
        <f aca="false">IF(Players!M39=2,M16,0)</f>
        <v>0</v>
      </c>
    </row>
    <row r="33" customFormat="false" ht="17.15" hidden="false" customHeight="false" outlineLevel="0" collapsed="false">
      <c r="A33" s="0" t="s">
        <v>875</v>
      </c>
      <c r="B33" s="0" t="s">
        <v>377</v>
      </c>
      <c r="C33" s="4" t="s">
        <v>904</v>
      </c>
      <c r="E33" s="25" t="n">
        <f aca="false">IF(Players!E55=2,E17,0)</f>
        <v>0</v>
      </c>
      <c r="F33" s="25" t="n">
        <f aca="false">IF(Players!F55=2,F17,0)</f>
        <v>0</v>
      </c>
      <c r="G33" s="25" t="n">
        <f aca="false">IF(Players!G55=2,G17,0)</f>
        <v>0.869754294411829</v>
      </c>
      <c r="H33" s="25" t="n">
        <f aca="false">IF(Players!H55=2,H17,0)</f>
        <v>0</v>
      </c>
      <c r="I33" s="25" t="n">
        <f aca="false">IF(Players!I55=2,I17,0)</f>
        <v>0</v>
      </c>
      <c r="J33" s="25" t="n">
        <f aca="false">IF(Players!J55=2,J17,0)</f>
        <v>0</v>
      </c>
      <c r="K33" s="25" t="n">
        <f aca="false">IF(Players!K55=2,K17,0)</f>
        <v>0</v>
      </c>
      <c r="L33" s="25" t="n">
        <f aca="false">IF(Players!L55=2,L17,0)</f>
        <v>0</v>
      </c>
      <c r="M33" s="25" t="n">
        <f aca="false">IF(Players!M55=2,M17,0)</f>
        <v>0</v>
      </c>
    </row>
    <row r="34" customFormat="false" ht="17.15" hidden="false" customHeight="false" outlineLevel="0" collapsed="false">
      <c r="A34" s="0" t="s">
        <v>876</v>
      </c>
      <c r="B34" s="0" t="s">
        <v>387</v>
      </c>
      <c r="C34" s="4" t="s">
        <v>904</v>
      </c>
      <c r="E34" s="25" t="n">
        <f aca="false">IF(Players!E71=2,E18,0)</f>
        <v>0</v>
      </c>
      <c r="F34" s="25" t="n">
        <f aca="false">IF(Players!F71=2,F18,0)</f>
        <v>0</v>
      </c>
      <c r="G34" s="25" t="n">
        <f aca="false">IF(Players!G71=2,G18,0)</f>
        <v>0</v>
      </c>
      <c r="H34" s="25" t="n">
        <f aca="false">IF(Players!H71=2,H18,0)</f>
        <v>0</v>
      </c>
      <c r="I34" s="25" t="n">
        <f aca="false">IF(Players!I71=2,I18,0)</f>
        <v>0</v>
      </c>
      <c r="J34" s="25" t="n">
        <f aca="false">IF(Players!J71=2,J18,0)</f>
        <v>0</v>
      </c>
      <c r="K34" s="25" t="n">
        <f aca="false">IF(Players!K71=2,K18,0)</f>
        <v>0</v>
      </c>
      <c r="L34" s="25" t="n">
        <f aca="false">IF(Players!L71=2,L18,0)</f>
        <v>0</v>
      </c>
      <c r="M34" s="25" t="n">
        <f aca="false">IF(Players!M71=2,M18,0)</f>
        <v>0</v>
      </c>
    </row>
    <row r="35" customFormat="false" ht="15" hidden="false" customHeight="false" outlineLevel="0" collapsed="false">
      <c r="A35" s="0" t="s">
        <v>669</v>
      </c>
      <c r="B35" s="0" t="s">
        <v>670</v>
      </c>
      <c r="C35" s="4" t="s">
        <v>904</v>
      </c>
      <c r="E35" s="25" t="n">
        <f aca="false">IF(Players!E87=2,E19,0)</f>
        <v>0</v>
      </c>
      <c r="F35" s="25" t="n">
        <f aca="false">IF(Players!F87=2,F19,0)</f>
        <v>0</v>
      </c>
      <c r="G35" s="25" t="n">
        <f aca="false">IF(Players!G87=2,G19,0)</f>
        <v>0</v>
      </c>
      <c r="H35" s="25" t="n">
        <f aca="false">IF(Players!H87=2,H19,0)</f>
        <v>0</v>
      </c>
      <c r="I35" s="25" t="n">
        <f aca="false">IF(Players!I87=2,I19,0)</f>
        <v>0</v>
      </c>
      <c r="J35" s="25" t="n">
        <f aca="false">IF(Players!J87=2,J19,0)</f>
        <v>0</v>
      </c>
      <c r="K35" s="25" t="n">
        <f aca="false">IF(Players!K87=2,K19,0)</f>
        <v>0</v>
      </c>
      <c r="L35" s="25" t="n">
        <f aca="false">IF(Players!L87=2,L19,0)</f>
        <v>0</v>
      </c>
      <c r="M35" s="25" t="n">
        <f aca="false">IF(Players!M87=2,M19,0)</f>
        <v>0</v>
      </c>
    </row>
    <row r="36" customFormat="false" ht="15" hidden="false" customHeight="false" outlineLevel="0" collapsed="false">
      <c r="A36" s="0" t="s">
        <v>686</v>
      </c>
      <c r="B36" s="0" t="s">
        <v>687</v>
      </c>
      <c r="C36" s="4" t="s">
        <v>904</v>
      </c>
      <c r="E36" s="25" t="n">
        <f aca="false">IF(Players!E103=2,E20,0)</f>
        <v>0</v>
      </c>
      <c r="F36" s="25" t="n">
        <f aca="false">IF(Players!F103=2,F20,0)</f>
        <v>0</v>
      </c>
      <c r="G36" s="25" t="n">
        <f aca="false">IF(Players!G103=2,G20,0)</f>
        <v>0</v>
      </c>
      <c r="H36" s="25" t="n">
        <f aca="false">IF(Players!H103=2,H20,0)</f>
        <v>0</v>
      </c>
      <c r="I36" s="25" t="n">
        <f aca="false">IF(Players!I103=2,I20,0)</f>
        <v>0</v>
      </c>
      <c r="J36" s="25" t="n">
        <f aca="false">IF(Players!J103=2,J20,0)</f>
        <v>0</v>
      </c>
      <c r="K36" s="25" t="n">
        <f aca="false">IF(Players!K103=2,K20,0)</f>
        <v>0</v>
      </c>
      <c r="L36" s="25" t="n">
        <f aca="false">IF(Players!L103=2,L20,0)</f>
        <v>0</v>
      </c>
      <c r="M36" s="25" t="n">
        <f aca="false">IF(Players!M103=2,M20,0)</f>
        <v>0</v>
      </c>
    </row>
    <row r="37" customFormat="false" ht="17.15" hidden="false" customHeight="false" outlineLevel="0" collapsed="false">
      <c r="A37" s="0" t="s">
        <v>877</v>
      </c>
      <c r="B37" s="0" t="s">
        <v>704</v>
      </c>
      <c r="C37" s="4" t="s">
        <v>904</v>
      </c>
      <c r="E37" s="25" t="n">
        <f aca="false">IF(Players!E119=2,E21,0)</f>
        <v>0</v>
      </c>
      <c r="F37" s="25" t="n">
        <f aca="false">IF(Players!F119=2,F21,0)</f>
        <v>0</v>
      </c>
      <c r="G37" s="25" t="n">
        <f aca="false">IF(Players!G119=2,G21,0)</f>
        <v>0</v>
      </c>
      <c r="H37" s="25" t="n">
        <f aca="false">IF(Players!H119=2,H21,0)</f>
        <v>0</v>
      </c>
      <c r="I37" s="25" t="n">
        <f aca="false">IF(Players!I119=2,I21,0)</f>
        <v>0</v>
      </c>
      <c r="J37" s="25" t="n">
        <f aca="false">IF(Players!J119=2,J21,0)</f>
        <v>0</v>
      </c>
      <c r="K37" s="25" t="n">
        <f aca="false">IF(Players!K119=2,K21,0)</f>
        <v>0</v>
      </c>
      <c r="L37" s="25" t="n">
        <f aca="false">IF(Players!L119=2,L21,0)</f>
        <v>0</v>
      </c>
      <c r="M37" s="25" t="n">
        <f aca="false">IF(Players!M119=2,M21,0)</f>
        <v>0</v>
      </c>
    </row>
    <row r="38" customFormat="false" ht="15" hidden="false" customHeight="false" outlineLevel="0" collapsed="false">
      <c r="A38" s="0" t="s">
        <v>322</v>
      </c>
      <c r="B38" s="0" t="s">
        <v>720</v>
      </c>
      <c r="C38" s="4" t="s">
        <v>904</v>
      </c>
      <c r="E38" s="25" t="n">
        <f aca="false">IF(Players!E135=2,E22,0)</f>
        <v>0</v>
      </c>
      <c r="F38" s="25" t="n">
        <f aca="false">IF(Players!F135=2,F22,0)</f>
        <v>0</v>
      </c>
      <c r="G38" s="25" t="n">
        <f aca="false">IF(Players!G135=2,G22,0)</f>
        <v>0</v>
      </c>
      <c r="H38" s="25" t="n">
        <f aca="false">IF(Players!H135=2,H22,0)</f>
        <v>0</v>
      </c>
      <c r="I38" s="25" t="n">
        <f aca="false">IF(Players!I135=2,I22,0)</f>
        <v>0</v>
      </c>
      <c r="J38" s="25" t="n">
        <f aca="false">IF(Players!J135=2,J22,0)</f>
        <v>0</v>
      </c>
      <c r="K38" s="25" t="n">
        <f aca="false">IF(Players!K135=2,K22,0)</f>
        <v>0</v>
      </c>
      <c r="L38" s="25" t="n">
        <f aca="false">IF(Players!L135=2,L22,0)</f>
        <v>0</v>
      </c>
      <c r="M38" s="25" t="n">
        <f aca="false">IF(Players!M135=2,M22,0)</f>
        <v>0</v>
      </c>
    </row>
    <row r="39" customFormat="false" ht="15" hidden="false" customHeight="false" outlineLevel="0" collapsed="false">
      <c r="A39" s="0" t="s">
        <v>321</v>
      </c>
      <c r="B39" s="0" t="s">
        <v>736</v>
      </c>
      <c r="C39" s="4" t="s">
        <v>904</v>
      </c>
      <c r="E39" s="25" t="n">
        <f aca="false">IF(Players!E151=2,E23,0)</f>
        <v>0</v>
      </c>
      <c r="F39" s="25" t="n">
        <f aca="false">IF(Players!F151=2,F23,0)</f>
        <v>0</v>
      </c>
      <c r="G39" s="25" t="n">
        <f aca="false">IF(Players!G151=2,G23,0)</f>
        <v>0</v>
      </c>
      <c r="H39" s="25" t="n">
        <f aca="false">IF(Players!H151=2,H23,0)</f>
        <v>0</v>
      </c>
      <c r="I39" s="25" t="n">
        <f aca="false">IF(Players!I151=2,I23,0)</f>
        <v>0</v>
      </c>
      <c r="J39" s="25" t="n">
        <f aca="false">IF(Players!J151=2,J23,0)</f>
        <v>0</v>
      </c>
      <c r="K39" s="25" t="n">
        <f aca="false">IF(Players!K151=2,K23,0)</f>
        <v>0</v>
      </c>
      <c r="L39" s="25" t="n">
        <f aca="false">IF(Players!L151=2,L23,0)</f>
        <v>0</v>
      </c>
      <c r="M39" s="25" t="n">
        <f aca="false">IF(Players!M151=2,M23,0)</f>
        <v>0</v>
      </c>
    </row>
    <row r="40" customFormat="false" ht="17.15" hidden="false" customHeight="false" outlineLevel="0" collapsed="false">
      <c r="A40" s="0" t="s">
        <v>878</v>
      </c>
      <c r="B40" s="0" t="s">
        <v>371</v>
      </c>
      <c r="C40" s="4" t="s">
        <v>904</v>
      </c>
      <c r="E40" s="25" t="n">
        <f aca="false">IF(Players!E167=2,E24,0)</f>
        <v>0</v>
      </c>
      <c r="F40" s="25" t="n">
        <f aca="false">IF(Players!F167=2,F24,0)</f>
        <v>0</v>
      </c>
      <c r="G40" s="25" t="n">
        <f aca="false">IF(Players!G167=2,G24,0)</f>
        <v>0</v>
      </c>
      <c r="H40" s="25" t="n">
        <f aca="false">IF(Players!H167=2,H24,0)</f>
        <v>0</v>
      </c>
      <c r="I40" s="25" t="n">
        <f aca="false">IF(Players!I167=2,I24,0)</f>
        <v>0</v>
      </c>
      <c r="J40" s="25" t="n">
        <f aca="false">IF(Players!J167=2,J24,0)</f>
        <v>0</v>
      </c>
      <c r="K40" s="25" t="n">
        <f aca="false">IF(Players!K167=2,K24,0)</f>
        <v>0</v>
      </c>
      <c r="L40" s="25" t="n">
        <f aca="false">IF(Players!L167=2,L24,0)</f>
        <v>0</v>
      </c>
      <c r="M40" s="25" t="n">
        <f aca="false">IF(Players!M167=2,M24,0)</f>
        <v>0</v>
      </c>
    </row>
    <row r="41" customFormat="false" ht="17.15" hidden="false" customHeight="false" outlineLevel="0" collapsed="false">
      <c r="A41" s="0" t="s">
        <v>879</v>
      </c>
      <c r="B41" s="0" t="s">
        <v>378</v>
      </c>
      <c r="C41" s="4" t="s">
        <v>904</v>
      </c>
      <c r="E41" s="25" t="n">
        <f aca="false">IF(Players!E183=2,E25,0)</f>
        <v>0</v>
      </c>
      <c r="F41" s="25" t="n">
        <f aca="false">IF(Players!F183=2,F25,0)</f>
        <v>0</v>
      </c>
      <c r="G41" s="25" t="n">
        <f aca="false">IF(Players!G183=2,G25,0)</f>
        <v>0</v>
      </c>
      <c r="H41" s="25" t="n">
        <f aca="false">IF(Players!H183=2,H25,0)</f>
        <v>0</v>
      </c>
      <c r="I41" s="25" t="n">
        <f aca="false">IF(Players!I183=2,I25,0)</f>
        <v>0</v>
      </c>
      <c r="J41" s="25" t="n">
        <f aca="false">IF(Players!J183=2,J25,0)</f>
        <v>0</v>
      </c>
      <c r="K41" s="25" t="n">
        <f aca="false">IF(Players!K183=2,K25,0)</f>
        <v>0</v>
      </c>
      <c r="L41" s="25" t="n">
        <f aca="false">IF(Players!L183=2,L25,0)</f>
        <v>0</v>
      </c>
      <c r="M41" s="25" t="n">
        <f aca="false">IF(Players!M183=2,M25,0)</f>
        <v>0</v>
      </c>
    </row>
    <row r="42" customFormat="false" ht="17.15" hidden="false" customHeight="false" outlineLevel="0" collapsed="false">
      <c r="A42" s="4" t="s">
        <v>880</v>
      </c>
      <c r="B42" s="0" t="s">
        <v>785</v>
      </c>
      <c r="C42" s="4" t="s">
        <v>904</v>
      </c>
      <c r="E42" s="25" t="n">
        <f aca="false">IF(Players!E199=2,E26,0)</f>
        <v>0</v>
      </c>
      <c r="F42" s="25" t="n">
        <f aca="false">IF(Players!F199=2,F26,0)</f>
        <v>0</v>
      </c>
      <c r="G42" s="25" t="n">
        <f aca="false">IF(Players!G199=2,G26,0)</f>
        <v>0</v>
      </c>
      <c r="H42" s="25" t="n">
        <f aca="false">IF(Players!H199=2,H26,0)</f>
        <v>0</v>
      </c>
      <c r="I42" s="25" t="n">
        <f aca="false">IF(Players!I199=2,I26,0)</f>
        <v>0</v>
      </c>
      <c r="J42" s="25" t="n">
        <f aca="false">IF(Players!J199=2,J26,0)</f>
        <v>0</v>
      </c>
      <c r="K42" s="25" t="n">
        <f aca="false">IF(Players!K199=2,K26,0)</f>
        <v>0</v>
      </c>
      <c r="L42" s="25" t="n">
        <f aca="false">IF(Players!L199=2,L26,0)</f>
        <v>0</v>
      </c>
      <c r="M42" s="25" t="n">
        <f aca="false">IF(Players!M199=2,M26,0)</f>
        <v>0</v>
      </c>
    </row>
    <row r="43" customFormat="false" ht="17.15" hidden="false" customHeight="false" outlineLevel="0" collapsed="false">
      <c r="A43" s="4" t="s">
        <v>881</v>
      </c>
      <c r="B43" s="0" t="s">
        <v>802</v>
      </c>
      <c r="C43" s="4" t="s">
        <v>904</v>
      </c>
      <c r="E43" s="25" t="n">
        <f aca="false">IF(Players!E215=2,E27,0)</f>
        <v>0</v>
      </c>
      <c r="F43" s="25" t="n">
        <f aca="false">IF(Players!F215=2,F27,0)</f>
        <v>0</v>
      </c>
      <c r="G43" s="25" t="n">
        <f aca="false">IF(Players!G215=2,G27,0)</f>
        <v>0</v>
      </c>
      <c r="H43" s="25" t="n">
        <f aca="false">IF(Players!H215=2,H27,0)</f>
        <v>0</v>
      </c>
      <c r="I43" s="25" t="n">
        <f aca="false">IF(Players!I215=2,I27,0)</f>
        <v>0</v>
      </c>
      <c r="J43" s="25" t="n">
        <f aca="false">IF(Players!J215=2,J27,0)</f>
        <v>0</v>
      </c>
      <c r="K43" s="25" t="n">
        <f aca="false">IF(Players!K215=2,K27,0)</f>
        <v>0</v>
      </c>
      <c r="L43" s="25" t="n">
        <f aca="false">IF(Players!L215=2,L27,0)</f>
        <v>0</v>
      </c>
      <c r="M43" s="25" t="n">
        <f aca="false">IF(Players!M215=2,M27,0)</f>
        <v>0</v>
      </c>
    </row>
    <row r="44" customFormat="false" ht="17.15" hidden="false" customHeight="false" outlineLevel="0" collapsed="false">
      <c r="A44" s="4" t="s">
        <v>882</v>
      </c>
      <c r="B44" s="0" t="s">
        <v>819</v>
      </c>
      <c r="C44" s="4" t="s">
        <v>904</v>
      </c>
      <c r="E44" s="25" t="n">
        <f aca="false">IF(Players!E231=2,E28,0)</f>
        <v>0</v>
      </c>
      <c r="F44" s="25" t="n">
        <f aca="false">IF(Players!F231=2,F28,0)</f>
        <v>0</v>
      </c>
      <c r="G44" s="25" t="n">
        <f aca="false">IF(Players!G231=2,G28,0)</f>
        <v>0</v>
      </c>
      <c r="H44" s="25" t="n">
        <f aca="false">IF(Players!H231=2,H28,0)</f>
        <v>0</v>
      </c>
      <c r="I44" s="25" t="n">
        <f aca="false">IF(Players!I231=2,I28,0)</f>
        <v>0</v>
      </c>
      <c r="J44" s="25" t="n">
        <f aca="false">IF(Players!J231=2,J28,0)</f>
        <v>0</v>
      </c>
      <c r="K44" s="25" t="n">
        <f aca="false">IF(Players!K231=2,K28,0)</f>
        <v>0</v>
      </c>
      <c r="L44" s="25" t="n">
        <f aca="false">IF(Players!L231=2,L28,0)</f>
        <v>0</v>
      </c>
      <c r="M44" s="25" t="n">
        <f aca="false">IF(Players!M231=2,M28,0)</f>
        <v>0</v>
      </c>
    </row>
    <row r="45" customFormat="false" ht="15" hidden="false" customHeight="false" outlineLevel="0" collapsed="false">
      <c r="A45" s="4" t="s">
        <v>835</v>
      </c>
      <c r="B45" s="0" t="s">
        <v>836</v>
      </c>
      <c r="C45" s="4" t="s">
        <v>904</v>
      </c>
      <c r="E45" s="25" t="n">
        <f aca="false">IF(Players!E247=2,E29,0)</f>
        <v>0</v>
      </c>
      <c r="F45" s="25" t="n">
        <f aca="false">IF(Players!F247=2,F29,0)</f>
        <v>0</v>
      </c>
      <c r="G45" s="25" t="n">
        <f aca="false">IF(Players!G247=2,G29,0)</f>
        <v>0</v>
      </c>
      <c r="H45" s="25" t="n">
        <f aca="false">IF(Players!H247=2,H29,0)</f>
        <v>0</v>
      </c>
      <c r="I45" s="25" t="n">
        <f aca="false">IF(Players!I247=2,I29,0)</f>
        <v>0</v>
      </c>
      <c r="J45" s="25" t="n">
        <f aca="false">IF(Players!J247=2,J29,0)</f>
        <v>0</v>
      </c>
      <c r="K45" s="25" t="n">
        <f aca="false">IF(Players!K247=2,K29,0)</f>
        <v>0</v>
      </c>
      <c r="L45" s="25" t="n">
        <f aca="false">IF(Players!L247=2,L29,0)</f>
        <v>0</v>
      </c>
      <c r="M45" s="25" t="n">
        <f aca="false">IF(Players!M247=2,M29,0)</f>
        <v>0</v>
      </c>
    </row>
    <row r="47" customFormat="false" ht="17.15" hidden="false" customHeight="false" outlineLevel="0" collapsed="false">
      <c r="A47" s="0" t="s">
        <v>873</v>
      </c>
      <c r="B47" s="0" t="s">
        <v>370</v>
      </c>
      <c r="C47" s="4" t="s">
        <v>905</v>
      </c>
      <c r="E47" s="25" t="n">
        <f aca="false">E15-E31</f>
        <v>0</v>
      </c>
      <c r="F47" s="25" t="n">
        <f aca="false">F15-F31</f>
        <v>1.5220700152207</v>
      </c>
      <c r="G47" s="25" t="n">
        <f aca="false">G15-G31</f>
        <v>0</v>
      </c>
      <c r="H47" s="25" t="n">
        <f aca="false">H15-H31</f>
        <v>0</v>
      </c>
      <c r="I47" s="25" t="n">
        <f aca="false">I15-I31</f>
        <v>0</v>
      </c>
      <c r="J47" s="25" t="n">
        <f aca="false">J15-J31</f>
        <v>0</v>
      </c>
      <c r="K47" s="25" t="n">
        <f aca="false">K15-K31</f>
        <v>0</v>
      </c>
      <c r="L47" s="25" t="n">
        <f aca="false">L15-L31</f>
        <v>0</v>
      </c>
      <c r="M47" s="25" t="n">
        <f aca="false">M15-M31</f>
        <v>0</v>
      </c>
    </row>
    <row r="48" customFormat="false" ht="17.15" hidden="false" customHeight="false" outlineLevel="0" collapsed="false">
      <c r="A48" s="0" t="s">
        <v>874</v>
      </c>
      <c r="B48" s="0" t="s">
        <v>621</v>
      </c>
      <c r="C48" s="4" t="s">
        <v>905</v>
      </c>
      <c r="E48" s="25" t="n">
        <f aca="false">E16-E32</f>
        <v>1.63839965209828</v>
      </c>
      <c r="F48" s="25" t="n">
        <f aca="false">F16-F32</f>
        <v>2.96912372254838</v>
      </c>
      <c r="G48" s="25" t="n">
        <f aca="false">G16-G32</f>
        <v>0</v>
      </c>
      <c r="H48" s="25" t="n">
        <f aca="false">H16-H32</f>
        <v>0</v>
      </c>
      <c r="I48" s="25" t="n">
        <f aca="false">I16-I32</f>
        <v>0</v>
      </c>
      <c r="J48" s="25" t="n">
        <f aca="false">J16-J32</f>
        <v>0</v>
      </c>
      <c r="K48" s="25" t="n">
        <f aca="false">K16-K32</f>
        <v>0</v>
      </c>
      <c r="L48" s="25" t="n">
        <f aca="false">L16-L32</f>
        <v>0</v>
      </c>
      <c r="M48" s="25" t="n">
        <f aca="false">M16-M32</f>
        <v>0</v>
      </c>
    </row>
    <row r="49" customFormat="false" ht="17.15" hidden="false" customHeight="false" outlineLevel="0" collapsed="false">
      <c r="A49" s="0" t="s">
        <v>875</v>
      </c>
      <c r="B49" s="0" t="s">
        <v>377</v>
      </c>
      <c r="C49" s="4" t="s">
        <v>905</v>
      </c>
      <c r="E49" s="25" t="n">
        <f aca="false">E17-E33</f>
        <v>0.326157860404436</v>
      </c>
      <c r="F49" s="25" t="n">
        <f aca="false">F17-F33</f>
        <v>1.46771037181996</v>
      </c>
      <c r="G49" s="25" t="n">
        <f aca="false">G17-G33</f>
        <v>0</v>
      </c>
      <c r="H49" s="25" t="n">
        <f aca="false">H17-H33</f>
        <v>0</v>
      </c>
      <c r="I49" s="25" t="n">
        <f aca="false">I17-I33</f>
        <v>0</v>
      </c>
      <c r="J49" s="25" t="n">
        <f aca="false">J17-J33</f>
        <v>0</v>
      </c>
      <c r="K49" s="25" t="n">
        <f aca="false">K17-K33</f>
        <v>0</v>
      </c>
      <c r="L49" s="25" t="n">
        <f aca="false">L17-L33</f>
        <v>0</v>
      </c>
      <c r="M49" s="25" t="n">
        <f aca="false">M17-M33</f>
        <v>0</v>
      </c>
    </row>
    <row r="50" customFormat="false" ht="17.15" hidden="false" customHeight="false" outlineLevel="0" collapsed="false">
      <c r="A50" s="0" t="s">
        <v>876</v>
      </c>
      <c r="B50" s="0" t="s">
        <v>387</v>
      </c>
      <c r="C50" s="4" t="s">
        <v>905</v>
      </c>
      <c r="E50" s="25" t="n">
        <f aca="false">E18-E34</f>
        <v>0</v>
      </c>
      <c r="F50" s="25" t="n">
        <f aca="false">F18-F34</f>
        <v>0</v>
      </c>
      <c r="G50" s="25" t="n">
        <f aca="false">G18-G34</f>
        <v>0</v>
      </c>
      <c r="H50" s="25" t="n">
        <f aca="false">H18-H34</f>
        <v>2.31028484453142</v>
      </c>
      <c r="I50" s="25" t="n">
        <f aca="false">I18-I34</f>
        <v>0</v>
      </c>
      <c r="J50" s="25" t="n">
        <f aca="false">J18-J34</f>
        <v>0</v>
      </c>
      <c r="K50" s="25" t="n">
        <f aca="false">K18-K34</f>
        <v>0</v>
      </c>
      <c r="L50" s="25" t="n">
        <f aca="false">L18-L34</f>
        <v>0</v>
      </c>
      <c r="M50" s="25" t="n">
        <f aca="false">M18-M34</f>
        <v>0</v>
      </c>
    </row>
    <row r="51" customFormat="false" ht="15" hidden="false" customHeight="false" outlineLevel="0" collapsed="false">
      <c r="A51" s="0" t="s">
        <v>669</v>
      </c>
      <c r="B51" s="0" t="s">
        <v>670</v>
      </c>
      <c r="C51" s="4" t="s">
        <v>905</v>
      </c>
      <c r="E51" s="25" t="n">
        <f aca="false">E19-E35</f>
        <v>0.315285931724288</v>
      </c>
      <c r="F51" s="25" t="n">
        <f aca="false">F19-F35</f>
        <v>0.532724505327245</v>
      </c>
      <c r="G51" s="25" t="n">
        <f aca="false">G19-G35</f>
        <v>1.08719286801479</v>
      </c>
      <c r="H51" s="25" t="n">
        <f aca="false">H19-H35</f>
        <v>1.67155903457273</v>
      </c>
      <c r="I51" s="25" t="n">
        <f aca="false">I19-I35</f>
        <v>1.67155903457273</v>
      </c>
      <c r="J51" s="25" t="n">
        <f aca="false">J19-J35</f>
        <v>1.67155903457273</v>
      </c>
      <c r="K51" s="25" t="n">
        <f aca="false">K19-K35</f>
        <v>1.67155903457273</v>
      </c>
      <c r="L51" s="25" t="n">
        <f aca="false">L19-L35</f>
        <v>0</v>
      </c>
      <c r="M51" s="25" t="n">
        <f aca="false">M19-M35</f>
        <v>0</v>
      </c>
    </row>
    <row r="52" customFormat="false" ht="15" hidden="false" customHeight="false" outlineLevel="0" collapsed="false">
      <c r="A52" s="0" t="s">
        <v>686</v>
      </c>
      <c r="B52" s="0" t="s">
        <v>687</v>
      </c>
      <c r="C52" s="4" t="s">
        <v>905</v>
      </c>
      <c r="E52" s="25" t="n">
        <f aca="false">E20-E36</f>
        <v>0</v>
      </c>
      <c r="F52" s="25" t="n">
        <f aca="false">F20-F36</f>
        <v>0</v>
      </c>
      <c r="G52" s="25" t="n">
        <f aca="false">G20-G36</f>
        <v>0.793650793650794</v>
      </c>
      <c r="H52" s="25" t="n">
        <f aca="false">H20-H36</f>
        <v>0</v>
      </c>
      <c r="I52" s="25" t="n">
        <f aca="false">I20-I36</f>
        <v>0</v>
      </c>
      <c r="J52" s="25" t="n">
        <f aca="false">J20-J36</f>
        <v>0</v>
      </c>
      <c r="K52" s="25" t="n">
        <f aca="false">K20-K36</f>
        <v>0</v>
      </c>
      <c r="L52" s="25" t="n">
        <f aca="false">L20-L36</f>
        <v>0</v>
      </c>
      <c r="M52" s="25" t="n">
        <f aca="false">M20-M36</f>
        <v>0</v>
      </c>
    </row>
    <row r="53" customFormat="false" ht="17.15" hidden="false" customHeight="false" outlineLevel="0" collapsed="false">
      <c r="A53" s="0" t="s">
        <v>877</v>
      </c>
      <c r="B53" s="0" t="s">
        <v>704</v>
      </c>
      <c r="C53" s="4" t="s">
        <v>905</v>
      </c>
      <c r="E53" s="25" t="n">
        <f aca="false">E21-E37</f>
        <v>0</v>
      </c>
      <c r="F53" s="25" t="n">
        <f aca="false">F21-F37</f>
        <v>0</v>
      </c>
      <c r="G53" s="25" t="n">
        <f aca="false">G21-G37</f>
        <v>0.00986518808436617</v>
      </c>
      <c r="H53" s="25" t="n">
        <f aca="false">H21-H37</f>
        <v>0.00214611872146119</v>
      </c>
      <c r="I53" s="25" t="n">
        <f aca="false">I21-I37</f>
        <v>0</v>
      </c>
      <c r="J53" s="25" t="n">
        <f aca="false">J21-J37</f>
        <v>0</v>
      </c>
      <c r="K53" s="25" t="n">
        <f aca="false">K21-K37</f>
        <v>0</v>
      </c>
      <c r="L53" s="25" t="n">
        <f aca="false">L21-L37</f>
        <v>0</v>
      </c>
      <c r="M53" s="25" t="n">
        <f aca="false">M21-M37</f>
        <v>0</v>
      </c>
    </row>
    <row r="54" customFormat="false" ht="15" hidden="false" customHeight="false" outlineLevel="0" collapsed="false">
      <c r="A54" s="0" t="s">
        <v>322</v>
      </c>
      <c r="B54" s="0" t="s">
        <v>720</v>
      </c>
      <c r="C54" s="4" t="s">
        <v>905</v>
      </c>
      <c r="E54" s="25" t="n">
        <f aca="false">E22-E38</f>
        <v>0</v>
      </c>
      <c r="F54" s="25" t="n">
        <f aca="false">F22-F38</f>
        <v>0</v>
      </c>
      <c r="G54" s="25" t="n">
        <f aca="false">G22-G38</f>
        <v>0</v>
      </c>
      <c r="H54" s="25" t="n">
        <f aca="false">H22-H38</f>
        <v>0</v>
      </c>
      <c r="I54" s="25" t="n">
        <f aca="false">I22-I38</f>
        <v>0</v>
      </c>
      <c r="J54" s="25" t="n">
        <f aca="false">J22-J38</f>
        <v>0</v>
      </c>
      <c r="K54" s="25" t="n">
        <f aca="false">K22-K38</f>
        <v>0</v>
      </c>
      <c r="L54" s="25" t="n">
        <f aca="false">L22-L38</f>
        <v>0</v>
      </c>
      <c r="M54" s="25" t="n">
        <f aca="false">M22-M38</f>
        <v>0</v>
      </c>
    </row>
    <row r="55" customFormat="false" ht="15" hidden="false" customHeight="false" outlineLevel="0" collapsed="false">
      <c r="A55" s="0" t="s">
        <v>321</v>
      </c>
      <c r="B55" s="0" t="s">
        <v>736</v>
      </c>
      <c r="C55" s="4" t="s">
        <v>905</v>
      </c>
      <c r="E55" s="25" t="n">
        <f aca="false">E23-E39</f>
        <v>0</v>
      </c>
      <c r="F55" s="25" t="n">
        <f aca="false">F23-F39</f>
        <v>0</v>
      </c>
      <c r="G55" s="25" t="n">
        <f aca="false">G23-G39</f>
        <v>0</v>
      </c>
      <c r="H55" s="25" t="n">
        <f aca="false">H23-H39</f>
        <v>0</v>
      </c>
      <c r="I55" s="25" t="n">
        <f aca="false">I23-I39</f>
        <v>0</v>
      </c>
      <c r="J55" s="25" t="n">
        <f aca="false">J23-J39</f>
        <v>0</v>
      </c>
      <c r="K55" s="25" t="n">
        <f aca="false">K23-K39</f>
        <v>0</v>
      </c>
      <c r="L55" s="25" t="n">
        <f aca="false">L23-L39</f>
        <v>0</v>
      </c>
      <c r="M55" s="25" t="n">
        <f aca="false">M23-M39</f>
        <v>0</v>
      </c>
    </row>
    <row r="56" customFormat="false" ht="17.15" hidden="false" customHeight="false" outlineLevel="0" collapsed="false">
      <c r="A56" s="0" t="s">
        <v>878</v>
      </c>
      <c r="B56" s="0" t="s">
        <v>371</v>
      </c>
      <c r="C56" s="4" t="s">
        <v>905</v>
      </c>
      <c r="E56" s="25" t="n">
        <f aca="false">E24-E40</f>
        <v>0</v>
      </c>
      <c r="F56" s="25" t="n">
        <f aca="false">F24-F40</f>
        <v>0</v>
      </c>
      <c r="G56" s="25" t="n">
        <f aca="false">G24-G40</f>
        <v>0</v>
      </c>
      <c r="H56" s="25" t="n">
        <f aca="false">H24-H40</f>
        <v>0</v>
      </c>
      <c r="I56" s="25" t="n">
        <f aca="false">I24-I40</f>
        <v>0</v>
      </c>
      <c r="J56" s="25" t="n">
        <f aca="false">J24-J40</f>
        <v>0</v>
      </c>
      <c r="K56" s="25" t="n">
        <f aca="false">K24-K40</f>
        <v>0</v>
      </c>
      <c r="L56" s="25" t="n">
        <f aca="false">L24-L40</f>
        <v>0</v>
      </c>
      <c r="M56" s="25" t="n">
        <f aca="false">M24-M40</f>
        <v>0</v>
      </c>
    </row>
    <row r="57" customFormat="false" ht="17.15" hidden="false" customHeight="false" outlineLevel="0" collapsed="false">
      <c r="A57" s="0" t="s">
        <v>879</v>
      </c>
      <c r="B57" s="0" t="s">
        <v>378</v>
      </c>
      <c r="C57" s="4" t="s">
        <v>905</v>
      </c>
      <c r="E57" s="25" t="n">
        <f aca="false">E25-E41</f>
        <v>0</v>
      </c>
      <c r="F57" s="25" t="n">
        <f aca="false">F25-F41</f>
        <v>0</v>
      </c>
      <c r="G57" s="25" t="n">
        <f aca="false">G25-G41</f>
        <v>0</v>
      </c>
      <c r="H57" s="25" t="n">
        <f aca="false">H25-H41</f>
        <v>0</v>
      </c>
      <c r="I57" s="25" t="n">
        <f aca="false">I25-I41</f>
        <v>0</v>
      </c>
      <c r="J57" s="25" t="n">
        <f aca="false">J25-J41</f>
        <v>0</v>
      </c>
      <c r="K57" s="25" t="n">
        <f aca="false">K25-K41</f>
        <v>0</v>
      </c>
      <c r="L57" s="25" t="n">
        <f aca="false">L25-L41</f>
        <v>0</v>
      </c>
      <c r="M57" s="25" t="n">
        <f aca="false">M25-M41</f>
        <v>0</v>
      </c>
    </row>
    <row r="58" customFormat="false" ht="17.15" hidden="false" customHeight="false" outlineLevel="0" collapsed="false">
      <c r="A58" s="4" t="s">
        <v>880</v>
      </c>
      <c r="B58" s="0" t="s">
        <v>785</v>
      </c>
      <c r="C58" s="4" t="s">
        <v>905</v>
      </c>
      <c r="E58" s="25" t="n">
        <f aca="false">E26-E42</f>
        <v>0</v>
      </c>
      <c r="F58" s="25" t="n">
        <f aca="false">F26-F42</f>
        <v>0</v>
      </c>
      <c r="G58" s="25" t="n">
        <f aca="false">G26-G42</f>
        <v>0</v>
      </c>
      <c r="H58" s="25" t="n">
        <f aca="false">H26-H42</f>
        <v>0</v>
      </c>
      <c r="I58" s="25" t="n">
        <f aca="false">I26-I42</f>
        <v>0</v>
      </c>
      <c r="J58" s="25" t="n">
        <f aca="false">J26-J42</f>
        <v>0</v>
      </c>
      <c r="K58" s="25" t="n">
        <f aca="false">K26-K42</f>
        <v>0</v>
      </c>
      <c r="L58" s="25" t="n">
        <f aca="false">L26-L42</f>
        <v>0</v>
      </c>
      <c r="M58" s="25" t="n">
        <f aca="false">M26-M42</f>
        <v>0</v>
      </c>
    </row>
    <row r="59" customFormat="false" ht="17.15" hidden="false" customHeight="false" outlineLevel="0" collapsed="false">
      <c r="A59" s="4" t="s">
        <v>881</v>
      </c>
      <c r="B59" s="0" t="s">
        <v>802</v>
      </c>
      <c r="C59" s="4" t="s">
        <v>905</v>
      </c>
      <c r="E59" s="25" t="n">
        <f aca="false">E27-E43</f>
        <v>0</v>
      </c>
      <c r="F59" s="25" t="n">
        <f aca="false">F27-F43</f>
        <v>0</v>
      </c>
      <c r="G59" s="25" t="n">
        <f aca="false">G27-G43</f>
        <v>0</v>
      </c>
      <c r="H59" s="25" t="n">
        <f aca="false">H27-H43</f>
        <v>0</v>
      </c>
      <c r="I59" s="25" t="n">
        <f aca="false">I27-I43</f>
        <v>0</v>
      </c>
      <c r="J59" s="25" t="n">
        <f aca="false">J27-J43</f>
        <v>0</v>
      </c>
      <c r="K59" s="25" t="n">
        <f aca="false">K27-K43</f>
        <v>0</v>
      </c>
      <c r="L59" s="25" t="n">
        <f aca="false">L27-L43</f>
        <v>0</v>
      </c>
      <c r="M59" s="25" t="n">
        <f aca="false">M27-M43</f>
        <v>0</v>
      </c>
    </row>
    <row r="60" customFormat="false" ht="17.15" hidden="false" customHeight="false" outlineLevel="0" collapsed="false">
      <c r="A60" s="4" t="s">
        <v>882</v>
      </c>
      <c r="B60" s="0" t="s">
        <v>819</v>
      </c>
      <c r="C60" s="4" t="s">
        <v>905</v>
      </c>
      <c r="E60" s="25" t="n">
        <f aca="false">E28-E44</f>
        <v>0</v>
      </c>
      <c r="F60" s="25" t="n">
        <f aca="false">F28-F44</f>
        <v>0</v>
      </c>
      <c r="G60" s="25" t="n">
        <f aca="false">G28-G44</f>
        <v>0</v>
      </c>
      <c r="H60" s="25" t="n">
        <f aca="false">H28-H44</f>
        <v>0</v>
      </c>
      <c r="I60" s="25" t="n">
        <f aca="false">I28-I44</f>
        <v>0</v>
      </c>
      <c r="J60" s="25" t="n">
        <f aca="false">J28-J44</f>
        <v>0</v>
      </c>
      <c r="K60" s="25" t="n">
        <f aca="false">K28-K44</f>
        <v>0</v>
      </c>
      <c r="L60" s="25" t="n">
        <f aca="false">L28-L44</f>
        <v>0</v>
      </c>
      <c r="M60" s="25" t="n">
        <f aca="false">M28-M44</f>
        <v>0</v>
      </c>
    </row>
    <row r="61" customFormat="false" ht="15" hidden="false" customHeight="false" outlineLevel="0" collapsed="false">
      <c r="A61" s="4" t="s">
        <v>835</v>
      </c>
      <c r="B61" s="0" t="s">
        <v>836</v>
      </c>
      <c r="C61" s="4" t="s">
        <v>905</v>
      </c>
      <c r="E61" s="25" t="n">
        <f aca="false">E29-E45</f>
        <v>0</v>
      </c>
      <c r="F61" s="25" t="n">
        <f aca="false">F29-F45</f>
        <v>0</v>
      </c>
      <c r="G61" s="25" t="n">
        <f aca="false">G29-G45</f>
        <v>0</v>
      </c>
      <c r="H61" s="25" t="n">
        <f aca="false">H29-H45</f>
        <v>0</v>
      </c>
      <c r="I61" s="25" t="n">
        <f aca="false">I29-I45</f>
        <v>0</v>
      </c>
      <c r="J61" s="25" t="n">
        <f aca="false">J29-J45</f>
        <v>0</v>
      </c>
      <c r="K61" s="25" t="n">
        <f aca="false">K29-K45</f>
        <v>0</v>
      </c>
      <c r="L61" s="25" t="n">
        <f aca="false">L29-L45</f>
        <v>0</v>
      </c>
      <c r="M61" s="25" t="n">
        <f aca="false">M29-M45</f>
        <v>0</v>
      </c>
    </row>
    <row r="63" customFormat="false" ht="15" hidden="false" customHeight="false" outlineLevel="0" collapsed="false">
      <c r="A63" s="17" t="s">
        <v>903</v>
      </c>
      <c r="D63" s="25" t="n">
        <v>0</v>
      </c>
      <c r="E63" s="25" t="n">
        <f aca="false">SUM(E15:E29)</f>
        <v>2.27984344422701</v>
      </c>
      <c r="F63" s="25" t="n">
        <f aca="false">SUM(F15:F29)</f>
        <v>6.49162861491629</v>
      </c>
      <c r="G63" s="25" t="n">
        <f aca="false">SUM(G15:G29)</f>
        <v>6.74502500543597</v>
      </c>
      <c r="H63" s="25" t="n">
        <f aca="false">SUM(H15:H29)</f>
        <v>3.98398999782562</v>
      </c>
      <c r="I63" s="25" t="n">
        <f aca="false">SUM(I15:I29)</f>
        <v>1.67155903457273</v>
      </c>
      <c r="J63" s="25" t="n">
        <f aca="false">SUM(J15:J29)</f>
        <v>1.67155903457273</v>
      </c>
      <c r="K63" s="25" t="n">
        <f aca="false">SUM(K15:K29)</f>
        <v>1.67155903457273</v>
      </c>
      <c r="L63" s="25" t="n">
        <f aca="false">SUM(L15:L29)</f>
        <v>0</v>
      </c>
      <c r="M63" s="25" t="n">
        <f aca="false">SUM(M15:M29)</f>
        <v>0</v>
      </c>
    </row>
    <row r="64" customFormat="false" ht="15" hidden="false" customHeight="false" outlineLevel="0" collapsed="false">
      <c r="A64" s="17" t="s">
        <v>906</v>
      </c>
      <c r="D64" s="25" t="n">
        <v>0</v>
      </c>
      <c r="E64" s="25" t="n">
        <f aca="false">SUM(E31:E45)</f>
        <v>0</v>
      </c>
      <c r="F64" s="25" t="n">
        <f aca="false">SUM(F31:F45)</f>
        <v>0</v>
      </c>
      <c r="G64" s="25" t="n">
        <f aca="false">SUM(G31:G45)</f>
        <v>4.85431615568602</v>
      </c>
      <c r="H64" s="25" t="n">
        <f aca="false">SUM(H31:H45)</f>
        <v>0</v>
      </c>
      <c r="I64" s="25" t="n">
        <f aca="false">SUM(I31:I45)</f>
        <v>0</v>
      </c>
      <c r="J64" s="25" t="n">
        <f aca="false">SUM(J31:J45)</f>
        <v>0</v>
      </c>
      <c r="K64" s="25" t="n">
        <f aca="false">SUM(K31:K45)</f>
        <v>0</v>
      </c>
      <c r="L64" s="25" t="n">
        <f aca="false">SUM(L31:L45)</f>
        <v>0</v>
      </c>
      <c r="M64" s="25" t="n">
        <f aca="false">SUM(M31:M45)</f>
        <v>0</v>
      </c>
    </row>
    <row r="65" customFormat="false" ht="15" hidden="false" customHeight="false" outlineLevel="0" collapsed="false">
      <c r="A65" s="17" t="s">
        <v>907</v>
      </c>
      <c r="D65" s="25" t="n">
        <v>0</v>
      </c>
      <c r="E65" s="25" t="n">
        <f aca="false">SUM(E47:E61)</f>
        <v>2.27984344422701</v>
      </c>
      <c r="F65" s="25" t="n">
        <f aca="false">SUM(F47:F61)</f>
        <v>6.49162861491629</v>
      </c>
      <c r="G65" s="25" t="n">
        <f aca="false">SUM(G47:G61)</f>
        <v>1.89070884974995</v>
      </c>
      <c r="H65" s="25" t="n">
        <f aca="false">SUM(H47:H61)</f>
        <v>3.98398999782562</v>
      </c>
      <c r="I65" s="25" t="n">
        <f aca="false">SUM(I47:I61)</f>
        <v>1.67155903457273</v>
      </c>
      <c r="J65" s="25" t="n">
        <f aca="false">SUM(J47:J61)</f>
        <v>1.67155903457273</v>
      </c>
      <c r="K65" s="25" t="n">
        <f aca="false">SUM(K47:K61)</f>
        <v>1.67155903457273</v>
      </c>
      <c r="L65" s="25" t="n">
        <f aca="false">SUM(L47:L61)</f>
        <v>0</v>
      </c>
      <c r="M65" s="25" t="n">
        <f aca="false">SUM(M47:M61)</f>
        <v>0</v>
      </c>
    </row>
    <row r="66" customFormat="false" ht="17.15" hidden="false" customHeight="false" outlineLevel="0" collapsed="false">
      <c r="A66" s="17" t="s">
        <v>908</v>
      </c>
      <c r="D66" s="25" t="n">
        <f aca="false">SUMIFS($L$5:$L$11,$Q$5:$Q$11,1,$P$5:$P$11,2023)</f>
        <v>0</v>
      </c>
      <c r="E66" s="25" t="n">
        <f aca="false">SUMIFS($L$5:$L$11,$Q$5:$Q$11,1,$P$5:$P$11,2024)</f>
        <v>0</v>
      </c>
      <c r="F66" s="25" t="n">
        <f aca="false">SUMIFS($L$5:$L$11,$Q$5:$Q$11,1,$P$5:$P$11,2025)</f>
        <v>0</v>
      </c>
      <c r="G66" s="25" t="n">
        <f aca="false">SUMIFS($L$5:$L$11,$Q$5:$Q$11,1,$P$5:$P$11,2026)</f>
        <v>0</v>
      </c>
      <c r="H66" s="25" t="n">
        <f aca="false">SUMIFS($L$5:$L$11,$Q$5:$Q$11,1,$P$5:$P$11,2027)</f>
        <v>0</v>
      </c>
      <c r="I66" s="25" t="n">
        <f aca="false">SUMIFS($L$5:$L$11,$Q$5:$Q$11,1,$P$5:$P$11,2028)</f>
        <v>0</v>
      </c>
      <c r="J66" s="25" t="n">
        <f aca="false">SUMIFS($L$5:$L$11,$Q$5:$Q$11,1,$P$5:$P$11,2029)</f>
        <v>0</v>
      </c>
      <c r="K66" s="25" t="n">
        <f aca="false">SUMIFS($L$5:$L$11,$Q$5:$Q$11,1,$P$5:$P$11,2030)</f>
        <v>0</v>
      </c>
      <c r="L66" s="25" t="n">
        <f aca="false">SUMIFS($L$5:$L$11,$Q$5:$Q$11,1,$P$5:$P$11,2031)</f>
        <v>0</v>
      </c>
      <c r="M66" s="25" t="n">
        <f aca="false">SUMIFS($L$5:$L$11,$Q$5:$Q$11,1,$P$5:$P$11,2032)</f>
        <v>0</v>
      </c>
    </row>
    <row r="67" customFormat="false" ht="17.15" hidden="false" customHeight="false" outlineLevel="0" collapsed="false">
      <c r="A67" s="17" t="s">
        <v>909</v>
      </c>
      <c r="D67" s="25" t="n">
        <f aca="false">Players!D261</f>
        <v>0.929549902152642</v>
      </c>
      <c r="E67" s="25" t="n">
        <f aca="false">Players!E261</f>
        <v>0.978473581213307</v>
      </c>
      <c r="F67" s="25" t="n">
        <f aca="false">Players!F261</f>
        <v>0.190802348336595</v>
      </c>
      <c r="G67" s="25" t="n">
        <f aca="false">Players!G261</f>
        <v>2.7647314633616</v>
      </c>
      <c r="H67" s="25" t="n">
        <f aca="false">Players!H261</f>
        <v>0</v>
      </c>
      <c r="I67" s="25" t="n">
        <f aca="false">Players!I261</f>
        <v>0</v>
      </c>
      <c r="J67" s="25" t="n">
        <f aca="false">Players!J261</f>
        <v>0</v>
      </c>
      <c r="K67" s="25" t="n">
        <f aca="false">Players!K261</f>
        <v>0</v>
      </c>
      <c r="L67" s="25" t="n">
        <f aca="false">Players!L261</f>
        <v>0</v>
      </c>
      <c r="M67" s="25" t="n">
        <f aca="false">Players!M261</f>
        <v>0</v>
      </c>
    </row>
    <row r="68" customFormat="false" ht="17.15" hidden="false" customHeight="false" outlineLevel="0" collapsed="false">
      <c r="A68" s="17" t="s">
        <v>910</v>
      </c>
      <c r="D68" s="25" t="n">
        <f aca="false">D63+D66</f>
        <v>0</v>
      </c>
      <c r="E68" s="25" t="n">
        <f aca="false">E63+E66</f>
        <v>2.27984344422701</v>
      </c>
      <c r="F68" s="25" t="n">
        <f aca="false">F63+F66</f>
        <v>6.49162861491629</v>
      </c>
      <c r="G68" s="25" t="n">
        <f aca="false">G63+G66</f>
        <v>6.74502500543597</v>
      </c>
      <c r="H68" s="25" t="n">
        <f aca="false">H63+H66</f>
        <v>3.98398999782562</v>
      </c>
      <c r="I68" s="25" t="n">
        <f aca="false">I63+I66</f>
        <v>1.67155903457273</v>
      </c>
      <c r="J68" s="25" t="n">
        <f aca="false">J63+J66</f>
        <v>1.67155903457273</v>
      </c>
      <c r="K68" s="25" t="n">
        <f aca="false">K63+K66</f>
        <v>1.67155903457273</v>
      </c>
      <c r="L68" s="25" t="n">
        <f aca="false">L63+L66</f>
        <v>0</v>
      </c>
      <c r="M68" s="25" t="n">
        <f aca="false">M63+M66</f>
        <v>0</v>
      </c>
    </row>
    <row r="70" customFormat="false" ht="17.15" hidden="false" customHeight="false" outlineLevel="0" collapsed="false">
      <c r="A70" s="7" t="s">
        <v>911</v>
      </c>
    </row>
    <row r="71" customFormat="false" ht="17.15" hidden="false" customHeight="false" outlineLevel="0" collapsed="false">
      <c r="A71" s="5" t="s">
        <v>912</v>
      </c>
      <c r="B71" s="5" t="s">
        <v>913</v>
      </c>
      <c r="C71" s="5"/>
      <c r="D71" s="5"/>
      <c r="E71" s="6" t="s">
        <v>19</v>
      </c>
      <c r="F71" s="6" t="s">
        <v>20</v>
      </c>
      <c r="G71" s="6" t="s">
        <v>21</v>
      </c>
      <c r="H71" s="6" t="s">
        <v>22</v>
      </c>
      <c r="I71" s="6" t="s">
        <v>23</v>
      </c>
      <c r="J71" s="6" t="s">
        <v>24</v>
      </c>
      <c r="K71" s="6" t="s">
        <v>25</v>
      </c>
      <c r="L71" s="6" t="s">
        <v>26</v>
      </c>
      <c r="M71" s="6" t="s">
        <v>27</v>
      </c>
    </row>
    <row r="72" customFormat="false" ht="17.15" hidden="false" customHeight="false" outlineLevel="0" collapsed="false">
      <c r="A72" s="0" t="s">
        <v>914</v>
      </c>
      <c r="B72" s="0" t="n">
        <v>2023</v>
      </c>
      <c r="E72" s="29" t="n">
        <f aca="false">MAX(0,MIN(2023+1,2024+MAX(0,MIN(1,asof-2024)))-2024)+MAX(0,MIN(2023+1,2024+1+0)-(MAX(2024,asof)+0))</f>
        <v>0</v>
      </c>
      <c r="F72" s="29" t="n">
        <f aca="false">MAX(0,MIN(2023+1,2025+MAX(0,MIN(1,asof-2025)))-2025)+MAX(0,MIN(2023+1,2025+1+0)-(MAX(2025,asof)+0))</f>
        <v>0</v>
      </c>
      <c r="G72" s="29" t="n">
        <f aca="false">MAX(0,MIN(2023+1,2026+MAX(0,MIN(1,asof-2026)))-2026)+MAX(0,MIN(2023+1,2026+1+0)-(MAX(2026,asof)+0))</f>
        <v>0</v>
      </c>
      <c r="H72" s="29" t="n">
        <f aca="false">MAX(0,MIN(2023+1,2027+MAX(0,MIN(1,asof-2027)))-2027)+MAX(0,MIN(2023+1,2027+1+0)-(MAX(2027,asof)+0))</f>
        <v>0</v>
      </c>
      <c r="I72" s="29" t="n">
        <f aca="false">MAX(0,MIN(2023+1,2028+MAX(0,MIN(1,asof-2028)))-2028)+MAX(0,MIN(2023+1,2028+1+0)-(MAX(2028,asof)+0))</f>
        <v>0</v>
      </c>
      <c r="J72" s="29" t="n">
        <f aca="false">MAX(0,MIN(2023+1,2029+MAX(0,MIN(1,asof-2029)))-2029)+MAX(0,MIN(2023+1,2029+1+0)-(MAX(2029,asof)+0))</f>
        <v>0</v>
      </c>
      <c r="K72" s="29" t="n">
        <f aca="false">MAX(0,MIN(2023+1,2030+MAX(0,MIN(1,asof-2030)))-2030)+MAX(0,MIN(2023+1,2030+1+0)-(MAX(2030,asof)+0))</f>
        <v>0</v>
      </c>
      <c r="L72" s="29" t="n">
        <f aca="false">MAX(0,MIN(2023+1,2031+MAX(0,MIN(1,asof-2031)))-2031)+MAX(0,MIN(2023+1,2031+1+0)-(MAX(2031,asof)+0))</f>
        <v>0</v>
      </c>
      <c r="M72" s="29" t="n">
        <f aca="false">MAX(0,MIN(2023+1,2032+MAX(0,MIN(1,asof-2032)))-2032)+MAX(0,MIN(2023+1,2032+1+0)-(MAX(2032,asof)+0))</f>
        <v>0</v>
      </c>
    </row>
    <row r="73" customFormat="false" ht="17.15" hidden="false" customHeight="false" outlineLevel="0" collapsed="false">
      <c r="A73" s="0" t="s">
        <v>915</v>
      </c>
      <c r="B73" s="0" t="n">
        <v>2024</v>
      </c>
      <c r="E73" s="29" t="n">
        <f aca="false">MAX(0,MIN(2024+1,2024+MAX(0,MIN(1,asof-2024)))-2024)+MAX(0,MIN(2024+1,2024+1+0)-(MAX(2024,asof)+0))</f>
        <v>1</v>
      </c>
      <c r="F73" s="29" t="n">
        <f aca="false">MAX(0,MIN(2024+1,2025+MAX(0,MIN(1,asof-2025)))-2025)+MAX(0,MIN(2024+1,2025+1+0)-(MAX(2025,asof)+0))</f>
        <v>0</v>
      </c>
      <c r="G73" s="29" t="n">
        <f aca="false">MAX(0,MIN(2024+1,2026+MAX(0,MIN(1,asof-2026)))-2026)+MAX(0,MIN(2024+1,2026+1+0)-(MAX(2026,asof)+0))</f>
        <v>0</v>
      </c>
      <c r="H73" s="29" t="n">
        <f aca="false">MAX(0,MIN(2024+1,2027+MAX(0,MIN(1,asof-2027)))-2027)+MAX(0,MIN(2024+1,2027+1+0)-(MAX(2027,asof)+0))</f>
        <v>0</v>
      </c>
      <c r="I73" s="29" t="n">
        <f aca="false">MAX(0,MIN(2024+1,2028+MAX(0,MIN(1,asof-2028)))-2028)+MAX(0,MIN(2024+1,2028+1+0)-(MAX(2028,asof)+0))</f>
        <v>0</v>
      </c>
      <c r="J73" s="29" t="n">
        <f aca="false">MAX(0,MIN(2024+1,2029+MAX(0,MIN(1,asof-2029)))-2029)+MAX(0,MIN(2024+1,2029+1+0)-(MAX(2029,asof)+0))</f>
        <v>0</v>
      </c>
      <c r="K73" s="29" t="n">
        <f aca="false">MAX(0,MIN(2024+1,2030+MAX(0,MIN(1,asof-2030)))-2030)+MAX(0,MIN(2024+1,2030+1+0)-(MAX(2030,asof)+0))</f>
        <v>0</v>
      </c>
      <c r="L73" s="29" t="n">
        <f aca="false">MAX(0,MIN(2024+1,2031+MAX(0,MIN(1,asof-2031)))-2031)+MAX(0,MIN(2024+1,2031+1+0)-(MAX(2031,asof)+0))</f>
        <v>0</v>
      </c>
      <c r="M73" s="29" t="n">
        <f aca="false">MAX(0,MIN(2024+1,2032+MAX(0,MIN(1,asof-2032)))-2032)+MAX(0,MIN(2024+1,2032+1+0)-(MAX(2032,asof)+0))</f>
        <v>0</v>
      </c>
    </row>
    <row r="74" customFormat="false" ht="17.15" hidden="false" customHeight="false" outlineLevel="0" collapsed="false">
      <c r="A74" s="0" t="s">
        <v>916</v>
      </c>
      <c r="B74" s="0" t="n">
        <v>2025</v>
      </c>
      <c r="E74" s="29" t="n">
        <f aca="false">MAX(0,MIN(2025+1,2024+MAX(0,MIN(1,asof-2024)))-2024)+MAX(0,MIN(2025+1,2024+1+0)-(MAX(2024,asof)+0))</f>
        <v>1</v>
      </c>
      <c r="F74" s="29" t="n">
        <f aca="false">MAX(0,MIN(2025+1,2025+MAX(0,MIN(1,asof-2025)))-2025)+MAX(0,MIN(2025+1,2025+1+0)-(MAX(2025,asof)+0))</f>
        <v>1</v>
      </c>
      <c r="G74" s="29" t="n">
        <f aca="false">MAX(0,MIN(2025+1,2026+MAX(0,MIN(1,asof-2026)))-2026)+MAX(0,MIN(2025+1,2026+1+0)-(MAX(2026,asof)+0))</f>
        <v>0</v>
      </c>
      <c r="H74" s="29" t="n">
        <f aca="false">MAX(0,MIN(2025+1,2027+MAX(0,MIN(1,asof-2027)))-2027)+MAX(0,MIN(2025+1,2027+1+0)-(MAX(2027,asof)+0))</f>
        <v>0</v>
      </c>
      <c r="I74" s="29" t="n">
        <f aca="false">MAX(0,MIN(2025+1,2028+MAX(0,MIN(1,asof-2028)))-2028)+MAX(0,MIN(2025+1,2028+1+0)-(MAX(2028,asof)+0))</f>
        <v>0</v>
      </c>
      <c r="J74" s="29" t="n">
        <f aca="false">MAX(0,MIN(2025+1,2029+MAX(0,MIN(1,asof-2029)))-2029)+MAX(0,MIN(2025+1,2029+1+0)-(MAX(2029,asof)+0))</f>
        <v>0</v>
      </c>
      <c r="K74" s="29" t="n">
        <f aca="false">MAX(0,MIN(2025+1,2030+MAX(0,MIN(1,asof-2030)))-2030)+MAX(0,MIN(2025+1,2030+1+0)-(MAX(2030,asof)+0))</f>
        <v>0</v>
      </c>
      <c r="L74" s="29" t="n">
        <f aca="false">MAX(0,MIN(2025+1,2031+MAX(0,MIN(1,asof-2031)))-2031)+MAX(0,MIN(2025+1,2031+1+0)-(MAX(2031,asof)+0))</f>
        <v>0</v>
      </c>
      <c r="M74" s="29" t="n">
        <f aca="false">MAX(0,MIN(2025+1,2032+MAX(0,MIN(1,asof-2032)))-2032)+MAX(0,MIN(2025+1,2032+1+0)-(MAX(2032,asof)+0))</f>
        <v>0</v>
      </c>
    </row>
    <row r="75" customFormat="false" ht="17.15" hidden="false" customHeight="false" outlineLevel="0" collapsed="false">
      <c r="A75" s="0" t="s">
        <v>917</v>
      </c>
      <c r="B75" s="0" t="n">
        <v>2026</v>
      </c>
      <c r="E75" s="29" t="n">
        <f aca="false">MAX(0,MIN(2026+1,2024+MAX(0,MIN(1,asof-2024)))-2024)+MAX(0,MIN(2026+1,2024+1+0)-(MAX(2024,asof)+0))</f>
        <v>1</v>
      </c>
      <c r="F75" s="29" t="n">
        <f aca="false">MAX(0,MIN(2026+1,2025+MAX(0,MIN(1,asof-2025)))-2025)+MAX(0,MIN(2026+1,2025+1+0)-(MAX(2025,asof)+0))</f>
        <v>1</v>
      </c>
      <c r="G75" s="29" t="n">
        <f aca="false">MAX(0,MIN(2026+1,2026+MAX(0,MIN(1,asof-2026)))-2026)+MAX(0,MIN(2026+1,2026+1+0)-(MAX(2026,asof)+0))</f>
        <v>1</v>
      </c>
      <c r="H75" s="29" t="n">
        <f aca="false">MAX(0,MIN(2026+1,2027+MAX(0,MIN(1,asof-2027)))-2027)+MAX(0,MIN(2026+1,2027+1+0)-(MAX(2027,asof)+0))</f>
        <v>0</v>
      </c>
      <c r="I75" s="29" t="n">
        <f aca="false">MAX(0,MIN(2026+1,2028+MAX(0,MIN(1,asof-2028)))-2028)+MAX(0,MIN(2026+1,2028+1+0)-(MAX(2028,asof)+0))</f>
        <v>0</v>
      </c>
      <c r="J75" s="29" t="n">
        <f aca="false">MAX(0,MIN(2026+1,2029+MAX(0,MIN(1,asof-2029)))-2029)+MAX(0,MIN(2026+1,2029+1+0)-(MAX(2029,asof)+0))</f>
        <v>0</v>
      </c>
      <c r="K75" s="29" t="n">
        <f aca="false">MAX(0,MIN(2026+1,2030+MAX(0,MIN(1,asof-2030)))-2030)+MAX(0,MIN(2026+1,2030+1+0)-(MAX(2030,asof)+0))</f>
        <v>0</v>
      </c>
      <c r="L75" s="29" t="n">
        <f aca="false">MAX(0,MIN(2026+1,2031+MAX(0,MIN(1,asof-2031)))-2031)+MAX(0,MIN(2026+1,2031+1+0)-(MAX(2031,asof)+0))</f>
        <v>0</v>
      </c>
      <c r="M75" s="29" t="n">
        <f aca="false">MAX(0,MIN(2026+1,2032+MAX(0,MIN(1,asof-2032)))-2032)+MAX(0,MIN(2026+1,2032+1+0)-(MAX(2032,asof)+0))</f>
        <v>0</v>
      </c>
    </row>
    <row r="76" customFormat="false" ht="17.15" hidden="false" customHeight="false" outlineLevel="0" collapsed="false">
      <c r="A76" s="0" t="s">
        <v>918</v>
      </c>
      <c r="B76" s="0" t="n">
        <v>2027</v>
      </c>
      <c r="E76" s="29" t="n">
        <f aca="false">MAX(0,MIN(2027+1,2024+MAX(0,MIN(1,asof-2024)))-2024)+MAX(0,MIN(2027+1,2024+1+0)-(MAX(2024,asof)+0))</f>
        <v>1</v>
      </c>
      <c r="F76" s="29" t="n">
        <f aca="false">MAX(0,MIN(2027+1,2025+MAX(0,MIN(1,asof-2025)))-2025)+MAX(0,MIN(2027+1,2025+1+0)-(MAX(2025,asof)+0))</f>
        <v>1</v>
      </c>
      <c r="G76" s="29" t="n">
        <f aca="false">MAX(0,MIN(2027+1,2026+MAX(0,MIN(1,asof-2026)))-2026)+MAX(0,MIN(2027+1,2026+1+0)-(MAX(2026,asof)+0))</f>
        <v>1</v>
      </c>
      <c r="H76" s="29" t="n">
        <f aca="false">MAX(0,MIN(2027+1,2027+MAX(0,MIN(1,asof-2027)))-2027)+MAX(0,MIN(2027+1,2027+1+0)-(MAX(2027,asof)+0))</f>
        <v>1</v>
      </c>
      <c r="I76" s="29" t="n">
        <f aca="false">MAX(0,MIN(2027+1,2028+MAX(0,MIN(1,asof-2028)))-2028)+MAX(0,MIN(2027+1,2028+1+0)-(MAX(2028,asof)+0))</f>
        <v>0</v>
      </c>
      <c r="J76" s="29" t="n">
        <f aca="false">MAX(0,MIN(2027+1,2029+MAX(0,MIN(1,asof-2029)))-2029)+MAX(0,MIN(2027+1,2029+1+0)-(MAX(2029,asof)+0))</f>
        <v>0</v>
      </c>
      <c r="K76" s="29" t="n">
        <f aca="false">MAX(0,MIN(2027+1,2030+MAX(0,MIN(1,asof-2030)))-2030)+MAX(0,MIN(2027+1,2030+1+0)-(MAX(2030,asof)+0))</f>
        <v>0</v>
      </c>
      <c r="L76" s="29" t="n">
        <f aca="false">MAX(0,MIN(2027+1,2031+MAX(0,MIN(1,asof-2031)))-2031)+MAX(0,MIN(2027+1,2031+1+0)-(MAX(2031,asof)+0))</f>
        <v>0</v>
      </c>
      <c r="M76" s="29" t="n">
        <f aca="false">MAX(0,MIN(2027+1,2032+MAX(0,MIN(1,asof-2032)))-2032)+MAX(0,MIN(2027+1,2032+1+0)-(MAX(2032,asof)+0))</f>
        <v>0</v>
      </c>
    </row>
    <row r="77" customFormat="false" ht="17.15" hidden="false" customHeight="false" outlineLevel="0" collapsed="false">
      <c r="A77" s="0" t="s">
        <v>919</v>
      </c>
      <c r="B77" s="0" t="n">
        <v>2028</v>
      </c>
      <c r="E77" s="29" t="n">
        <f aca="false">MAX(0,MIN(2028+1,2024+MAX(0,MIN(1,asof-2024)))-2024)+MAX(0,MIN(2028+1,2024+1+0)-(MAX(2024,asof)+0))</f>
        <v>1</v>
      </c>
      <c r="F77" s="29" t="n">
        <f aca="false">MAX(0,MIN(2028+1,2025+MAX(0,MIN(1,asof-2025)))-2025)+MAX(0,MIN(2028+1,2025+1+0)-(MAX(2025,asof)+0))</f>
        <v>1</v>
      </c>
      <c r="G77" s="29" t="n">
        <f aca="false">MAX(0,MIN(2028+1,2026+MAX(0,MIN(1,asof-2026)))-2026)+MAX(0,MIN(2028+1,2026+1+0)-(MAX(2026,asof)+0))</f>
        <v>1</v>
      </c>
      <c r="H77" s="29" t="n">
        <f aca="false">MAX(0,MIN(2028+1,2027+MAX(0,MIN(1,asof-2027)))-2027)+MAX(0,MIN(2028+1,2027+1+0)-(MAX(2027,asof)+0))</f>
        <v>1</v>
      </c>
      <c r="I77" s="29" t="n">
        <f aca="false">MAX(0,MIN(2028+1,2028+MAX(0,MIN(1,asof-2028)))-2028)+MAX(0,MIN(2028+1,2028+1+0)-(MAX(2028,asof)+0))</f>
        <v>1</v>
      </c>
      <c r="J77" s="29" t="n">
        <f aca="false">MAX(0,MIN(2028+1,2029+MAX(0,MIN(1,asof-2029)))-2029)+MAX(0,MIN(2028+1,2029+1+0)-(MAX(2029,asof)+0))</f>
        <v>0</v>
      </c>
      <c r="K77" s="29" t="n">
        <f aca="false">MAX(0,MIN(2028+1,2030+MAX(0,MIN(1,asof-2030)))-2030)+MAX(0,MIN(2028+1,2030+1+0)-(MAX(2030,asof)+0))</f>
        <v>0</v>
      </c>
      <c r="L77" s="29" t="n">
        <f aca="false">MAX(0,MIN(2028+1,2031+MAX(0,MIN(1,asof-2031)))-2031)+MAX(0,MIN(2028+1,2031+1+0)-(MAX(2031,asof)+0))</f>
        <v>0</v>
      </c>
      <c r="M77" s="29" t="n">
        <f aca="false">MAX(0,MIN(2028+1,2032+MAX(0,MIN(1,asof-2032)))-2032)+MAX(0,MIN(2028+1,2032+1+0)-(MAX(2032,asof)+0))</f>
        <v>0</v>
      </c>
    </row>
    <row r="78" customFormat="false" ht="17.15" hidden="false" customHeight="false" outlineLevel="0" collapsed="false">
      <c r="A78" s="0" t="s">
        <v>920</v>
      </c>
      <c r="B78" s="0" t="n">
        <v>2029</v>
      </c>
      <c r="E78" s="29" t="n">
        <f aca="false">MAX(0,MIN(2029+1,2024+MAX(0,MIN(1,asof-2024)))-2024)+MAX(0,MIN(2029+1,2024+1+0)-(MAX(2024,asof)+0))</f>
        <v>1</v>
      </c>
      <c r="F78" s="29" t="n">
        <f aca="false">MAX(0,MIN(2029+1,2025+MAX(0,MIN(1,asof-2025)))-2025)+MAX(0,MIN(2029+1,2025+1+0)-(MAX(2025,asof)+0))</f>
        <v>1</v>
      </c>
      <c r="G78" s="29" t="n">
        <f aca="false">MAX(0,MIN(2029+1,2026+MAX(0,MIN(1,asof-2026)))-2026)+MAX(0,MIN(2029+1,2026+1+0)-(MAX(2026,asof)+0))</f>
        <v>1</v>
      </c>
      <c r="H78" s="29" t="n">
        <f aca="false">MAX(0,MIN(2029+1,2027+MAX(0,MIN(1,asof-2027)))-2027)+MAX(0,MIN(2029+1,2027+1+0)-(MAX(2027,asof)+0))</f>
        <v>1</v>
      </c>
      <c r="I78" s="29" t="n">
        <f aca="false">MAX(0,MIN(2029+1,2028+MAX(0,MIN(1,asof-2028)))-2028)+MAX(0,MIN(2029+1,2028+1+0)-(MAX(2028,asof)+0))</f>
        <v>1</v>
      </c>
      <c r="J78" s="29" t="n">
        <f aca="false">MAX(0,MIN(2029+1,2029+MAX(0,MIN(1,asof-2029)))-2029)+MAX(0,MIN(2029+1,2029+1+0)-(MAX(2029,asof)+0))</f>
        <v>1</v>
      </c>
      <c r="K78" s="29" t="n">
        <f aca="false">MAX(0,MIN(2029+1,2030+MAX(0,MIN(1,asof-2030)))-2030)+MAX(0,MIN(2029+1,2030+1+0)-(MAX(2030,asof)+0))</f>
        <v>0</v>
      </c>
      <c r="L78" s="29" t="n">
        <f aca="false">MAX(0,MIN(2029+1,2031+MAX(0,MIN(1,asof-2031)))-2031)+MAX(0,MIN(2029+1,2031+1+0)-(MAX(2031,asof)+0))</f>
        <v>0</v>
      </c>
      <c r="M78" s="29" t="n">
        <f aca="false">MAX(0,MIN(2029+1,2032+MAX(0,MIN(1,asof-2032)))-2032)+MAX(0,MIN(2029+1,2032+1+0)-(MAX(2032,asof)+0))</f>
        <v>0</v>
      </c>
    </row>
    <row r="79" customFormat="false" ht="17.15" hidden="false" customHeight="false" outlineLevel="0" collapsed="false">
      <c r="A79" s="0" t="s">
        <v>921</v>
      </c>
      <c r="B79" s="0" t="n">
        <v>2030</v>
      </c>
      <c r="E79" s="29" t="n">
        <f aca="false">MAX(0,MIN(2030+1,2024+MAX(0,MIN(1,asof-2024)))-2024)+MAX(0,MIN(2030+1,2024+1+0)-(MAX(2024,asof)+0))</f>
        <v>1</v>
      </c>
      <c r="F79" s="29" t="n">
        <f aca="false">MAX(0,MIN(2030+1,2025+MAX(0,MIN(1,asof-2025)))-2025)+MAX(0,MIN(2030+1,2025+1+0)-(MAX(2025,asof)+0))</f>
        <v>1</v>
      </c>
      <c r="G79" s="29" t="n">
        <f aca="false">MAX(0,MIN(2030+1,2026+MAX(0,MIN(1,asof-2026)))-2026)+MAX(0,MIN(2030+1,2026+1+0)-(MAX(2026,asof)+0))</f>
        <v>1</v>
      </c>
      <c r="H79" s="29" t="n">
        <f aca="false">MAX(0,MIN(2030+1,2027+MAX(0,MIN(1,asof-2027)))-2027)+MAX(0,MIN(2030+1,2027+1+0)-(MAX(2027,asof)+0))</f>
        <v>1</v>
      </c>
      <c r="I79" s="29" t="n">
        <f aca="false">MAX(0,MIN(2030+1,2028+MAX(0,MIN(1,asof-2028)))-2028)+MAX(0,MIN(2030+1,2028+1+0)-(MAX(2028,asof)+0))</f>
        <v>1</v>
      </c>
      <c r="J79" s="29" t="n">
        <f aca="false">MAX(0,MIN(2030+1,2029+MAX(0,MIN(1,asof-2029)))-2029)+MAX(0,MIN(2030+1,2029+1+0)-(MAX(2029,asof)+0))</f>
        <v>1</v>
      </c>
      <c r="K79" s="29" t="n">
        <f aca="false">MAX(0,MIN(2030+1,2030+MAX(0,MIN(1,asof-2030)))-2030)+MAX(0,MIN(2030+1,2030+1+0)-(MAX(2030,asof)+0))</f>
        <v>1</v>
      </c>
      <c r="L79" s="29" t="n">
        <f aca="false">MAX(0,MIN(2030+1,2031+MAX(0,MIN(1,asof-2031)))-2031)+MAX(0,MIN(2030+1,2031+1+0)-(MAX(2031,asof)+0))</f>
        <v>0</v>
      </c>
      <c r="M79" s="29" t="n">
        <f aca="false">MAX(0,MIN(2030+1,2032+MAX(0,MIN(1,asof-2032)))-2032)+MAX(0,MIN(2030+1,2032+1+0)-(MAX(2032,asof)+0))</f>
        <v>0</v>
      </c>
    </row>
    <row r="80" customFormat="false" ht="17.15" hidden="false" customHeight="false" outlineLevel="0" collapsed="false">
      <c r="A80" s="0" t="s">
        <v>922</v>
      </c>
      <c r="B80" s="0" t="n">
        <v>2031</v>
      </c>
      <c r="E80" s="29" t="n">
        <f aca="false">MAX(0,MIN(2031+1,2024+MAX(0,MIN(1,asof-2024)))-2024)+MAX(0,MIN(2031+1,2024+1+0)-(MAX(2024,asof)+0))</f>
        <v>1</v>
      </c>
      <c r="F80" s="29" t="n">
        <f aca="false">MAX(0,MIN(2031+1,2025+MAX(0,MIN(1,asof-2025)))-2025)+MAX(0,MIN(2031+1,2025+1+0)-(MAX(2025,asof)+0))</f>
        <v>1</v>
      </c>
      <c r="G80" s="29" t="n">
        <f aca="false">MAX(0,MIN(2031+1,2026+MAX(0,MIN(1,asof-2026)))-2026)+MAX(0,MIN(2031+1,2026+1+0)-(MAX(2026,asof)+0))</f>
        <v>1</v>
      </c>
      <c r="H80" s="29" t="n">
        <f aca="false">MAX(0,MIN(2031+1,2027+MAX(0,MIN(1,asof-2027)))-2027)+MAX(0,MIN(2031+1,2027+1+0)-(MAX(2027,asof)+0))</f>
        <v>1</v>
      </c>
      <c r="I80" s="29" t="n">
        <f aca="false">MAX(0,MIN(2031+1,2028+MAX(0,MIN(1,asof-2028)))-2028)+MAX(0,MIN(2031+1,2028+1+0)-(MAX(2028,asof)+0))</f>
        <v>1</v>
      </c>
      <c r="J80" s="29" t="n">
        <f aca="false">MAX(0,MIN(2031+1,2029+MAX(0,MIN(1,asof-2029)))-2029)+MAX(0,MIN(2031+1,2029+1+0)-(MAX(2029,asof)+0))</f>
        <v>1</v>
      </c>
      <c r="K80" s="29" t="n">
        <f aca="false">MAX(0,MIN(2031+1,2030+MAX(0,MIN(1,asof-2030)))-2030)+MAX(0,MIN(2031+1,2030+1+0)-(MAX(2030,asof)+0))</f>
        <v>1</v>
      </c>
      <c r="L80" s="29" t="n">
        <f aca="false">MAX(0,MIN(2031+1,2031+MAX(0,MIN(1,asof-2031)))-2031)+MAX(0,MIN(2031+1,2031+1+0)-(MAX(2031,asof)+0))</f>
        <v>1</v>
      </c>
      <c r="M80" s="29" t="n">
        <f aca="false">MAX(0,MIN(2031+1,2032+MAX(0,MIN(1,asof-2032)))-2032)+MAX(0,MIN(2031+1,2032+1+0)-(MAX(2032,asof)+0))</f>
        <v>0</v>
      </c>
    </row>
    <row r="81" customFormat="false" ht="17.15" hidden="false" customHeight="false" outlineLevel="0" collapsed="false">
      <c r="A81" s="0" t="s">
        <v>923</v>
      </c>
      <c r="B81" s="0" t="n">
        <v>2032</v>
      </c>
      <c r="E81" s="29" t="n">
        <f aca="false">MAX(0,MIN(2032+1,2024+MAX(0,MIN(1,asof-2024)))-2024)+MAX(0,MIN(2032+1,2024+1+0)-(MAX(2024,asof)+0))</f>
        <v>1</v>
      </c>
      <c r="F81" s="29" t="n">
        <f aca="false">MAX(0,MIN(2032+1,2025+MAX(0,MIN(1,asof-2025)))-2025)+MAX(0,MIN(2032+1,2025+1+0)-(MAX(2025,asof)+0))</f>
        <v>1</v>
      </c>
      <c r="G81" s="29" t="n">
        <f aca="false">MAX(0,MIN(2032+1,2026+MAX(0,MIN(1,asof-2026)))-2026)+MAX(0,MIN(2032+1,2026+1+0)-(MAX(2026,asof)+0))</f>
        <v>1</v>
      </c>
      <c r="H81" s="29" t="n">
        <f aca="false">MAX(0,MIN(2032+1,2027+MAX(0,MIN(1,asof-2027)))-2027)+MAX(0,MIN(2032+1,2027+1+0)-(MAX(2027,asof)+0))</f>
        <v>1</v>
      </c>
      <c r="I81" s="29" t="n">
        <f aca="false">MAX(0,MIN(2032+1,2028+MAX(0,MIN(1,asof-2028)))-2028)+MAX(0,MIN(2032+1,2028+1+0)-(MAX(2028,asof)+0))</f>
        <v>1</v>
      </c>
      <c r="J81" s="29" t="n">
        <f aca="false">MAX(0,MIN(2032+1,2029+MAX(0,MIN(1,asof-2029)))-2029)+MAX(0,MIN(2032+1,2029+1+0)-(MAX(2029,asof)+0))</f>
        <v>1</v>
      </c>
      <c r="K81" s="29" t="n">
        <f aca="false">MAX(0,MIN(2032+1,2030+MAX(0,MIN(1,asof-2030)))-2030)+MAX(0,MIN(2032+1,2030+1+0)-(MAX(2030,asof)+0))</f>
        <v>1</v>
      </c>
      <c r="L81" s="29" t="n">
        <f aca="false">MAX(0,MIN(2032+1,2031+MAX(0,MIN(1,asof-2031)))-2031)+MAX(0,MIN(2032+1,2031+1+0)-(MAX(2031,asof)+0))</f>
        <v>1</v>
      </c>
      <c r="M81" s="29" t="n">
        <f aca="false">MAX(0,MIN(2032+1,2032+MAX(0,MIN(1,asof-2032)))-2032)+MAX(0,MIN(2032+1,2032+1+0)-(MAX(2032,asof)+0))</f>
        <v>1</v>
      </c>
    </row>
    <row r="83" customFormat="false" ht="17.15" hidden="false" customHeight="false" outlineLevel="0" collapsed="false">
      <c r="A83" s="5" t="s">
        <v>924</v>
      </c>
      <c r="B83" s="5" t="s">
        <v>913</v>
      </c>
      <c r="C83" s="5"/>
      <c r="D83" s="5"/>
      <c r="E83" s="6" t="s">
        <v>19</v>
      </c>
      <c r="F83" s="6" t="s">
        <v>20</v>
      </c>
      <c r="G83" s="6" t="s">
        <v>21</v>
      </c>
      <c r="H83" s="6" t="s">
        <v>22</v>
      </c>
      <c r="I83" s="6" t="s">
        <v>23</v>
      </c>
      <c r="J83" s="6" t="s">
        <v>24</v>
      </c>
      <c r="K83" s="6" t="s">
        <v>25</v>
      </c>
      <c r="L83" s="6" t="s">
        <v>26</v>
      </c>
      <c r="M83" s="6" t="s">
        <v>27</v>
      </c>
    </row>
    <row r="84" customFormat="false" ht="17.15" hidden="false" customHeight="false" outlineLevel="0" collapsed="false">
      <c r="A84" s="0" t="s">
        <v>925</v>
      </c>
      <c r="B84" s="0" t="n">
        <v>2023</v>
      </c>
      <c r="E84" s="29" t="n">
        <f aca="false">MAX(0,MIN(2023+1,2024+MAX(0,MIN(1,asof-2024)))-2024)+MAX(0,MIN(2023+1,2024+1+dly_d1_m/12)-(MAX(2024,asof)+dly_d1_m/12))</f>
        <v>0</v>
      </c>
      <c r="F84" s="29" t="n">
        <f aca="false">MAX(0,MIN(2023+1,2025+MAX(0,MIN(1,asof-2025)))-2025)+MAX(0,MIN(2023+1,2025+1+dly_d1_m/12)-(MAX(2025,asof)+dly_d1_m/12))</f>
        <v>0</v>
      </c>
      <c r="G84" s="29" t="n">
        <f aca="false">MAX(0,MIN(2023+1,2026+MAX(0,MIN(1,asof-2026)))-2026)+MAX(0,MIN(2023+1,2026+1+dly_d1_m/12)-(MAX(2026,asof)+dly_d1_m/12))</f>
        <v>0</v>
      </c>
      <c r="H84" s="29" t="n">
        <f aca="false">MAX(0,MIN(2023+1,2027+MAX(0,MIN(1,asof-2027)))-2027)+MAX(0,MIN(2023+1,2027+1+dly_d1_m/12)-(MAX(2027,asof)+dly_d1_m/12))</f>
        <v>0</v>
      </c>
      <c r="I84" s="29" t="n">
        <f aca="false">MAX(0,MIN(2023+1,2028+MAX(0,MIN(1,asof-2028)))-2028)+MAX(0,MIN(2023+1,2028+1+dly_d1_m/12)-(MAX(2028,asof)+dly_d1_m/12))</f>
        <v>0</v>
      </c>
      <c r="J84" s="29" t="n">
        <f aca="false">MAX(0,MIN(2023+1,2029+MAX(0,MIN(1,asof-2029)))-2029)+MAX(0,MIN(2023+1,2029+1+dly_d1_m/12)-(MAX(2029,asof)+dly_d1_m/12))</f>
        <v>0</v>
      </c>
      <c r="K84" s="29" t="n">
        <f aca="false">MAX(0,MIN(2023+1,2030+MAX(0,MIN(1,asof-2030)))-2030)+MAX(0,MIN(2023+1,2030+1+dly_d1_m/12)-(MAX(2030,asof)+dly_d1_m/12))</f>
        <v>0</v>
      </c>
      <c r="L84" s="29" t="n">
        <f aca="false">MAX(0,MIN(2023+1,2031+MAX(0,MIN(1,asof-2031)))-2031)+MAX(0,MIN(2023+1,2031+1+dly_d1_m/12)-(MAX(2031,asof)+dly_d1_m/12))</f>
        <v>0</v>
      </c>
      <c r="M84" s="29" t="n">
        <f aca="false">MAX(0,MIN(2023+1,2032+MAX(0,MIN(1,asof-2032)))-2032)+MAX(0,MIN(2023+1,2032+1+dly_d1_m/12)-(MAX(2032,asof)+dly_d1_m/12))</f>
        <v>0</v>
      </c>
    </row>
    <row r="85" customFormat="false" ht="17.15" hidden="false" customHeight="false" outlineLevel="0" collapsed="false">
      <c r="A85" s="0" t="s">
        <v>926</v>
      </c>
      <c r="B85" s="0" t="n">
        <v>2024</v>
      </c>
      <c r="E85" s="29" t="n">
        <f aca="false">MAX(0,MIN(2024+1,2024+MAX(0,MIN(1,asof-2024)))-2024)+MAX(0,MIN(2024+1,2024+1+dly_d1_m/12)-(MAX(2024,asof)+dly_d1_m/12))</f>
        <v>1</v>
      </c>
      <c r="F85" s="29" t="n">
        <f aca="false">MAX(0,MIN(2024+1,2025+MAX(0,MIN(1,asof-2025)))-2025)+MAX(0,MIN(2024+1,2025+1+dly_d1_m/12)-(MAX(2025,asof)+dly_d1_m/12))</f>
        <v>0</v>
      </c>
      <c r="G85" s="29" t="n">
        <f aca="false">MAX(0,MIN(2024+1,2026+MAX(0,MIN(1,asof-2026)))-2026)+MAX(0,MIN(2024+1,2026+1+dly_d1_m/12)-(MAX(2026,asof)+dly_d1_m/12))</f>
        <v>0</v>
      </c>
      <c r="H85" s="29" t="n">
        <f aca="false">MAX(0,MIN(2024+1,2027+MAX(0,MIN(1,asof-2027)))-2027)+MAX(0,MIN(2024+1,2027+1+dly_d1_m/12)-(MAX(2027,asof)+dly_d1_m/12))</f>
        <v>0</v>
      </c>
      <c r="I85" s="29" t="n">
        <f aca="false">MAX(0,MIN(2024+1,2028+MAX(0,MIN(1,asof-2028)))-2028)+MAX(0,MIN(2024+1,2028+1+dly_d1_m/12)-(MAX(2028,asof)+dly_d1_m/12))</f>
        <v>0</v>
      </c>
      <c r="J85" s="29" t="n">
        <f aca="false">MAX(0,MIN(2024+1,2029+MAX(0,MIN(1,asof-2029)))-2029)+MAX(0,MIN(2024+1,2029+1+dly_d1_m/12)-(MAX(2029,asof)+dly_d1_m/12))</f>
        <v>0</v>
      </c>
      <c r="K85" s="29" t="n">
        <f aca="false">MAX(0,MIN(2024+1,2030+MAX(0,MIN(1,asof-2030)))-2030)+MAX(0,MIN(2024+1,2030+1+dly_d1_m/12)-(MAX(2030,asof)+dly_d1_m/12))</f>
        <v>0</v>
      </c>
      <c r="L85" s="29" t="n">
        <f aca="false">MAX(0,MIN(2024+1,2031+MAX(0,MIN(1,asof-2031)))-2031)+MAX(0,MIN(2024+1,2031+1+dly_d1_m/12)-(MAX(2031,asof)+dly_d1_m/12))</f>
        <v>0</v>
      </c>
      <c r="M85" s="29" t="n">
        <f aca="false">MAX(0,MIN(2024+1,2032+MAX(0,MIN(1,asof-2032)))-2032)+MAX(0,MIN(2024+1,2032+1+dly_d1_m/12)-(MAX(2032,asof)+dly_d1_m/12))</f>
        <v>0</v>
      </c>
    </row>
    <row r="86" customFormat="false" ht="17.15" hidden="false" customHeight="false" outlineLevel="0" collapsed="false">
      <c r="A86" s="0" t="s">
        <v>927</v>
      </c>
      <c r="B86" s="0" t="n">
        <v>2025</v>
      </c>
      <c r="E86" s="29" t="n">
        <f aca="false">MAX(0,MIN(2025+1,2024+MAX(0,MIN(1,asof-2024)))-2024)+MAX(0,MIN(2025+1,2024+1+dly_d1_m/12)-(MAX(2024,asof)+dly_d1_m/12))</f>
        <v>1</v>
      </c>
      <c r="F86" s="29" t="n">
        <f aca="false">MAX(0,MIN(2025+1,2025+MAX(0,MIN(1,asof-2025)))-2025)+MAX(0,MIN(2025+1,2025+1+dly_d1_m/12)-(MAX(2025,asof)+dly_d1_m/12))</f>
        <v>1</v>
      </c>
      <c r="G86" s="29" t="n">
        <f aca="false">MAX(0,MIN(2025+1,2026+MAX(0,MIN(1,asof-2026)))-2026)+MAX(0,MIN(2025+1,2026+1+dly_d1_m/12)-(MAX(2026,asof)+dly_d1_m/12))</f>
        <v>0</v>
      </c>
      <c r="H86" s="29" t="n">
        <f aca="false">MAX(0,MIN(2025+1,2027+MAX(0,MIN(1,asof-2027)))-2027)+MAX(0,MIN(2025+1,2027+1+dly_d1_m/12)-(MAX(2027,asof)+dly_d1_m/12))</f>
        <v>0</v>
      </c>
      <c r="I86" s="29" t="n">
        <f aca="false">MAX(0,MIN(2025+1,2028+MAX(0,MIN(1,asof-2028)))-2028)+MAX(0,MIN(2025+1,2028+1+dly_d1_m/12)-(MAX(2028,asof)+dly_d1_m/12))</f>
        <v>0</v>
      </c>
      <c r="J86" s="29" t="n">
        <f aca="false">MAX(0,MIN(2025+1,2029+MAX(0,MIN(1,asof-2029)))-2029)+MAX(0,MIN(2025+1,2029+1+dly_d1_m/12)-(MAX(2029,asof)+dly_d1_m/12))</f>
        <v>0</v>
      </c>
      <c r="K86" s="29" t="n">
        <f aca="false">MAX(0,MIN(2025+1,2030+MAX(0,MIN(1,asof-2030)))-2030)+MAX(0,MIN(2025+1,2030+1+dly_d1_m/12)-(MAX(2030,asof)+dly_d1_m/12))</f>
        <v>0</v>
      </c>
      <c r="L86" s="29" t="n">
        <f aca="false">MAX(0,MIN(2025+1,2031+MAX(0,MIN(1,asof-2031)))-2031)+MAX(0,MIN(2025+1,2031+1+dly_d1_m/12)-(MAX(2031,asof)+dly_d1_m/12))</f>
        <v>0</v>
      </c>
      <c r="M86" s="29" t="n">
        <f aca="false">MAX(0,MIN(2025+1,2032+MAX(0,MIN(1,asof-2032)))-2032)+MAX(0,MIN(2025+1,2032+1+dly_d1_m/12)-(MAX(2032,asof)+dly_d1_m/12))</f>
        <v>0</v>
      </c>
    </row>
    <row r="87" customFormat="false" ht="17.15" hidden="false" customHeight="false" outlineLevel="0" collapsed="false">
      <c r="A87" s="0" t="s">
        <v>928</v>
      </c>
      <c r="B87" s="0" t="n">
        <v>2026</v>
      </c>
      <c r="E87" s="29" t="n">
        <f aca="false">MAX(0,MIN(2026+1,2024+MAX(0,MIN(1,asof-2024)))-2024)+MAX(0,MIN(2026+1,2024+1+dly_d1_m/12)-(MAX(2024,asof)+dly_d1_m/12))</f>
        <v>1</v>
      </c>
      <c r="F87" s="29" t="n">
        <f aca="false">MAX(0,MIN(2026+1,2025+MAX(0,MIN(1,asof-2025)))-2025)+MAX(0,MIN(2026+1,2025+1+dly_d1_m/12)-(MAX(2025,asof)+dly_d1_m/12))</f>
        <v>1</v>
      </c>
      <c r="G87" s="29" t="n">
        <f aca="false">MAX(0,MIN(2026+1,2026+MAX(0,MIN(1,asof-2026)))-2026)+MAX(0,MIN(2026+1,2026+1+dly_d1_m/12)-(MAX(2026,asof)+dly_d1_m/12))</f>
        <v>0.825000000000046</v>
      </c>
      <c r="H87" s="29" t="n">
        <f aca="false">MAX(0,MIN(2026+1,2027+MAX(0,MIN(1,asof-2027)))-2027)+MAX(0,MIN(2026+1,2027+1+dly_d1_m/12)-(MAX(2027,asof)+dly_d1_m/12))</f>
        <v>0</v>
      </c>
      <c r="I87" s="29" t="n">
        <f aca="false">MAX(0,MIN(2026+1,2028+MAX(0,MIN(1,asof-2028)))-2028)+MAX(0,MIN(2026+1,2028+1+dly_d1_m/12)-(MAX(2028,asof)+dly_d1_m/12))</f>
        <v>0</v>
      </c>
      <c r="J87" s="29" t="n">
        <f aca="false">MAX(0,MIN(2026+1,2029+MAX(0,MIN(1,asof-2029)))-2029)+MAX(0,MIN(2026+1,2029+1+dly_d1_m/12)-(MAX(2029,asof)+dly_d1_m/12))</f>
        <v>0</v>
      </c>
      <c r="K87" s="29" t="n">
        <f aca="false">MAX(0,MIN(2026+1,2030+MAX(0,MIN(1,asof-2030)))-2030)+MAX(0,MIN(2026+1,2030+1+dly_d1_m/12)-(MAX(2030,asof)+dly_d1_m/12))</f>
        <v>0</v>
      </c>
      <c r="L87" s="29" t="n">
        <f aca="false">MAX(0,MIN(2026+1,2031+MAX(0,MIN(1,asof-2031)))-2031)+MAX(0,MIN(2026+1,2031+1+dly_d1_m/12)-(MAX(2031,asof)+dly_d1_m/12))</f>
        <v>0</v>
      </c>
      <c r="M87" s="29" t="n">
        <f aca="false">MAX(0,MIN(2026+1,2032+MAX(0,MIN(1,asof-2032)))-2032)+MAX(0,MIN(2026+1,2032+1+dly_d1_m/12)-(MAX(2032,asof)+dly_d1_m/12))</f>
        <v>0</v>
      </c>
    </row>
    <row r="88" customFormat="false" ht="17.15" hidden="false" customHeight="false" outlineLevel="0" collapsed="false">
      <c r="A88" s="0" t="s">
        <v>929</v>
      </c>
      <c r="B88" s="0" t="n">
        <v>2027</v>
      </c>
      <c r="E88" s="29" t="n">
        <f aca="false">MAX(0,MIN(2027+1,2024+MAX(0,MIN(1,asof-2024)))-2024)+MAX(0,MIN(2027+1,2024+1+dly_d1_m/12)-(MAX(2024,asof)+dly_d1_m/12))</f>
        <v>1</v>
      </c>
      <c r="F88" s="29" t="n">
        <f aca="false">MAX(0,MIN(2027+1,2025+MAX(0,MIN(1,asof-2025)))-2025)+MAX(0,MIN(2027+1,2025+1+dly_d1_m/12)-(MAX(2025,asof)+dly_d1_m/12))</f>
        <v>1</v>
      </c>
      <c r="G88" s="29" t="n">
        <f aca="false">MAX(0,MIN(2027+1,2026+MAX(0,MIN(1,asof-2026)))-2026)+MAX(0,MIN(2027+1,2026+1+dly_d1_m/12)-(MAX(2026,asof)+dly_d1_m/12))</f>
        <v>1</v>
      </c>
      <c r="H88" s="29" t="n">
        <f aca="false">MAX(0,MIN(2027+1,2027+MAX(0,MIN(1,asof-2027)))-2027)+MAX(0,MIN(2027+1,2027+1+dly_d1_m/12)-(MAX(2027,asof)+dly_d1_m/12))</f>
        <v>0.5</v>
      </c>
      <c r="I88" s="29" t="n">
        <f aca="false">MAX(0,MIN(2027+1,2028+MAX(0,MIN(1,asof-2028)))-2028)+MAX(0,MIN(2027+1,2028+1+dly_d1_m/12)-(MAX(2028,asof)+dly_d1_m/12))</f>
        <v>0</v>
      </c>
      <c r="J88" s="29" t="n">
        <f aca="false">MAX(0,MIN(2027+1,2029+MAX(0,MIN(1,asof-2029)))-2029)+MAX(0,MIN(2027+1,2029+1+dly_d1_m/12)-(MAX(2029,asof)+dly_d1_m/12))</f>
        <v>0</v>
      </c>
      <c r="K88" s="29" t="n">
        <f aca="false">MAX(0,MIN(2027+1,2030+MAX(0,MIN(1,asof-2030)))-2030)+MAX(0,MIN(2027+1,2030+1+dly_d1_m/12)-(MAX(2030,asof)+dly_d1_m/12))</f>
        <v>0</v>
      </c>
      <c r="L88" s="29" t="n">
        <f aca="false">MAX(0,MIN(2027+1,2031+MAX(0,MIN(1,asof-2031)))-2031)+MAX(0,MIN(2027+1,2031+1+dly_d1_m/12)-(MAX(2031,asof)+dly_d1_m/12))</f>
        <v>0</v>
      </c>
      <c r="M88" s="29" t="n">
        <f aca="false">MAX(0,MIN(2027+1,2032+MAX(0,MIN(1,asof-2032)))-2032)+MAX(0,MIN(2027+1,2032+1+dly_d1_m/12)-(MAX(2032,asof)+dly_d1_m/12))</f>
        <v>0</v>
      </c>
    </row>
    <row r="89" customFormat="false" ht="17.15" hidden="false" customHeight="false" outlineLevel="0" collapsed="false">
      <c r="A89" s="0" t="s">
        <v>930</v>
      </c>
      <c r="B89" s="0" t="n">
        <v>2028</v>
      </c>
      <c r="E89" s="29" t="n">
        <f aca="false">MAX(0,MIN(2028+1,2024+MAX(0,MIN(1,asof-2024)))-2024)+MAX(0,MIN(2028+1,2024+1+dly_d1_m/12)-(MAX(2024,asof)+dly_d1_m/12))</f>
        <v>1</v>
      </c>
      <c r="F89" s="29" t="n">
        <f aca="false">MAX(0,MIN(2028+1,2025+MAX(0,MIN(1,asof-2025)))-2025)+MAX(0,MIN(2028+1,2025+1+dly_d1_m/12)-(MAX(2025,asof)+dly_d1_m/12))</f>
        <v>1</v>
      </c>
      <c r="G89" s="29" t="n">
        <f aca="false">MAX(0,MIN(2028+1,2026+MAX(0,MIN(1,asof-2026)))-2026)+MAX(0,MIN(2028+1,2026+1+dly_d1_m/12)-(MAX(2026,asof)+dly_d1_m/12))</f>
        <v>1</v>
      </c>
      <c r="H89" s="29" t="n">
        <f aca="false">MAX(0,MIN(2028+1,2027+MAX(0,MIN(1,asof-2027)))-2027)+MAX(0,MIN(2028+1,2027+1+dly_d1_m/12)-(MAX(2027,asof)+dly_d1_m/12))</f>
        <v>1</v>
      </c>
      <c r="I89" s="29" t="n">
        <f aca="false">MAX(0,MIN(2028+1,2028+MAX(0,MIN(1,asof-2028)))-2028)+MAX(0,MIN(2028+1,2028+1+dly_d1_m/12)-(MAX(2028,asof)+dly_d1_m/12))</f>
        <v>0.5</v>
      </c>
      <c r="J89" s="29" t="n">
        <f aca="false">MAX(0,MIN(2028+1,2029+MAX(0,MIN(1,asof-2029)))-2029)+MAX(0,MIN(2028+1,2029+1+dly_d1_m/12)-(MAX(2029,asof)+dly_d1_m/12))</f>
        <v>0</v>
      </c>
      <c r="K89" s="29" t="n">
        <f aca="false">MAX(0,MIN(2028+1,2030+MAX(0,MIN(1,asof-2030)))-2030)+MAX(0,MIN(2028+1,2030+1+dly_d1_m/12)-(MAX(2030,asof)+dly_d1_m/12))</f>
        <v>0</v>
      </c>
      <c r="L89" s="29" t="n">
        <f aca="false">MAX(0,MIN(2028+1,2031+MAX(0,MIN(1,asof-2031)))-2031)+MAX(0,MIN(2028+1,2031+1+dly_d1_m/12)-(MAX(2031,asof)+dly_d1_m/12))</f>
        <v>0</v>
      </c>
      <c r="M89" s="29" t="n">
        <f aca="false">MAX(0,MIN(2028+1,2032+MAX(0,MIN(1,asof-2032)))-2032)+MAX(0,MIN(2028+1,2032+1+dly_d1_m/12)-(MAX(2032,asof)+dly_d1_m/12))</f>
        <v>0</v>
      </c>
    </row>
    <row r="90" customFormat="false" ht="17.15" hidden="false" customHeight="false" outlineLevel="0" collapsed="false">
      <c r="A90" s="0" t="s">
        <v>931</v>
      </c>
      <c r="B90" s="0" t="n">
        <v>2029</v>
      </c>
      <c r="E90" s="29" t="n">
        <f aca="false">MAX(0,MIN(2029+1,2024+MAX(0,MIN(1,asof-2024)))-2024)+MAX(0,MIN(2029+1,2024+1+dly_d1_m/12)-(MAX(2024,asof)+dly_d1_m/12))</f>
        <v>1</v>
      </c>
      <c r="F90" s="29" t="n">
        <f aca="false">MAX(0,MIN(2029+1,2025+MAX(0,MIN(1,asof-2025)))-2025)+MAX(0,MIN(2029+1,2025+1+dly_d1_m/12)-(MAX(2025,asof)+dly_d1_m/12))</f>
        <v>1</v>
      </c>
      <c r="G90" s="29" t="n">
        <f aca="false">MAX(0,MIN(2029+1,2026+MAX(0,MIN(1,asof-2026)))-2026)+MAX(0,MIN(2029+1,2026+1+dly_d1_m/12)-(MAX(2026,asof)+dly_d1_m/12))</f>
        <v>1</v>
      </c>
      <c r="H90" s="29" t="n">
        <f aca="false">MAX(0,MIN(2029+1,2027+MAX(0,MIN(1,asof-2027)))-2027)+MAX(0,MIN(2029+1,2027+1+dly_d1_m/12)-(MAX(2027,asof)+dly_d1_m/12))</f>
        <v>1</v>
      </c>
      <c r="I90" s="29" t="n">
        <f aca="false">MAX(0,MIN(2029+1,2028+MAX(0,MIN(1,asof-2028)))-2028)+MAX(0,MIN(2029+1,2028+1+dly_d1_m/12)-(MAX(2028,asof)+dly_d1_m/12))</f>
        <v>1</v>
      </c>
      <c r="J90" s="29" t="n">
        <f aca="false">MAX(0,MIN(2029+1,2029+MAX(0,MIN(1,asof-2029)))-2029)+MAX(0,MIN(2029+1,2029+1+dly_d1_m/12)-(MAX(2029,asof)+dly_d1_m/12))</f>
        <v>0.5</v>
      </c>
      <c r="K90" s="29" t="n">
        <f aca="false">MAX(0,MIN(2029+1,2030+MAX(0,MIN(1,asof-2030)))-2030)+MAX(0,MIN(2029+1,2030+1+dly_d1_m/12)-(MAX(2030,asof)+dly_d1_m/12))</f>
        <v>0</v>
      </c>
      <c r="L90" s="29" t="n">
        <f aca="false">MAX(0,MIN(2029+1,2031+MAX(0,MIN(1,asof-2031)))-2031)+MAX(0,MIN(2029+1,2031+1+dly_d1_m/12)-(MAX(2031,asof)+dly_d1_m/12))</f>
        <v>0</v>
      </c>
      <c r="M90" s="29" t="n">
        <f aca="false">MAX(0,MIN(2029+1,2032+MAX(0,MIN(1,asof-2032)))-2032)+MAX(0,MIN(2029+1,2032+1+dly_d1_m/12)-(MAX(2032,asof)+dly_d1_m/12))</f>
        <v>0</v>
      </c>
    </row>
    <row r="91" customFormat="false" ht="17.15" hidden="false" customHeight="false" outlineLevel="0" collapsed="false">
      <c r="A91" s="0" t="s">
        <v>932</v>
      </c>
      <c r="B91" s="0" t="n">
        <v>2030</v>
      </c>
      <c r="E91" s="29" t="n">
        <f aca="false">MAX(0,MIN(2030+1,2024+MAX(0,MIN(1,asof-2024)))-2024)+MAX(0,MIN(2030+1,2024+1+dly_d1_m/12)-(MAX(2024,asof)+dly_d1_m/12))</f>
        <v>1</v>
      </c>
      <c r="F91" s="29" t="n">
        <f aca="false">MAX(0,MIN(2030+1,2025+MAX(0,MIN(1,asof-2025)))-2025)+MAX(0,MIN(2030+1,2025+1+dly_d1_m/12)-(MAX(2025,asof)+dly_d1_m/12))</f>
        <v>1</v>
      </c>
      <c r="G91" s="29" t="n">
        <f aca="false">MAX(0,MIN(2030+1,2026+MAX(0,MIN(1,asof-2026)))-2026)+MAX(0,MIN(2030+1,2026+1+dly_d1_m/12)-(MAX(2026,asof)+dly_d1_m/12))</f>
        <v>1</v>
      </c>
      <c r="H91" s="29" t="n">
        <f aca="false">MAX(0,MIN(2030+1,2027+MAX(0,MIN(1,asof-2027)))-2027)+MAX(0,MIN(2030+1,2027+1+dly_d1_m/12)-(MAX(2027,asof)+dly_d1_m/12))</f>
        <v>1</v>
      </c>
      <c r="I91" s="29" t="n">
        <f aca="false">MAX(0,MIN(2030+1,2028+MAX(0,MIN(1,asof-2028)))-2028)+MAX(0,MIN(2030+1,2028+1+dly_d1_m/12)-(MAX(2028,asof)+dly_d1_m/12))</f>
        <v>1</v>
      </c>
      <c r="J91" s="29" t="n">
        <f aca="false">MAX(0,MIN(2030+1,2029+MAX(0,MIN(1,asof-2029)))-2029)+MAX(0,MIN(2030+1,2029+1+dly_d1_m/12)-(MAX(2029,asof)+dly_d1_m/12))</f>
        <v>1</v>
      </c>
      <c r="K91" s="29" t="n">
        <f aca="false">MAX(0,MIN(2030+1,2030+MAX(0,MIN(1,asof-2030)))-2030)+MAX(0,MIN(2030+1,2030+1+dly_d1_m/12)-(MAX(2030,asof)+dly_d1_m/12))</f>
        <v>0.5</v>
      </c>
      <c r="L91" s="29" t="n">
        <f aca="false">MAX(0,MIN(2030+1,2031+MAX(0,MIN(1,asof-2031)))-2031)+MAX(0,MIN(2030+1,2031+1+dly_d1_m/12)-(MAX(2031,asof)+dly_d1_m/12))</f>
        <v>0</v>
      </c>
      <c r="M91" s="29" t="n">
        <f aca="false">MAX(0,MIN(2030+1,2032+MAX(0,MIN(1,asof-2032)))-2032)+MAX(0,MIN(2030+1,2032+1+dly_d1_m/12)-(MAX(2032,asof)+dly_d1_m/12))</f>
        <v>0</v>
      </c>
    </row>
    <row r="92" customFormat="false" ht="17.15" hidden="false" customHeight="false" outlineLevel="0" collapsed="false">
      <c r="A92" s="0" t="s">
        <v>933</v>
      </c>
      <c r="B92" s="0" t="n">
        <v>2031</v>
      </c>
      <c r="E92" s="29" t="n">
        <f aca="false">MAX(0,MIN(2031+1,2024+MAX(0,MIN(1,asof-2024)))-2024)+MAX(0,MIN(2031+1,2024+1+dly_d1_m/12)-(MAX(2024,asof)+dly_d1_m/12))</f>
        <v>1</v>
      </c>
      <c r="F92" s="29" t="n">
        <f aca="false">MAX(0,MIN(2031+1,2025+MAX(0,MIN(1,asof-2025)))-2025)+MAX(0,MIN(2031+1,2025+1+dly_d1_m/12)-(MAX(2025,asof)+dly_d1_m/12))</f>
        <v>1</v>
      </c>
      <c r="G92" s="29" t="n">
        <f aca="false">MAX(0,MIN(2031+1,2026+MAX(0,MIN(1,asof-2026)))-2026)+MAX(0,MIN(2031+1,2026+1+dly_d1_m/12)-(MAX(2026,asof)+dly_d1_m/12))</f>
        <v>1</v>
      </c>
      <c r="H92" s="29" t="n">
        <f aca="false">MAX(0,MIN(2031+1,2027+MAX(0,MIN(1,asof-2027)))-2027)+MAX(0,MIN(2031+1,2027+1+dly_d1_m/12)-(MAX(2027,asof)+dly_d1_m/12))</f>
        <v>1</v>
      </c>
      <c r="I92" s="29" t="n">
        <f aca="false">MAX(0,MIN(2031+1,2028+MAX(0,MIN(1,asof-2028)))-2028)+MAX(0,MIN(2031+1,2028+1+dly_d1_m/12)-(MAX(2028,asof)+dly_d1_m/12))</f>
        <v>1</v>
      </c>
      <c r="J92" s="29" t="n">
        <f aca="false">MAX(0,MIN(2031+1,2029+MAX(0,MIN(1,asof-2029)))-2029)+MAX(0,MIN(2031+1,2029+1+dly_d1_m/12)-(MAX(2029,asof)+dly_d1_m/12))</f>
        <v>1</v>
      </c>
      <c r="K92" s="29" t="n">
        <f aca="false">MAX(0,MIN(2031+1,2030+MAX(0,MIN(1,asof-2030)))-2030)+MAX(0,MIN(2031+1,2030+1+dly_d1_m/12)-(MAX(2030,asof)+dly_d1_m/12))</f>
        <v>1</v>
      </c>
      <c r="L92" s="29" t="n">
        <f aca="false">MAX(0,MIN(2031+1,2031+MAX(0,MIN(1,asof-2031)))-2031)+MAX(0,MIN(2031+1,2031+1+dly_d1_m/12)-(MAX(2031,asof)+dly_d1_m/12))</f>
        <v>0.5</v>
      </c>
      <c r="M92" s="29" t="n">
        <f aca="false">MAX(0,MIN(2031+1,2032+MAX(0,MIN(1,asof-2032)))-2032)+MAX(0,MIN(2031+1,2032+1+dly_d1_m/12)-(MAX(2032,asof)+dly_d1_m/12))</f>
        <v>0</v>
      </c>
    </row>
    <row r="93" customFormat="false" ht="17.15" hidden="false" customHeight="false" outlineLevel="0" collapsed="false">
      <c r="A93" s="0" t="s">
        <v>934</v>
      </c>
      <c r="B93" s="0" t="n">
        <v>2032</v>
      </c>
      <c r="E93" s="29" t="n">
        <f aca="false">MAX(0,MIN(2032+1,2024+MAX(0,MIN(1,asof-2024)))-2024)+MAX(0,MIN(2032+1,2024+1+dly_d1_m/12)-(MAX(2024,asof)+dly_d1_m/12))</f>
        <v>1</v>
      </c>
      <c r="F93" s="29" t="n">
        <f aca="false">MAX(0,MIN(2032+1,2025+MAX(0,MIN(1,asof-2025)))-2025)+MAX(0,MIN(2032+1,2025+1+dly_d1_m/12)-(MAX(2025,asof)+dly_d1_m/12))</f>
        <v>1</v>
      </c>
      <c r="G93" s="29" t="n">
        <f aca="false">MAX(0,MIN(2032+1,2026+MAX(0,MIN(1,asof-2026)))-2026)+MAX(0,MIN(2032+1,2026+1+dly_d1_m/12)-(MAX(2026,asof)+dly_d1_m/12))</f>
        <v>1</v>
      </c>
      <c r="H93" s="29" t="n">
        <f aca="false">MAX(0,MIN(2032+1,2027+MAX(0,MIN(1,asof-2027)))-2027)+MAX(0,MIN(2032+1,2027+1+dly_d1_m/12)-(MAX(2027,asof)+dly_d1_m/12))</f>
        <v>1</v>
      </c>
      <c r="I93" s="29" t="n">
        <f aca="false">MAX(0,MIN(2032+1,2028+MAX(0,MIN(1,asof-2028)))-2028)+MAX(0,MIN(2032+1,2028+1+dly_d1_m/12)-(MAX(2028,asof)+dly_d1_m/12))</f>
        <v>1</v>
      </c>
      <c r="J93" s="29" t="n">
        <f aca="false">MAX(0,MIN(2032+1,2029+MAX(0,MIN(1,asof-2029)))-2029)+MAX(0,MIN(2032+1,2029+1+dly_d1_m/12)-(MAX(2029,asof)+dly_d1_m/12))</f>
        <v>1</v>
      </c>
      <c r="K93" s="29" t="n">
        <f aca="false">MAX(0,MIN(2032+1,2030+MAX(0,MIN(1,asof-2030)))-2030)+MAX(0,MIN(2032+1,2030+1+dly_d1_m/12)-(MAX(2030,asof)+dly_d1_m/12))</f>
        <v>1</v>
      </c>
      <c r="L93" s="29" t="n">
        <f aca="false">MAX(0,MIN(2032+1,2031+MAX(0,MIN(1,asof-2031)))-2031)+MAX(0,MIN(2032+1,2031+1+dly_d1_m/12)-(MAX(2031,asof)+dly_d1_m/12))</f>
        <v>1</v>
      </c>
      <c r="M93" s="29" t="n">
        <f aca="false">MAX(0,MIN(2032+1,2032+MAX(0,MIN(1,asof-2032)))-2032)+MAX(0,MIN(2032+1,2032+1+dly_d1_m/12)-(MAX(2032,asof)+dly_d1_m/12))</f>
        <v>0.5</v>
      </c>
    </row>
    <row r="95" customFormat="false" ht="17.15" hidden="false" customHeight="false" outlineLevel="0" collapsed="false">
      <c r="A95" s="5" t="s">
        <v>935</v>
      </c>
      <c r="B95" s="5" t="s">
        <v>913</v>
      </c>
      <c r="C95" s="5"/>
      <c r="D95" s="5"/>
      <c r="E95" s="6" t="s">
        <v>19</v>
      </c>
      <c r="F95" s="6" t="s">
        <v>20</v>
      </c>
      <c r="G95" s="6" t="s">
        <v>21</v>
      </c>
      <c r="H95" s="6" t="s">
        <v>22</v>
      </c>
      <c r="I95" s="6" t="s">
        <v>23</v>
      </c>
      <c r="J95" s="6" t="s">
        <v>24</v>
      </c>
      <c r="K95" s="6" t="s">
        <v>25</v>
      </c>
      <c r="L95" s="6" t="s">
        <v>26</v>
      </c>
      <c r="M95" s="6" t="s">
        <v>27</v>
      </c>
    </row>
    <row r="96" customFormat="false" ht="17.15" hidden="false" customHeight="false" outlineLevel="0" collapsed="false">
      <c r="A96" s="0" t="s">
        <v>936</v>
      </c>
      <c r="B96" s="0" t="n">
        <v>2023</v>
      </c>
      <c r="E96" s="29" t="n">
        <f aca="false">MAX(0,MIN(2023+1,2024+MAX(0,MIN(1,asof-2024)))-2024)+(1-dly_d2_bind)*MAX(0,MIN(2023+1,2024+1+dly_d1_m/12)-(MAX(2024,asof)+dly_d1_m/12))+dly_d2_bind*MAX(0,MIN(2023+1,2024+1+(dly_d1_m+dly_d2_m)/12)-(MAX(2024,asof)+(dly_d1_m+dly_d2_m)/12))</f>
        <v>0</v>
      </c>
      <c r="F96" s="29" t="n">
        <f aca="false">MAX(0,MIN(2023+1,2025+MAX(0,MIN(1,asof-2025)))-2025)+(1-dly_d2_bind)*MAX(0,MIN(2023+1,2025+1+dly_d1_m/12)-(MAX(2025,asof)+dly_d1_m/12))+dly_d2_bind*MAX(0,MIN(2023+1,2025+1+(dly_d1_m+dly_d2_m)/12)-(MAX(2025,asof)+(dly_d1_m+dly_d2_m)/12))</f>
        <v>0</v>
      </c>
      <c r="G96" s="29" t="n">
        <f aca="false">MAX(0,MIN(2023+1,2026+MAX(0,MIN(1,asof-2026)))-2026)+(1-dly_d2_bind)*MAX(0,MIN(2023+1,2026+1+dly_d1_m/12)-(MAX(2026,asof)+dly_d1_m/12))+dly_d2_bind*MAX(0,MIN(2023+1,2026+1+(dly_d1_m+dly_d2_m)/12)-(MAX(2026,asof)+(dly_d1_m+dly_d2_m)/12))</f>
        <v>0</v>
      </c>
      <c r="H96" s="29" t="n">
        <f aca="false">MAX(0,MIN(2023+1,2027+MAX(0,MIN(1,asof-2027)))-2027)+(1-dly_d2_bind)*MAX(0,MIN(2023+1,2027+1+dly_d1_m/12)-(MAX(2027,asof)+dly_d1_m/12))+dly_d2_bind*MAX(0,MIN(2023+1,2027+1+(dly_d1_m+dly_d2_m)/12)-(MAX(2027,asof)+(dly_d1_m+dly_d2_m)/12))</f>
        <v>0</v>
      </c>
      <c r="I96" s="29" t="n">
        <f aca="false">MAX(0,MIN(2023+1,2028+MAX(0,MIN(1,asof-2028)))-2028)+(1-dly_d2_bind)*MAX(0,MIN(2023+1,2028+1+dly_d1_m/12)-(MAX(2028,asof)+dly_d1_m/12))+dly_d2_bind*MAX(0,MIN(2023+1,2028+1+(dly_d1_m+dly_d2_m)/12)-(MAX(2028,asof)+(dly_d1_m+dly_d2_m)/12))</f>
        <v>0</v>
      </c>
      <c r="J96" s="29" t="n">
        <f aca="false">MAX(0,MIN(2023+1,2029+MAX(0,MIN(1,asof-2029)))-2029)+(1-dly_d2_bind)*MAX(0,MIN(2023+1,2029+1+dly_d1_m/12)-(MAX(2029,asof)+dly_d1_m/12))+dly_d2_bind*MAX(0,MIN(2023+1,2029+1+(dly_d1_m+dly_d2_m)/12)-(MAX(2029,asof)+(dly_d1_m+dly_d2_m)/12))</f>
        <v>0</v>
      </c>
      <c r="K96" s="29" t="n">
        <f aca="false">MAX(0,MIN(2023+1,2030+MAX(0,MIN(1,asof-2030)))-2030)+(1-dly_d2_bind)*MAX(0,MIN(2023+1,2030+1+dly_d1_m/12)-(MAX(2030,asof)+dly_d1_m/12))+dly_d2_bind*MAX(0,MIN(2023+1,2030+1+(dly_d1_m+dly_d2_m)/12)-(MAX(2030,asof)+(dly_d1_m+dly_d2_m)/12))</f>
        <v>0</v>
      </c>
      <c r="L96" s="29" t="n">
        <f aca="false">MAX(0,MIN(2023+1,2031+MAX(0,MIN(1,asof-2031)))-2031)+(1-dly_d2_bind)*MAX(0,MIN(2023+1,2031+1+dly_d1_m/12)-(MAX(2031,asof)+dly_d1_m/12))+dly_d2_bind*MAX(0,MIN(2023+1,2031+1+(dly_d1_m+dly_d2_m)/12)-(MAX(2031,asof)+(dly_d1_m+dly_d2_m)/12))</f>
        <v>0</v>
      </c>
      <c r="M96" s="29" t="n">
        <f aca="false">MAX(0,MIN(2023+1,2032+MAX(0,MIN(1,asof-2032)))-2032)+(1-dly_d2_bind)*MAX(0,MIN(2023+1,2032+1+dly_d1_m/12)-(MAX(2032,asof)+dly_d1_m/12))+dly_d2_bind*MAX(0,MIN(2023+1,2032+1+(dly_d1_m+dly_d2_m)/12)-(MAX(2032,asof)+(dly_d1_m+dly_d2_m)/12))</f>
        <v>0</v>
      </c>
    </row>
    <row r="97" customFormat="false" ht="17.15" hidden="false" customHeight="false" outlineLevel="0" collapsed="false">
      <c r="A97" s="0" t="s">
        <v>937</v>
      </c>
      <c r="B97" s="0" t="n">
        <v>2024</v>
      </c>
      <c r="E97" s="29" t="n">
        <f aca="false">MAX(0,MIN(2024+1,2024+MAX(0,MIN(1,asof-2024)))-2024)+(1-dly_d2_bind)*MAX(0,MIN(2024+1,2024+1+dly_d1_m/12)-(MAX(2024,asof)+dly_d1_m/12))+dly_d2_bind*MAX(0,MIN(2024+1,2024+1+(dly_d1_m+dly_d2_m)/12)-(MAX(2024,asof)+(dly_d1_m+dly_d2_m)/12))</f>
        <v>1</v>
      </c>
      <c r="F97" s="29" t="n">
        <f aca="false">MAX(0,MIN(2024+1,2025+MAX(0,MIN(1,asof-2025)))-2025)+(1-dly_d2_bind)*MAX(0,MIN(2024+1,2025+1+dly_d1_m/12)-(MAX(2025,asof)+dly_d1_m/12))+dly_d2_bind*MAX(0,MIN(2024+1,2025+1+(dly_d1_m+dly_d2_m)/12)-(MAX(2025,asof)+(dly_d1_m+dly_d2_m)/12))</f>
        <v>0</v>
      </c>
      <c r="G97" s="29" t="n">
        <f aca="false">MAX(0,MIN(2024+1,2026+MAX(0,MIN(1,asof-2026)))-2026)+(1-dly_d2_bind)*MAX(0,MIN(2024+1,2026+1+dly_d1_m/12)-(MAX(2026,asof)+dly_d1_m/12))+dly_d2_bind*MAX(0,MIN(2024+1,2026+1+(dly_d1_m+dly_d2_m)/12)-(MAX(2026,asof)+(dly_d1_m+dly_d2_m)/12))</f>
        <v>0</v>
      </c>
      <c r="H97" s="29" t="n">
        <f aca="false">MAX(0,MIN(2024+1,2027+MAX(0,MIN(1,asof-2027)))-2027)+(1-dly_d2_bind)*MAX(0,MIN(2024+1,2027+1+dly_d1_m/12)-(MAX(2027,asof)+dly_d1_m/12))+dly_d2_bind*MAX(0,MIN(2024+1,2027+1+(dly_d1_m+dly_d2_m)/12)-(MAX(2027,asof)+(dly_d1_m+dly_d2_m)/12))</f>
        <v>0</v>
      </c>
      <c r="I97" s="29" t="n">
        <f aca="false">MAX(0,MIN(2024+1,2028+MAX(0,MIN(1,asof-2028)))-2028)+(1-dly_d2_bind)*MAX(0,MIN(2024+1,2028+1+dly_d1_m/12)-(MAX(2028,asof)+dly_d1_m/12))+dly_d2_bind*MAX(0,MIN(2024+1,2028+1+(dly_d1_m+dly_d2_m)/12)-(MAX(2028,asof)+(dly_d1_m+dly_d2_m)/12))</f>
        <v>0</v>
      </c>
      <c r="J97" s="29" t="n">
        <f aca="false">MAX(0,MIN(2024+1,2029+MAX(0,MIN(1,asof-2029)))-2029)+(1-dly_d2_bind)*MAX(0,MIN(2024+1,2029+1+dly_d1_m/12)-(MAX(2029,asof)+dly_d1_m/12))+dly_d2_bind*MAX(0,MIN(2024+1,2029+1+(dly_d1_m+dly_d2_m)/12)-(MAX(2029,asof)+(dly_d1_m+dly_d2_m)/12))</f>
        <v>0</v>
      </c>
      <c r="K97" s="29" t="n">
        <f aca="false">MAX(0,MIN(2024+1,2030+MAX(0,MIN(1,asof-2030)))-2030)+(1-dly_d2_bind)*MAX(0,MIN(2024+1,2030+1+dly_d1_m/12)-(MAX(2030,asof)+dly_d1_m/12))+dly_d2_bind*MAX(0,MIN(2024+1,2030+1+(dly_d1_m+dly_d2_m)/12)-(MAX(2030,asof)+(dly_d1_m+dly_d2_m)/12))</f>
        <v>0</v>
      </c>
      <c r="L97" s="29" t="n">
        <f aca="false">MAX(0,MIN(2024+1,2031+MAX(0,MIN(1,asof-2031)))-2031)+(1-dly_d2_bind)*MAX(0,MIN(2024+1,2031+1+dly_d1_m/12)-(MAX(2031,asof)+dly_d1_m/12))+dly_d2_bind*MAX(0,MIN(2024+1,2031+1+(dly_d1_m+dly_d2_m)/12)-(MAX(2031,asof)+(dly_d1_m+dly_d2_m)/12))</f>
        <v>0</v>
      </c>
      <c r="M97" s="29" t="n">
        <f aca="false">MAX(0,MIN(2024+1,2032+MAX(0,MIN(1,asof-2032)))-2032)+(1-dly_d2_bind)*MAX(0,MIN(2024+1,2032+1+dly_d1_m/12)-(MAX(2032,asof)+dly_d1_m/12))+dly_d2_bind*MAX(0,MIN(2024+1,2032+1+(dly_d1_m+dly_d2_m)/12)-(MAX(2032,asof)+(dly_d1_m+dly_d2_m)/12))</f>
        <v>0</v>
      </c>
    </row>
    <row r="98" customFormat="false" ht="17.15" hidden="false" customHeight="false" outlineLevel="0" collapsed="false">
      <c r="A98" s="0" t="s">
        <v>938</v>
      </c>
      <c r="B98" s="0" t="n">
        <v>2025</v>
      </c>
      <c r="E98" s="29" t="n">
        <f aca="false">MAX(0,MIN(2025+1,2024+MAX(0,MIN(1,asof-2024)))-2024)+(1-dly_d2_bind)*MAX(0,MIN(2025+1,2024+1+dly_d1_m/12)-(MAX(2024,asof)+dly_d1_m/12))+dly_d2_bind*MAX(0,MIN(2025+1,2024+1+(dly_d1_m+dly_d2_m)/12)-(MAX(2024,asof)+(dly_d1_m+dly_d2_m)/12))</f>
        <v>1</v>
      </c>
      <c r="F98" s="29" t="n">
        <f aca="false">MAX(0,MIN(2025+1,2025+MAX(0,MIN(1,asof-2025)))-2025)+(1-dly_d2_bind)*MAX(0,MIN(2025+1,2025+1+dly_d1_m/12)-(MAX(2025,asof)+dly_d1_m/12))+dly_d2_bind*MAX(0,MIN(2025+1,2025+1+(dly_d1_m+dly_d2_m)/12)-(MAX(2025,asof)+(dly_d1_m+dly_d2_m)/12))</f>
        <v>1</v>
      </c>
      <c r="G98" s="29" t="n">
        <f aca="false">MAX(0,MIN(2025+1,2026+MAX(0,MIN(1,asof-2026)))-2026)+(1-dly_d2_bind)*MAX(0,MIN(2025+1,2026+1+dly_d1_m/12)-(MAX(2026,asof)+dly_d1_m/12))+dly_d2_bind*MAX(0,MIN(2025+1,2026+1+(dly_d1_m+dly_d2_m)/12)-(MAX(2026,asof)+(dly_d1_m+dly_d2_m)/12))</f>
        <v>0</v>
      </c>
      <c r="H98" s="29" t="n">
        <f aca="false">MAX(0,MIN(2025+1,2027+MAX(0,MIN(1,asof-2027)))-2027)+(1-dly_d2_bind)*MAX(0,MIN(2025+1,2027+1+dly_d1_m/12)-(MAX(2027,asof)+dly_d1_m/12))+dly_d2_bind*MAX(0,MIN(2025+1,2027+1+(dly_d1_m+dly_d2_m)/12)-(MAX(2027,asof)+(dly_d1_m+dly_d2_m)/12))</f>
        <v>0</v>
      </c>
      <c r="I98" s="29" t="n">
        <f aca="false">MAX(0,MIN(2025+1,2028+MAX(0,MIN(1,asof-2028)))-2028)+(1-dly_d2_bind)*MAX(0,MIN(2025+1,2028+1+dly_d1_m/12)-(MAX(2028,asof)+dly_d1_m/12))+dly_d2_bind*MAX(0,MIN(2025+1,2028+1+(dly_d1_m+dly_d2_m)/12)-(MAX(2028,asof)+(dly_d1_m+dly_d2_m)/12))</f>
        <v>0</v>
      </c>
      <c r="J98" s="29" t="n">
        <f aca="false">MAX(0,MIN(2025+1,2029+MAX(0,MIN(1,asof-2029)))-2029)+(1-dly_d2_bind)*MAX(0,MIN(2025+1,2029+1+dly_d1_m/12)-(MAX(2029,asof)+dly_d1_m/12))+dly_d2_bind*MAX(0,MIN(2025+1,2029+1+(dly_d1_m+dly_d2_m)/12)-(MAX(2029,asof)+(dly_d1_m+dly_d2_m)/12))</f>
        <v>0</v>
      </c>
      <c r="K98" s="29" t="n">
        <f aca="false">MAX(0,MIN(2025+1,2030+MAX(0,MIN(1,asof-2030)))-2030)+(1-dly_d2_bind)*MAX(0,MIN(2025+1,2030+1+dly_d1_m/12)-(MAX(2030,asof)+dly_d1_m/12))+dly_d2_bind*MAX(0,MIN(2025+1,2030+1+(dly_d1_m+dly_d2_m)/12)-(MAX(2030,asof)+(dly_d1_m+dly_d2_m)/12))</f>
        <v>0</v>
      </c>
      <c r="L98" s="29" t="n">
        <f aca="false">MAX(0,MIN(2025+1,2031+MAX(0,MIN(1,asof-2031)))-2031)+(1-dly_d2_bind)*MAX(0,MIN(2025+1,2031+1+dly_d1_m/12)-(MAX(2031,asof)+dly_d1_m/12))+dly_d2_bind*MAX(0,MIN(2025+1,2031+1+(dly_d1_m+dly_d2_m)/12)-(MAX(2031,asof)+(dly_d1_m+dly_d2_m)/12))</f>
        <v>0</v>
      </c>
      <c r="M98" s="29" t="n">
        <f aca="false">MAX(0,MIN(2025+1,2032+MAX(0,MIN(1,asof-2032)))-2032)+(1-dly_d2_bind)*MAX(0,MIN(2025+1,2032+1+dly_d1_m/12)-(MAX(2032,asof)+dly_d1_m/12))+dly_d2_bind*MAX(0,MIN(2025+1,2032+1+(dly_d1_m+dly_d2_m)/12)-(MAX(2032,asof)+(dly_d1_m+dly_d2_m)/12))</f>
        <v>0</v>
      </c>
    </row>
    <row r="99" customFormat="false" ht="17.15" hidden="false" customHeight="false" outlineLevel="0" collapsed="false">
      <c r="A99" s="0" t="s">
        <v>939</v>
      </c>
      <c r="B99" s="0" t="n">
        <v>2026</v>
      </c>
      <c r="E99" s="29" t="n">
        <f aca="false">MAX(0,MIN(2026+1,2024+MAX(0,MIN(1,asof-2024)))-2024)+(1-dly_d2_bind)*MAX(0,MIN(2026+1,2024+1+dly_d1_m/12)-(MAX(2024,asof)+dly_d1_m/12))+dly_d2_bind*MAX(0,MIN(2026+1,2024+1+(dly_d1_m+dly_d2_m)/12)-(MAX(2024,asof)+(dly_d1_m+dly_d2_m)/12))</f>
        <v>1</v>
      </c>
      <c r="F99" s="29" t="n">
        <f aca="false">MAX(0,MIN(2026+1,2025+MAX(0,MIN(1,asof-2025)))-2025)+(1-dly_d2_bind)*MAX(0,MIN(2026+1,2025+1+dly_d1_m/12)-(MAX(2025,asof)+dly_d1_m/12))+dly_d2_bind*MAX(0,MIN(2026+1,2025+1+(dly_d1_m+dly_d2_m)/12)-(MAX(2025,asof)+(dly_d1_m+dly_d2_m)/12))</f>
        <v>1</v>
      </c>
      <c r="G99" s="29" t="n">
        <f aca="false">MAX(0,MIN(2026+1,2026+MAX(0,MIN(1,asof-2026)))-2026)+(1-dly_d2_bind)*MAX(0,MIN(2026+1,2026+1+dly_d1_m/12)-(MAX(2026,asof)+dly_d1_m/12))+dly_d2_bind*MAX(0,MIN(2026+1,2026+1+(dly_d1_m+dly_d2_m)/12)-(MAX(2026,asof)+(dly_d1_m+dly_d2_m)/12))</f>
        <v>0.825000000000046</v>
      </c>
      <c r="H99" s="29" t="n">
        <f aca="false">MAX(0,MIN(2026+1,2027+MAX(0,MIN(1,asof-2027)))-2027)+(1-dly_d2_bind)*MAX(0,MIN(2026+1,2027+1+dly_d1_m/12)-(MAX(2027,asof)+dly_d1_m/12))+dly_d2_bind*MAX(0,MIN(2026+1,2027+1+(dly_d1_m+dly_d2_m)/12)-(MAX(2027,asof)+(dly_d1_m+dly_d2_m)/12))</f>
        <v>0</v>
      </c>
      <c r="I99" s="29" t="n">
        <f aca="false">MAX(0,MIN(2026+1,2028+MAX(0,MIN(1,asof-2028)))-2028)+(1-dly_d2_bind)*MAX(0,MIN(2026+1,2028+1+dly_d1_m/12)-(MAX(2028,asof)+dly_d1_m/12))+dly_d2_bind*MAX(0,MIN(2026+1,2028+1+(dly_d1_m+dly_d2_m)/12)-(MAX(2028,asof)+(dly_d1_m+dly_d2_m)/12))</f>
        <v>0</v>
      </c>
      <c r="J99" s="29" t="n">
        <f aca="false">MAX(0,MIN(2026+1,2029+MAX(0,MIN(1,asof-2029)))-2029)+(1-dly_d2_bind)*MAX(0,MIN(2026+1,2029+1+dly_d1_m/12)-(MAX(2029,asof)+dly_d1_m/12))+dly_d2_bind*MAX(0,MIN(2026+1,2029+1+(dly_d1_m+dly_d2_m)/12)-(MAX(2029,asof)+(dly_d1_m+dly_d2_m)/12))</f>
        <v>0</v>
      </c>
      <c r="K99" s="29" t="n">
        <f aca="false">MAX(0,MIN(2026+1,2030+MAX(0,MIN(1,asof-2030)))-2030)+(1-dly_d2_bind)*MAX(0,MIN(2026+1,2030+1+dly_d1_m/12)-(MAX(2030,asof)+dly_d1_m/12))+dly_d2_bind*MAX(0,MIN(2026+1,2030+1+(dly_d1_m+dly_d2_m)/12)-(MAX(2030,asof)+(dly_d1_m+dly_d2_m)/12))</f>
        <v>0</v>
      </c>
      <c r="L99" s="29" t="n">
        <f aca="false">MAX(0,MIN(2026+1,2031+MAX(0,MIN(1,asof-2031)))-2031)+(1-dly_d2_bind)*MAX(0,MIN(2026+1,2031+1+dly_d1_m/12)-(MAX(2031,asof)+dly_d1_m/12))+dly_d2_bind*MAX(0,MIN(2026+1,2031+1+(dly_d1_m+dly_d2_m)/12)-(MAX(2031,asof)+(dly_d1_m+dly_d2_m)/12))</f>
        <v>0</v>
      </c>
      <c r="M99" s="29" t="n">
        <f aca="false">MAX(0,MIN(2026+1,2032+MAX(0,MIN(1,asof-2032)))-2032)+(1-dly_d2_bind)*MAX(0,MIN(2026+1,2032+1+dly_d1_m/12)-(MAX(2032,asof)+dly_d1_m/12))+dly_d2_bind*MAX(0,MIN(2026+1,2032+1+(dly_d1_m+dly_d2_m)/12)-(MAX(2032,asof)+(dly_d1_m+dly_d2_m)/12))</f>
        <v>0</v>
      </c>
    </row>
    <row r="100" customFormat="false" ht="17.15" hidden="false" customHeight="false" outlineLevel="0" collapsed="false">
      <c r="A100" s="0" t="s">
        <v>940</v>
      </c>
      <c r="B100" s="0" t="n">
        <v>2027</v>
      </c>
      <c r="E100" s="29" t="n">
        <f aca="false">MAX(0,MIN(2027+1,2024+MAX(0,MIN(1,asof-2024)))-2024)+(1-dly_d2_bind)*MAX(0,MIN(2027+1,2024+1+dly_d1_m/12)-(MAX(2024,asof)+dly_d1_m/12))+dly_d2_bind*MAX(0,MIN(2027+1,2024+1+(dly_d1_m+dly_d2_m)/12)-(MAX(2024,asof)+(dly_d1_m+dly_d2_m)/12))</f>
        <v>1</v>
      </c>
      <c r="F100" s="29" t="n">
        <f aca="false">MAX(0,MIN(2027+1,2025+MAX(0,MIN(1,asof-2025)))-2025)+(1-dly_d2_bind)*MAX(0,MIN(2027+1,2025+1+dly_d1_m/12)-(MAX(2025,asof)+dly_d1_m/12))+dly_d2_bind*MAX(0,MIN(2027+1,2025+1+(dly_d1_m+dly_d2_m)/12)-(MAX(2025,asof)+(dly_d1_m+dly_d2_m)/12))</f>
        <v>1</v>
      </c>
      <c r="G100" s="29" t="n">
        <f aca="false">MAX(0,MIN(2027+1,2026+MAX(0,MIN(1,asof-2026)))-2026)+(1-dly_d2_bind)*MAX(0,MIN(2027+1,2026+1+dly_d1_m/12)-(MAX(2026,asof)+dly_d1_m/12))+dly_d2_bind*MAX(0,MIN(2027+1,2026+1+(dly_d1_m+dly_d2_m)/12)-(MAX(2026,asof)+(dly_d1_m+dly_d2_m)/12))</f>
        <v>0.938750000000016</v>
      </c>
      <c r="H100" s="29" t="n">
        <f aca="false">MAX(0,MIN(2027+1,2027+MAX(0,MIN(1,asof-2027)))-2027)+(1-dly_d2_bind)*MAX(0,MIN(2027+1,2027+1+dly_d1_m/12)-(MAX(2027,asof)+dly_d1_m/12))+dly_d2_bind*MAX(0,MIN(2027+1,2027+1+(dly_d1_m+dly_d2_m)/12)-(MAX(2027,asof)+(dly_d1_m+dly_d2_m)/12))</f>
        <v>0.325</v>
      </c>
      <c r="I100" s="29" t="n">
        <f aca="false">MAX(0,MIN(2027+1,2028+MAX(0,MIN(1,asof-2028)))-2028)+(1-dly_d2_bind)*MAX(0,MIN(2027+1,2028+1+dly_d1_m/12)-(MAX(2028,asof)+dly_d1_m/12))+dly_d2_bind*MAX(0,MIN(2027+1,2028+1+(dly_d1_m+dly_d2_m)/12)-(MAX(2028,asof)+(dly_d1_m+dly_d2_m)/12))</f>
        <v>0</v>
      </c>
      <c r="J100" s="29" t="n">
        <f aca="false">MAX(0,MIN(2027+1,2029+MAX(0,MIN(1,asof-2029)))-2029)+(1-dly_d2_bind)*MAX(0,MIN(2027+1,2029+1+dly_d1_m/12)-(MAX(2029,asof)+dly_d1_m/12))+dly_d2_bind*MAX(0,MIN(2027+1,2029+1+(dly_d1_m+dly_d2_m)/12)-(MAX(2029,asof)+(dly_d1_m+dly_d2_m)/12))</f>
        <v>0</v>
      </c>
      <c r="K100" s="29" t="n">
        <f aca="false">MAX(0,MIN(2027+1,2030+MAX(0,MIN(1,asof-2030)))-2030)+(1-dly_d2_bind)*MAX(0,MIN(2027+1,2030+1+dly_d1_m/12)-(MAX(2030,asof)+dly_d1_m/12))+dly_d2_bind*MAX(0,MIN(2027+1,2030+1+(dly_d1_m+dly_d2_m)/12)-(MAX(2030,asof)+(dly_d1_m+dly_d2_m)/12))</f>
        <v>0</v>
      </c>
      <c r="L100" s="29" t="n">
        <f aca="false">MAX(0,MIN(2027+1,2031+MAX(0,MIN(1,asof-2031)))-2031)+(1-dly_d2_bind)*MAX(0,MIN(2027+1,2031+1+dly_d1_m/12)-(MAX(2031,asof)+dly_d1_m/12))+dly_d2_bind*MAX(0,MIN(2027+1,2031+1+(dly_d1_m+dly_d2_m)/12)-(MAX(2031,asof)+(dly_d1_m+dly_d2_m)/12))</f>
        <v>0</v>
      </c>
      <c r="M100" s="29" t="n">
        <f aca="false">MAX(0,MIN(2027+1,2032+MAX(0,MIN(1,asof-2032)))-2032)+(1-dly_d2_bind)*MAX(0,MIN(2027+1,2032+1+dly_d1_m/12)-(MAX(2032,asof)+dly_d1_m/12))+dly_d2_bind*MAX(0,MIN(2027+1,2032+1+(dly_d1_m+dly_d2_m)/12)-(MAX(2032,asof)+(dly_d1_m+dly_d2_m)/12))</f>
        <v>0</v>
      </c>
    </row>
    <row r="101" customFormat="false" ht="17.15" hidden="false" customHeight="false" outlineLevel="0" collapsed="false">
      <c r="A101" s="0" t="s">
        <v>941</v>
      </c>
      <c r="B101" s="0" t="n">
        <v>2028</v>
      </c>
      <c r="E101" s="29" t="n">
        <f aca="false">MAX(0,MIN(2028+1,2024+MAX(0,MIN(1,asof-2024)))-2024)+(1-dly_d2_bind)*MAX(0,MIN(2028+1,2024+1+dly_d1_m/12)-(MAX(2024,asof)+dly_d1_m/12))+dly_d2_bind*MAX(0,MIN(2028+1,2024+1+(dly_d1_m+dly_d2_m)/12)-(MAX(2024,asof)+(dly_d1_m+dly_d2_m)/12))</f>
        <v>1</v>
      </c>
      <c r="F101" s="29" t="n">
        <f aca="false">MAX(0,MIN(2028+1,2025+MAX(0,MIN(1,asof-2025)))-2025)+(1-dly_d2_bind)*MAX(0,MIN(2028+1,2025+1+dly_d1_m/12)-(MAX(2025,asof)+dly_d1_m/12))+dly_d2_bind*MAX(0,MIN(2028+1,2025+1+(dly_d1_m+dly_d2_m)/12)-(MAX(2025,asof)+(dly_d1_m+dly_d2_m)/12))</f>
        <v>1</v>
      </c>
      <c r="G101" s="29" t="n">
        <f aca="false">MAX(0,MIN(2028+1,2026+MAX(0,MIN(1,asof-2026)))-2026)+(1-dly_d2_bind)*MAX(0,MIN(2028+1,2026+1+dly_d1_m/12)-(MAX(2026,asof)+dly_d1_m/12))+dly_d2_bind*MAX(0,MIN(2028+1,2026+1+(dly_d1_m+dly_d2_m)/12)-(MAX(2026,asof)+(dly_d1_m+dly_d2_m)/12))</f>
        <v>1</v>
      </c>
      <c r="H101" s="29" t="n">
        <f aca="false">MAX(0,MIN(2028+1,2027+MAX(0,MIN(1,asof-2027)))-2027)+(1-dly_d2_bind)*MAX(0,MIN(2028+1,2027+1+dly_d1_m/12)-(MAX(2027,asof)+dly_d1_m/12))+dly_d2_bind*MAX(0,MIN(2028+1,2027+1+(dly_d1_m+dly_d2_m)/12)-(MAX(2027,asof)+(dly_d1_m+dly_d2_m)/12))</f>
        <v>0.825</v>
      </c>
      <c r="I101" s="29" t="n">
        <f aca="false">MAX(0,MIN(2028+1,2028+MAX(0,MIN(1,asof-2028)))-2028)+(1-dly_d2_bind)*MAX(0,MIN(2028+1,2028+1+dly_d1_m/12)-(MAX(2028,asof)+dly_d1_m/12))+dly_d2_bind*MAX(0,MIN(2028+1,2028+1+(dly_d1_m+dly_d2_m)/12)-(MAX(2028,asof)+(dly_d1_m+dly_d2_m)/12))</f>
        <v>0.325</v>
      </c>
      <c r="J101" s="29" t="n">
        <f aca="false">MAX(0,MIN(2028+1,2029+MAX(0,MIN(1,asof-2029)))-2029)+(1-dly_d2_bind)*MAX(0,MIN(2028+1,2029+1+dly_d1_m/12)-(MAX(2029,asof)+dly_d1_m/12))+dly_d2_bind*MAX(0,MIN(2028+1,2029+1+(dly_d1_m+dly_d2_m)/12)-(MAX(2029,asof)+(dly_d1_m+dly_d2_m)/12))</f>
        <v>0</v>
      </c>
      <c r="K101" s="29" t="n">
        <f aca="false">MAX(0,MIN(2028+1,2030+MAX(0,MIN(1,asof-2030)))-2030)+(1-dly_d2_bind)*MAX(0,MIN(2028+1,2030+1+dly_d1_m/12)-(MAX(2030,asof)+dly_d1_m/12))+dly_d2_bind*MAX(0,MIN(2028+1,2030+1+(dly_d1_m+dly_d2_m)/12)-(MAX(2030,asof)+(dly_d1_m+dly_d2_m)/12))</f>
        <v>0</v>
      </c>
      <c r="L101" s="29" t="n">
        <f aca="false">MAX(0,MIN(2028+1,2031+MAX(0,MIN(1,asof-2031)))-2031)+(1-dly_d2_bind)*MAX(0,MIN(2028+1,2031+1+dly_d1_m/12)-(MAX(2031,asof)+dly_d1_m/12))+dly_d2_bind*MAX(0,MIN(2028+1,2031+1+(dly_d1_m+dly_d2_m)/12)-(MAX(2031,asof)+(dly_d1_m+dly_d2_m)/12))</f>
        <v>0</v>
      </c>
      <c r="M101" s="29" t="n">
        <f aca="false">MAX(0,MIN(2028+1,2032+MAX(0,MIN(1,asof-2032)))-2032)+(1-dly_d2_bind)*MAX(0,MIN(2028+1,2032+1+dly_d1_m/12)-(MAX(2032,asof)+dly_d1_m/12))+dly_d2_bind*MAX(0,MIN(2028+1,2032+1+(dly_d1_m+dly_d2_m)/12)-(MAX(2032,asof)+(dly_d1_m+dly_d2_m)/12))</f>
        <v>0</v>
      </c>
    </row>
    <row r="102" customFormat="false" ht="17.15" hidden="false" customHeight="false" outlineLevel="0" collapsed="false">
      <c r="A102" s="0" t="s">
        <v>942</v>
      </c>
      <c r="B102" s="0" t="n">
        <v>2029</v>
      </c>
      <c r="E102" s="29" t="n">
        <f aca="false">MAX(0,MIN(2029+1,2024+MAX(0,MIN(1,asof-2024)))-2024)+(1-dly_d2_bind)*MAX(0,MIN(2029+1,2024+1+dly_d1_m/12)-(MAX(2024,asof)+dly_d1_m/12))+dly_d2_bind*MAX(0,MIN(2029+1,2024+1+(dly_d1_m+dly_d2_m)/12)-(MAX(2024,asof)+(dly_d1_m+dly_d2_m)/12))</f>
        <v>1</v>
      </c>
      <c r="F102" s="29" t="n">
        <f aca="false">MAX(0,MIN(2029+1,2025+MAX(0,MIN(1,asof-2025)))-2025)+(1-dly_d2_bind)*MAX(0,MIN(2029+1,2025+1+dly_d1_m/12)-(MAX(2025,asof)+dly_d1_m/12))+dly_d2_bind*MAX(0,MIN(2029+1,2025+1+(dly_d1_m+dly_d2_m)/12)-(MAX(2025,asof)+(dly_d1_m+dly_d2_m)/12))</f>
        <v>1</v>
      </c>
      <c r="G102" s="29" t="n">
        <f aca="false">MAX(0,MIN(2029+1,2026+MAX(0,MIN(1,asof-2026)))-2026)+(1-dly_d2_bind)*MAX(0,MIN(2029+1,2026+1+dly_d1_m/12)-(MAX(2026,asof)+dly_d1_m/12))+dly_d2_bind*MAX(0,MIN(2029+1,2026+1+(dly_d1_m+dly_d2_m)/12)-(MAX(2026,asof)+(dly_d1_m+dly_d2_m)/12))</f>
        <v>1</v>
      </c>
      <c r="H102" s="29" t="n">
        <f aca="false">MAX(0,MIN(2029+1,2027+MAX(0,MIN(1,asof-2027)))-2027)+(1-dly_d2_bind)*MAX(0,MIN(2029+1,2027+1+dly_d1_m/12)-(MAX(2027,asof)+dly_d1_m/12))+dly_d2_bind*MAX(0,MIN(2029+1,2027+1+(dly_d1_m+dly_d2_m)/12)-(MAX(2027,asof)+(dly_d1_m+dly_d2_m)/12))</f>
        <v>1</v>
      </c>
      <c r="I102" s="29" t="n">
        <f aca="false">MAX(0,MIN(2029+1,2028+MAX(0,MIN(1,asof-2028)))-2028)+(1-dly_d2_bind)*MAX(0,MIN(2029+1,2028+1+dly_d1_m/12)-(MAX(2028,asof)+dly_d1_m/12))+dly_d2_bind*MAX(0,MIN(2029+1,2028+1+(dly_d1_m+dly_d2_m)/12)-(MAX(2028,asof)+(dly_d1_m+dly_d2_m)/12))</f>
        <v>0.825</v>
      </c>
      <c r="J102" s="29" t="n">
        <f aca="false">MAX(0,MIN(2029+1,2029+MAX(0,MIN(1,asof-2029)))-2029)+(1-dly_d2_bind)*MAX(0,MIN(2029+1,2029+1+dly_d1_m/12)-(MAX(2029,asof)+dly_d1_m/12))+dly_d2_bind*MAX(0,MIN(2029+1,2029+1+(dly_d1_m+dly_d2_m)/12)-(MAX(2029,asof)+(dly_d1_m+dly_d2_m)/12))</f>
        <v>0.325</v>
      </c>
      <c r="K102" s="29" t="n">
        <f aca="false">MAX(0,MIN(2029+1,2030+MAX(0,MIN(1,asof-2030)))-2030)+(1-dly_d2_bind)*MAX(0,MIN(2029+1,2030+1+dly_d1_m/12)-(MAX(2030,asof)+dly_d1_m/12))+dly_d2_bind*MAX(0,MIN(2029+1,2030+1+(dly_d1_m+dly_d2_m)/12)-(MAX(2030,asof)+(dly_d1_m+dly_d2_m)/12))</f>
        <v>0</v>
      </c>
      <c r="L102" s="29" t="n">
        <f aca="false">MAX(0,MIN(2029+1,2031+MAX(0,MIN(1,asof-2031)))-2031)+(1-dly_d2_bind)*MAX(0,MIN(2029+1,2031+1+dly_d1_m/12)-(MAX(2031,asof)+dly_d1_m/12))+dly_d2_bind*MAX(0,MIN(2029+1,2031+1+(dly_d1_m+dly_d2_m)/12)-(MAX(2031,asof)+(dly_d1_m+dly_d2_m)/12))</f>
        <v>0</v>
      </c>
      <c r="M102" s="29" t="n">
        <f aca="false">MAX(0,MIN(2029+1,2032+MAX(0,MIN(1,asof-2032)))-2032)+(1-dly_d2_bind)*MAX(0,MIN(2029+1,2032+1+dly_d1_m/12)-(MAX(2032,asof)+dly_d1_m/12))+dly_d2_bind*MAX(0,MIN(2029+1,2032+1+(dly_d1_m+dly_d2_m)/12)-(MAX(2032,asof)+(dly_d1_m+dly_d2_m)/12))</f>
        <v>0</v>
      </c>
    </row>
    <row r="103" customFormat="false" ht="17.15" hidden="false" customHeight="false" outlineLevel="0" collapsed="false">
      <c r="A103" s="0" t="s">
        <v>943</v>
      </c>
      <c r="B103" s="0" t="n">
        <v>2030</v>
      </c>
      <c r="E103" s="29" t="n">
        <f aca="false">MAX(0,MIN(2030+1,2024+MAX(0,MIN(1,asof-2024)))-2024)+(1-dly_d2_bind)*MAX(0,MIN(2030+1,2024+1+dly_d1_m/12)-(MAX(2024,asof)+dly_d1_m/12))+dly_d2_bind*MAX(0,MIN(2030+1,2024+1+(dly_d1_m+dly_d2_m)/12)-(MAX(2024,asof)+(dly_d1_m+dly_d2_m)/12))</f>
        <v>1</v>
      </c>
      <c r="F103" s="29" t="n">
        <f aca="false">MAX(0,MIN(2030+1,2025+MAX(0,MIN(1,asof-2025)))-2025)+(1-dly_d2_bind)*MAX(0,MIN(2030+1,2025+1+dly_d1_m/12)-(MAX(2025,asof)+dly_d1_m/12))+dly_d2_bind*MAX(0,MIN(2030+1,2025+1+(dly_d1_m+dly_d2_m)/12)-(MAX(2025,asof)+(dly_d1_m+dly_d2_m)/12))</f>
        <v>1</v>
      </c>
      <c r="G103" s="29" t="n">
        <f aca="false">MAX(0,MIN(2030+1,2026+MAX(0,MIN(1,asof-2026)))-2026)+(1-dly_d2_bind)*MAX(0,MIN(2030+1,2026+1+dly_d1_m/12)-(MAX(2026,asof)+dly_d1_m/12))+dly_d2_bind*MAX(0,MIN(2030+1,2026+1+(dly_d1_m+dly_d2_m)/12)-(MAX(2026,asof)+(dly_d1_m+dly_d2_m)/12))</f>
        <v>1</v>
      </c>
      <c r="H103" s="29" t="n">
        <f aca="false">MAX(0,MIN(2030+1,2027+MAX(0,MIN(1,asof-2027)))-2027)+(1-dly_d2_bind)*MAX(0,MIN(2030+1,2027+1+dly_d1_m/12)-(MAX(2027,asof)+dly_d1_m/12))+dly_d2_bind*MAX(0,MIN(2030+1,2027+1+(dly_d1_m+dly_d2_m)/12)-(MAX(2027,asof)+(dly_d1_m+dly_d2_m)/12))</f>
        <v>1</v>
      </c>
      <c r="I103" s="29" t="n">
        <f aca="false">MAX(0,MIN(2030+1,2028+MAX(0,MIN(1,asof-2028)))-2028)+(1-dly_d2_bind)*MAX(0,MIN(2030+1,2028+1+dly_d1_m/12)-(MAX(2028,asof)+dly_d1_m/12))+dly_d2_bind*MAX(0,MIN(2030+1,2028+1+(dly_d1_m+dly_d2_m)/12)-(MAX(2028,asof)+(dly_d1_m+dly_d2_m)/12))</f>
        <v>1</v>
      </c>
      <c r="J103" s="29" t="n">
        <f aca="false">MAX(0,MIN(2030+1,2029+MAX(0,MIN(1,asof-2029)))-2029)+(1-dly_d2_bind)*MAX(0,MIN(2030+1,2029+1+dly_d1_m/12)-(MAX(2029,asof)+dly_d1_m/12))+dly_d2_bind*MAX(0,MIN(2030+1,2029+1+(dly_d1_m+dly_d2_m)/12)-(MAX(2029,asof)+(dly_d1_m+dly_d2_m)/12))</f>
        <v>0.825</v>
      </c>
      <c r="K103" s="29" t="n">
        <f aca="false">MAX(0,MIN(2030+1,2030+MAX(0,MIN(1,asof-2030)))-2030)+(1-dly_d2_bind)*MAX(0,MIN(2030+1,2030+1+dly_d1_m/12)-(MAX(2030,asof)+dly_d1_m/12))+dly_d2_bind*MAX(0,MIN(2030+1,2030+1+(dly_d1_m+dly_d2_m)/12)-(MAX(2030,asof)+(dly_d1_m+dly_d2_m)/12))</f>
        <v>0.325</v>
      </c>
      <c r="L103" s="29" t="n">
        <f aca="false">MAX(0,MIN(2030+1,2031+MAX(0,MIN(1,asof-2031)))-2031)+(1-dly_d2_bind)*MAX(0,MIN(2030+1,2031+1+dly_d1_m/12)-(MAX(2031,asof)+dly_d1_m/12))+dly_d2_bind*MAX(0,MIN(2030+1,2031+1+(dly_d1_m+dly_d2_m)/12)-(MAX(2031,asof)+(dly_d1_m+dly_d2_m)/12))</f>
        <v>0</v>
      </c>
      <c r="M103" s="29" t="n">
        <f aca="false">MAX(0,MIN(2030+1,2032+MAX(0,MIN(1,asof-2032)))-2032)+(1-dly_d2_bind)*MAX(0,MIN(2030+1,2032+1+dly_d1_m/12)-(MAX(2032,asof)+dly_d1_m/12))+dly_d2_bind*MAX(0,MIN(2030+1,2032+1+(dly_d1_m+dly_d2_m)/12)-(MAX(2032,asof)+(dly_d1_m+dly_d2_m)/12))</f>
        <v>0</v>
      </c>
    </row>
    <row r="104" customFormat="false" ht="17.15" hidden="false" customHeight="false" outlineLevel="0" collapsed="false">
      <c r="A104" s="0" t="s">
        <v>944</v>
      </c>
      <c r="B104" s="0" t="n">
        <v>2031</v>
      </c>
      <c r="E104" s="29" t="n">
        <f aca="false">MAX(0,MIN(2031+1,2024+MAX(0,MIN(1,asof-2024)))-2024)+(1-dly_d2_bind)*MAX(0,MIN(2031+1,2024+1+dly_d1_m/12)-(MAX(2024,asof)+dly_d1_m/12))+dly_d2_bind*MAX(0,MIN(2031+1,2024+1+(dly_d1_m+dly_d2_m)/12)-(MAX(2024,asof)+(dly_d1_m+dly_d2_m)/12))</f>
        <v>1</v>
      </c>
      <c r="F104" s="29" t="n">
        <f aca="false">MAX(0,MIN(2031+1,2025+MAX(0,MIN(1,asof-2025)))-2025)+(1-dly_d2_bind)*MAX(0,MIN(2031+1,2025+1+dly_d1_m/12)-(MAX(2025,asof)+dly_d1_m/12))+dly_d2_bind*MAX(0,MIN(2031+1,2025+1+(dly_d1_m+dly_d2_m)/12)-(MAX(2025,asof)+(dly_d1_m+dly_d2_m)/12))</f>
        <v>1</v>
      </c>
      <c r="G104" s="29" t="n">
        <f aca="false">MAX(0,MIN(2031+1,2026+MAX(0,MIN(1,asof-2026)))-2026)+(1-dly_d2_bind)*MAX(0,MIN(2031+1,2026+1+dly_d1_m/12)-(MAX(2026,asof)+dly_d1_m/12))+dly_d2_bind*MAX(0,MIN(2031+1,2026+1+(dly_d1_m+dly_d2_m)/12)-(MAX(2026,asof)+(dly_d1_m+dly_d2_m)/12))</f>
        <v>1</v>
      </c>
      <c r="H104" s="29" t="n">
        <f aca="false">MAX(0,MIN(2031+1,2027+MAX(0,MIN(1,asof-2027)))-2027)+(1-dly_d2_bind)*MAX(0,MIN(2031+1,2027+1+dly_d1_m/12)-(MAX(2027,asof)+dly_d1_m/12))+dly_d2_bind*MAX(0,MIN(2031+1,2027+1+(dly_d1_m+dly_d2_m)/12)-(MAX(2027,asof)+(dly_d1_m+dly_d2_m)/12))</f>
        <v>1</v>
      </c>
      <c r="I104" s="29" t="n">
        <f aca="false">MAX(0,MIN(2031+1,2028+MAX(0,MIN(1,asof-2028)))-2028)+(1-dly_d2_bind)*MAX(0,MIN(2031+1,2028+1+dly_d1_m/12)-(MAX(2028,asof)+dly_d1_m/12))+dly_d2_bind*MAX(0,MIN(2031+1,2028+1+(dly_d1_m+dly_d2_m)/12)-(MAX(2028,asof)+(dly_d1_m+dly_d2_m)/12))</f>
        <v>1</v>
      </c>
      <c r="J104" s="29" t="n">
        <f aca="false">MAX(0,MIN(2031+1,2029+MAX(0,MIN(1,asof-2029)))-2029)+(1-dly_d2_bind)*MAX(0,MIN(2031+1,2029+1+dly_d1_m/12)-(MAX(2029,asof)+dly_d1_m/12))+dly_d2_bind*MAX(0,MIN(2031+1,2029+1+(dly_d1_m+dly_d2_m)/12)-(MAX(2029,asof)+(dly_d1_m+dly_d2_m)/12))</f>
        <v>1</v>
      </c>
      <c r="K104" s="29" t="n">
        <f aca="false">MAX(0,MIN(2031+1,2030+MAX(0,MIN(1,asof-2030)))-2030)+(1-dly_d2_bind)*MAX(0,MIN(2031+1,2030+1+dly_d1_m/12)-(MAX(2030,asof)+dly_d1_m/12))+dly_d2_bind*MAX(0,MIN(2031+1,2030+1+(dly_d1_m+dly_d2_m)/12)-(MAX(2030,asof)+(dly_d1_m+dly_d2_m)/12))</f>
        <v>0.825</v>
      </c>
      <c r="L104" s="29" t="n">
        <f aca="false">MAX(0,MIN(2031+1,2031+MAX(0,MIN(1,asof-2031)))-2031)+(1-dly_d2_bind)*MAX(0,MIN(2031+1,2031+1+dly_d1_m/12)-(MAX(2031,asof)+dly_d1_m/12))+dly_d2_bind*MAX(0,MIN(2031+1,2031+1+(dly_d1_m+dly_d2_m)/12)-(MAX(2031,asof)+(dly_d1_m+dly_d2_m)/12))</f>
        <v>0.325</v>
      </c>
      <c r="M104" s="29" t="n">
        <f aca="false">MAX(0,MIN(2031+1,2032+MAX(0,MIN(1,asof-2032)))-2032)+(1-dly_d2_bind)*MAX(0,MIN(2031+1,2032+1+dly_d1_m/12)-(MAX(2032,asof)+dly_d1_m/12))+dly_d2_bind*MAX(0,MIN(2031+1,2032+1+(dly_d1_m+dly_d2_m)/12)-(MAX(2032,asof)+(dly_d1_m+dly_d2_m)/12))</f>
        <v>0</v>
      </c>
    </row>
    <row r="105" customFormat="false" ht="17.15" hidden="false" customHeight="false" outlineLevel="0" collapsed="false">
      <c r="A105" s="0" t="s">
        <v>945</v>
      </c>
      <c r="B105" s="0" t="n">
        <v>2032</v>
      </c>
      <c r="E105" s="29" t="n">
        <f aca="false">MAX(0,MIN(2032+1,2024+MAX(0,MIN(1,asof-2024)))-2024)+(1-dly_d2_bind)*MAX(0,MIN(2032+1,2024+1+dly_d1_m/12)-(MAX(2024,asof)+dly_d1_m/12))+dly_d2_bind*MAX(0,MIN(2032+1,2024+1+(dly_d1_m+dly_d2_m)/12)-(MAX(2024,asof)+(dly_d1_m+dly_d2_m)/12))</f>
        <v>1</v>
      </c>
      <c r="F105" s="29" t="n">
        <f aca="false">MAX(0,MIN(2032+1,2025+MAX(0,MIN(1,asof-2025)))-2025)+(1-dly_d2_bind)*MAX(0,MIN(2032+1,2025+1+dly_d1_m/12)-(MAX(2025,asof)+dly_d1_m/12))+dly_d2_bind*MAX(0,MIN(2032+1,2025+1+(dly_d1_m+dly_d2_m)/12)-(MAX(2025,asof)+(dly_d1_m+dly_d2_m)/12))</f>
        <v>1</v>
      </c>
      <c r="G105" s="29" t="n">
        <f aca="false">MAX(0,MIN(2032+1,2026+MAX(0,MIN(1,asof-2026)))-2026)+(1-dly_d2_bind)*MAX(0,MIN(2032+1,2026+1+dly_d1_m/12)-(MAX(2026,asof)+dly_d1_m/12))+dly_d2_bind*MAX(0,MIN(2032+1,2026+1+(dly_d1_m+dly_d2_m)/12)-(MAX(2026,asof)+(dly_d1_m+dly_d2_m)/12))</f>
        <v>1</v>
      </c>
      <c r="H105" s="29" t="n">
        <f aca="false">MAX(0,MIN(2032+1,2027+MAX(0,MIN(1,asof-2027)))-2027)+(1-dly_d2_bind)*MAX(0,MIN(2032+1,2027+1+dly_d1_m/12)-(MAX(2027,asof)+dly_d1_m/12))+dly_d2_bind*MAX(0,MIN(2032+1,2027+1+(dly_d1_m+dly_d2_m)/12)-(MAX(2027,asof)+(dly_d1_m+dly_d2_m)/12))</f>
        <v>1</v>
      </c>
      <c r="I105" s="29" t="n">
        <f aca="false">MAX(0,MIN(2032+1,2028+MAX(0,MIN(1,asof-2028)))-2028)+(1-dly_d2_bind)*MAX(0,MIN(2032+1,2028+1+dly_d1_m/12)-(MAX(2028,asof)+dly_d1_m/12))+dly_d2_bind*MAX(0,MIN(2032+1,2028+1+(dly_d1_m+dly_d2_m)/12)-(MAX(2028,asof)+(dly_d1_m+dly_d2_m)/12))</f>
        <v>1</v>
      </c>
      <c r="J105" s="29" t="n">
        <f aca="false">MAX(0,MIN(2032+1,2029+MAX(0,MIN(1,asof-2029)))-2029)+(1-dly_d2_bind)*MAX(0,MIN(2032+1,2029+1+dly_d1_m/12)-(MAX(2029,asof)+dly_d1_m/12))+dly_d2_bind*MAX(0,MIN(2032+1,2029+1+(dly_d1_m+dly_d2_m)/12)-(MAX(2029,asof)+(dly_d1_m+dly_d2_m)/12))</f>
        <v>1</v>
      </c>
      <c r="K105" s="29" t="n">
        <f aca="false">MAX(0,MIN(2032+1,2030+MAX(0,MIN(1,asof-2030)))-2030)+(1-dly_d2_bind)*MAX(0,MIN(2032+1,2030+1+dly_d1_m/12)-(MAX(2030,asof)+dly_d1_m/12))+dly_d2_bind*MAX(0,MIN(2032+1,2030+1+(dly_d1_m+dly_d2_m)/12)-(MAX(2030,asof)+(dly_d1_m+dly_d2_m)/12))</f>
        <v>1</v>
      </c>
      <c r="L105" s="29" t="n">
        <f aca="false">MAX(0,MIN(2032+1,2031+MAX(0,MIN(1,asof-2031)))-2031)+(1-dly_d2_bind)*MAX(0,MIN(2032+1,2031+1+dly_d1_m/12)-(MAX(2031,asof)+dly_d1_m/12))+dly_d2_bind*MAX(0,MIN(2032+1,2031+1+(dly_d1_m+dly_d2_m)/12)-(MAX(2031,asof)+(dly_d1_m+dly_d2_m)/12))</f>
        <v>0.825</v>
      </c>
      <c r="M105" s="29" t="n">
        <f aca="false">MAX(0,MIN(2032+1,2032+MAX(0,MIN(1,asof-2032)))-2032)+(1-dly_d2_bind)*MAX(0,MIN(2032+1,2032+1+dly_d1_m/12)-(MAX(2032,asof)+dly_d1_m/12))+dly_d2_bind*MAX(0,MIN(2032+1,2032+1+(dly_d1_m+dly_d2_m)/12)-(MAX(2032,asof)+(dly_d1_m+dly_d2_m)/12))</f>
        <v>0.325</v>
      </c>
    </row>
    <row r="107" customFormat="false" ht="17.15" hidden="false" customHeight="false" outlineLevel="0" collapsed="false">
      <c r="A107" s="7" t="s">
        <v>946</v>
      </c>
    </row>
    <row r="108" customFormat="false" ht="15" hidden="false" customHeight="false" outlineLevel="0" collapsed="false">
      <c r="A108" s="5" t="s">
        <v>12</v>
      </c>
      <c r="B108" s="5" t="s">
        <v>947</v>
      </c>
      <c r="C108" s="5"/>
      <c r="D108" s="6" t="s">
        <v>18</v>
      </c>
      <c r="E108" s="6" t="s">
        <v>19</v>
      </c>
      <c r="F108" s="6" t="s">
        <v>20</v>
      </c>
      <c r="G108" s="6" t="s">
        <v>21</v>
      </c>
      <c r="H108" s="6" t="s">
        <v>22</v>
      </c>
      <c r="I108" s="6" t="s">
        <v>23</v>
      </c>
      <c r="J108" s="6" t="s">
        <v>24</v>
      </c>
      <c r="K108" s="6" t="s">
        <v>25</v>
      </c>
      <c r="L108" s="6" t="s">
        <v>26</v>
      </c>
      <c r="M108" s="6" t="s">
        <v>27</v>
      </c>
    </row>
    <row r="109" customFormat="false" ht="15" hidden="false" customHeight="false" outlineLevel="0" collapsed="false">
      <c r="A109" s="4" t="s">
        <v>948</v>
      </c>
      <c r="D109" s="25" t="n">
        <f aca="false">SUM($D$67:D67)</f>
        <v>0.929549902152642</v>
      </c>
      <c r="E109" s="25" t="n">
        <f aca="false">SUM($D$67:E67)</f>
        <v>1.90802348336595</v>
      </c>
      <c r="F109" s="25" t="n">
        <f aca="false">SUM($D$67:F67)</f>
        <v>2.09882583170254</v>
      </c>
      <c r="G109" s="25" t="n">
        <f aca="false">SUM($D$67:G67)</f>
        <v>4.86355729506414</v>
      </c>
      <c r="H109" s="25" t="n">
        <f aca="false">SUM($D$67:H67)</f>
        <v>4.86355729506414</v>
      </c>
      <c r="I109" s="25" t="n">
        <f aca="false">SUM($D$67:I67)</f>
        <v>4.86355729506414</v>
      </c>
      <c r="J109" s="25" t="n">
        <f aca="false">SUM($D$67:J67)</f>
        <v>4.86355729506414</v>
      </c>
      <c r="K109" s="25" t="n">
        <f aca="false">SUM($D$67:K67)</f>
        <v>4.86355729506414</v>
      </c>
      <c r="L109" s="25" t="n">
        <f aca="false">SUM($D$67:L67)</f>
        <v>4.86355729506414</v>
      </c>
      <c r="M109" s="25" t="n">
        <f aca="false">SUM($D$67:M67)</f>
        <v>4.86355729506414</v>
      </c>
    </row>
    <row r="110" customFormat="false" ht="15" hidden="false" customHeight="false" outlineLevel="0" collapsed="false">
      <c r="A110" s="4" t="s">
        <v>949</v>
      </c>
      <c r="D110" s="25" t="n">
        <f aca="false">SUM($D$64:D64)</f>
        <v>0</v>
      </c>
      <c r="E110" s="25" t="n">
        <f aca="false">SUM($D$64:E64)</f>
        <v>0</v>
      </c>
      <c r="F110" s="25" t="n">
        <f aca="false">SUM($D$64:F64)</f>
        <v>0</v>
      </c>
      <c r="G110" s="25" t="n">
        <f aca="false">SUM($D$64:G64)</f>
        <v>4.85431615568602</v>
      </c>
      <c r="H110" s="25" t="n">
        <f aca="false">SUM($D$64:H64)</f>
        <v>4.85431615568602</v>
      </c>
      <c r="I110" s="25" t="n">
        <f aca="false">SUM($D$64:I64)</f>
        <v>4.85431615568602</v>
      </c>
      <c r="J110" s="25" t="n">
        <f aca="false">SUM($D$64:J64)</f>
        <v>4.85431615568602</v>
      </c>
      <c r="K110" s="25" t="n">
        <f aca="false">SUM($D$64:K64)</f>
        <v>4.85431615568602</v>
      </c>
      <c r="L110" s="25" t="n">
        <f aca="false">SUM($D$64:L64)</f>
        <v>4.85431615568602</v>
      </c>
      <c r="M110" s="25" t="n">
        <f aca="false">SUM($D$64:M64)</f>
        <v>4.85431615568602</v>
      </c>
    </row>
    <row r="111" customFormat="false" ht="15" hidden="false" customHeight="false" outlineLevel="0" collapsed="false">
      <c r="A111" s="4" t="s">
        <v>950</v>
      </c>
      <c r="B111" s="0" t="s">
        <v>951</v>
      </c>
      <c r="D111" s="25" t="n">
        <f aca="false">SUMPRODUCT($E$65:$M$65,$E$72:$M$72)</f>
        <v>0</v>
      </c>
      <c r="E111" s="25" t="n">
        <f aca="false">SUMPRODUCT($E$65:$M$65,$E$73:$M$73)</f>
        <v>2.27984344422701</v>
      </c>
      <c r="F111" s="25" t="n">
        <f aca="false">SUMPRODUCT($E$65:$M$65,$E$74:$M$74)</f>
        <v>8.77147205914329</v>
      </c>
      <c r="G111" s="25" t="n">
        <f aca="false">SUMPRODUCT($E$65:$M$65,$E$75:$M$75)</f>
        <v>10.6621809088932</v>
      </c>
      <c r="H111" s="25" t="n">
        <f aca="false">SUMPRODUCT($E$65:$M$65,$E$76:$M$76)</f>
        <v>14.6461709067189</v>
      </c>
      <c r="I111" s="25" t="n">
        <f aca="false">SUMPRODUCT($E$65:$M$65,$E$77:$M$77)</f>
        <v>16.3177299412916</v>
      </c>
      <c r="J111" s="25" t="n">
        <f aca="false">SUMPRODUCT($E$65:$M$65,$E$78:$M$78)</f>
        <v>17.9892889758643</v>
      </c>
      <c r="K111" s="25" t="n">
        <f aca="false">SUMPRODUCT($E$65:$M$65,$E$79:$M$79)</f>
        <v>19.6608480104371</v>
      </c>
      <c r="L111" s="25" t="n">
        <f aca="false">SUMPRODUCT($E$65:$M$65,$E$80:$M$80)</f>
        <v>19.6608480104371</v>
      </c>
      <c r="M111" s="25" t="n">
        <f aca="false">SUMPRODUCT($E$65:$M$65,$E$81:$M$81)</f>
        <v>19.6608480104371</v>
      </c>
    </row>
    <row r="112" customFormat="false" ht="15" hidden="false" customHeight="false" outlineLevel="0" collapsed="false">
      <c r="A112" s="4" t="s">
        <v>950</v>
      </c>
      <c r="B112" s="0" t="s">
        <v>952</v>
      </c>
      <c r="D112" s="25" t="n">
        <f aca="false">SUMPRODUCT($E$65:$M$65,$E$84:$M$84)</f>
        <v>0</v>
      </c>
      <c r="E112" s="25" t="n">
        <f aca="false">SUMPRODUCT($E$65:$M$65,$E$85:$M$85)</f>
        <v>2.27984344422701</v>
      </c>
      <c r="F112" s="25" t="n">
        <f aca="false">SUMPRODUCT($E$65:$M$65,$E$86:$M$86)</f>
        <v>8.77147205914329</v>
      </c>
      <c r="G112" s="25" t="n">
        <f aca="false">SUMPRODUCT($E$65:$M$65,$E$87:$M$87)</f>
        <v>10.3313068601871</v>
      </c>
      <c r="H112" s="25" t="n">
        <f aca="false">SUMPRODUCT($E$65:$M$65,$E$88:$M$88)</f>
        <v>12.654175907806</v>
      </c>
      <c r="I112" s="25" t="n">
        <f aca="false">SUMPRODUCT($E$65:$M$65,$E$89:$M$89)</f>
        <v>15.4819504240052</v>
      </c>
      <c r="J112" s="25" t="n">
        <f aca="false">SUMPRODUCT($E$65:$M$65,$E$90:$M$90)</f>
        <v>17.153509458578</v>
      </c>
      <c r="K112" s="25" t="n">
        <f aca="false">SUMPRODUCT($E$65:$M$65,$E$91:$M$91)</f>
        <v>18.8250684931507</v>
      </c>
      <c r="L112" s="25" t="n">
        <f aca="false">SUMPRODUCT($E$65:$M$65,$E$92:$M$92)</f>
        <v>19.6608480104371</v>
      </c>
      <c r="M112" s="25" t="n">
        <f aca="false">SUMPRODUCT($E$65:$M$65,$E$93:$M$93)</f>
        <v>19.6608480104371</v>
      </c>
    </row>
    <row r="113" customFormat="false" ht="15" hidden="false" customHeight="false" outlineLevel="0" collapsed="false">
      <c r="A113" s="4" t="s">
        <v>950</v>
      </c>
      <c r="B113" s="0" t="s">
        <v>953</v>
      </c>
      <c r="D113" s="25" t="n">
        <f aca="false">SUMPRODUCT($E$65:$M$65,$E$96:$M$96)</f>
        <v>0</v>
      </c>
      <c r="E113" s="25" t="n">
        <f aca="false">SUMPRODUCT($E$65:$M$65,$E$97:$M$97)</f>
        <v>2.27984344422701</v>
      </c>
      <c r="F113" s="25" t="n">
        <f aca="false">SUMPRODUCT($E$65:$M$65,$E$98:$M$98)</f>
        <v>8.77147205914329</v>
      </c>
      <c r="G113" s="25" t="n">
        <f aca="false">SUMPRODUCT($E$65:$M$65,$E$99:$M$99)</f>
        <v>10.3313068601871</v>
      </c>
      <c r="H113" s="25" t="n">
        <f aca="false">SUMPRODUCT($E$65:$M$65,$E$100:$M$100)</f>
        <v>11.8411717411394</v>
      </c>
      <c r="I113" s="25" t="n">
        <f aca="false">SUMPRODUCT($E$65:$M$65,$E$101:$M$101)</f>
        <v>14.4922293433355</v>
      </c>
      <c r="J113" s="25" t="n">
        <f aca="false">SUMPRODUCT($E$65:$M$65,$E$102:$M$102)</f>
        <v>16.5684637964775</v>
      </c>
      <c r="K113" s="25" t="n">
        <f aca="false">SUMPRODUCT($E$65:$M$65,$E$103:$M$103)</f>
        <v>18.2400228310502</v>
      </c>
      <c r="L113" s="25" t="n">
        <f aca="false">SUMPRODUCT($E$65:$M$65,$E$104:$M$104)</f>
        <v>19.3683251793868</v>
      </c>
      <c r="M113" s="25" t="n">
        <f aca="false">SUMPRODUCT($E$65:$M$65,$E$105:$M$105)</f>
        <v>19.6608480104371</v>
      </c>
    </row>
    <row r="114" customFormat="false" ht="15" hidden="false" customHeight="false" outlineLevel="0" collapsed="false">
      <c r="A114" s="4" t="s">
        <v>954</v>
      </c>
      <c r="B114" s="0" t="s">
        <v>951</v>
      </c>
      <c r="D114" s="25" t="n">
        <f aca="false">SUMPRODUCT($L$5:$L$11,$Q$5:$Q$11,($M$5:$M$11&lt;=2023+1)*1)</f>
        <v>0</v>
      </c>
      <c r="E114" s="25" t="n">
        <f aca="false">SUMPRODUCT($L$5:$L$11,$Q$5:$Q$11,($M$5:$M$11&lt;=2024+1)*1)</f>
        <v>0</v>
      </c>
      <c r="F114" s="25" t="n">
        <f aca="false">SUMPRODUCT($L$5:$L$11,$Q$5:$Q$11,($M$5:$M$11&lt;=2025+1)*1)</f>
        <v>0</v>
      </c>
      <c r="G114" s="25" t="n">
        <f aca="false">SUMPRODUCT($L$5:$L$11,$Q$5:$Q$11,($M$5:$M$11&lt;=2026+1)*1)</f>
        <v>0</v>
      </c>
      <c r="H114" s="25" t="n">
        <f aca="false">SUMPRODUCT($L$5:$L$11,$Q$5:$Q$11,($M$5:$M$11&lt;=2027+1)*1)</f>
        <v>0</v>
      </c>
      <c r="I114" s="25" t="n">
        <f aca="false">SUMPRODUCT($L$5:$L$11,$Q$5:$Q$11,($M$5:$M$11&lt;=2028+1)*1)</f>
        <v>0</v>
      </c>
      <c r="J114" s="25" t="n">
        <f aca="false">SUMPRODUCT($L$5:$L$11,$Q$5:$Q$11,($M$5:$M$11&lt;=2029+1)*1)</f>
        <v>0</v>
      </c>
      <c r="K114" s="25" t="n">
        <f aca="false">SUMPRODUCT($L$5:$L$11,$Q$5:$Q$11,($M$5:$M$11&lt;=2030+1)*1)</f>
        <v>0</v>
      </c>
      <c r="L114" s="25" t="n">
        <f aca="false">SUMPRODUCT($L$5:$L$11,$Q$5:$Q$11,($M$5:$M$11&lt;=2031+1)*1)</f>
        <v>0</v>
      </c>
      <c r="M114" s="25" t="n">
        <f aca="false">SUMPRODUCT($L$5:$L$11,$Q$5:$Q$11,($M$5:$M$11&lt;=2032+1)*1)</f>
        <v>0</v>
      </c>
    </row>
    <row r="115" customFormat="false" ht="15" hidden="false" customHeight="false" outlineLevel="0" collapsed="false">
      <c r="A115" s="4" t="s">
        <v>954</v>
      </c>
      <c r="B115" s="0" t="s">
        <v>952</v>
      </c>
      <c r="D115" s="25" t="n">
        <f aca="false">SUMPRODUCT($L$5:$L$11,$Q$5:$Q$11,($N$5:$N$11&lt;=2023+1)*1)</f>
        <v>0</v>
      </c>
      <c r="E115" s="25" t="n">
        <f aca="false">SUMPRODUCT($L$5:$L$11,$Q$5:$Q$11,($N$5:$N$11&lt;=2024+1)*1)</f>
        <v>0</v>
      </c>
      <c r="F115" s="25" t="n">
        <f aca="false">SUMPRODUCT($L$5:$L$11,$Q$5:$Q$11,($N$5:$N$11&lt;=2025+1)*1)</f>
        <v>0</v>
      </c>
      <c r="G115" s="25" t="n">
        <f aca="false">SUMPRODUCT($L$5:$L$11,$Q$5:$Q$11,($N$5:$N$11&lt;=2026+1)*1)</f>
        <v>0</v>
      </c>
      <c r="H115" s="25" t="n">
        <f aca="false">SUMPRODUCT($L$5:$L$11,$Q$5:$Q$11,($N$5:$N$11&lt;=2027+1)*1)</f>
        <v>0</v>
      </c>
      <c r="I115" s="25" t="n">
        <f aca="false">SUMPRODUCT($L$5:$L$11,$Q$5:$Q$11,($N$5:$N$11&lt;=2028+1)*1)</f>
        <v>0</v>
      </c>
      <c r="J115" s="25" t="n">
        <f aca="false">SUMPRODUCT($L$5:$L$11,$Q$5:$Q$11,($N$5:$N$11&lt;=2029+1)*1)</f>
        <v>0</v>
      </c>
      <c r="K115" s="25" t="n">
        <f aca="false">SUMPRODUCT($L$5:$L$11,$Q$5:$Q$11,($N$5:$N$11&lt;=2030+1)*1)</f>
        <v>0</v>
      </c>
      <c r="L115" s="25" t="n">
        <f aca="false">SUMPRODUCT($L$5:$L$11,$Q$5:$Q$11,($N$5:$N$11&lt;=2031+1)*1)</f>
        <v>0</v>
      </c>
      <c r="M115" s="25" t="n">
        <f aca="false">SUMPRODUCT($L$5:$L$11,$Q$5:$Q$11,($N$5:$N$11&lt;=2032+1)*1)</f>
        <v>0</v>
      </c>
    </row>
    <row r="116" customFormat="false" ht="15" hidden="false" customHeight="false" outlineLevel="0" collapsed="false">
      <c r="A116" s="4" t="s">
        <v>954</v>
      </c>
      <c r="B116" s="0" t="s">
        <v>953</v>
      </c>
      <c r="D116" s="25" t="n">
        <f aca="false">SUMPRODUCT($L$5:$L$11,$Q$5:$Q$11,(1-dly_d2_bind)*($N$5:$N$11&lt;=2023+1)+dly_d2_bind*($O$5:$O$11&lt;=2023+1))</f>
        <v>0</v>
      </c>
      <c r="E116" s="25" t="n">
        <f aca="false">SUMPRODUCT($L$5:$L$11,$Q$5:$Q$11,(1-dly_d2_bind)*($N$5:$N$11&lt;=2024+1)+dly_d2_bind*($O$5:$O$11&lt;=2024+1))</f>
        <v>0</v>
      </c>
      <c r="F116" s="25" t="n">
        <f aca="false">SUMPRODUCT($L$5:$L$11,$Q$5:$Q$11,(1-dly_d2_bind)*($N$5:$N$11&lt;=2025+1)+dly_d2_bind*($O$5:$O$11&lt;=2025+1))</f>
        <v>0</v>
      </c>
      <c r="G116" s="25" t="n">
        <f aca="false">SUMPRODUCT($L$5:$L$11,$Q$5:$Q$11,(1-dly_d2_bind)*($N$5:$N$11&lt;=2026+1)+dly_d2_bind*($O$5:$O$11&lt;=2026+1))</f>
        <v>0</v>
      </c>
      <c r="H116" s="25" t="n">
        <f aca="false">SUMPRODUCT($L$5:$L$11,$Q$5:$Q$11,(1-dly_d2_bind)*($N$5:$N$11&lt;=2027+1)+dly_d2_bind*($O$5:$O$11&lt;=2027+1))</f>
        <v>0</v>
      </c>
      <c r="I116" s="25" t="n">
        <f aca="false">SUMPRODUCT($L$5:$L$11,$Q$5:$Q$11,(1-dly_d2_bind)*($N$5:$N$11&lt;=2028+1)+dly_d2_bind*($O$5:$O$11&lt;=2028+1))</f>
        <v>0</v>
      </c>
      <c r="J116" s="25" t="n">
        <f aca="false">SUMPRODUCT($L$5:$L$11,$Q$5:$Q$11,(1-dly_d2_bind)*($N$5:$N$11&lt;=2029+1)+dly_d2_bind*($O$5:$O$11&lt;=2029+1))</f>
        <v>0</v>
      </c>
      <c r="K116" s="25" t="n">
        <f aca="false">SUMPRODUCT($L$5:$L$11,$Q$5:$Q$11,(1-dly_d2_bind)*($N$5:$N$11&lt;=2030+1)+dly_d2_bind*($O$5:$O$11&lt;=2030+1))</f>
        <v>0</v>
      </c>
      <c r="L116" s="25" t="n">
        <f aca="false">SUMPRODUCT($L$5:$L$11,$Q$5:$Q$11,(1-dly_d2_bind)*($N$5:$N$11&lt;=2031+1)+dly_d2_bind*($O$5:$O$11&lt;=2031+1))</f>
        <v>0</v>
      </c>
      <c r="M116" s="25" t="n">
        <f aca="false">SUMPRODUCT($L$5:$L$11,$Q$5:$Q$11,(1-dly_d2_bind)*($N$5:$N$11&lt;=2032+1)+dly_d2_bind*($O$5:$O$11&lt;=2032+1))</f>
        <v>0</v>
      </c>
    </row>
    <row r="117" customFormat="false" ht="17.15" hidden="false" customHeight="false" outlineLevel="0" collapsed="false">
      <c r="A117" s="17" t="s">
        <v>955</v>
      </c>
      <c r="B117" s="16" t="s">
        <v>951</v>
      </c>
      <c r="D117" s="24" t="n">
        <f aca="false">D109+D110+D111+D114</f>
        <v>0.929549902152642</v>
      </c>
      <c r="E117" s="24" t="n">
        <f aca="false">E109+E110+E111+E114</f>
        <v>4.18786692759296</v>
      </c>
      <c r="F117" s="24" t="n">
        <f aca="false">F109+F110+F111+F114</f>
        <v>10.8702978908458</v>
      </c>
      <c r="G117" s="24" t="n">
        <f aca="false">G109+G110+G111+G114</f>
        <v>20.3800543596434</v>
      </c>
      <c r="H117" s="24" t="n">
        <f aca="false">H109+H110+H111+H114</f>
        <v>24.364044357469</v>
      </c>
      <c r="I117" s="24" t="n">
        <f aca="false">I109+I110+I111+I114</f>
        <v>26.0356033920418</v>
      </c>
      <c r="J117" s="24" t="n">
        <f aca="false">J109+J110+J111+J114</f>
        <v>27.7071624266145</v>
      </c>
      <c r="K117" s="24" t="n">
        <f aca="false">K109+K110+K111+K114</f>
        <v>29.3787214611872</v>
      </c>
      <c r="L117" s="24" t="n">
        <f aca="false">L109+L110+L111+L114</f>
        <v>29.3787214611872</v>
      </c>
      <c r="M117" s="24" t="n">
        <f aca="false">M109+M110+M111+M114</f>
        <v>29.3787214611872</v>
      </c>
    </row>
    <row r="118" customFormat="false" ht="17.15" hidden="false" customHeight="false" outlineLevel="0" collapsed="false">
      <c r="A118" s="17" t="s">
        <v>955</v>
      </c>
      <c r="B118" s="16" t="s">
        <v>952</v>
      </c>
      <c r="D118" s="24" t="n">
        <f aca="false">D109+D110+D112+D115</f>
        <v>0.929549902152642</v>
      </c>
      <c r="E118" s="24" t="n">
        <f aca="false">E109+E110+E112+E115</f>
        <v>4.18786692759296</v>
      </c>
      <c r="F118" s="24" t="n">
        <f aca="false">F109+F110+F112+F115</f>
        <v>10.8702978908458</v>
      </c>
      <c r="G118" s="24" t="n">
        <f aca="false">G109+G110+G112+G115</f>
        <v>20.0491803109372</v>
      </c>
      <c r="H118" s="24" t="n">
        <f aca="false">H109+H110+H112+H115</f>
        <v>22.3720493585562</v>
      </c>
      <c r="I118" s="24" t="n">
        <f aca="false">I109+I110+I112+I115</f>
        <v>25.1998238747554</v>
      </c>
      <c r="J118" s="24" t="n">
        <f aca="false">J109+J110+J112+J115</f>
        <v>26.8713829093281</v>
      </c>
      <c r="K118" s="24" t="n">
        <f aca="false">K109+K110+K112+K115</f>
        <v>28.5429419439009</v>
      </c>
      <c r="L118" s="24" t="n">
        <f aca="false">L109+L110+L112+L115</f>
        <v>29.3787214611872</v>
      </c>
      <c r="M118" s="24" t="n">
        <f aca="false">M109+M110+M112+M115</f>
        <v>29.3787214611872</v>
      </c>
    </row>
    <row r="119" customFormat="false" ht="17.15" hidden="false" customHeight="false" outlineLevel="0" collapsed="false">
      <c r="A119" s="17" t="s">
        <v>955</v>
      </c>
      <c r="B119" s="16" t="s">
        <v>953</v>
      </c>
      <c r="D119" s="24" t="n">
        <f aca="false">D109+D110+D113+D116</f>
        <v>0.929549902152642</v>
      </c>
      <c r="E119" s="24" t="n">
        <f aca="false">E109+E110+E113+E116</f>
        <v>4.18786692759296</v>
      </c>
      <c r="F119" s="24" t="n">
        <f aca="false">F109+F110+F113+F116</f>
        <v>10.8702978908458</v>
      </c>
      <c r="G119" s="24" t="n">
        <f aca="false">G109+G110+G113+G116</f>
        <v>20.0491803109372</v>
      </c>
      <c r="H119" s="24" t="n">
        <f aca="false">H109+H110+H113+H116</f>
        <v>21.5590451918896</v>
      </c>
      <c r="I119" s="24" t="n">
        <f aca="false">I109+I110+I113+I116</f>
        <v>24.2101027940857</v>
      </c>
      <c r="J119" s="24" t="n">
        <f aca="false">J109+J110+J113+J116</f>
        <v>26.2863372472277</v>
      </c>
      <c r="K119" s="24" t="n">
        <f aca="false">K109+K110+K113+K116</f>
        <v>27.9578962818004</v>
      </c>
      <c r="L119" s="24" t="n">
        <f aca="false">L109+L110+L113+L116</f>
        <v>29.086198630137</v>
      </c>
      <c r="M119" s="24" t="n">
        <f aca="false">M109+M110+M113+M116</f>
        <v>29.3787214611872</v>
      </c>
    </row>
    <row r="120" customFormat="false" ht="17.15" hidden="false" customHeight="false" outlineLevel="0" collapsed="false">
      <c r="A120" s="4" t="s">
        <v>956</v>
      </c>
      <c r="B120" s="0" t="s">
        <v>951</v>
      </c>
      <c r="D120" s="25" t="n">
        <f aca="false">0</f>
        <v>0</v>
      </c>
      <c r="E120" s="25" t="n">
        <f aca="false">E117-D117-E67</f>
        <v>2.27984344422701</v>
      </c>
      <c r="F120" s="25" t="n">
        <f aca="false">F117-E117-F67</f>
        <v>6.49162861491629</v>
      </c>
      <c r="G120" s="25" t="n">
        <f aca="false">G117-F117-G67</f>
        <v>6.74502500543597</v>
      </c>
      <c r="H120" s="25" t="n">
        <f aca="false">H117-G117-H67</f>
        <v>3.98398999782561</v>
      </c>
      <c r="I120" s="25" t="n">
        <f aca="false">I117-H117-I67</f>
        <v>1.67155903457273</v>
      </c>
      <c r="J120" s="25" t="n">
        <f aca="false">J117-I117-J67</f>
        <v>1.67155903457273</v>
      </c>
      <c r="K120" s="25" t="n">
        <f aca="false">K117-J117-K67</f>
        <v>1.67155903457274</v>
      </c>
      <c r="L120" s="25" t="n">
        <f aca="false">L117-K117-L67</f>
        <v>0</v>
      </c>
      <c r="M120" s="25" t="n">
        <f aca="false">M117-L117-M67</f>
        <v>0</v>
      </c>
    </row>
    <row r="121" customFormat="false" ht="17.15" hidden="false" customHeight="false" outlineLevel="0" collapsed="false">
      <c r="A121" s="4" t="s">
        <v>956</v>
      </c>
      <c r="B121" s="0" t="s">
        <v>952</v>
      </c>
      <c r="D121" s="25" t="n">
        <f aca="false">0</f>
        <v>0</v>
      </c>
      <c r="E121" s="25" t="n">
        <f aca="false">E118-D118-E67</f>
        <v>2.27984344422701</v>
      </c>
      <c r="F121" s="25" t="n">
        <f aca="false">F118-E118-F67</f>
        <v>6.49162861491629</v>
      </c>
      <c r="G121" s="25" t="n">
        <f aca="false">G118-F118-G67</f>
        <v>6.41415095672981</v>
      </c>
      <c r="H121" s="25" t="n">
        <f aca="false">H118-G118-H67</f>
        <v>2.32286904761897</v>
      </c>
      <c r="I121" s="25" t="n">
        <f aca="false">I118-H118-I67</f>
        <v>2.82777451619917</v>
      </c>
      <c r="J121" s="25" t="n">
        <f aca="false">J118-I118-J67</f>
        <v>1.67155903457274</v>
      </c>
      <c r="K121" s="25" t="n">
        <f aca="false">K118-J118-K67</f>
        <v>1.67155903457273</v>
      </c>
      <c r="L121" s="25" t="n">
        <f aca="false">L118-K118-L67</f>
        <v>0.835779517286369</v>
      </c>
      <c r="M121" s="25" t="n">
        <f aca="false">M118-L118-M67</f>
        <v>0</v>
      </c>
    </row>
    <row r="122" customFormat="false" ht="17.15" hidden="false" customHeight="false" outlineLevel="0" collapsed="false">
      <c r="A122" s="4" t="s">
        <v>956</v>
      </c>
      <c r="B122" s="0" t="s">
        <v>953</v>
      </c>
      <c r="D122" s="25" t="n">
        <f aca="false">0</f>
        <v>0</v>
      </c>
      <c r="E122" s="25" t="n">
        <f aca="false">E119-D119-E67</f>
        <v>2.27984344422701</v>
      </c>
      <c r="F122" s="25" t="n">
        <f aca="false">F119-E119-F67</f>
        <v>6.49162861491629</v>
      </c>
      <c r="G122" s="25" t="n">
        <f aca="false">G119-F119-G67</f>
        <v>6.41415095672981</v>
      </c>
      <c r="H122" s="25" t="n">
        <f aca="false">H119-G119-H67</f>
        <v>1.50986488095233</v>
      </c>
      <c r="I122" s="25" t="n">
        <f aca="false">I119-H119-I67</f>
        <v>2.6510576021961</v>
      </c>
      <c r="J122" s="25" t="n">
        <f aca="false">J119-I119-J67</f>
        <v>2.07623445314199</v>
      </c>
      <c r="K122" s="25" t="n">
        <f aca="false">K119-J119-K67</f>
        <v>1.67155903457274</v>
      </c>
      <c r="L122" s="25" t="n">
        <f aca="false">L119-K119-L67</f>
        <v>1.1283023483366</v>
      </c>
      <c r="M122" s="25" t="n">
        <f aca="false">M119-L119-M67</f>
        <v>0.292522831050228</v>
      </c>
    </row>
    <row r="123" customFormat="false" ht="17.15" hidden="false" customHeight="false" outlineLevel="0" collapsed="false">
      <c r="A123" s="4" t="s">
        <v>957</v>
      </c>
      <c r="B123" s="0" t="s">
        <v>952</v>
      </c>
      <c r="D123" s="25" t="n">
        <f aca="false">D117-D118</f>
        <v>0</v>
      </c>
      <c r="E123" s="25" t="n">
        <f aca="false">E117-E118</f>
        <v>0</v>
      </c>
      <c r="F123" s="25" t="n">
        <f aca="false">F117-F118</f>
        <v>0</v>
      </c>
      <c r="G123" s="25" t="n">
        <f aca="false">G117-G118</f>
        <v>0.330874048706157</v>
      </c>
      <c r="H123" s="25" t="n">
        <f aca="false">H117-H118</f>
        <v>1.99199499891281</v>
      </c>
      <c r="I123" s="25" t="n">
        <f aca="false">I117-I118</f>
        <v>0.835779517286369</v>
      </c>
      <c r="J123" s="25" t="n">
        <f aca="false">J117-J118</f>
        <v>0.835779517286362</v>
      </c>
      <c r="K123" s="25" t="n">
        <f aca="false">K117-K118</f>
        <v>0.835779517286369</v>
      </c>
      <c r="L123" s="25" t="n">
        <f aca="false">L117-L118</f>
        <v>0</v>
      </c>
      <c r="M123" s="25" t="n">
        <f aca="false">M117-M118</f>
        <v>0</v>
      </c>
    </row>
    <row r="124" customFormat="false" ht="17.15" hidden="false" customHeight="false" outlineLevel="0" collapsed="false">
      <c r="A124" s="4" t="s">
        <v>957</v>
      </c>
      <c r="B124" s="0" t="s">
        <v>953</v>
      </c>
      <c r="D124" s="25" t="n">
        <f aca="false">D117-D119</f>
        <v>0</v>
      </c>
      <c r="E124" s="25" t="n">
        <f aca="false">E117-E119</f>
        <v>0</v>
      </c>
      <c r="F124" s="25" t="n">
        <f aca="false">F117-F119</f>
        <v>0</v>
      </c>
      <c r="G124" s="25" t="n">
        <f aca="false">G117-G119</f>
        <v>0.330874048706157</v>
      </c>
      <c r="H124" s="25" t="n">
        <f aca="false">H117-H119</f>
        <v>2.80499916557944</v>
      </c>
      <c r="I124" s="25" t="n">
        <f aca="false">I117-I119</f>
        <v>1.82550059795608</v>
      </c>
      <c r="J124" s="25" t="n">
        <f aca="false">J117-J119</f>
        <v>1.42082517938682</v>
      </c>
      <c r="K124" s="25" t="n">
        <f aca="false">K117-K119</f>
        <v>1.42082517938682</v>
      </c>
      <c r="L124" s="25" t="n">
        <f aca="false">L117-L119</f>
        <v>0.292522831050228</v>
      </c>
      <c r="M124" s="25" t="n">
        <f aca="false">M117-M119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958</v>
      </c>
    </row>
    <row r="3" customFormat="false" ht="15" hidden="false" customHeight="false" outlineLevel="0" collapsed="false">
      <c r="A3" s="5" t="s">
        <v>12</v>
      </c>
      <c r="B3" s="5" t="s">
        <v>947</v>
      </c>
      <c r="C3" s="5" t="s">
        <v>959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0" t="s">
        <v>960</v>
      </c>
      <c r="C4" s="0" t="s">
        <v>951</v>
      </c>
      <c r="D4" s="25" t="n">
        <f aca="false">Pipeline!D120</f>
        <v>0</v>
      </c>
      <c r="E4" s="25" t="n">
        <f aca="false">Pipeline!E120</f>
        <v>2.27984344422701</v>
      </c>
      <c r="F4" s="25" t="n">
        <f aca="false">Pipeline!F120</f>
        <v>6.49162861491629</v>
      </c>
      <c r="G4" s="25" t="n">
        <f aca="false">Pipeline!G120</f>
        <v>6.74502500543597</v>
      </c>
      <c r="H4" s="25" t="n">
        <f aca="false">Pipeline!H120</f>
        <v>3.98398999782561</v>
      </c>
      <c r="I4" s="25" t="n">
        <f aca="false">Pipeline!I120</f>
        <v>1.67155903457273</v>
      </c>
      <c r="J4" s="25" t="n">
        <f aca="false">Pipeline!J120</f>
        <v>1.67155903457273</v>
      </c>
      <c r="K4" s="25" t="n">
        <f aca="false">Pipeline!K120</f>
        <v>1.67155903457274</v>
      </c>
      <c r="L4" s="25" t="n">
        <f aca="false">Pipeline!L120</f>
        <v>0</v>
      </c>
      <c r="M4" s="25" t="n">
        <f aca="false">Pipeline!M120</f>
        <v>0</v>
      </c>
    </row>
    <row r="5" customFormat="false" ht="15" hidden="false" customHeight="false" outlineLevel="0" collapsed="false">
      <c r="A5" s="4" t="s">
        <v>961</v>
      </c>
      <c r="D5" s="25" t="n">
        <f aca="false">Pipeline!D67</f>
        <v>0.929549902152642</v>
      </c>
      <c r="E5" s="25" t="n">
        <f aca="false">Pipeline!E67</f>
        <v>0.978473581213307</v>
      </c>
      <c r="F5" s="25" t="n">
        <f aca="false">Pipeline!F67</f>
        <v>0.190802348336595</v>
      </c>
      <c r="G5" s="25" t="n">
        <f aca="false">Pipeline!G67</f>
        <v>2.7647314633616</v>
      </c>
      <c r="H5" s="25" t="n">
        <f aca="false">Pipeline!H67</f>
        <v>0</v>
      </c>
      <c r="I5" s="25" t="n">
        <f aca="false">Pipeline!I67</f>
        <v>0</v>
      </c>
      <c r="J5" s="25" t="n">
        <f aca="false">Pipeline!J67</f>
        <v>0</v>
      </c>
      <c r="K5" s="25" t="n">
        <f aca="false">Pipeline!K67</f>
        <v>0</v>
      </c>
      <c r="L5" s="25" t="n">
        <f aca="false">Pipeline!L67</f>
        <v>0</v>
      </c>
      <c r="M5" s="25" t="n">
        <f aca="false">Pipeline!M67</f>
        <v>0</v>
      </c>
    </row>
    <row r="7" customFormat="false" ht="17.15" hidden="false" customHeight="false" outlineLevel="0" collapsed="false">
      <c r="A7" s="17" t="s">
        <v>962</v>
      </c>
    </row>
    <row r="8" customFormat="false" ht="17.15" hidden="false" customHeight="false" outlineLevel="0" collapsed="false">
      <c r="A8" s="4" t="s">
        <v>963</v>
      </c>
      <c r="B8" s="0" t="s">
        <v>964</v>
      </c>
      <c r="C8" s="0" t="s">
        <v>951</v>
      </c>
      <c r="D8" s="25" t="n">
        <f aca="false">0</f>
        <v>0</v>
      </c>
      <c r="E8" s="25" t="n">
        <f aca="false">E4</f>
        <v>2.27984344422701</v>
      </c>
      <c r="F8" s="25" t="n">
        <f aca="false">F4</f>
        <v>6.49162861491629</v>
      </c>
      <c r="G8" s="25" t="n">
        <f aca="false">G4</f>
        <v>6.74502500543597</v>
      </c>
      <c r="H8" s="25" t="n">
        <f aca="false">H4</f>
        <v>3.98398999782561</v>
      </c>
      <c r="I8" s="25" t="n">
        <f aca="false">I4*SIL_In!$I$27</f>
        <v>1.67155903457273</v>
      </c>
      <c r="J8" s="25" t="n">
        <f aca="false">J4*SIL_In!$J$27</f>
        <v>1.67155903457273</v>
      </c>
      <c r="K8" s="25" t="n">
        <f aca="false">J8*(1+K9)</f>
        <v>1.72727766905849</v>
      </c>
      <c r="L8" s="25" t="n">
        <f aca="false">K8*(1+L9)</f>
        <v>1.84242951366239</v>
      </c>
      <c r="M8" s="25" t="n">
        <f aca="false">L8*(1+M9)</f>
        <v>2.02667246502863</v>
      </c>
    </row>
    <row r="9" customFormat="false" ht="17.15" hidden="false" customHeight="false" outlineLevel="0" collapsed="false">
      <c r="A9" s="4" t="s">
        <v>965</v>
      </c>
      <c r="B9" s="0" t="s">
        <v>964</v>
      </c>
      <c r="D9" s="19" t="str">
        <f aca="false">""</f>
        <v/>
      </c>
      <c r="E9" s="19" t="str">
        <f aca="false">""</f>
        <v/>
      </c>
      <c r="F9" s="19" t="str">
        <f aca="false">""</f>
        <v/>
      </c>
      <c r="G9" s="19" t="str">
        <f aca="false">""</f>
        <v/>
      </c>
      <c r="H9" s="19" t="str">
        <f aca="false">""</f>
        <v/>
      </c>
      <c r="I9" s="19" t="str">
        <f aca="false">""</f>
        <v/>
      </c>
      <c r="J9" s="19" t="n">
        <f aca="false">IFERROR(J8/I8-1,g_lt)</f>
        <v>0</v>
      </c>
      <c r="K9" s="19" t="n">
        <f aca="false">$J$9+(g_lt-$J$9)*(2030-2029)/3</f>
        <v>0.0333333333333333</v>
      </c>
      <c r="L9" s="19" t="n">
        <f aca="false">$J$9+(g_lt-$J$9)*(2031-2029)/3</f>
        <v>0.0666666666666667</v>
      </c>
      <c r="M9" s="19" t="n">
        <f aca="false">$J$9+(g_lt-$J$9)*(2032-2029)/3</f>
        <v>0.1</v>
      </c>
    </row>
    <row r="10" customFormat="false" ht="17.15" hidden="false" customHeight="false" outlineLevel="0" collapsed="false">
      <c r="A10" s="4" t="s">
        <v>966</v>
      </c>
      <c r="B10" s="0" t="s">
        <v>964</v>
      </c>
      <c r="D10" s="25" t="n">
        <f aca="false">0</f>
        <v>0</v>
      </c>
      <c r="E10" s="25" t="n">
        <f aca="false">E8-E4</f>
        <v>0</v>
      </c>
      <c r="F10" s="25" t="n">
        <f aca="false">F8-F4</f>
        <v>0</v>
      </c>
      <c r="G10" s="25" t="n">
        <f aca="false">G8-G4</f>
        <v>0</v>
      </c>
      <c r="H10" s="25" t="n">
        <f aca="false">H8-H4</f>
        <v>0</v>
      </c>
      <c r="I10" s="25" t="n">
        <f aca="false">I8-I4</f>
        <v>0</v>
      </c>
      <c r="J10" s="25" t="n">
        <f aca="false">J8-J4</f>
        <v>0</v>
      </c>
      <c r="K10" s="25" t="n">
        <f aca="false">K8-K4</f>
        <v>0.0557186344857508</v>
      </c>
      <c r="L10" s="25" t="n">
        <f aca="false">L8-L4</f>
        <v>1.84242951366239</v>
      </c>
      <c r="M10" s="25" t="n">
        <f aca="false">M8-M4</f>
        <v>2.02667246502863</v>
      </c>
    </row>
    <row r="11" customFormat="false" ht="17.15" hidden="false" customHeight="false" outlineLevel="0" collapsed="false">
      <c r="A11" s="17" t="s">
        <v>955</v>
      </c>
      <c r="B11" s="16" t="s">
        <v>964</v>
      </c>
      <c r="C11" s="16" t="s">
        <v>951</v>
      </c>
      <c r="D11" s="24" t="n">
        <f aca="false">Pipeline!D117+SUMPRODUCT($E$10:$M$10,Pipeline!$E$72:$M$72)</f>
        <v>0.929549902152642</v>
      </c>
      <c r="E11" s="24" t="n">
        <f aca="false">Pipeline!E117+SUMPRODUCT($E$10:$M$10,Pipeline!$E$73:$M$73)</f>
        <v>4.18786692759296</v>
      </c>
      <c r="F11" s="24" t="n">
        <f aca="false">Pipeline!F117+SUMPRODUCT($E$10:$M$10,Pipeline!$E$74:$M$74)</f>
        <v>10.8702978908458</v>
      </c>
      <c r="G11" s="24" t="n">
        <f aca="false">Pipeline!G117+SUMPRODUCT($E$10:$M$10,Pipeline!$E$75:$M$75)</f>
        <v>20.3800543596434</v>
      </c>
      <c r="H11" s="24" t="n">
        <f aca="false">Pipeline!H117+SUMPRODUCT($E$10:$M$10,Pipeline!$E$76:$M$76)</f>
        <v>24.364044357469</v>
      </c>
      <c r="I11" s="24" t="n">
        <f aca="false">Pipeline!I117+SUMPRODUCT($E$10:$M$10,Pipeline!$E$77:$M$77)</f>
        <v>26.0356033920418</v>
      </c>
      <c r="J11" s="24" t="n">
        <f aca="false">Pipeline!J117+SUMPRODUCT($E$10:$M$10,Pipeline!$E$78:$M$78)</f>
        <v>27.7071624266145</v>
      </c>
      <c r="K11" s="24" t="n">
        <f aca="false">Pipeline!K117+SUMPRODUCT($E$10:$M$10,Pipeline!$E$79:$M$79)</f>
        <v>29.434440095673</v>
      </c>
      <c r="L11" s="24" t="n">
        <f aca="false">Pipeline!L117+SUMPRODUCT($E$10:$M$10,Pipeline!$E$80:$M$80)</f>
        <v>31.2768696093354</v>
      </c>
      <c r="M11" s="24" t="n">
        <f aca="false">Pipeline!M117+SUMPRODUCT($E$10:$M$10,Pipeline!$E$81:$M$81)</f>
        <v>33.303542074364</v>
      </c>
    </row>
    <row r="12" customFormat="false" ht="17.15" hidden="false" customHeight="false" outlineLevel="0" collapsed="false">
      <c r="A12" s="17" t="s">
        <v>955</v>
      </c>
      <c r="B12" s="16" t="s">
        <v>964</v>
      </c>
      <c r="C12" s="16" t="s">
        <v>952</v>
      </c>
      <c r="D12" s="24" t="n">
        <f aca="false">Pipeline!D118+SUMPRODUCT($E$10:$M$10,Pipeline!$E$84:$M$84)</f>
        <v>0.929549902152642</v>
      </c>
      <c r="E12" s="24" t="n">
        <f aca="false">Pipeline!E118+SUMPRODUCT($E$10:$M$10,Pipeline!$E$85:$M$85)</f>
        <v>4.18786692759296</v>
      </c>
      <c r="F12" s="24" t="n">
        <f aca="false">Pipeline!F118+SUMPRODUCT($E$10:$M$10,Pipeline!$E$86:$M$86)</f>
        <v>10.8702978908458</v>
      </c>
      <c r="G12" s="24" t="n">
        <f aca="false">Pipeline!G118+SUMPRODUCT($E$10:$M$10,Pipeline!$E$87:$M$87)</f>
        <v>20.0491803109372</v>
      </c>
      <c r="H12" s="24" t="n">
        <f aca="false">Pipeline!H118+SUMPRODUCT($E$10:$M$10,Pipeline!$E$88:$M$88)</f>
        <v>22.3720493585562</v>
      </c>
      <c r="I12" s="24" t="n">
        <f aca="false">Pipeline!I118+SUMPRODUCT($E$10:$M$10,Pipeline!$E$89:$M$89)</f>
        <v>25.1998238747554</v>
      </c>
      <c r="J12" s="24" t="n">
        <f aca="false">Pipeline!J118+SUMPRODUCT($E$10:$M$10,Pipeline!$E$90:$M$90)</f>
        <v>26.8713829093281</v>
      </c>
      <c r="K12" s="24" t="n">
        <f aca="false">Pipeline!K118+SUMPRODUCT($E$10:$M$10,Pipeline!$E$91:$M$91)</f>
        <v>28.5708012611437</v>
      </c>
      <c r="L12" s="24" t="n">
        <f aca="false">Pipeline!L118+SUMPRODUCT($E$10:$M$10,Pipeline!$E$92:$M$92)</f>
        <v>30.3556548525042</v>
      </c>
      <c r="M12" s="24" t="n">
        <f aca="false">Pipeline!M118+SUMPRODUCT($E$10:$M$10,Pipeline!$E$93:$M$93)</f>
        <v>32.2902058418497</v>
      </c>
    </row>
    <row r="13" customFormat="false" ht="17.15" hidden="false" customHeight="false" outlineLevel="0" collapsed="false">
      <c r="A13" s="17" t="s">
        <v>955</v>
      </c>
      <c r="B13" s="16" t="s">
        <v>964</v>
      </c>
      <c r="C13" s="16" t="s">
        <v>953</v>
      </c>
      <c r="D13" s="24" t="n">
        <f aca="false">Pipeline!D119+SUMPRODUCT($E$10:$M$10,Pipeline!$E$96:$M$96)</f>
        <v>0.929549902152642</v>
      </c>
      <c r="E13" s="24" t="n">
        <f aca="false">Pipeline!E119+SUMPRODUCT($E$10:$M$10,Pipeline!$E$97:$M$97)</f>
        <v>4.18786692759296</v>
      </c>
      <c r="F13" s="24" t="n">
        <f aca="false">Pipeline!F119+SUMPRODUCT($E$10:$M$10,Pipeline!$E$98:$M$98)</f>
        <v>10.8702978908458</v>
      </c>
      <c r="G13" s="24" t="n">
        <f aca="false">Pipeline!G119+SUMPRODUCT($E$10:$M$10,Pipeline!$E$99:$M$99)</f>
        <v>20.0491803109372</v>
      </c>
      <c r="H13" s="24" t="n">
        <f aca="false">Pipeline!H119+SUMPRODUCT($E$10:$M$10,Pipeline!$E$100:$M$100)</f>
        <v>21.5590451918896</v>
      </c>
      <c r="I13" s="24" t="n">
        <f aca="false">Pipeline!I119+SUMPRODUCT($E$10:$M$10,Pipeline!$E$101:$M$101)</f>
        <v>24.2101027940857</v>
      </c>
      <c r="J13" s="24" t="n">
        <f aca="false">Pipeline!J119+SUMPRODUCT($E$10:$M$10,Pipeline!$E$102:$M$102)</f>
        <v>26.2863372472277</v>
      </c>
      <c r="K13" s="24" t="n">
        <f aca="false">Pipeline!K119+SUMPRODUCT($E$10:$M$10,Pipeline!$E$103:$M$103)</f>
        <v>27.9760048380083</v>
      </c>
      <c r="L13" s="24" t="n">
        <f aca="false">Pipeline!L119+SUMPRODUCT($E$10:$M$10,Pipeline!$E$104:$M$104)</f>
        <v>29.730956095528</v>
      </c>
      <c r="M13" s="24" t="n">
        <f aca="false">Pipeline!M119+SUMPRODUCT($E$10:$M$10,Pipeline!$E$105:$M$105)</f>
        <v>31.6131129955787</v>
      </c>
    </row>
    <row r="14" customFormat="false" ht="17.15" hidden="false" customHeight="false" outlineLevel="0" collapsed="false">
      <c r="A14" s="4" t="s">
        <v>859</v>
      </c>
      <c r="B14" s="0" t="s">
        <v>964</v>
      </c>
      <c r="C14" s="0" t="s">
        <v>951</v>
      </c>
      <c r="D14" s="25" t="str">
        <f aca="false">""</f>
        <v/>
      </c>
      <c r="E14" s="25" t="n">
        <f aca="false">(D11+E11)/2</f>
        <v>2.5587084148728</v>
      </c>
      <c r="F14" s="25" t="n">
        <f aca="false">(E11+F11)/2</f>
        <v>7.5290824092194</v>
      </c>
      <c r="G14" s="25" t="n">
        <f aca="false">(F11+G11)/2</f>
        <v>15.6251761252446</v>
      </c>
      <c r="H14" s="25" t="n">
        <f aca="false">(G11+H11)/2</f>
        <v>22.3720493585562</v>
      </c>
      <c r="I14" s="25" t="n">
        <f aca="false">(H11+I11)/2</f>
        <v>25.1998238747554</v>
      </c>
      <c r="J14" s="25" t="n">
        <f aca="false">(I11+J11)/2</f>
        <v>26.8713829093281</v>
      </c>
      <c r="K14" s="25" t="n">
        <f aca="false">(J11+K11)/2</f>
        <v>28.5708012611437</v>
      </c>
      <c r="L14" s="25" t="n">
        <f aca="false">(K11+L11)/2</f>
        <v>30.3556548525042</v>
      </c>
      <c r="M14" s="25" t="n">
        <f aca="false">(L11+M11)/2</f>
        <v>32.2902058418497</v>
      </c>
    </row>
    <row r="15" customFormat="false" ht="17.15" hidden="false" customHeight="false" outlineLevel="0" collapsed="false">
      <c r="A15" s="4" t="s">
        <v>859</v>
      </c>
      <c r="B15" s="0" t="s">
        <v>964</v>
      </c>
      <c r="C15" s="0" t="s">
        <v>952</v>
      </c>
      <c r="D15" s="25" t="str">
        <f aca="false">""</f>
        <v/>
      </c>
      <c r="E15" s="25" t="n">
        <f aca="false">(D12+E12)/2</f>
        <v>2.5587084148728</v>
      </c>
      <c r="F15" s="25" t="n">
        <f aca="false">(E12+F12)/2</f>
        <v>7.5290824092194</v>
      </c>
      <c r="G15" s="25" t="n">
        <f aca="false">(F12+G12)/2</f>
        <v>15.4597391008915</v>
      </c>
      <c r="H15" s="25" t="n">
        <f aca="false">(G12+H12)/2</f>
        <v>21.2106148347467</v>
      </c>
      <c r="I15" s="25" t="n">
        <f aca="false">(H12+I12)/2</f>
        <v>23.7859366166558</v>
      </c>
      <c r="J15" s="25" t="n">
        <f aca="false">(I12+J12)/2</f>
        <v>26.0356033920418</v>
      </c>
      <c r="K15" s="25" t="n">
        <f aca="false">(J12+K12)/2</f>
        <v>27.7210920852359</v>
      </c>
      <c r="L15" s="25" t="n">
        <f aca="false">(K12+L12)/2</f>
        <v>29.4632280568239</v>
      </c>
      <c r="M15" s="25" t="n">
        <f aca="false">(L12+M12)/2</f>
        <v>31.3229303471769</v>
      </c>
    </row>
    <row r="16" customFormat="false" ht="17.15" hidden="false" customHeight="false" outlineLevel="0" collapsed="false">
      <c r="A16" s="4" t="s">
        <v>859</v>
      </c>
      <c r="B16" s="0" t="s">
        <v>964</v>
      </c>
      <c r="C16" s="0" t="s">
        <v>953</v>
      </c>
      <c r="D16" s="25" t="str">
        <f aca="false">""</f>
        <v/>
      </c>
      <c r="E16" s="25" t="n">
        <f aca="false">(D13+E13)/2</f>
        <v>2.5587084148728</v>
      </c>
      <c r="F16" s="25" t="n">
        <f aca="false">(E13+F13)/2</f>
        <v>7.5290824092194</v>
      </c>
      <c r="G16" s="25" t="n">
        <f aca="false">(F13+G13)/2</f>
        <v>15.4597391008915</v>
      </c>
      <c r="H16" s="25" t="n">
        <f aca="false">(G13+H13)/2</f>
        <v>20.8041127514134</v>
      </c>
      <c r="I16" s="25" t="n">
        <f aca="false">(H13+I13)/2</f>
        <v>22.8845739929876</v>
      </c>
      <c r="J16" s="25" t="n">
        <f aca="false">(I13+J13)/2</f>
        <v>25.2482200206567</v>
      </c>
      <c r="K16" s="25" t="n">
        <f aca="false">(J13+K13)/2</f>
        <v>27.131171042618</v>
      </c>
      <c r="L16" s="25" t="n">
        <f aca="false">(K13+L13)/2</f>
        <v>28.8534804667681</v>
      </c>
      <c r="M16" s="25" t="n">
        <f aca="false">(L13+M13)/2</f>
        <v>30.6720345455534</v>
      </c>
    </row>
    <row r="17" customFormat="false" ht="17.15" hidden="false" customHeight="false" outlineLevel="0" collapsed="false">
      <c r="A17" s="4" t="s">
        <v>956</v>
      </c>
      <c r="B17" s="0" t="s">
        <v>964</v>
      </c>
      <c r="C17" s="0" t="s">
        <v>951</v>
      </c>
      <c r="D17" s="25" t="n">
        <f aca="false">0</f>
        <v>0</v>
      </c>
      <c r="E17" s="25" t="n">
        <f aca="false">E11-D11-E5</f>
        <v>2.27984344422701</v>
      </c>
      <c r="F17" s="25" t="n">
        <f aca="false">F11-E11-F5</f>
        <v>6.49162861491629</v>
      </c>
      <c r="G17" s="25" t="n">
        <f aca="false">G11-F11-G5</f>
        <v>6.74502500543597</v>
      </c>
      <c r="H17" s="25" t="n">
        <f aca="false">H11-G11-H5</f>
        <v>3.98398999782561</v>
      </c>
      <c r="I17" s="25" t="n">
        <f aca="false">I11-H11-I5</f>
        <v>1.67155903457273</v>
      </c>
      <c r="J17" s="25" t="n">
        <f aca="false">J11-I11-J5</f>
        <v>1.67155903457273</v>
      </c>
      <c r="K17" s="25" t="n">
        <f aca="false">K11-J11-K5</f>
        <v>1.72727766905849</v>
      </c>
      <c r="L17" s="25" t="n">
        <f aca="false">L11-K11-L5</f>
        <v>1.84242951366239</v>
      </c>
      <c r="M17" s="25" t="n">
        <f aca="false">M11-L11-M5</f>
        <v>2.02667246502863</v>
      </c>
    </row>
    <row r="18" customFormat="false" ht="17.15" hidden="false" customHeight="false" outlineLevel="0" collapsed="false">
      <c r="A18" s="4" t="s">
        <v>956</v>
      </c>
      <c r="B18" s="0" t="s">
        <v>964</v>
      </c>
      <c r="C18" s="0" t="s">
        <v>952</v>
      </c>
      <c r="D18" s="25" t="n">
        <f aca="false">0</f>
        <v>0</v>
      </c>
      <c r="E18" s="25" t="n">
        <f aca="false">E12-D12-E5</f>
        <v>2.27984344422701</v>
      </c>
      <c r="F18" s="25" t="n">
        <f aca="false">F12-E12-F5</f>
        <v>6.49162861491629</v>
      </c>
      <c r="G18" s="25" t="n">
        <f aca="false">G12-F12-G5</f>
        <v>6.41415095672981</v>
      </c>
      <c r="H18" s="25" t="n">
        <f aca="false">H12-G12-H5</f>
        <v>2.32286904761897</v>
      </c>
      <c r="I18" s="25" t="n">
        <f aca="false">I12-H12-I5</f>
        <v>2.82777451619917</v>
      </c>
      <c r="J18" s="25" t="n">
        <f aca="false">J12-I12-J5</f>
        <v>1.67155903457274</v>
      </c>
      <c r="K18" s="25" t="n">
        <f aca="false">K12-J12-K5</f>
        <v>1.69941835181561</v>
      </c>
      <c r="L18" s="25" t="n">
        <f aca="false">L12-K12-L5</f>
        <v>1.78485359136044</v>
      </c>
      <c r="M18" s="25" t="n">
        <f aca="false">M12-L12-M5</f>
        <v>1.93455098934551</v>
      </c>
    </row>
    <row r="19" customFormat="false" ht="17.15" hidden="false" customHeight="false" outlineLevel="0" collapsed="false">
      <c r="A19" s="4" t="s">
        <v>956</v>
      </c>
      <c r="B19" s="0" t="s">
        <v>964</v>
      </c>
      <c r="C19" s="0" t="s">
        <v>953</v>
      </c>
      <c r="D19" s="25" t="n">
        <f aca="false">0</f>
        <v>0</v>
      </c>
      <c r="E19" s="25" t="n">
        <f aca="false">E13-D13-E5</f>
        <v>2.27984344422701</v>
      </c>
      <c r="F19" s="25" t="n">
        <f aca="false">F13-E13-F5</f>
        <v>6.49162861491629</v>
      </c>
      <c r="G19" s="25" t="n">
        <f aca="false">G13-F13-G5</f>
        <v>6.41415095672981</v>
      </c>
      <c r="H19" s="25" t="n">
        <f aca="false">H13-G13-H5</f>
        <v>1.50986488095233</v>
      </c>
      <c r="I19" s="25" t="n">
        <f aca="false">I13-H13-I5</f>
        <v>2.6510576021961</v>
      </c>
      <c r="J19" s="25" t="n">
        <f aca="false">J13-I13-J5</f>
        <v>2.07623445314199</v>
      </c>
      <c r="K19" s="25" t="n">
        <f aca="false">K13-J13-K5</f>
        <v>1.68966759078061</v>
      </c>
      <c r="L19" s="25" t="n">
        <f aca="false">L13-K13-L5</f>
        <v>1.75495125751975</v>
      </c>
      <c r="M19" s="25" t="n">
        <f aca="false">M13-L13-M5</f>
        <v>1.88215690005073</v>
      </c>
    </row>
    <row r="20" customFormat="false" ht="17.15" hidden="false" customHeight="false" outlineLevel="0" collapsed="false">
      <c r="A20" s="4" t="s">
        <v>957</v>
      </c>
      <c r="B20" s="0" t="s">
        <v>964</v>
      </c>
      <c r="C20" s="0" t="s">
        <v>952</v>
      </c>
      <c r="D20" s="25" t="n">
        <f aca="false">D11-D12</f>
        <v>0</v>
      </c>
      <c r="E20" s="25" t="n">
        <f aca="false">E11-E12</f>
        <v>0</v>
      </c>
      <c r="F20" s="25" t="n">
        <f aca="false">F11-F12</f>
        <v>0</v>
      </c>
      <c r="G20" s="25" t="n">
        <f aca="false">G11-G12</f>
        <v>0.330874048706157</v>
      </c>
      <c r="H20" s="25" t="n">
        <f aca="false">H11-H12</f>
        <v>1.99199499891281</v>
      </c>
      <c r="I20" s="25" t="n">
        <f aca="false">I11-I12</f>
        <v>0.835779517286369</v>
      </c>
      <c r="J20" s="25" t="n">
        <f aca="false">J11-J12</f>
        <v>0.835779517286362</v>
      </c>
      <c r="K20" s="25" t="n">
        <f aca="false">K11-K12</f>
        <v>0.863638834529244</v>
      </c>
      <c r="L20" s="25" t="n">
        <f aca="false">L11-L12</f>
        <v>0.921214756831194</v>
      </c>
      <c r="M20" s="25" t="n">
        <f aca="false">M11-M12</f>
        <v>1.01333623251431</v>
      </c>
    </row>
    <row r="21" customFormat="false" ht="17.15" hidden="false" customHeight="false" outlineLevel="0" collapsed="false">
      <c r="A21" s="4" t="s">
        <v>957</v>
      </c>
      <c r="B21" s="0" t="s">
        <v>964</v>
      </c>
      <c r="C21" s="0" t="s">
        <v>953</v>
      </c>
      <c r="D21" s="25" t="n">
        <f aca="false">D11-D13</f>
        <v>0</v>
      </c>
      <c r="E21" s="25" t="n">
        <f aca="false">E11-E13</f>
        <v>0</v>
      </c>
      <c r="F21" s="25" t="n">
        <f aca="false">F11-F13</f>
        <v>0</v>
      </c>
      <c r="G21" s="25" t="n">
        <f aca="false">G11-G13</f>
        <v>0.330874048706157</v>
      </c>
      <c r="H21" s="25" t="n">
        <f aca="false">H11-H13</f>
        <v>2.80499916557944</v>
      </c>
      <c r="I21" s="25" t="n">
        <f aca="false">I11-I13</f>
        <v>1.82550059795608</v>
      </c>
      <c r="J21" s="25" t="n">
        <f aca="false">J11-J13</f>
        <v>1.42082517938682</v>
      </c>
      <c r="K21" s="25" t="n">
        <f aca="false">K11-K13</f>
        <v>1.4584352576647</v>
      </c>
      <c r="L21" s="25" t="n">
        <f aca="false">L11-L13</f>
        <v>1.54591351380735</v>
      </c>
      <c r="M21" s="25" t="n">
        <f aca="false">M11-M13</f>
        <v>1.69042907878524</v>
      </c>
    </row>
    <row r="23" customFormat="false" ht="17.15" hidden="false" customHeight="false" outlineLevel="0" collapsed="false">
      <c r="A23" s="17" t="s">
        <v>967</v>
      </c>
    </row>
    <row r="24" customFormat="false" ht="17.15" hidden="false" customHeight="false" outlineLevel="0" collapsed="false">
      <c r="A24" s="4" t="s">
        <v>963</v>
      </c>
      <c r="B24" s="0" t="s">
        <v>968</v>
      </c>
      <c r="C24" s="0" t="s">
        <v>951</v>
      </c>
      <c r="D24" s="25" t="n">
        <f aca="false">0</f>
        <v>0</v>
      </c>
      <c r="E24" s="25" t="n">
        <f aca="false">E4</f>
        <v>2.27984344422701</v>
      </c>
      <c r="F24" s="25" t="n">
        <f aca="false">F4</f>
        <v>6.49162861491629</v>
      </c>
      <c r="G24" s="25" t="n">
        <f aca="false">G4</f>
        <v>6.74502500543597</v>
      </c>
      <c r="H24" s="25" t="n">
        <f aca="false">H4</f>
        <v>3.98398999782561</v>
      </c>
      <c r="I24" s="25" t="n">
        <f aca="false">I4*SIL_In!$I$28</f>
        <v>1.33724722765819</v>
      </c>
      <c r="J24" s="25" t="n">
        <f aca="false">J4*SIL_In!$J$28</f>
        <v>1.42082517938682</v>
      </c>
      <c r="K24" s="25" t="n">
        <f aca="false">J24*(1+K25)</f>
        <v>1.52738706784083</v>
      </c>
      <c r="L24" s="25" t="n">
        <f aca="false">K24*(1+L25)</f>
        <v>1.6610334362769</v>
      </c>
      <c r="M24" s="25" t="n">
        <f aca="false">L24*(1+M25)</f>
        <v>1.82713677990459</v>
      </c>
    </row>
    <row r="25" customFormat="false" ht="17.15" hidden="false" customHeight="false" outlineLevel="0" collapsed="false">
      <c r="A25" s="4" t="s">
        <v>965</v>
      </c>
      <c r="B25" s="0" t="s">
        <v>968</v>
      </c>
      <c r="D25" s="19" t="str">
        <f aca="false">""</f>
        <v/>
      </c>
      <c r="E25" s="19" t="str">
        <f aca="false">""</f>
        <v/>
      </c>
      <c r="F25" s="19" t="str">
        <f aca="false">""</f>
        <v/>
      </c>
      <c r="G25" s="19" t="str">
        <f aca="false">""</f>
        <v/>
      </c>
      <c r="H25" s="19" t="str">
        <f aca="false">""</f>
        <v/>
      </c>
      <c r="I25" s="19" t="str">
        <f aca="false">""</f>
        <v/>
      </c>
      <c r="J25" s="19" t="n">
        <f aca="false">IFERROR(J24/I24-1,g_lt)</f>
        <v>0.0624999999999976</v>
      </c>
      <c r="K25" s="19" t="n">
        <f aca="false">$J$25+(g_lt-$J$25)*(2030-2029)/3</f>
        <v>0.0749999999999984</v>
      </c>
      <c r="L25" s="19" t="n">
        <f aca="false">$J$25+(g_lt-$J$25)*(2031-2029)/3</f>
        <v>0.0874999999999992</v>
      </c>
      <c r="M25" s="19" t="n">
        <f aca="false">$J$25+(g_lt-$J$25)*(2032-2029)/3</f>
        <v>0.1</v>
      </c>
    </row>
    <row r="26" customFormat="false" ht="17.15" hidden="false" customHeight="false" outlineLevel="0" collapsed="false">
      <c r="A26" s="4" t="s">
        <v>966</v>
      </c>
      <c r="B26" s="0" t="s">
        <v>968</v>
      </c>
      <c r="D26" s="25" t="n">
        <f aca="false">0</f>
        <v>0</v>
      </c>
      <c r="E26" s="25" t="n">
        <f aca="false">E24-E4</f>
        <v>0</v>
      </c>
      <c r="F26" s="25" t="n">
        <f aca="false">F24-F4</f>
        <v>0</v>
      </c>
      <c r="G26" s="25" t="n">
        <f aca="false">G24-G4</f>
        <v>0</v>
      </c>
      <c r="H26" s="25" t="n">
        <f aca="false">H24-H4</f>
        <v>0</v>
      </c>
      <c r="I26" s="25" t="n">
        <f aca="false">I24-I4</f>
        <v>-0.334311806914547</v>
      </c>
      <c r="J26" s="25" t="n">
        <f aca="false">J24-J4</f>
        <v>-0.25073385518591</v>
      </c>
      <c r="K26" s="25" t="n">
        <f aca="false">K24-K4</f>
        <v>-0.144171966731907</v>
      </c>
      <c r="L26" s="25" t="n">
        <f aca="false">L24-L4</f>
        <v>1.6610334362769</v>
      </c>
      <c r="M26" s="25" t="n">
        <f aca="false">M24-M4</f>
        <v>1.82713677990459</v>
      </c>
    </row>
    <row r="27" customFormat="false" ht="17.15" hidden="false" customHeight="false" outlineLevel="0" collapsed="false">
      <c r="A27" s="17" t="s">
        <v>955</v>
      </c>
      <c r="B27" s="16" t="s">
        <v>968</v>
      </c>
      <c r="C27" s="16" t="s">
        <v>951</v>
      </c>
      <c r="D27" s="24" t="n">
        <f aca="false">Pipeline!D117+SUMPRODUCT($E$26:$M$26,Pipeline!$E$72:$M$72)</f>
        <v>0.929549902152642</v>
      </c>
      <c r="E27" s="24" t="n">
        <f aca="false">Pipeline!E117+SUMPRODUCT($E$26:$M$26,Pipeline!$E$73:$M$73)</f>
        <v>4.18786692759296</v>
      </c>
      <c r="F27" s="24" t="n">
        <f aca="false">Pipeline!F117+SUMPRODUCT($E$26:$M$26,Pipeline!$E$74:$M$74)</f>
        <v>10.8702978908458</v>
      </c>
      <c r="G27" s="24" t="n">
        <f aca="false">Pipeline!G117+SUMPRODUCT($E$26:$M$26,Pipeline!$E$75:$M$75)</f>
        <v>20.3800543596434</v>
      </c>
      <c r="H27" s="24" t="n">
        <f aca="false">Pipeline!H117+SUMPRODUCT($E$26:$M$26,Pipeline!$E$76:$M$76)</f>
        <v>24.364044357469</v>
      </c>
      <c r="I27" s="24" t="n">
        <f aca="false">Pipeline!I117+SUMPRODUCT($E$26:$M$26,Pipeline!$E$77:$M$77)</f>
        <v>25.7012915851272</v>
      </c>
      <c r="J27" s="24" t="n">
        <f aca="false">Pipeline!J117+SUMPRODUCT($E$26:$M$26,Pipeline!$E$78:$M$78)</f>
        <v>27.122116764514</v>
      </c>
      <c r="K27" s="24" t="n">
        <f aca="false">Pipeline!K117+SUMPRODUCT($E$26:$M$26,Pipeline!$E$79:$M$79)</f>
        <v>28.6495038323549</v>
      </c>
      <c r="L27" s="24" t="n">
        <f aca="false">Pipeline!L117+SUMPRODUCT($E$26:$M$26,Pipeline!$E$80:$M$80)</f>
        <v>30.3105372686318</v>
      </c>
      <c r="M27" s="24" t="n">
        <f aca="false">Pipeline!M117+SUMPRODUCT($E$26:$M$26,Pipeline!$E$81:$M$81)</f>
        <v>32.1376740485364</v>
      </c>
    </row>
    <row r="28" customFormat="false" ht="17.15" hidden="false" customHeight="false" outlineLevel="0" collapsed="false">
      <c r="A28" s="17" t="s">
        <v>955</v>
      </c>
      <c r="B28" s="16" t="s">
        <v>968</v>
      </c>
      <c r="C28" s="16" t="s">
        <v>952</v>
      </c>
      <c r="D28" s="24" t="n">
        <f aca="false">Pipeline!D118+SUMPRODUCT($E$26:$M$26,Pipeline!$E$84:$M$84)</f>
        <v>0.929549902152642</v>
      </c>
      <c r="E28" s="24" t="n">
        <f aca="false">Pipeline!E118+SUMPRODUCT($E$26:$M$26,Pipeline!$E$85:$M$85)</f>
        <v>4.18786692759296</v>
      </c>
      <c r="F28" s="24" t="n">
        <f aca="false">Pipeline!F118+SUMPRODUCT($E$26:$M$26,Pipeline!$E$86:$M$86)</f>
        <v>10.8702978908458</v>
      </c>
      <c r="G28" s="24" t="n">
        <f aca="false">Pipeline!G118+SUMPRODUCT($E$26:$M$26,Pipeline!$E$87:$M$87)</f>
        <v>20.0491803109372</v>
      </c>
      <c r="H28" s="24" t="n">
        <f aca="false">Pipeline!H118+SUMPRODUCT($E$26:$M$26,Pipeline!$E$88:$M$88)</f>
        <v>22.3720493585562</v>
      </c>
      <c r="I28" s="24" t="n">
        <f aca="false">Pipeline!I118+SUMPRODUCT($E$26:$M$26,Pipeline!$E$89:$M$89)</f>
        <v>25.0326679712981</v>
      </c>
      <c r="J28" s="24" t="n">
        <f aca="false">Pipeline!J118+SUMPRODUCT($E$26:$M$26,Pipeline!$E$90:$M$90)</f>
        <v>26.4117041748206</v>
      </c>
      <c r="K28" s="24" t="n">
        <f aca="false">Pipeline!K118+SUMPRODUCT($E$26:$M$26,Pipeline!$E$91:$M$91)</f>
        <v>27.8858102984344</v>
      </c>
      <c r="L28" s="24" t="n">
        <f aca="false">Pipeline!L118+SUMPRODUCT($E$26:$M$26,Pipeline!$E$92:$M$92)</f>
        <v>29.4800205504933</v>
      </c>
      <c r="M28" s="24" t="n">
        <f aca="false">Pipeline!M118+SUMPRODUCT($E$26:$M$26,Pipeline!$E$93:$M$93)</f>
        <v>31.2241056585841</v>
      </c>
    </row>
    <row r="29" customFormat="false" ht="17.15" hidden="false" customHeight="false" outlineLevel="0" collapsed="false">
      <c r="A29" s="17" t="s">
        <v>955</v>
      </c>
      <c r="B29" s="16" t="s">
        <v>968</v>
      </c>
      <c r="C29" s="16" t="s">
        <v>953</v>
      </c>
      <c r="D29" s="24" t="n">
        <f aca="false">Pipeline!D119+SUMPRODUCT($E$26:$M$26,Pipeline!$E$96:$M$96)</f>
        <v>0.929549902152642</v>
      </c>
      <c r="E29" s="24" t="n">
        <f aca="false">Pipeline!E119+SUMPRODUCT($E$26:$M$26,Pipeline!$E$97:$M$97)</f>
        <v>4.18786692759296</v>
      </c>
      <c r="F29" s="24" t="n">
        <f aca="false">Pipeline!F119+SUMPRODUCT($E$26:$M$26,Pipeline!$E$98:$M$98)</f>
        <v>10.8702978908458</v>
      </c>
      <c r="G29" s="24" t="n">
        <f aca="false">Pipeline!G119+SUMPRODUCT($E$26:$M$26,Pipeline!$E$99:$M$99)</f>
        <v>20.0491803109372</v>
      </c>
      <c r="H29" s="24" t="n">
        <f aca="false">Pipeline!H119+SUMPRODUCT($E$26:$M$26,Pipeline!$E$100:$M$100)</f>
        <v>21.5590451918896</v>
      </c>
      <c r="I29" s="24" t="n">
        <f aca="false">Pipeline!I119+SUMPRODUCT($E$26:$M$26,Pipeline!$E$101:$M$101)</f>
        <v>24.1014514568384</v>
      </c>
      <c r="J29" s="24" t="n">
        <f aca="false">Pipeline!J119+SUMPRODUCT($E$26:$M$26,Pipeline!$E$102:$M$102)</f>
        <v>25.9290415035877</v>
      </c>
      <c r="K29" s="24" t="n">
        <f aca="false">Pipeline!K119+SUMPRODUCT($E$26:$M$26,Pipeline!$E$103:$M$103)</f>
        <v>27.3698731551696</v>
      </c>
      <c r="L29" s="24" t="n">
        <f aca="false">Pipeline!L119+SUMPRODUCT($E$26:$M$26,Pipeline!$E$104:$M$104)</f>
        <v>28.9220469622727</v>
      </c>
      <c r="M29" s="24" t="n">
        <f aca="false">Pipeline!M119+SUMPRODUCT($E$26:$M$26,Pipeline!$E$105:$M$105)</f>
        <v>30.6136758707523</v>
      </c>
    </row>
    <row r="30" customFormat="false" ht="17.15" hidden="false" customHeight="false" outlineLevel="0" collapsed="false">
      <c r="A30" s="4" t="s">
        <v>859</v>
      </c>
      <c r="B30" s="0" t="s">
        <v>968</v>
      </c>
      <c r="C30" s="0" t="s">
        <v>951</v>
      </c>
      <c r="D30" s="25" t="str">
        <f aca="false">""</f>
        <v/>
      </c>
      <c r="E30" s="25" t="n">
        <f aca="false">(D27+E27)/2</f>
        <v>2.5587084148728</v>
      </c>
      <c r="F30" s="25" t="n">
        <f aca="false">(E27+F27)/2</f>
        <v>7.5290824092194</v>
      </c>
      <c r="G30" s="25" t="n">
        <f aca="false">(F27+G27)/2</f>
        <v>15.6251761252446</v>
      </c>
      <c r="H30" s="25" t="n">
        <f aca="false">(G27+H27)/2</f>
        <v>22.3720493585562</v>
      </c>
      <c r="I30" s="25" t="n">
        <f aca="false">(H27+I27)/2</f>
        <v>25.0326679712981</v>
      </c>
      <c r="J30" s="25" t="n">
        <f aca="false">(I27+J27)/2</f>
        <v>26.4117041748206</v>
      </c>
      <c r="K30" s="25" t="n">
        <f aca="false">(J27+K27)/2</f>
        <v>27.8858102984344</v>
      </c>
      <c r="L30" s="25" t="n">
        <f aca="false">(K27+L27)/2</f>
        <v>29.4800205504933</v>
      </c>
      <c r="M30" s="25" t="n">
        <f aca="false">(L27+M27)/2</f>
        <v>31.2241056585841</v>
      </c>
    </row>
    <row r="31" customFormat="false" ht="17.15" hidden="false" customHeight="false" outlineLevel="0" collapsed="false">
      <c r="A31" s="4" t="s">
        <v>859</v>
      </c>
      <c r="B31" s="0" t="s">
        <v>968</v>
      </c>
      <c r="C31" s="0" t="s">
        <v>952</v>
      </c>
      <c r="D31" s="25" t="str">
        <f aca="false">""</f>
        <v/>
      </c>
      <c r="E31" s="25" t="n">
        <f aca="false">(D28+E28)/2</f>
        <v>2.5587084148728</v>
      </c>
      <c r="F31" s="25" t="n">
        <f aca="false">(E28+F28)/2</f>
        <v>7.5290824092194</v>
      </c>
      <c r="G31" s="25" t="n">
        <f aca="false">(F28+G28)/2</f>
        <v>15.4597391008915</v>
      </c>
      <c r="H31" s="25" t="n">
        <f aca="false">(G28+H28)/2</f>
        <v>21.2106148347467</v>
      </c>
      <c r="I31" s="25" t="n">
        <f aca="false">(H28+I28)/2</f>
        <v>23.7023586649272</v>
      </c>
      <c r="J31" s="25" t="n">
        <f aca="false">(I28+J28)/2</f>
        <v>25.7221860730594</v>
      </c>
      <c r="K31" s="25" t="n">
        <f aca="false">(J28+K28)/2</f>
        <v>27.1487572366275</v>
      </c>
      <c r="L31" s="25" t="n">
        <f aca="false">(K28+L28)/2</f>
        <v>28.6829154244639</v>
      </c>
      <c r="M31" s="25" t="n">
        <f aca="false">(L28+M28)/2</f>
        <v>30.3520631045387</v>
      </c>
    </row>
    <row r="32" customFormat="false" ht="17.15" hidden="false" customHeight="false" outlineLevel="0" collapsed="false">
      <c r="A32" s="4" t="s">
        <v>859</v>
      </c>
      <c r="B32" s="0" t="s">
        <v>968</v>
      </c>
      <c r="C32" s="0" t="s">
        <v>953</v>
      </c>
      <c r="D32" s="25" t="str">
        <f aca="false">""</f>
        <v/>
      </c>
      <c r="E32" s="25" t="n">
        <f aca="false">(D29+E29)/2</f>
        <v>2.5587084148728</v>
      </c>
      <c r="F32" s="25" t="n">
        <f aca="false">(E29+F29)/2</f>
        <v>7.5290824092194</v>
      </c>
      <c r="G32" s="25" t="n">
        <f aca="false">(F29+G29)/2</f>
        <v>15.4597391008915</v>
      </c>
      <c r="H32" s="25" t="n">
        <f aca="false">(G29+H29)/2</f>
        <v>20.8041127514134</v>
      </c>
      <c r="I32" s="25" t="n">
        <f aca="false">(H29+I29)/2</f>
        <v>22.830248324364</v>
      </c>
      <c r="J32" s="25" t="n">
        <f aca="false">(I29+J29)/2</f>
        <v>25.0152464802131</v>
      </c>
      <c r="K32" s="25" t="n">
        <f aca="false">(J29+K29)/2</f>
        <v>26.6494573293787</v>
      </c>
      <c r="L32" s="25" t="n">
        <f aca="false">(K29+L29)/2</f>
        <v>28.1459600587212</v>
      </c>
      <c r="M32" s="25" t="n">
        <f aca="false">(L29+M29)/2</f>
        <v>29.7678614165125</v>
      </c>
    </row>
    <row r="33" customFormat="false" ht="17.15" hidden="false" customHeight="false" outlineLevel="0" collapsed="false">
      <c r="A33" s="4" t="s">
        <v>956</v>
      </c>
      <c r="B33" s="0" t="s">
        <v>968</v>
      </c>
      <c r="C33" s="0" t="s">
        <v>951</v>
      </c>
      <c r="D33" s="25" t="n">
        <f aca="false">0</f>
        <v>0</v>
      </c>
      <c r="E33" s="25" t="n">
        <f aca="false">E27-D27-E5</f>
        <v>2.27984344422701</v>
      </c>
      <c r="F33" s="25" t="n">
        <f aca="false">F27-E27-F5</f>
        <v>6.49162861491629</v>
      </c>
      <c r="G33" s="25" t="n">
        <f aca="false">G27-F27-G5</f>
        <v>6.74502500543597</v>
      </c>
      <c r="H33" s="25" t="n">
        <f aca="false">H27-G27-H5</f>
        <v>3.98398999782561</v>
      </c>
      <c r="I33" s="25" t="n">
        <f aca="false">I27-H27-I5</f>
        <v>1.33724722765819</v>
      </c>
      <c r="J33" s="25" t="n">
        <f aca="false">J27-I27-J5</f>
        <v>1.42082517938682</v>
      </c>
      <c r="K33" s="25" t="n">
        <f aca="false">K27-J27-K5</f>
        <v>1.52738706784083</v>
      </c>
      <c r="L33" s="25" t="n">
        <f aca="false">L27-K27-L5</f>
        <v>1.6610334362769</v>
      </c>
      <c r="M33" s="25" t="n">
        <f aca="false">M27-L27-M5</f>
        <v>1.82713677990459</v>
      </c>
    </row>
    <row r="34" customFormat="false" ht="17.15" hidden="false" customHeight="false" outlineLevel="0" collapsed="false">
      <c r="A34" s="4" t="s">
        <v>956</v>
      </c>
      <c r="B34" s="0" t="s">
        <v>968</v>
      </c>
      <c r="C34" s="0" t="s">
        <v>952</v>
      </c>
      <c r="D34" s="25" t="n">
        <f aca="false">0</f>
        <v>0</v>
      </c>
      <c r="E34" s="25" t="n">
        <f aca="false">E28-D28-E5</f>
        <v>2.27984344422701</v>
      </c>
      <c r="F34" s="25" t="n">
        <f aca="false">F28-E28-F5</f>
        <v>6.49162861491629</v>
      </c>
      <c r="G34" s="25" t="n">
        <f aca="false">G28-F28-G5</f>
        <v>6.41415095672981</v>
      </c>
      <c r="H34" s="25" t="n">
        <f aca="false">H28-G28-H5</f>
        <v>2.32286904761897</v>
      </c>
      <c r="I34" s="25" t="n">
        <f aca="false">I28-H28-I5</f>
        <v>2.6606186127419</v>
      </c>
      <c r="J34" s="25" t="n">
        <f aca="false">J28-I28-J5</f>
        <v>1.37903620352251</v>
      </c>
      <c r="K34" s="25" t="n">
        <f aca="false">K28-J28-K5</f>
        <v>1.47410612361382</v>
      </c>
      <c r="L34" s="25" t="n">
        <f aca="false">L28-K28-L5</f>
        <v>1.59421025205887</v>
      </c>
      <c r="M34" s="25" t="n">
        <f aca="false">M28-L28-M5</f>
        <v>1.74408510809074</v>
      </c>
    </row>
    <row r="35" customFormat="false" ht="17.15" hidden="false" customHeight="false" outlineLevel="0" collapsed="false">
      <c r="A35" s="4" t="s">
        <v>956</v>
      </c>
      <c r="B35" s="0" t="s">
        <v>968</v>
      </c>
      <c r="C35" s="0" t="s">
        <v>953</v>
      </c>
      <c r="D35" s="25" t="n">
        <f aca="false">0</f>
        <v>0</v>
      </c>
      <c r="E35" s="25" t="n">
        <f aca="false">E29-D29-E5</f>
        <v>2.27984344422701</v>
      </c>
      <c r="F35" s="25" t="n">
        <f aca="false">F29-E29-F5</f>
        <v>6.49162861491629</v>
      </c>
      <c r="G35" s="25" t="n">
        <f aca="false">G29-F29-G5</f>
        <v>6.41415095672981</v>
      </c>
      <c r="H35" s="25" t="n">
        <f aca="false">H29-G29-H5</f>
        <v>1.50986488095233</v>
      </c>
      <c r="I35" s="25" t="n">
        <f aca="false">I29-H29-I5</f>
        <v>2.54240626494887</v>
      </c>
      <c r="J35" s="25" t="n">
        <f aca="false">J29-I29-J5</f>
        <v>1.82759004674929</v>
      </c>
      <c r="K35" s="25" t="n">
        <f aca="false">K29-J29-K5</f>
        <v>1.44083165158187</v>
      </c>
      <c r="L35" s="25" t="n">
        <f aca="false">L29-K29-L5</f>
        <v>1.5521738071031</v>
      </c>
      <c r="M35" s="25" t="n">
        <f aca="false">M29-L29-M5</f>
        <v>1.69162890847959</v>
      </c>
    </row>
    <row r="36" customFormat="false" ht="17.15" hidden="false" customHeight="false" outlineLevel="0" collapsed="false">
      <c r="A36" s="4" t="s">
        <v>957</v>
      </c>
      <c r="B36" s="0" t="s">
        <v>968</v>
      </c>
      <c r="C36" s="0" t="s">
        <v>952</v>
      </c>
      <c r="D36" s="25" t="n">
        <f aca="false">D27-D28</f>
        <v>0</v>
      </c>
      <c r="E36" s="25" t="n">
        <f aca="false">E27-E28</f>
        <v>0</v>
      </c>
      <c r="F36" s="25" t="n">
        <f aca="false">F27-F28</f>
        <v>0</v>
      </c>
      <c r="G36" s="25" t="n">
        <f aca="false">G27-G28</f>
        <v>0.330874048706157</v>
      </c>
      <c r="H36" s="25" t="n">
        <f aca="false">H27-H28</f>
        <v>1.99199499891281</v>
      </c>
      <c r="I36" s="25" t="n">
        <f aca="false">I27-I28</f>
        <v>0.668623613829098</v>
      </c>
      <c r="J36" s="25" t="n">
        <f aca="false">J27-J28</f>
        <v>0.710412589693409</v>
      </c>
      <c r="K36" s="25" t="n">
        <f aca="false">K27-K28</f>
        <v>0.763693533920417</v>
      </c>
      <c r="L36" s="25" t="n">
        <f aca="false">L27-L28</f>
        <v>0.830516718138448</v>
      </c>
      <c r="M36" s="25" t="n">
        <f aca="false">M27-M28</f>
        <v>0.913568389952296</v>
      </c>
    </row>
    <row r="37" customFormat="false" ht="17.15" hidden="false" customHeight="false" outlineLevel="0" collapsed="false">
      <c r="A37" s="4" t="s">
        <v>957</v>
      </c>
      <c r="B37" s="0" t="s">
        <v>968</v>
      </c>
      <c r="C37" s="0" t="s">
        <v>953</v>
      </c>
      <c r="D37" s="25" t="n">
        <f aca="false">D27-D29</f>
        <v>0</v>
      </c>
      <c r="E37" s="25" t="n">
        <f aca="false">E27-E29</f>
        <v>0</v>
      </c>
      <c r="F37" s="25" t="n">
        <f aca="false">F27-F29</f>
        <v>0</v>
      </c>
      <c r="G37" s="25" t="n">
        <f aca="false">G27-G29</f>
        <v>0.330874048706157</v>
      </c>
      <c r="H37" s="25" t="n">
        <f aca="false">H27-H29</f>
        <v>2.80499916557944</v>
      </c>
      <c r="I37" s="25" t="n">
        <f aca="false">I27-I29</f>
        <v>1.59984012828876</v>
      </c>
      <c r="J37" s="25" t="n">
        <f aca="false">J27-J29</f>
        <v>1.19307526092629</v>
      </c>
      <c r="K37" s="25" t="n">
        <f aca="false">K27-K29</f>
        <v>1.27963067718525</v>
      </c>
      <c r="L37" s="25" t="n">
        <f aca="false">L27-L29</f>
        <v>1.38849030635905</v>
      </c>
      <c r="M37" s="25" t="n">
        <f aca="false">M27-M29</f>
        <v>1.52399817778405</v>
      </c>
    </row>
    <row r="39" customFormat="false" ht="17.15" hidden="false" customHeight="false" outlineLevel="0" collapsed="false">
      <c r="A39" s="17" t="s">
        <v>969</v>
      </c>
    </row>
    <row r="40" customFormat="false" ht="17.15" hidden="false" customHeight="false" outlineLevel="0" collapsed="false">
      <c r="A40" s="4" t="s">
        <v>963</v>
      </c>
      <c r="B40" s="0" t="s">
        <v>970</v>
      </c>
      <c r="C40" s="0" t="s">
        <v>951</v>
      </c>
      <c r="D40" s="25" t="n">
        <f aca="false">0</f>
        <v>0</v>
      </c>
      <c r="E40" s="25" t="n">
        <f aca="false">E4</f>
        <v>2.27984344422701</v>
      </c>
      <c r="F40" s="25" t="n">
        <f aca="false">F4</f>
        <v>6.49162861491629</v>
      </c>
      <c r="G40" s="25" t="n">
        <f aca="false">G4</f>
        <v>6.74502500543597</v>
      </c>
      <c r="H40" s="25" t="n">
        <f aca="false">H4</f>
        <v>3.98398999782561</v>
      </c>
      <c r="I40" s="25" t="n">
        <f aca="false">I4*SIL_In!$I$29</f>
        <v>1.00293542074364</v>
      </c>
      <c r="J40" s="25" t="n">
        <f aca="false">J4*SIL_In!$J$29</f>
        <v>1.00293542074364</v>
      </c>
      <c r="K40" s="25" t="n">
        <f aca="false">J40*(1+K41)</f>
        <v>1.03636660143509</v>
      </c>
      <c r="L40" s="25" t="n">
        <f aca="false">K40*(1+L41)</f>
        <v>1.10545770819743</v>
      </c>
      <c r="M40" s="25" t="n">
        <f aca="false">L40*(1+M41)</f>
        <v>1.21600347901718</v>
      </c>
    </row>
    <row r="41" customFormat="false" ht="17.15" hidden="false" customHeight="false" outlineLevel="0" collapsed="false">
      <c r="A41" s="4" t="s">
        <v>965</v>
      </c>
      <c r="B41" s="0" t="s">
        <v>970</v>
      </c>
      <c r="D41" s="19" t="str">
        <f aca="false">""</f>
        <v/>
      </c>
      <c r="E41" s="19" t="str">
        <f aca="false">""</f>
        <v/>
      </c>
      <c r="F41" s="19" t="str">
        <f aca="false">""</f>
        <v/>
      </c>
      <c r="G41" s="19" t="str">
        <f aca="false">""</f>
        <v/>
      </c>
      <c r="H41" s="19" t="str">
        <f aca="false">""</f>
        <v/>
      </c>
      <c r="I41" s="19" t="str">
        <f aca="false">""</f>
        <v/>
      </c>
      <c r="J41" s="19" t="n">
        <f aca="false">IFERROR(J40/I40-1,g_lt)</f>
        <v>0</v>
      </c>
      <c r="K41" s="19" t="n">
        <f aca="false">$J$41+(g_lt-$J$41)*(2030-2029)/3</f>
        <v>0.0333333333333333</v>
      </c>
      <c r="L41" s="19" t="n">
        <f aca="false">$J$41+(g_lt-$J$41)*(2031-2029)/3</f>
        <v>0.0666666666666667</v>
      </c>
      <c r="M41" s="19" t="n">
        <f aca="false">$J$41+(g_lt-$J$41)*(2032-2029)/3</f>
        <v>0.1</v>
      </c>
    </row>
    <row r="42" customFormat="false" ht="17.15" hidden="false" customHeight="false" outlineLevel="0" collapsed="false">
      <c r="A42" s="4" t="s">
        <v>966</v>
      </c>
      <c r="B42" s="0" t="s">
        <v>970</v>
      </c>
      <c r="D42" s="25" t="n">
        <f aca="false">0</f>
        <v>0</v>
      </c>
      <c r="E42" s="25" t="n">
        <f aca="false">E40-E4</f>
        <v>0</v>
      </c>
      <c r="F42" s="25" t="n">
        <f aca="false">F40-F4</f>
        <v>0</v>
      </c>
      <c r="G42" s="25" t="n">
        <f aca="false">G40-G4</f>
        <v>0</v>
      </c>
      <c r="H42" s="25" t="n">
        <f aca="false">H40-H4</f>
        <v>0</v>
      </c>
      <c r="I42" s="25" t="n">
        <f aca="false">I40-I4</f>
        <v>-0.668623613829094</v>
      </c>
      <c r="J42" s="25" t="n">
        <f aca="false">J40-J4</f>
        <v>-0.668623613829092</v>
      </c>
      <c r="K42" s="25" t="n">
        <f aca="false">K40-K4</f>
        <v>-0.635192433137645</v>
      </c>
      <c r="L42" s="25" t="n">
        <f aca="false">L40-L4</f>
        <v>1.10545770819743</v>
      </c>
      <c r="M42" s="25" t="n">
        <f aca="false">M40-M4</f>
        <v>1.21600347901718</v>
      </c>
    </row>
    <row r="43" customFormat="false" ht="17.15" hidden="false" customHeight="false" outlineLevel="0" collapsed="false">
      <c r="A43" s="17" t="s">
        <v>955</v>
      </c>
      <c r="B43" s="16" t="s">
        <v>970</v>
      </c>
      <c r="C43" s="16" t="s">
        <v>951</v>
      </c>
      <c r="D43" s="24" t="n">
        <f aca="false">Pipeline!D117+SUMPRODUCT($E$42:$M$42,Pipeline!$E$72:$M$72)</f>
        <v>0.929549902152642</v>
      </c>
      <c r="E43" s="24" t="n">
        <f aca="false">Pipeline!E117+SUMPRODUCT($E$42:$M$42,Pipeline!$E$73:$M$73)</f>
        <v>4.18786692759296</v>
      </c>
      <c r="F43" s="24" t="n">
        <f aca="false">Pipeline!F117+SUMPRODUCT($E$42:$M$42,Pipeline!$E$74:$M$74)</f>
        <v>10.8702978908458</v>
      </c>
      <c r="G43" s="24" t="n">
        <f aca="false">Pipeline!G117+SUMPRODUCT($E$42:$M$42,Pipeline!$E$75:$M$75)</f>
        <v>20.3800543596434</v>
      </c>
      <c r="H43" s="24" t="n">
        <f aca="false">Pipeline!H117+SUMPRODUCT($E$42:$M$42,Pipeline!$E$76:$M$76)</f>
        <v>24.364044357469</v>
      </c>
      <c r="I43" s="24" t="n">
        <f aca="false">Pipeline!I117+SUMPRODUCT($E$42:$M$42,Pipeline!$E$77:$M$77)</f>
        <v>25.3669797782127</v>
      </c>
      <c r="J43" s="24" t="n">
        <f aca="false">Pipeline!J117+SUMPRODUCT($E$42:$M$42,Pipeline!$E$78:$M$78)</f>
        <v>26.3699151989563</v>
      </c>
      <c r="K43" s="24" t="n">
        <f aca="false">Pipeline!K117+SUMPRODUCT($E$42:$M$42,Pipeline!$E$79:$M$79)</f>
        <v>27.4062818003914</v>
      </c>
      <c r="L43" s="24" t="n">
        <f aca="false">Pipeline!L117+SUMPRODUCT($E$42:$M$42,Pipeline!$E$80:$M$80)</f>
        <v>28.5117395085888</v>
      </c>
      <c r="M43" s="24" t="n">
        <f aca="false">Pipeline!M117+SUMPRODUCT($E$42:$M$42,Pipeline!$E$81:$M$81)</f>
        <v>29.727742987606</v>
      </c>
    </row>
    <row r="44" customFormat="false" ht="17.15" hidden="false" customHeight="false" outlineLevel="0" collapsed="false">
      <c r="A44" s="17" t="s">
        <v>955</v>
      </c>
      <c r="B44" s="16" t="s">
        <v>970</v>
      </c>
      <c r="C44" s="16" t="s">
        <v>952</v>
      </c>
      <c r="D44" s="24" t="n">
        <f aca="false">Pipeline!D118+SUMPRODUCT($E$42:$M$42,Pipeline!$E$84:$M$84)</f>
        <v>0.929549902152642</v>
      </c>
      <c r="E44" s="24" t="n">
        <f aca="false">Pipeline!E118+SUMPRODUCT($E$42:$M$42,Pipeline!$E$85:$M$85)</f>
        <v>4.18786692759296</v>
      </c>
      <c r="F44" s="24" t="n">
        <f aca="false">Pipeline!F118+SUMPRODUCT($E$42:$M$42,Pipeline!$E$86:$M$86)</f>
        <v>10.8702978908458</v>
      </c>
      <c r="G44" s="24" t="n">
        <f aca="false">Pipeline!G118+SUMPRODUCT($E$42:$M$42,Pipeline!$E$87:$M$87)</f>
        <v>20.0491803109372</v>
      </c>
      <c r="H44" s="24" t="n">
        <f aca="false">Pipeline!H118+SUMPRODUCT($E$42:$M$42,Pipeline!$E$88:$M$88)</f>
        <v>22.3720493585562</v>
      </c>
      <c r="I44" s="24" t="n">
        <f aca="false">Pipeline!I118+SUMPRODUCT($E$42:$M$42,Pipeline!$E$89:$M$89)</f>
        <v>24.8655120678408</v>
      </c>
      <c r="J44" s="24" t="n">
        <f aca="false">Pipeline!J118+SUMPRODUCT($E$42:$M$42,Pipeline!$E$90:$M$90)</f>
        <v>25.8684474885845</v>
      </c>
      <c r="K44" s="24" t="n">
        <f aca="false">Pipeline!K118+SUMPRODUCT($E$42:$M$42,Pipeline!$E$91:$M$91)</f>
        <v>26.8880984996738</v>
      </c>
      <c r="L44" s="24" t="n">
        <f aca="false">Pipeline!L118+SUMPRODUCT($E$42:$M$42,Pipeline!$E$92:$M$92)</f>
        <v>27.9590106544901</v>
      </c>
      <c r="M44" s="24" t="n">
        <f aca="false">Pipeline!M118+SUMPRODUCT($E$42:$M$42,Pipeline!$E$93:$M$93)</f>
        <v>29.1197412480974</v>
      </c>
    </row>
    <row r="45" customFormat="false" ht="17.15" hidden="false" customHeight="false" outlineLevel="0" collapsed="false">
      <c r="A45" s="17" t="s">
        <v>955</v>
      </c>
      <c r="B45" s="16" t="s">
        <v>970</v>
      </c>
      <c r="C45" s="16" t="s">
        <v>953</v>
      </c>
      <c r="D45" s="24" t="n">
        <f aca="false">Pipeline!D119+SUMPRODUCT($E$42:$M$42,Pipeline!$E$96:$M$96)</f>
        <v>0.929549902152642</v>
      </c>
      <c r="E45" s="24" t="n">
        <f aca="false">Pipeline!E119+SUMPRODUCT($E$42:$M$42,Pipeline!$E$97:$M$97)</f>
        <v>4.18786692759296</v>
      </c>
      <c r="F45" s="24" t="n">
        <f aca="false">Pipeline!F119+SUMPRODUCT($E$42:$M$42,Pipeline!$E$98:$M$98)</f>
        <v>10.8702978908458</v>
      </c>
      <c r="G45" s="24" t="n">
        <f aca="false">Pipeline!G119+SUMPRODUCT($E$42:$M$42,Pipeline!$E$99:$M$99)</f>
        <v>20.0491803109372</v>
      </c>
      <c r="H45" s="24" t="n">
        <f aca="false">Pipeline!H119+SUMPRODUCT($E$42:$M$42,Pipeline!$E$100:$M$100)</f>
        <v>21.5590451918896</v>
      </c>
      <c r="I45" s="24" t="n">
        <f aca="false">Pipeline!I119+SUMPRODUCT($E$42:$M$42,Pipeline!$E$101:$M$101)</f>
        <v>23.9928001195912</v>
      </c>
      <c r="J45" s="24" t="n">
        <f aca="false">Pipeline!J119+SUMPRODUCT($E$42:$M$42,Pipeline!$E$102:$M$102)</f>
        <v>25.5174200913242</v>
      </c>
      <c r="K45" s="24" t="n">
        <f aca="false">Pipeline!K119+SUMPRODUCT($E$42:$M$42,Pipeline!$E$103:$M$103)</f>
        <v>26.5312206457926</v>
      </c>
      <c r="L45" s="24" t="n">
        <f aca="false">Pipeline!L119+SUMPRODUCT($E$42:$M$42,Pipeline!$E$104:$M$104)</f>
        <v>27.5841914003044</v>
      </c>
      <c r="M45" s="24" t="n">
        <f aca="false">Pipeline!M119+SUMPRODUCT($E$42:$M$42,Pipeline!$E$105:$M$105)</f>
        <v>28.7134855403349</v>
      </c>
    </row>
    <row r="46" customFormat="false" ht="17.15" hidden="false" customHeight="false" outlineLevel="0" collapsed="false">
      <c r="A46" s="4" t="s">
        <v>859</v>
      </c>
      <c r="B46" s="0" t="s">
        <v>970</v>
      </c>
      <c r="C46" s="0" t="s">
        <v>951</v>
      </c>
      <c r="D46" s="25" t="str">
        <f aca="false">""</f>
        <v/>
      </c>
      <c r="E46" s="25" t="n">
        <f aca="false">(D43+E43)/2</f>
        <v>2.5587084148728</v>
      </c>
      <c r="F46" s="25" t="n">
        <f aca="false">(E43+F43)/2</f>
        <v>7.5290824092194</v>
      </c>
      <c r="G46" s="25" t="n">
        <f aca="false">(F43+G43)/2</f>
        <v>15.6251761252446</v>
      </c>
      <c r="H46" s="25" t="n">
        <f aca="false">(G43+H43)/2</f>
        <v>22.3720493585562</v>
      </c>
      <c r="I46" s="25" t="n">
        <f aca="false">(H43+I43)/2</f>
        <v>24.8655120678408</v>
      </c>
      <c r="J46" s="25" t="n">
        <f aca="false">(I43+J43)/2</f>
        <v>25.8684474885845</v>
      </c>
      <c r="K46" s="25" t="n">
        <f aca="false">(J43+K43)/2</f>
        <v>26.8880984996738</v>
      </c>
      <c r="L46" s="25" t="n">
        <f aca="false">(K43+L43)/2</f>
        <v>27.9590106544901</v>
      </c>
      <c r="M46" s="25" t="n">
        <f aca="false">(L43+M43)/2</f>
        <v>29.1197412480974</v>
      </c>
    </row>
    <row r="47" customFormat="false" ht="17.15" hidden="false" customHeight="false" outlineLevel="0" collapsed="false">
      <c r="A47" s="4" t="s">
        <v>859</v>
      </c>
      <c r="B47" s="0" t="s">
        <v>970</v>
      </c>
      <c r="C47" s="0" t="s">
        <v>952</v>
      </c>
      <c r="D47" s="25" t="str">
        <f aca="false">""</f>
        <v/>
      </c>
      <c r="E47" s="25" t="n">
        <f aca="false">(D44+E44)/2</f>
        <v>2.5587084148728</v>
      </c>
      <c r="F47" s="25" t="n">
        <f aca="false">(E44+F44)/2</f>
        <v>7.5290824092194</v>
      </c>
      <c r="G47" s="25" t="n">
        <f aca="false">(F44+G44)/2</f>
        <v>15.4597391008915</v>
      </c>
      <c r="H47" s="25" t="n">
        <f aca="false">(G44+H44)/2</f>
        <v>21.2106148347467</v>
      </c>
      <c r="I47" s="25" t="n">
        <f aca="false">(H44+I44)/2</f>
        <v>23.6187807131985</v>
      </c>
      <c r="J47" s="25" t="n">
        <f aca="false">(I44+J44)/2</f>
        <v>25.3669797782127</v>
      </c>
      <c r="K47" s="25" t="n">
        <f aca="false">(J44+K44)/2</f>
        <v>26.3782729941292</v>
      </c>
      <c r="L47" s="25" t="n">
        <f aca="false">(K44+L44)/2</f>
        <v>27.423554577082</v>
      </c>
      <c r="M47" s="25" t="n">
        <f aca="false">(L44+M44)/2</f>
        <v>28.5393759512938</v>
      </c>
    </row>
    <row r="48" customFormat="false" ht="17.15" hidden="false" customHeight="false" outlineLevel="0" collapsed="false">
      <c r="A48" s="4" t="s">
        <v>859</v>
      </c>
      <c r="B48" s="0" t="s">
        <v>970</v>
      </c>
      <c r="C48" s="0" t="s">
        <v>953</v>
      </c>
      <c r="D48" s="25" t="str">
        <f aca="false">""</f>
        <v/>
      </c>
      <c r="E48" s="25" t="n">
        <f aca="false">(D45+E45)/2</f>
        <v>2.5587084148728</v>
      </c>
      <c r="F48" s="25" t="n">
        <f aca="false">(E45+F45)/2</f>
        <v>7.5290824092194</v>
      </c>
      <c r="G48" s="25" t="n">
        <f aca="false">(F45+G45)/2</f>
        <v>15.4597391008915</v>
      </c>
      <c r="H48" s="25" t="n">
        <f aca="false">(G45+H45)/2</f>
        <v>20.8041127514134</v>
      </c>
      <c r="I48" s="25" t="n">
        <f aca="false">(H45+I45)/2</f>
        <v>22.7759226557404</v>
      </c>
      <c r="J48" s="25" t="n">
        <f aca="false">(I45+J45)/2</f>
        <v>24.7551101054577</v>
      </c>
      <c r="K48" s="25" t="n">
        <f aca="false">(J45+K45)/2</f>
        <v>26.0243203685584</v>
      </c>
      <c r="L48" s="25" t="n">
        <f aca="false">(K45+L45)/2</f>
        <v>27.0577060230485</v>
      </c>
      <c r="M48" s="25" t="n">
        <f aca="false">(L45+M45)/2</f>
        <v>28.1488384703196</v>
      </c>
    </row>
    <row r="49" customFormat="false" ht="17.15" hidden="false" customHeight="false" outlineLevel="0" collapsed="false">
      <c r="A49" s="4" t="s">
        <v>956</v>
      </c>
      <c r="B49" s="0" t="s">
        <v>970</v>
      </c>
      <c r="C49" s="0" t="s">
        <v>951</v>
      </c>
      <c r="D49" s="25" t="n">
        <f aca="false">0</f>
        <v>0</v>
      </c>
      <c r="E49" s="25" t="n">
        <f aca="false">E43-D43-E5</f>
        <v>2.27984344422701</v>
      </c>
      <c r="F49" s="25" t="n">
        <f aca="false">F43-E43-F5</f>
        <v>6.49162861491629</v>
      </c>
      <c r="G49" s="25" t="n">
        <f aca="false">G43-F43-G5</f>
        <v>6.74502500543597</v>
      </c>
      <c r="H49" s="25" t="n">
        <f aca="false">H43-G43-H5</f>
        <v>3.98398999782561</v>
      </c>
      <c r="I49" s="25" t="n">
        <f aca="false">I43-H43-I5</f>
        <v>1.00293542074364</v>
      </c>
      <c r="J49" s="25" t="n">
        <f aca="false">J43-I43-J5</f>
        <v>1.00293542074364</v>
      </c>
      <c r="K49" s="25" t="n">
        <f aca="false">K43-J43-K5</f>
        <v>1.03636660143509</v>
      </c>
      <c r="L49" s="25" t="n">
        <f aca="false">L43-K43-L5</f>
        <v>1.10545770819743</v>
      </c>
      <c r="M49" s="25" t="n">
        <f aca="false">M43-L43-M5</f>
        <v>1.21600347901718</v>
      </c>
    </row>
    <row r="50" customFormat="false" ht="17.15" hidden="false" customHeight="false" outlineLevel="0" collapsed="false">
      <c r="A50" s="4" t="s">
        <v>956</v>
      </c>
      <c r="B50" s="0" t="s">
        <v>970</v>
      </c>
      <c r="C50" s="0" t="s">
        <v>952</v>
      </c>
      <c r="D50" s="25" t="n">
        <f aca="false">0</f>
        <v>0</v>
      </c>
      <c r="E50" s="25" t="n">
        <f aca="false">E44-D44-E5</f>
        <v>2.27984344422701</v>
      </c>
      <c r="F50" s="25" t="n">
        <f aca="false">F44-E44-F5</f>
        <v>6.49162861491629</v>
      </c>
      <c r="G50" s="25" t="n">
        <f aca="false">G44-F44-G5</f>
        <v>6.41415095672981</v>
      </c>
      <c r="H50" s="25" t="n">
        <f aca="false">H44-G44-H5</f>
        <v>2.32286904761897</v>
      </c>
      <c r="I50" s="25" t="n">
        <f aca="false">I44-H44-I5</f>
        <v>2.49346270928463</v>
      </c>
      <c r="J50" s="25" t="n">
        <f aca="false">J44-I44-J5</f>
        <v>1.00293542074364</v>
      </c>
      <c r="K50" s="25" t="n">
        <f aca="false">K44-J44-K5</f>
        <v>1.01965101108936</v>
      </c>
      <c r="L50" s="25" t="n">
        <f aca="false">L44-K44-L5</f>
        <v>1.07091215481626</v>
      </c>
      <c r="M50" s="25" t="n">
        <f aca="false">M44-L44-M5</f>
        <v>1.1607305936073</v>
      </c>
    </row>
    <row r="51" customFormat="false" ht="17.15" hidden="false" customHeight="false" outlineLevel="0" collapsed="false">
      <c r="A51" s="4" t="s">
        <v>956</v>
      </c>
      <c r="B51" s="0" t="s">
        <v>970</v>
      </c>
      <c r="C51" s="0" t="s">
        <v>953</v>
      </c>
      <c r="D51" s="25" t="n">
        <f aca="false">0</f>
        <v>0</v>
      </c>
      <c r="E51" s="25" t="n">
        <f aca="false">E45-D45-E5</f>
        <v>2.27984344422701</v>
      </c>
      <c r="F51" s="25" t="n">
        <f aca="false">F45-E45-F5</f>
        <v>6.49162861491629</v>
      </c>
      <c r="G51" s="25" t="n">
        <f aca="false">G45-F45-G5</f>
        <v>6.41415095672981</v>
      </c>
      <c r="H51" s="25" t="n">
        <f aca="false">H45-G45-H5</f>
        <v>1.50986488095233</v>
      </c>
      <c r="I51" s="25" t="n">
        <f aca="false">I45-H45-I5</f>
        <v>2.43375492770164</v>
      </c>
      <c r="J51" s="25" t="n">
        <f aca="false">J45-I45-J5</f>
        <v>1.52461997173298</v>
      </c>
      <c r="K51" s="25" t="n">
        <f aca="false">K45-J45-K5</f>
        <v>1.01380055446837</v>
      </c>
      <c r="L51" s="25" t="n">
        <f aca="false">L45-K45-L5</f>
        <v>1.05297075451185</v>
      </c>
      <c r="M51" s="25" t="n">
        <f aca="false">M45-L45-M5</f>
        <v>1.12929414003044</v>
      </c>
    </row>
    <row r="52" customFormat="false" ht="17.15" hidden="false" customHeight="false" outlineLevel="0" collapsed="false">
      <c r="A52" s="4" t="s">
        <v>957</v>
      </c>
      <c r="B52" s="0" t="s">
        <v>970</v>
      </c>
      <c r="C52" s="0" t="s">
        <v>952</v>
      </c>
      <c r="D52" s="25" t="n">
        <f aca="false">D43-D44</f>
        <v>0</v>
      </c>
      <c r="E52" s="25" t="n">
        <f aca="false">E43-E44</f>
        <v>0</v>
      </c>
      <c r="F52" s="25" t="n">
        <f aca="false">F43-F44</f>
        <v>0</v>
      </c>
      <c r="G52" s="25" t="n">
        <f aca="false">G43-G44</f>
        <v>0.330874048706157</v>
      </c>
      <c r="H52" s="25" t="n">
        <f aca="false">H43-H44</f>
        <v>1.99199499891281</v>
      </c>
      <c r="I52" s="25" t="n">
        <f aca="false">I43-I44</f>
        <v>0.50146771037182</v>
      </c>
      <c r="J52" s="25" t="n">
        <f aca="false">J43-J44</f>
        <v>0.501467710371816</v>
      </c>
      <c r="K52" s="25" t="n">
        <f aca="false">K43-K44</f>
        <v>0.518183300717546</v>
      </c>
      <c r="L52" s="25" t="n">
        <f aca="false">L43-L44</f>
        <v>0.552728854098717</v>
      </c>
      <c r="M52" s="25" t="n">
        <f aca="false">M43-M44</f>
        <v>0.608001739508588</v>
      </c>
    </row>
    <row r="53" customFormat="false" ht="17.15" hidden="false" customHeight="false" outlineLevel="0" collapsed="false">
      <c r="A53" s="4" t="s">
        <v>957</v>
      </c>
      <c r="B53" s="0" t="s">
        <v>970</v>
      </c>
      <c r="C53" s="0" t="s">
        <v>953</v>
      </c>
      <c r="D53" s="25" t="n">
        <f aca="false">D43-D45</f>
        <v>0</v>
      </c>
      <c r="E53" s="25" t="n">
        <f aca="false">E43-E45</f>
        <v>0</v>
      </c>
      <c r="F53" s="25" t="n">
        <f aca="false">F43-F45</f>
        <v>0</v>
      </c>
      <c r="G53" s="25" t="n">
        <f aca="false">G43-G45</f>
        <v>0.330874048706157</v>
      </c>
      <c r="H53" s="25" t="n">
        <f aca="false">H43-H45</f>
        <v>2.80499916557944</v>
      </c>
      <c r="I53" s="25" t="n">
        <f aca="false">I43-I45</f>
        <v>1.37417965862144</v>
      </c>
      <c r="J53" s="25" t="n">
        <f aca="false">J43-J45</f>
        <v>0.852495107632098</v>
      </c>
      <c r="K53" s="25" t="n">
        <f aca="false">K43-K45</f>
        <v>0.875061154598821</v>
      </c>
      <c r="L53" s="25" t="n">
        <f aca="false">L43-L45</f>
        <v>0.927548108284409</v>
      </c>
      <c r="M53" s="25" t="n">
        <f aca="false">M43-M45</f>
        <v>1.01425744727115</v>
      </c>
    </row>
    <row r="55" customFormat="false" ht="17.15" hidden="false" customHeight="false" outlineLevel="0" collapsed="false">
      <c r="A55" s="17" t="s">
        <v>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972</v>
      </c>
    </row>
    <row r="3" customFormat="false" ht="15" hidden="false" customHeight="false" outlineLevel="0" collapsed="false">
      <c r="A3" s="5" t="s">
        <v>12</v>
      </c>
      <c r="B3" s="5" t="s">
        <v>973</v>
      </c>
      <c r="C3" s="5" t="s">
        <v>13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17" t="s">
        <v>974</v>
      </c>
      <c r="B4" s="16" t="s">
        <v>975</v>
      </c>
      <c r="D4" s="25" t="n">
        <f aca="false">Pipeline!D117</f>
        <v>0.929549902152642</v>
      </c>
      <c r="E4" s="25" t="n">
        <f aca="false">Pipeline!E117</f>
        <v>4.18786692759296</v>
      </c>
      <c r="F4" s="25" t="n">
        <f aca="false">Pipeline!F117</f>
        <v>10.8702978908458</v>
      </c>
      <c r="G4" s="25" t="n">
        <f aca="false">Pipeline!G117</f>
        <v>20.3800543596434</v>
      </c>
      <c r="H4" s="25" t="n">
        <f aca="false">Pipeline!H117</f>
        <v>24.364044357469</v>
      </c>
      <c r="I4" s="25" t="n">
        <f aca="false">Pipeline!I117</f>
        <v>26.0356033920418</v>
      </c>
      <c r="J4" s="25" t="n">
        <f aca="false">Pipeline!J117</f>
        <v>27.7071624266145</v>
      </c>
      <c r="K4" s="25" t="n">
        <f aca="false">Pipeline!K117</f>
        <v>29.3787214611872</v>
      </c>
      <c r="L4" s="25" t="n">
        <f aca="false">Pipeline!L117</f>
        <v>29.3787214611872</v>
      </c>
      <c r="M4" s="25" t="n">
        <f aca="false">Pipeline!M117</f>
        <v>29.3787214611872</v>
      </c>
    </row>
    <row r="5" customFormat="false" ht="17.15" hidden="false" customHeight="false" outlineLevel="0" collapsed="false">
      <c r="A5" s="4" t="s">
        <v>976</v>
      </c>
      <c r="D5" s="26" t="n">
        <f aca="false">Players!D262</f>
        <v>3</v>
      </c>
      <c r="E5" s="26" t="n">
        <f aca="false">Players!E262</f>
        <v>4</v>
      </c>
      <c r="F5" s="26" t="n">
        <f aca="false">Players!F262</f>
        <v>6</v>
      </c>
      <c r="G5" s="26" t="n">
        <f aca="false">Players!G262</f>
        <v>7</v>
      </c>
      <c r="H5" s="26" t="n">
        <f aca="false">Players!H262</f>
        <v>7</v>
      </c>
      <c r="I5" s="26" t="n">
        <f aca="false">Players!I262</f>
        <v>7</v>
      </c>
      <c r="J5" s="26" t="n">
        <f aca="false">Players!J262</f>
        <v>7</v>
      </c>
      <c r="K5" s="26" t="n">
        <f aca="false">Players!K262</f>
        <v>7</v>
      </c>
      <c r="L5" s="26" t="n">
        <f aca="false">Players!L262</f>
        <v>7</v>
      </c>
      <c r="M5" s="26" t="n">
        <f aca="false">Players!M262</f>
        <v>7</v>
      </c>
    </row>
    <row r="7" customFormat="false" ht="17.15" hidden="false" customHeight="false" outlineLevel="0" collapsed="false">
      <c r="A7" s="7" t="s">
        <v>977</v>
      </c>
      <c r="B7" s="16" t="s">
        <v>292</v>
      </c>
      <c r="C7" s="0" t="str">
        <f aca="false">In!C100</f>
        <v>未說明</v>
      </c>
    </row>
    <row r="8" customFormat="false" ht="17.15" hidden="false" customHeight="false" outlineLevel="0" collapsed="false">
      <c r="A8" s="4" t="s">
        <v>978</v>
      </c>
      <c r="D8" s="15" t="str">
        <f aca="false">IF(In!H100="","",In!H100)</f>
        <v/>
      </c>
      <c r="E8" s="15" t="str">
        <f aca="false">IF(In!I100="","",In!I100)</f>
        <v/>
      </c>
      <c r="F8" s="15" t="str">
        <f aca="false">IF(In!J100="","",In!J100)</f>
        <v/>
      </c>
      <c r="G8" s="15" t="str">
        <f aca="false">IF(In!K100="","",In!K100)</f>
        <v/>
      </c>
      <c r="H8" s="15" t="str">
        <f aca="false">IF(In!L100="","",In!L100)</f>
        <v/>
      </c>
      <c r="I8" s="15" t="str">
        <f aca="false">IF(In!M100="","",In!M100)</f>
        <v/>
      </c>
      <c r="J8" s="15" t="str">
        <f aca="false">IF(In!N100="","",In!N100)</f>
        <v/>
      </c>
      <c r="K8" s="15" t="str">
        <f aca="false">IF(In!O100="","",In!O100)</f>
        <v/>
      </c>
      <c r="L8" s="15" t="str">
        <f aca="false">IF(In!P100="","",In!P100)</f>
        <v/>
      </c>
      <c r="M8" s="15" t="str">
        <f aca="false">IF(In!Q100="","",In!Q100)</f>
        <v/>
      </c>
    </row>
    <row r="9" customFormat="false" ht="17.15" hidden="false" customHeight="false" outlineLevel="0" collapsed="false">
      <c r="A9" s="4" t="s">
        <v>979</v>
      </c>
      <c r="D9" s="25" t="str">
        <f aca="false">IF(D8="","",IF(In!$C$100="設施",D8,D8/Players!D$13))</f>
        <v/>
      </c>
      <c r="E9" s="25" t="str">
        <f aca="false">IF(E8="","",IF(In!$C$100="設施",E8,E8/Players!E$13))</f>
        <v/>
      </c>
      <c r="F9" s="25" t="str">
        <f aca="false">IF(F8="","",IF(In!$C$100="設施",F8,F8/Players!F$13))</f>
        <v/>
      </c>
      <c r="G9" s="25" t="str">
        <f aca="false">IF(G8="","",IF(In!$C$100="設施",G8,G8/Players!G$13))</f>
        <v/>
      </c>
      <c r="H9" s="25" t="str">
        <f aca="false">IF(H8="","",IF(In!$C$100="設施",H8,H8/Players!H$13))</f>
        <v/>
      </c>
      <c r="I9" s="25" t="str">
        <f aca="false">IF(I8="","",IF(In!$C$100="設施",I8,I8/Players!I$13))</f>
        <v/>
      </c>
      <c r="J9" s="25" t="str">
        <f aca="false">IF(J8="","",IF(In!$C$100="設施",J8,J8/Players!J$13))</f>
        <v/>
      </c>
      <c r="K9" s="25" t="str">
        <f aca="false">IF(K8="","",IF(In!$C$100="設施",K8,K8/Players!K$13))</f>
        <v/>
      </c>
      <c r="L9" s="25" t="str">
        <f aca="false">IF(L8="","",IF(In!$C$100="設施",L8,L8/Players!L$13))</f>
        <v/>
      </c>
      <c r="M9" s="25" t="str">
        <f aca="false">IF(M8="","",IF(In!$C$100="設施",M8,M8/Players!M$13))</f>
        <v/>
      </c>
    </row>
    <row r="10" customFormat="false" ht="17.15" hidden="false" customHeight="false" outlineLevel="0" collapsed="false">
      <c r="A10" s="4" t="s">
        <v>980</v>
      </c>
      <c r="D10" s="29" t="str">
        <f aca="false">IF(OR(D9="",D9=0),"",D$4/D9)</f>
        <v/>
      </c>
      <c r="E10" s="29" t="str">
        <f aca="false">IF(OR(E9="",E9=0),"",E$4/E9)</f>
        <v/>
      </c>
      <c r="F10" s="29" t="str">
        <f aca="false">IF(OR(F9="",F9=0),"",F$4/F9)</f>
        <v/>
      </c>
      <c r="G10" s="29" t="str">
        <f aca="false">IF(OR(G9="",G9=0),"",G$4/G9)</f>
        <v/>
      </c>
      <c r="H10" s="29" t="str">
        <f aca="false">IF(OR(H9="",H9=0),"",H$4/H9)</f>
        <v/>
      </c>
      <c r="I10" s="29" t="str">
        <f aca="false">IF(OR(I9="",I9=0),"",I$4/I9)</f>
        <v/>
      </c>
      <c r="J10" s="29" t="str">
        <f aca="false">IF(OR(J9="",J9=0),"",J$4/J9)</f>
        <v/>
      </c>
      <c r="K10" s="29" t="str">
        <f aca="false">IF(OR(K9="",K9=0),"",K$4/K9)</f>
        <v/>
      </c>
      <c r="L10" s="29" t="str">
        <f aca="false">IF(OR(L9="",L9=0),"",L$4/L9)</f>
        <v/>
      </c>
      <c r="M10" s="29" t="str">
        <f aca="false">IF(OR(M9="",M9=0),"",M$4/M9)</f>
        <v/>
      </c>
    </row>
    <row r="11" customFormat="false" ht="17.15" hidden="false" customHeight="false" outlineLevel="0" collapsed="false">
      <c r="A11" s="4" t="s">
        <v>981</v>
      </c>
      <c r="D11" s="0" t="str">
        <f aca="false">IF(D10="","無資料",IF(AND(In!$E$100="Verified",FALSE()),IF(ABS(D10-1)&lt;=tolband,"對得上","偏差"),"證據不足（"&amp;IF(ABS(D10-1)&lt;=tolband,"帶內","帶外")&amp;"）"))</f>
        <v>無資料</v>
      </c>
      <c r="E11" s="0" t="str">
        <f aca="false">IF(E10="","無資料",IF(AND(In!$E$100="Verified",FALSE()),IF(ABS(E10-1)&lt;=tolband,"對得上","偏差"),"證據不足（"&amp;IF(ABS(E10-1)&lt;=tolband,"帶內","帶外")&amp;"）"))</f>
        <v>無資料</v>
      </c>
      <c r="F11" s="0" t="str">
        <f aca="false">IF(F10="","無資料",IF(AND(In!$E$100="Verified",FALSE()),IF(ABS(F10-1)&lt;=tolband,"對得上","偏差"),"證據不足（"&amp;IF(ABS(F10-1)&lt;=tolband,"帶內","帶外")&amp;"）"))</f>
        <v>無資料</v>
      </c>
      <c r="G11" s="0" t="str">
        <f aca="false">IF(G10="","無資料",IF(AND(In!$E$100="Verified",FALSE()),IF(ABS(G10-1)&lt;=tolband,"對得上","偏差"),"證據不足（"&amp;IF(ABS(G10-1)&lt;=tolband,"帶內","帶外")&amp;"）"))</f>
        <v>無資料</v>
      </c>
      <c r="H11" s="0" t="str">
        <f aca="false">IF(H10="","無資料",IF(AND(In!$E$100="Verified",FALSE()),IF(ABS(H10-1)&lt;=tolband,"對得上","偏差"),"證據不足（"&amp;IF(ABS(H10-1)&lt;=tolband,"帶內","帶外")&amp;"）"))</f>
        <v>無資料</v>
      </c>
      <c r="I11" s="0" t="str">
        <f aca="false">IF(I10="","無資料",IF(AND(In!$E$100="Verified",FALSE()),IF(ABS(I10-1)&lt;=tolband,"對得上","偏差"),"證據不足（"&amp;IF(ABS(I10-1)&lt;=tolband,"帶內","帶外")&amp;"）"))</f>
        <v>無資料</v>
      </c>
      <c r="J11" s="0" t="str">
        <f aca="false">IF(J10="","無資料",IF(AND(In!$E$100="Verified",FALSE()),IF(ABS(J10-1)&lt;=tolband,"對得上","偏差"),"證據不足（"&amp;IF(ABS(J10-1)&lt;=tolband,"帶內","帶外")&amp;"）"))</f>
        <v>無資料</v>
      </c>
      <c r="K11" s="0" t="str">
        <f aca="false">IF(K10="","無資料",IF(AND(In!$E$100="Verified",FALSE()),IF(ABS(K10-1)&lt;=tolband,"對得上","偏差"),"證據不足（"&amp;IF(ABS(K10-1)&lt;=tolband,"帶內","帶外")&amp;"）"))</f>
        <v>無資料</v>
      </c>
      <c r="L11" s="0" t="str">
        <f aca="false">IF(L10="","無資料",IF(AND(In!$E$100="Verified",FALSE()),IF(ABS(L10-1)&lt;=tolband,"對得上","偏差"),"證據不足（"&amp;IF(ABS(L10-1)&lt;=tolband,"帶內","帶外")&amp;"）"))</f>
        <v>無資料</v>
      </c>
      <c r="M11" s="0" t="str">
        <f aca="false">IF(M10="","無資料",IF(AND(In!$E$100="Verified",FALSE()),IF(ABS(M10-1)&lt;=tolband,"對得上","偏差"),"證據不足（"&amp;IF(ABS(M10-1)&lt;=tolband,"帶內","帶外")&amp;"）"))</f>
        <v>無資料</v>
      </c>
      <c r="N11" s="4" t="s">
        <v>982</v>
      </c>
    </row>
    <row r="13" customFormat="false" ht="17.15" hidden="false" customHeight="false" outlineLevel="0" collapsed="false">
      <c r="A13" s="7" t="s">
        <v>983</v>
      </c>
      <c r="B13" s="16" t="s">
        <v>295</v>
      </c>
      <c r="C13" s="0" t="str">
        <f aca="false">In!C101</f>
        <v>未說明</v>
      </c>
    </row>
    <row r="14" customFormat="false" ht="17.15" hidden="false" customHeight="false" outlineLevel="0" collapsed="false">
      <c r="A14" s="4" t="s">
        <v>978</v>
      </c>
      <c r="D14" s="15" t="str">
        <f aca="false">IF(In!H101="","",In!H101)</f>
        <v/>
      </c>
      <c r="E14" s="15" t="str">
        <f aca="false">IF(In!I101="","",In!I101)</f>
        <v/>
      </c>
      <c r="F14" s="15" t="str">
        <f aca="false">IF(In!J101="","",In!J101)</f>
        <v/>
      </c>
      <c r="G14" s="15" t="str">
        <f aca="false">IF(In!K101="","",In!K101)</f>
        <v/>
      </c>
      <c r="H14" s="15" t="str">
        <f aca="false">IF(In!L101="","",In!L101)</f>
        <v/>
      </c>
      <c r="I14" s="15" t="str">
        <f aca="false">IF(In!M101="","",In!M101)</f>
        <v/>
      </c>
      <c r="J14" s="15" t="str">
        <f aca="false">IF(In!N101="","",In!N101)</f>
        <v/>
      </c>
      <c r="K14" s="15" t="str">
        <f aca="false">IF(In!O101="","",In!O101)</f>
        <v/>
      </c>
      <c r="L14" s="15" t="str">
        <f aca="false">IF(In!P101="","",In!P101)</f>
        <v/>
      </c>
      <c r="M14" s="15" t="str">
        <f aca="false">IF(In!Q101="","",In!Q101)</f>
        <v/>
      </c>
    </row>
    <row r="15" customFormat="false" ht="17.15" hidden="false" customHeight="false" outlineLevel="0" collapsed="false">
      <c r="A15" s="4" t="s">
        <v>979</v>
      </c>
      <c r="D15" s="25" t="str">
        <f aca="false">IF(D14="","",IF(In!$C$101="設施",D14,D14/Players!D$13))</f>
        <v/>
      </c>
      <c r="E15" s="25" t="str">
        <f aca="false">IF(E14="","",IF(In!$C$101="設施",E14,E14/Players!E$13))</f>
        <v/>
      </c>
      <c r="F15" s="25" t="str">
        <f aca="false">IF(F14="","",IF(In!$C$101="設施",F14,F14/Players!F$13))</f>
        <v/>
      </c>
      <c r="G15" s="25" t="str">
        <f aca="false">IF(G14="","",IF(In!$C$101="設施",G14,G14/Players!G$13))</f>
        <v/>
      </c>
      <c r="H15" s="25" t="str">
        <f aca="false">IF(H14="","",IF(In!$C$101="設施",H14,H14/Players!H$13))</f>
        <v/>
      </c>
      <c r="I15" s="25" t="str">
        <f aca="false">IF(I14="","",IF(In!$C$101="設施",I14,I14/Players!I$13))</f>
        <v/>
      </c>
      <c r="J15" s="25" t="str">
        <f aca="false">IF(J14="","",IF(In!$C$101="設施",J14,J14/Players!J$13))</f>
        <v/>
      </c>
      <c r="K15" s="25" t="str">
        <f aca="false">IF(K14="","",IF(In!$C$101="設施",K14,K14/Players!K$13))</f>
        <v/>
      </c>
      <c r="L15" s="25" t="str">
        <f aca="false">IF(L14="","",IF(In!$C$101="設施",L14,L14/Players!L$13))</f>
        <v/>
      </c>
      <c r="M15" s="25" t="str">
        <f aca="false">IF(M14="","",IF(In!$C$101="設施",M14,M14/Players!M$13))</f>
        <v/>
      </c>
    </row>
    <row r="16" customFormat="false" ht="17.15" hidden="false" customHeight="false" outlineLevel="0" collapsed="false">
      <c r="A16" s="4" t="s">
        <v>980</v>
      </c>
      <c r="D16" s="29" t="str">
        <f aca="false">IF(OR(D15="",D15=0),"",D$4/D15)</f>
        <v/>
      </c>
      <c r="E16" s="29" t="str">
        <f aca="false">IF(OR(E15="",E15=0),"",E$4/E15)</f>
        <v/>
      </c>
      <c r="F16" s="29" t="str">
        <f aca="false">IF(OR(F15="",F15=0),"",F$4/F15)</f>
        <v/>
      </c>
      <c r="G16" s="29" t="str">
        <f aca="false">IF(OR(G15="",G15=0),"",G$4/G15)</f>
        <v/>
      </c>
      <c r="H16" s="29" t="str">
        <f aca="false">IF(OR(H15="",H15=0),"",H$4/H15)</f>
        <v/>
      </c>
      <c r="I16" s="29" t="str">
        <f aca="false">IF(OR(I15="",I15=0),"",I$4/I15)</f>
        <v/>
      </c>
      <c r="J16" s="29" t="str">
        <f aca="false">IF(OR(J15="",J15=0),"",J$4/J15)</f>
        <v/>
      </c>
      <c r="K16" s="29" t="str">
        <f aca="false">IF(OR(K15="",K15=0),"",K$4/K15)</f>
        <v/>
      </c>
      <c r="L16" s="29" t="str">
        <f aca="false">IF(OR(L15="",L15=0),"",L$4/L15)</f>
        <v/>
      </c>
      <c r="M16" s="29" t="str">
        <f aca="false">IF(OR(M15="",M15=0),"",M$4/M15)</f>
        <v/>
      </c>
    </row>
    <row r="17" customFormat="false" ht="17.15" hidden="false" customHeight="false" outlineLevel="0" collapsed="false">
      <c r="A17" s="4" t="s">
        <v>981</v>
      </c>
      <c r="D17" s="0" t="str">
        <f aca="false">IF(D16="","無資料",IF(AND(In!$E$101="Verified",FALSE()),IF(ABS(D16-1)&lt;=tolband,"對得上","偏差"),"證據不足（"&amp;IF(ABS(D16-1)&lt;=tolband,"帶內","帶外")&amp;"）"))</f>
        <v>無資料</v>
      </c>
      <c r="E17" s="0" t="str">
        <f aca="false">IF(E16="","無資料",IF(AND(In!$E$101="Verified",FALSE()),IF(ABS(E16-1)&lt;=tolband,"對得上","偏差"),"證據不足（"&amp;IF(ABS(E16-1)&lt;=tolband,"帶內","帶外")&amp;"）"))</f>
        <v>無資料</v>
      </c>
      <c r="F17" s="0" t="str">
        <f aca="false">IF(F16="","無資料",IF(AND(In!$E$101="Verified",FALSE()),IF(ABS(F16-1)&lt;=tolband,"對得上","偏差"),"證據不足（"&amp;IF(ABS(F16-1)&lt;=tolband,"帶內","帶外")&amp;"）"))</f>
        <v>無資料</v>
      </c>
      <c r="G17" s="0" t="str">
        <f aca="false">IF(G16="","無資料",IF(AND(In!$E$101="Verified",FALSE()),IF(ABS(G16-1)&lt;=tolband,"對得上","偏差"),"證據不足（"&amp;IF(ABS(G16-1)&lt;=tolband,"帶內","帶外")&amp;"）"))</f>
        <v>無資料</v>
      </c>
      <c r="H17" s="0" t="str">
        <f aca="false">IF(H16="","無資料",IF(AND(In!$E$101="Verified",FALSE()),IF(ABS(H16-1)&lt;=tolband,"對得上","偏差"),"證據不足（"&amp;IF(ABS(H16-1)&lt;=tolband,"帶內","帶外")&amp;"）"))</f>
        <v>無資料</v>
      </c>
      <c r="I17" s="0" t="str">
        <f aca="false">IF(I16="","無資料",IF(AND(In!$E$101="Verified",FALSE()),IF(ABS(I16-1)&lt;=tolband,"對得上","偏差"),"證據不足（"&amp;IF(ABS(I16-1)&lt;=tolband,"帶內","帶外")&amp;"）"))</f>
        <v>無資料</v>
      </c>
      <c r="J17" s="0" t="str">
        <f aca="false">IF(J16="","無資料",IF(AND(In!$E$101="Verified",FALSE()),IF(ABS(J16-1)&lt;=tolband,"對得上","偏差"),"證據不足（"&amp;IF(ABS(J16-1)&lt;=tolband,"帶內","帶外")&amp;"）"))</f>
        <v>無資料</v>
      </c>
      <c r="K17" s="0" t="str">
        <f aca="false">IF(K16="","無資料",IF(AND(In!$E$101="Verified",FALSE()),IF(ABS(K16-1)&lt;=tolband,"對得上","偏差"),"證據不足（"&amp;IF(ABS(K16-1)&lt;=tolband,"帶內","帶外")&amp;"）"))</f>
        <v>無資料</v>
      </c>
      <c r="L17" s="0" t="str">
        <f aca="false">IF(L16="","無資料",IF(AND(In!$E$101="Verified",FALSE()),IF(ABS(L16-1)&lt;=tolband,"對得上","偏差"),"證據不足（"&amp;IF(ABS(L16-1)&lt;=tolband,"帶內","帶外")&amp;"）"))</f>
        <v>無資料</v>
      </c>
      <c r="M17" s="0" t="str">
        <f aca="false">IF(M16="","無資料",IF(AND(In!$E$101="Verified",FALSE()),IF(ABS(M16-1)&lt;=tolband,"對得上","偏差"),"證據不足（"&amp;IF(ABS(M16-1)&lt;=tolband,"帶內","帶外")&amp;"）"))</f>
        <v>無資料</v>
      </c>
      <c r="N17" s="4" t="s">
        <v>982</v>
      </c>
    </row>
    <row r="19" customFormat="false" ht="17.15" hidden="false" customHeight="false" outlineLevel="0" collapsed="false">
      <c r="A19" s="7" t="s">
        <v>984</v>
      </c>
      <c r="B19" s="16" t="s">
        <v>297</v>
      </c>
      <c r="C19" s="0" t="str">
        <f aca="false">In!C102</f>
        <v>未說明</v>
      </c>
    </row>
    <row r="20" customFormat="false" ht="17.15" hidden="false" customHeight="false" outlineLevel="0" collapsed="false">
      <c r="A20" s="4" t="s">
        <v>978</v>
      </c>
      <c r="D20" s="15" t="str">
        <f aca="false">IF(In!H102="","",In!H102)</f>
        <v/>
      </c>
      <c r="E20" s="15" t="str">
        <f aca="false">IF(In!I102="","",In!I102)</f>
        <v/>
      </c>
      <c r="F20" s="15" t="str">
        <f aca="false">IF(In!J102="","",In!J102)</f>
        <v/>
      </c>
      <c r="G20" s="15" t="str">
        <f aca="false">IF(In!K102="","",In!K102)</f>
        <v/>
      </c>
      <c r="H20" s="15" t="str">
        <f aca="false">IF(In!L102="","",In!L102)</f>
        <v/>
      </c>
      <c r="I20" s="15" t="str">
        <f aca="false">IF(In!M102="","",In!M102)</f>
        <v/>
      </c>
      <c r="J20" s="15" t="str">
        <f aca="false">IF(In!N102="","",In!N102)</f>
        <v/>
      </c>
      <c r="K20" s="15" t="str">
        <f aca="false">IF(In!O102="","",In!O102)</f>
        <v/>
      </c>
      <c r="L20" s="15" t="str">
        <f aca="false">IF(In!P102="","",In!P102)</f>
        <v/>
      </c>
      <c r="M20" s="15" t="str">
        <f aca="false">IF(In!Q102="","",In!Q102)</f>
        <v/>
      </c>
    </row>
    <row r="21" customFormat="false" ht="17.15" hidden="false" customHeight="false" outlineLevel="0" collapsed="false">
      <c r="A21" s="4" t="s">
        <v>979</v>
      </c>
      <c r="D21" s="25" t="str">
        <f aca="false">IF(D20="","",IF(In!$C$102="設施",D20,D20/Players!D$13))</f>
        <v/>
      </c>
      <c r="E21" s="25" t="str">
        <f aca="false">IF(E20="","",IF(In!$C$102="設施",E20,E20/Players!E$13))</f>
        <v/>
      </c>
      <c r="F21" s="25" t="str">
        <f aca="false">IF(F20="","",IF(In!$C$102="設施",F20,F20/Players!F$13))</f>
        <v/>
      </c>
      <c r="G21" s="25" t="str">
        <f aca="false">IF(G20="","",IF(In!$C$102="設施",G20,G20/Players!G$13))</f>
        <v/>
      </c>
      <c r="H21" s="25" t="str">
        <f aca="false">IF(H20="","",IF(In!$C$102="設施",H20,H20/Players!H$13))</f>
        <v/>
      </c>
      <c r="I21" s="25" t="str">
        <f aca="false">IF(I20="","",IF(In!$C$102="設施",I20,I20/Players!I$13))</f>
        <v/>
      </c>
      <c r="J21" s="25" t="str">
        <f aca="false">IF(J20="","",IF(In!$C$102="設施",J20,J20/Players!J$13))</f>
        <v/>
      </c>
      <c r="K21" s="25" t="str">
        <f aca="false">IF(K20="","",IF(In!$C$102="設施",K20,K20/Players!K$13))</f>
        <v/>
      </c>
      <c r="L21" s="25" t="str">
        <f aca="false">IF(L20="","",IF(In!$C$102="設施",L20,L20/Players!L$13))</f>
        <v/>
      </c>
      <c r="M21" s="25" t="str">
        <f aca="false">IF(M20="","",IF(In!$C$102="設施",M20,M20/Players!M$13))</f>
        <v/>
      </c>
    </row>
    <row r="22" customFormat="false" ht="17.15" hidden="false" customHeight="false" outlineLevel="0" collapsed="false">
      <c r="A22" s="4" t="s">
        <v>980</v>
      </c>
      <c r="D22" s="29" t="str">
        <f aca="false">IF(OR(D21="",D21=0),"",D$4/D21)</f>
        <v/>
      </c>
      <c r="E22" s="29" t="str">
        <f aca="false">IF(OR(E21="",E21=0),"",E$4/E21)</f>
        <v/>
      </c>
      <c r="F22" s="29" t="str">
        <f aca="false">IF(OR(F21="",F21=0),"",F$4/F21)</f>
        <v/>
      </c>
      <c r="G22" s="29" t="str">
        <f aca="false">IF(OR(G21="",G21=0),"",G$4/G21)</f>
        <v/>
      </c>
      <c r="H22" s="29" t="str">
        <f aca="false">IF(OR(H21="",H21=0),"",H$4/H21)</f>
        <v/>
      </c>
      <c r="I22" s="29" t="str">
        <f aca="false">IF(OR(I21="",I21=0),"",I$4/I21)</f>
        <v/>
      </c>
      <c r="J22" s="29" t="str">
        <f aca="false">IF(OR(J21="",J21=0),"",J$4/J21)</f>
        <v/>
      </c>
      <c r="K22" s="29" t="str">
        <f aca="false">IF(OR(K21="",K21=0),"",K$4/K21)</f>
        <v/>
      </c>
      <c r="L22" s="29" t="str">
        <f aca="false">IF(OR(L21="",L21=0),"",L$4/L21)</f>
        <v/>
      </c>
      <c r="M22" s="29" t="str">
        <f aca="false">IF(OR(M21="",M21=0),"",M$4/M21)</f>
        <v/>
      </c>
    </row>
    <row r="23" customFormat="false" ht="17.15" hidden="false" customHeight="false" outlineLevel="0" collapsed="false">
      <c r="A23" s="4" t="s">
        <v>981</v>
      </c>
      <c r="D23" s="0" t="str">
        <f aca="false">IF(D22="","無資料",IF(AND(In!$E$102="Verified",FALSE()),IF(ABS(D22-1)&lt;=tolband,"對得上","偏差"),"證據不足（"&amp;IF(ABS(D22-1)&lt;=tolband,"帶內","帶外")&amp;"）"))</f>
        <v>無資料</v>
      </c>
      <c r="E23" s="0" t="str">
        <f aca="false">IF(E22="","無資料",IF(AND(In!$E$102="Verified",FALSE()),IF(ABS(E22-1)&lt;=tolband,"對得上","偏差"),"證據不足（"&amp;IF(ABS(E22-1)&lt;=tolband,"帶內","帶外")&amp;"）"))</f>
        <v>無資料</v>
      </c>
      <c r="F23" s="0" t="str">
        <f aca="false">IF(F22="","無資料",IF(AND(In!$E$102="Verified",FALSE()),IF(ABS(F22-1)&lt;=tolband,"對得上","偏差"),"證據不足（"&amp;IF(ABS(F22-1)&lt;=tolband,"帶內","帶外")&amp;"）"))</f>
        <v>無資料</v>
      </c>
      <c r="G23" s="0" t="str">
        <f aca="false">IF(G22="","無資料",IF(AND(In!$E$102="Verified",FALSE()),IF(ABS(G22-1)&lt;=tolband,"對得上","偏差"),"證據不足（"&amp;IF(ABS(G22-1)&lt;=tolband,"帶內","帶外")&amp;"）"))</f>
        <v>無資料</v>
      </c>
      <c r="H23" s="0" t="str">
        <f aca="false">IF(H22="","無資料",IF(AND(In!$E$102="Verified",FALSE()),IF(ABS(H22-1)&lt;=tolband,"對得上","偏差"),"證據不足（"&amp;IF(ABS(H22-1)&lt;=tolband,"帶內","帶外")&amp;"）"))</f>
        <v>無資料</v>
      </c>
      <c r="I23" s="0" t="str">
        <f aca="false">IF(I22="","無資料",IF(AND(In!$E$102="Verified",FALSE()),IF(ABS(I22-1)&lt;=tolband,"對得上","偏差"),"證據不足（"&amp;IF(ABS(I22-1)&lt;=tolband,"帶內","帶外")&amp;"）"))</f>
        <v>無資料</v>
      </c>
      <c r="J23" s="0" t="str">
        <f aca="false">IF(J22="","無資料",IF(AND(In!$E$102="Verified",FALSE()),IF(ABS(J22-1)&lt;=tolband,"對得上","偏差"),"證據不足（"&amp;IF(ABS(J22-1)&lt;=tolband,"帶內","帶外")&amp;"）"))</f>
        <v>無資料</v>
      </c>
      <c r="K23" s="0" t="str">
        <f aca="false">IF(K22="","無資料",IF(AND(In!$E$102="Verified",FALSE()),IF(ABS(K22-1)&lt;=tolband,"對得上","偏差"),"證據不足（"&amp;IF(ABS(K22-1)&lt;=tolband,"帶內","帶外")&amp;"）"))</f>
        <v>無資料</v>
      </c>
      <c r="L23" s="0" t="str">
        <f aca="false">IF(L22="","無資料",IF(AND(In!$E$102="Verified",FALSE()),IF(ABS(L22-1)&lt;=tolband,"對得上","偏差"),"證據不足（"&amp;IF(ABS(L22-1)&lt;=tolband,"帶內","帶外")&amp;"）"))</f>
        <v>無資料</v>
      </c>
      <c r="M23" s="0" t="str">
        <f aca="false">IF(M22="","無資料",IF(AND(In!$E$102="Verified",FALSE()),IF(ABS(M22-1)&lt;=tolband,"對得上","偏差"),"證據不足（"&amp;IF(ABS(M22-1)&lt;=tolband,"帶內","帶外")&amp;"）"))</f>
        <v>無資料</v>
      </c>
      <c r="N23" s="4" t="s">
        <v>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4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985</v>
      </c>
    </row>
    <row r="3" customFormat="false" ht="15" hidden="false" customHeight="false" outlineLevel="0" collapsed="false">
      <c r="A3" s="5" t="s">
        <v>12</v>
      </c>
      <c r="B3" s="5" t="s">
        <v>901</v>
      </c>
      <c r="C3" s="5" t="s">
        <v>14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986</v>
      </c>
    </row>
    <row r="4" customFormat="false" ht="17.15" hidden="false" customHeight="false" outlineLevel="0" collapsed="false">
      <c r="A4" s="17" t="s">
        <v>987</v>
      </c>
    </row>
    <row r="5" customFormat="false" ht="17.15" hidden="false" customHeight="false" outlineLevel="0" collapsed="false">
      <c r="A5" s="0" t="s">
        <v>988</v>
      </c>
      <c r="D5" s="29" t="n">
        <f aca="false">MAX(0,1-lag_bldg/12)</f>
        <v>0</v>
      </c>
    </row>
    <row r="6" customFormat="false" ht="17.15" hidden="false" customHeight="false" outlineLevel="0" collapsed="false">
      <c r="A6" s="0" t="s">
        <v>989</v>
      </c>
      <c r="D6" s="29" t="n">
        <f aca="false">MAX(0,MIN(lag_bldg/12,2-lag_bldg/12))</f>
        <v>0.5</v>
      </c>
    </row>
    <row r="7" customFormat="false" ht="17.15" hidden="false" customHeight="false" outlineLevel="0" collapsed="false">
      <c r="A7" s="0" t="s">
        <v>990</v>
      </c>
      <c r="D7" s="29" t="n">
        <f aca="false">MAX(0,MIN(1,lag_bldg/12-1))</f>
        <v>0.5</v>
      </c>
    </row>
    <row r="8" customFormat="false" ht="17.15" hidden="false" customHeight="false" outlineLevel="0" collapsed="false">
      <c r="A8" s="0" t="s">
        <v>991</v>
      </c>
      <c r="D8" s="29" t="n">
        <f aca="false">Players!D5*TK_CapexIT_H100+Players!D6*TK_CapexIT_GB200+Players!D7*TK_CapexIT_GB300+Players!D8*TK_CapexIT_VR200+Players!D9*TK_CapexIT_RU</f>
        <v>27.510214</v>
      </c>
      <c r="E8" s="29" t="n">
        <f aca="false">Players!E5*TK_CapexIT_H100+Players!E6*TK_CapexIT_GB200+Players!E7*TK_CapexIT_GB300+Players!E8*TK_CapexIT_VR200+Players!E9*TK_CapexIT_RU</f>
        <v>27.510214</v>
      </c>
      <c r="F8" s="29" t="n">
        <f aca="false">Players!F5*TK_CapexIT_H100+Players!F6*TK_CapexIT_GB200+Players!F7*TK_CapexIT_GB300+Players!F8*TK_CapexIT_VR200+Players!F9*TK_CapexIT_RU</f>
        <v>26.009088</v>
      </c>
      <c r="G8" s="29" t="n">
        <f aca="false">Players!G5*TK_CapexIT_H100+Players!G6*TK_CapexIT_GB200+Players!G7*TK_CapexIT_GB300+Players!G8*TK_CapexIT_VR200+Players!G9*TK_CapexIT_RU</f>
        <v>33.41403216</v>
      </c>
      <c r="H8" s="29" t="n">
        <f aca="false">Players!H5*TK_CapexIT_H100+Players!H6*TK_CapexIT_GB200+Players!H7*TK_CapexIT_GB300+Players!H8*TK_CapexIT_VR200+Players!H9*TK_CapexIT_RU</f>
        <v>38.3403893327246</v>
      </c>
      <c r="I8" s="29" t="n">
        <f aca="false">Players!I5*TK_CapexIT_H100+Players!I6*TK_CapexIT_GB200+Players!I7*TK_CapexIT_GB300+Players!I8*TK_CapexIT_VR200+Players!I9*TK_CapexIT_RU</f>
        <v>41.3326208898258</v>
      </c>
      <c r="J8" s="29" t="n">
        <f aca="false">Players!J5*TK_CapexIT_H100+Players!J6*TK_CapexIT_GB200+Players!J7*TK_CapexIT_GB300+Players!J8*TK_CapexIT_VR200+Players!J9*TK_CapexIT_RU</f>
        <v>41.3326208898258</v>
      </c>
      <c r="K8" s="29" t="n">
        <f aca="false">Players!K5*TK_CapexIT_H100+Players!K6*TK_CapexIT_GB200+Players!K7*TK_CapexIT_GB300+Players!K8*TK_CapexIT_VR200+Players!K9*TK_CapexIT_RU</f>
        <v>41.3326208898258</v>
      </c>
      <c r="L8" s="29" t="n">
        <f aca="false">Players!L5*TK_CapexIT_H100+Players!L6*TK_CapexIT_GB200+Players!L7*TK_CapexIT_GB300+Players!L8*TK_CapexIT_VR200+Players!L9*TK_CapexIT_RU</f>
        <v>41.3326208898258</v>
      </c>
      <c r="M8" s="29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992</v>
      </c>
      <c r="D9" s="29" t="n">
        <f aca="false">Players!D5*TK_CapexFacility_H100+Players!D6*TK_CapexFacility_GB200+Players!D7*TK_CapexFacility_GB300+Players!D8*TK_CapexFacility_VR200+Players!D9*TK_CapexFacility_RU</f>
        <v>12.67</v>
      </c>
      <c r="E9" s="29" t="n">
        <f aca="false">Players!E5*TK_CapexFacility_H100+Players!E6*TK_CapexFacility_GB200+Players!E7*TK_CapexFacility_GB300+Players!E8*TK_CapexFacility_VR200+Players!E9*TK_CapexFacility_RU</f>
        <v>12.67</v>
      </c>
      <c r="F9" s="29" t="n">
        <f aca="false">Players!F5*TK_CapexFacility_H100+Players!F6*TK_CapexFacility_GB200+Players!F7*TK_CapexFacility_GB300+Players!F8*TK_CapexFacility_VR200+Players!F9*TK_CapexFacility_RU</f>
        <v>12.67</v>
      </c>
      <c r="G9" s="29" t="n">
        <f aca="false">Players!G5*TK_CapexFacility_H100+Players!G6*TK_CapexFacility_GB200+Players!G7*TK_CapexFacility_GB300+Players!G8*TK_CapexFacility_VR200+Players!G9*TK_CapexFacility_RU</f>
        <v>12.67</v>
      </c>
      <c r="H9" s="29" t="n">
        <f aca="false">Players!H5*TK_CapexFacility_H100+Players!H6*TK_CapexFacility_GB200+Players!H7*TK_CapexFacility_GB300+Players!H8*TK_CapexFacility_VR200+Players!H9*TK_CapexFacility_RU</f>
        <v>12.67</v>
      </c>
      <c r="I9" s="29" t="n">
        <f aca="false">Players!I5*TK_CapexFacility_H100+Players!I6*TK_CapexFacility_GB200+Players!I7*TK_CapexFacility_GB300+Players!I8*TK_CapexFacility_VR200+Players!I9*TK_CapexFacility_RU</f>
        <v>12.67</v>
      </c>
      <c r="J9" s="29" t="n">
        <f aca="false">Players!J5*TK_CapexFacility_H100+Players!J6*TK_CapexFacility_GB200+Players!J7*TK_CapexFacility_GB300+Players!J8*TK_CapexFacility_VR200+Players!J9*TK_CapexFacility_RU</f>
        <v>12.67</v>
      </c>
      <c r="K9" s="29" t="n">
        <f aca="false">Players!K5*TK_CapexFacility_H100+Players!K6*TK_CapexFacility_GB200+Players!K7*TK_CapexFacility_GB300+Players!K8*TK_CapexFacility_VR200+Players!K9*TK_CapexFacility_RU</f>
        <v>12.67</v>
      </c>
      <c r="L9" s="29" t="n">
        <f aca="false">Players!L5*TK_CapexFacility_H100+Players!L6*TK_CapexFacility_GB200+Players!L7*TK_CapexFacility_GB300+Players!L8*TK_CapexFacility_VR200+Players!L9*TK_CapexFacility_RU</f>
        <v>12.67</v>
      </c>
      <c r="M9" s="29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7" t="s">
        <v>590</v>
      </c>
      <c r="B11" s="16" t="s">
        <v>370</v>
      </c>
      <c r="N11" s="4" t="s">
        <v>993</v>
      </c>
    </row>
    <row r="12" customFormat="false" ht="17.15" hidden="false" customHeight="false" outlineLevel="0" collapsed="false">
      <c r="A12" s="4" t="s">
        <v>994</v>
      </c>
      <c r="C12" s="0" t="s">
        <v>213</v>
      </c>
      <c r="D12" s="30" t="n">
        <f aca="false">Players!D27*((1-Players!D29)*D$8+Players!D29*TK_NonNV_Hold_Maia*TK_CapexIT_VR200)</f>
        <v>0</v>
      </c>
      <c r="E12" s="30" t="n">
        <f aca="false">Players!E27*((1-Players!E29)*E$8+Players!E29*TK_NonNV_Hold_Maia*TK_CapexIT_VR200)</f>
        <v>0</v>
      </c>
      <c r="F12" s="30" t="n">
        <f aca="false">Players!F27*((1-Players!F29)*F$8+Players!F29*TK_NonNV_Hold_Maia*TK_CapexIT_VR200)</f>
        <v>36.9713624319098</v>
      </c>
      <c r="G12" s="30" t="n">
        <f aca="false">Players!G27*((1-Players!G29)*G$8+Players!G29*TK_NonNV_Hold_Maia*TK_CapexIT_VR200)</f>
        <v>71.590164677534</v>
      </c>
      <c r="H12" s="30" t="n">
        <f aca="false">Players!H27*((1-Players!H29)*H$8+Players!H29*TK_NonNV_Hold_Maia*TK_CapexIT_VR200)</f>
        <v>0</v>
      </c>
      <c r="I12" s="30" t="n">
        <f aca="false">Players!I27*((1-Players!I29)*I$8+Players!I29*TK_NonNV_Hold_Maia*TK_CapexIT_VR200)</f>
        <v>0</v>
      </c>
      <c r="J12" s="30" t="n">
        <f aca="false">Players!J27*((1-Players!J29)*J$8+Players!J29*TK_NonNV_Hold_Maia*TK_CapexIT_VR200)</f>
        <v>0</v>
      </c>
      <c r="K12" s="30" t="n">
        <f aca="false">Players!K27*((1-Players!K29)*K$8+Players!K29*TK_NonNV_Hold_Maia*TK_CapexIT_VR200)</f>
        <v>0</v>
      </c>
      <c r="L12" s="30" t="n">
        <f aca="false">Players!L27*((1-Players!L29)*L$8+Players!L29*TK_NonNV_Hold_Maia*TK_CapexIT_VR200)</f>
        <v>0</v>
      </c>
      <c r="M12" s="30" t="n">
        <f aca="false">Players!M27*((1-Players!M29)*M$8+Players!M29*TK_NonNV_Hold_Maia*TK_CapexIT_VR200)</f>
        <v>0</v>
      </c>
    </row>
    <row r="13" customFormat="false" ht="15" hidden="false" customHeight="false" outlineLevel="0" collapsed="false">
      <c r="A13" s="4" t="s">
        <v>995</v>
      </c>
      <c r="C13" s="0" t="s">
        <v>213</v>
      </c>
      <c r="D13" s="30" t="n">
        <f aca="false">Players!D27*((1-Players!D29)*D$9+Players!D29*TK_NonNV_Hold_Maia*TK_CapexFacility_VR200)</f>
        <v>0</v>
      </c>
      <c r="E13" s="30" t="n">
        <f aca="false">Players!E27*((1-Players!E29)*E$9+Players!E29*TK_NonNV_Hold_Maia*TK_CapexFacility_VR200)</f>
        <v>0</v>
      </c>
      <c r="F13" s="30" t="n">
        <f aca="false">Players!F27*((1-Players!F29)*F$9+Players!F29*TK_NonNV_Hold_Maia*TK_CapexFacility_VR200)</f>
        <v>16.9877309352487</v>
      </c>
      <c r="G13" s="30" t="n">
        <f aca="false">Players!G27*((1-Players!G29)*G$9+Players!G29*TK_NonNV_Hold_Maia*TK_CapexFacility_VR200)</f>
        <v>26.6950057553907</v>
      </c>
      <c r="H13" s="30" t="n">
        <f aca="false">Players!H27*((1-Players!H29)*H$9+Players!H29*TK_NonNV_Hold_Maia*TK_CapexFacility_VR200)</f>
        <v>0</v>
      </c>
      <c r="I13" s="30" t="n">
        <f aca="false">Players!I27*((1-Players!I29)*I$9+Players!I29*TK_NonNV_Hold_Maia*TK_CapexFacility_VR200)</f>
        <v>0</v>
      </c>
      <c r="J13" s="30" t="n">
        <f aca="false">Players!J27*((1-Players!J29)*J$9+Players!J29*TK_NonNV_Hold_Maia*TK_CapexFacility_VR200)</f>
        <v>0</v>
      </c>
      <c r="K13" s="30" t="n">
        <f aca="false">Players!K27*((1-Players!K29)*K$9+Players!K29*TK_NonNV_Hold_Maia*TK_CapexFacility_VR200)</f>
        <v>0</v>
      </c>
      <c r="L13" s="30" t="n">
        <f aca="false">Players!L27*((1-Players!L29)*L$9+Players!L29*TK_NonNV_Hold_Maia*TK_CapexFacility_VR200)</f>
        <v>0</v>
      </c>
      <c r="M13" s="30" t="n">
        <f aca="false">Players!M27*((1-Players!M29)*M$9+Players!M29*TK_NonNV_Hold_Maia*TK_CapexFacility_VR200)</f>
        <v>0</v>
      </c>
    </row>
    <row r="14" customFormat="false" ht="17.15" hidden="false" customHeight="false" outlineLevel="0" collapsed="false">
      <c r="A14" s="4" t="s">
        <v>996</v>
      </c>
      <c r="C14" s="0" t="s">
        <v>213</v>
      </c>
      <c r="D14" s="30" t="n">
        <f aca="false">D13*$D$5+E13*$D$6+F13*$D$7</f>
        <v>8.49386546762433</v>
      </c>
      <c r="E14" s="30" t="n">
        <f aca="false">E13*$D$5+F13*$D$6+G13*$D$7</f>
        <v>21.8413683453197</v>
      </c>
      <c r="F14" s="30" t="n">
        <f aca="false">F13*$D$5+G13*$D$6+H13*$D$7</f>
        <v>13.3475028776954</v>
      </c>
      <c r="G14" s="30" t="n">
        <f aca="false">G13*$D$5+H13*$D$6+I13*$D$7</f>
        <v>0</v>
      </c>
      <c r="H14" s="30" t="n">
        <f aca="false">H13*$D$5+I13*$D$6+J13*$D$7</f>
        <v>0</v>
      </c>
      <c r="I14" s="30" t="n">
        <f aca="false">I13*$D$5+J13*$D$6+K13*$D$7</f>
        <v>0</v>
      </c>
      <c r="J14" s="30" t="n">
        <f aca="false">J13*$D$5+K13*$D$6+L13*$D$7</f>
        <v>0</v>
      </c>
      <c r="K14" s="30" t="n">
        <f aca="false">K13*$D$5+L13*$D$6+M13*$D$7</f>
        <v>0</v>
      </c>
      <c r="L14" s="30" t="n">
        <f aca="false">L13*$D$5+M13*$D$6</f>
        <v>0</v>
      </c>
      <c r="M14" s="30" t="n">
        <f aca="false">M13*$D$5</f>
        <v>0</v>
      </c>
    </row>
    <row r="15" customFormat="false" ht="17.15" hidden="false" customHeight="false" outlineLevel="0" collapsed="false">
      <c r="A15" s="4" t="s">
        <v>997</v>
      </c>
      <c r="C15" s="0" t="s">
        <v>213</v>
      </c>
      <c r="D15" s="30" t="n">
        <f aca="false">D12+D14</f>
        <v>8.49386546762433</v>
      </c>
      <c r="E15" s="30" t="n">
        <f aca="false">E12+E14</f>
        <v>21.8413683453197</v>
      </c>
      <c r="F15" s="30" t="n">
        <f aca="false">F12+F14</f>
        <v>50.3188653096052</v>
      </c>
      <c r="G15" s="30" t="n">
        <f aca="false">G12+G14</f>
        <v>71.590164677534</v>
      </c>
      <c r="H15" s="30" t="n">
        <f aca="false">H12+H14</f>
        <v>0</v>
      </c>
      <c r="I15" s="30" t="n">
        <f aca="false">I12+I14</f>
        <v>0</v>
      </c>
      <c r="J15" s="30" t="n">
        <f aca="false">J12+J14</f>
        <v>0</v>
      </c>
      <c r="K15" s="30" t="n">
        <f aca="false">K12+K14</f>
        <v>0</v>
      </c>
      <c r="L15" s="30" t="n">
        <f aca="false">L12+L14</f>
        <v>0</v>
      </c>
      <c r="M15" s="30" t="n">
        <f aca="false">M12+M14</f>
        <v>0</v>
      </c>
    </row>
    <row r="16" customFormat="false" ht="17.15" hidden="false" customHeight="false" outlineLevel="0" collapsed="false">
      <c r="A16" s="4" t="s">
        <v>998</v>
      </c>
      <c r="C16" s="0" t="s">
        <v>213</v>
      </c>
      <c r="D16" s="30" t="n">
        <f aca="false">D15*fye_msft/12+N(In!H81)</f>
        <v>4.24693273381216</v>
      </c>
      <c r="E16" s="30" t="n">
        <f aca="false">E15*fye_msft/12+D15*(12-fye_msft)/12+N(In!I81)</f>
        <v>15.167616906472</v>
      </c>
      <c r="F16" s="30" t="n">
        <f aca="false">F15*fye_msft/12+E15*(12-fye_msft)/12+N(In!J81)</f>
        <v>36.0801168274625</v>
      </c>
      <c r="G16" s="30" t="n">
        <f aca="false">G15*fye_msft/12+F15*(12-fye_msft)/12+N(In!K81)</f>
        <v>60.9545149935696</v>
      </c>
      <c r="H16" s="30" t="n">
        <f aca="false">H15*fye_msft/12+G15*(12-fye_msft)/12+N(In!L81)</f>
        <v>35.795082338767</v>
      </c>
      <c r="I16" s="30" t="n">
        <f aca="false">I15*fye_msft/12+H15*(12-fye_msft)/12+N(In!M81)</f>
        <v>0</v>
      </c>
      <c r="J16" s="30" t="n">
        <f aca="false">J15*fye_msft/12+I15*(12-fye_msft)/12+N(In!N81)</f>
        <v>0</v>
      </c>
      <c r="K16" s="30" t="n">
        <f aca="false">K15*fye_msft/12+J15*(12-fye_msft)/12+N(In!O81)</f>
        <v>0</v>
      </c>
      <c r="L16" s="30" t="n">
        <f aca="false">L15*fye_msft/12+K15*(12-fye_msft)/12+N(In!P81)</f>
        <v>0</v>
      </c>
      <c r="M16" s="30" t="n">
        <f aca="false">M15*fye_msft/12+L15*(12-fye_msft)/12+N(In!Q81)</f>
        <v>0</v>
      </c>
    </row>
    <row r="17" customFormat="false" ht="17.15" hidden="false" customHeight="false" outlineLevel="0" collapsed="false">
      <c r="A17" s="4" t="s">
        <v>999</v>
      </c>
      <c r="C17" s="0" t="s">
        <v>213</v>
      </c>
      <c r="D17" s="15" t="str">
        <f aca="false">IF(In!H65="","",In!H65)</f>
        <v/>
      </c>
      <c r="E17" s="15" t="str">
        <f aca="false">IF(In!I65="","",In!I65)</f>
        <v/>
      </c>
      <c r="F17" s="15" t="str">
        <f aca="false">IF(In!J65="","",In!J65)</f>
        <v/>
      </c>
      <c r="G17" s="21" t="n">
        <f aca="false">IF(In!K65="","",In!K65)</f>
        <v>115.948</v>
      </c>
      <c r="H17" s="21" t="n">
        <f aca="false">IF(In!L65="","",In!L65)</f>
        <v>192.827</v>
      </c>
      <c r="I17" s="21" t="n">
        <f aca="false">IF(In!M65="","",In!M65)</f>
        <v>216.787</v>
      </c>
      <c r="J17" s="21" t="n">
        <f aca="false">IF(In!N65="","",In!N65)</f>
        <v>251.173</v>
      </c>
      <c r="K17" s="15" t="str">
        <f aca="false">IF(In!O65="","",In!O65)</f>
        <v/>
      </c>
      <c r="L17" s="15" t="str">
        <f aca="false">IF(In!P65="","",In!P65)</f>
        <v/>
      </c>
      <c r="M17" s="15" t="str">
        <f aca="false">IF(In!Q65="","",In!Q65)</f>
        <v/>
      </c>
    </row>
    <row r="18" customFormat="false" ht="17.15" hidden="false" customHeight="false" outlineLevel="0" collapsed="false">
      <c r="A18" s="4" t="s">
        <v>1000</v>
      </c>
      <c r="C18" s="0" t="s">
        <v>33</v>
      </c>
      <c r="D18" s="29" t="str">
        <f aca="false">IF(OR(D17="",N(D17)=0),"",D16/D17)</f>
        <v/>
      </c>
      <c r="E18" s="29" t="str">
        <f aca="false">IF(OR(E17="",N(E17)=0),"",E16/E17)</f>
        <v/>
      </c>
      <c r="F18" s="29" t="str">
        <f aca="false">IF(OR(F17="",N(F17)=0),"",F16/F17)</f>
        <v/>
      </c>
      <c r="G18" s="29" t="n">
        <f aca="false">IF(OR(G17="",N(G17)=0),"",G16/G17)</f>
        <v>0.525705617980212</v>
      </c>
      <c r="H18" s="29" t="n">
        <f aca="false">IF(OR(H17="",N(H17)=0),"",H16/H17)</f>
        <v>0.185633144418401</v>
      </c>
      <c r="I18" s="29" t="n">
        <f aca="false">IF(OR(I17="",N(I17)=0),"",I16/I17)</f>
        <v>0</v>
      </c>
      <c r="J18" s="29" t="n">
        <f aca="false">IF(OR(J17="",N(J17)=0),"",J16/J17)</f>
        <v>0</v>
      </c>
      <c r="K18" s="29" t="str">
        <f aca="false">IF(OR(K17="",N(K17)=0),"",K16/K17)</f>
        <v/>
      </c>
      <c r="L18" s="29" t="str">
        <f aca="false">IF(OR(L17="",N(L17)=0),"",L16/L17)</f>
        <v/>
      </c>
      <c r="M18" s="29" t="str">
        <f aca="false">IF(OR(M17="",N(M17)=0),"",M16/M17)</f>
        <v/>
      </c>
    </row>
    <row r="19" customFormat="false" ht="17.15" hidden="false" customHeight="false" outlineLevel="0" collapsed="false">
      <c r="A19" s="4" t="s">
        <v>981</v>
      </c>
      <c r="C19" s="0" t="s">
        <v>32</v>
      </c>
      <c r="D19" s="0" t="str">
        <f aca="false">IF(D18="","無個股值",IF(D16=0,"GW 帳無新增",IF(AND(In!$E$65="Verified",FALSE()),IF(ABS(D18-1)&lt;=tolband,"對得上","偏差"),"證據不足（"&amp;IF(ABS(D18-1)&lt;=tolband,"帶內","帶外")&amp;"）")))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IF(E18="","無個股值",IF(E16=0,"GW 帳無新增",IF(AND(In!$E$65="Verified",FALSE()),IF(ABS(E18-1)&lt;=tolband,"對得上","偏差"),"證據不足（"&amp;IF(ABS(E18-1)&lt;=tolband,"帶內","帶外")&amp;"）")))</f>
        <v>無個股值</v>
      </c>
      <c r="F19" s="0" t="str">
        <f aca="false">IF(F18="","無個股值",IF(F16=0,"GW 帳無新增",IF(AND(In!$E$65="Verified",FALSE()),IF(ABS(F18-1)&lt;=tolband,"對得上","偏差"),"證據不足（"&amp;IF(ABS(F18-1)&lt;=tolband,"帶內","帶外")&amp;"）")))</f>
        <v>無個股值</v>
      </c>
      <c r="G19" s="0" t="str">
        <f aca="false">IF(G18="","無個股值",IF(G16=0,"GW 帳無新增",IF(AND(In!$E$65="Verified",FALSE()),IF(ABS(G18-1)&lt;=tolband,"對得上","偏差"),"證據不足（"&amp;IF(ABS(G18-1)&lt;=tolband,"帶內","帶外")&amp;"）")))</f>
        <v>證據不足（帶外）</v>
      </c>
      <c r="H19" s="0" t="str">
        <f aca="false">IF(H18="","無個股值",IF(H16=0,"GW 帳無新增",IF(AND(In!$E$65="Verified",FALSE()),IF(ABS(H18-1)&lt;=tolband,"對得上","偏差"),"證據不足（"&amp;IF(ABS(H18-1)&lt;=tolband,"帶內","帶外")&amp;"）")))</f>
        <v>證據不足（帶外）</v>
      </c>
      <c r="I19" s="0" t="str">
        <f aca="false">IF(I18="","無個股值",IF(I16=0,"GW 帳無新增",IF(AND(In!$E$65="Verified",FALSE()),IF(ABS(I18-1)&lt;=tolband,"對得上","偏差"),"證據不足（"&amp;IF(ABS(I18-1)&lt;=tolband,"帶內","帶外")&amp;"）")))</f>
        <v>GW 帳無新增</v>
      </c>
      <c r="J19" s="0" t="str">
        <f aca="false">IF(J18="","無個股值",IF(J16=0,"GW 帳無新增",IF(AND(In!$E$65="Verified",FALSE()),IF(ABS(J18-1)&lt;=tolband,"對得上","偏差"),"證據不足（"&amp;IF(ABS(J18-1)&lt;=tolband,"帶內","帶外")&amp;"）")))</f>
        <v>GW 帳無新增</v>
      </c>
      <c r="K19" s="0" t="str">
        <f aca="false">IF(K18="","無個股值",IF(K16=0,"GW 帳無新增",IF(AND(In!$E$65="Verified",FALSE()),IF(ABS(K18-1)&lt;=tolband,"對得上","偏差"),"證據不足（"&amp;IF(ABS(K18-1)&lt;=tolband,"帶內","帶外")&amp;"）")))</f>
        <v>無個股值</v>
      </c>
      <c r="L19" s="0" t="str">
        <f aca="false">IF(L18="","無個股值",IF(L16=0,"GW 帳無新增",IF(AND(In!$E$65="Verified",FALSE()),IF(ABS(L18-1)&lt;=tolband,"對得上","偏差"),"證據不足（"&amp;IF(ABS(L18-1)&lt;=tolband,"帶內","帶外")&amp;"）")))</f>
        <v>無個股值</v>
      </c>
      <c r="M19" s="0" t="str">
        <f aca="false">IF(M18="","無個股值",IF(M16=0,"GW 帳無新增",IF(AND(In!$E$65="Verified",FALSE()),IF(ABS(M18-1)&lt;=tolband,"對得上","偏差"),"證據不足（"&amp;IF(ABS(M18-1)&lt;=tolband,"帶內","帶外")&amp;"）")))</f>
        <v>無個股值</v>
      </c>
    </row>
    <row r="21" customFormat="false" ht="17.15" hidden="false" customHeight="false" outlineLevel="0" collapsed="false">
      <c r="A21" s="7" t="s">
        <v>620</v>
      </c>
      <c r="B21" s="16" t="s">
        <v>621</v>
      </c>
      <c r="N21" s="16" t="s">
        <v>1001</v>
      </c>
    </row>
    <row r="22" customFormat="false" ht="17.15" hidden="false" customHeight="false" outlineLevel="0" collapsed="false">
      <c r="A22" s="4" t="s">
        <v>994</v>
      </c>
      <c r="C22" s="0" t="s">
        <v>213</v>
      </c>
      <c r="D22" s="30" t="n">
        <f aca="false">Players!D43*((1-Players!D45)*D$8+Players!D45*TK_NonNV_Hold_TPU*TK_CapexIT_VR200)</f>
        <v>0</v>
      </c>
      <c r="E22" s="30" t="n">
        <f aca="false">Players!E43*((1-Players!E45)*E$8+Players!E45*TK_NonNV_Hold_TPU*TK_CapexIT_VR200)</f>
        <v>43.5925538364649</v>
      </c>
      <c r="F22" s="30" t="n">
        <f aca="false">Players!F43*((1-Players!F45)*F$8+Players!F45*TK_NonNV_Hold_TPU*TK_CapexIT_VR200)</f>
        <v>77.8979622745936</v>
      </c>
      <c r="G22" s="30" t="n">
        <f aca="false">Players!G43*((1-Players!G45)*G$8+Players!G45*TK_NonNV_Hold_TPU*TK_CapexIT_VR200)</f>
        <v>44.7002304861761</v>
      </c>
      <c r="H22" s="30" t="n">
        <f aca="false">Players!H43*((1-Players!H45)*H$8+Players!H45*TK_NonNV_Hold_TPU*TK_CapexIT_VR200)</f>
        <v>0</v>
      </c>
      <c r="I22" s="30" t="n">
        <f aca="false">Players!I43*((1-Players!I45)*I$8+Players!I45*TK_NonNV_Hold_TPU*TK_CapexIT_VR200)</f>
        <v>0</v>
      </c>
      <c r="J22" s="30" t="n">
        <f aca="false">Players!J43*((1-Players!J45)*J$8+Players!J45*TK_NonNV_Hold_TPU*TK_CapexIT_VR200)</f>
        <v>0</v>
      </c>
      <c r="K22" s="30" t="n">
        <f aca="false">Players!K43*((1-Players!K45)*K$8+Players!K45*TK_NonNV_Hold_TPU*TK_CapexIT_VR200)</f>
        <v>0</v>
      </c>
      <c r="L22" s="30" t="n">
        <f aca="false">Players!L43*((1-Players!L45)*L$8+Players!L45*TK_NonNV_Hold_TPU*TK_CapexIT_VR200)</f>
        <v>0</v>
      </c>
      <c r="M22" s="30" t="n">
        <f aca="false">Players!M43*((1-Players!M45)*M$8+Players!M45*TK_NonNV_Hold_TPU*TK_CapexIT_VR200)</f>
        <v>0</v>
      </c>
    </row>
    <row r="23" customFormat="false" ht="15" hidden="false" customHeight="false" outlineLevel="0" collapsed="false">
      <c r="A23" s="4" t="s">
        <v>995</v>
      </c>
      <c r="C23" s="0" t="s">
        <v>213</v>
      </c>
      <c r="D23" s="30" t="n">
        <f aca="false">Players!D43*((1-Players!D45)*D$9+Players!D45*TK_NonNV_Hold_TPU*TK_CapexFacility_VR200)</f>
        <v>0</v>
      </c>
      <c r="E23" s="30" t="n">
        <f aca="false">Players!E43*((1-Players!E45)*E$9+Players!E45*TK_NonNV_Hold_TPU*TK_CapexFacility_VR200)</f>
        <v>16.0691731126332</v>
      </c>
      <c r="F23" s="30" t="n">
        <f aca="false">Players!F43*((1-Players!F45)*F$9+Players!F45*TK_NonNV_Hold_TPU*TK_CapexFacility_VR200)</f>
        <v>29.120711194825</v>
      </c>
      <c r="G23" s="30" t="n">
        <f aca="false">Players!G43*((1-Players!G45)*G$9+Players!G45*TK_NonNV_Hold_TPU*TK_CapexFacility_VR200)</f>
        <v>15.621326217656</v>
      </c>
      <c r="H23" s="30" t="n">
        <f aca="false">Players!H43*((1-Players!H45)*H$9+Players!H45*TK_NonNV_Hold_TPU*TK_CapexFacility_VR200)</f>
        <v>0</v>
      </c>
      <c r="I23" s="30" t="n">
        <f aca="false">Players!I43*((1-Players!I45)*I$9+Players!I45*TK_NonNV_Hold_TPU*TK_CapexFacility_VR200)</f>
        <v>0</v>
      </c>
      <c r="J23" s="30" t="n">
        <f aca="false">Players!J43*((1-Players!J45)*J$9+Players!J45*TK_NonNV_Hold_TPU*TK_CapexFacility_VR200)</f>
        <v>0</v>
      </c>
      <c r="K23" s="30" t="n">
        <f aca="false">Players!K43*((1-Players!K45)*K$9+Players!K45*TK_NonNV_Hold_TPU*TK_CapexFacility_VR200)</f>
        <v>0</v>
      </c>
      <c r="L23" s="30" t="n">
        <f aca="false">Players!L43*((1-Players!L45)*L$9+Players!L45*TK_NonNV_Hold_TPU*TK_CapexFacility_VR200)</f>
        <v>0</v>
      </c>
      <c r="M23" s="30" t="n">
        <f aca="false">Players!M43*((1-Players!M45)*M$9+Players!M45*TK_NonNV_Hold_TPU*TK_CapexFacility_VR200)</f>
        <v>0</v>
      </c>
    </row>
    <row r="24" customFormat="false" ht="17.15" hidden="false" customHeight="false" outlineLevel="0" collapsed="false">
      <c r="A24" s="4" t="s">
        <v>996</v>
      </c>
      <c r="C24" s="0" t="s">
        <v>213</v>
      </c>
      <c r="D24" s="30" t="n">
        <f aca="false">D23*$D$5+E23*$D$6+F23*$D$7</f>
        <v>22.5949421537291</v>
      </c>
      <c r="E24" s="30" t="n">
        <f aca="false">E23*$D$5+F23*$D$6+G23*$D$7</f>
        <v>22.3710187062405</v>
      </c>
      <c r="F24" s="30" t="n">
        <f aca="false">F23*$D$5+G23*$D$6+H23*$D$7</f>
        <v>7.81066310882801</v>
      </c>
      <c r="G24" s="30" t="n">
        <f aca="false">G23*$D$5+H23*$D$6+I23*$D$7</f>
        <v>0</v>
      </c>
      <c r="H24" s="30" t="n">
        <f aca="false">H23*$D$5+I23*$D$6+J23*$D$7</f>
        <v>0</v>
      </c>
      <c r="I24" s="30" t="n">
        <f aca="false">I23*$D$5+J23*$D$6+K23*$D$7</f>
        <v>0</v>
      </c>
      <c r="J24" s="30" t="n">
        <f aca="false">J23*$D$5+K23*$D$6+L23*$D$7</f>
        <v>0</v>
      </c>
      <c r="K24" s="30" t="n">
        <f aca="false">K23*$D$5+L23*$D$6+M23*$D$7</f>
        <v>0</v>
      </c>
      <c r="L24" s="30" t="n">
        <f aca="false">L23*$D$5+M23*$D$6</f>
        <v>0</v>
      </c>
      <c r="M24" s="30" t="n">
        <f aca="false">M23*$D$5</f>
        <v>0</v>
      </c>
    </row>
    <row r="25" customFormat="false" ht="17.15" hidden="false" customHeight="false" outlineLevel="0" collapsed="false">
      <c r="A25" s="4" t="s">
        <v>997</v>
      </c>
      <c r="C25" s="0" t="s">
        <v>213</v>
      </c>
      <c r="D25" s="30" t="n">
        <f aca="false">D22+D24</f>
        <v>22.5949421537291</v>
      </c>
      <c r="E25" s="30" t="n">
        <f aca="false">E22+E24</f>
        <v>65.9635725427054</v>
      </c>
      <c r="F25" s="30" t="n">
        <f aca="false">F22+F24</f>
        <v>85.7086253834216</v>
      </c>
      <c r="G25" s="30" t="n">
        <f aca="false">G22+G24</f>
        <v>44.7002304861761</v>
      </c>
      <c r="H25" s="30" t="n">
        <f aca="false">H22+H24</f>
        <v>0</v>
      </c>
      <c r="I25" s="30" t="n">
        <f aca="false">I22+I24</f>
        <v>0</v>
      </c>
      <c r="J25" s="30" t="n">
        <f aca="false">J22+J24</f>
        <v>0</v>
      </c>
      <c r="K25" s="30" t="n">
        <f aca="false">K22+K24</f>
        <v>0</v>
      </c>
      <c r="L25" s="30" t="n">
        <f aca="false">L22+L24</f>
        <v>0</v>
      </c>
      <c r="M25" s="30" t="n">
        <f aca="false">M22+M24</f>
        <v>0</v>
      </c>
    </row>
    <row r="26" customFormat="false" ht="17.15" hidden="false" customHeight="false" outlineLevel="0" collapsed="false">
      <c r="A26" s="4" t="s">
        <v>998</v>
      </c>
      <c r="C26" s="0" t="s">
        <v>213</v>
      </c>
      <c r="D26" s="30" t="n">
        <f aca="false">D25*fye_googl/12+N(In!H82)</f>
        <v>22.5949421537291</v>
      </c>
      <c r="E26" s="30" t="n">
        <f aca="false">E25*fye_googl/12+D25*(12-fye_googl)/12+N(In!I82)</f>
        <v>65.9635725427054</v>
      </c>
      <c r="F26" s="30" t="n">
        <f aca="false">F25*fye_googl/12+E25*(12-fye_googl)/12+N(In!J82)</f>
        <v>85.7086253834216</v>
      </c>
      <c r="G26" s="30" t="n">
        <f aca="false">G25*fye_googl/12+F25*(12-fye_googl)/12+N(In!K82)</f>
        <v>44.7002304861761</v>
      </c>
      <c r="H26" s="30" t="n">
        <f aca="false">H25*fye_googl/12+G25*(12-fye_googl)/12+N(In!L82)</f>
        <v>0</v>
      </c>
      <c r="I26" s="30" t="n">
        <f aca="false">I25*fye_googl/12+H25*(12-fye_googl)/12+N(In!M82)</f>
        <v>0</v>
      </c>
      <c r="J26" s="30" t="n">
        <f aca="false">J25*fye_googl/12+I25*(12-fye_googl)/12+N(In!N82)</f>
        <v>0</v>
      </c>
      <c r="K26" s="30" t="n">
        <f aca="false">K25*fye_googl/12+J25*(12-fye_googl)/12+N(In!O82)</f>
        <v>0</v>
      </c>
      <c r="L26" s="30" t="n">
        <f aca="false">L25*fye_googl/12+K25*(12-fye_googl)/12+N(In!P82)</f>
        <v>0</v>
      </c>
      <c r="M26" s="30" t="n">
        <f aca="false">M25*fye_googl/12+L25*(12-fye_googl)/12+N(In!Q82)</f>
        <v>0</v>
      </c>
    </row>
    <row r="27" customFormat="false" ht="17.15" hidden="false" customHeight="false" outlineLevel="0" collapsed="false">
      <c r="A27" s="4" t="s">
        <v>999</v>
      </c>
      <c r="C27" s="0" t="s">
        <v>213</v>
      </c>
      <c r="D27" s="15" t="str">
        <f aca="false">IF(In!H66="","",In!H66)</f>
        <v/>
      </c>
      <c r="E27" s="15" t="str">
        <f aca="false">IF(In!I66="","",In!I66)</f>
        <v/>
      </c>
      <c r="F27" s="21" t="n">
        <f aca="false">IF(In!J66="","",In!J66)</f>
        <v>91.447</v>
      </c>
      <c r="G27" s="21" t="n">
        <f aca="false">IF(In!K66="","",In!K66)</f>
        <v>200</v>
      </c>
      <c r="H27" s="21" t="n">
        <f aca="false">IF(In!L66="","",In!L66)</f>
        <v>300.979</v>
      </c>
      <c r="I27" s="21" t="n">
        <f aca="false">IF(In!M66="","",In!M66)</f>
        <v>339.451</v>
      </c>
      <c r="J27" s="15" t="str">
        <f aca="false">IF(In!N66="","",In!N66)</f>
        <v/>
      </c>
      <c r="K27" s="15" t="str">
        <f aca="false">IF(In!O66="","",In!O66)</f>
        <v/>
      </c>
      <c r="L27" s="15" t="str">
        <f aca="false">IF(In!P66="","",In!P66)</f>
        <v/>
      </c>
      <c r="M27" s="15" t="str">
        <f aca="false">IF(In!Q66="","",In!Q66)</f>
        <v/>
      </c>
    </row>
    <row r="28" customFormat="false" ht="17.15" hidden="false" customHeight="false" outlineLevel="0" collapsed="false">
      <c r="A28" s="4" t="s">
        <v>1000</v>
      </c>
      <c r="C28" s="0" t="s">
        <v>33</v>
      </c>
      <c r="D28" s="29" t="str">
        <f aca="false">IF(OR(D27="",N(D27)=0),"",D26/D27)</f>
        <v/>
      </c>
      <c r="E28" s="29" t="str">
        <f aca="false">IF(OR(E27="",N(E27)=0),"",E26/E27)</f>
        <v/>
      </c>
      <c r="F28" s="29" t="n">
        <f aca="false">IF(OR(F27="",N(F27)=0),"",F26/F27)</f>
        <v>0.937249175844168</v>
      </c>
      <c r="G28" s="29" t="n">
        <f aca="false">IF(OR(G27="",N(G27)=0),"",G26/G27)</f>
        <v>0.223501152430881</v>
      </c>
      <c r="H28" s="29" t="n">
        <f aca="false">IF(OR(H27="",N(H27)=0),"",H26/H27)</f>
        <v>0</v>
      </c>
      <c r="I28" s="29" t="n">
        <f aca="false">IF(OR(I27="",N(I27)=0),"",I26/I27)</f>
        <v>0</v>
      </c>
      <c r="J28" s="29" t="str">
        <f aca="false">IF(OR(J27="",N(J27)=0),"",J26/J27)</f>
        <v/>
      </c>
      <c r="K28" s="29" t="str">
        <f aca="false">IF(OR(K27="",N(K27)=0),"",K26/K27)</f>
        <v/>
      </c>
      <c r="L28" s="29" t="str">
        <f aca="false">IF(OR(L27="",N(L27)=0),"",L26/L27)</f>
        <v/>
      </c>
      <c r="M28" s="29" t="str">
        <f aca="false">IF(OR(M27="",N(M27)=0),"",M26/M27)</f>
        <v/>
      </c>
    </row>
    <row r="29" customFormat="false" ht="17.15" hidden="false" customHeight="false" outlineLevel="0" collapsed="false">
      <c r="A29" s="4" t="s">
        <v>981</v>
      </c>
      <c r="C29" s="0" t="s">
        <v>32</v>
      </c>
      <c r="D29" s="0" t="str">
        <f aca="false">IF(D28="","無個股值",IF(D26=0,"GW 帳無新增",IF(AND(In!$E$66="Verified",FALSE()),IF(ABS(D28-1)&lt;=tolband,"對得上","偏差"),"證據不足（"&amp;IF(ABS(D28-1)&lt;=tolband,"帶內","帶外")&amp;"）")))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IF(E28="","無個股值",IF(E26=0,"GW 帳無新增",IF(AND(In!$E$66="Verified",FALSE()),IF(ABS(E28-1)&lt;=tolband,"對得上","偏差"),"證據不足（"&amp;IF(ABS(E28-1)&lt;=tolband,"帶內","帶外")&amp;"）")))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IF(F28="","無個股值",IF(F26=0,"GW 帳無新增",IF(AND(In!$E$66="Verified",FALSE()),IF(ABS(F28-1)&lt;=tolband,"對得上","偏差"),"證據不足（"&amp;IF(ABS(F28-1)&lt;=tolband,"帶內","帶外")&amp;"）")))</f>
        <v>證據不足（帶內）</v>
      </c>
      <c r="G29" s="0" t="str">
        <f aca="false">IF(G28="","無個股值",IF(G26=0,"GW 帳無新增",IF(AND(In!$E$66="Verified",FALSE()),IF(ABS(G28-1)&lt;=tolband,"對得上","偏差"),"證據不足（"&amp;IF(ABS(G28-1)&lt;=tolband,"帶內","帶外")&amp;"）")))</f>
        <v>證據不足（帶外）</v>
      </c>
      <c r="H29" s="0" t="str">
        <f aca="false">IF(H28="","無個股值",IF(H26=0,"GW 帳無新增",IF(AND(In!$E$66="Verified",FALSE()),IF(ABS(H28-1)&lt;=tolband,"對得上","偏差"),"證據不足（"&amp;IF(ABS(H28-1)&lt;=tolband,"帶內","帶外")&amp;"）")))</f>
        <v>GW 帳無新增</v>
      </c>
      <c r="I29" s="0" t="str">
        <f aca="false">IF(I28="","無個股值",IF(I26=0,"GW 帳無新增",IF(AND(In!$E$66="Verified",FALSE()),IF(ABS(I28-1)&lt;=tolband,"對得上","偏差"),"證據不足（"&amp;IF(ABS(I28-1)&lt;=tolband,"帶內","帶外")&amp;"）")))</f>
        <v>GW 帳無新增</v>
      </c>
      <c r="J29" s="0" t="str">
        <f aca="false">IF(J28="","無個股值",IF(J26=0,"GW 帳無新增",IF(AND(In!$E$66="Verified",FALSE()),IF(ABS(J28-1)&lt;=tolband,"對得上","偏差"),"證據不足（"&amp;IF(ABS(J28-1)&lt;=tolband,"帶內","帶外")&amp;"）")))</f>
        <v>無個股值</v>
      </c>
      <c r="K29" s="0" t="str">
        <f aca="false">IF(K28="","無個股值",IF(K26=0,"GW 帳無新增",IF(AND(In!$E$66="Verified",FALSE()),IF(ABS(K28-1)&lt;=tolband,"對得上","偏差"),"證據不足（"&amp;IF(ABS(K28-1)&lt;=tolband,"帶內","帶外")&amp;"）")))</f>
        <v>無個股值</v>
      </c>
      <c r="L29" s="0" t="str">
        <f aca="false">IF(L28="","無個股值",IF(L26=0,"GW 帳無新增",IF(AND(In!$E$66="Verified",FALSE()),IF(ABS(L28-1)&lt;=tolband,"對得上","偏差"),"證據不足（"&amp;IF(ABS(L28-1)&lt;=tolband,"帶內","帶外")&amp;"）")))</f>
        <v>無個股值</v>
      </c>
      <c r="M29" s="0" t="str">
        <f aca="false">IF(M28="","無個股值",IF(M26=0,"GW 帳無新增",IF(AND(In!$E$66="Verified",FALSE()),IF(ABS(M28-1)&lt;=tolband,"對得上","偏差"),"證據不足（"&amp;IF(ABS(M28-1)&lt;=tolband,"帶內","帶外")&amp;"）")))</f>
        <v>無個股值</v>
      </c>
    </row>
    <row r="31" customFormat="false" ht="17.15" hidden="false" customHeight="false" outlineLevel="0" collapsed="false">
      <c r="A31" s="7" t="s">
        <v>637</v>
      </c>
      <c r="B31" s="16" t="s">
        <v>377</v>
      </c>
      <c r="N31" s="4" t="s">
        <v>1002</v>
      </c>
    </row>
    <row r="32" customFormat="false" ht="17.15" hidden="false" customHeight="false" outlineLevel="0" collapsed="false">
      <c r="A32" s="4" t="s">
        <v>994</v>
      </c>
      <c r="C32" s="0" t="s">
        <v>213</v>
      </c>
      <c r="D32" s="30" t="n">
        <f aca="false">Players!D59*((1-Players!D61)*D$8+Players!D61*TK_NonNV_Hold_Trn*TK_CapexIT_VR200)</f>
        <v>0</v>
      </c>
      <c r="E32" s="30" t="n">
        <f aca="false">Players!E59*((1-Players!E61)*E$8+Players!E61*TK_NonNV_Hold_Trn*TK_CapexIT_VR200)</f>
        <v>7.97126962896282</v>
      </c>
      <c r="F32" s="30" t="n">
        <f aca="false">Players!F59*((1-Players!F61)*F$8+Players!F61*TK_NonNV_Hold_Trn*TK_CapexIT_VR200)</f>
        <v>35.1436513244618</v>
      </c>
      <c r="G32" s="30" t="n">
        <f aca="false">Players!G59*((1-Players!G61)*G$8+Players!G61*TK_NonNV_Hold_Trn*TK_CapexIT_VR200)</f>
        <v>22.9512265059361</v>
      </c>
      <c r="H32" s="30" t="n">
        <f aca="false">Players!H59*((1-Players!H61)*H$8+Players!H61*TK_NonNV_Hold_Trn*TK_CapexIT_VR200)</f>
        <v>0</v>
      </c>
      <c r="I32" s="30" t="n">
        <f aca="false">Players!I59*((1-Players!I61)*I$8+Players!I61*TK_NonNV_Hold_Trn*TK_CapexIT_VR200)</f>
        <v>0</v>
      </c>
      <c r="J32" s="30" t="n">
        <f aca="false">Players!J59*((1-Players!J61)*J$8+Players!J61*TK_NonNV_Hold_Trn*TK_CapexIT_VR200)</f>
        <v>0</v>
      </c>
      <c r="K32" s="30" t="n">
        <f aca="false">Players!K59*((1-Players!K61)*K$8+Players!K61*TK_NonNV_Hold_Trn*TK_CapexIT_VR200)</f>
        <v>0</v>
      </c>
      <c r="L32" s="30" t="n">
        <f aca="false">Players!L59*((1-Players!L61)*L$8+Players!L61*TK_NonNV_Hold_Trn*TK_CapexIT_VR200)</f>
        <v>0</v>
      </c>
      <c r="M32" s="30" t="n">
        <f aca="false">Players!M59*((1-Players!M61)*M$8+Players!M61*TK_NonNV_Hold_Trn*TK_CapexIT_VR200)</f>
        <v>0</v>
      </c>
    </row>
    <row r="33" customFormat="false" ht="15" hidden="false" customHeight="false" outlineLevel="0" collapsed="false">
      <c r="A33" s="4" t="s">
        <v>995</v>
      </c>
      <c r="C33" s="0" t="s">
        <v>213</v>
      </c>
      <c r="D33" s="30" t="n">
        <f aca="false">Players!D59*((1-Players!D61)*D$9+Players!D61*TK_NonNV_Hold_Trn*TK_CapexFacility_VR200)</f>
        <v>0</v>
      </c>
      <c r="E33" s="30" t="n">
        <f aca="false">Players!E59*((1-Players!E61)*E$9+Players!E61*TK_NonNV_Hold_Trn*TK_CapexFacility_VR200)</f>
        <v>3.05261872146119</v>
      </c>
      <c r="F33" s="30" t="n">
        <f aca="false">Players!F59*((1-Players!F61)*F$9+Players!F61*TK_NonNV_Hold_Trn*TK_CapexFacility_VR200)</f>
        <v>13.7367842465753</v>
      </c>
      <c r="G33" s="30" t="n">
        <f aca="false">Players!G59*((1-Players!G61)*G$9+Players!G61*TK_NonNV_Hold_Trn*TK_CapexFacility_VR200)</f>
        <v>8.14031659056317</v>
      </c>
      <c r="H33" s="30" t="n">
        <f aca="false">Players!H59*((1-Players!H61)*H$9+Players!H61*TK_NonNV_Hold_Trn*TK_CapexFacility_VR200)</f>
        <v>0</v>
      </c>
      <c r="I33" s="30" t="n">
        <f aca="false">Players!I59*((1-Players!I61)*I$9+Players!I61*TK_NonNV_Hold_Trn*TK_CapexFacility_VR200)</f>
        <v>0</v>
      </c>
      <c r="J33" s="30" t="n">
        <f aca="false">Players!J59*((1-Players!J61)*J$9+Players!J61*TK_NonNV_Hold_Trn*TK_CapexFacility_VR200)</f>
        <v>0</v>
      </c>
      <c r="K33" s="30" t="n">
        <f aca="false">Players!K59*((1-Players!K61)*K$9+Players!K61*TK_NonNV_Hold_Trn*TK_CapexFacility_VR200)</f>
        <v>0</v>
      </c>
      <c r="L33" s="30" t="n">
        <f aca="false">Players!L59*((1-Players!L61)*L$9+Players!L61*TK_NonNV_Hold_Trn*TK_CapexFacility_VR200)</f>
        <v>0</v>
      </c>
      <c r="M33" s="30" t="n">
        <f aca="false">Players!M59*((1-Players!M61)*M$9+Players!M61*TK_NonNV_Hold_Trn*TK_CapexFacility_VR200)</f>
        <v>0</v>
      </c>
    </row>
    <row r="34" customFormat="false" ht="17.15" hidden="false" customHeight="false" outlineLevel="0" collapsed="false">
      <c r="A34" s="4" t="s">
        <v>996</v>
      </c>
      <c r="C34" s="0" t="s">
        <v>213</v>
      </c>
      <c r="D34" s="30" t="n">
        <f aca="false">D33*$D$5+E33*$D$6+F33*$D$7</f>
        <v>8.39470148401827</v>
      </c>
      <c r="E34" s="30" t="n">
        <f aca="false">E33*$D$5+F33*$D$6+G33*$D$7</f>
        <v>10.9385504185693</v>
      </c>
      <c r="F34" s="30" t="n">
        <f aca="false">F33*$D$5+G33*$D$6+H33*$D$7</f>
        <v>4.07015829528158</v>
      </c>
      <c r="G34" s="30" t="n">
        <f aca="false">G33*$D$5+H33*$D$6+I33*$D$7</f>
        <v>0</v>
      </c>
      <c r="H34" s="30" t="n">
        <f aca="false">H33*$D$5+I33*$D$6+J33*$D$7</f>
        <v>0</v>
      </c>
      <c r="I34" s="30" t="n">
        <f aca="false">I33*$D$5+J33*$D$6+K33*$D$7</f>
        <v>0</v>
      </c>
      <c r="J34" s="30" t="n">
        <f aca="false">J33*$D$5+K33*$D$6+L33*$D$7</f>
        <v>0</v>
      </c>
      <c r="K34" s="30" t="n">
        <f aca="false">K33*$D$5+L33*$D$6+M33*$D$7</f>
        <v>0</v>
      </c>
      <c r="L34" s="30" t="n">
        <f aca="false">L33*$D$5+M33*$D$6</f>
        <v>0</v>
      </c>
      <c r="M34" s="30" t="n">
        <f aca="false">M33*$D$5</f>
        <v>0</v>
      </c>
    </row>
    <row r="35" customFormat="false" ht="17.15" hidden="false" customHeight="false" outlineLevel="0" collapsed="false">
      <c r="A35" s="4" t="s">
        <v>997</v>
      </c>
      <c r="C35" s="0" t="s">
        <v>213</v>
      </c>
      <c r="D35" s="30" t="n">
        <f aca="false">D32+D34</f>
        <v>8.39470148401827</v>
      </c>
      <c r="E35" s="30" t="n">
        <f aca="false">E32+E34</f>
        <v>18.9098200475321</v>
      </c>
      <c r="F35" s="30" t="n">
        <f aca="false">F32+F34</f>
        <v>39.2138096197434</v>
      </c>
      <c r="G35" s="30" t="n">
        <f aca="false">G32+G34</f>
        <v>22.9512265059361</v>
      </c>
      <c r="H35" s="30" t="n">
        <f aca="false">H32+H34</f>
        <v>0</v>
      </c>
      <c r="I35" s="30" t="n">
        <f aca="false">I32+I34</f>
        <v>0</v>
      </c>
      <c r="J35" s="30" t="n">
        <f aca="false">J32+J34</f>
        <v>0</v>
      </c>
      <c r="K35" s="30" t="n">
        <f aca="false">K32+K34</f>
        <v>0</v>
      </c>
      <c r="L35" s="30" t="n">
        <f aca="false">L32+L34</f>
        <v>0</v>
      </c>
      <c r="M35" s="30" t="n">
        <f aca="false">M32+M34</f>
        <v>0</v>
      </c>
    </row>
    <row r="36" customFormat="false" ht="17.15" hidden="false" customHeight="false" outlineLevel="0" collapsed="false">
      <c r="A36" s="4" t="s">
        <v>998</v>
      </c>
      <c r="C36" s="0" t="s">
        <v>213</v>
      </c>
      <c r="D36" s="30" t="n">
        <f aca="false">D35*fye_amzn/12+N(In!H83)</f>
        <v>8.39470148401827</v>
      </c>
      <c r="E36" s="30" t="n">
        <f aca="false">E35*fye_amzn/12+D35*(12-fye_amzn)/12+N(In!I83)</f>
        <v>18.9098200475321</v>
      </c>
      <c r="F36" s="30" t="n">
        <f aca="false">F35*fye_amzn/12+E35*(12-fye_amzn)/12+N(In!J83)</f>
        <v>39.2138096197434</v>
      </c>
      <c r="G36" s="30" t="n">
        <f aca="false">G35*fye_amzn/12+F35*(12-fye_amzn)/12+N(In!K83)</f>
        <v>22.9512265059361</v>
      </c>
      <c r="H36" s="30" t="n">
        <f aca="false">H35*fye_amzn/12+G35*(12-fye_amzn)/12+N(In!L83)</f>
        <v>0</v>
      </c>
      <c r="I36" s="30" t="n">
        <f aca="false">I35*fye_amzn/12+H35*(12-fye_amzn)/12+N(In!M83)</f>
        <v>0</v>
      </c>
      <c r="J36" s="30" t="n">
        <f aca="false">J35*fye_amzn/12+I35*(12-fye_amzn)/12+N(In!N83)</f>
        <v>0</v>
      </c>
      <c r="K36" s="30" t="n">
        <f aca="false">K35*fye_amzn/12+J35*(12-fye_amzn)/12+N(In!O83)</f>
        <v>0</v>
      </c>
      <c r="L36" s="30" t="n">
        <f aca="false">L35*fye_amzn/12+K35*(12-fye_amzn)/12+N(In!P83)</f>
        <v>0</v>
      </c>
      <c r="M36" s="30" t="n">
        <f aca="false">M35*fye_amzn/12+L35*(12-fye_amzn)/12+N(In!Q83)</f>
        <v>0</v>
      </c>
    </row>
    <row r="37" customFormat="false" ht="17.15" hidden="false" customHeight="false" outlineLevel="0" collapsed="false">
      <c r="A37" s="4" t="s">
        <v>999</v>
      </c>
      <c r="C37" s="0" t="s">
        <v>213</v>
      </c>
      <c r="D37" s="15" t="str">
        <f aca="false">IF(In!H67="","",In!H67)</f>
        <v/>
      </c>
      <c r="E37" s="15" t="str">
        <f aca="false">IF(In!I67="","",In!I67)</f>
        <v/>
      </c>
      <c r="F37" s="15" t="str">
        <f aca="false">IF(In!J67="","",In!J67)</f>
        <v/>
      </c>
      <c r="G37" s="21" t="n">
        <f aca="false">IF(In!K67="","",In!K67)</f>
        <v>220</v>
      </c>
      <c r="H37" s="21" t="n">
        <f aca="false">IF(In!L67="","",In!L67)</f>
        <v>275.063</v>
      </c>
      <c r="I37" s="21" t="n">
        <f aca="false">IF(In!M67="","",In!M67)</f>
        <v>292.927</v>
      </c>
      <c r="J37" s="15" t="str">
        <f aca="false">IF(In!N67="","",In!N67)</f>
        <v/>
      </c>
      <c r="K37" s="15" t="str">
        <f aca="false">IF(In!O67="","",In!O67)</f>
        <v/>
      </c>
      <c r="L37" s="15" t="str">
        <f aca="false">IF(In!P67="","",In!P67)</f>
        <v/>
      </c>
      <c r="M37" s="15" t="str">
        <f aca="false">IF(In!Q67="","",In!Q67)</f>
        <v/>
      </c>
    </row>
    <row r="38" customFormat="false" ht="17.15" hidden="false" customHeight="false" outlineLevel="0" collapsed="false">
      <c r="A38" s="4" t="s">
        <v>1000</v>
      </c>
      <c r="C38" s="0" t="s">
        <v>33</v>
      </c>
      <c r="D38" s="29" t="str">
        <f aca="false">IF(OR(D37="",N(D37)=0),"",D36/D37)</f>
        <v/>
      </c>
      <c r="E38" s="29" t="str">
        <f aca="false">IF(OR(E37="",N(E37)=0),"",E36/E37)</f>
        <v/>
      </c>
      <c r="F38" s="29" t="str">
        <f aca="false">IF(OR(F37="",N(F37)=0),"",F36/F37)</f>
        <v/>
      </c>
      <c r="G38" s="29" t="n">
        <f aca="false">IF(OR(G37="",N(G37)=0),"",G36/G37)</f>
        <v>0.104323756845164</v>
      </c>
      <c r="H38" s="29" t="n">
        <f aca="false">IF(OR(H37="",N(H37)=0),"",H36/H37)</f>
        <v>0</v>
      </c>
      <c r="I38" s="29" t="n">
        <f aca="false">IF(OR(I37="",N(I37)=0),"",I36/I37)</f>
        <v>0</v>
      </c>
      <c r="J38" s="29" t="str">
        <f aca="false">IF(OR(J37="",N(J37)=0),"",J36/J37)</f>
        <v/>
      </c>
      <c r="K38" s="29" t="str">
        <f aca="false">IF(OR(K37="",N(K37)=0),"",K36/K37)</f>
        <v/>
      </c>
      <c r="L38" s="29" t="str">
        <f aca="false">IF(OR(L37="",N(L37)=0),"",L36/L37)</f>
        <v/>
      </c>
      <c r="M38" s="29" t="str">
        <f aca="false">IF(OR(M37="",N(M37)=0),"",M36/M37)</f>
        <v/>
      </c>
    </row>
    <row r="39" customFormat="false" ht="17.15" hidden="false" customHeight="false" outlineLevel="0" collapsed="false">
      <c r="A39" s="4" t="s">
        <v>981</v>
      </c>
      <c r="C39" s="0" t="s">
        <v>32</v>
      </c>
      <c r="D39" s="0" t="str">
        <f aca="false">IF(D38="","無個股值",IF(D36=0,"GW 帳無新增",IF(AND(In!$E$67="Verified",FALSE()),IF(ABS(D38-1)&lt;=tolband,"對得上","偏差"),"證據不足（"&amp;IF(ABS(D38-1)&lt;=tolband,"帶內","帶外")&amp;"）")))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IF(E38="","無個股值",IF(E36=0,"GW 帳無新增",IF(AND(In!$E$67="Verified",FALSE()),IF(ABS(E38-1)&lt;=tolband,"對得上","偏差"),"證據不足（"&amp;IF(ABS(E38-1)&lt;=tolband,"帶內","帶外")&amp;"）")))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IF(F38="","無個股值",IF(F36=0,"GW 帳無新增",IF(AND(In!$E$67="Verified",FALSE()),IF(ABS(F38-1)&lt;=tolband,"對得上","偏差"),"證據不足（"&amp;IF(ABS(F38-1)&lt;=tolband,"帶內","帶外")&amp;"）")))</f>
        <v>無個股值</v>
      </c>
      <c r="G39" s="0" t="str">
        <f aca="false">IF(G38="","無個股值",IF(G36=0,"GW 帳無新增",IF(AND(In!$E$67="Verified",FALSE()),IF(ABS(G38-1)&lt;=tolband,"對得上","偏差"),"證據不足（"&amp;IF(ABS(G38-1)&lt;=tolband,"帶內","帶外")&amp;"）")))</f>
        <v>證據不足（帶外）</v>
      </c>
      <c r="H39" s="0" t="str">
        <f aca="false">IF(H38="","無個股值",IF(H36=0,"GW 帳無新增",IF(AND(In!$E$67="Verified",FALSE()),IF(ABS(H38-1)&lt;=tolband,"對得上","偏差"),"證據不足（"&amp;IF(ABS(H38-1)&lt;=tolband,"帶內","帶外")&amp;"）")))</f>
        <v>GW 帳無新增</v>
      </c>
      <c r="I39" s="0" t="str">
        <f aca="false">IF(I38="","無個股值",IF(I36=0,"GW 帳無新增",IF(AND(In!$E$67="Verified",FALSE()),IF(ABS(I38-1)&lt;=tolband,"對得上","偏差"),"證據不足（"&amp;IF(ABS(I38-1)&lt;=tolband,"帶內","帶外")&amp;"）")))</f>
        <v>GW 帳無新增</v>
      </c>
      <c r="J39" s="0" t="str">
        <f aca="false">IF(J38="","無個股值",IF(J36=0,"GW 帳無新增",IF(AND(In!$E$67="Verified",FALSE()),IF(ABS(J38-1)&lt;=tolband,"對得上","偏差"),"證據不足（"&amp;IF(ABS(J38-1)&lt;=tolband,"帶內","帶外")&amp;"）")))</f>
        <v>無個股值</v>
      </c>
      <c r="K39" s="0" t="str">
        <f aca="false">IF(K38="","無個股值",IF(K36=0,"GW 帳無新增",IF(AND(In!$E$67="Verified",FALSE()),IF(ABS(K38-1)&lt;=tolband,"對得上","偏差"),"證據不足（"&amp;IF(ABS(K38-1)&lt;=tolband,"帶內","帶外")&amp;"）")))</f>
        <v>無個股值</v>
      </c>
      <c r="L39" s="0" t="str">
        <f aca="false">IF(L38="","無個股值",IF(L36=0,"GW 帳無新增",IF(AND(In!$E$67="Verified",FALSE()),IF(ABS(L38-1)&lt;=tolband,"對得上","偏差"),"證據不足（"&amp;IF(ABS(L38-1)&lt;=tolband,"帶內","帶外")&amp;"）")))</f>
        <v>無個股值</v>
      </c>
      <c r="M39" s="0" t="str">
        <f aca="false">IF(M38="","無個股值",IF(M36=0,"GW 帳無新增",IF(AND(In!$E$67="Verified",FALSE()),IF(ABS(M38-1)&lt;=tolband,"對得上","偏差"),"證據不足（"&amp;IF(ABS(M38-1)&lt;=tolband,"帶內","帶外")&amp;"）")))</f>
        <v>無個股值</v>
      </c>
    </row>
    <row r="41" customFormat="false" ht="17.15" hidden="false" customHeight="false" outlineLevel="0" collapsed="false">
      <c r="A41" s="7" t="s">
        <v>653</v>
      </c>
      <c r="B41" s="16" t="s">
        <v>387</v>
      </c>
      <c r="N41" s="16" t="s">
        <v>1003</v>
      </c>
    </row>
    <row r="42" customFormat="false" ht="17.15" hidden="false" customHeight="false" outlineLevel="0" collapsed="false">
      <c r="A42" s="4" t="s">
        <v>994</v>
      </c>
      <c r="C42" s="0" t="s">
        <v>213</v>
      </c>
      <c r="D42" s="30" t="n">
        <f aca="false">Players!D75*((1-Players!D77)*D$8+Players!D77*TK_NonNV_Hold_AMD*TK_CapexIT_VR200)</f>
        <v>0</v>
      </c>
      <c r="E42" s="30" t="n">
        <f aca="false">Players!E75*((1-Players!E77)*E$8+Players!E77*TK_NonNV_Hold_AMD*TK_CapexIT_VR200)</f>
        <v>0</v>
      </c>
      <c r="F42" s="30" t="n">
        <f aca="false">Players!F75*((1-Players!F77)*F$8+Players!F77*TK_NonNV_Hold_AMD*TK_CapexIT_VR200)</f>
        <v>0</v>
      </c>
      <c r="G42" s="30" t="n">
        <f aca="false">Players!G75*((1-Players!G77)*G$8+Players!G77*TK_NonNV_Hold_AMD*TK_CapexIT_VR200)</f>
        <v>0</v>
      </c>
      <c r="H42" s="30" t="n">
        <f aca="false">Players!H75*((1-Players!H77)*H$8+Players!H77*TK_NonNV_Hold_AMD*TK_CapexIT_VR200)</f>
        <v>84.5442383823883</v>
      </c>
      <c r="I42" s="30" t="n">
        <f aca="false">Players!I75*((1-Players!I77)*I$8+Players!I77*TK_NonNV_Hold_AMD*TK_CapexIT_VR200)</f>
        <v>0</v>
      </c>
      <c r="J42" s="30" t="n">
        <f aca="false">Players!J75*((1-Players!J77)*J$8+Players!J77*TK_NonNV_Hold_AMD*TK_CapexIT_VR200)</f>
        <v>0</v>
      </c>
      <c r="K42" s="30" t="n">
        <f aca="false">Players!K75*((1-Players!K77)*K$8+Players!K77*TK_NonNV_Hold_AMD*TK_CapexIT_VR200)</f>
        <v>0</v>
      </c>
      <c r="L42" s="30" t="n">
        <f aca="false">Players!L75*((1-Players!L77)*L$8+Players!L77*TK_NonNV_Hold_AMD*TK_CapexIT_VR200)</f>
        <v>0</v>
      </c>
      <c r="M42" s="30" t="n">
        <f aca="false">Players!M75*((1-Players!M77)*M$8+Players!M77*TK_NonNV_Hold_AMD*TK_CapexIT_VR200)</f>
        <v>0</v>
      </c>
    </row>
    <row r="43" customFormat="false" ht="15" hidden="false" customHeight="false" outlineLevel="0" collapsed="false">
      <c r="A43" s="4" t="s">
        <v>995</v>
      </c>
      <c r="C43" s="0" t="s">
        <v>213</v>
      </c>
      <c r="D43" s="30" t="n">
        <f aca="false">Players!D75*((1-Players!D77)*D$9+Players!D77*TK_NonNV_Hold_AMD*TK_CapexFacility_VR200)</f>
        <v>0</v>
      </c>
      <c r="E43" s="30" t="n">
        <f aca="false">Players!E75*((1-Players!E77)*E$9+Players!E77*TK_NonNV_Hold_AMD*TK_CapexFacility_VR200)</f>
        <v>0</v>
      </c>
      <c r="F43" s="30" t="n">
        <f aca="false">Players!F75*((1-Players!F77)*F$9+Players!F77*TK_NonNV_Hold_AMD*TK_CapexFacility_VR200)</f>
        <v>0</v>
      </c>
      <c r="G43" s="30" t="n">
        <f aca="false">Players!G75*((1-Players!G77)*G$9+Players!G77*TK_NonNV_Hold_AMD*TK_CapexFacility_VR200)</f>
        <v>0</v>
      </c>
      <c r="H43" s="30" t="n">
        <f aca="false">Players!H75*((1-Players!H77)*H$9+Players!H77*TK_NonNV_Hold_AMD*TK_CapexFacility_VR200)</f>
        <v>28.0722016314693</v>
      </c>
      <c r="I43" s="30" t="n">
        <f aca="false">Players!I75*((1-Players!I77)*I$9+Players!I77*TK_NonNV_Hold_AMD*TK_CapexFacility_VR200)</f>
        <v>0</v>
      </c>
      <c r="J43" s="30" t="n">
        <f aca="false">Players!J75*((1-Players!J77)*J$9+Players!J77*TK_NonNV_Hold_AMD*TK_CapexFacility_VR200)</f>
        <v>0</v>
      </c>
      <c r="K43" s="30" t="n">
        <f aca="false">Players!K75*((1-Players!K77)*K$9+Players!K77*TK_NonNV_Hold_AMD*TK_CapexFacility_VR200)</f>
        <v>0</v>
      </c>
      <c r="L43" s="30" t="n">
        <f aca="false">Players!L75*((1-Players!L77)*L$9+Players!L77*TK_NonNV_Hold_AMD*TK_CapexFacility_VR200)</f>
        <v>0</v>
      </c>
      <c r="M43" s="30" t="n">
        <f aca="false">Players!M75*((1-Players!M77)*M$9+Players!M77*TK_NonNV_Hold_AMD*TK_CapexFacility_VR200)</f>
        <v>0</v>
      </c>
    </row>
    <row r="44" customFormat="false" ht="17.15" hidden="false" customHeight="false" outlineLevel="0" collapsed="false">
      <c r="A44" s="4" t="s">
        <v>996</v>
      </c>
      <c r="C44" s="0" t="s">
        <v>213</v>
      </c>
      <c r="D44" s="30" t="n">
        <f aca="false">D43*$D$5+E43*$D$6+F43*$D$7</f>
        <v>0</v>
      </c>
      <c r="E44" s="30" t="n">
        <f aca="false">E43*$D$5+F43*$D$6+G43*$D$7</f>
        <v>0</v>
      </c>
      <c r="F44" s="30" t="n">
        <f aca="false">F43*$D$5+G43*$D$6+H43*$D$7</f>
        <v>14.0361008157346</v>
      </c>
      <c r="G44" s="30" t="n">
        <f aca="false">G43*$D$5+H43*$D$6+I43*$D$7</f>
        <v>14.0361008157346</v>
      </c>
      <c r="H44" s="30" t="n">
        <f aca="false">H43*$D$5+I43*$D$6+J43*$D$7</f>
        <v>0</v>
      </c>
      <c r="I44" s="30" t="n">
        <f aca="false">I43*$D$5+J43*$D$6+K43*$D$7</f>
        <v>0</v>
      </c>
      <c r="J44" s="30" t="n">
        <f aca="false">J43*$D$5+K43*$D$6+L43*$D$7</f>
        <v>0</v>
      </c>
      <c r="K44" s="30" t="n">
        <f aca="false">K43*$D$5+L43*$D$6+M43*$D$7</f>
        <v>0</v>
      </c>
      <c r="L44" s="30" t="n">
        <f aca="false">L43*$D$5+M43*$D$6</f>
        <v>0</v>
      </c>
      <c r="M44" s="30" t="n">
        <f aca="false">M43*$D$5</f>
        <v>0</v>
      </c>
    </row>
    <row r="45" customFormat="false" ht="17.15" hidden="false" customHeight="false" outlineLevel="0" collapsed="false">
      <c r="A45" s="4" t="s">
        <v>997</v>
      </c>
      <c r="C45" s="0" t="s">
        <v>213</v>
      </c>
      <c r="D45" s="30" t="n">
        <f aca="false">D42+D44</f>
        <v>0</v>
      </c>
      <c r="E45" s="30" t="n">
        <f aca="false">E42+E44</f>
        <v>0</v>
      </c>
      <c r="F45" s="30" t="n">
        <f aca="false">F42+F44</f>
        <v>14.0361008157346</v>
      </c>
      <c r="G45" s="30" t="n">
        <f aca="false">G42+G44</f>
        <v>14.0361008157346</v>
      </c>
      <c r="H45" s="30" t="n">
        <f aca="false">H42+H44</f>
        <v>84.5442383823883</v>
      </c>
      <c r="I45" s="30" t="n">
        <f aca="false">I42+I44</f>
        <v>0</v>
      </c>
      <c r="J45" s="30" t="n">
        <f aca="false">J42+J44</f>
        <v>0</v>
      </c>
      <c r="K45" s="30" t="n">
        <f aca="false">K42+K44</f>
        <v>0</v>
      </c>
      <c r="L45" s="30" t="n">
        <f aca="false">L42+L44</f>
        <v>0</v>
      </c>
      <c r="M45" s="30" t="n">
        <f aca="false">M42+M44</f>
        <v>0</v>
      </c>
    </row>
    <row r="46" customFormat="false" ht="17.15" hidden="false" customHeight="false" outlineLevel="0" collapsed="false">
      <c r="A46" s="4" t="s">
        <v>998</v>
      </c>
      <c r="C46" s="0" t="s">
        <v>213</v>
      </c>
      <c r="D46" s="30" t="n">
        <f aca="false">D45*fye_orcl/12+N(In!H84)</f>
        <v>0</v>
      </c>
      <c r="E46" s="30" t="n">
        <f aca="false">E45*fye_orcl/12+D45*(12-fye_orcl)/12+N(In!I84)</f>
        <v>0</v>
      </c>
      <c r="F46" s="30" t="n">
        <f aca="false">F45*fye_orcl/12+E45*(12-fye_orcl)/12+N(In!J84)</f>
        <v>5.84837533988943</v>
      </c>
      <c r="G46" s="30" t="n">
        <f aca="false">G45*fye_orcl/12+F45*(12-fye_orcl)/12+N(In!K84)</f>
        <v>14.0361008157346</v>
      </c>
      <c r="H46" s="30" t="n">
        <f aca="false">H45*fye_orcl/12+G45*(12-fye_orcl)/12+N(In!L84)</f>
        <v>43.414491468507</v>
      </c>
      <c r="I46" s="30" t="n">
        <f aca="false">I45*fye_orcl/12+H45*(12-fye_orcl)/12+N(In!M84)</f>
        <v>49.3174723897265</v>
      </c>
      <c r="J46" s="30" t="n">
        <f aca="false">J45*fye_orcl/12+I45*(12-fye_orcl)/12+N(In!N84)</f>
        <v>0</v>
      </c>
      <c r="K46" s="30" t="n">
        <f aca="false">K45*fye_orcl/12+J45*(12-fye_orcl)/12+N(In!O84)</f>
        <v>0</v>
      </c>
      <c r="L46" s="30" t="n">
        <f aca="false">L45*fye_orcl/12+K45*(12-fye_orcl)/12+N(In!P84)</f>
        <v>0</v>
      </c>
      <c r="M46" s="30" t="n">
        <f aca="false">M45*fye_orcl/12+L45*(12-fye_orcl)/12+N(In!Q84)</f>
        <v>0</v>
      </c>
    </row>
    <row r="47" customFormat="false" ht="17.15" hidden="false" customHeight="false" outlineLevel="0" collapsed="false">
      <c r="A47" s="4" t="s">
        <v>999</v>
      </c>
      <c r="C47" s="0" t="s">
        <v>213</v>
      </c>
      <c r="D47" s="15" t="str">
        <f aca="false">IF(In!H68="","",In!H68)</f>
        <v/>
      </c>
      <c r="E47" s="15" t="str">
        <f aca="false">IF(In!I68="","",In!I68)</f>
        <v/>
      </c>
      <c r="F47" s="15" t="str">
        <f aca="false">IF(In!J68="","",In!J68)</f>
        <v/>
      </c>
      <c r="G47" s="21" t="n">
        <f aca="false">IF(In!K68="","",In!K68)</f>
        <v>55.663</v>
      </c>
      <c r="H47" s="21" t="n">
        <f aca="false">IF(In!L68="","",In!L68)</f>
        <v>92.5</v>
      </c>
      <c r="I47" s="21" t="n">
        <f aca="false">IF(In!M68="","",In!M68)</f>
        <v>100.962</v>
      </c>
      <c r="J47" s="21" t="n">
        <f aca="false">IF(In!N68="","",In!N68)</f>
        <v>84.848</v>
      </c>
      <c r="K47" s="15" t="str">
        <f aca="false">IF(In!O68="","",In!O68)</f>
        <v/>
      </c>
      <c r="L47" s="15" t="str">
        <f aca="false">IF(In!P68="","",In!P68)</f>
        <v/>
      </c>
      <c r="M47" s="15" t="str">
        <f aca="false">IF(In!Q68="","",In!Q68)</f>
        <v/>
      </c>
    </row>
    <row r="48" customFormat="false" ht="17.15" hidden="false" customHeight="false" outlineLevel="0" collapsed="false">
      <c r="A48" s="4" t="s">
        <v>1000</v>
      </c>
      <c r="C48" s="0" t="s">
        <v>33</v>
      </c>
      <c r="D48" s="29" t="str">
        <f aca="false">IF(OR(D47="",N(D47)=0),"",D46/D47)</f>
        <v/>
      </c>
      <c r="E48" s="29" t="str">
        <f aca="false">IF(OR(E47="",N(E47)=0),"",E46/E47)</f>
        <v/>
      </c>
      <c r="F48" s="29" t="str">
        <f aca="false">IF(OR(F47="",N(F47)=0),"",F46/F47)</f>
        <v/>
      </c>
      <c r="G48" s="29" t="n">
        <f aca="false">IF(OR(G47="",N(G47)=0),"",G46/G47)</f>
        <v>0.252162133117774</v>
      </c>
      <c r="H48" s="29" t="n">
        <f aca="false">IF(OR(H47="",N(H47)=0),"",H46/H47)</f>
        <v>0.469345853713589</v>
      </c>
      <c r="I48" s="29" t="n">
        <f aca="false">IF(OR(I47="",N(I47)=0),"",I46/I47)</f>
        <v>0.488475588733647</v>
      </c>
      <c r="J48" s="29" t="n">
        <f aca="false">IF(OR(J47="",N(J47)=0),"",J46/J47)</f>
        <v>0</v>
      </c>
      <c r="K48" s="29" t="str">
        <f aca="false">IF(OR(K47="",N(K47)=0),"",K46/K47)</f>
        <v/>
      </c>
      <c r="L48" s="29" t="str">
        <f aca="false">IF(OR(L47="",N(L47)=0),"",L46/L47)</f>
        <v/>
      </c>
      <c r="M48" s="29" t="str">
        <f aca="false">IF(OR(M47="",N(M47)=0),"",M46/M47)</f>
        <v/>
      </c>
    </row>
    <row r="49" customFormat="false" ht="17.15" hidden="false" customHeight="false" outlineLevel="0" collapsed="false">
      <c r="A49" s="4" t="s">
        <v>981</v>
      </c>
      <c r="C49" s="0" t="s">
        <v>32</v>
      </c>
      <c r="D49" s="0" t="str">
        <f aca="false">IF(D48="","無個股值",IF(D46=0,"GW 帳無新增",IF(AND(In!$E$68="Verified",FALSE()),IF(ABS(D48-1)&lt;=tolband,"對得上","偏差"),"證據不足（"&amp;IF(ABS(D48-1)&lt;=tolband,"帶內","帶外")&amp;"）")))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IF(E48="","無個股值",IF(E46=0,"GW 帳無新增",IF(AND(In!$E$68="Verified",FALSE()),IF(ABS(E48-1)&lt;=tolband,"對得上","偏差"),"證據不足（"&amp;IF(ABS(E48-1)&lt;=tolband,"帶內","帶外")&amp;"）")))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IF(F48="","無個股值",IF(F46=0,"GW 帳無新增",IF(AND(In!$E$68="Verified",FALSE()),IF(ABS(F48-1)&lt;=tolband,"對得上","偏差"),"證據不足（"&amp;IF(ABS(F48-1)&lt;=tolband,"帶內","帶外")&amp;"）")))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IF(G48="","無個股值",IF(G46=0,"GW 帳無新增",IF(AND(In!$E$68="Verified",FALSE()),IF(ABS(G48-1)&lt;=tolband,"對得上","偏差"),"證據不足（"&amp;IF(ABS(G48-1)&lt;=tolband,"帶內","帶外")&amp;"）")))</f>
        <v>證據不足（帶外）</v>
      </c>
      <c r="H49" s="0" t="str">
        <f aca="false">IF(H48="","無個股值",IF(H46=0,"GW 帳無新增",IF(AND(In!$E$68="Verified",FALSE()),IF(ABS(H48-1)&lt;=tolband,"對得上","偏差"),"證據不足（"&amp;IF(ABS(H48-1)&lt;=tolband,"帶內","帶外")&amp;"）")))</f>
        <v>證據不足（帶外）</v>
      </c>
      <c r="I49" s="0" t="str">
        <f aca="false">IF(I48="","無個股值",IF(I46=0,"GW 帳無新增",IF(AND(In!$E$68="Verified",FALSE()),IF(ABS(I48-1)&lt;=tolband,"對得上","偏差"),"證據不足（"&amp;IF(ABS(I48-1)&lt;=tolband,"帶內","帶外")&amp;"）")))</f>
        <v>證據不足（帶外）</v>
      </c>
      <c r="J49" s="0" t="str">
        <f aca="false">IF(J48="","無個股值",IF(J46=0,"GW 帳無新增",IF(AND(In!$E$68="Verified",FALSE()),IF(ABS(J48-1)&lt;=tolband,"對得上","偏差"),"證據不足（"&amp;IF(ABS(J48-1)&lt;=tolband,"帶內","帶外")&amp;"）")))</f>
        <v>GW 帳無新增</v>
      </c>
      <c r="K49" s="0" t="str">
        <f aca="false">IF(K48="","無個股值",IF(K46=0,"GW 帳無新增",IF(AND(In!$E$68="Verified",FALSE()),IF(ABS(K48-1)&lt;=tolband,"對得上","偏差"),"證據不足（"&amp;IF(ABS(K48-1)&lt;=tolband,"帶內","帶外")&amp;"）")))</f>
        <v>無個股值</v>
      </c>
      <c r="L49" s="0" t="str">
        <f aca="false">IF(L48="","無個股值",IF(L46=0,"GW 帳無新增",IF(AND(In!$E$68="Verified",FALSE()),IF(ABS(L48-1)&lt;=tolband,"對得上","偏差"),"證據不足（"&amp;IF(ABS(L48-1)&lt;=tolband,"帶內","帶外")&amp;"）")))</f>
        <v>無個股值</v>
      </c>
      <c r="M49" s="0" t="str">
        <f aca="false">IF(M48="","無個股值",IF(M46=0,"GW 帳無新增",IF(AND(In!$E$68="Verified",FALSE()),IF(ABS(M48-1)&lt;=tolband,"對得上","偏差"),"證據不足（"&amp;IF(ABS(M48-1)&lt;=tolband,"帶內","帶外")&amp;"）")))</f>
        <v>無個股值</v>
      </c>
    </row>
    <row r="51" customFormat="false" ht="17.15" hidden="false" customHeight="false" outlineLevel="0" collapsed="false">
      <c r="A51" s="7" t="s">
        <v>669</v>
      </c>
      <c r="B51" s="16" t="s">
        <v>670</v>
      </c>
      <c r="N51" s="4" t="s">
        <v>1004</v>
      </c>
    </row>
    <row r="52" customFormat="false" ht="17.15" hidden="false" customHeight="false" outlineLevel="0" collapsed="false">
      <c r="A52" s="4" t="s">
        <v>994</v>
      </c>
      <c r="C52" s="0" t="s">
        <v>213</v>
      </c>
      <c r="D52" s="30" t="n">
        <f aca="false">Players!D91*((1-Players!D93)*D$8+Players!D93*TK_NonNV_Hold_AMD*TK_CapexIT_VR200)</f>
        <v>0</v>
      </c>
      <c r="E52" s="30" t="n">
        <f aca="false">Players!E91*((1-Players!E93)*E$8+Players!E93*TK_NonNV_Hold_AMD*TK_CapexIT_VR200)</f>
        <v>8.67358345292455</v>
      </c>
      <c r="F52" s="30" t="n">
        <f aca="false">Players!F91*((1-Players!F93)*F$8+Players!F93*TK_NonNV_Hold_AMD*TK_CapexIT_VR200)</f>
        <v>13.8556785388128</v>
      </c>
      <c r="G52" s="30" t="n">
        <f aca="false">Players!G91*((1-Players!G93)*G$8+Players!G93*TK_NonNV_Hold_AMD*TK_CapexIT_VR200)</f>
        <v>36.3274974559687</v>
      </c>
      <c r="H52" s="30" t="n">
        <f aca="false">Players!H91*((1-Players!H93)*H$8+Players!H93*TK_NonNV_Hold_AMD*TK_CapexIT_VR200)</f>
        <v>64.0882241781518</v>
      </c>
      <c r="I52" s="30" t="n">
        <f aca="false">Players!I91*((1-Players!I93)*I$8+Players!I93*TK_NonNV_Hold_AMD*TK_CapexIT_VR200)</f>
        <v>69.089915870958</v>
      </c>
      <c r="J52" s="30" t="n">
        <f aca="false">Players!J91*((1-Players!J93)*J$8+Players!J93*TK_NonNV_Hold_AMD*TK_CapexIT_VR200)</f>
        <v>69.0899158709581</v>
      </c>
      <c r="K52" s="30" t="n">
        <f aca="false">Players!K91*((1-Players!K93)*K$8+Players!K93*TK_NonNV_Hold_AMD*TK_CapexIT_VR200)</f>
        <v>69.089915870958</v>
      </c>
      <c r="L52" s="30" t="n">
        <f aca="false">Players!L91*((1-Players!L93)*L$8+Players!L93*TK_NonNV_Hold_AMD*TK_CapexIT_VR200)</f>
        <v>0</v>
      </c>
      <c r="M52" s="30" t="n">
        <f aca="false">Players!M91*((1-Players!M93)*M$8+Players!M93*TK_NonNV_Hold_AMD*TK_CapexIT_VR200)</f>
        <v>0</v>
      </c>
    </row>
    <row r="53" customFormat="false" ht="15" hidden="false" customHeight="false" outlineLevel="0" collapsed="false">
      <c r="A53" s="4" t="s">
        <v>995</v>
      </c>
      <c r="C53" s="0" t="s">
        <v>213</v>
      </c>
      <c r="D53" s="30" t="n">
        <f aca="false">Players!D91*((1-Players!D93)*D$9+Players!D93*TK_NonNV_Hold_AMD*TK_CapexFacility_VR200)</f>
        <v>0</v>
      </c>
      <c r="E53" s="30" t="n">
        <f aca="false">Players!E91*((1-Players!E93)*E$9+Players!E93*TK_NonNV_Hold_AMD*TK_CapexFacility_VR200)</f>
        <v>3.99467275494673</v>
      </c>
      <c r="F53" s="30" t="n">
        <f aca="false">Players!F91*((1-Players!F93)*F$9+Players!F93*TK_NonNV_Hold_AMD*TK_CapexFacility_VR200)</f>
        <v>6.7496194824962</v>
      </c>
      <c r="G53" s="30" t="n">
        <f aca="false">Players!G91*((1-Players!G93)*G$9+Players!G93*TK_NonNV_Hold_AMD*TK_CapexFacility_VR200)</f>
        <v>13.7747336377473</v>
      </c>
      <c r="H53" s="30" t="n">
        <f aca="false">Players!H91*((1-Players!H93)*H$9+Players!H93*TK_NonNV_Hold_AMD*TK_CapexFacility_VR200)</f>
        <v>21.1786529680365</v>
      </c>
      <c r="I53" s="30" t="n">
        <f aca="false">Players!I91*((1-Players!I93)*I$9+Players!I93*TK_NonNV_Hold_AMD*TK_CapexFacility_VR200)</f>
        <v>21.1786529680365</v>
      </c>
      <c r="J53" s="30" t="n">
        <f aca="false">Players!J91*((1-Players!J93)*J$9+Players!J93*TK_NonNV_Hold_AMD*TK_CapexFacility_VR200)</f>
        <v>21.1786529680365</v>
      </c>
      <c r="K53" s="30" t="n">
        <f aca="false">Players!K91*((1-Players!K93)*K$9+Players!K93*TK_NonNV_Hold_AMD*TK_CapexFacility_VR200)</f>
        <v>21.1786529680365</v>
      </c>
      <c r="L53" s="30" t="n">
        <f aca="false">Players!L91*((1-Players!L93)*L$9+Players!L93*TK_NonNV_Hold_AMD*TK_CapexFacility_VR200)</f>
        <v>0</v>
      </c>
      <c r="M53" s="30" t="n">
        <f aca="false">Players!M91*((1-Players!M93)*M$9+Players!M93*TK_NonNV_Hold_AMD*TK_CapexFacility_VR200)</f>
        <v>0</v>
      </c>
    </row>
    <row r="54" customFormat="false" ht="17.15" hidden="false" customHeight="false" outlineLevel="0" collapsed="false">
      <c r="A54" s="4" t="s">
        <v>996</v>
      </c>
      <c r="C54" s="0" t="s">
        <v>213</v>
      </c>
      <c r="D54" s="30" t="n">
        <f aca="false">D53*$D$5+E53*$D$6+F53*$D$7</f>
        <v>5.37214611872146</v>
      </c>
      <c r="E54" s="30" t="n">
        <f aca="false">E53*$D$5+F53*$D$6+G53*$D$7</f>
        <v>10.2621765601218</v>
      </c>
      <c r="F54" s="30" t="n">
        <f aca="false">F53*$D$5+G53*$D$6+H53*$D$7</f>
        <v>17.4766933028919</v>
      </c>
      <c r="G54" s="30" t="n">
        <f aca="false">G53*$D$5+H53*$D$6+I53*$D$7</f>
        <v>21.1786529680365</v>
      </c>
      <c r="H54" s="30" t="n">
        <f aca="false">H53*$D$5+I53*$D$6+J53*$D$7</f>
        <v>21.1786529680365</v>
      </c>
      <c r="I54" s="30" t="n">
        <f aca="false">I53*$D$5+J53*$D$6+K53*$D$7</f>
        <v>21.1786529680365</v>
      </c>
      <c r="J54" s="30" t="n">
        <f aca="false">J53*$D$5+K53*$D$6+L53*$D$7</f>
        <v>10.5893264840183</v>
      </c>
      <c r="K54" s="30" t="n">
        <f aca="false">K53*$D$5+L53*$D$6+M53*$D$7</f>
        <v>0</v>
      </c>
      <c r="L54" s="30" t="n">
        <f aca="false">L53*$D$5+M53*$D$6</f>
        <v>0</v>
      </c>
      <c r="M54" s="30" t="n">
        <f aca="false">M53*$D$5</f>
        <v>0</v>
      </c>
    </row>
    <row r="55" customFormat="false" ht="17.15" hidden="false" customHeight="false" outlineLevel="0" collapsed="false">
      <c r="A55" s="4" t="s">
        <v>997</v>
      </c>
      <c r="C55" s="0" t="s">
        <v>213</v>
      </c>
      <c r="D55" s="30" t="n">
        <f aca="false">D52+D54</f>
        <v>5.37214611872146</v>
      </c>
      <c r="E55" s="30" t="n">
        <f aca="false">E52+E54</f>
        <v>18.9357600130463</v>
      </c>
      <c r="F55" s="30" t="n">
        <f aca="false">F52+F54</f>
        <v>31.3323718417047</v>
      </c>
      <c r="G55" s="30" t="n">
        <f aca="false">G52+G54</f>
        <v>57.5061504240052</v>
      </c>
      <c r="H55" s="30" t="n">
        <f aca="false">H52+H54</f>
        <v>85.2668771461884</v>
      </c>
      <c r="I55" s="30" t="n">
        <f aca="false">I52+I54</f>
        <v>90.2685688389945</v>
      </c>
      <c r="J55" s="30" t="n">
        <f aca="false">J52+J54</f>
        <v>79.6792423549763</v>
      </c>
      <c r="K55" s="30" t="n">
        <f aca="false">K52+K54</f>
        <v>69.089915870958</v>
      </c>
      <c r="L55" s="30" t="n">
        <f aca="false">L52+L54</f>
        <v>0</v>
      </c>
      <c r="M55" s="30" t="n">
        <f aca="false">M52+M54</f>
        <v>0</v>
      </c>
    </row>
    <row r="56" customFormat="false" ht="17.15" hidden="false" customHeight="false" outlineLevel="0" collapsed="false">
      <c r="A56" s="4" t="s">
        <v>998</v>
      </c>
      <c r="C56" s="0" t="s">
        <v>213</v>
      </c>
      <c r="D56" s="30" t="n">
        <f aca="false">D55*fye_crwv/12+N(In!H85)</f>
        <v>5.37214611872146</v>
      </c>
      <c r="E56" s="30" t="n">
        <f aca="false">E55*fye_crwv/12+D55*(12-fye_crwv)/12+N(In!I85)</f>
        <v>18.9357600130463</v>
      </c>
      <c r="F56" s="30" t="n">
        <f aca="false">F55*fye_crwv/12+E55*(12-fye_crwv)/12+N(In!J85)</f>
        <v>31.3323718417047</v>
      </c>
      <c r="G56" s="30" t="n">
        <f aca="false">G55*fye_crwv/12+F55*(12-fye_crwv)/12+N(In!K85)</f>
        <v>57.5061504240052</v>
      </c>
      <c r="H56" s="30" t="n">
        <f aca="false">H55*fye_crwv/12+G55*(12-fye_crwv)/12+N(In!L85)</f>
        <v>85.2668771461884</v>
      </c>
      <c r="I56" s="30" t="n">
        <f aca="false">I55*fye_crwv/12+H55*(12-fye_crwv)/12+N(In!M85)</f>
        <v>90.2685688389945</v>
      </c>
      <c r="J56" s="30" t="n">
        <f aca="false">J55*fye_crwv/12+I55*(12-fye_crwv)/12+N(In!N85)</f>
        <v>79.6792423549763</v>
      </c>
      <c r="K56" s="30" t="n">
        <f aca="false">K55*fye_crwv/12+J55*(12-fye_crwv)/12+N(In!O85)</f>
        <v>69.089915870958</v>
      </c>
      <c r="L56" s="30" t="n">
        <f aca="false">L55*fye_crwv/12+K55*(12-fye_crwv)/12+N(In!P85)</f>
        <v>0</v>
      </c>
      <c r="M56" s="30" t="n">
        <f aca="false">M55*fye_crwv/12+L55*(12-fye_crwv)/12+N(In!Q85)</f>
        <v>0</v>
      </c>
    </row>
    <row r="57" customFormat="false" ht="17.15" hidden="false" customHeight="false" outlineLevel="0" collapsed="false">
      <c r="A57" s="4" t="s">
        <v>999</v>
      </c>
      <c r="C57" s="0" t="s">
        <v>213</v>
      </c>
      <c r="D57" s="15" t="str">
        <f aca="false">IF(In!H69="","",In!H69)</f>
        <v/>
      </c>
      <c r="E57" s="15" t="str">
        <f aca="false">IF(In!I69="","",In!I69)</f>
        <v/>
      </c>
      <c r="F57" s="15" t="str">
        <f aca="false">IF(In!J69="","",In!J69)</f>
        <v/>
      </c>
      <c r="G57" s="21" t="n">
        <f aca="false">IF(In!K69="","",In!K69)</f>
        <v>37</v>
      </c>
      <c r="H57" s="21" t="n">
        <f aca="false">IF(In!L69="","",In!L69)</f>
        <v>46.476</v>
      </c>
      <c r="I57" s="21" t="n">
        <f aca="false">IF(In!M69="","",In!M69)</f>
        <v>50.129</v>
      </c>
      <c r="J57" s="15" t="str">
        <f aca="false">IF(In!N69="","",In!N69)</f>
        <v/>
      </c>
      <c r="K57" s="15" t="str">
        <f aca="false">IF(In!O69="","",In!O69)</f>
        <v/>
      </c>
      <c r="L57" s="15" t="str">
        <f aca="false">IF(In!P69="","",In!P69)</f>
        <v/>
      </c>
      <c r="M57" s="15" t="str">
        <f aca="false">IF(In!Q69="","",In!Q69)</f>
        <v/>
      </c>
    </row>
    <row r="58" customFormat="false" ht="17.15" hidden="false" customHeight="false" outlineLevel="0" collapsed="false">
      <c r="A58" s="4" t="s">
        <v>1000</v>
      </c>
      <c r="C58" s="0" t="s">
        <v>33</v>
      </c>
      <c r="D58" s="29" t="str">
        <f aca="false">IF(OR(D57="",N(D57)=0),"",D56/D57)</f>
        <v/>
      </c>
      <c r="E58" s="29" t="str">
        <f aca="false">IF(OR(E57="",N(E57)=0),"",E56/E57)</f>
        <v/>
      </c>
      <c r="F58" s="29" t="str">
        <f aca="false">IF(OR(F57="",N(F57)=0),"",F56/F57)</f>
        <v/>
      </c>
      <c r="G58" s="29" t="n">
        <f aca="false">IF(OR(G57="",N(G57)=0),"",G56/G57)</f>
        <v>1.55422028172987</v>
      </c>
      <c r="H58" s="29" t="n">
        <f aca="false">IF(OR(H57="",N(H57)=0),"",H56/H57)</f>
        <v>1.83464319533067</v>
      </c>
      <c r="I58" s="29" t="n">
        <f aca="false">IF(OR(I57="",N(I57)=0),"",I56/I57)</f>
        <v>1.80072550497705</v>
      </c>
      <c r="J58" s="29" t="str">
        <f aca="false">IF(OR(J57="",N(J57)=0),"",J56/J57)</f>
        <v/>
      </c>
      <c r="K58" s="29" t="str">
        <f aca="false">IF(OR(K57="",N(K57)=0),"",K56/K57)</f>
        <v/>
      </c>
      <c r="L58" s="29" t="str">
        <f aca="false">IF(OR(L57="",N(L57)=0),"",L56/L57)</f>
        <v/>
      </c>
      <c r="M58" s="29" t="str">
        <f aca="false">IF(OR(M57="",N(M57)=0),"",M56/M57)</f>
        <v/>
      </c>
    </row>
    <row r="59" customFormat="false" ht="15" hidden="false" customHeight="false" outlineLevel="0" collapsed="false">
      <c r="A59" s="4" t="s">
        <v>981</v>
      </c>
      <c r="C59" s="0" t="s">
        <v>32</v>
      </c>
      <c r="D59" s="0" t="str">
        <f aca="false">IF(D58="","無個股值",IF(D56=0,"GW 帳無新增",IF(AND(In!$E$69="Verified",FALSE()),IF(ABS(D58-1)&lt;=tolband,"對得上","偏差"),"證據不足（"&amp;IF(ABS(D58-1)&lt;=tolband,"帶內","帶外")&amp;"）")))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IF(E58="","無個股值",IF(E56=0,"GW 帳無新增",IF(AND(In!$E$69="Verified",FALSE()),IF(ABS(E58-1)&lt;=tolband,"對得上","偏差"),"證據不足（"&amp;IF(ABS(E58-1)&lt;=tolband,"帶內","帶外")&amp;"）")))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IF(F58="","無個股值",IF(F56=0,"GW 帳無新增",IF(AND(In!$E$69="Verified",FALSE()),IF(ABS(F58-1)&lt;=tolband,"對得上","偏差"),"證據不足（"&amp;IF(ABS(F58-1)&lt;=tolband,"帶內","帶外")&amp;"）")))</f>
        <v>無個股值</v>
      </c>
      <c r="G59" s="0" t="str">
        <f aca="false">IF(G58="","無個股值",IF(G56=0,"GW 帳無新增",IF(AND(In!$E$69="Verified",FALSE()),IF(ABS(G58-1)&lt;=tolband,"對得上","偏差"),"證據不足（"&amp;IF(ABS(G58-1)&lt;=tolband,"帶內","帶外")&amp;"）")))</f>
        <v>證據不足（帶外）</v>
      </c>
      <c r="H59" s="0" t="str">
        <f aca="false">IF(H58="","無個股值",IF(H56=0,"GW 帳無新增",IF(AND(In!$E$69="Verified",FALSE()),IF(ABS(H58-1)&lt;=tolband,"對得上","偏差"),"證據不足（"&amp;IF(ABS(H58-1)&lt;=tolband,"帶內","帶外")&amp;"）")))</f>
        <v>證據不足（帶外）</v>
      </c>
      <c r="I59" s="0" t="str">
        <f aca="false">IF(I58="","無個股值",IF(I56=0,"GW 帳無新增",IF(AND(In!$E$69="Verified",FALSE()),IF(ABS(I58-1)&lt;=tolband,"對得上","偏差"),"證據不足（"&amp;IF(ABS(I58-1)&lt;=tolband,"帶內","帶外")&amp;"）")))</f>
        <v>證據不足（帶外）</v>
      </c>
      <c r="J59" s="0" t="str">
        <f aca="false">IF(J58="","無個股值",IF(J56=0,"GW 帳無新增",IF(AND(In!$E$69="Verified",FALSE()),IF(ABS(J58-1)&lt;=tolband,"對得上","偏差"),"證據不足（"&amp;IF(ABS(J58-1)&lt;=tolband,"帶內","帶外")&amp;"）")))</f>
        <v>無個股值</v>
      </c>
      <c r="K59" s="0" t="str">
        <f aca="false">IF(K58="","無個股值",IF(K56=0,"GW 帳無新增",IF(AND(In!$E$69="Verified",FALSE()),IF(ABS(K58-1)&lt;=tolband,"對得上","偏差"),"證據不足（"&amp;IF(ABS(K58-1)&lt;=tolband,"帶內","帶外")&amp;"）")))</f>
        <v>無個股值</v>
      </c>
      <c r="L59" s="0" t="str">
        <f aca="false">IF(L58="","無個股值",IF(L56=0,"GW 帳無新增",IF(AND(In!$E$69="Verified",FALSE()),IF(ABS(L58-1)&lt;=tolband,"對得上","偏差"),"證據不足（"&amp;IF(ABS(L58-1)&lt;=tolband,"帶內","帶外")&amp;"）")))</f>
        <v>無個股值</v>
      </c>
      <c r="M59" s="0" t="str">
        <f aca="false">IF(M58="","無個股值",IF(M56=0,"GW 帳無新增",IF(AND(In!$E$69="Verified",FALSE()),IF(ABS(M58-1)&lt;=tolband,"對得上","偏差"),"證據不足（"&amp;IF(ABS(M58-1)&lt;=tolband,"帶內","帶外")&amp;"）")))</f>
        <v>無個股值</v>
      </c>
    </row>
    <row r="61" customFormat="false" ht="17.15" hidden="false" customHeight="false" outlineLevel="0" collapsed="false">
      <c r="A61" s="7" t="s">
        <v>686</v>
      </c>
      <c r="B61" s="16" t="s">
        <v>687</v>
      </c>
      <c r="N61" s="4" t="s">
        <v>1005</v>
      </c>
    </row>
    <row r="62" customFormat="false" ht="17.15" hidden="false" customHeight="false" outlineLevel="0" collapsed="false">
      <c r="A62" s="4" t="s">
        <v>994</v>
      </c>
      <c r="C62" s="0" t="s">
        <v>213</v>
      </c>
      <c r="D62" s="30" t="n">
        <f aca="false">Players!D107*((1-Players!D109)*D$8+Players!D109*TK_NonNV_Hold_AMD*TK_CapexIT_VR200)</f>
        <v>0</v>
      </c>
      <c r="E62" s="30" t="n">
        <f aca="false">Players!E107*((1-Players!E109)*E$8+Players!E109*TK_NonNV_Hold_AMD*TK_CapexIT_VR200)</f>
        <v>0</v>
      </c>
      <c r="F62" s="30" t="n">
        <f aca="false">Players!F107*((1-Players!F109)*F$8+Players!F109*TK_NonNV_Hold_AMD*TK_CapexIT_VR200)</f>
        <v>0</v>
      </c>
      <c r="G62" s="30" t="n">
        <f aca="false">Players!G107*((1-Players!G109)*G$8+Players!G109*TK_NonNV_Hold_AMD*TK_CapexIT_VR200)</f>
        <v>26.5190731428571</v>
      </c>
      <c r="H62" s="30" t="n">
        <f aca="false">Players!H107*((1-Players!H109)*H$8+Players!H109*TK_NonNV_Hold_AMD*TK_CapexIT_VR200)</f>
        <v>0</v>
      </c>
      <c r="I62" s="30" t="n">
        <f aca="false">Players!I107*((1-Players!I109)*I$8+Players!I109*TK_NonNV_Hold_AMD*TK_CapexIT_VR200)</f>
        <v>0</v>
      </c>
      <c r="J62" s="30" t="n">
        <f aca="false">Players!J107*((1-Players!J109)*J$8+Players!J109*TK_NonNV_Hold_AMD*TK_CapexIT_VR200)</f>
        <v>0</v>
      </c>
      <c r="K62" s="30" t="n">
        <f aca="false">Players!K107*((1-Players!K109)*K$8+Players!K109*TK_NonNV_Hold_AMD*TK_CapexIT_VR200)</f>
        <v>0</v>
      </c>
      <c r="L62" s="30" t="n">
        <f aca="false">Players!L107*((1-Players!L109)*L$8+Players!L109*TK_NonNV_Hold_AMD*TK_CapexIT_VR200)</f>
        <v>0</v>
      </c>
      <c r="M62" s="30" t="n">
        <f aca="false">Players!M107*((1-Players!M109)*M$8+Players!M109*TK_NonNV_Hold_AMD*TK_CapexIT_VR200)</f>
        <v>0</v>
      </c>
    </row>
    <row r="63" customFormat="false" ht="15" hidden="false" customHeight="false" outlineLevel="0" collapsed="false">
      <c r="A63" s="4" t="s">
        <v>995</v>
      </c>
      <c r="C63" s="0" t="s">
        <v>213</v>
      </c>
      <c r="D63" s="30" t="n">
        <f aca="false">Players!D107*((1-Players!D109)*D$9+Players!D109*TK_NonNV_Hold_AMD*TK_CapexFacility_VR200)</f>
        <v>0</v>
      </c>
      <c r="E63" s="30" t="n">
        <f aca="false">Players!E107*((1-Players!E109)*E$9+Players!E109*TK_NonNV_Hold_AMD*TK_CapexFacility_VR200)</f>
        <v>0</v>
      </c>
      <c r="F63" s="30" t="n">
        <f aca="false">Players!F107*((1-Players!F109)*F$9+Players!F109*TK_NonNV_Hold_AMD*TK_CapexFacility_VR200)</f>
        <v>0</v>
      </c>
      <c r="G63" s="30" t="n">
        <f aca="false">Players!G107*((1-Players!G109)*G$9+Players!G109*TK_NonNV_Hold_AMD*TK_CapexFacility_VR200)</f>
        <v>10.0555555555556</v>
      </c>
      <c r="H63" s="30" t="n">
        <f aca="false">Players!H107*((1-Players!H109)*H$9+Players!H109*TK_NonNV_Hold_AMD*TK_CapexFacility_VR200)</f>
        <v>0</v>
      </c>
      <c r="I63" s="30" t="n">
        <f aca="false">Players!I107*((1-Players!I109)*I$9+Players!I109*TK_NonNV_Hold_AMD*TK_CapexFacility_VR200)</f>
        <v>0</v>
      </c>
      <c r="J63" s="30" t="n">
        <f aca="false">Players!J107*((1-Players!J109)*J$9+Players!J109*TK_NonNV_Hold_AMD*TK_CapexFacility_VR200)</f>
        <v>0</v>
      </c>
      <c r="K63" s="30" t="n">
        <f aca="false">Players!K107*((1-Players!K109)*K$9+Players!K109*TK_NonNV_Hold_AMD*TK_CapexFacility_VR200)</f>
        <v>0</v>
      </c>
      <c r="L63" s="30" t="n">
        <f aca="false">Players!L107*((1-Players!L109)*L$9+Players!L109*TK_NonNV_Hold_AMD*TK_CapexFacility_VR200)</f>
        <v>0</v>
      </c>
      <c r="M63" s="30" t="n">
        <f aca="false">Players!M107*((1-Players!M109)*M$9+Players!M109*TK_NonNV_Hold_AMD*TK_CapexFacility_VR200)</f>
        <v>0</v>
      </c>
    </row>
    <row r="64" customFormat="false" ht="17.15" hidden="false" customHeight="false" outlineLevel="0" collapsed="false">
      <c r="A64" s="4" t="s">
        <v>996</v>
      </c>
      <c r="C64" s="0" t="s">
        <v>213</v>
      </c>
      <c r="D64" s="30" t="n">
        <f aca="false">D63*$D$5+E63*$D$6+F63*$D$7</f>
        <v>0</v>
      </c>
      <c r="E64" s="30" t="n">
        <f aca="false">E63*$D$5+F63*$D$6+G63*$D$7</f>
        <v>5.02777777777778</v>
      </c>
      <c r="F64" s="30" t="n">
        <f aca="false">F63*$D$5+G63*$D$6+H63*$D$7</f>
        <v>5.02777777777778</v>
      </c>
      <c r="G64" s="30" t="n">
        <f aca="false">G63*$D$5+H63*$D$6+I63*$D$7</f>
        <v>0</v>
      </c>
      <c r="H64" s="30" t="n">
        <f aca="false">H63*$D$5+I63*$D$6+J63*$D$7</f>
        <v>0</v>
      </c>
      <c r="I64" s="30" t="n">
        <f aca="false">I63*$D$5+J63*$D$6+K63*$D$7</f>
        <v>0</v>
      </c>
      <c r="J64" s="30" t="n">
        <f aca="false">J63*$D$5+K63*$D$6+L63*$D$7</f>
        <v>0</v>
      </c>
      <c r="K64" s="30" t="n">
        <f aca="false">K63*$D$5+L63*$D$6+M63*$D$7</f>
        <v>0</v>
      </c>
      <c r="L64" s="30" t="n">
        <f aca="false">L63*$D$5+M63*$D$6</f>
        <v>0</v>
      </c>
      <c r="M64" s="30" t="n">
        <f aca="false">M63*$D$5</f>
        <v>0</v>
      </c>
    </row>
    <row r="65" customFormat="false" ht="17.15" hidden="false" customHeight="false" outlineLevel="0" collapsed="false">
      <c r="A65" s="4" t="s">
        <v>997</v>
      </c>
      <c r="C65" s="0" t="s">
        <v>213</v>
      </c>
      <c r="D65" s="30" t="n">
        <f aca="false">D62+D64</f>
        <v>0</v>
      </c>
      <c r="E65" s="30" t="n">
        <f aca="false">E62+E64</f>
        <v>5.02777777777778</v>
      </c>
      <c r="F65" s="30" t="n">
        <f aca="false">F62+F64</f>
        <v>5.02777777777778</v>
      </c>
      <c r="G65" s="30" t="n">
        <f aca="false">G62+G64</f>
        <v>26.5190731428571</v>
      </c>
      <c r="H65" s="30" t="n">
        <f aca="false">H62+H64</f>
        <v>0</v>
      </c>
      <c r="I65" s="30" t="n">
        <f aca="false">I62+I64</f>
        <v>0</v>
      </c>
      <c r="J65" s="30" t="n">
        <f aca="false">J62+J64</f>
        <v>0</v>
      </c>
      <c r="K65" s="30" t="n">
        <f aca="false">K62+K64</f>
        <v>0</v>
      </c>
      <c r="L65" s="30" t="n">
        <f aca="false">L62+L64</f>
        <v>0</v>
      </c>
      <c r="M65" s="30" t="n">
        <f aca="false">M62+M64</f>
        <v>0</v>
      </c>
    </row>
    <row r="66" customFormat="false" ht="17.15" hidden="false" customHeight="false" outlineLevel="0" collapsed="false">
      <c r="A66" s="4" t="s">
        <v>998</v>
      </c>
      <c r="C66" s="0" t="s">
        <v>213</v>
      </c>
      <c r="D66" s="30" t="n">
        <f aca="false">D65*fye_nbis/12+N(In!H86)</f>
        <v>0</v>
      </c>
      <c r="E66" s="30" t="n">
        <f aca="false">E65*fye_nbis/12+D65*(12-fye_nbis)/12+N(In!I86)</f>
        <v>5.02777777777778</v>
      </c>
      <c r="F66" s="30" t="n">
        <f aca="false">F65*fye_nbis/12+E65*(12-fye_nbis)/12+N(In!J86)</f>
        <v>5.02777777777778</v>
      </c>
      <c r="G66" s="30" t="n">
        <f aca="false">G65*fye_nbis/12+F65*(12-fye_nbis)/12+N(In!K86)</f>
        <v>26.5190731428571</v>
      </c>
      <c r="H66" s="30" t="n">
        <f aca="false">H65*fye_nbis/12+G65*(12-fye_nbis)/12+N(In!L86)</f>
        <v>0</v>
      </c>
      <c r="I66" s="30" t="n">
        <f aca="false">I65*fye_nbis/12+H65*(12-fye_nbis)/12+N(In!M86)</f>
        <v>0</v>
      </c>
      <c r="J66" s="30" t="n">
        <f aca="false">J65*fye_nbis/12+I65*(12-fye_nbis)/12+N(In!N86)</f>
        <v>0</v>
      </c>
      <c r="K66" s="30" t="n">
        <f aca="false">K65*fye_nbis/12+J65*(12-fye_nbis)/12+N(In!O86)</f>
        <v>0</v>
      </c>
      <c r="L66" s="30" t="n">
        <f aca="false">L65*fye_nbis/12+K65*(12-fye_nbis)/12+N(In!P86)</f>
        <v>0</v>
      </c>
      <c r="M66" s="30" t="n">
        <f aca="false">M65*fye_nbis/12+L65*(12-fye_nbis)/12+N(In!Q86)</f>
        <v>0</v>
      </c>
    </row>
    <row r="67" customFormat="false" ht="17.15" hidden="false" customHeight="false" outlineLevel="0" collapsed="false">
      <c r="A67" s="4" t="s">
        <v>999</v>
      </c>
      <c r="C67" s="0" t="s">
        <v>213</v>
      </c>
      <c r="D67" s="15" t="str">
        <f aca="false">IF(In!H70="","",In!H70)</f>
        <v/>
      </c>
      <c r="E67" s="15" t="str">
        <f aca="false">IF(In!I70="","",In!I70)</f>
        <v/>
      </c>
      <c r="F67" s="15" t="str">
        <f aca="false">IF(In!J70="","",In!J70)</f>
        <v/>
      </c>
      <c r="G67" s="21" t="n">
        <f aca="false">IF(In!K70="","",In!K70)</f>
        <v>22.5</v>
      </c>
      <c r="H67" s="21" t="n">
        <f aca="false">IF(In!L70="","",In!L70)</f>
        <v>27.243</v>
      </c>
      <c r="I67" s="21" t="n">
        <f aca="false">IF(In!M70="","",In!M70)</f>
        <v>38.39</v>
      </c>
      <c r="J67" s="15" t="str">
        <f aca="false">IF(In!N70="","",In!N70)</f>
        <v/>
      </c>
      <c r="K67" s="15" t="str">
        <f aca="false">IF(In!O70="","",In!O70)</f>
        <v/>
      </c>
      <c r="L67" s="15" t="str">
        <f aca="false">IF(In!P70="","",In!P70)</f>
        <v/>
      </c>
      <c r="M67" s="15" t="str">
        <f aca="false">IF(In!Q70="","",In!Q70)</f>
        <v/>
      </c>
    </row>
    <row r="68" customFormat="false" ht="17.15" hidden="false" customHeight="false" outlineLevel="0" collapsed="false">
      <c r="A68" s="4" t="s">
        <v>1000</v>
      </c>
      <c r="C68" s="0" t="s">
        <v>33</v>
      </c>
      <c r="D68" s="29" t="str">
        <f aca="false">IF(OR(D67="",N(D67)=0),"",D66/D67)</f>
        <v/>
      </c>
      <c r="E68" s="29" t="str">
        <f aca="false">IF(OR(E67="",N(E67)=0),"",E66/E67)</f>
        <v/>
      </c>
      <c r="F68" s="29" t="str">
        <f aca="false">IF(OR(F67="",N(F67)=0),"",F66/F67)</f>
        <v/>
      </c>
      <c r="G68" s="29" t="n">
        <f aca="false">IF(OR(G67="",N(G67)=0),"",G66/G67)</f>
        <v>1.17862547301587</v>
      </c>
      <c r="H68" s="29" t="n">
        <f aca="false">IF(OR(H67="",N(H67)=0),"",H66/H67)</f>
        <v>0</v>
      </c>
      <c r="I68" s="29" t="n">
        <f aca="false">IF(OR(I67="",N(I67)=0),"",I66/I67)</f>
        <v>0</v>
      </c>
      <c r="J68" s="29" t="str">
        <f aca="false">IF(OR(J67="",N(J67)=0),"",J66/J67)</f>
        <v/>
      </c>
      <c r="K68" s="29" t="str">
        <f aca="false">IF(OR(K67="",N(K67)=0),"",K66/K67)</f>
        <v/>
      </c>
      <c r="L68" s="29" t="str">
        <f aca="false">IF(OR(L67="",N(L67)=0),"",L66/L67)</f>
        <v/>
      </c>
      <c r="M68" s="29" t="str">
        <f aca="false">IF(OR(M67="",N(M67)=0),"",M66/M67)</f>
        <v/>
      </c>
    </row>
    <row r="69" customFormat="false" ht="17.15" hidden="false" customHeight="false" outlineLevel="0" collapsed="false">
      <c r="A69" s="4" t="s">
        <v>981</v>
      </c>
      <c r="C69" s="0" t="s">
        <v>32</v>
      </c>
      <c r="D69" s="0" t="str">
        <f aca="false">IF(D68="","無個股值",IF(D66=0,"GW 帳無新增",IF(AND(In!$E$70="Verified",FALSE()),IF(ABS(D68-1)&lt;=tolband,"對得上","偏差"),"證據不足（"&amp;IF(ABS(D68-1)&lt;=tolband,"帶內","帶外")&amp;"）")))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IF(E68="","無個股值",IF(E66=0,"GW 帳無新增",IF(AND(In!$E$70="Verified",FALSE()),IF(ABS(E68-1)&lt;=tolband,"對得上","偏差"),"證據不足（"&amp;IF(ABS(E68-1)&lt;=tolband,"帶內","帶外")&amp;"）")))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IF(F68="","無個股值",IF(F66=0,"GW 帳無新增",IF(AND(In!$E$70="Verified",FALSE()),IF(ABS(F68-1)&lt;=tolband,"對得上","偏差"),"證據不足（"&amp;IF(ABS(F68-1)&lt;=tolband,"帶內","帶外")&amp;"）")))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IF(G68="","無個股值",IF(G66=0,"GW 帳無新增",IF(AND(In!$E$70="Verified",FALSE()),IF(ABS(G68-1)&lt;=tolband,"對得上","偏差"),"證據不足（"&amp;IF(ABS(G68-1)&lt;=tolband,"帶內","帶外")&amp;"）")))</f>
        <v>證據不足（帶外）</v>
      </c>
      <c r="H69" s="0" t="str">
        <f aca="false">IF(H68="","無個股值",IF(H66=0,"GW 帳無新增",IF(AND(In!$E$70="Verified",FALSE()),IF(ABS(H68-1)&lt;=tolband,"對得上","偏差"),"證據不足（"&amp;IF(ABS(H68-1)&lt;=tolband,"帶內","帶外")&amp;"）")))</f>
        <v>GW 帳無新增</v>
      </c>
      <c r="I69" s="0" t="str">
        <f aca="false">IF(I68="","無個股值",IF(I66=0,"GW 帳無新增",IF(AND(In!$E$70="Verified",FALSE()),IF(ABS(I68-1)&lt;=tolband,"對得上","偏差"),"證據不足（"&amp;IF(ABS(I68-1)&lt;=tolband,"帶內","帶外")&amp;"）")))</f>
        <v>GW 帳無新增</v>
      </c>
      <c r="J69" s="0" t="str">
        <f aca="false">IF(J68="","無個股值",IF(J66=0,"GW 帳無新增",IF(AND(In!$E$70="Verified",FALSE()),IF(ABS(J68-1)&lt;=tolband,"對得上","偏差"),"證據不足（"&amp;IF(ABS(J68-1)&lt;=tolband,"帶內","帶外")&amp;"）")))</f>
        <v>無個股值</v>
      </c>
      <c r="K69" s="0" t="str">
        <f aca="false">IF(K68="","無個股值",IF(K66=0,"GW 帳無新增",IF(AND(In!$E$70="Verified",FALSE()),IF(ABS(K68-1)&lt;=tolband,"對得上","偏差"),"證據不足（"&amp;IF(ABS(K68-1)&lt;=tolband,"帶內","帶外")&amp;"）")))</f>
        <v>無個股值</v>
      </c>
      <c r="L69" s="0" t="str">
        <f aca="false">IF(L68="","無個股值",IF(L66=0,"GW 帳無新增",IF(AND(In!$E$70="Verified",FALSE()),IF(ABS(L68-1)&lt;=tolband,"對得上","偏差"),"證據不足（"&amp;IF(ABS(L68-1)&lt;=tolband,"帶內","帶外")&amp;"）")))</f>
        <v>無個股值</v>
      </c>
      <c r="M69" s="0" t="str">
        <f aca="false">IF(M68="","無個股值",IF(M66=0,"GW 帳無新增",IF(AND(In!$E$70="Verified",FALSE()),IF(ABS(M68-1)&lt;=tolband,"對得上","偏差"),"證據不足（"&amp;IF(ABS(M68-1)&lt;=tolband,"帶內","帶外")&amp;"）")))</f>
        <v>無個股值</v>
      </c>
    </row>
    <row r="71" customFormat="false" ht="17.15" hidden="false" customHeight="false" outlineLevel="0" collapsed="false">
      <c r="A71" s="7" t="s">
        <v>703</v>
      </c>
      <c r="B71" s="16" t="s">
        <v>704</v>
      </c>
      <c r="N71" s="4" t="s">
        <v>1006</v>
      </c>
    </row>
    <row r="72" customFormat="false" ht="17.15" hidden="false" customHeight="false" outlineLevel="0" collapsed="false">
      <c r="A72" s="4" t="s">
        <v>994</v>
      </c>
      <c r="C72" s="0" t="s">
        <v>213</v>
      </c>
      <c r="D72" s="30" t="n">
        <f aca="false">Players!D123*((1-Players!D125)*D$8+Players!D125*TK_NonNV_Hold_AMD*TK_CapexIT_VR200)</f>
        <v>0</v>
      </c>
      <c r="E72" s="30" t="n">
        <f aca="false">Players!E123*((1-Players!E125)*E$8+Players!E125*TK_NonNV_Hold_AMD*TK_CapexIT_VR200)</f>
        <v>0</v>
      </c>
      <c r="F72" s="30" t="n">
        <f aca="false">Players!F123*((1-Players!F125)*F$8+Players!F125*TK_NonNV_Hold_AMD*TK_CapexIT_VR200)</f>
        <v>0</v>
      </c>
      <c r="G72" s="30" t="n">
        <f aca="false">Players!G123*((1-Players!G125)*G$8+Players!G125*TK_NonNV_Hold_AMD*TK_CapexIT_VR200)</f>
        <v>0.32963571191546</v>
      </c>
      <c r="H72" s="30" t="n">
        <f aca="false">Players!H123*((1-Players!H125)*H$8+Players!H125*TK_NonNV_Hold_AMD*TK_CapexIT_VR200)</f>
        <v>0.0822830273350709</v>
      </c>
      <c r="I72" s="30" t="n">
        <f aca="false">Players!I123*((1-Players!I125)*I$8+Players!I125*TK_NonNV_Hold_AMD*TK_CapexIT_VR200)</f>
        <v>0</v>
      </c>
      <c r="J72" s="30" t="n">
        <f aca="false">Players!J123*((1-Players!J125)*J$8+Players!J125*TK_NonNV_Hold_AMD*TK_CapexIT_VR200)</f>
        <v>0</v>
      </c>
      <c r="K72" s="30" t="n">
        <f aca="false">Players!K123*((1-Players!K125)*K$8+Players!K125*TK_NonNV_Hold_AMD*TK_CapexIT_VR200)</f>
        <v>0</v>
      </c>
      <c r="L72" s="30" t="n">
        <f aca="false">Players!L123*((1-Players!L125)*L$8+Players!L125*TK_NonNV_Hold_AMD*TK_CapexIT_VR200)</f>
        <v>0</v>
      </c>
      <c r="M72" s="30" t="n">
        <f aca="false">Players!M123*((1-Players!M125)*M$8+Players!M125*TK_NonNV_Hold_AMD*TK_CapexIT_VR200)</f>
        <v>0</v>
      </c>
    </row>
    <row r="73" customFormat="false" ht="15" hidden="false" customHeight="false" outlineLevel="0" collapsed="false">
      <c r="A73" s="4" t="s">
        <v>995</v>
      </c>
      <c r="C73" s="0" t="s">
        <v>213</v>
      </c>
      <c r="D73" s="30" t="n">
        <f aca="false">Players!D123*((1-Players!D125)*D$9+Players!D125*TK_NonNV_Hold_AMD*TK_CapexFacility_VR200)</f>
        <v>0</v>
      </c>
      <c r="E73" s="30" t="n">
        <f aca="false">Players!E123*((1-Players!E125)*E$9+Players!E125*TK_NonNV_Hold_AMD*TK_CapexFacility_VR200)</f>
        <v>0</v>
      </c>
      <c r="F73" s="30" t="n">
        <f aca="false">Players!F123*((1-Players!F125)*F$9+Players!F125*TK_NonNV_Hold_AMD*TK_CapexFacility_VR200)</f>
        <v>0</v>
      </c>
      <c r="G73" s="30" t="n">
        <f aca="false">Players!G123*((1-Players!G125)*G$9+Players!G125*TK_NonNV_Hold_AMD*TK_CapexFacility_VR200)</f>
        <v>0.124991933028919</v>
      </c>
      <c r="H73" s="30" t="n">
        <f aca="false">Players!H123*((1-Players!H125)*H$9+Players!H125*TK_NonNV_Hold_AMD*TK_CapexFacility_VR200)</f>
        <v>0.0271913242009132</v>
      </c>
      <c r="I73" s="30" t="n">
        <f aca="false">Players!I123*((1-Players!I125)*I$9+Players!I125*TK_NonNV_Hold_AMD*TK_CapexFacility_VR200)</f>
        <v>0</v>
      </c>
      <c r="J73" s="30" t="n">
        <f aca="false">Players!J123*((1-Players!J125)*J$9+Players!J125*TK_NonNV_Hold_AMD*TK_CapexFacility_VR200)</f>
        <v>0</v>
      </c>
      <c r="K73" s="30" t="n">
        <f aca="false">Players!K123*((1-Players!K125)*K$9+Players!K125*TK_NonNV_Hold_AMD*TK_CapexFacility_VR200)</f>
        <v>0</v>
      </c>
      <c r="L73" s="30" t="n">
        <f aca="false">Players!L123*((1-Players!L125)*L$9+Players!L125*TK_NonNV_Hold_AMD*TK_CapexFacility_VR200)</f>
        <v>0</v>
      </c>
      <c r="M73" s="30" t="n">
        <f aca="false">Players!M123*((1-Players!M125)*M$9+Players!M125*TK_NonNV_Hold_AMD*TK_CapexFacility_VR200)</f>
        <v>0</v>
      </c>
    </row>
    <row r="74" customFormat="false" ht="17.15" hidden="false" customHeight="false" outlineLevel="0" collapsed="false">
      <c r="A74" s="4" t="s">
        <v>996</v>
      </c>
      <c r="C74" s="0" t="s">
        <v>213</v>
      </c>
      <c r="D74" s="30" t="n">
        <f aca="false">D73*$D$5+E73*$D$6+F73*$D$7</f>
        <v>0</v>
      </c>
      <c r="E74" s="30" t="n">
        <f aca="false">E73*$D$5+F73*$D$6+G73*$D$7</f>
        <v>0.0624959665144597</v>
      </c>
      <c r="F74" s="30" t="n">
        <f aca="false">F73*$D$5+G73*$D$6+H73*$D$7</f>
        <v>0.0760916286149163</v>
      </c>
      <c r="G74" s="30" t="n">
        <f aca="false">G73*$D$5+H73*$D$6+I73*$D$7</f>
        <v>0.0135956621004566</v>
      </c>
      <c r="H74" s="30" t="n">
        <f aca="false">H73*$D$5+I73*$D$6+J73*$D$7</f>
        <v>0</v>
      </c>
      <c r="I74" s="30" t="n">
        <f aca="false">I73*$D$5+J73*$D$6+K73*$D$7</f>
        <v>0</v>
      </c>
      <c r="J74" s="30" t="n">
        <f aca="false">J73*$D$5+K73*$D$6+L73*$D$7</f>
        <v>0</v>
      </c>
      <c r="K74" s="30" t="n">
        <f aca="false">K73*$D$5+L73*$D$6+M73*$D$7</f>
        <v>0</v>
      </c>
      <c r="L74" s="30" t="n">
        <f aca="false">L73*$D$5+M73*$D$6</f>
        <v>0</v>
      </c>
      <c r="M74" s="30" t="n">
        <f aca="false">M73*$D$5</f>
        <v>0</v>
      </c>
    </row>
    <row r="75" customFormat="false" ht="17.15" hidden="false" customHeight="false" outlineLevel="0" collapsed="false">
      <c r="A75" s="4" t="s">
        <v>997</v>
      </c>
      <c r="C75" s="0" t="s">
        <v>213</v>
      </c>
      <c r="D75" s="30" t="n">
        <f aca="false">D72+D74</f>
        <v>0</v>
      </c>
      <c r="E75" s="30" t="n">
        <f aca="false">E72+E74</f>
        <v>0.0624959665144597</v>
      </c>
      <c r="F75" s="30" t="n">
        <f aca="false">F72+F74</f>
        <v>0.0760916286149163</v>
      </c>
      <c r="G75" s="30" t="n">
        <f aca="false">G72+G74</f>
        <v>0.343231374015916</v>
      </c>
      <c r="H75" s="30" t="n">
        <f aca="false">H72+H74</f>
        <v>0.0822830273350709</v>
      </c>
      <c r="I75" s="30" t="n">
        <f aca="false">I72+I74</f>
        <v>0</v>
      </c>
      <c r="J75" s="30" t="n">
        <f aca="false">J72+J74</f>
        <v>0</v>
      </c>
      <c r="K75" s="30" t="n">
        <f aca="false">K72+K74</f>
        <v>0</v>
      </c>
      <c r="L75" s="30" t="n">
        <f aca="false">L72+L74</f>
        <v>0</v>
      </c>
      <c r="M75" s="30" t="n">
        <f aca="false">M72+M74</f>
        <v>0</v>
      </c>
    </row>
    <row r="76" customFormat="false" ht="17.15" hidden="false" customHeight="false" outlineLevel="0" collapsed="false">
      <c r="A76" s="4" t="s">
        <v>998</v>
      </c>
      <c r="C76" s="0" t="s">
        <v>213</v>
      </c>
      <c r="D76" s="30" t="n">
        <f aca="false">D75*fye_wyfi/12+N(In!H87)</f>
        <v>0</v>
      </c>
      <c r="E76" s="30" t="n">
        <f aca="false">E75*fye_wyfi/12+D75*(12-fye_wyfi)/12+N(In!I87)</f>
        <v>0.0624959665144597</v>
      </c>
      <c r="F76" s="30" t="n">
        <f aca="false">F75*fye_wyfi/12+E75*(12-fye_wyfi)/12+N(In!J87)</f>
        <v>0.0760916286149163</v>
      </c>
      <c r="G76" s="30" t="n">
        <f aca="false">G75*fye_wyfi/12+F75*(12-fye_wyfi)/12+N(In!K87)</f>
        <v>0.343231374015916</v>
      </c>
      <c r="H76" s="30" t="n">
        <f aca="false">H75*fye_wyfi/12+G75*(12-fye_wyfi)/12+N(In!L87)</f>
        <v>0.0822830273350709</v>
      </c>
      <c r="I76" s="30" t="n">
        <f aca="false">I75*fye_wyfi/12+H75*(12-fye_wyfi)/12+N(In!M87)</f>
        <v>0</v>
      </c>
      <c r="J76" s="30" t="n">
        <f aca="false">J75*fye_wyfi/12+I75*(12-fye_wyfi)/12+N(In!N87)</f>
        <v>0</v>
      </c>
      <c r="K76" s="30" t="n">
        <f aca="false">K75*fye_wyfi/12+J75*(12-fye_wyfi)/12+N(In!O87)</f>
        <v>0</v>
      </c>
      <c r="L76" s="30" t="n">
        <f aca="false">L75*fye_wyfi/12+K75*(12-fye_wyfi)/12+N(In!P87)</f>
        <v>0</v>
      </c>
      <c r="M76" s="30" t="n">
        <f aca="false">M75*fye_wyfi/12+L75*(12-fye_wyfi)/12+N(In!Q87)</f>
        <v>0</v>
      </c>
    </row>
    <row r="77" customFormat="false" ht="17.15" hidden="false" customHeight="false" outlineLevel="0" collapsed="false">
      <c r="A77" s="4" t="s">
        <v>999</v>
      </c>
      <c r="C77" s="0" t="s">
        <v>213</v>
      </c>
      <c r="D77" s="15" t="str">
        <f aca="false">IF(In!H71="","",In!H71)</f>
        <v/>
      </c>
      <c r="E77" s="15" t="str">
        <f aca="false">IF(In!I71="","",In!I71)</f>
        <v/>
      </c>
      <c r="F77" s="15" t="str">
        <f aca="false">IF(In!J71="","",In!J71)</f>
        <v/>
      </c>
      <c r="G77" s="15" t="str">
        <f aca="false">IF(In!K71="","",In!K71)</f>
        <v/>
      </c>
      <c r="H77" s="15" t="str">
        <f aca="false">IF(In!L71="","",In!L71)</f>
        <v/>
      </c>
      <c r="I77" s="15" t="str">
        <f aca="false">IF(In!M71="","",In!M71)</f>
        <v/>
      </c>
      <c r="J77" s="15" t="str">
        <f aca="false">IF(In!N71="","",In!N71)</f>
        <v/>
      </c>
      <c r="K77" s="15" t="str">
        <f aca="false">IF(In!O71="","",In!O71)</f>
        <v/>
      </c>
      <c r="L77" s="15" t="str">
        <f aca="false">IF(In!P71="","",In!P71)</f>
        <v/>
      </c>
      <c r="M77" s="15" t="str">
        <f aca="false">IF(In!Q71="","",In!Q71)</f>
        <v/>
      </c>
    </row>
    <row r="78" customFormat="false" ht="17.15" hidden="false" customHeight="false" outlineLevel="0" collapsed="false">
      <c r="A78" s="4" t="s">
        <v>1000</v>
      </c>
      <c r="C78" s="0" t="s">
        <v>33</v>
      </c>
      <c r="D78" s="29" t="str">
        <f aca="false">IF(OR(D77="",N(D77)=0),"",D76/D77)</f>
        <v/>
      </c>
      <c r="E78" s="29" t="str">
        <f aca="false">IF(OR(E77="",N(E77)=0),"",E76/E77)</f>
        <v/>
      </c>
      <c r="F78" s="29" t="str">
        <f aca="false">IF(OR(F77="",N(F77)=0),"",F76/F77)</f>
        <v/>
      </c>
      <c r="G78" s="29" t="str">
        <f aca="false">IF(OR(G77="",N(G77)=0),"",G76/G77)</f>
        <v/>
      </c>
      <c r="H78" s="29" t="str">
        <f aca="false">IF(OR(H77="",N(H77)=0),"",H76/H77)</f>
        <v/>
      </c>
      <c r="I78" s="29" t="str">
        <f aca="false">IF(OR(I77="",N(I77)=0),"",I76/I77)</f>
        <v/>
      </c>
      <c r="J78" s="29" t="str">
        <f aca="false">IF(OR(J77="",N(J77)=0),"",J76/J77)</f>
        <v/>
      </c>
      <c r="K78" s="29" t="str">
        <f aca="false">IF(OR(K77="",N(K77)=0),"",K76/K77)</f>
        <v/>
      </c>
      <c r="L78" s="29" t="str">
        <f aca="false">IF(OR(L77="",N(L77)=0),"",L76/L77)</f>
        <v/>
      </c>
      <c r="M78" s="29" t="str">
        <f aca="false">IF(OR(M77="",N(M77)=0),"",M76/M77)</f>
        <v/>
      </c>
    </row>
    <row r="79" customFormat="false" ht="15" hidden="false" customHeight="false" outlineLevel="0" collapsed="false">
      <c r="A79" s="4" t="s">
        <v>981</v>
      </c>
      <c r="C79" s="0" t="s">
        <v>32</v>
      </c>
      <c r="D79" s="0" t="str">
        <f aca="false">IF(D78="","無個股值",IF(D76=0,"GW 帳無新增",IF(AND(In!$E$71="Verified",FALSE()),IF(ABS(D78-1)&lt;=tolband,"對得上","偏差"),"證據不足（"&amp;IF(ABS(D78-1)&lt;=tolband,"帶內","帶外")&amp;"）")))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IF(E78="","無個股值",IF(E76=0,"GW 帳無新增",IF(AND(In!$E$71="Verified",FALSE()),IF(ABS(E78-1)&lt;=tolband,"對得上","偏差"),"證據不足（"&amp;IF(ABS(E78-1)&lt;=tolband,"帶內","帶外")&amp;"）")))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IF(F78="","無個股值",IF(F76=0,"GW 帳無新增",IF(AND(In!$E$71="Verified",FALSE()),IF(ABS(F78-1)&lt;=tolband,"對得上","偏差"),"證據不足（"&amp;IF(ABS(F78-1)&lt;=tolband,"帶內","帶外")&amp;"）")))</f>
        <v>無個股值</v>
      </c>
      <c r="G79" s="0" t="str">
        <f aca="false">IF(G78="","無個股值",IF(G76=0,"GW 帳無新增",IF(AND(In!$E$71="Verified",FALSE()),IF(ABS(G78-1)&lt;=tolband,"對得上","偏差"),"證據不足（"&amp;IF(ABS(G78-1)&lt;=tolband,"帶內","帶外")&amp;"）")))</f>
        <v>無個股值</v>
      </c>
      <c r="H79" s="0" t="str">
        <f aca="false">IF(H78="","無個股值",IF(H76=0,"GW 帳無新增",IF(AND(In!$E$71="Verified",FALSE()),IF(ABS(H78-1)&lt;=tolband,"對得上","偏差"),"證據不足（"&amp;IF(ABS(H78-1)&lt;=tolband,"帶內","帶外")&amp;"）")))</f>
        <v>無個股值</v>
      </c>
      <c r="I79" s="0" t="str">
        <f aca="false">IF(I78="","無個股值",IF(I76=0,"GW 帳無新增",IF(AND(In!$E$71="Verified",FALSE()),IF(ABS(I78-1)&lt;=tolband,"對得上","偏差"),"證據不足（"&amp;IF(ABS(I78-1)&lt;=tolband,"帶內","帶外")&amp;"）")))</f>
        <v>無個股值</v>
      </c>
      <c r="J79" s="0" t="str">
        <f aca="false">IF(J78="","無個股值",IF(J76=0,"GW 帳無新增",IF(AND(In!$E$71="Verified",FALSE()),IF(ABS(J78-1)&lt;=tolband,"對得上","偏差"),"證據不足（"&amp;IF(ABS(J78-1)&lt;=tolband,"帶內","帶外")&amp;"）")))</f>
        <v>無個股值</v>
      </c>
      <c r="K79" s="0" t="str">
        <f aca="false">IF(K78="","無個股值",IF(K76=0,"GW 帳無新增",IF(AND(In!$E$71="Verified",FALSE()),IF(ABS(K78-1)&lt;=tolband,"對得上","偏差"),"證據不足（"&amp;IF(ABS(K78-1)&lt;=tolband,"帶內","帶外")&amp;"）")))</f>
        <v>無個股值</v>
      </c>
      <c r="L79" s="0" t="str">
        <f aca="false">IF(L78="","無個股值",IF(L76=0,"GW 帳無新增",IF(AND(In!$E$71="Verified",FALSE()),IF(ABS(L78-1)&lt;=tolband,"對得上","偏差"),"證據不足（"&amp;IF(ABS(L78-1)&lt;=tolband,"帶內","帶外")&amp;"）")))</f>
        <v>無個股值</v>
      </c>
      <c r="M79" s="0" t="str">
        <f aca="false">IF(M78="","無個股值",IF(M76=0,"GW 帳無新增",IF(AND(In!$E$71="Verified",FALSE()),IF(ABS(M78-1)&lt;=tolband,"對得上","偏差"),"證據不足（"&amp;IF(ABS(M78-1)&lt;=tolband,"帶內","帶外")&amp;"）")))</f>
        <v>無個股值</v>
      </c>
    </row>
    <row r="81" customFormat="false" ht="15" hidden="false" customHeight="false" outlineLevel="0" collapsed="false">
      <c r="A81" s="7" t="s">
        <v>322</v>
      </c>
      <c r="B81" s="16" t="s">
        <v>720</v>
      </c>
      <c r="N81" s="4" t="s">
        <v>1007</v>
      </c>
    </row>
    <row r="82" customFormat="false" ht="17.15" hidden="false" customHeight="false" outlineLevel="0" collapsed="false">
      <c r="A82" s="4" t="s">
        <v>994</v>
      </c>
      <c r="C82" s="0" t="s">
        <v>213</v>
      </c>
      <c r="D82" s="30" t="n">
        <f aca="false">Players!D139*((1-Players!D141)*D$8+Players!D141*TK_NonNV_Hold_AMD*TK_CapexIT_VR200)</f>
        <v>0</v>
      </c>
      <c r="E82" s="30" t="n">
        <f aca="false">Players!E139*((1-Players!E141)*E$8+Players!E141*TK_NonNV_Hold_AMD*TK_CapexIT_VR200)</f>
        <v>0</v>
      </c>
      <c r="F82" s="30" t="n">
        <f aca="false">Players!F139*((1-Players!F141)*F$8+Players!F141*TK_NonNV_Hold_AMD*TK_CapexIT_VR200)</f>
        <v>0</v>
      </c>
      <c r="G82" s="30" t="n">
        <f aca="false">Players!G139*((1-Players!G141)*G$8+Players!G141*TK_NonNV_Hold_AMD*TK_CapexIT_VR200)</f>
        <v>0</v>
      </c>
      <c r="H82" s="30" t="n">
        <f aca="false">Players!H139*((1-Players!H141)*H$8+Players!H141*TK_NonNV_Hold_AMD*TK_CapexIT_VR200)</f>
        <v>0</v>
      </c>
      <c r="I82" s="30" t="n">
        <f aca="false">Players!I139*((1-Players!I141)*I$8+Players!I141*TK_NonNV_Hold_AMD*TK_CapexIT_VR200)</f>
        <v>0</v>
      </c>
      <c r="J82" s="30" t="n">
        <f aca="false">Players!J139*((1-Players!J141)*J$8+Players!J141*TK_NonNV_Hold_AMD*TK_CapexIT_VR200)</f>
        <v>0</v>
      </c>
      <c r="K82" s="30" t="n">
        <f aca="false">Players!K139*((1-Players!K141)*K$8+Players!K141*TK_NonNV_Hold_AMD*TK_CapexIT_VR200)</f>
        <v>0</v>
      </c>
      <c r="L82" s="30" t="n">
        <f aca="false">Players!L139*((1-Players!L141)*L$8+Players!L141*TK_NonNV_Hold_AMD*TK_CapexIT_VR200)</f>
        <v>0</v>
      </c>
      <c r="M82" s="30" t="n">
        <f aca="false">Players!M139*((1-Players!M141)*M$8+Players!M141*TK_NonNV_Hold_AMD*TK_CapexIT_VR200)</f>
        <v>0</v>
      </c>
    </row>
    <row r="83" customFormat="false" ht="15" hidden="false" customHeight="false" outlineLevel="0" collapsed="false">
      <c r="A83" s="4" t="s">
        <v>995</v>
      </c>
      <c r="C83" s="0" t="s">
        <v>213</v>
      </c>
      <c r="D83" s="30" t="n">
        <f aca="false">Players!D139*((1-Players!D141)*D$9+Players!D141*TK_NonNV_Hold_AMD*TK_CapexFacility_VR200)</f>
        <v>0</v>
      </c>
      <c r="E83" s="30" t="n">
        <f aca="false">Players!E139*((1-Players!E141)*E$9+Players!E141*TK_NonNV_Hold_AMD*TK_CapexFacility_VR200)</f>
        <v>0</v>
      </c>
      <c r="F83" s="30" t="n">
        <f aca="false">Players!F139*((1-Players!F141)*F$9+Players!F141*TK_NonNV_Hold_AMD*TK_CapexFacility_VR200)</f>
        <v>0</v>
      </c>
      <c r="G83" s="30" t="n">
        <f aca="false">Players!G139*((1-Players!G141)*G$9+Players!G141*TK_NonNV_Hold_AMD*TK_CapexFacility_VR200)</f>
        <v>0</v>
      </c>
      <c r="H83" s="30" t="n">
        <f aca="false">Players!H139*((1-Players!H141)*H$9+Players!H141*TK_NonNV_Hold_AMD*TK_CapexFacility_VR200)</f>
        <v>0</v>
      </c>
      <c r="I83" s="30" t="n">
        <f aca="false">Players!I139*((1-Players!I141)*I$9+Players!I141*TK_NonNV_Hold_AMD*TK_CapexFacility_VR200)</f>
        <v>0</v>
      </c>
      <c r="J83" s="30" t="n">
        <f aca="false">Players!J139*((1-Players!J141)*J$9+Players!J141*TK_NonNV_Hold_AMD*TK_CapexFacility_VR200)</f>
        <v>0</v>
      </c>
      <c r="K83" s="30" t="n">
        <f aca="false">Players!K139*((1-Players!K141)*K$9+Players!K141*TK_NonNV_Hold_AMD*TK_CapexFacility_VR200)</f>
        <v>0</v>
      </c>
      <c r="L83" s="30" t="n">
        <f aca="false">Players!L139*((1-Players!L141)*L$9+Players!L141*TK_NonNV_Hold_AMD*TK_CapexFacility_VR200)</f>
        <v>0</v>
      </c>
      <c r="M83" s="30" t="n">
        <f aca="false">Players!M139*((1-Players!M141)*M$9+Players!M141*TK_NonNV_Hold_AMD*TK_CapexFacility_VR200)</f>
        <v>0</v>
      </c>
    </row>
    <row r="84" customFormat="false" ht="17.15" hidden="false" customHeight="false" outlineLevel="0" collapsed="false">
      <c r="A84" s="4" t="s">
        <v>996</v>
      </c>
      <c r="C84" s="0" t="s">
        <v>213</v>
      </c>
      <c r="D84" s="30" t="n">
        <f aca="false">D83*$D$5+E83*$D$6+F83*$D$7</f>
        <v>0</v>
      </c>
      <c r="E84" s="30" t="n">
        <f aca="false">E83*$D$5+F83*$D$6+G83*$D$7</f>
        <v>0</v>
      </c>
      <c r="F84" s="30" t="n">
        <f aca="false">F83*$D$5+G83*$D$6+H83*$D$7</f>
        <v>0</v>
      </c>
      <c r="G84" s="30" t="n">
        <f aca="false">G83*$D$5+H83*$D$6+I83*$D$7</f>
        <v>0</v>
      </c>
      <c r="H84" s="30" t="n">
        <f aca="false">H83*$D$5+I83*$D$6+J83*$D$7</f>
        <v>0</v>
      </c>
      <c r="I84" s="30" t="n">
        <f aca="false">I83*$D$5+J83*$D$6+K83*$D$7</f>
        <v>0</v>
      </c>
      <c r="J84" s="30" t="n">
        <f aca="false">J83*$D$5+K83*$D$6+L83*$D$7</f>
        <v>0</v>
      </c>
      <c r="K84" s="30" t="n">
        <f aca="false">K83*$D$5+L83*$D$6+M83*$D$7</f>
        <v>0</v>
      </c>
      <c r="L84" s="30" t="n">
        <f aca="false">L83*$D$5+M83*$D$6</f>
        <v>0</v>
      </c>
      <c r="M84" s="30" t="n">
        <f aca="false">M83*$D$5</f>
        <v>0</v>
      </c>
    </row>
    <row r="85" customFormat="false" ht="17.15" hidden="false" customHeight="false" outlineLevel="0" collapsed="false">
      <c r="A85" s="4" t="s">
        <v>997</v>
      </c>
      <c r="C85" s="0" t="s">
        <v>213</v>
      </c>
      <c r="D85" s="30" t="n">
        <f aca="false">D82+D84</f>
        <v>0</v>
      </c>
      <c r="E85" s="30" t="n">
        <f aca="false">E82+E84</f>
        <v>0</v>
      </c>
      <c r="F85" s="30" t="n">
        <f aca="false">F82+F84</f>
        <v>0</v>
      </c>
      <c r="G85" s="30" t="n">
        <f aca="false">G82+G84</f>
        <v>0</v>
      </c>
      <c r="H85" s="30" t="n">
        <f aca="false">H82+H84</f>
        <v>0</v>
      </c>
      <c r="I85" s="30" t="n">
        <f aca="false">I82+I84</f>
        <v>0</v>
      </c>
      <c r="J85" s="30" t="n">
        <f aca="false">J82+J84</f>
        <v>0</v>
      </c>
      <c r="K85" s="30" t="n">
        <f aca="false">K82+K84</f>
        <v>0</v>
      </c>
      <c r="L85" s="30" t="n">
        <f aca="false">L82+L84</f>
        <v>0</v>
      </c>
      <c r="M85" s="30" t="n">
        <f aca="false">M82+M84</f>
        <v>0</v>
      </c>
    </row>
    <row r="86" customFormat="false" ht="17.15" hidden="false" customHeight="false" outlineLevel="0" collapsed="false">
      <c r="A86" s="4" t="s">
        <v>998</v>
      </c>
      <c r="C86" s="0" t="s">
        <v>213</v>
      </c>
      <c r="D86" s="30" t="n">
        <f aca="false">D85*12/12+N(In!H88)</f>
        <v>0</v>
      </c>
      <c r="E86" s="30" t="n">
        <f aca="false">E85*12/12+D85*(12-12)/12+N(In!I88)</f>
        <v>0</v>
      </c>
      <c r="F86" s="30" t="n">
        <f aca="false">F85*12/12+E85*(12-12)/12+N(In!J88)</f>
        <v>0</v>
      </c>
      <c r="G86" s="30" t="n">
        <f aca="false">G85*12/12+F85*(12-12)/12+N(In!K88)</f>
        <v>0</v>
      </c>
      <c r="H86" s="30" t="n">
        <f aca="false">H85*12/12+G85*(12-12)/12+N(In!L88)</f>
        <v>0</v>
      </c>
      <c r="I86" s="30" t="n">
        <f aca="false">I85*12/12+H85*(12-12)/12+N(In!M88)</f>
        <v>0</v>
      </c>
      <c r="J86" s="30" t="n">
        <f aca="false">J85*12/12+I85*(12-12)/12+N(In!N88)</f>
        <v>0</v>
      </c>
      <c r="K86" s="30" t="n">
        <f aca="false">K85*12/12+J85*(12-12)/12+N(In!O88)</f>
        <v>0</v>
      </c>
      <c r="L86" s="30" t="n">
        <f aca="false">L85*12/12+K85*(12-12)/12+N(In!P88)</f>
        <v>0</v>
      </c>
      <c r="M86" s="30" t="n">
        <f aca="false">M85*12/12+L85*(12-12)/12+N(In!Q88)</f>
        <v>0</v>
      </c>
    </row>
    <row r="87" customFormat="false" ht="17.15" hidden="false" customHeight="false" outlineLevel="0" collapsed="false">
      <c r="A87" s="4" t="s">
        <v>999</v>
      </c>
      <c r="C87" s="0" t="s">
        <v>213</v>
      </c>
      <c r="D87" s="15" t="str">
        <f aca="false">IF(In!H72="","",In!H72)</f>
        <v/>
      </c>
      <c r="E87" s="15" t="str">
        <f aca="false">IF(In!I72="","",In!I72)</f>
        <v/>
      </c>
      <c r="F87" s="15" t="str">
        <f aca="false">IF(In!J72="","",In!J72)</f>
        <v/>
      </c>
      <c r="G87" s="15" t="str">
        <f aca="false">IF(In!K72="","",In!K72)</f>
        <v/>
      </c>
      <c r="H87" s="15" t="str">
        <f aca="false">IF(In!L72="","",In!L72)</f>
        <v/>
      </c>
      <c r="I87" s="15" t="str">
        <f aca="false">IF(In!M72="","",In!M72)</f>
        <v/>
      </c>
      <c r="J87" s="15" t="str">
        <f aca="false">IF(In!N72="","",In!N72)</f>
        <v/>
      </c>
      <c r="K87" s="15" t="str">
        <f aca="false">IF(In!O72="","",In!O72)</f>
        <v/>
      </c>
      <c r="L87" s="15" t="str">
        <f aca="false">IF(In!P72="","",In!P72)</f>
        <v/>
      </c>
      <c r="M87" s="15" t="str">
        <f aca="false">IF(In!Q72="","",In!Q72)</f>
        <v/>
      </c>
    </row>
    <row r="88" customFormat="false" ht="17.15" hidden="false" customHeight="false" outlineLevel="0" collapsed="false">
      <c r="A88" s="4" t="s">
        <v>1000</v>
      </c>
      <c r="C88" s="0" t="s">
        <v>33</v>
      </c>
      <c r="D88" s="29" t="str">
        <f aca="false">IF(OR(D87="",N(D87)=0),"",D86/D87)</f>
        <v/>
      </c>
      <c r="E88" s="29" t="str">
        <f aca="false">IF(OR(E87="",N(E87)=0),"",E86/E87)</f>
        <v/>
      </c>
      <c r="F88" s="29" t="str">
        <f aca="false">IF(OR(F87="",N(F87)=0),"",F86/F87)</f>
        <v/>
      </c>
      <c r="G88" s="29" t="str">
        <f aca="false">IF(OR(G87="",N(G87)=0),"",G86/G87)</f>
        <v/>
      </c>
      <c r="H88" s="29" t="str">
        <f aca="false">IF(OR(H87="",N(H87)=0),"",H86/H87)</f>
        <v/>
      </c>
      <c r="I88" s="29" t="str">
        <f aca="false">IF(OR(I87="",N(I87)=0),"",I86/I87)</f>
        <v/>
      </c>
      <c r="J88" s="29" t="str">
        <f aca="false">IF(OR(J87="",N(J87)=0),"",J86/J87)</f>
        <v/>
      </c>
      <c r="K88" s="29" t="str">
        <f aca="false">IF(OR(K87="",N(K87)=0),"",K86/K87)</f>
        <v/>
      </c>
      <c r="L88" s="29" t="str">
        <f aca="false">IF(OR(L87="",N(L87)=0),"",L86/L87)</f>
        <v/>
      </c>
      <c r="M88" s="29" t="str">
        <f aca="false">IF(OR(M87="",N(M87)=0),"",M86/M87)</f>
        <v/>
      </c>
    </row>
    <row r="89" customFormat="false" ht="15" hidden="false" customHeight="false" outlineLevel="0" collapsed="false">
      <c r="A89" s="4" t="s">
        <v>981</v>
      </c>
      <c r="C89" s="0" t="s">
        <v>32</v>
      </c>
      <c r="D89" s="0" t="str">
        <f aca="false">IF(D88="","無個股值",IF(D86=0,"GW 帳無新增",IF(AND(In!$E$72="Verified",FALSE()),IF(ABS(D88-1)&lt;=tolband,"對得上","偏差"),"證據不足（"&amp;IF(ABS(D88-1)&lt;=tolband,"帶內","帶外")&amp;"）")))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IF(E88="","無個股值",IF(E86=0,"GW 帳無新增",IF(AND(In!$E$72="Verified",FALSE()),IF(ABS(E88-1)&lt;=tolband,"對得上","偏差"),"證據不足（"&amp;IF(ABS(E88-1)&lt;=tolband,"帶內","帶外")&amp;"）")))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IF(F88="","無個股值",IF(F86=0,"GW 帳無新增",IF(AND(In!$E$72="Verified",FALSE()),IF(ABS(F88-1)&lt;=tolband,"對得上","偏差"),"證據不足（"&amp;IF(ABS(F88-1)&lt;=tolband,"帶內","帶外")&amp;"）")))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IF(G88="","無個股值",IF(G86=0,"GW 帳無新增",IF(AND(In!$E$72="Verified",FALSE()),IF(ABS(G88-1)&lt;=tolband,"對得上","偏差"),"證據不足（"&amp;IF(ABS(G88-1)&lt;=tolband,"帶內","帶外")&amp;"）")))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IF(H88="","無個股值",IF(H86=0,"GW 帳無新增",IF(AND(In!$E$72="Verified",FALSE()),IF(ABS(H88-1)&lt;=tolband,"對得上","偏差"),"證據不足（"&amp;IF(ABS(H88-1)&lt;=tolband,"帶內","帶外")&amp;"）")))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IF(I88="","無個股值",IF(I86=0,"GW 帳無新增",IF(AND(In!$E$72="Verified",FALSE()),IF(ABS(I88-1)&lt;=tolband,"對得上","偏差"),"證據不足（"&amp;IF(ABS(I88-1)&lt;=tolband,"帶內","帶外")&amp;"）")))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IF(J88="","無個股值",IF(J86=0,"GW 帳無新增",IF(AND(In!$E$72="Verified",FALSE()),IF(ABS(J88-1)&lt;=tolband,"對得上","偏差"),"證據不足（"&amp;IF(ABS(J88-1)&lt;=tolband,"帶內","帶外")&amp;"）")))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IF(K88="","無個股值",IF(K86=0,"GW 帳無新增",IF(AND(In!$E$72="Verified",FALSE()),IF(ABS(K88-1)&lt;=tolband,"對得上","偏差"),"證據不足（"&amp;IF(ABS(K88-1)&lt;=tolband,"帶內","帶外")&amp;"）")))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IF(L88="","無個股值",IF(L86=0,"GW 帳無新增",IF(AND(In!$E$72="Verified",FALSE()),IF(ABS(L88-1)&lt;=tolband,"對得上","偏差"),"證據不足（"&amp;IF(ABS(L88-1)&lt;=tolband,"帶內","帶外")&amp;"）")))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IF(M88="","無個股值",IF(M86=0,"GW 帳無新增",IF(AND(In!$E$72="Verified",FALSE()),IF(ABS(M88-1)&lt;=tolband,"對得上","偏差"),"證據不足（"&amp;IF(ABS(M88-1)&lt;=tolband,"帶內","帶外")&amp;"）")))</f>
        <v>無個股值</v>
      </c>
    </row>
    <row r="91" customFormat="false" ht="15" hidden="false" customHeight="false" outlineLevel="0" collapsed="false">
      <c r="A91" s="7" t="s">
        <v>321</v>
      </c>
      <c r="B91" s="16" t="s">
        <v>736</v>
      </c>
      <c r="N91" s="4" t="s">
        <v>1007</v>
      </c>
    </row>
    <row r="92" customFormat="false" ht="17.15" hidden="false" customHeight="false" outlineLevel="0" collapsed="false">
      <c r="A92" s="4" t="s">
        <v>994</v>
      </c>
      <c r="C92" s="0" t="s">
        <v>213</v>
      </c>
      <c r="D92" s="30" t="n">
        <f aca="false">Players!D155*((1-Players!D157)*D$8+Players!D157*TK_NonNV_Hold_AMD*TK_CapexIT_VR200)</f>
        <v>0</v>
      </c>
      <c r="E92" s="30" t="n">
        <f aca="false">Players!E155*((1-Players!E157)*E$8+Players!E157*TK_NonNV_Hold_AMD*TK_CapexIT_VR200)</f>
        <v>0</v>
      </c>
      <c r="F92" s="30" t="n">
        <f aca="false">Players!F155*((1-Players!F157)*F$8+Players!F157*TK_NonNV_Hold_AMD*TK_CapexIT_VR200)</f>
        <v>0</v>
      </c>
      <c r="G92" s="30" t="n">
        <f aca="false">Players!G155*((1-Players!G157)*G$8+Players!G157*TK_NonNV_Hold_AMD*TK_CapexIT_VR200)</f>
        <v>0</v>
      </c>
      <c r="H92" s="30" t="n">
        <f aca="false">Players!H155*((1-Players!H157)*H$8+Players!H157*TK_NonNV_Hold_AMD*TK_CapexIT_VR200)</f>
        <v>0</v>
      </c>
      <c r="I92" s="30" t="n">
        <f aca="false">Players!I155*((1-Players!I157)*I$8+Players!I157*TK_NonNV_Hold_AMD*TK_CapexIT_VR200)</f>
        <v>0</v>
      </c>
      <c r="J92" s="30" t="n">
        <f aca="false">Players!J155*((1-Players!J157)*J$8+Players!J157*TK_NonNV_Hold_AMD*TK_CapexIT_VR200)</f>
        <v>0</v>
      </c>
      <c r="K92" s="30" t="n">
        <f aca="false">Players!K155*((1-Players!K157)*K$8+Players!K157*TK_NonNV_Hold_AMD*TK_CapexIT_VR200)</f>
        <v>0</v>
      </c>
      <c r="L92" s="30" t="n">
        <f aca="false">Players!L155*((1-Players!L157)*L$8+Players!L157*TK_NonNV_Hold_AMD*TK_CapexIT_VR200)</f>
        <v>0</v>
      </c>
      <c r="M92" s="30" t="n">
        <f aca="false">Players!M155*((1-Players!M157)*M$8+Players!M157*TK_NonNV_Hold_AMD*TK_CapexIT_VR200)</f>
        <v>0</v>
      </c>
    </row>
    <row r="93" customFormat="false" ht="15" hidden="false" customHeight="false" outlineLevel="0" collapsed="false">
      <c r="A93" s="4" t="s">
        <v>995</v>
      </c>
      <c r="C93" s="0" t="s">
        <v>213</v>
      </c>
      <c r="D93" s="30" t="n">
        <f aca="false">Players!D155*((1-Players!D157)*D$9+Players!D157*TK_NonNV_Hold_AMD*TK_CapexFacility_VR200)</f>
        <v>0</v>
      </c>
      <c r="E93" s="30" t="n">
        <f aca="false">Players!E155*((1-Players!E157)*E$9+Players!E157*TK_NonNV_Hold_AMD*TK_CapexFacility_VR200)</f>
        <v>0</v>
      </c>
      <c r="F93" s="30" t="n">
        <f aca="false">Players!F155*((1-Players!F157)*F$9+Players!F157*TK_NonNV_Hold_AMD*TK_CapexFacility_VR200)</f>
        <v>0</v>
      </c>
      <c r="G93" s="30" t="n">
        <f aca="false">Players!G155*((1-Players!G157)*G$9+Players!G157*TK_NonNV_Hold_AMD*TK_CapexFacility_VR200)</f>
        <v>0</v>
      </c>
      <c r="H93" s="30" t="n">
        <f aca="false">Players!H155*((1-Players!H157)*H$9+Players!H157*TK_NonNV_Hold_AMD*TK_CapexFacility_VR200)</f>
        <v>0</v>
      </c>
      <c r="I93" s="30" t="n">
        <f aca="false">Players!I155*((1-Players!I157)*I$9+Players!I157*TK_NonNV_Hold_AMD*TK_CapexFacility_VR200)</f>
        <v>0</v>
      </c>
      <c r="J93" s="30" t="n">
        <f aca="false">Players!J155*((1-Players!J157)*J$9+Players!J157*TK_NonNV_Hold_AMD*TK_CapexFacility_VR200)</f>
        <v>0</v>
      </c>
      <c r="K93" s="30" t="n">
        <f aca="false">Players!K155*((1-Players!K157)*K$9+Players!K157*TK_NonNV_Hold_AMD*TK_CapexFacility_VR200)</f>
        <v>0</v>
      </c>
      <c r="L93" s="30" t="n">
        <f aca="false">Players!L155*((1-Players!L157)*L$9+Players!L157*TK_NonNV_Hold_AMD*TK_CapexFacility_VR200)</f>
        <v>0</v>
      </c>
      <c r="M93" s="30" t="n">
        <f aca="false">Players!M155*((1-Players!M157)*M$9+Players!M157*TK_NonNV_Hold_AMD*TK_CapexFacility_VR200)</f>
        <v>0</v>
      </c>
    </row>
    <row r="94" customFormat="false" ht="17.15" hidden="false" customHeight="false" outlineLevel="0" collapsed="false">
      <c r="A94" s="4" t="s">
        <v>996</v>
      </c>
      <c r="C94" s="0" t="s">
        <v>213</v>
      </c>
      <c r="D94" s="30" t="n">
        <f aca="false">D93*$D$5+E93*$D$6+F93*$D$7</f>
        <v>0</v>
      </c>
      <c r="E94" s="30" t="n">
        <f aca="false">E93*$D$5+F93*$D$6+G93*$D$7</f>
        <v>0</v>
      </c>
      <c r="F94" s="30" t="n">
        <f aca="false">F93*$D$5+G93*$D$6+H93*$D$7</f>
        <v>0</v>
      </c>
      <c r="G94" s="30" t="n">
        <f aca="false">G93*$D$5+H93*$D$6+I93*$D$7</f>
        <v>0</v>
      </c>
      <c r="H94" s="30" t="n">
        <f aca="false">H93*$D$5+I93*$D$6+J93*$D$7</f>
        <v>0</v>
      </c>
      <c r="I94" s="30" t="n">
        <f aca="false">I93*$D$5+J93*$D$6+K93*$D$7</f>
        <v>0</v>
      </c>
      <c r="J94" s="30" t="n">
        <f aca="false">J93*$D$5+K93*$D$6+L93*$D$7</f>
        <v>0</v>
      </c>
      <c r="K94" s="30" t="n">
        <f aca="false">K93*$D$5+L93*$D$6+M93*$D$7</f>
        <v>0</v>
      </c>
      <c r="L94" s="30" t="n">
        <f aca="false">L93*$D$5+M93*$D$6</f>
        <v>0</v>
      </c>
      <c r="M94" s="30" t="n">
        <f aca="false">M93*$D$5</f>
        <v>0</v>
      </c>
    </row>
    <row r="95" customFormat="false" ht="17.15" hidden="false" customHeight="false" outlineLevel="0" collapsed="false">
      <c r="A95" s="4" t="s">
        <v>997</v>
      </c>
      <c r="C95" s="0" t="s">
        <v>213</v>
      </c>
      <c r="D95" s="30" t="n">
        <f aca="false">D92+D94</f>
        <v>0</v>
      </c>
      <c r="E95" s="30" t="n">
        <f aca="false">E92+E94</f>
        <v>0</v>
      </c>
      <c r="F95" s="30" t="n">
        <f aca="false">F92+F94</f>
        <v>0</v>
      </c>
      <c r="G95" s="30" t="n">
        <f aca="false">G92+G94</f>
        <v>0</v>
      </c>
      <c r="H95" s="30" t="n">
        <f aca="false">H92+H94</f>
        <v>0</v>
      </c>
      <c r="I95" s="30" t="n">
        <f aca="false">I92+I94</f>
        <v>0</v>
      </c>
      <c r="J95" s="30" t="n">
        <f aca="false">J92+J94</f>
        <v>0</v>
      </c>
      <c r="K95" s="30" t="n">
        <f aca="false">K92+K94</f>
        <v>0</v>
      </c>
      <c r="L95" s="30" t="n">
        <f aca="false">L92+L94</f>
        <v>0</v>
      </c>
      <c r="M95" s="30" t="n">
        <f aca="false">M92+M94</f>
        <v>0</v>
      </c>
    </row>
    <row r="96" customFormat="false" ht="17.15" hidden="false" customHeight="false" outlineLevel="0" collapsed="false">
      <c r="A96" s="4" t="s">
        <v>998</v>
      </c>
      <c r="C96" s="0" t="s">
        <v>213</v>
      </c>
      <c r="D96" s="30" t="n">
        <f aca="false">D95*12/12+N(In!H89)</f>
        <v>0</v>
      </c>
      <c r="E96" s="30" t="n">
        <f aca="false">E95*12/12+D95*(12-12)/12+N(In!I89)</f>
        <v>0</v>
      </c>
      <c r="F96" s="30" t="n">
        <f aca="false">F95*12/12+E95*(12-12)/12+N(In!J89)</f>
        <v>0</v>
      </c>
      <c r="G96" s="30" t="n">
        <f aca="false">G95*12/12+F95*(12-12)/12+N(In!K89)</f>
        <v>0</v>
      </c>
      <c r="H96" s="30" t="n">
        <f aca="false">H95*12/12+G95*(12-12)/12+N(In!L89)</f>
        <v>0</v>
      </c>
      <c r="I96" s="30" t="n">
        <f aca="false">I95*12/12+H95*(12-12)/12+N(In!M89)</f>
        <v>0</v>
      </c>
      <c r="J96" s="30" t="n">
        <f aca="false">J95*12/12+I95*(12-12)/12+N(In!N89)</f>
        <v>0</v>
      </c>
      <c r="K96" s="30" t="n">
        <f aca="false">K95*12/12+J95*(12-12)/12+N(In!O89)</f>
        <v>0</v>
      </c>
      <c r="L96" s="30" t="n">
        <f aca="false">L95*12/12+K95*(12-12)/12+N(In!P89)</f>
        <v>0</v>
      </c>
      <c r="M96" s="30" t="n">
        <f aca="false">M95*12/12+L95*(12-12)/12+N(In!Q89)</f>
        <v>0</v>
      </c>
    </row>
    <row r="97" customFormat="false" ht="17.15" hidden="false" customHeight="false" outlineLevel="0" collapsed="false">
      <c r="A97" s="4" t="s">
        <v>999</v>
      </c>
      <c r="C97" s="0" t="s">
        <v>213</v>
      </c>
      <c r="D97" s="15" t="str">
        <f aca="false">IF(In!H73="","",In!H73)</f>
        <v/>
      </c>
      <c r="E97" s="15" t="str">
        <f aca="false">IF(In!I73="","",In!I73)</f>
        <v/>
      </c>
      <c r="F97" s="15" t="str">
        <f aca="false">IF(In!J73="","",In!J73)</f>
        <v/>
      </c>
      <c r="G97" s="15" t="str">
        <f aca="false">IF(In!K73="","",In!K73)</f>
        <v/>
      </c>
      <c r="H97" s="15" t="str">
        <f aca="false">IF(In!L73="","",In!L73)</f>
        <v/>
      </c>
      <c r="I97" s="15" t="str">
        <f aca="false">IF(In!M73="","",In!M73)</f>
        <v/>
      </c>
      <c r="J97" s="15" t="str">
        <f aca="false">IF(In!N73="","",In!N73)</f>
        <v/>
      </c>
      <c r="K97" s="15" t="str">
        <f aca="false">IF(In!O73="","",In!O73)</f>
        <v/>
      </c>
      <c r="L97" s="15" t="str">
        <f aca="false">IF(In!P73="","",In!P73)</f>
        <v/>
      </c>
      <c r="M97" s="15" t="str">
        <f aca="false">IF(In!Q73="","",In!Q73)</f>
        <v/>
      </c>
    </row>
    <row r="98" customFormat="false" ht="17.15" hidden="false" customHeight="false" outlineLevel="0" collapsed="false">
      <c r="A98" s="4" t="s">
        <v>1000</v>
      </c>
      <c r="C98" s="0" t="s">
        <v>33</v>
      </c>
      <c r="D98" s="29" t="str">
        <f aca="false">IF(OR(D97="",N(D97)=0),"",D96/D97)</f>
        <v/>
      </c>
      <c r="E98" s="29" t="str">
        <f aca="false">IF(OR(E97="",N(E97)=0),"",E96/E97)</f>
        <v/>
      </c>
      <c r="F98" s="29" t="str">
        <f aca="false">IF(OR(F97="",N(F97)=0),"",F96/F97)</f>
        <v/>
      </c>
      <c r="G98" s="29" t="str">
        <f aca="false">IF(OR(G97="",N(G97)=0),"",G96/G97)</f>
        <v/>
      </c>
      <c r="H98" s="29" t="str">
        <f aca="false">IF(OR(H97="",N(H97)=0),"",H96/H97)</f>
        <v/>
      </c>
      <c r="I98" s="29" t="str">
        <f aca="false">IF(OR(I97="",N(I97)=0),"",I96/I97)</f>
        <v/>
      </c>
      <c r="J98" s="29" t="str">
        <f aca="false">IF(OR(J97="",N(J97)=0),"",J96/J97)</f>
        <v/>
      </c>
      <c r="K98" s="29" t="str">
        <f aca="false">IF(OR(K97="",N(K97)=0),"",K96/K97)</f>
        <v/>
      </c>
      <c r="L98" s="29" t="str">
        <f aca="false">IF(OR(L97="",N(L97)=0),"",L96/L97)</f>
        <v/>
      </c>
      <c r="M98" s="29" t="str">
        <f aca="false">IF(OR(M97="",N(M97)=0),"",M96/M97)</f>
        <v/>
      </c>
    </row>
    <row r="99" customFormat="false" ht="15" hidden="false" customHeight="false" outlineLevel="0" collapsed="false">
      <c r="A99" s="4" t="s">
        <v>981</v>
      </c>
      <c r="C99" s="0" t="s">
        <v>32</v>
      </c>
      <c r="D99" s="0" t="str">
        <f aca="false">IF(D98="","無個股值",IF(D96=0,"GW 帳無新增",IF(AND(In!$E$73="Verified",FALSE()),IF(ABS(D98-1)&lt;=tolband,"對得上","偏差"),"證據不足（"&amp;IF(ABS(D98-1)&lt;=tolband,"帶內","帶外")&amp;"）")))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IF(E98="","無個股值",IF(E96=0,"GW 帳無新增",IF(AND(In!$E$73="Verified",FALSE()),IF(ABS(E98-1)&lt;=tolband,"對得上","偏差"),"證據不足（"&amp;IF(ABS(E98-1)&lt;=tolband,"帶內","帶外")&amp;"）")))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IF(F98="","無個股值",IF(F96=0,"GW 帳無新增",IF(AND(In!$E$73="Verified",FALSE()),IF(ABS(F98-1)&lt;=tolband,"對得上","偏差"),"證據不足（"&amp;IF(ABS(F98-1)&lt;=tolband,"帶內","帶外")&amp;"）")))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IF(G98="","無個股值",IF(G96=0,"GW 帳無新增",IF(AND(In!$E$73="Verified",FALSE()),IF(ABS(G98-1)&lt;=tolband,"對得上","偏差"),"證據不足（"&amp;IF(ABS(G98-1)&lt;=tolband,"帶內","帶外")&amp;"）")))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IF(H98="","無個股值",IF(H96=0,"GW 帳無新增",IF(AND(In!$E$73="Verified",FALSE()),IF(ABS(H98-1)&lt;=tolband,"對得上","偏差"),"證據不足（"&amp;IF(ABS(H98-1)&lt;=tolband,"帶內","帶外")&amp;"）")))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IF(I98="","無個股值",IF(I96=0,"GW 帳無新增",IF(AND(In!$E$73="Verified",FALSE()),IF(ABS(I98-1)&lt;=tolband,"對得上","偏差"),"證據不足（"&amp;IF(ABS(I98-1)&lt;=tolband,"帶內","帶外")&amp;"）")))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IF(J98="","無個股值",IF(J96=0,"GW 帳無新增",IF(AND(In!$E$73="Verified",FALSE()),IF(ABS(J98-1)&lt;=tolband,"對得上","偏差"),"證據不足（"&amp;IF(ABS(J98-1)&lt;=tolband,"帶內","帶外")&amp;"）")))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IF(K98="","無個股值",IF(K96=0,"GW 帳無新增",IF(AND(In!$E$73="Verified",FALSE()),IF(ABS(K98-1)&lt;=tolband,"對得上","偏差"),"證據不足（"&amp;IF(ABS(K98-1)&lt;=tolband,"帶內","帶外")&amp;"）")))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IF(L98="","無個股值",IF(L96=0,"GW 帳無新增",IF(AND(In!$E$73="Verified",FALSE()),IF(ABS(L98-1)&lt;=tolband,"對得上","偏差"),"證據不足（"&amp;IF(ABS(L98-1)&lt;=tolband,"帶內","帶外")&amp;"）")))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IF(M98="","無個股值",IF(M96=0,"GW 帳無新增",IF(AND(In!$E$73="Verified",FALSE()),IF(ABS(M98-1)&lt;=tolband,"對得上","偏差"),"證據不足（"&amp;IF(ABS(M98-1)&lt;=tolband,"帶內","帶外")&amp;"）")))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7" t="s">
        <v>752</v>
      </c>
      <c r="B101" s="16" t="s">
        <v>371</v>
      </c>
      <c r="N101" s="4" t="s">
        <v>1007</v>
      </c>
    </row>
    <row r="102" customFormat="false" ht="17.15" hidden="false" customHeight="false" outlineLevel="0" collapsed="false">
      <c r="A102" s="4" t="s">
        <v>994</v>
      </c>
      <c r="C102" s="0" t="s">
        <v>213</v>
      </c>
      <c r="D102" s="30" t="n">
        <f aca="false">Players!D171*((1-Players!D173)*D$8+Players!D173*TK_NonNV_Hold_OAI*TK_CapexIT_VR200)</f>
        <v>0</v>
      </c>
      <c r="E102" s="30" t="n">
        <f aca="false">Players!E171*((1-Players!E173)*E$8+Players!E173*TK_NonNV_Hold_OAI*TK_CapexIT_VR200)</f>
        <v>0</v>
      </c>
      <c r="F102" s="30" t="n">
        <f aca="false">Players!F171*((1-Players!F173)*F$8+Players!F173*TK_NonNV_Hold_OAI*TK_CapexIT_VR200)</f>
        <v>0</v>
      </c>
      <c r="G102" s="30" t="n">
        <f aca="false">Players!G171*((1-Players!G173)*G$8+Players!G173*TK_NonNV_Hold_OAI*TK_CapexIT_VR200)</f>
        <v>0</v>
      </c>
      <c r="H102" s="30" t="n">
        <f aca="false">Players!H171*((1-Players!H173)*H$8+Players!H173*TK_NonNV_Hold_OAI*TK_CapexIT_VR200)</f>
        <v>0</v>
      </c>
      <c r="I102" s="30" t="n">
        <f aca="false">Players!I171*((1-Players!I173)*I$8+Players!I173*TK_NonNV_Hold_OAI*TK_CapexIT_VR200)</f>
        <v>0</v>
      </c>
      <c r="J102" s="30" t="n">
        <f aca="false">Players!J171*((1-Players!J173)*J$8+Players!J173*TK_NonNV_Hold_OAI*TK_CapexIT_VR200)</f>
        <v>0</v>
      </c>
      <c r="K102" s="30" t="n">
        <f aca="false">Players!K171*((1-Players!K173)*K$8+Players!K173*TK_NonNV_Hold_OAI*TK_CapexIT_VR200)</f>
        <v>0</v>
      </c>
      <c r="L102" s="30" t="n">
        <f aca="false">Players!L171*((1-Players!L173)*L$8+Players!L173*TK_NonNV_Hold_OAI*TK_CapexIT_VR200)</f>
        <v>0</v>
      </c>
      <c r="M102" s="30" t="n">
        <f aca="false">Players!M171*((1-Players!M173)*M$8+Players!M173*TK_NonNV_Hold_OAI*TK_CapexIT_VR200)</f>
        <v>0</v>
      </c>
    </row>
    <row r="103" customFormat="false" ht="15" hidden="false" customHeight="false" outlineLevel="0" collapsed="false">
      <c r="A103" s="4" t="s">
        <v>995</v>
      </c>
      <c r="C103" s="0" t="s">
        <v>213</v>
      </c>
      <c r="D103" s="30" t="n">
        <f aca="false">Players!D171*((1-Players!D173)*D$9+Players!D173*TK_NonNV_Hold_OAI*TK_CapexFacility_VR200)</f>
        <v>0</v>
      </c>
      <c r="E103" s="30" t="n">
        <f aca="false">Players!E171*((1-Players!E173)*E$9+Players!E173*TK_NonNV_Hold_OAI*TK_CapexFacility_VR200)</f>
        <v>0</v>
      </c>
      <c r="F103" s="30" t="n">
        <f aca="false">Players!F171*((1-Players!F173)*F$9+Players!F173*TK_NonNV_Hold_OAI*TK_CapexFacility_VR200)</f>
        <v>0</v>
      </c>
      <c r="G103" s="30" t="n">
        <f aca="false">Players!G171*((1-Players!G173)*G$9+Players!G173*TK_NonNV_Hold_OAI*TK_CapexFacility_VR200)</f>
        <v>0</v>
      </c>
      <c r="H103" s="30" t="n">
        <f aca="false">Players!H171*((1-Players!H173)*H$9+Players!H173*TK_NonNV_Hold_OAI*TK_CapexFacility_VR200)</f>
        <v>0</v>
      </c>
      <c r="I103" s="30" t="n">
        <f aca="false">Players!I171*((1-Players!I173)*I$9+Players!I173*TK_NonNV_Hold_OAI*TK_CapexFacility_VR200)</f>
        <v>0</v>
      </c>
      <c r="J103" s="30" t="n">
        <f aca="false">Players!J171*((1-Players!J173)*J$9+Players!J173*TK_NonNV_Hold_OAI*TK_CapexFacility_VR200)</f>
        <v>0</v>
      </c>
      <c r="K103" s="30" t="n">
        <f aca="false">Players!K171*((1-Players!K173)*K$9+Players!K173*TK_NonNV_Hold_OAI*TK_CapexFacility_VR200)</f>
        <v>0</v>
      </c>
      <c r="L103" s="30" t="n">
        <f aca="false">Players!L171*((1-Players!L173)*L$9+Players!L173*TK_NonNV_Hold_OAI*TK_CapexFacility_VR200)</f>
        <v>0</v>
      </c>
      <c r="M103" s="30" t="n">
        <f aca="false">Players!M171*((1-Players!M173)*M$9+Players!M173*TK_NonNV_Hold_OAI*TK_CapexFacility_VR200)</f>
        <v>0</v>
      </c>
    </row>
    <row r="104" customFormat="false" ht="17.15" hidden="false" customHeight="false" outlineLevel="0" collapsed="false">
      <c r="A104" s="4" t="s">
        <v>996</v>
      </c>
      <c r="C104" s="0" t="s">
        <v>213</v>
      </c>
      <c r="D104" s="30" t="n">
        <f aca="false">D103*$D$5+E103*$D$6+F103*$D$7</f>
        <v>0</v>
      </c>
      <c r="E104" s="30" t="n">
        <f aca="false">E103*$D$5+F103*$D$6+G103*$D$7</f>
        <v>0</v>
      </c>
      <c r="F104" s="30" t="n">
        <f aca="false">F103*$D$5+G103*$D$6+H103*$D$7</f>
        <v>0</v>
      </c>
      <c r="G104" s="30" t="n">
        <f aca="false">G103*$D$5+H103*$D$6+I103*$D$7</f>
        <v>0</v>
      </c>
      <c r="H104" s="30" t="n">
        <f aca="false">H103*$D$5+I103*$D$6+J103*$D$7</f>
        <v>0</v>
      </c>
      <c r="I104" s="30" t="n">
        <f aca="false">I103*$D$5+J103*$D$6+K103*$D$7</f>
        <v>0</v>
      </c>
      <c r="J104" s="30" t="n">
        <f aca="false">J103*$D$5+K103*$D$6+L103*$D$7</f>
        <v>0</v>
      </c>
      <c r="K104" s="30" t="n">
        <f aca="false">K103*$D$5+L103*$D$6+M103*$D$7</f>
        <v>0</v>
      </c>
      <c r="L104" s="30" t="n">
        <f aca="false">L103*$D$5+M103*$D$6</f>
        <v>0</v>
      </c>
      <c r="M104" s="30" t="n">
        <f aca="false">M103*$D$5</f>
        <v>0</v>
      </c>
    </row>
    <row r="105" customFormat="false" ht="17.15" hidden="false" customHeight="false" outlineLevel="0" collapsed="false">
      <c r="A105" s="4" t="s">
        <v>997</v>
      </c>
      <c r="C105" s="0" t="s">
        <v>213</v>
      </c>
      <c r="D105" s="30" t="n">
        <f aca="false">D102+D104</f>
        <v>0</v>
      </c>
      <c r="E105" s="30" t="n">
        <f aca="false">E102+E104</f>
        <v>0</v>
      </c>
      <c r="F105" s="30" t="n">
        <f aca="false">F102+F104</f>
        <v>0</v>
      </c>
      <c r="G105" s="30" t="n">
        <f aca="false">G102+G104</f>
        <v>0</v>
      </c>
      <c r="H105" s="30" t="n">
        <f aca="false">H102+H104</f>
        <v>0</v>
      </c>
      <c r="I105" s="30" t="n">
        <f aca="false">I102+I104</f>
        <v>0</v>
      </c>
      <c r="J105" s="30" t="n">
        <f aca="false">J102+J104</f>
        <v>0</v>
      </c>
      <c r="K105" s="30" t="n">
        <f aca="false">K102+K104</f>
        <v>0</v>
      </c>
      <c r="L105" s="30" t="n">
        <f aca="false">L102+L104</f>
        <v>0</v>
      </c>
      <c r="M105" s="30" t="n">
        <f aca="false">M102+M104</f>
        <v>0</v>
      </c>
    </row>
    <row r="106" customFormat="false" ht="17.15" hidden="false" customHeight="false" outlineLevel="0" collapsed="false">
      <c r="A106" s="4" t="s">
        <v>998</v>
      </c>
      <c r="C106" s="0" t="s">
        <v>213</v>
      </c>
      <c r="D106" s="30" t="n">
        <f aca="false">D105*12/12+N(In!H90)</f>
        <v>0</v>
      </c>
      <c r="E106" s="30" t="n">
        <f aca="false">E105*12/12+D105*(12-12)/12+N(In!I90)</f>
        <v>0</v>
      </c>
      <c r="F106" s="30" t="n">
        <f aca="false">F105*12/12+E105*(12-12)/12+N(In!J90)</f>
        <v>0</v>
      </c>
      <c r="G106" s="30" t="n">
        <f aca="false">G105*12/12+F105*(12-12)/12+N(In!K90)</f>
        <v>0</v>
      </c>
      <c r="H106" s="30" t="n">
        <f aca="false">H105*12/12+G105*(12-12)/12+N(In!L90)</f>
        <v>0</v>
      </c>
      <c r="I106" s="30" t="n">
        <f aca="false">I105*12/12+H105*(12-12)/12+N(In!M90)</f>
        <v>0</v>
      </c>
      <c r="J106" s="30" t="n">
        <f aca="false">J105*12/12+I105*(12-12)/12+N(In!N90)</f>
        <v>0</v>
      </c>
      <c r="K106" s="30" t="n">
        <f aca="false">K105*12/12+J105*(12-12)/12+N(In!O90)</f>
        <v>0</v>
      </c>
      <c r="L106" s="30" t="n">
        <f aca="false">L105*12/12+K105*(12-12)/12+N(In!P90)</f>
        <v>0</v>
      </c>
      <c r="M106" s="30" t="n">
        <f aca="false">M105*12/12+L105*(12-12)/12+N(In!Q90)</f>
        <v>0</v>
      </c>
    </row>
    <row r="107" customFormat="false" ht="17.15" hidden="false" customHeight="false" outlineLevel="0" collapsed="false">
      <c r="A107" s="4" t="s">
        <v>999</v>
      </c>
      <c r="C107" s="0" t="s">
        <v>213</v>
      </c>
      <c r="D107" s="15" t="str">
        <f aca="false">IF(In!H74="","",In!H74)</f>
        <v/>
      </c>
      <c r="E107" s="15" t="str">
        <f aca="false">IF(In!I74="","",In!I74)</f>
        <v/>
      </c>
      <c r="F107" s="15" t="str">
        <f aca="false">IF(In!J74="","",In!J74)</f>
        <v/>
      </c>
      <c r="G107" s="15" t="str">
        <f aca="false">IF(In!K74="","",In!K74)</f>
        <v/>
      </c>
      <c r="H107" s="15" t="str">
        <f aca="false">IF(In!L74="","",In!L74)</f>
        <v/>
      </c>
      <c r="I107" s="15" t="str">
        <f aca="false">IF(In!M74="","",In!M74)</f>
        <v/>
      </c>
      <c r="J107" s="15" t="str">
        <f aca="false">IF(In!N74="","",In!N74)</f>
        <v/>
      </c>
      <c r="K107" s="15" t="str">
        <f aca="false">IF(In!O74="","",In!O74)</f>
        <v/>
      </c>
      <c r="L107" s="15" t="str">
        <f aca="false">IF(In!P74="","",In!P74)</f>
        <v/>
      </c>
      <c r="M107" s="15" t="str">
        <f aca="false">IF(In!Q74="","",In!Q74)</f>
        <v/>
      </c>
    </row>
    <row r="108" customFormat="false" ht="17.15" hidden="false" customHeight="false" outlineLevel="0" collapsed="false">
      <c r="A108" s="4" t="s">
        <v>1000</v>
      </c>
      <c r="C108" s="0" t="s">
        <v>33</v>
      </c>
      <c r="D108" s="29" t="str">
        <f aca="false">IF(OR(D107="",N(D107)=0),"",D106/D107)</f>
        <v/>
      </c>
      <c r="E108" s="29" t="str">
        <f aca="false">IF(OR(E107="",N(E107)=0),"",E106/E107)</f>
        <v/>
      </c>
      <c r="F108" s="29" t="str">
        <f aca="false">IF(OR(F107="",N(F107)=0),"",F106/F107)</f>
        <v/>
      </c>
      <c r="G108" s="29" t="str">
        <f aca="false">IF(OR(G107="",N(G107)=0),"",G106/G107)</f>
        <v/>
      </c>
      <c r="H108" s="29" t="str">
        <f aca="false">IF(OR(H107="",N(H107)=0),"",H106/H107)</f>
        <v/>
      </c>
      <c r="I108" s="29" t="str">
        <f aca="false">IF(OR(I107="",N(I107)=0),"",I106/I107)</f>
        <v/>
      </c>
      <c r="J108" s="29" t="str">
        <f aca="false">IF(OR(J107="",N(J107)=0),"",J106/J107)</f>
        <v/>
      </c>
      <c r="K108" s="29" t="str">
        <f aca="false">IF(OR(K107="",N(K107)=0),"",K106/K107)</f>
        <v/>
      </c>
      <c r="L108" s="29" t="str">
        <f aca="false">IF(OR(L107="",N(L107)=0),"",L106/L107)</f>
        <v/>
      </c>
      <c r="M108" s="29" t="str">
        <f aca="false">IF(OR(M107="",N(M107)=0),"",M106/M107)</f>
        <v/>
      </c>
    </row>
    <row r="109" customFormat="false" ht="15" hidden="false" customHeight="false" outlineLevel="0" collapsed="false">
      <c r="A109" s="4" t="s">
        <v>981</v>
      </c>
      <c r="C109" s="0" t="s">
        <v>32</v>
      </c>
      <c r="D109" s="0" t="str">
        <f aca="false">IF(D108="","無個股值",IF(D106=0,"GW 帳無新增",IF(AND(In!$E$74="Verified",FALSE()),IF(ABS(D108-1)&lt;=tolband,"對得上","偏差"),"證據不足（"&amp;IF(ABS(D108-1)&lt;=tolband,"帶內","帶外")&amp;"）")))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IF(E108="","無個股值",IF(E106=0,"GW 帳無新增",IF(AND(In!$E$74="Verified",FALSE()),IF(ABS(E108-1)&lt;=tolband,"對得上","偏差"),"證據不足（"&amp;IF(ABS(E108-1)&lt;=tolband,"帶內","帶外")&amp;"）")))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IF(F108="","無個股值",IF(F106=0,"GW 帳無新增",IF(AND(In!$E$74="Verified",FALSE()),IF(ABS(F108-1)&lt;=tolband,"對得上","偏差"),"證據不足（"&amp;IF(ABS(F108-1)&lt;=tolband,"帶內","帶外")&amp;"）")))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IF(G108="","無個股值",IF(G106=0,"GW 帳無新增",IF(AND(In!$E$74="Verified",FALSE()),IF(ABS(G108-1)&lt;=tolband,"對得上","偏差"),"證據不足（"&amp;IF(ABS(G108-1)&lt;=tolband,"帶內","帶外")&amp;"）")))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IF(H108="","無個股值",IF(H106=0,"GW 帳無新增",IF(AND(In!$E$74="Verified",FALSE()),IF(ABS(H108-1)&lt;=tolband,"對得上","偏差"),"證據不足（"&amp;IF(ABS(H108-1)&lt;=tolband,"帶內","帶外")&amp;"）")))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IF(I108="","無個股值",IF(I106=0,"GW 帳無新增",IF(AND(In!$E$74="Verified",FALSE()),IF(ABS(I108-1)&lt;=tolband,"對得上","偏差"),"證據不足（"&amp;IF(ABS(I108-1)&lt;=tolband,"帶內","帶外")&amp;"）")))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IF(J108="","無個股值",IF(J106=0,"GW 帳無新增",IF(AND(In!$E$74="Verified",FALSE()),IF(ABS(J108-1)&lt;=tolband,"對得上","偏差"),"證據不足（"&amp;IF(ABS(J108-1)&lt;=tolband,"帶內","帶外")&amp;"）")))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IF(K108="","無個股值",IF(K106=0,"GW 帳無新增",IF(AND(In!$E$74="Verified",FALSE()),IF(ABS(K108-1)&lt;=tolband,"對得上","偏差"),"證據不足（"&amp;IF(ABS(K108-1)&lt;=tolband,"帶內","帶外")&amp;"）")))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IF(L108="","無個股值",IF(L106=0,"GW 帳無新增",IF(AND(In!$E$74="Verified",FALSE()),IF(ABS(L108-1)&lt;=tolband,"對得上","偏差"),"證據不足（"&amp;IF(ABS(L108-1)&lt;=tolband,"帶內","帶外")&amp;"）")))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IF(M108="","無個股值",IF(M106=0,"GW 帳無新增",IF(AND(In!$E$74="Verified",FALSE()),IF(ABS(M108-1)&lt;=tolband,"對得上","偏差"),"證據不足（"&amp;IF(ABS(M108-1)&lt;=tolband,"帶內","帶外")&amp;"）")))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7" t="s">
        <v>768</v>
      </c>
      <c r="B111" s="16" t="s">
        <v>378</v>
      </c>
      <c r="N111" s="4" t="s">
        <v>1007</v>
      </c>
    </row>
    <row r="112" customFormat="false" ht="17.15" hidden="false" customHeight="false" outlineLevel="0" collapsed="false">
      <c r="A112" s="4" t="s">
        <v>994</v>
      </c>
      <c r="C112" s="0" t="s">
        <v>213</v>
      </c>
      <c r="D112" s="30" t="n">
        <f aca="false">Players!D187*((1-Players!D189)*D$8+Players!D189*TK_NonNV_Hold_TPU*TK_CapexIT_VR200)</f>
        <v>0</v>
      </c>
      <c r="E112" s="30" t="n">
        <f aca="false">Players!E187*((1-Players!E189)*E$8+Players!E189*TK_NonNV_Hold_TPU*TK_CapexIT_VR200)</f>
        <v>0</v>
      </c>
      <c r="F112" s="30" t="n">
        <f aca="false">Players!F187*((1-Players!F189)*F$8+Players!F189*TK_NonNV_Hold_TPU*TK_CapexIT_VR200)</f>
        <v>0</v>
      </c>
      <c r="G112" s="30" t="n">
        <f aca="false">Players!G187*((1-Players!G189)*G$8+Players!G189*TK_NonNV_Hold_TPU*TK_CapexIT_VR200)</f>
        <v>0</v>
      </c>
      <c r="H112" s="30" t="n">
        <f aca="false">Players!H187*((1-Players!H189)*H$8+Players!H189*TK_NonNV_Hold_TPU*TK_CapexIT_VR200)</f>
        <v>0</v>
      </c>
      <c r="I112" s="30" t="n">
        <f aca="false">Players!I187*((1-Players!I189)*I$8+Players!I189*TK_NonNV_Hold_TPU*TK_CapexIT_VR200)</f>
        <v>0</v>
      </c>
      <c r="J112" s="30" t="n">
        <f aca="false">Players!J187*((1-Players!J189)*J$8+Players!J189*TK_NonNV_Hold_TPU*TK_CapexIT_VR200)</f>
        <v>0</v>
      </c>
      <c r="K112" s="30" t="n">
        <f aca="false">Players!K187*((1-Players!K189)*K$8+Players!K189*TK_NonNV_Hold_TPU*TK_CapexIT_VR200)</f>
        <v>0</v>
      </c>
      <c r="L112" s="30" t="n">
        <f aca="false">Players!L187*((1-Players!L189)*L$8+Players!L189*TK_NonNV_Hold_TPU*TK_CapexIT_VR200)</f>
        <v>0</v>
      </c>
      <c r="M112" s="30" t="n">
        <f aca="false">Players!M187*((1-Players!M189)*M$8+Players!M189*TK_NonNV_Hold_TPU*TK_CapexIT_VR200)</f>
        <v>0</v>
      </c>
    </row>
    <row r="113" customFormat="false" ht="15" hidden="false" customHeight="false" outlineLevel="0" collapsed="false">
      <c r="A113" s="4" t="s">
        <v>995</v>
      </c>
      <c r="C113" s="0" t="s">
        <v>213</v>
      </c>
      <c r="D113" s="30" t="n">
        <f aca="false">Players!D187*((1-Players!D189)*D$9+Players!D189*TK_NonNV_Hold_TPU*TK_CapexFacility_VR200)</f>
        <v>0</v>
      </c>
      <c r="E113" s="30" t="n">
        <f aca="false">Players!E187*((1-Players!E189)*E$9+Players!E189*TK_NonNV_Hold_TPU*TK_CapexFacility_VR200)</f>
        <v>0</v>
      </c>
      <c r="F113" s="30" t="n">
        <f aca="false">Players!F187*((1-Players!F189)*F$9+Players!F189*TK_NonNV_Hold_TPU*TK_CapexFacility_VR200)</f>
        <v>0</v>
      </c>
      <c r="G113" s="30" t="n">
        <f aca="false">Players!G187*((1-Players!G189)*G$9+Players!G189*TK_NonNV_Hold_TPU*TK_CapexFacility_VR200)</f>
        <v>0</v>
      </c>
      <c r="H113" s="30" t="n">
        <f aca="false">Players!H187*((1-Players!H189)*H$9+Players!H189*TK_NonNV_Hold_TPU*TK_CapexFacility_VR200)</f>
        <v>0</v>
      </c>
      <c r="I113" s="30" t="n">
        <f aca="false">Players!I187*((1-Players!I189)*I$9+Players!I189*TK_NonNV_Hold_TPU*TK_CapexFacility_VR200)</f>
        <v>0</v>
      </c>
      <c r="J113" s="30" t="n">
        <f aca="false">Players!J187*((1-Players!J189)*J$9+Players!J189*TK_NonNV_Hold_TPU*TK_CapexFacility_VR200)</f>
        <v>0</v>
      </c>
      <c r="K113" s="30" t="n">
        <f aca="false">Players!K187*((1-Players!K189)*K$9+Players!K189*TK_NonNV_Hold_TPU*TK_CapexFacility_VR200)</f>
        <v>0</v>
      </c>
      <c r="L113" s="30" t="n">
        <f aca="false">Players!L187*((1-Players!L189)*L$9+Players!L189*TK_NonNV_Hold_TPU*TK_CapexFacility_VR200)</f>
        <v>0</v>
      </c>
      <c r="M113" s="30" t="n">
        <f aca="false">Players!M187*((1-Players!M189)*M$9+Players!M189*TK_NonNV_Hold_TPU*TK_CapexFacility_VR200)</f>
        <v>0</v>
      </c>
    </row>
    <row r="114" customFormat="false" ht="17.15" hidden="false" customHeight="false" outlineLevel="0" collapsed="false">
      <c r="A114" s="4" t="s">
        <v>996</v>
      </c>
      <c r="C114" s="0" t="s">
        <v>213</v>
      </c>
      <c r="D114" s="30" t="n">
        <f aca="false">D113*$D$5+E113*$D$6+F113*$D$7</f>
        <v>0</v>
      </c>
      <c r="E114" s="30" t="n">
        <f aca="false">E113*$D$5+F113*$D$6+G113*$D$7</f>
        <v>0</v>
      </c>
      <c r="F114" s="30" t="n">
        <f aca="false">F113*$D$5+G113*$D$6+H113*$D$7</f>
        <v>0</v>
      </c>
      <c r="G114" s="30" t="n">
        <f aca="false">G113*$D$5+H113*$D$6+I113*$D$7</f>
        <v>0</v>
      </c>
      <c r="H114" s="30" t="n">
        <f aca="false">H113*$D$5+I113*$D$6+J113*$D$7</f>
        <v>0</v>
      </c>
      <c r="I114" s="30" t="n">
        <f aca="false">I113*$D$5+J113*$D$6+K113*$D$7</f>
        <v>0</v>
      </c>
      <c r="J114" s="30" t="n">
        <f aca="false">J113*$D$5+K113*$D$6+L113*$D$7</f>
        <v>0</v>
      </c>
      <c r="K114" s="30" t="n">
        <f aca="false">K113*$D$5+L113*$D$6+M113*$D$7</f>
        <v>0</v>
      </c>
      <c r="L114" s="30" t="n">
        <f aca="false">L113*$D$5+M113*$D$6</f>
        <v>0</v>
      </c>
      <c r="M114" s="30" t="n">
        <f aca="false">M113*$D$5</f>
        <v>0</v>
      </c>
    </row>
    <row r="115" customFormat="false" ht="17.15" hidden="false" customHeight="false" outlineLevel="0" collapsed="false">
      <c r="A115" s="4" t="s">
        <v>997</v>
      </c>
      <c r="C115" s="0" t="s">
        <v>213</v>
      </c>
      <c r="D115" s="30" t="n">
        <f aca="false">D112+D114</f>
        <v>0</v>
      </c>
      <c r="E115" s="30" t="n">
        <f aca="false">E112+E114</f>
        <v>0</v>
      </c>
      <c r="F115" s="30" t="n">
        <f aca="false">F112+F114</f>
        <v>0</v>
      </c>
      <c r="G115" s="30" t="n">
        <f aca="false">G112+G114</f>
        <v>0</v>
      </c>
      <c r="H115" s="30" t="n">
        <f aca="false">H112+H114</f>
        <v>0</v>
      </c>
      <c r="I115" s="30" t="n">
        <f aca="false">I112+I114</f>
        <v>0</v>
      </c>
      <c r="J115" s="30" t="n">
        <f aca="false">J112+J114</f>
        <v>0</v>
      </c>
      <c r="K115" s="30" t="n">
        <f aca="false">K112+K114</f>
        <v>0</v>
      </c>
      <c r="L115" s="30" t="n">
        <f aca="false">L112+L114</f>
        <v>0</v>
      </c>
      <c r="M115" s="30" t="n">
        <f aca="false">M112+M114</f>
        <v>0</v>
      </c>
    </row>
    <row r="116" customFormat="false" ht="17.15" hidden="false" customHeight="false" outlineLevel="0" collapsed="false">
      <c r="A116" s="4" t="s">
        <v>998</v>
      </c>
      <c r="C116" s="0" t="s">
        <v>213</v>
      </c>
      <c r="D116" s="30" t="n">
        <f aca="false">D115*12/12+N(In!H91)</f>
        <v>0</v>
      </c>
      <c r="E116" s="30" t="n">
        <f aca="false">E115*12/12+D115*(12-12)/12+N(In!I91)</f>
        <v>0</v>
      </c>
      <c r="F116" s="30" t="n">
        <f aca="false">F115*12/12+E115*(12-12)/12+N(In!J91)</f>
        <v>0</v>
      </c>
      <c r="G116" s="30" t="n">
        <f aca="false">G115*12/12+F115*(12-12)/12+N(In!K91)</f>
        <v>0</v>
      </c>
      <c r="H116" s="30" t="n">
        <f aca="false">H115*12/12+G115*(12-12)/12+N(In!L91)</f>
        <v>0</v>
      </c>
      <c r="I116" s="30" t="n">
        <f aca="false">I115*12/12+H115*(12-12)/12+N(In!M91)</f>
        <v>0</v>
      </c>
      <c r="J116" s="30" t="n">
        <f aca="false">J115*12/12+I115*(12-12)/12+N(In!N91)</f>
        <v>0</v>
      </c>
      <c r="K116" s="30" t="n">
        <f aca="false">K115*12/12+J115*(12-12)/12+N(In!O91)</f>
        <v>0</v>
      </c>
      <c r="L116" s="30" t="n">
        <f aca="false">L115*12/12+K115*(12-12)/12+N(In!P91)</f>
        <v>0</v>
      </c>
      <c r="M116" s="30" t="n">
        <f aca="false">M115*12/12+L115*(12-12)/12+N(In!Q91)</f>
        <v>0</v>
      </c>
    </row>
    <row r="117" customFormat="false" ht="17.15" hidden="false" customHeight="false" outlineLevel="0" collapsed="false">
      <c r="A117" s="4" t="s">
        <v>999</v>
      </c>
      <c r="C117" s="0" t="s">
        <v>213</v>
      </c>
      <c r="D117" s="15" t="str">
        <f aca="false">IF(In!H75="","",In!H75)</f>
        <v/>
      </c>
      <c r="E117" s="15" t="str">
        <f aca="false">IF(In!I75="","",In!I75)</f>
        <v/>
      </c>
      <c r="F117" s="15" t="str">
        <f aca="false">IF(In!J75="","",In!J75)</f>
        <v/>
      </c>
      <c r="G117" s="15" t="str">
        <f aca="false">IF(In!K75="","",In!K75)</f>
        <v/>
      </c>
      <c r="H117" s="15" t="str">
        <f aca="false">IF(In!L75="","",In!L75)</f>
        <v/>
      </c>
      <c r="I117" s="15" t="str">
        <f aca="false">IF(In!M75="","",In!M75)</f>
        <v/>
      </c>
      <c r="J117" s="15" t="str">
        <f aca="false">IF(In!N75="","",In!N75)</f>
        <v/>
      </c>
      <c r="K117" s="15" t="str">
        <f aca="false">IF(In!O75="","",In!O75)</f>
        <v/>
      </c>
      <c r="L117" s="15" t="str">
        <f aca="false">IF(In!P75="","",In!P75)</f>
        <v/>
      </c>
      <c r="M117" s="15" t="str">
        <f aca="false">IF(In!Q75="","",In!Q75)</f>
        <v/>
      </c>
    </row>
    <row r="118" customFormat="false" ht="17.15" hidden="false" customHeight="false" outlineLevel="0" collapsed="false">
      <c r="A118" s="4" t="s">
        <v>1000</v>
      </c>
      <c r="C118" s="0" t="s">
        <v>33</v>
      </c>
      <c r="D118" s="29" t="str">
        <f aca="false">IF(OR(D117="",N(D117)=0),"",D116/D117)</f>
        <v/>
      </c>
      <c r="E118" s="29" t="str">
        <f aca="false">IF(OR(E117="",N(E117)=0),"",E116/E117)</f>
        <v/>
      </c>
      <c r="F118" s="29" t="str">
        <f aca="false">IF(OR(F117="",N(F117)=0),"",F116/F117)</f>
        <v/>
      </c>
      <c r="G118" s="29" t="str">
        <f aca="false">IF(OR(G117="",N(G117)=0),"",G116/G117)</f>
        <v/>
      </c>
      <c r="H118" s="29" t="str">
        <f aca="false">IF(OR(H117="",N(H117)=0),"",H116/H117)</f>
        <v/>
      </c>
      <c r="I118" s="29" t="str">
        <f aca="false">IF(OR(I117="",N(I117)=0),"",I116/I117)</f>
        <v/>
      </c>
      <c r="J118" s="29" t="str">
        <f aca="false">IF(OR(J117="",N(J117)=0),"",J116/J117)</f>
        <v/>
      </c>
      <c r="K118" s="29" t="str">
        <f aca="false">IF(OR(K117="",N(K117)=0),"",K116/K117)</f>
        <v/>
      </c>
      <c r="L118" s="29" t="str">
        <f aca="false">IF(OR(L117="",N(L117)=0),"",L116/L117)</f>
        <v/>
      </c>
      <c r="M118" s="29" t="str">
        <f aca="false">IF(OR(M117="",N(M117)=0),"",M116/M117)</f>
        <v/>
      </c>
    </row>
    <row r="119" customFormat="false" ht="15" hidden="false" customHeight="false" outlineLevel="0" collapsed="false">
      <c r="A119" s="4" t="s">
        <v>981</v>
      </c>
      <c r="C119" s="0" t="s">
        <v>32</v>
      </c>
      <c r="D119" s="0" t="str">
        <f aca="false">IF(D118="","無個股值",IF(D116=0,"GW 帳無新增",IF(AND(In!$E$75="Verified",FALSE()),IF(ABS(D118-1)&lt;=tolband,"對得上","偏差"),"證據不足（"&amp;IF(ABS(D118-1)&lt;=tolband,"帶內","帶外")&amp;"）")))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IF(E118="","無個股值",IF(E116=0,"GW 帳無新增",IF(AND(In!$E$75="Verified",FALSE()),IF(ABS(E118-1)&lt;=tolband,"對得上","偏差"),"證據不足（"&amp;IF(ABS(E118-1)&lt;=tolband,"帶內","帶外")&amp;"）")))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IF(F118="","無個股值",IF(F116=0,"GW 帳無新增",IF(AND(In!$E$75="Verified",FALSE()),IF(ABS(F118-1)&lt;=tolband,"對得上","偏差"),"證據不足（"&amp;IF(ABS(F118-1)&lt;=tolband,"帶內","帶外")&amp;"）")))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IF(G118="","無個股值",IF(G116=0,"GW 帳無新增",IF(AND(In!$E$75="Verified",FALSE()),IF(ABS(G118-1)&lt;=tolband,"對得上","偏差"),"證據不足（"&amp;IF(ABS(G118-1)&lt;=tolband,"帶內","帶外")&amp;"）")))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IF(H118="","無個股值",IF(H116=0,"GW 帳無新增",IF(AND(In!$E$75="Verified",FALSE()),IF(ABS(H118-1)&lt;=tolband,"對得上","偏差"),"證據不足（"&amp;IF(ABS(H118-1)&lt;=tolband,"帶內","帶外")&amp;"）")))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IF(I118="","無個股值",IF(I116=0,"GW 帳無新增",IF(AND(In!$E$75="Verified",FALSE()),IF(ABS(I118-1)&lt;=tolband,"對得上","偏差"),"證據不足（"&amp;IF(ABS(I118-1)&lt;=tolband,"帶內","帶外")&amp;"）")))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IF(J118="","無個股值",IF(J116=0,"GW 帳無新增",IF(AND(In!$E$75="Verified",FALSE()),IF(ABS(J118-1)&lt;=tolband,"對得上","偏差"),"證據不足（"&amp;IF(ABS(J118-1)&lt;=tolband,"帶內","帶外")&amp;"）")))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IF(K118="","無個股值",IF(K116=0,"GW 帳無新增",IF(AND(In!$E$75="Verified",FALSE()),IF(ABS(K118-1)&lt;=tolband,"對得上","偏差"),"證據不足（"&amp;IF(ABS(K118-1)&lt;=tolband,"帶內","帶外")&amp;"）")))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IF(L118="","無個股值",IF(L116=0,"GW 帳無新增",IF(AND(In!$E$75="Verified",FALSE()),IF(ABS(L118-1)&lt;=tolband,"對得上","偏差"),"證據不足（"&amp;IF(ABS(L118-1)&lt;=tolband,"帶內","帶外")&amp;"）")))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IF(M118="","無個股值",IF(M116=0,"GW 帳無新增",IF(AND(In!$E$75="Verified",FALSE()),IF(ABS(M118-1)&lt;=tolband,"對得上","偏差"),"證據不足（"&amp;IF(ABS(M118-1)&lt;=tolband,"帶內","帶外")&amp;"）")))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17" t="s">
        <v>784</v>
      </c>
      <c r="B121" s="16" t="s">
        <v>785</v>
      </c>
      <c r="N121" s="4" t="s">
        <v>1007</v>
      </c>
    </row>
    <row r="122" customFormat="false" ht="17.15" hidden="false" customHeight="false" outlineLevel="0" collapsed="false">
      <c r="A122" s="4" t="s">
        <v>994</v>
      </c>
      <c r="C122" s="0" t="s">
        <v>213</v>
      </c>
      <c r="D122" s="30" t="n">
        <f aca="false">Players!D203*((1-Players!D205)*D$8+Players!D205*TK_NonNV_Hold_AMD*TK_CapexIT_VR200)</f>
        <v>0</v>
      </c>
      <c r="E122" s="30" t="n">
        <f aca="false">Players!E203*((1-Players!E205)*E$8+Players!E205*TK_NonNV_Hold_AMD*TK_CapexIT_VR200)</f>
        <v>0</v>
      </c>
      <c r="F122" s="30" t="n">
        <f aca="false">Players!F203*((1-Players!F205)*F$8+Players!F205*TK_NonNV_Hold_AMD*TK_CapexIT_VR200)</f>
        <v>0</v>
      </c>
      <c r="G122" s="30" t="n">
        <f aca="false">Players!G203*((1-Players!G205)*G$8+Players!G205*TK_NonNV_Hold_AMD*TK_CapexIT_VR200)</f>
        <v>0</v>
      </c>
      <c r="H122" s="30" t="n">
        <f aca="false">Players!H203*((1-Players!H205)*H$8+Players!H205*TK_NonNV_Hold_AMD*TK_CapexIT_VR200)</f>
        <v>0</v>
      </c>
      <c r="I122" s="30" t="n">
        <f aca="false">Players!I203*((1-Players!I205)*I$8+Players!I205*TK_NonNV_Hold_AMD*TK_CapexIT_VR200)</f>
        <v>0</v>
      </c>
      <c r="J122" s="30" t="n">
        <f aca="false">Players!J203*((1-Players!J205)*J$8+Players!J205*TK_NonNV_Hold_AMD*TK_CapexIT_VR200)</f>
        <v>0</v>
      </c>
      <c r="K122" s="30" t="n">
        <f aca="false">Players!K203*((1-Players!K205)*K$8+Players!K205*TK_NonNV_Hold_AMD*TK_CapexIT_VR200)</f>
        <v>0</v>
      </c>
      <c r="L122" s="30" t="n">
        <f aca="false">Players!L203*((1-Players!L205)*L$8+Players!L205*TK_NonNV_Hold_AMD*TK_CapexIT_VR200)</f>
        <v>0</v>
      </c>
      <c r="M122" s="30" t="n">
        <f aca="false">Players!M203*((1-Players!M205)*M$8+Players!M205*TK_NonNV_Hold_AMD*TK_CapexIT_VR200)</f>
        <v>0</v>
      </c>
    </row>
    <row r="123" customFormat="false" ht="15" hidden="false" customHeight="false" outlineLevel="0" collapsed="false">
      <c r="A123" s="4" t="s">
        <v>995</v>
      </c>
      <c r="C123" s="0" t="s">
        <v>213</v>
      </c>
      <c r="D123" s="30" t="n">
        <f aca="false">Players!D203*((1-Players!D205)*D$9+Players!D205*TK_NonNV_Hold_AMD*TK_CapexFacility_VR200)</f>
        <v>0</v>
      </c>
      <c r="E123" s="30" t="n">
        <f aca="false">Players!E203*((1-Players!E205)*E$9+Players!E205*TK_NonNV_Hold_AMD*TK_CapexFacility_VR200)</f>
        <v>0</v>
      </c>
      <c r="F123" s="30" t="n">
        <f aca="false">Players!F203*((1-Players!F205)*F$9+Players!F205*TK_NonNV_Hold_AMD*TK_CapexFacility_VR200)</f>
        <v>0</v>
      </c>
      <c r="G123" s="30" t="n">
        <f aca="false">Players!G203*((1-Players!G205)*G$9+Players!G205*TK_NonNV_Hold_AMD*TK_CapexFacility_VR200)</f>
        <v>0</v>
      </c>
      <c r="H123" s="30" t="n">
        <f aca="false">Players!H203*((1-Players!H205)*H$9+Players!H205*TK_NonNV_Hold_AMD*TK_CapexFacility_VR200)</f>
        <v>0</v>
      </c>
      <c r="I123" s="30" t="n">
        <f aca="false">Players!I203*((1-Players!I205)*I$9+Players!I205*TK_NonNV_Hold_AMD*TK_CapexFacility_VR200)</f>
        <v>0</v>
      </c>
      <c r="J123" s="30" t="n">
        <f aca="false">Players!J203*((1-Players!J205)*J$9+Players!J205*TK_NonNV_Hold_AMD*TK_CapexFacility_VR200)</f>
        <v>0</v>
      </c>
      <c r="K123" s="30" t="n">
        <f aca="false">Players!K203*((1-Players!K205)*K$9+Players!K205*TK_NonNV_Hold_AMD*TK_CapexFacility_VR200)</f>
        <v>0</v>
      </c>
      <c r="L123" s="30" t="n">
        <f aca="false">Players!L203*((1-Players!L205)*L$9+Players!L205*TK_NonNV_Hold_AMD*TK_CapexFacility_VR200)</f>
        <v>0</v>
      </c>
      <c r="M123" s="30" t="n">
        <f aca="false">Players!M203*((1-Players!M205)*M$9+Players!M205*TK_NonNV_Hold_AMD*TK_CapexFacility_VR200)</f>
        <v>0</v>
      </c>
    </row>
    <row r="124" customFormat="false" ht="17.15" hidden="false" customHeight="false" outlineLevel="0" collapsed="false">
      <c r="A124" s="4" t="s">
        <v>996</v>
      </c>
      <c r="C124" s="0" t="s">
        <v>213</v>
      </c>
      <c r="D124" s="30" t="n">
        <f aca="false">D123*$D$5+E123*$D$6+F123*$D$7</f>
        <v>0</v>
      </c>
      <c r="E124" s="30" t="n">
        <f aca="false">E123*$D$5+F123*$D$6+G123*$D$7</f>
        <v>0</v>
      </c>
      <c r="F124" s="30" t="n">
        <f aca="false">F123*$D$5+G123*$D$6+H123*$D$7</f>
        <v>0</v>
      </c>
      <c r="G124" s="30" t="n">
        <f aca="false">G123*$D$5+H123*$D$6+I123*$D$7</f>
        <v>0</v>
      </c>
      <c r="H124" s="30" t="n">
        <f aca="false">H123*$D$5+I123*$D$6+J123*$D$7</f>
        <v>0</v>
      </c>
      <c r="I124" s="30" t="n">
        <f aca="false">I123*$D$5+J123*$D$6+K123*$D$7</f>
        <v>0</v>
      </c>
      <c r="J124" s="30" t="n">
        <f aca="false">J123*$D$5+K123*$D$6+L123*$D$7</f>
        <v>0</v>
      </c>
      <c r="K124" s="30" t="n">
        <f aca="false">K123*$D$5+L123*$D$6+M123*$D$7</f>
        <v>0</v>
      </c>
      <c r="L124" s="30" t="n">
        <f aca="false">L123*$D$5+M123*$D$6</f>
        <v>0</v>
      </c>
      <c r="M124" s="30" t="n">
        <f aca="false">M123*$D$5</f>
        <v>0</v>
      </c>
    </row>
    <row r="125" customFormat="false" ht="17.15" hidden="false" customHeight="false" outlineLevel="0" collapsed="false">
      <c r="A125" s="4" t="s">
        <v>997</v>
      </c>
      <c r="C125" s="0" t="s">
        <v>213</v>
      </c>
      <c r="D125" s="30" t="n">
        <f aca="false">D122+D124</f>
        <v>0</v>
      </c>
      <c r="E125" s="30" t="n">
        <f aca="false">E122+E124</f>
        <v>0</v>
      </c>
      <c r="F125" s="30" t="n">
        <f aca="false">F122+F124</f>
        <v>0</v>
      </c>
      <c r="G125" s="30" t="n">
        <f aca="false">G122+G124</f>
        <v>0</v>
      </c>
      <c r="H125" s="30" t="n">
        <f aca="false">H122+H124</f>
        <v>0</v>
      </c>
      <c r="I125" s="30" t="n">
        <f aca="false">I122+I124</f>
        <v>0</v>
      </c>
      <c r="J125" s="30" t="n">
        <f aca="false">J122+J124</f>
        <v>0</v>
      </c>
      <c r="K125" s="30" t="n">
        <f aca="false">K122+K124</f>
        <v>0</v>
      </c>
      <c r="L125" s="30" t="n">
        <f aca="false">L122+L124</f>
        <v>0</v>
      </c>
      <c r="M125" s="30" t="n">
        <f aca="false">M122+M124</f>
        <v>0</v>
      </c>
    </row>
    <row r="126" customFormat="false" ht="17.15" hidden="false" customHeight="false" outlineLevel="0" collapsed="false">
      <c r="A126" s="4" t="s">
        <v>998</v>
      </c>
      <c r="C126" s="0" t="s">
        <v>213</v>
      </c>
      <c r="D126" s="30" t="n">
        <f aca="false">D125*12/12+N(In!H92)</f>
        <v>0</v>
      </c>
      <c r="E126" s="30" t="n">
        <f aca="false">E125*12/12+D125*(12-12)/12+N(In!I92)</f>
        <v>0</v>
      </c>
      <c r="F126" s="30" t="n">
        <f aca="false">F125*12/12+E125*(12-12)/12+N(In!J92)</f>
        <v>0</v>
      </c>
      <c r="G126" s="30" t="n">
        <f aca="false">G125*12/12+F125*(12-12)/12+N(In!K92)</f>
        <v>0</v>
      </c>
      <c r="H126" s="30" t="n">
        <f aca="false">H125*12/12+G125*(12-12)/12+N(In!L92)</f>
        <v>0</v>
      </c>
      <c r="I126" s="30" t="n">
        <f aca="false">I125*12/12+H125*(12-12)/12+N(In!M92)</f>
        <v>0</v>
      </c>
      <c r="J126" s="30" t="n">
        <f aca="false">J125*12/12+I125*(12-12)/12+N(In!N92)</f>
        <v>0</v>
      </c>
      <c r="K126" s="30" t="n">
        <f aca="false">K125*12/12+J125*(12-12)/12+N(In!O92)</f>
        <v>0</v>
      </c>
      <c r="L126" s="30" t="n">
        <f aca="false">L125*12/12+K125*(12-12)/12+N(In!P92)</f>
        <v>0</v>
      </c>
      <c r="M126" s="30" t="n">
        <f aca="false">M125*12/12+L125*(12-12)/12+N(In!Q92)</f>
        <v>0</v>
      </c>
    </row>
    <row r="127" customFormat="false" ht="17.15" hidden="false" customHeight="false" outlineLevel="0" collapsed="false">
      <c r="A127" s="4" t="s">
        <v>999</v>
      </c>
      <c r="C127" s="0" t="s">
        <v>213</v>
      </c>
      <c r="D127" s="15" t="str">
        <f aca="false">IF(In!H76="","",In!H76)</f>
        <v/>
      </c>
      <c r="E127" s="15" t="str">
        <f aca="false">IF(In!I76="","",In!I76)</f>
        <v/>
      </c>
      <c r="F127" s="15" t="str">
        <f aca="false">IF(In!J76="","",In!J76)</f>
        <v/>
      </c>
      <c r="G127" s="15" t="str">
        <f aca="false">IF(In!K76="","",In!K76)</f>
        <v/>
      </c>
      <c r="H127" s="15" t="str">
        <f aca="false">IF(In!L76="","",In!L76)</f>
        <v/>
      </c>
      <c r="I127" s="15" t="str">
        <f aca="false">IF(In!M76="","",In!M76)</f>
        <v/>
      </c>
      <c r="J127" s="15" t="str">
        <f aca="false">IF(In!N76="","",In!N76)</f>
        <v/>
      </c>
      <c r="K127" s="15" t="str">
        <f aca="false">IF(In!O76="","",In!O76)</f>
        <v/>
      </c>
      <c r="L127" s="15" t="str">
        <f aca="false">IF(In!P76="","",In!P76)</f>
        <v/>
      </c>
      <c r="M127" s="15" t="str">
        <f aca="false">IF(In!Q76="","",In!Q76)</f>
        <v/>
      </c>
    </row>
    <row r="128" customFormat="false" ht="17.15" hidden="false" customHeight="false" outlineLevel="0" collapsed="false">
      <c r="A128" s="4" t="s">
        <v>1000</v>
      </c>
      <c r="C128" s="0" t="s">
        <v>33</v>
      </c>
      <c r="D128" s="29" t="str">
        <f aca="false">IF(OR(D127="",N(D127)=0),"",D126/D127)</f>
        <v/>
      </c>
      <c r="E128" s="29" t="str">
        <f aca="false">IF(OR(E127="",N(E127)=0),"",E126/E127)</f>
        <v/>
      </c>
      <c r="F128" s="29" t="str">
        <f aca="false">IF(OR(F127="",N(F127)=0),"",F126/F127)</f>
        <v/>
      </c>
      <c r="G128" s="29" t="str">
        <f aca="false">IF(OR(G127="",N(G127)=0),"",G126/G127)</f>
        <v/>
      </c>
      <c r="H128" s="29" t="str">
        <f aca="false">IF(OR(H127="",N(H127)=0),"",H126/H127)</f>
        <v/>
      </c>
      <c r="I128" s="29" t="str">
        <f aca="false">IF(OR(I127="",N(I127)=0),"",I126/I127)</f>
        <v/>
      </c>
      <c r="J128" s="29" t="str">
        <f aca="false">IF(OR(J127="",N(J127)=0),"",J126/J127)</f>
        <v/>
      </c>
      <c r="K128" s="29" t="str">
        <f aca="false">IF(OR(K127="",N(K127)=0),"",K126/K127)</f>
        <v/>
      </c>
      <c r="L128" s="29" t="str">
        <f aca="false">IF(OR(L127="",N(L127)=0),"",L126/L127)</f>
        <v/>
      </c>
      <c r="M128" s="29" t="str">
        <f aca="false">IF(OR(M127="",N(M127)=0),"",M126/M127)</f>
        <v/>
      </c>
    </row>
    <row r="129" customFormat="false" ht="15" hidden="false" customHeight="false" outlineLevel="0" collapsed="false">
      <c r="A129" s="4" t="s">
        <v>981</v>
      </c>
      <c r="C129" s="0" t="s">
        <v>32</v>
      </c>
      <c r="D129" s="0" t="str">
        <f aca="false">IF(D128="","無個股值",IF(D126=0,"GW 帳無新增",IF(AND(In!$E$76="Verified",FALSE()),IF(ABS(D128-1)&lt;=tolband,"對得上","偏差"),"證據不足（"&amp;IF(ABS(D128-1)&lt;=tolband,"帶內","帶外")&amp;"）")))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IF(E128="","無個股值",IF(E126=0,"GW 帳無新增",IF(AND(In!$E$76="Verified",FALSE()),IF(ABS(E128-1)&lt;=tolband,"對得上","偏差"),"證據不足（"&amp;IF(ABS(E128-1)&lt;=tolband,"帶內","帶外")&amp;"）")))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IF(F128="","無個股值",IF(F126=0,"GW 帳無新增",IF(AND(In!$E$76="Verified",FALSE()),IF(ABS(F128-1)&lt;=tolband,"對得上","偏差"),"證據不足（"&amp;IF(ABS(F128-1)&lt;=tolband,"帶內","帶外")&amp;"）")))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IF(G128="","無個股值",IF(G126=0,"GW 帳無新增",IF(AND(In!$E$76="Verified",FALSE()),IF(ABS(G128-1)&lt;=tolband,"對得上","偏差"),"證據不足（"&amp;IF(ABS(G128-1)&lt;=tolband,"帶內","帶外")&amp;"）")))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IF(H128="","無個股值",IF(H126=0,"GW 帳無新增",IF(AND(In!$E$76="Verified",FALSE()),IF(ABS(H128-1)&lt;=tolband,"對得上","偏差"),"證據不足（"&amp;IF(ABS(H128-1)&lt;=tolband,"帶內","帶外")&amp;"）")))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IF(I128="","無個股值",IF(I126=0,"GW 帳無新增",IF(AND(In!$E$76="Verified",FALSE()),IF(ABS(I128-1)&lt;=tolband,"對得上","偏差"),"證據不足（"&amp;IF(ABS(I128-1)&lt;=tolband,"帶內","帶外")&amp;"）")))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IF(J128="","無個股值",IF(J126=0,"GW 帳無新增",IF(AND(In!$E$76="Verified",FALSE()),IF(ABS(J128-1)&lt;=tolband,"對得上","偏差"),"證據不足（"&amp;IF(ABS(J128-1)&lt;=tolband,"帶內","帶外")&amp;"）")))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IF(K128="","無個股值",IF(K126=0,"GW 帳無新增",IF(AND(In!$E$76="Verified",FALSE()),IF(ABS(K128-1)&lt;=tolband,"對得上","偏差"),"證據不足（"&amp;IF(ABS(K128-1)&lt;=tolband,"帶內","帶外")&amp;"）")))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IF(L128="","無個股值",IF(L126=0,"GW 帳無新增",IF(AND(In!$E$76="Verified",FALSE()),IF(ABS(L128-1)&lt;=tolband,"對得上","偏差"),"證據不足（"&amp;IF(ABS(L128-1)&lt;=tolband,"帶內","帶外")&amp;"）")))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IF(M128="","無個股值",IF(M126=0,"GW 帳無新增",IF(AND(In!$E$76="Verified",FALSE()),IF(ABS(M128-1)&lt;=tolband,"對得上","偏差"),"證據不足（"&amp;IF(ABS(M128-1)&lt;=tolband,"帶內","帶外")&amp;"）")))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17" t="s">
        <v>801</v>
      </c>
      <c r="B131" s="16" t="s">
        <v>802</v>
      </c>
      <c r="N131" s="4" t="s">
        <v>1007</v>
      </c>
    </row>
    <row r="132" customFormat="false" ht="17.15" hidden="false" customHeight="false" outlineLevel="0" collapsed="false">
      <c r="A132" s="4" t="s">
        <v>994</v>
      </c>
      <c r="C132" s="0" t="s">
        <v>213</v>
      </c>
      <c r="D132" s="30" t="n">
        <f aca="false">Players!D219*((1-Players!D221)*D$8+Players!D221*TK_NonNV_Hold_AMD*TK_CapexIT_VR200)</f>
        <v>0</v>
      </c>
      <c r="E132" s="30" t="n">
        <f aca="false">Players!E219*((1-Players!E221)*E$8+Players!E221*TK_NonNV_Hold_AMD*TK_CapexIT_VR200)</f>
        <v>0</v>
      </c>
      <c r="F132" s="30" t="n">
        <f aca="false">Players!F219*((1-Players!F221)*F$8+Players!F221*TK_NonNV_Hold_AMD*TK_CapexIT_VR200)</f>
        <v>0</v>
      </c>
      <c r="G132" s="30" t="n">
        <f aca="false">Players!G219*((1-Players!G221)*G$8+Players!G221*TK_NonNV_Hold_AMD*TK_CapexIT_VR200)</f>
        <v>0</v>
      </c>
      <c r="H132" s="30" t="n">
        <f aca="false">Players!H219*((1-Players!H221)*H$8+Players!H221*TK_NonNV_Hold_AMD*TK_CapexIT_VR200)</f>
        <v>0</v>
      </c>
      <c r="I132" s="30" t="n">
        <f aca="false">Players!I219*((1-Players!I221)*I$8+Players!I221*TK_NonNV_Hold_AMD*TK_CapexIT_VR200)</f>
        <v>0</v>
      </c>
      <c r="J132" s="30" t="n">
        <f aca="false">Players!J219*((1-Players!J221)*J$8+Players!J221*TK_NonNV_Hold_AMD*TK_CapexIT_VR200)</f>
        <v>0</v>
      </c>
      <c r="K132" s="30" t="n">
        <f aca="false">Players!K219*((1-Players!K221)*K$8+Players!K221*TK_NonNV_Hold_AMD*TK_CapexIT_VR200)</f>
        <v>0</v>
      </c>
      <c r="L132" s="30" t="n">
        <f aca="false">Players!L219*((1-Players!L221)*L$8+Players!L221*TK_NonNV_Hold_AMD*TK_CapexIT_VR200)</f>
        <v>0</v>
      </c>
      <c r="M132" s="30" t="n">
        <f aca="false">Players!M219*((1-Players!M221)*M$8+Players!M221*TK_NonNV_Hold_AMD*TK_CapexIT_VR200)</f>
        <v>0</v>
      </c>
    </row>
    <row r="133" customFormat="false" ht="15" hidden="false" customHeight="false" outlineLevel="0" collapsed="false">
      <c r="A133" s="4" t="s">
        <v>995</v>
      </c>
      <c r="C133" s="0" t="s">
        <v>213</v>
      </c>
      <c r="D133" s="30" t="n">
        <f aca="false">Players!D219*((1-Players!D221)*D$9+Players!D221*TK_NonNV_Hold_AMD*TK_CapexFacility_VR200)</f>
        <v>0</v>
      </c>
      <c r="E133" s="30" t="n">
        <f aca="false">Players!E219*((1-Players!E221)*E$9+Players!E221*TK_NonNV_Hold_AMD*TK_CapexFacility_VR200)</f>
        <v>0</v>
      </c>
      <c r="F133" s="30" t="n">
        <f aca="false">Players!F219*((1-Players!F221)*F$9+Players!F221*TK_NonNV_Hold_AMD*TK_CapexFacility_VR200)</f>
        <v>0</v>
      </c>
      <c r="G133" s="30" t="n">
        <f aca="false">Players!G219*((1-Players!G221)*G$9+Players!G221*TK_NonNV_Hold_AMD*TK_CapexFacility_VR200)</f>
        <v>0</v>
      </c>
      <c r="H133" s="30" t="n">
        <f aca="false">Players!H219*((1-Players!H221)*H$9+Players!H221*TK_NonNV_Hold_AMD*TK_CapexFacility_VR200)</f>
        <v>0</v>
      </c>
      <c r="I133" s="30" t="n">
        <f aca="false">Players!I219*((1-Players!I221)*I$9+Players!I221*TK_NonNV_Hold_AMD*TK_CapexFacility_VR200)</f>
        <v>0</v>
      </c>
      <c r="J133" s="30" t="n">
        <f aca="false">Players!J219*((1-Players!J221)*J$9+Players!J221*TK_NonNV_Hold_AMD*TK_CapexFacility_VR200)</f>
        <v>0</v>
      </c>
      <c r="K133" s="30" t="n">
        <f aca="false">Players!K219*((1-Players!K221)*K$9+Players!K221*TK_NonNV_Hold_AMD*TK_CapexFacility_VR200)</f>
        <v>0</v>
      </c>
      <c r="L133" s="30" t="n">
        <f aca="false">Players!L219*((1-Players!L221)*L$9+Players!L221*TK_NonNV_Hold_AMD*TK_CapexFacility_VR200)</f>
        <v>0</v>
      </c>
      <c r="M133" s="30" t="n">
        <f aca="false">Players!M219*((1-Players!M221)*M$9+Players!M221*TK_NonNV_Hold_AMD*TK_CapexFacility_VR200)</f>
        <v>0</v>
      </c>
    </row>
    <row r="134" customFormat="false" ht="17.15" hidden="false" customHeight="false" outlineLevel="0" collapsed="false">
      <c r="A134" s="4" t="s">
        <v>996</v>
      </c>
      <c r="C134" s="0" t="s">
        <v>213</v>
      </c>
      <c r="D134" s="30" t="n">
        <f aca="false">D133*$D$5+E133*$D$6+F133*$D$7</f>
        <v>0</v>
      </c>
      <c r="E134" s="30" t="n">
        <f aca="false">E133*$D$5+F133*$D$6+G133*$D$7</f>
        <v>0</v>
      </c>
      <c r="F134" s="30" t="n">
        <f aca="false">F133*$D$5+G133*$D$6+H133*$D$7</f>
        <v>0</v>
      </c>
      <c r="G134" s="30" t="n">
        <f aca="false">G133*$D$5+H133*$D$6+I133*$D$7</f>
        <v>0</v>
      </c>
      <c r="H134" s="30" t="n">
        <f aca="false">H133*$D$5+I133*$D$6+J133*$D$7</f>
        <v>0</v>
      </c>
      <c r="I134" s="30" t="n">
        <f aca="false">I133*$D$5+J133*$D$6+K133*$D$7</f>
        <v>0</v>
      </c>
      <c r="J134" s="30" t="n">
        <f aca="false">J133*$D$5+K133*$D$6+L133*$D$7</f>
        <v>0</v>
      </c>
      <c r="K134" s="30" t="n">
        <f aca="false">K133*$D$5+L133*$D$6+M133*$D$7</f>
        <v>0</v>
      </c>
      <c r="L134" s="30" t="n">
        <f aca="false">L133*$D$5+M133*$D$6</f>
        <v>0</v>
      </c>
      <c r="M134" s="30" t="n">
        <f aca="false">M133*$D$5</f>
        <v>0</v>
      </c>
    </row>
    <row r="135" customFormat="false" ht="17.15" hidden="false" customHeight="false" outlineLevel="0" collapsed="false">
      <c r="A135" s="4" t="s">
        <v>997</v>
      </c>
      <c r="C135" s="0" t="s">
        <v>213</v>
      </c>
      <c r="D135" s="30" t="n">
        <f aca="false">D132+D134</f>
        <v>0</v>
      </c>
      <c r="E135" s="30" t="n">
        <f aca="false">E132+E134</f>
        <v>0</v>
      </c>
      <c r="F135" s="30" t="n">
        <f aca="false">F132+F134</f>
        <v>0</v>
      </c>
      <c r="G135" s="30" t="n">
        <f aca="false">G132+G134</f>
        <v>0</v>
      </c>
      <c r="H135" s="30" t="n">
        <f aca="false">H132+H134</f>
        <v>0</v>
      </c>
      <c r="I135" s="30" t="n">
        <f aca="false">I132+I134</f>
        <v>0</v>
      </c>
      <c r="J135" s="30" t="n">
        <f aca="false">J132+J134</f>
        <v>0</v>
      </c>
      <c r="K135" s="30" t="n">
        <f aca="false">K132+K134</f>
        <v>0</v>
      </c>
      <c r="L135" s="30" t="n">
        <f aca="false">L132+L134</f>
        <v>0</v>
      </c>
      <c r="M135" s="30" t="n">
        <f aca="false">M132+M134</f>
        <v>0</v>
      </c>
    </row>
    <row r="136" customFormat="false" ht="17.15" hidden="false" customHeight="false" outlineLevel="0" collapsed="false">
      <c r="A136" s="4" t="s">
        <v>998</v>
      </c>
      <c r="C136" s="0" t="s">
        <v>213</v>
      </c>
      <c r="D136" s="30" t="n">
        <f aca="false">D135*12/12+N(In!H93)</f>
        <v>0</v>
      </c>
      <c r="E136" s="30" t="n">
        <f aca="false">E135*12/12+D135*(12-12)/12+N(In!I93)</f>
        <v>0</v>
      </c>
      <c r="F136" s="30" t="n">
        <f aca="false">F135*12/12+E135*(12-12)/12+N(In!J93)</f>
        <v>0</v>
      </c>
      <c r="G136" s="30" t="n">
        <f aca="false">G135*12/12+F135*(12-12)/12+N(In!K93)</f>
        <v>0</v>
      </c>
      <c r="H136" s="30" t="n">
        <f aca="false">H135*12/12+G135*(12-12)/12+N(In!L93)</f>
        <v>0</v>
      </c>
      <c r="I136" s="30" t="n">
        <f aca="false">I135*12/12+H135*(12-12)/12+N(In!M93)</f>
        <v>0</v>
      </c>
      <c r="J136" s="30" t="n">
        <f aca="false">J135*12/12+I135*(12-12)/12+N(In!N93)</f>
        <v>0</v>
      </c>
      <c r="K136" s="30" t="n">
        <f aca="false">K135*12/12+J135*(12-12)/12+N(In!O93)</f>
        <v>0</v>
      </c>
      <c r="L136" s="30" t="n">
        <f aca="false">L135*12/12+K135*(12-12)/12+N(In!P93)</f>
        <v>0</v>
      </c>
      <c r="M136" s="30" t="n">
        <f aca="false">M135*12/12+L135*(12-12)/12+N(In!Q93)</f>
        <v>0</v>
      </c>
    </row>
    <row r="137" customFormat="false" ht="17.15" hidden="false" customHeight="false" outlineLevel="0" collapsed="false">
      <c r="A137" s="4" t="s">
        <v>999</v>
      </c>
      <c r="C137" s="0" t="s">
        <v>213</v>
      </c>
      <c r="D137" s="15" t="str">
        <f aca="false">IF(In!H77="","",In!H77)</f>
        <v/>
      </c>
      <c r="E137" s="15" t="str">
        <f aca="false">IF(In!I77="","",In!I77)</f>
        <v/>
      </c>
      <c r="F137" s="15" t="str">
        <f aca="false">IF(In!J77="","",In!J77)</f>
        <v/>
      </c>
      <c r="G137" s="15" t="str">
        <f aca="false">IF(In!K77="","",In!K77)</f>
        <v/>
      </c>
      <c r="H137" s="15" t="str">
        <f aca="false">IF(In!L77="","",In!L77)</f>
        <v/>
      </c>
      <c r="I137" s="15" t="str">
        <f aca="false">IF(In!M77="","",In!M77)</f>
        <v/>
      </c>
      <c r="J137" s="15" t="str">
        <f aca="false">IF(In!N77="","",In!N77)</f>
        <v/>
      </c>
      <c r="K137" s="15" t="str">
        <f aca="false">IF(In!O77="","",In!O77)</f>
        <v/>
      </c>
      <c r="L137" s="15" t="str">
        <f aca="false">IF(In!P77="","",In!P77)</f>
        <v/>
      </c>
      <c r="M137" s="15" t="str">
        <f aca="false">IF(In!Q77="","",In!Q77)</f>
        <v/>
      </c>
    </row>
    <row r="138" customFormat="false" ht="17.15" hidden="false" customHeight="false" outlineLevel="0" collapsed="false">
      <c r="A138" s="4" t="s">
        <v>1000</v>
      </c>
      <c r="C138" s="0" t="s">
        <v>33</v>
      </c>
      <c r="D138" s="29" t="str">
        <f aca="false">IF(OR(D137="",N(D137)=0),"",D136/D137)</f>
        <v/>
      </c>
      <c r="E138" s="29" t="str">
        <f aca="false">IF(OR(E137="",N(E137)=0),"",E136/E137)</f>
        <v/>
      </c>
      <c r="F138" s="29" t="str">
        <f aca="false">IF(OR(F137="",N(F137)=0),"",F136/F137)</f>
        <v/>
      </c>
      <c r="G138" s="29" t="str">
        <f aca="false">IF(OR(G137="",N(G137)=0),"",G136/G137)</f>
        <v/>
      </c>
      <c r="H138" s="29" t="str">
        <f aca="false">IF(OR(H137="",N(H137)=0),"",H136/H137)</f>
        <v/>
      </c>
      <c r="I138" s="29" t="str">
        <f aca="false">IF(OR(I137="",N(I137)=0),"",I136/I137)</f>
        <v/>
      </c>
      <c r="J138" s="29" t="str">
        <f aca="false">IF(OR(J137="",N(J137)=0),"",J136/J137)</f>
        <v/>
      </c>
      <c r="K138" s="29" t="str">
        <f aca="false">IF(OR(K137="",N(K137)=0),"",K136/K137)</f>
        <v/>
      </c>
      <c r="L138" s="29" t="str">
        <f aca="false">IF(OR(L137="",N(L137)=0),"",L136/L137)</f>
        <v/>
      </c>
      <c r="M138" s="29" t="str">
        <f aca="false">IF(OR(M137="",N(M137)=0),"",M136/M137)</f>
        <v/>
      </c>
    </row>
    <row r="139" customFormat="false" ht="15" hidden="false" customHeight="false" outlineLevel="0" collapsed="false">
      <c r="A139" s="4" t="s">
        <v>981</v>
      </c>
      <c r="C139" s="0" t="s">
        <v>32</v>
      </c>
      <c r="D139" s="0" t="str">
        <f aca="false">IF(D138="","無個股值",IF(D136=0,"GW 帳無新增",IF(AND(In!$E$77="Verified",FALSE()),IF(ABS(D138-1)&lt;=tolband,"對得上","偏差"),"證據不足（"&amp;IF(ABS(D138-1)&lt;=tolband,"帶內","帶外")&amp;"）")))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IF(E138="","無個股值",IF(E136=0,"GW 帳無新增",IF(AND(In!$E$77="Verified",FALSE()),IF(ABS(E138-1)&lt;=tolband,"對得上","偏差"),"證據不足（"&amp;IF(ABS(E138-1)&lt;=tolband,"帶內","帶外")&amp;"）")))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IF(F138="","無個股值",IF(F136=0,"GW 帳無新增",IF(AND(In!$E$77="Verified",FALSE()),IF(ABS(F138-1)&lt;=tolband,"對得上","偏差"),"證據不足（"&amp;IF(ABS(F138-1)&lt;=tolband,"帶內","帶外")&amp;"）")))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IF(G138="","無個股值",IF(G136=0,"GW 帳無新增",IF(AND(In!$E$77="Verified",FALSE()),IF(ABS(G138-1)&lt;=tolband,"對得上","偏差"),"證據不足（"&amp;IF(ABS(G138-1)&lt;=tolband,"帶內","帶外")&amp;"）")))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IF(H138="","無個股值",IF(H136=0,"GW 帳無新增",IF(AND(In!$E$77="Verified",FALSE()),IF(ABS(H138-1)&lt;=tolband,"對得上","偏差"),"證據不足（"&amp;IF(ABS(H138-1)&lt;=tolband,"帶內","帶外")&amp;"）")))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IF(I138="","無個股值",IF(I136=0,"GW 帳無新增",IF(AND(In!$E$77="Verified",FALSE()),IF(ABS(I138-1)&lt;=tolband,"對得上","偏差"),"證據不足（"&amp;IF(ABS(I138-1)&lt;=tolband,"帶內","帶外")&amp;"）")))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IF(J138="","無個股值",IF(J136=0,"GW 帳無新增",IF(AND(In!$E$77="Verified",FALSE()),IF(ABS(J138-1)&lt;=tolband,"對得上","偏差"),"證據不足（"&amp;IF(ABS(J138-1)&lt;=tolband,"帶內","帶外")&amp;"）")))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IF(K138="","無個股值",IF(K136=0,"GW 帳無新增",IF(AND(In!$E$77="Verified",FALSE()),IF(ABS(K138-1)&lt;=tolband,"對得上","偏差"),"證據不足（"&amp;IF(ABS(K138-1)&lt;=tolband,"帶內","帶外")&amp;"）")))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IF(L138="","無個股值",IF(L136=0,"GW 帳無新增",IF(AND(In!$E$77="Verified",FALSE()),IF(ABS(L138-1)&lt;=tolband,"對得上","偏差"),"證據不足（"&amp;IF(ABS(L138-1)&lt;=tolband,"帶內","帶外")&amp;"）")))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IF(M138="","無個股值",IF(M136=0,"GW 帳無新增",IF(AND(In!$E$77="Verified",FALSE()),IF(ABS(M138-1)&lt;=tolband,"對得上","偏差"),"證據不足（"&amp;IF(ABS(M138-1)&lt;=tolband,"帶內","帶外")&amp;"）")))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17" t="s">
        <v>818</v>
      </c>
      <c r="B141" s="16" t="s">
        <v>819</v>
      </c>
      <c r="N141" s="4" t="s">
        <v>1007</v>
      </c>
    </row>
    <row r="142" customFormat="false" ht="17.15" hidden="false" customHeight="false" outlineLevel="0" collapsed="false">
      <c r="A142" s="4" t="s">
        <v>994</v>
      </c>
      <c r="C142" s="0" t="s">
        <v>213</v>
      </c>
      <c r="D142" s="30" t="n">
        <f aca="false">Players!D235*((1-Players!D237)*D$8+Players!D237*TK_NonNV_Hold_Ascend*TK_CapexIT_VR200)</f>
        <v>0</v>
      </c>
      <c r="E142" s="30" t="n">
        <f aca="false">Players!E235*((1-Players!E237)*E$8+Players!E237*TK_NonNV_Hold_Ascend*TK_CapexIT_VR200)</f>
        <v>0</v>
      </c>
      <c r="F142" s="30" t="n">
        <f aca="false">Players!F235*((1-Players!F237)*F$8+Players!F237*TK_NonNV_Hold_Ascend*TK_CapexIT_VR200)</f>
        <v>0</v>
      </c>
      <c r="G142" s="30" t="n">
        <f aca="false">Players!G235*((1-Players!G237)*G$8+Players!G237*TK_NonNV_Hold_Ascend*TK_CapexIT_VR200)</f>
        <v>0</v>
      </c>
      <c r="H142" s="30" t="n">
        <f aca="false">Players!H235*((1-Players!H237)*H$8+Players!H237*TK_NonNV_Hold_Ascend*TK_CapexIT_VR200)</f>
        <v>0</v>
      </c>
      <c r="I142" s="30" t="n">
        <f aca="false">Players!I235*((1-Players!I237)*I$8+Players!I237*TK_NonNV_Hold_Ascend*TK_CapexIT_VR200)</f>
        <v>0</v>
      </c>
      <c r="J142" s="30" t="n">
        <f aca="false">Players!J235*((1-Players!J237)*J$8+Players!J237*TK_NonNV_Hold_Ascend*TK_CapexIT_VR200)</f>
        <v>0</v>
      </c>
      <c r="K142" s="30" t="n">
        <f aca="false">Players!K235*((1-Players!K237)*K$8+Players!K237*TK_NonNV_Hold_Ascend*TK_CapexIT_VR200)</f>
        <v>0</v>
      </c>
      <c r="L142" s="30" t="n">
        <f aca="false">Players!L235*((1-Players!L237)*L$8+Players!L237*TK_NonNV_Hold_Ascend*TK_CapexIT_VR200)</f>
        <v>0</v>
      </c>
      <c r="M142" s="30" t="n">
        <f aca="false">Players!M235*((1-Players!M237)*M$8+Players!M237*TK_NonNV_Hold_Ascend*TK_CapexIT_VR200)</f>
        <v>0</v>
      </c>
    </row>
    <row r="143" customFormat="false" ht="15" hidden="false" customHeight="false" outlineLevel="0" collapsed="false">
      <c r="A143" s="4" t="s">
        <v>995</v>
      </c>
      <c r="C143" s="0" t="s">
        <v>213</v>
      </c>
      <c r="D143" s="30" t="n">
        <f aca="false">Players!D235*((1-Players!D237)*D$9+Players!D237*TK_NonNV_Hold_Ascend*TK_CapexFacility_VR200)</f>
        <v>0</v>
      </c>
      <c r="E143" s="30" t="n">
        <f aca="false">Players!E235*((1-Players!E237)*E$9+Players!E237*TK_NonNV_Hold_Ascend*TK_CapexFacility_VR200)</f>
        <v>0</v>
      </c>
      <c r="F143" s="30" t="n">
        <f aca="false">Players!F235*((1-Players!F237)*F$9+Players!F237*TK_NonNV_Hold_Ascend*TK_CapexFacility_VR200)</f>
        <v>0</v>
      </c>
      <c r="G143" s="30" t="n">
        <f aca="false">Players!G235*((1-Players!G237)*G$9+Players!G237*TK_NonNV_Hold_Ascend*TK_CapexFacility_VR200)</f>
        <v>0</v>
      </c>
      <c r="H143" s="30" t="n">
        <f aca="false">Players!H235*((1-Players!H237)*H$9+Players!H237*TK_NonNV_Hold_Ascend*TK_CapexFacility_VR200)</f>
        <v>0</v>
      </c>
      <c r="I143" s="30" t="n">
        <f aca="false">Players!I235*((1-Players!I237)*I$9+Players!I237*TK_NonNV_Hold_Ascend*TK_CapexFacility_VR200)</f>
        <v>0</v>
      </c>
      <c r="J143" s="30" t="n">
        <f aca="false">Players!J235*((1-Players!J237)*J$9+Players!J237*TK_NonNV_Hold_Ascend*TK_CapexFacility_VR200)</f>
        <v>0</v>
      </c>
      <c r="K143" s="30" t="n">
        <f aca="false">Players!K235*((1-Players!K237)*K$9+Players!K237*TK_NonNV_Hold_Ascend*TK_CapexFacility_VR200)</f>
        <v>0</v>
      </c>
      <c r="L143" s="30" t="n">
        <f aca="false">Players!L235*((1-Players!L237)*L$9+Players!L237*TK_NonNV_Hold_Ascend*TK_CapexFacility_VR200)</f>
        <v>0</v>
      </c>
      <c r="M143" s="30" t="n">
        <f aca="false">Players!M235*((1-Players!M237)*M$9+Players!M237*TK_NonNV_Hold_Ascend*TK_CapexFacility_VR200)</f>
        <v>0</v>
      </c>
    </row>
    <row r="144" customFormat="false" ht="17.15" hidden="false" customHeight="false" outlineLevel="0" collapsed="false">
      <c r="A144" s="4" t="s">
        <v>996</v>
      </c>
      <c r="C144" s="0" t="s">
        <v>213</v>
      </c>
      <c r="D144" s="30" t="n">
        <f aca="false">D143*$D$5+E143*$D$6+F143*$D$7</f>
        <v>0</v>
      </c>
      <c r="E144" s="30" t="n">
        <f aca="false">E143*$D$5+F143*$D$6+G143*$D$7</f>
        <v>0</v>
      </c>
      <c r="F144" s="30" t="n">
        <f aca="false">F143*$D$5+G143*$D$6+H143*$D$7</f>
        <v>0</v>
      </c>
      <c r="G144" s="30" t="n">
        <f aca="false">G143*$D$5+H143*$D$6+I143*$D$7</f>
        <v>0</v>
      </c>
      <c r="H144" s="30" t="n">
        <f aca="false">H143*$D$5+I143*$D$6+J143*$D$7</f>
        <v>0</v>
      </c>
      <c r="I144" s="30" t="n">
        <f aca="false">I143*$D$5+J143*$D$6+K143*$D$7</f>
        <v>0</v>
      </c>
      <c r="J144" s="30" t="n">
        <f aca="false">J143*$D$5+K143*$D$6+L143*$D$7</f>
        <v>0</v>
      </c>
      <c r="K144" s="30" t="n">
        <f aca="false">K143*$D$5+L143*$D$6+M143*$D$7</f>
        <v>0</v>
      </c>
      <c r="L144" s="30" t="n">
        <f aca="false">L143*$D$5+M143*$D$6</f>
        <v>0</v>
      </c>
      <c r="M144" s="30" t="n">
        <f aca="false">M143*$D$5</f>
        <v>0</v>
      </c>
    </row>
    <row r="145" customFormat="false" ht="17.15" hidden="false" customHeight="false" outlineLevel="0" collapsed="false">
      <c r="A145" s="4" t="s">
        <v>997</v>
      </c>
      <c r="C145" s="0" t="s">
        <v>213</v>
      </c>
      <c r="D145" s="30" t="n">
        <f aca="false">D142+D144</f>
        <v>0</v>
      </c>
      <c r="E145" s="30" t="n">
        <f aca="false">E142+E144</f>
        <v>0</v>
      </c>
      <c r="F145" s="30" t="n">
        <f aca="false">F142+F144</f>
        <v>0</v>
      </c>
      <c r="G145" s="30" t="n">
        <f aca="false">G142+G144</f>
        <v>0</v>
      </c>
      <c r="H145" s="30" t="n">
        <f aca="false">H142+H144</f>
        <v>0</v>
      </c>
      <c r="I145" s="30" t="n">
        <f aca="false">I142+I144</f>
        <v>0</v>
      </c>
      <c r="J145" s="30" t="n">
        <f aca="false">J142+J144</f>
        <v>0</v>
      </c>
      <c r="K145" s="30" t="n">
        <f aca="false">K142+K144</f>
        <v>0</v>
      </c>
      <c r="L145" s="30" t="n">
        <f aca="false">L142+L144</f>
        <v>0</v>
      </c>
      <c r="M145" s="30" t="n">
        <f aca="false">M142+M144</f>
        <v>0</v>
      </c>
    </row>
    <row r="146" customFormat="false" ht="17.15" hidden="false" customHeight="false" outlineLevel="0" collapsed="false">
      <c r="A146" s="4" t="s">
        <v>998</v>
      </c>
      <c r="C146" s="0" t="s">
        <v>213</v>
      </c>
      <c r="D146" s="30" t="n">
        <f aca="false">D145*12/12+N(In!H94)</f>
        <v>0</v>
      </c>
      <c r="E146" s="30" t="n">
        <f aca="false">E145*12/12+D145*(12-12)/12+N(In!I94)</f>
        <v>0</v>
      </c>
      <c r="F146" s="30" t="n">
        <f aca="false">F145*12/12+E145*(12-12)/12+N(In!J94)</f>
        <v>0</v>
      </c>
      <c r="G146" s="30" t="n">
        <f aca="false">G145*12/12+F145*(12-12)/12+N(In!K94)</f>
        <v>0</v>
      </c>
      <c r="H146" s="30" t="n">
        <f aca="false">H145*12/12+G145*(12-12)/12+N(In!L94)</f>
        <v>0</v>
      </c>
      <c r="I146" s="30" t="n">
        <f aca="false">I145*12/12+H145*(12-12)/12+N(In!M94)</f>
        <v>0</v>
      </c>
      <c r="J146" s="30" t="n">
        <f aca="false">J145*12/12+I145*(12-12)/12+N(In!N94)</f>
        <v>0</v>
      </c>
      <c r="K146" s="30" t="n">
        <f aca="false">K145*12/12+J145*(12-12)/12+N(In!O94)</f>
        <v>0</v>
      </c>
      <c r="L146" s="30" t="n">
        <f aca="false">L145*12/12+K145*(12-12)/12+N(In!P94)</f>
        <v>0</v>
      </c>
      <c r="M146" s="30" t="n">
        <f aca="false">M145*12/12+L145*(12-12)/12+N(In!Q94)</f>
        <v>0</v>
      </c>
    </row>
    <row r="147" customFormat="false" ht="17.15" hidden="false" customHeight="false" outlineLevel="0" collapsed="false">
      <c r="A147" s="4" t="s">
        <v>999</v>
      </c>
      <c r="C147" s="0" t="s">
        <v>213</v>
      </c>
      <c r="D147" s="15" t="str">
        <f aca="false">IF(In!H78="","",In!H78)</f>
        <v/>
      </c>
      <c r="E147" s="15" t="str">
        <f aca="false">IF(In!I78="","",In!I78)</f>
        <v/>
      </c>
      <c r="F147" s="15" t="str">
        <f aca="false">IF(In!J78="","",In!J78)</f>
        <v/>
      </c>
      <c r="G147" s="15" t="str">
        <f aca="false">IF(In!K78="","",In!K78)</f>
        <v/>
      </c>
      <c r="H147" s="15" t="str">
        <f aca="false">IF(In!L78="","",In!L78)</f>
        <v/>
      </c>
      <c r="I147" s="15" t="str">
        <f aca="false">IF(In!M78="","",In!M78)</f>
        <v/>
      </c>
      <c r="J147" s="15" t="str">
        <f aca="false">IF(In!N78="","",In!N78)</f>
        <v/>
      </c>
      <c r="K147" s="15" t="str">
        <f aca="false">IF(In!O78="","",In!O78)</f>
        <v/>
      </c>
      <c r="L147" s="15" t="str">
        <f aca="false">IF(In!P78="","",In!P78)</f>
        <v/>
      </c>
      <c r="M147" s="15" t="str">
        <f aca="false">IF(In!Q78="","",In!Q78)</f>
        <v/>
      </c>
    </row>
    <row r="148" customFormat="false" ht="17.15" hidden="false" customHeight="false" outlineLevel="0" collapsed="false">
      <c r="A148" s="4" t="s">
        <v>1000</v>
      </c>
      <c r="C148" s="0" t="s">
        <v>33</v>
      </c>
      <c r="D148" s="29" t="str">
        <f aca="false">IF(OR(D147="",N(D147)=0),"",D146/D147)</f>
        <v/>
      </c>
      <c r="E148" s="29" t="str">
        <f aca="false">IF(OR(E147="",N(E147)=0),"",E146/E147)</f>
        <v/>
      </c>
      <c r="F148" s="29" t="str">
        <f aca="false">IF(OR(F147="",N(F147)=0),"",F146/F147)</f>
        <v/>
      </c>
      <c r="G148" s="29" t="str">
        <f aca="false">IF(OR(G147="",N(G147)=0),"",G146/G147)</f>
        <v/>
      </c>
      <c r="H148" s="29" t="str">
        <f aca="false">IF(OR(H147="",N(H147)=0),"",H146/H147)</f>
        <v/>
      </c>
      <c r="I148" s="29" t="str">
        <f aca="false">IF(OR(I147="",N(I147)=0),"",I146/I147)</f>
        <v/>
      </c>
      <c r="J148" s="29" t="str">
        <f aca="false">IF(OR(J147="",N(J147)=0),"",J146/J147)</f>
        <v/>
      </c>
      <c r="K148" s="29" t="str">
        <f aca="false">IF(OR(K147="",N(K147)=0),"",K146/K147)</f>
        <v/>
      </c>
      <c r="L148" s="29" t="str">
        <f aca="false">IF(OR(L147="",N(L147)=0),"",L146/L147)</f>
        <v/>
      </c>
      <c r="M148" s="29" t="str">
        <f aca="false">IF(OR(M147="",N(M147)=0),"",M146/M147)</f>
        <v/>
      </c>
    </row>
    <row r="149" customFormat="false" ht="15" hidden="false" customHeight="false" outlineLevel="0" collapsed="false">
      <c r="A149" s="4" t="s">
        <v>981</v>
      </c>
      <c r="C149" s="0" t="s">
        <v>32</v>
      </c>
      <c r="D149" s="0" t="str">
        <f aca="false">IF(D148="","無個股值",IF(D146=0,"GW 帳無新增",IF(AND(In!$E$78="Verified",FALSE()),IF(ABS(D148-1)&lt;=tolband,"對得上","偏差"),"證據不足（"&amp;IF(ABS(D148-1)&lt;=tolband,"帶內","帶外")&amp;"）")))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IF(E148="","無個股值",IF(E146=0,"GW 帳無新增",IF(AND(In!$E$78="Verified",FALSE()),IF(ABS(E148-1)&lt;=tolband,"對得上","偏差"),"證據不足（"&amp;IF(ABS(E148-1)&lt;=tolband,"帶內","帶外")&amp;"）")))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IF(F148="","無個股值",IF(F146=0,"GW 帳無新增",IF(AND(In!$E$78="Verified",FALSE()),IF(ABS(F148-1)&lt;=tolband,"對得上","偏差"),"證據不足（"&amp;IF(ABS(F148-1)&lt;=tolband,"帶內","帶外")&amp;"）")))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IF(G148="","無個股值",IF(G146=0,"GW 帳無新增",IF(AND(In!$E$78="Verified",FALSE()),IF(ABS(G148-1)&lt;=tolband,"對得上","偏差"),"證據不足（"&amp;IF(ABS(G148-1)&lt;=tolband,"帶內","帶外")&amp;"）")))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IF(H148="","無個股值",IF(H146=0,"GW 帳無新增",IF(AND(In!$E$78="Verified",FALSE()),IF(ABS(H148-1)&lt;=tolband,"對得上","偏差"),"證據不足（"&amp;IF(ABS(H148-1)&lt;=tolband,"帶內","帶外")&amp;"）")))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IF(I148="","無個股值",IF(I146=0,"GW 帳無新增",IF(AND(In!$E$78="Verified",FALSE()),IF(ABS(I148-1)&lt;=tolband,"對得上","偏差"),"證據不足（"&amp;IF(ABS(I148-1)&lt;=tolband,"帶內","帶外")&amp;"）")))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IF(J148="","無個股值",IF(J146=0,"GW 帳無新增",IF(AND(In!$E$78="Verified",FALSE()),IF(ABS(J148-1)&lt;=tolband,"對得上","偏差"),"證據不足（"&amp;IF(ABS(J148-1)&lt;=tolband,"帶內","帶外")&amp;"）")))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IF(K148="","無個股值",IF(K146=0,"GW 帳無新增",IF(AND(In!$E$78="Verified",FALSE()),IF(ABS(K148-1)&lt;=tolband,"對得上","偏差"),"證據不足（"&amp;IF(ABS(K148-1)&lt;=tolband,"帶內","帶外")&amp;"）")))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IF(L148="","無個股值",IF(L146=0,"GW 帳無新增",IF(AND(In!$E$78="Verified",FALSE()),IF(ABS(L148-1)&lt;=tolband,"對得上","偏差"),"證據不足（"&amp;IF(ABS(L148-1)&lt;=tolband,"帶內","帶外")&amp;"）")))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IF(M148="","無個股值",IF(M146=0,"GW 帳無新增",IF(AND(In!$E$78="Verified",FALSE()),IF(ABS(M148-1)&lt;=tolband,"對得上","偏差"),"證據不足（"&amp;IF(ABS(M148-1)&lt;=tolband,"帶內","帶外")&amp;"）")))</f>
        <v>無個股值</v>
      </c>
    </row>
    <row r="151" customFormat="false" ht="15" hidden="false" customHeight="false" outlineLevel="0" collapsed="false">
      <c r="A151" s="17" t="s">
        <v>835</v>
      </c>
      <c r="B151" s="16" t="s">
        <v>836</v>
      </c>
      <c r="N151" s="4" t="s">
        <v>1007</v>
      </c>
    </row>
    <row r="152" customFormat="false" ht="17.15" hidden="false" customHeight="false" outlineLevel="0" collapsed="false">
      <c r="A152" s="4" t="s">
        <v>994</v>
      </c>
      <c r="C152" s="0" t="s">
        <v>213</v>
      </c>
      <c r="D152" s="30" t="n">
        <f aca="false">Players!D251*((1-Players!D253)*D$8+Players!D253*TK_NonNV_Hold_AMD*TK_CapexIT_VR200)</f>
        <v>0</v>
      </c>
      <c r="E152" s="30" t="n">
        <f aca="false">Players!E251*((1-Players!E253)*E$8+Players!E253*TK_NonNV_Hold_AMD*TK_CapexIT_VR200)</f>
        <v>0</v>
      </c>
      <c r="F152" s="30" t="n">
        <f aca="false">Players!F251*((1-Players!F253)*F$8+Players!F253*TK_NonNV_Hold_AMD*TK_CapexIT_VR200)</f>
        <v>0</v>
      </c>
      <c r="G152" s="30" t="n">
        <f aca="false">Players!G251*((1-Players!G253)*G$8+Players!G253*TK_NonNV_Hold_AMD*TK_CapexIT_VR200)</f>
        <v>0</v>
      </c>
      <c r="H152" s="30" t="n">
        <f aca="false">Players!H251*((1-Players!H253)*H$8+Players!H253*TK_NonNV_Hold_AMD*TK_CapexIT_VR200)</f>
        <v>0</v>
      </c>
      <c r="I152" s="30" t="n">
        <f aca="false">Players!I251*((1-Players!I253)*I$8+Players!I253*TK_NonNV_Hold_AMD*TK_CapexIT_VR200)</f>
        <v>0</v>
      </c>
      <c r="J152" s="30" t="n">
        <f aca="false">Players!J251*((1-Players!J253)*J$8+Players!J253*TK_NonNV_Hold_AMD*TK_CapexIT_VR200)</f>
        <v>0</v>
      </c>
      <c r="K152" s="30" t="n">
        <f aca="false">Players!K251*((1-Players!K253)*K$8+Players!K253*TK_NonNV_Hold_AMD*TK_CapexIT_VR200)</f>
        <v>0</v>
      </c>
      <c r="L152" s="30" t="n">
        <f aca="false">Players!L251*((1-Players!L253)*L$8+Players!L253*TK_NonNV_Hold_AMD*TK_CapexIT_VR200)</f>
        <v>0</v>
      </c>
      <c r="M152" s="30" t="n">
        <f aca="false">Players!M251*((1-Players!M253)*M$8+Players!M253*TK_NonNV_Hold_AMD*TK_CapexIT_VR200)</f>
        <v>0</v>
      </c>
    </row>
    <row r="153" customFormat="false" ht="15" hidden="false" customHeight="false" outlineLevel="0" collapsed="false">
      <c r="A153" s="4" t="s">
        <v>995</v>
      </c>
      <c r="C153" s="0" t="s">
        <v>213</v>
      </c>
      <c r="D153" s="30" t="n">
        <f aca="false">Players!D251*((1-Players!D253)*D$9+Players!D253*TK_NonNV_Hold_AMD*TK_CapexFacility_VR200)</f>
        <v>0</v>
      </c>
      <c r="E153" s="30" t="n">
        <f aca="false">Players!E251*((1-Players!E253)*E$9+Players!E253*TK_NonNV_Hold_AMD*TK_CapexFacility_VR200)</f>
        <v>0</v>
      </c>
      <c r="F153" s="30" t="n">
        <f aca="false">Players!F251*((1-Players!F253)*F$9+Players!F253*TK_NonNV_Hold_AMD*TK_CapexFacility_VR200)</f>
        <v>0</v>
      </c>
      <c r="G153" s="30" t="n">
        <f aca="false">Players!G251*((1-Players!G253)*G$9+Players!G253*TK_NonNV_Hold_AMD*TK_CapexFacility_VR200)</f>
        <v>0</v>
      </c>
      <c r="H153" s="30" t="n">
        <f aca="false">Players!H251*((1-Players!H253)*H$9+Players!H253*TK_NonNV_Hold_AMD*TK_CapexFacility_VR200)</f>
        <v>0</v>
      </c>
      <c r="I153" s="30" t="n">
        <f aca="false">Players!I251*((1-Players!I253)*I$9+Players!I253*TK_NonNV_Hold_AMD*TK_CapexFacility_VR200)</f>
        <v>0</v>
      </c>
      <c r="J153" s="30" t="n">
        <f aca="false">Players!J251*((1-Players!J253)*J$9+Players!J253*TK_NonNV_Hold_AMD*TK_CapexFacility_VR200)</f>
        <v>0</v>
      </c>
      <c r="K153" s="30" t="n">
        <f aca="false">Players!K251*((1-Players!K253)*K$9+Players!K253*TK_NonNV_Hold_AMD*TK_CapexFacility_VR200)</f>
        <v>0</v>
      </c>
      <c r="L153" s="30" t="n">
        <f aca="false">Players!L251*((1-Players!L253)*L$9+Players!L253*TK_NonNV_Hold_AMD*TK_CapexFacility_VR200)</f>
        <v>0</v>
      </c>
      <c r="M153" s="30" t="n">
        <f aca="false">Players!M251*((1-Players!M253)*M$9+Players!M253*TK_NonNV_Hold_AMD*TK_CapexFacility_VR200)</f>
        <v>0</v>
      </c>
    </row>
    <row r="154" customFormat="false" ht="17.15" hidden="false" customHeight="false" outlineLevel="0" collapsed="false">
      <c r="A154" s="4" t="s">
        <v>996</v>
      </c>
      <c r="C154" s="0" t="s">
        <v>213</v>
      </c>
      <c r="D154" s="30" t="n">
        <f aca="false">D153*$D$5+E153*$D$6+F153*$D$7</f>
        <v>0</v>
      </c>
      <c r="E154" s="30" t="n">
        <f aca="false">E153*$D$5+F153*$D$6+G153*$D$7</f>
        <v>0</v>
      </c>
      <c r="F154" s="30" t="n">
        <f aca="false">F153*$D$5+G153*$D$6+H153*$D$7</f>
        <v>0</v>
      </c>
      <c r="G154" s="30" t="n">
        <f aca="false">G153*$D$5+H153*$D$6+I153*$D$7</f>
        <v>0</v>
      </c>
      <c r="H154" s="30" t="n">
        <f aca="false">H153*$D$5+I153*$D$6+J153*$D$7</f>
        <v>0</v>
      </c>
      <c r="I154" s="30" t="n">
        <f aca="false">I153*$D$5+J153*$D$6+K153*$D$7</f>
        <v>0</v>
      </c>
      <c r="J154" s="30" t="n">
        <f aca="false">J153*$D$5+K153*$D$6+L153*$D$7</f>
        <v>0</v>
      </c>
      <c r="K154" s="30" t="n">
        <f aca="false">K153*$D$5+L153*$D$6+M153*$D$7</f>
        <v>0</v>
      </c>
      <c r="L154" s="30" t="n">
        <f aca="false">L153*$D$5+M153*$D$6</f>
        <v>0</v>
      </c>
      <c r="M154" s="30" t="n">
        <f aca="false">M153*$D$5</f>
        <v>0</v>
      </c>
    </row>
    <row r="155" customFormat="false" ht="17.15" hidden="false" customHeight="false" outlineLevel="0" collapsed="false">
      <c r="A155" s="4" t="s">
        <v>997</v>
      </c>
      <c r="C155" s="0" t="s">
        <v>213</v>
      </c>
      <c r="D155" s="30" t="n">
        <f aca="false">D152+D154</f>
        <v>0</v>
      </c>
      <c r="E155" s="30" t="n">
        <f aca="false">E152+E154</f>
        <v>0</v>
      </c>
      <c r="F155" s="30" t="n">
        <f aca="false">F152+F154</f>
        <v>0</v>
      </c>
      <c r="G155" s="30" t="n">
        <f aca="false">G152+G154</f>
        <v>0</v>
      </c>
      <c r="H155" s="30" t="n">
        <f aca="false">H152+H154</f>
        <v>0</v>
      </c>
      <c r="I155" s="30" t="n">
        <f aca="false">I152+I154</f>
        <v>0</v>
      </c>
      <c r="J155" s="30" t="n">
        <f aca="false">J152+J154</f>
        <v>0</v>
      </c>
      <c r="K155" s="30" t="n">
        <f aca="false">K152+K154</f>
        <v>0</v>
      </c>
      <c r="L155" s="30" t="n">
        <f aca="false">L152+L154</f>
        <v>0</v>
      </c>
      <c r="M155" s="30" t="n">
        <f aca="false">M152+M154</f>
        <v>0</v>
      </c>
    </row>
    <row r="156" customFormat="false" ht="17.15" hidden="false" customHeight="false" outlineLevel="0" collapsed="false">
      <c r="A156" s="4" t="s">
        <v>998</v>
      </c>
      <c r="C156" s="0" t="s">
        <v>213</v>
      </c>
      <c r="D156" s="30" t="n">
        <f aca="false">D155*12/12+N(In!H95)</f>
        <v>0</v>
      </c>
      <c r="E156" s="30" t="n">
        <f aca="false">E155*12/12+D155*(12-12)/12+N(In!I95)</f>
        <v>0</v>
      </c>
      <c r="F156" s="30" t="n">
        <f aca="false">F155*12/12+E155*(12-12)/12+N(In!J95)</f>
        <v>0</v>
      </c>
      <c r="G156" s="30" t="n">
        <f aca="false">G155*12/12+F155*(12-12)/12+N(In!K95)</f>
        <v>0</v>
      </c>
      <c r="H156" s="30" t="n">
        <f aca="false">H155*12/12+G155*(12-12)/12+N(In!L95)</f>
        <v>0</v>
      </c>
      <c r="I156" s="30" t="n">
        <f aca="false">I155*12/12+H155*(12-12)/12+N(In!M95)</f>
        <v>0</v>
      </c>
      <c r="J156" s="30" t="n">
        <f aca="false">J155*12/12+I155*(12-12)/12+N(In!N95)</f>
        <v>0</v>
      </c>
      <c r="K156" s="30" t="n">
        <f aca="false">K155*12/12+J155*(12-12)/12+N(In!O95)</f>
        <v>0</v>
      </c>
      <c r="L156" s="30" t="n">
        <f aca="false">L155*12/12+K155*(12-12)/12+N(In!P95)</f>
        <v>0</v>
      </c>
      <c r="M156" s="30" t="n">
        <f aca="false">M155*12/12+L155*(12-12)/12+N(In!Q95)</f>
        <v>0</v>
      </c>
    </row>
    <row r="157" customFormat="false" ht="17.15" hidden="false" customHeight="false" outlineLevel="0" collapsed="false">
      <c r="A157" s="4" t="s">
        <v>999</v>
      </c>
      <c r="C157" s="0" t="s">
        <v>213</v>
      </c>
      <c r="D157" s="15" t="str">
        <f aca="false">IF(In!H79="","",In!H79)</f>
        <v/>
      </c>
      <c r="E157" s="15" t="str">
        <f aca="false">IF(In!I79="","",In!I79)</f>
        <v/>
      </c>
      <c r="F157" s="15" t="str">
        <f aca="false">IF(In!J79="","",In!J79)</f>
        <v/>
      </c>
      <c r="G157" s="15" t="str">
        <f aca="false">IF(In!K79="","",In!K79)</f>
        <v/>
      </c>
      <c r="H157" s="15" t="str">
        <f aca="false">IF(In!L79="","",In!L79)</f>
        <v/>
      </c>
      <c r="I157" s="15" t="str">
        <f aca="false">IF(In!M79="","",In!M79)</f>
        <v/>
      </c>
      <c r="J157" s="15" t="str">
        <f aca="false">IF(In!N79="","",In!N79)</f>
        <v/>
      </c>
      <c r="K157" s="15" t="str">
        <f aca="false">IF(In!O79="","",In!O79)</f>
        <v/>
      </c>
      <c r="L157" s="15" t="str">
        <f aca="false">IF(In!P79="","",In!P79)</f>
        <v/>
      </c>
      <c r="M157" s="15" t="str">
        <f aca="false">IF(In!Q79="","",In!Q79)</f>
        <v/>
      </c>
    </row>
    <row r="158" customFormat="false" ht="17.15" hidden="false" customHeight="false" outlineLevel="0" collapsed="false">
      <c r="A158" s="4" t="s">
        <v>1000</v>
      </c>
      <c r="C158" s="0" t="s">
        <v>33</v>
      </c>
      <c r="D158" s="29" t="str">
        <f aca="false">IF(OR(D157="",N(D157)=0),"",D156/D157)</f>
        <v/>
      </c>
      <c r="E158" s="29" t="str">
        <f aca="false">IF(OR(E157="",N(E157)=0),"",E156/E157)</f>
        <v/>
      </c>
      <c r="F158" s="29" t="str">
        <f aca="false">IF(OR(F157="",N(F157)=0),"",F156/F157)</f>
        <v/>
      </c>
      <c r="G158" s="29" t="str">
        <f aca="false">IF(OR(G157="",N(G157)=0),"",G156/G157)</f>
        <v/>
      </c>
      <c r="H158" s="29" t="str">
        <f aca="false">IF(OR(H157="",N(H157)=0),"",H156/H157)</f>
        <v/>
      </c>
      <c r="I158" s="29" t="str">
        <f aca="false">IF(OR(I157="",N(I157)=0),"",I156/I157)</f>
        <v/>
      </c>
      <c r="J158" s="29" t="str">
        <f aca="false">IF(OR(J157="",N(J157)=0),"",J156/J157)</f>
        <v/>
      </c>
      <c r="K158" s="29" t="str">
        <f aca="false">IF(OR(K157="",N(K157)=0),"",K156/K157)</f>
        <v/>
      </c>
      <c r="L158" s="29" t="str">
        <f aca="false">IF(OR(L157="",N(L157)=0),"",L156/L157)</f>
        <v/>
      </c>
      <c r="M158" s="29" t="str">
        <f aca="false">IF(OR(M157="",N(M157)=0),"",M156/M157)</f>
        <v/>
      </c>
    </row>
    <row r="159" customFormat="false" ht="15" hidden="false" customHeight="false" outlineLevel="0" collapsed="false">
      <c r="A159" s="4" t="s">
        <v>981</v>
      </c>
      <c r="C159" s="0" t="s">
        <v>32</v>
      </c>
      <c r="D159" s="0" t="str">
        <f aca="false">IF(D158="","無個股值",IF(D156=0,"GW 帳無新增",IF(AND(In!$E$79="Verified",FALSE()),IF(ABS(D158-1)&lt;=tolband,"對得上","偏差"),"證據不足（"&amp;IF(ABS(D158-1)&lt;=tolband,"帶內","帶外")&amp;"）")))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IF(E158="","無個股值",IF(E156=0,"GW 帳無新增",IF(AND(In!$E$79="Verified",FALSE()),IF(ABS(E158-1)&lt;=tolband,"對得上","偏差"),"證據不足（"&amp;IF(ABS(E158-1)&lt;=tolband,"帶內","帶外")&amp;"）")))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IF(F158="","無個股值",IF(F156=0,"GW 帳無新增",IF(AND(In!$E$79="Verified",FALSE()),IF(ABS(F158-1)&lt;=tolband,"對得上","偏差"),"證據不足（"&amp;IF(ABS(F158-1)&lt;=tolband,"帶內","帶外")&amp;"）")))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IF(G158="","無個股值",IF(G156=0,"GW 帳無新增",IF(AND(In!$E$79="Verified",FALSE()),IF(ABS(G158-1)&lt;=tolband,"對得上","偏差"),"證據不足（"&amp;IF(ABS(G158-1)&lt;=tolband,"帶內","帶外")&amp;"）")))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IF(H158="","無個股值",IF(H156=0,"GW 帳無新增",IF(AND(In!$E$79="Verified",FALSE()),IF(ABS(H158-1)&lt;=tolband,"對得上","偏差"),"證據不足（"&amp;IF(ABS(H158-1)&lt;=tolband,"帶內","帶外")&amp;"）")))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IF(I158="","無個股值",IF(I156=0,"GW 帳無新增",IF(AND(In!$E$79="Verified",FALSE()),IF(ABS(I158-1)&lt;=tolband,"對得上","偏差"),"證據不足（"&amp;IF(ABS(I158-1)&lt;=tolband,"帶內","帶外")&amp;"）")))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IF(J158="","無個股值",IF(J156=0,"GW 帳無新增",IF(AND(In!$E$79="Verified",FALSE()),IF(ABS(J158-1)&lt;=tolband,"對得上","偏差"),"證據不足（"&amp;IF(ABS(J158-1)&lt;=tolband,"帶內","帶外")&amp;"）")))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IF(K158="","無個股值",IF(K156=0,"GW 帳無新增",IF(AND(In!$E$79="Verified",FALSE()),IF(ABS(K158-1)&lt;=tolband,"對得上","偏差"),"證據不足（"&amp;IF(ABS(K158-1)&lt;=tolband,"帶內","帶外")&amp;"）")))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IF(L158="","無個股值",IF(L156=0,"GW 帳無新增",IF(AND(In!$E$79="Verified",FALSE()),IF(ABS(L158-1)&lt;=tolband,"對得上","偏差"),"證據不足（"&amp;IF(ABS(L158-1)&lt;=tolband,"帶內","帶外")&amp;"）")))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IF(M158="","無個股值",IF(M156=0,"GW 帳無新增",IF(AND(In!$E$79="Verified",FALSE()),IF(ABS(M158-1)&lt;=tolband,"對得上","偏差"),"證據不足（"&amp;IF(ABS(M158-1)&lt;=tolband,"帶內","帶外")&amp;"）")))</f>
        <v>無個股值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1008</v>
      </c>
    </row>
    <row r="3" customFormat="false" ht="15" hidden="false" customHeight="false" outlineLevel="0" collapsed="false">
      <c r="A3" s="5" t="s">
        <v>12</v>
      </c>
      <c r="B3" s="5" t="s">
        <v>947</v>
      </c>
      <c r="C3" s="5" t="s">
        <v>959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0" t="s">
        <v>1009</v>
      </c>
      <c r="B4" s="0" t="s">
        <v>964</v>
      </c>
      <c r="G4" s="29" t="n">
        <f aca="false">SIL_In!$G$30</f>
        <v>23.3995380420639</v>
      </c>
      <c r="H4" s="29" t="n">
        <f aca="false">SIL_In!$H$30</f>
        <v>41.6467658260637</v>
      </c>
      <c r="I4" s="29" t="n">
        <f aca="false">SIL_In!$I$30</f>
        <v>52.792138191248</v>
      </c>
      <c r="J4" s="29" t="n">
        <f aca="false">SIL_In!$J$30</f>
        <v>60.1385917361115</v>
      </c>
      <c r="N4" s="16" t="s">
        <v>1010</v>
      </c>
    </row>
    <row r="5" customFormat="false" ht="17.15" hidden="false" customHeight="false" outlineLevel="0" collapsed="false">
      <c r="A5" s="0" t="s">
        <v>1011</v>
      </c>
      <c r="B5" s="0" t="s">
        <v>964</v>
      </c>
      <c r="C5" s="0" t="s">
        <v>951</v>
      </c>
      <c r="D5" s="29" t="n">
        <f aca="false">Deploy!D17</f>
        <v>0</v>
      </c>
      <c r="E5" s="29" t="n">
        <f aca="false">Deploy!E17</f>
        <v>2.27984344422701</v>
      </c>
      <c r="F5" s="29" t="n">
        <f aca="false">Deploy!F17</f>
        <v>6.49162861491629</v>
      </c>
      <c r="G5" s="29" t="n">
        <f aca="false">Deploy!G17</f>
        <v>6.74502500543597</v>
      </c>
      <c r="H5" s="29" t="n">
        <f aca="false">Deploy!H17</f>
        <v>3.98398999782561</v>
      </c>
      <c r="I5" s="29" t="n">
        <f aca="false">Deploy!I17</f>
        <v>1.67155903457273</v>
      </c>
      <c r="J5" s="29" t="n">
        <f aca="false">Deploy!J17</f>
        <v>1.67155903457273</v>
      </c>
      <c r="K5" s="29" t="n">
        <f aca="false">Deploy!K17</f>
        <v>1.72727766905849</v>
      </c>
      <c r="L5" s="29" t="n">
        <f aca="false">Deploy!L17</f>
        <v>1.84242951366239</v>
      </c>
      <c r="M5" s="29" t="n">
        <f aca="false">Deploy!M17</f>
        <v>2.02667246502863</v>
      </c>
    </row>
    <row r="6" customFormat="false" ht="17.15" hidden="false" customHeight="false" outlineLevel="0" collapsed="false">
      <c r="A6" s="0" t="s">
        <v>1011</v>
      </c>
      <c r="B6" s="0" t="s">
        <v>964</v>
      </c>
      <c r="C6" s="0" t="s">
        <v>952</v>
      </c>
      <c r="D6" s="29" t="n">
        <f aca="false">Deploy!D18</f>
        <v>0</v>
      </c>
      <c r="E6" s="29" t="n">
        <f aca="false">Deploy!E18</f>
        <v>2.27984344422701</v>
      </c>
      <c r="F6" s="29" t="n">
        <f aca="false">Deploy!F18</f>
        <v>6.49162861491629</v>
      </c>
      <c r="G6" s="29" t="n">
        <f aca="false">Deploy!G18</f>
        <v>6.41415095672981</v>
      </c>
      <c r="H6" s="29" t="n">
        <f aca="false">Deploy!H18</f>
        <v>2.32286904761897</v>
      </c>
      <c r="I6" s="29" t="n">
        <f aca="false">Deploy!I18</f>
        <v>2.82777451619917</v>
      </c>
      <c r="J6" s="29" t="n">
        <f aca="false">Deploy!J18</f>
        <v>1.67155903457274</v>
      </c>
      <c r="K6" s="29" t="n">
        <f aca="false">Deploy!K18</f>
        <v>1.69941835181561</v>
      </c>
      <c r="L6" s="29" t="n">
        <f aca="false">Deploy!L18</f>
        <v>1.78485359136044</v>
      </c>
      <c r="M6" s="29" t="n">
        <f aca="false">Deploy!M18</f>
        <v>1.93455098934551</v>
      </c>
    </row>
    <row r="7" customFormat="false" ht="17.15" hidden="false" customHeight="false" outlineLevel="0" collapsed="false">
      <c r="A7" s="4" t="s">
        <v>1012</v>
      </c>
      <c r="B7" s="0" t="s">
        <v>964</v>
      </c>
      <c r="G7" s="29" t="n">
        <f aca="false">G5-G4</f>
        <v>-16.6545130366279</v>
      </c>
      <c r="H7" s="29" t="n">
        <f aca="false">H5-H4</f>
        <v>-37.6627758282381</v>
      </c>
      <c r="I7" s="29" t="n">
        <f aca="false">I5-I4</f>
        <v>-51.1205791566753</v>
      </c>
      <c r="J7" s="29" t="n">
        <f aca="false">J5-J4</f>
        <v>-58.4670327015388</v>
      </c>
    </row>
    <row r="8" customFormat="false" ht="17.15" hidden="false" customHeight="false" outlineLevel="0" collapsed="false">
      <c r="A8" s="4" t="s">
        <v>1013</v>
      </c>
      <c r="B8" s="0" t="s">
        <v>964</v>
      </c>
      <c r="G8" s="29" t="n">
        <f aca="false">IF(N(G4)=0,"",G5/G4)</f>
        <v>0.288254622519079</v>
      </c>
      <c r="H8" s="29" t="n">
        <f aca="false">IF(N(H4)=0,"",H5/H4)</f>
        <v>0.0956614497861518</v>
      </c>
      <c r="I8" s="29" t="n">
        <f aca="false">IF(N(I4)=0,"",I5/I4)</f>
        <v>0.0316630296071215</v>
      </c>
      <c r="J8" s="29" t="n">
        <f aca="false">IF(N(J4)=0,"",J5/J4)</f>
        <v>0.0277951143569763</v>
      </c>
    </row>
    <row r="10" customFormat="false" ht="17.15" hidden="false" customHeight="false" outlineLevel="0" collapsed="false">
      <c r="A10" s="0" t="s">
        <v>1009</v>
      </c>
      <c r="B10" s="0" t="s">
        <v>968</v>
      </c>
      <c r="G10" s="29" t="n">
        <f aca="false">SIL_In!$G$31</f>
        <v>23.3995380420639</v>
      </c>
      <c r="H10" s="29" t="n">
        <f aca="false">SIL_In!$H$31</f>
        <v>41.6467658260637</v>
      </c>
      <c r="I10" s="29" t="n">
        <f aca="false">SIL_In!$I$31</f>
        <v>42.2337105529984</v>
      </c>
      <c r="J10" s="29" t="n">
        <f aca="false">SIL_In!$J$31</f>
        <v>51.1178029756948</v>
      </c>
      <c r="N10" s="16" t="s">
        <v>1010</v>
      </c>
    </row>
    <row r="11" customFormat="false" ht="17.15" hidden="false" customHeight="false" outlineLevel="0" collapsed="false">
      <c r="A11" s="0" t="s">
        <v>1011</v>
      </c>
      <c r="B11" s="0" t="s">
        <v>968</v>
      </c>
      <c r="C11" s="0" t="s">
        <v>951</v>
      </c>
      <c r="D11" s="29" t="n">
        <f aca="false">Deploy!D33</f>
        <v>0</v>
      </c>
      <c r="E11" s="29" t="n">
        <f aca="false">Deploy!E33</f>
        <v>2.27984344422701</v>
      </c>
      <c r="F11" s="29" t="n">
        <f aca="false">Deploy!F33</f>
        <v>6.49162861491629</v>
      </c>
      <c r="G11" s="29" t="n">
        <f aca="false">Deploy!G33</f>
        <v>6.74502500543597</v>
      </c>
      <c r="H11" s="29" t="n">
        <f aca="false">Deploy!H33</f>
        <v>3.98398999782561</v>
      </c>
      <c r="I11" s="29" t="n">
        <f aca="false">Deploy!I33</f>
        <v>1.33724722765819</v>
      </c>
      <c r="J11" s="29" t="n">
        <f aca="false">Deploy!J33</f>
        <v>1.42082517938682</v>
      </c>
      <c r="K11" s="29" t="n">
        <f aca="false">Deploy!K33</f>
        <v>1.52738706784083</v>
      </c>
      <c r="L11" s="29" t="n">
        <f aca="false">Deploy!L33</f>
        <v>1.6610334362769</v>
      </c>
      <c r="M11" s="29" t="n">
        <f aca="false">Deploy!M33</f>
        <v>1.82713677990459</v>
      </c>
    </row>
    <row r="12" customFormat="false" ht="17.15" hidden="false" customHeight="false" outlineLevel="0" collapsed="false">
      <c r="A12" s="0" t="s">
        <v>1011</v>
      </c>
      <c r="B12" s="0" t="s">
        <v>968</v>
      </c>
      <c r="C12" s="0" t="s">
        <v>952</v>
      </c>
      <c r="D12" s="29" t="n">
        <f aca="false">Deploy!D34</f>
        <v>0</v>
      </c>
      <c r="E12" s="29" t="n">
        <f aca="false">Deploy!E34</f>
        <v>2.27984344422701</v>
      </c>
      <c r="F12" s="29" t="n">
        <f aca="false">Deploy!F34</f>
        <v>6.49162861491629</v>
      </c>
      <c r="G12" s="29" t="n">
        <f aca="false">Deploy!G34</f>
        <v>6.41415095672981</v>
      </c>
      <c r="H12" s="29" t="n">
        <f aca="false">Deploy!H34</f>
        <v>2.32286904761897</v>
      </c>
      <c r="I12" s="29" t="n">
        <f aca="false">Deploy!I34</f>
        <v>2.6606186127419</v>
      </c>
      <c r="J12" s="29" t="n">
        <f aca="false">Deploy!J34</f>
        <v>1.37903620352251</v>
      </c>
      <c r="K12" s="29" t="n">
        <f aca="false">Deploy!K34</f>
        <v>1.47410612361382</v>
      </c>
      <c r="L12" s="29" t="n">
        <f aca="false">Deploy!L34</f>
        <v>1.59421025205887</v>
      </c>
      <c r="M12" s="29" t="n">
        <f aca="false">Deploy!M34</f>
        <v>1.74408510809074</v>
      </c>
    </row>
    <row r="13" customFormat="false" ht="17.15" hidden="false" customHeight="false" outlineLevel="0" collapsed="false">
      <c r="A13" s="4" t="s">
        <v>1012</v>
      </c>
      <c r="B13" s="0" t="s">
        <v>968</v>
      </c>
      <c r="G13" s="29" t="n">
        <f aca="false">G11-G10</f>
        <v>-16.6545130366279</v>
      </c>
      <c r="H13" s="29" t="n">
        <f aca="false">H11-H10</f>
        <v>-37.6627758282381</v>
      </c>
      <c r="I13" s="29" t="n">
        <f aca="false">I11-I10</f>
        <v>-40.8964633253402</v>
      </c>
      <c r="J13" s="29" t="n">
        <f aca="false">J11-J10</f>
        <v>-49.696977796308</v>
      </c>
    </row>
    <row r="14" customFormat="false" ht="17.15" hidden="false" customHeight="false" outlineLevel="0" collapsed="false">
      <c r="A14" s="4" t="s">
        <v>1013</v>
      </c>
      <c r="B14" s="0" t="s">
        <v>968</v>
      </c>
      <c r="G14" s="29" t="n">
        <f aca="false">IF(N(G10)=0,"",G11/G10)</f>
        <v>0.288254622519079</v>
      </c>
      <c r="H14" s="29" t="n">
        <f aca="false">IF(N(H10)=0,"",H11/H10)</f>
        <v>0.0956614497861518</v>
      </c>
      <c r="I14" s="29" t="n">
        <f aca="false">IF(N(I10)=0,"",I11/I10)</f>
        <v>0.0316630296071215</v>
      </c>
      <c r="J14" s="29" t="n">
        <f aca="false">IF(N(J10)=0,"",J11/J10)</f>
        <v>0.0277951143569763</v>
      </c>
    </row>
    <row r="16" customFormat="false" ht="17.15" hidden="false" customHeight="false" outlineLevel="0" collapsed="false">
      <c r="A16" s="0" t="s">
        <v>1009</v>
      </c>
      <c r="B16" s="0" t="s">
        <v>970</v>
      </c>
      <c r="G16" s="29" t="n">
        <f aca="false">SIL_In!$G$32</f>
        <v>23.3995380420639</v>
      </c>
      <c r="H16" s="29" t="n">
        <f aca="false">SIL_In!$H$32</f>
        <v>41.6467658260637</v>
      </c>
      <c r="I16" s="29" t="n">
        <f aca="false">SIL_In!$I$32</f>
        <v>31.6752829147488</v>
      </c>
      <c r="J16" s="29" t="n">
        <f aca="false">SIL_In!$J$32</f>
        <v>36.0831550416669</v>
      </c>
      <c r="N16" s="16" t="s">
        <v>1010</v>
      </c>
    </row>
    <row r="17" customFormat="false" ht="17.15" hidden="false" customHeight="false" outlineLevel="0" collapsed="false">
      <c r="A17" s="0" t="s">
        <v>1011</v>
      </c>
      <c r="B17" s="0" t="s">
        <v>970</v>
      </c>
      <c r="C17" s="0" t="s">
        <v>951</v>
      </c>
      <c r="D17" s="29" t="n">
        <f aca="false">Deploy!D49</f>
        <v>0</v>
      </c>
      <c r="E17" s="29" t="n">
        <f aca="false">Deploy!E49</f>
        <v>2.27984344422701</v>
      </c>
      <c r="F17" s="29" t="n">
        <f aca="false">Deploy!F49</f>
        <v>6.49162861491629</v>
      </c>
      <c r="G17" s="29" t="n">
        <f aca="false">Deploy!G49</f>
        <v>6.74502500543597</v>
      </c>
      <c r="H17" s="29" t="n">
        <f aca="false">Deploy!H49</f>
        <v>3.98398999782561</v>
      </c>
      <c r="I17" s="29" t="n">
        <f aca="false">Deploy!I49</f>
        <v>1.00293542074364</v>
      </c>
      <c r="J17" s="29" t="n">
        <f aca="false">Deploy!J49</f>
        <v>1.00293542074364</v>
      </c>
      <c r="K17" s="29" t="n">
        <f aca="false">Deploy!K49</f>
        <v>1.03636660143509</v>
      </c>
      <c r="L17" s="29" t="n">
        <f aca="false">Deploy!L49</f>
        <v>1.10545770819743</v>
      </c>
      <c r="M17" s="29" t="n">
        <f aca="false">Deploy!M49</f>
        <v>1.21600347901718</v>
      </c>
    </row>
    <row r="18" customFormat="false" ht="17.15" hidden="false" customHeight="false" outlineLevel="0" collapsed="false">
      <c r="A18" s="0" t="s">
        <v>1011</v>
      </c>
      <c r="B18" s="0" t="s">
        <v>970</v>
      </c>
      <c r="C18" s="0" t="s">
        <v>952</v>
      </c>
      <c r="D18" s="29" t="n">
        <f aca="false">Deploy!D50</f>
        <v>0</v>
      </c>
      <c r="E18" s="29" t="n">
        <f aca="false">Deploy!E50</f>
        <v>2.27984344422701</v>
      </c>
      <c r="F18" s="29" t="n">
        <f aca="false">Deploy!F50</f>
        <v>6.49162861491629</v>
      </c>
      <c r="G18" s="29" t="n">
        <f aca="false">Deploy!G50</f>
        <v>6.41415095672981</v>
      </c>
      <c r="H18" s="29" t="n">
        <f aca="false">Deploy!H50</f>
        <v>2.32286904761897</v>
      </c>
      <c r="I18" s="29" t="n">
        <f aca="false">Deploy!I50</f>
        <v>2.49346270928463</v>
      </c>
      <c r="J18" s="29" t="n">
        <f aca="false">Deploy!J50</f>
        <v>1.00293542074364</v>
      </c>
      <c r="K18" s="29" t="n">
        <f aca="false">Deploy!K50</f>
        <v>1.01965101108936</v>
      </c>
      <c r="L18" s="29" t="n">
        <f aca="false">Deploy!L50</f>
        <v>1.07091215481626</v>
      </c>
      <c r="M18" s="29" t="n">
        <f aca="false">Deploy!M50</f>
        <v>1.1607305936073</v>
      </c>
    </row>
    <row r="19" customFormat="false" ht="17.15" hidden="false" customHeight="false" outlineLevel="0" collapsed="false">
      <c r="A19" s="4" t="s">
        <v>1012</v>
      </c>
      <c r="B19" s="0" t="s">
        <v>970</v>
      </c>
      <c r="G19" s="29" t="n">
        <f aca="false">G17-G16</f>
        <v>-16.6545130366279</v>
      </c>
      <c r="H19" s="29" t="n">
        <f aca="false">H17-H16</f>
        <v>-37.6627758282381</v>
      </c>
      <c r="I19" s="29" t="n">
        <f aca="false">I17-I16</f>
        <v>-30.6723474940052</v>
      </c>
      <c r="J19" s="29" t="n">
        <f aca="false">J17-J16</f>
        <v>-35.0802196209233</v>
      </c>
    </row>
    <row r="20" customFormat="false" ht="17.15" hidden="false" customHeight="false" outlineLevel="0" collapsed="false">
      <c r="A20" s="4" t="s">
        <v>1013</v>
      </c>
      <c r="B20" s="0" t="s">
        <v>970</v>
      </c>
      <c r="G20" s="29" t="n">
        <f aca="false">IF(N(G16)=0,"",G17/G16)</f>
        <v>0.288254622519079</v>
      </c>
      <c r="H20" s="29" t="n">
        <f aca="false">IF(N(H16)=0,"",H17/H16)</f>
        <v>0.0956614497861518</v>
      </c>
      <c r="I20" s="29" t="n">
        <f aca="false">IF(N(I16)=0,"",I17/I16)</f>
        <v>0.0316630296071215</v>
      </c>
      <c r="J20" s="29" t="n">
        <f aca="false">IF(N(J16)=0,"",J17/J16)</f>
        <v>0.0277951143569764</v>
      </c>
    </row>
    <row r="22" customFormat="false" ht="17.15" hidden="false" customHeight="false" outlineLevel="0" collapsed="false">
      <c r="A22" s="4" t="s">
        <v>1014</v>
      </c>
    </row>
    <row r="23" customFormat="false" ht="17.15" hidden="false" customHeight="false" outlineLevel="0" collapsed="false">
      <c r="A23" s="0" t="s">
        <v>1015</v>
      </c>
    </row>
    <row r="24" customFormat="false" ht="17.15" hidden="false" customHeight="false" outlineLevel="0" collapsed="false">
      <c r="A24" s="0" t="s">
        <v>1016</v>
      </c>
    </row>
    <row r="25" customFormat="false" ht="17.15" hidden="false" customHeight="false" outlineLevel="0" collapsed="false">
      <c r="A25" s="0" t="s">
        <v>1017</v>
      </c>
    </row>
    <row r="26" customFormat="false" ht="17.15" hidden="false" customHeight="false" outlineLevel="0" collapsed="false">
      <c r="A26" s="0" t="s">
        <v>1018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1019</v>
      </c>
    </row>
    <row r="2" customFormat="false" ht="17.15" hidden="false" customHeight="false" outlineLevel="0" collapsed="false">
      <c r="A2" s="4" t="s">
        <v>1020</v>
      </c>
    </row>
    <row r="4" customFormat="false" ht="15" hidden="false" customHeight="false" outlineLevel="0" collapsed="false">
      <c r="A4" s="5" t="s">
        <v>1021</v>
      </c>
      <c r="B4" s="5" t="s">
        <v>12</v>
      </c>
      <c r="C4" s="5" t="s">
        <v>14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6" t="s">
        <v>25</v>
      </c>
      <c r="K4" s="6" t="s">
        <v>26</v>
      </c>
      <c r="L4" s="6" t="s">
        <v>27</v>
      </c>
      <c r="M4" s="5" t="s">
        <v>1022</v>
      </c>
    </row>
    <row r="5" customFormat="false" ht="17.15" hidden="false" customHeight="false" outlineLevel="0" collapsed="false">
      <c r="A5" s="7" t="s">
        <v>1023</v>
      </c>
    </row>
    <row r="6" customFormat="false" ht="17.15" hidden="false" customHeight="false" outlineLevel="0" collapsed="false">
      <c r="A6" s="0" t="s">
        <v>1024</v>
      </c>
      <c r="B6" s="4" t="s">
        <v>1025</v>
      </c>
      <c r="C6" s="0" t="s">
        <v>111</v>
      </c>
      <c r="D6" s="27" t="n">
        <f aca="false">Deploy!E11</f>
        <v>4.18786692759296</v>
      </c>
      <c r="E6" s="27" t="n">
        <f aca="false">Deploy!F11</f>
        <v>10.8702978908458</v>
      </c>
      <c r="F6" s="27" t="n">
        <f aca="false">Deploy!G11</f>
        <v>20.3800543596434</v>
      </c>
      <c r="G6" s="27" t="n">
        <f aca="false">Deploy!H11</f>
        <v>24.364044357469</v>
      </c>
      <c r="H6" s="27" t="n">
        <f aca="false">Deploy!I11</f>
        <v>26.0356033920418</v>
      </c>
      <c r="I6" s="27" t="n">
        <f aca="false">Deploy!J11</f>
        <v>27.7071624266145</v>
      </c>
      <c r="J6" s="27" t="n">
        <f aca="false">Deploy!K11</f>
        <v>29.434440095673</v>
      </c>
      <c r="K6" s="27" t="n">
        <f aca="false">Deploy!L11</f>
        <v>31.2768696093354</v>
      </c>
      <c r="L6" s="27" t="n">
        <f aca="false">Deploy!M11</f>
        <v>33.303542074364</v>
      </c>
      <c r="M6" s="16" t="s">
        <v>1026</v>
      </c>
    </row>
    <row r="7" customFormat="false" ht="17.15" hidden="false" customHeight="false" outlineLevel="0" collapsed="false">
      <c r="A7" s="0" t="s">
        <v>1027</v>
      </c>
      <c r="B7" s="4" t="s">
        <v>1028</v>
      </c>
      <c r="C7" s="0" t="s">
        <v>111</v>
      </c>
      <c r="D7" s="27" t="n">
        <f aca="false">Deploy!E12</f>
        <v>4.18786692759296</v>
      </c>
      <c r="E7" s="27" t="n">
        <f aca="false">Deploy!F12</f>
        <v>10.8702978908458</v>
      </c>
      <c r="F7" s="27" t="n">
        <f aca="false">Deploy!G12</f>
        <v>20.0491803109372</v>
      </c>
      <c r="G7" s="27" t="n">
        <f aca="false">Deploy!H12</f>
        <v>22.3720493585562</v>
      </c>
      <c r="H7" s="27" t="n">
        <f aca="false">Deploy!I12</f>
        <v>25.1998238747554</v>
      </c>
      <c r="I7" s="27" t="n">
        <f aca="false">Deploy!J12</f>
        <v>26.8713829093281</v>
      </c>
      <c r="J7" s="27" t="n">
        <f aca="false">Deploy!K12</f>
        <v>28.5708012611437</v>
      </c>
      <c r="K7" s="27" t="n">
        <f aca="false">Deploy!L12</f>
        <v>30.3556548525042</v>
      </c>
      <c r="L7" s="27" t="n">
        <f aca="false">Deploy!M12</f>
        <v>32.2902058418497</v>
      </c>
      <c r="M7" s="16" t="s">
        <v>1029</v>
      </c>
    </row>
    <row r="8" customFormat="false" ht="17.15" hidden="false" customHeight="false" outlineLevel="0" collapsed="false">
      <c r="A8" s="0" t="s">
        <v>1030</v>
      </c>
      <c r="B8" s="4" t="s">
        <v>1031</v>
      </c>
      <c r="C8" s="0" t="s">
        <v>111</v>
      </c>
      <c r="D8" s="27" t="n">
        <f aca="false">Deploy!E13</f>
        <v>4.18786692759296</v>
      </c>
      <c r="E8" s="27" t="n">
        <f aca="false">Deploy!F13</f>
        <v>10.8702978908458</v>
      </c>
      <c r="F8" s="27" t="n">
        <f aca="false">Deploy!G13</f>
        <v>20.0491803109372</v>
      </c>
      <c r="G8" s="27" t="n">
        <f aca="false">Deploy!H13</f>
        <v>21.5590451918896</v>
      </c>
      <c r="H8" s="27" t="n">
        <f aca="false">Deploy!I13</f>
        <v>24.2101027940857</v>
      </c>
      <c r="I8" s="27" t="n">
        <f aca="false">Deploy!J13</f>
        <v>26.2863372472277</v>
      </c>
      <c r="J8" s="27" t="n">
        <f aca="false">Deploy!K13</f>
        <v>27.9760048380083</v>
      </c>
      <c r="K8" s="27" t="n">
        <f aca="false">Deploy!L13</f>
        <v>29.730956095528</v>
      </c>
      <c r="L8" s="27" t="n">
        <f aca="false">Deploy!M13</f>
        <v>31.6131129955787</v>
      </c>
      <c r="M8" s="16" t="s">
        <v>1032</v>
      </c>
    </row>
    <row r="9" customFormat="false" ht="17.15" hidden="false" customHeight="false" outlineLevel="0" collapsed="false">
      <c r="A9" s="0" t="s">
        <v>1033</v>
      </c>
      <c r="B9" s="4" t="s">
        <v>1034</v>
      </c>
      <c r="C9" s="0" t="s">
        <v>111</v>
      </c>
      <c r="D9" s="27" t="n">
        <f aca="false">Deploy!E27</f>
        <v>4.18786692759296</v>
      </c>
      <c r="E9" s="27" t="n">
        <f aca="false">Deploy!F27</f>
        <v>10.8702978908458</v>
      </c>
      <c r="F9" s="27" t="n">
        <f aca="false">Deploy!G27</f>
        <v>20.3800543596434</v>
      </c>
      <c r="G9" s="27" t="n">
        <f aca="false">Deploy!H27</f>
        <v>24.364044357469</v>
      </c>
      <c r="H9" s="27" t="n">
        <f aca="false">Deploy!I27</f>
        <v>25.7012915851272</v>
      </c>
      <c r="I9" s="27" t="n">
        <f aca="false">Deploy!J27</f>
        <v>27.122116764514</v>
      </c>
      <c r="J9" s="27" t="n">
        <f aca="false">Deploy!K27</f>
        <v>28.6495038323549</v>
      </c>
      <c r="K9" s="27" t="n">
        <f aca="false">Deploy!L27</f>
        <v>30.3105372686318</v>
      </c>
      <c r="L9" s="27" t="n">
        <f aca="false">Deploy!M27</f>
        <v>32.1376740485364</v>
      </c>
      <c r="M9" s="16" t="s">
        <v>1035</v>
      </c>
    </row>
    <row r="10" customFormat="false" ht="17.15" hidden="false" customHeight="false" outlineLevel="0" collapsed="false">
      <c r="A10" s="0" t="s">
        <v>1036</v>
      </c>
      <c r="B10" s="4" t="s">
        <v>1037</v>
      </c>
      <c r="C10" s="0" t="s">
        <v>111</v>
      </c>
      <c r="D10" s="27" t="n">
        <f aca="false">Deploy!E28</f>
        <v>4.18786692759296</v>
      </c>
      <c r="E10" s="27" t="n">
        <f aca="false">Deploy!F28</f>
        <v>10.8702978908458</v>
      </c>
      <c r="F10" s="27" t="n">
        <f aca="false">Deploy!G28</f>
        <v>20.0491803109372</v>
      </c>
      <c r="G10" s="27" t="n">
        <f aca="false">Deploy!H28</f>
        <v>22.3720493585562</v>
      </c>
      <c r="H10" s="27" t="n">
        <f aca="false">Deploy!I28</f>
        <v>25.0326679712981</v>
      </c>
      <c r="I10" s="27" t="n">
        <f aca="false">Deploy!J28</f>
        <v>26.4117041748206</v>
      </c>
      <c r="J10" s="27" t="n">
        <f aca="false">Deploy!K28</f>
        <v>27.8858102984344</v>
      </c>
      <c r="K10" s="27" t="n">
        <f aca="false">Deploy!L28</f>
        <v>29.4800205504933</v>
      </c>
      <c r="L10" s="27" t="n">
        <f aca="false">Deploy!M28</f>
        <v>31.2241056585841</v>
      </c>
      <c r="M10" s="16" t="s">
        <v>1038</v>
      </c>
    </row>
    <row r="11" customFormat="false" ht="17.15" hidden="false" customHeight="false" outlineLevel="0" collapsed="false">
      <c r="A11" s="0" t="s">
        <v>1039</v>
      </c>
      <c r="B11" s="4" t="s">
        <v>1040</v>
      </c>
      <c r="C11" s="0" t="s">
        <v>111</v>
      </c>
      <c r="D11" s="27" t="n">
        <f aca="false">Deploy!E29</f>
        <v>4.18786692759296</v>
      </c>
      <c r="E11" s="27" t="n">
        <f aca="false">Deploy!F29</f>
        <v>10.8702978908458</v>
      </c>
      <c r="F11" s="27" t="n">
        <f aca="false">Deploy!G29</f>
        <v>20.0491803109372</v>
      </c>
      <c r="G11" s="27" t="n">
        <f aca="false">Deploy!H29</f>
        <v>21.5590451918896</v>
      </c>
      <c r="H11" s="27" t="n">
        <f aca="false">Deploy!I29</f>
        <v>24.1014514568384</v>
      </c>
      <c r="I11" s="27" t="n">
        <f aca="false">Deploy!J29</f>
        <v>25.9290415035877</v>
      </c>
      <c r="J11" s="27" t="n">
        <f aca="false">Deploy!K29</f>
        <v>27.3698731551696</v>
      </c>
      <c r="K11" s="27" t="n">
        <f aca="false">Deploy!L29</f>
        <v>28.9220469622727</v>
      </c>
      <c r="L11" s="27" t="n">
        <f aca="false">Deploy!M29</f>
        <v>30.6136758707523</v>
      </c>
      <c r="M11" s="16" t="s">
        <v>1041</v>
      </c>
    </row>
    <row r="12" customFormat="false" ht="17.15" hidden="false" customHeight="false" outlineLevel="0" collapsed="false">
      <c r="A12" s="0" t="s">
        <v>1042</v>
      </c>
      <c r="B12" s="4" t="s">
        <v>1043</v>
      </c>
      <c r="C12" s="0" t="s">
        <v>111</v>
      </c>
      <c r="D12" s="27" t="n">
        <f aca="false">Deploy!E43</f>
        <v>4.18786692759296</v>
      </c>
      <c r="E12" s="27" t="n">
        <f aca="false">Deploy!F43</f>
        <v>10.8702978908458</v>
      </c>
      <c r="F12" s="27" t="n">
        <f aca="false">Deploy!G43</f>
        <v>20.3800543596434</v>
      </c>
      <c r="G12" s="27" t="n">
        <f aca="false">Deploy!H43</f>
        <v>24.364044357469</v>
      </c>
      <c r="H12" s="27" t="n">
        <f aca="false">Deploy!I43</f>
        <v>25.3669797782127</v>
      </c>
      <c r="I12" s="27" t="n">
        <f aca="false">Deploy!J43</f>
        <v>26.3699151989563</v>
      </c>
      <c r="J12" s="27" t="n">
        <f aca="false">Deploy!K43</f>
        <v>27.4062818003914</v>
      </c>
      <c r="K12" s="27" t="n">
        <f aca="false">Deploy!L43</f>
        <v>28.5117395085888</v>
      </c>
      <c r="L12" s="27" t="n">
        <f aca="false">Deploy!M43</f>
        <v>29.727742987606</v>
      </c>
      <c r="M12" s="16" t="s">
        <v>1044</v>
      </c>
    </row>
    <row r="13" customFormat="false" ht="17.15" hidden="false" customHeight="false" outlineLevel="0" collapsed="false">
      <c r="A13" s="0" t="s">
        <v>1045</v>
      </c>
      <c r="B13" s="4" t="s">
        <v>1046</v>
      </c>
      <c r="C13" s="0" t="s">
        <v>111</v>
      </c>
      <c r="D13" s="27" t="n">
        <f aca="false">Deploy!E44</f>
        <v>4.18786692759296</v>
      </c>
      <c r="E13" s="27" t="n">
        <f aca="false">Deploy!F44</f>
        <v>10.8702978908458</v>
      </c>
      <c r="F13" s="27" t="n">
        <f aca="false">Deploy!G44</f>
        <v>20.0491803109372</v>
      </c>
      <c r="G13" s="27" t="n">
        <f aca="false">Deploy!H44</f>
        <v>22.3720493585562</v>
      </c>
      <c r="H13" s="27" t="n">
        <f aca="false">Deploy!I44</f>
        <v>24.8655120678408</v>
      </c>
      <c r="I13" s="27" t="n">
        <f aca="false">Deploy!J44</f>
        <v>25.8684474885845</v>
      </c>
      <c r="J13" s="27" t="n">
        <f aca="false">Deploy!K44</f>
        <v>26.8880984996738</v>
      </c>
      <c r="K13" s="27" t="n">
        <f aca="false">Deploy!L44</f>
        <v>27.9590106544901</v>
      </c>
      <c r="L13" s="27" t="n">
        <f aca="false">Deploy!M44</f>
        <v>29.1197412480974</v>
      </c>
      <c r="M13" s="16" t="s">
        <v>1047</v>
      </c>
    </row>
    <row r="14" customFormat="false" ht="17.15" hidden="false" customHeight="false" outlineLevel="0" collapsed="false">
      <c r="A14" s="0" t="s">
        <v>1048</v>
      </c>
      <c r="B14" s="4" t="s">
        <v>1049</v>
      </c>
      <c r="C14" s="0" t="s">
        <v>111</v>
      </c>
      <c r="D14" s="27" t="n">
        <f aca="false">Deploy!E45</f>
        <v>4.18786692759296</v>
      </c>
      <c r="E14" s="27" t="n">
        <f aca="false">Deploy!F45</f>
        <v>10.8702978908458</v>
      </c>
      <c r="F14" s="27" t="n">
        <f aca="false">Deploy!G45</f>
        <v>20.0491803109372</v>
      </c>
      <c r="G14" s="27" t="n">
        <f aca="false">Deploy!H45</f>
        <v>21.5590451918896</v>
      </c>
      <c r="H14" s="27" t="n">
        <f aca="false">Deploy!I45</f>
        <v>23.9928001195912</v>
      </c>
      <c r="I14" s="27" t="n">
        <f aca="false">Deploy!J45</f>
        <v>25.5174200913242</v>
      </c>
      <c r="J14" s="27" t="n">
        <f aca="false">Deploy!K45</f>
        <v>26.5312206457926</v>
      </c>
      <c r="K14" s="27" t="n">
        <f aca="false">Deploy!L45</f>
        <v>27.5841914003044</v>
      </c>
      <c r="L14" s="27" t="n">
        <f aca="false">Deploy!M45</f>
        <v>28.7134855403349</v>
      </c>
      <c r="M14" s="16" t="s">
        <v>1050</v>
      </c>
    </row>
    <row r="15" customFormat="false" ht="17.15" hidden="false" customHeight="false" outlineLevel="0" collapsed="false">
      <c r="A15" s="0" t="s">
        <v>1051</v>
      </c>
      <c r="B15" s="4" t="s">
        <v>1052</v>
      </c>
      <c r="C15" s="0" t="s">
        <v>111</v>
      </c>
      <c r="D15" s="27" t="n">
        <f aca="false">Deploy!E14</f>
        <v>2.5587084148728</v>
      </c>
      <c r="E15" s="27" t="n">
        <f aca="false">Deploy!F14</f>
        <v>7.5290824092194</v>
      </c>
      <c r="F15" s="27" t="n">
        <f aca="false">Deploy!G14</f>
        <v>15.6251761252446</v>
      </c>
      <c r="G15" s="27" t="n">
        <f aca="false">Deploy!H14</f>
        <v>22.3720493585562</v>
      </c>
      <c r="H15" s="27" t="n">
        <f aca="false">Deploy!I14</f>
        <v>25.1998238747554</v>
      </c>
      <c r="I15" s="27" t="n">
        <f aca="false">Deploy!J14</f>
        <v>26.8713829093281</v>
      </c>
      <c r="J15" s="27" t="n">
        <f aca="false">Deploy!K14</f>
        <v>28.5708012611437</v>
      </c>
      <c r="K15" s="27" t="n">
        <f aca="false">Deploy!L14</f>
        <v>30.3556548525042</v>
      </c>
      <c r="L15" s="27" t="n">
        <f aca="false">Deploy!M14</f>
        <v>32.2902058418497</v>
      </c>
      <c r="M15" s="16" t="s">
        <v>1053</v>
      </c>
    </row>
    <row r="16" customFormat="false" ht="17.15" hidden="false" customHeight="false" outlineLevel="0" collapsed="false">
      <c r="A16" s="0" t="s">
        <v>1054</v>
      </c>
      <c r="B16" s="4" t="s">
        <v>1055</v>
      </c>
      <c r="C16" s="0" t="s">
        <v>111</v>
      </c>
      <c r="D16" s="27" t="n">
        <f aca="false">Deploy!E15</f>
        <v>2.5587084148728</v>
      </c>
      <c r="E16" s="27" t="n">
        <f aca="false">Deploy!F15</f>
        <v>7.5290824092194</v>
      </c>
      <c r="F16" s="27" t="n">
        <f aca="false">Deploy!G15</f>
        <v>15.4597391008915</v>
      </c>
      <c r="G16" s="27" t="n">
        <f aca="false">Deploy!H15</f>
        <v>21.2106148347467</v>
      </c>
      <c r="H16" s="27" t="n">
        <f aca="false">Deploy!I15</f>
        <v>23.7859366166558</v>
      </c>
      <c r="I16" s="27" t="n">
        <f aca="false">Deploy!J15</f>
        <v>26.0356033920418</v>
      </c>
      <c r="J16" s="27" t="n">
        <f aca="false">Deploy!K15</f>
        <v>27.7210920852359</v>
      </c>
      <c r="K16" s="27" t="n">
        <f aca="false">Deploy!L15</f>
        <v>29.4632280568239</v>
      </c>
      <c r="L16" s="27" t="n">
        <f aca="false">Deploy!M15</f>
        <v>31.3229303471769</v>
      </c>
      <c r="M16" s="16" t="s">
        <v>1056</v>
      </c>
    </row>
    <row r="17" customFormat="false" ht="17.15" hidden="false" customHeight="false" outlineLevel="0" collapsed="false">
      <c r="A17" s="0" t="s">
        <v>1057</v>
      </c>
      <c r="B17" s="4" t="s">
        <v>1058</v>
      </c>
      <c r="C17" s="0" t="s">
        <v>111</v>
      </c>
      <c r="D17" s="27" t="n">
        <f aca="false">Deploy!E16</f>
        <v>2.5587084148728</v>
      </c>
      <c r="E17" s="27" t="n">
        <f aca="false">Deploy!F16</f>
        <v>7.5290824092194</v>
      </c>
      <c r="F17" s="27" t="n">
        <f aca="false">Deploy!G16</f>
        <v>15.4597391008915</v>
      </c>
      <c r="G17" s="27" t="n">
        <f aca="false">Deploy!H16</f>
        <v>20.8041127514134</v>
      </c>
      <c r="H17" s="27" t="n">
        <f aca="false">Deploy!I16</f>
        <v>22.8845739929876</v>
      </c>
      <c r="I17" s="27" t="n">
        <f aca="false">Deploy!J16</f>
        <v>25.2482200206567</v>
      </c>
      <c r="J17" s="27" t="n">
        <f aca="false">Deploy!K16</f>
        <v>27.131171042618</v>
      </c>
      <c r="K17" s="27" t="n">
        <f aca="false">Deploy!L16</f>
        <v>28.8534804667681</v>
      </c>
      <c r="L17" s="27" t="n">
        <f aca="false">Deploy!M16</f>
        <v>30.6720345455534</v>
      </c>
      <c r="M17" s="16" t="s">
        <v>1059</v>
      </c>
    </row>
    <row r="18" customFormat="false" ht="17.15" hidden="false" customHeight="false" outlineLevel="0" collapsed="false">
      <c r="A18" s="0" t="s">
        <v>1060</v>
      </c>
      <c r="B18" s="4" t="s">
        <v>1061</v>
      </c>
      <c r="C18" s="0" t="s">
        <v>111</v>
      </c>
      <c r="D18" s="27" t="n">
        <f aca="false">Deploy!E30</f>
        <v>2.5587084148728</v>
      </c>
      <c r="E18" s="27" t="n">
        <f aca="false">Deploy!F30</f>
        <v>7.5290824092194</v>
      </c>
      <c r="F18" s="27" t="n">
        <f aca="false">Deploy!G30</f>
        <v>15.6251761252446</v>
      </c>
      <c r="G18" s="27" t="n">
        <f aca="false">Deploy!H30</f>
        <v>22.3720493585562</v>
      </c>
      <c r="H18" s="27" t="n">
        <f aca="false">Deploy!I30</f>
        <v>25.0326679712981</v>
      </c>
      <c r="I18" s="27" t="n">
        <f aca="false">Deploy!J30</f>
        <v>26.4117041748206</v>
      </c>
      <c r="J18" s="27" t="n">
        <f aca="false">Deploy!K30</f>
        <v>27.8858102984344</v>
      </c>
      <c r="K18" s="27" t="n">
        <f aca="false">Deploy!L30</f>
        <v>29.4800205504933</v>
      </c>
      <c r="L18" s="27" t="n">
        <f aca="false">Deploy!M30</f>
        <v>31.2241056585841</v>
      </c>
      <c r="M18" s="16" t="s">
        <v>1062</v>
      </c>
    </row>
    <row r="19" customFormat="false" ht="17.15" hidden="false" customHeight="false" outlineLevel="0" collapsed="false">
      <c r="A19" s="0" t="s">
        <v>1063</v>
      </c>
      <c r="B19" s="4" t="s">
        <v>1064</v>
      </c>
      <c r="C19" s="0" t="s">
        <v>111</v>
      </c>
      <c r="D19" s="27" t="n">
        <f aca="false">Deploy!E31</f>
        <v>2.5587084148728</v>
      </c>
      <c r="E19" s="27" t="n">
        <f aca="false">Deploy!F31</f>
        <v>7.5290824092194</v>
      </c>
      <c r="F19" s="27" t="n">
        <f aca="false">Deploy!G31</f>
        <v>15.4597391008915</v>
      </c>
      <c r="G19" s="27" t="n">
        <f aca="false">Deploy!H31</f>
        <v>21.2106148347467</v>
      </c>
      <c r="H19" s="27" t="n">
        <f aca="false">Deploy!I31</f>
        <v>23.7023586649272</v>
      </c>
      <c r="I19" s="27" t="n">
        <f aca="false">Deploy!J31</f>
        <v>25.7221860730594</v>
      </c>
      <c r="J19" s="27" t="n">
        <f aca="false">Deploy!K31</f>
        <v>27.1487572366275</v>
      </c>
      <c r="K19" s="27" t="n">
        <f aca="false">Deploy!L31</f>
        <v>28.6829154244639</v>
      </c>
      <c r="L19" s="27" t="n">
        <f aca="false">Deploy!M31</f>
        <v>30.3520631045387</v>
      </c>
      <c r="M19" s="16" t="s">
        <v>1065</v>
      </c>
    </row>
    <row r="20" customFormat="false" ht="17.15" hidden="false" customHeight="false" outlineLevel="0" collapsed="false">
      <c r="A20" s="0" t="s">
        <v>1066</v>
      </c>
      <c r="B20" s="4" t="s">
        <v>1067</v>
      </c>
      <c r="C20" s="0" t="s">
        <v>111</v>
      </c>
      <c r="D20" s="27" t="n">
        <f aca="false">Deploy!E32</f>
        <v>2.5587084148728</v>
      </c>
      <c r="E20" s="27" t="n">
        <f aca="false">Deploy!F32</f>
        <v>7.5290824092194</v>
      </c>
      <c r="F20" s="27" t="n">
        <f aca="false">Deploy!G32</f>
        <v>15.4597391008915</v>
      </c>
      <c r="G20" s="27" t="n">
        <f aca="false">Deploy!H32</f>
        <v>20.8041127514134</v>
      </c>
      <c r="H20" s="27" t="n">
        <f aca="false">Deploy!I32</f>
        <v>22.830248324364</v>
      </c>
      <c r="I20" s="27" t="n">
        <f aca="false">Deploy!J32</f>
        <v>25.0152464802131</v>
      </c>
      <c r="J20" s="27" t="n">
        <f aca="false">Deploy!K32</f>
        <v>26.6494573293787</v>
      </c>
      <c r="K20" s="27" t="n">
        <f aca="false">Deploy!L32</f>
        <v>28.1459600587212</v>
      </c>
      <c r="L20" s="27" t="n">
        <f aca="false">Deploy!M32</f>
        <v>29.7678614165125</v>
      </c>
      <c r="M20" s="16" t="s">
        <v>1068</v>
      </c>
    </row>
    <row r="21" customFormat="false" ht="17.15" hidden="false" customHeight="false" outlineLevel="0" collapsed="false">
      <c r="A21" s="0" t="s">
        <v>1069</v>
      </c>
      <c r="B21" s="4" t="s">
        <v>1070</v>
      </c>
      <c r="C21" s="0" t="s">
        <v>111</v>
      </c>
      <c r="D21" s="27" t="n">
        <f aca="false">Deploy!E46</f>
        <v>2.5587084148728</v>
      </c>
      <c r="E21" s="27" t="n">
        <f aca="false">Deploy!F46</f>
        <v>7.5290824092194</v>
      </c>
      <c r="F21" s="27" t="n">
        <f aca="false">Deploy!G46</f>
        <v>15.6251761252446</v>
      </c>
      <c r="G21" s="27" t="n">
        <f aca="false">Deploy!H46</f>
        <v>22.3720493585562</v>
      </c>
      <c r="H21" s="27" t="n">
        <f aca="false">Deploy!I46</f>
        <v>24.8655120678408</v>
      </c>
      <c r="I21" s="27" t="n">
        <f aca="false">Deploy!J46</f>
        <v>25.8684474885845</v>
      </c>
      <c r="J21" s="27" t="n">
        <f aca="false">Deploy!K46</f>
        <v>26.8880984996738</v>
      </c>
      <c r="K21" s="27" t="n">
        <f aca="false">Deploy!L46</f>
        <v>27.9590106544901</v>
      </c>
      <c r="L21" s="27" t="n">
        <f aca="false">Deploy!M46</f>
        <v>29.1197412480974</v>
      </c>
      <c r="M21" s="16" t="s">
        <v>1071</v>
      </c>
    </row>
    <row r="22" customFormat="false" ht="17.15" hidden="false" customHeight="false" outlineLevel="0" collapsed="false">
      <c r="A22" s="0" t="s">
        <v>1072</v>
      </c>
      <c r="B22" s="4" t="s">
        <v>1073</v>
      </c>
      <c r="C22" s="0" t="s">
        <v>111</v>
      </c>
      <c r="D22" s="27" t="n">
        <f aca="false">Deploy!E47</f>
        <v>2.5587084148728</v>
      </c>
      <c r="E22" s="27" t="n">
        <f aca="false">Deploy!F47</f>
        <v>7.5290824092194</v>
      </c>
      <c r="F22" s="27" t="n">
        <f aca="false">Deploy!G47</f>
        <v>15.4597391008915</v>
      </c>
      <c r="G22" s="27" t="n">
        <f aca="false">Deploy!H47</f>
        <v>21.2106148347467</v>
      </c>
      <c r="H22" s="27" t="n">
        <f aca="false">Deploy!I47</f>
        <v>23.6187807131985</v>
      </c>
      <c r="I22" s="27" t="n">
        <f aca="false">Deploy!J47</f>
        <v>25.3669797782127</v>
      </c>
      <c r="J22" s="27" t="n">
        <f aca="false">Deploy!K47</f>
        <v>26.3782729941292</v>
      </c>
      <c r="K22" s="27" t="n">
        <f aca="false">Deploy!L47</f>
        <v>27.423554577082</v>
      </c>
      <c r="L22" s="27" t="n">
        <f aca="false">Deploy!M47</f>
        <v>28.5393759512938</v>
      </c>
      <c r="M22" s="16" t="s">
        <v>1074</v>
      </c>
    </row>
    <row r="23" customFormat="false" ht="17.15" hidden="false" customHeight="false" outlineLevel="0" collapsed="false">
      <c r="A23" s="0" t="s">
        <v>1075</v>
      </c>
      <c r="B23" s="4" t="s">
        <v>1076</v>
      </c>
      <c r="C23" s="0" t="s">
        <v>111</v>
      </c>
      <c r="D23" s="27" t="n">
        <f aca="false">Deploy!E48</f>
        <v>2.5587084148728</v>
      </c>
      <c r="E23" s="27" t="n">
        <f aca="false">Deploy!F48</f>
        <v>7.5290824092194</v>
      </c>
      <c r="F23" s="27" t="n">
        <f aca="false">Deploy!G48</f>
        <v>15.4597391008915</v>
      </c>
      <c r="G23" s="27" t="n">
        <f aca="false">Deploy!H48</f>
        <v>20.8041127514134</v>
      </c>
      <c r="H23" s="27" t="n">
        <f aca="false">Deploy!I48</f>
        <v>22.7759226557404</v>
      </c>
      <c r="I23" s="27" t="n">
        <f aca="false">Deploy!J48</f>
        <v>24.7551101054577</v>
      </c>
      <c r="J23" s="27" t="n">
        <f aca="false">Deploy!K48</f>
        <v>26.0243203685584</v>
      </c>
      <c r="K23" s="27" t="n">
        <f aca="false">Deploy!L48</f>
        <v>27.0577060230485</v>
      </c>
      <c r="L23" s="27" t="n">
        <f aca="false">Deploy!M48</f>
        <v>28.1488384703196</v>
      </c>
      <c r="M23" s="16" t="s">
        <v>1077</v>
      </c>
    </row>
    <row r="24" customFormat="false" ht="17.15" hidden="false" customHeight="false" outlineLevel="0" collapsed="false">
      <c r="A24" s="0" t="s">
        <v>1078</v>
      </c>
      <c r="B24" s="4" t="s">
        <v>1079</v>
      </c>
      <c r="C24" s="0" t="s">
        <v>111</v>
      </c>
      <c r="D24" s="27" t="n">
        <f aca="false">Deploy!E17</f>
        <v>2.27984344422701</v>
      </c>
      <c r="E24" s="27" t="n">
        <f aca="false">Deploy!F17</f>
        <v>6.49162861491629</v>
      </c>
      <c r="F24" s="27" t="n">
        <f aca="false">Deploy!G17</f>
        <v>6.74502500543597</v>
      </c>
      <c r="G24" s="27" t="n">
        <f aca="false">Deploy!H17</f>
        <v>3.98398999782561</v>
      </c>
      <c r="H24" s="27" t="n">
        <f aca="false">Deploy!I17</f>
        <v>1.67155903457273</v>
      </c>
      <c r="I24" s="27" t="n">
        <f aca="false">Deploy!J17</f>
        <v>1.67155903457273</v>
      </c>
      <c r="J24" s="27" t="n">
        <f aca="false">Deploy!K17</f>
        <v>1.72727766905849</v>
      </c>
      <c r="K24" s="27" t="n">
        <f aca="false">Deploy!L17</f>
        <v>1.84242951366239</v>
      </c>
      <c r="L24" s="27" t="n">
        <f aca="false">Deploy!M17</f>
        <v>2.02667246502863</v>
      </c>
      <c r="M24" s="16" t="s">
        <v>1080</v>
      </c>
    </row>
    <row r="25" customFormat="false" ht="17.15" hidden="false" customHeight="false" outlineLevel="0" collapsed="false">
      <c r="A25" s="0" t="s">
        <v>1081</v>
      </c>
      <c r="B25" s="4" t="s">
        <v>1082</v>
      </c>
      <c r="C25" s="0" t="s">
        <v>111</v>
      </c>
      <c r="D25" s="27" t="n">
        <f aca="false">Deploy!E18</f>
        <v>2.27984344422701</v>
      </c>
      <c r="E25" s="27" t="n">
        <f aca="false">Deploy!F18</f>
        <v>6.49162861491629</v>
      </c>
      <c r="F25" s="27" t="n">
        <f aca="false">Deploy!G18</f>
        <v>6.41415095672981</v>
      </c>
      <c r="G25" s="27" t="n">
        <f aca="false">Deploy!H18</f>
        <v>2.32286904761897</v>
      </c>
      <c r="H25" s="27" t="n">
        <f aca="false">Deploy!I18</f>
        <v>2.82777451619917</v>
      </c>
      <c r="I25" s="27" t="n">
        <f aca="false">Deploy!J18</f>
        <v>1.67155903457274</v>
      </c>
      <c r="J25" s="27" t="n">
        <f aca="false">Deploy!K18</f>
        <v>1.69941835181561</v>
      </c>
      <c r="K25" s="27" t="n">
        <f aca="false">Deploy!L18</f>
        <v>1.78485359136044</v>
      </c>
      <c r="L25" s="27" t="n">
        <f aca="false">Deploy!M18</f>
        <v>1.93455098934551</v>
      </c>
      <c r="M25" s="16" t="s">
        <v>1083</v>
      </c>
    </row>
    <row r="26" customFormat="false" ht="17.15" hidden="false" customHeight="false" outlineLevel="0" collapsed="false">
      <c r="A26" s="0" t="s">
        <v>1084</v>
      </c>
      <c r="B26" s="4" t="s">
        <v>1085</v>
      </c>
      <c r="C26" s="0" t="s">
        <v>111</v>
      </c>
      <c r="D26" s="27" t="n">
        <f aca="false">Deploy!E19</f>
        <v>2.27984344422701</v>
      </c>
      <c r="E26" s="27" t="n">
        <f aca="false">Deploy!F19</f>
        <v>6.49162861491629</v>
      </c>
      <c r="F26" s="27" t="n">
        <f aca="false">Deploy!G19</f>
        <v>6.41415095672981</v>
      </c>
      <c r="G26" s="27" t="n">
        <f aca="false">Deploy!H19</f>
        <v>1.50986488095233</v>
      </c>
      <c r="H26" s="27" t="n">
        <f aca="false">Deploy!I19</f>
        <v>2.6510576021961</v>
      </c>
      <c r="I26" s="27" t="n">
        <f aca="false">Deploy!J19</f>
        <v>2.07623445314199</v>
      </c>
      <c r="J26" s="27" t="n">
        <f aca="false">Deploy!K19</f>
        <v>1.68966759078061</v>
      </c>
      <c r="K26" s="27" t="n">
        <f aca="false">Deploy!L19</f>
        <v>1.75495125751975</v>
      </c>
      <c r="L26" s="27" t="n">
        <f aca="false">Deploy!M19</f>
        <v>1.88215690005073</v>
      </c>
      <c r="M26" s="16" t="s">
        <v>1086</v>
      </c>
    </row>
    <row r="27" customFormat="false" ht="17.15" hidden="false" customHeight="false" outlineLevel="0" collapsed="false">
      <c r="A27" s="0" t="s">
        <v>1087</v>
      </c>
      <c r="B27" s="4" t="s">
        <v>1088</v>
      </c>
      <c r="C27" s="0" t="s">
        <v>111</v>
      </c>
      <c r="D27" s="27" t="n">
        <f aca="false">Deploy!E33</f>
        <v>2.27984344422701</v>
      </c>
      <c r="E27" s="27" t="n">
        <f aca="false">Deploy!F33</f>
        <v>6.49162861491629</v>
      </c>
      <c r="F27" s="27" t="n">
        <f aca="false">Deploy!G33</f>
        <v>6.74502500543597</v>
      </c>
      <c r="G27" s="27" t="n">
        <f aca="false">Deploy!H33</f>
        <v>3.98398999782561</v>
      </c>
      <c r="H27" s="27" t="n">
        <f aca="false">Deploy!I33</f>
        <v>1.33724722765819</v>
      </c>
      <c r="I27" s="27" t="n">
        <f aca="false">Deploy!J33</f>
        <v>1.42082517938682</v>
      </c>
      <c r="J27" s="27" t="n">
        <f aca="false">Deploy!K33</f>
        <v>1.52738706784083</v>
      </c>
      <c r="K27" s="27" t="n">
        <f aca="false">Deploy!L33</f>
        <v>1.6610334362769</v>
      </c>
      <c r="L27" s="27" t="n">
        <f aca="false">Deploy!M33</f>
        <v>1.82713677990459</v>
      </c>
      <c r="M27" s="16" t="s">
        <v>1089</v>
      </c>
    </row>
    <row r="28" customFormat="false" ht="17.15" hidden="false" customHeight="false" outlineLevel="0" collapsed="false">
      <c r="A28" s="0" t="s">
        <v>1090</v>
      </c>
      <c r="B28" s="4" t="s">
        <v>1091</v>
      </c>
      <c r="C28" s="0" t="s">
        <v>111</v>
      </c>
      <c r="D28" s="27" t="n">
        <f aca="false">Deploy!E34</f>
        <v>2.27984344422701</v>
      </c>
      <c r="E28" s="27" t="n">
        <f aca="false">Deploy!F34</f>
        <v>6.49162861491629</v>
      </c>
      <c r="F28" s="27" t="n">
        <f aca="false">Deploy!G34</f>
        <v>6.41415095672981</v>
      </c>
      <c r="G28" s="27" t="n">
        <f aca="false">Deploy!H34</f>
        <v>2.32286904761897</v>
      </c>
      <c r="H28" s="27" t="n">
        <f aca="false">Deploy!I34</f>
        <v>2.6606186127419</v>
      </c>
      <c r="I28" s="27" t="n">
        <f aca="false">Deploy!J34</f>
        <v>1.37903620352251</v>
      </c>
      <c r="J28" s="27" t="n">
        <f aca="false">Deploy!K34</f>
        <v>1.47410612361382</v>
      </c>
      <c r="K28" s="27" t="n">
        <f aca="false">Deploy!L34</f>
        <v>1.59421025205887</v>
      </c>
      <c r="L28" s="27" t="n">
        <f aca="false">Deploy!M34</f>
        <v>1.74408510809074</v>
      </c>
      <c r="M28" s="16" t="s">
        <v>1092</v>
      </c>
    </row>
    <row r="29" customFormat="false" ht="17.15" hidden="false" customHeight="false" outlineLevel="0" collapsed="false">
      <c r="A29" s="0" t="s">
        <v>1093</v>
      </c>
      <c r="B29" s="4" t="s">
        <v>1094</v>
      </c>
      <c r="C29" s="0" t="s">
        <v>111</v>
      </c>
      <c r="D29" s="27" t="n">
        <f aca="false">Deploy!E35</f>
        <v>2.27984344422701</v>
      </c>
      <c r="E29" s="27" t="n">
        <f aca="false">Deploy!F35</f>
        <v>6.49162861491629</v>
      </c>
      <c r="F29" s="27" t="n">
        <f aca="false">Deploy!G35</f>
        <v>6.41415095672981</v>
      </c>
      <c r="G29" s="27" t="n">
        <f aca="false">Deploy!H35</f>
        <v>1.50986488095233</v>
      </c>
      <c r="H29" s="27" t="n">
        <f aca="false">Deploy!I35</f>
        <v>2.54240626494887</v>
      </c>
      <c r="I29" s="27" t="n">
        <f aca="false">Deploy!J35</f>
        <v>1.82759004674929</v>
      </c>
      <c r="J29" s="27" t="n">
        <f aca="false">Deploy!K35</f>
        <v>1.44083165158187</v>
      </c>
      <c r="K29" s="27" t="n">
        <f aca="false">Deploy!L35</f>
        <v>1.5521738071031</v>
      </c>
      <c r="L29" s="27" t="n">
        <f aca="false">Deploy!M35</f>
        <v>1.69162890847959</v>
      </c>
      <c r="M29" s="16" t="s">
        <v>1095</v>
      </c>
    </row>
    <row r="30" customFormat="false" ht="17.15" hidden="false" customHeight="false" outlineLevel="0" collapsed="false">
      <c r="A30" s="0" t="s">
        <v>1096</v>
      </c>
      <c r="B30" s="4" t="s">
        <v>1097</v>
      </c>
      <c r="C30" s="0" t="s">
        <v>111</v>
      </c>
      <c r="D30" s="27" t="n">
        <f aca="false">Deploy!E49</f>
        <v>2.27984344422701</v>
      </c>
      <c r="E30" s="27" t="n">
        <f aca="false">Deploy!F49</f>
        <v>6.49162861491629</v>
      </c>
      <c r="F30" s="27" t="n">
        <f aca="false">Deploy!G49</f>
        <v>6.74502500543597</v>
      </c>
      <c r="G30" s="27" t="n">
        <f aca="false">Deploy!H49</f>
        <v>3.98398999782561</v>
      </c>
      <c r="H30" s="27" t="n">
        <f aca="false">Deploy!I49</f>
        <v>1.00293542074364</v>
      </c>
      <c r="I30" s="27" t="n">
        <f aca="false">Deploy!J49</f>
        <v>1.00293542074364</v>
      </c>
      <c r="J30" s="27" t="n">
        <f aca="false">Deploy!K49</f>
        <v>1.03636660143509</v>
      </c>
      <c r="K30" s="27" t="n">
        <f aca="false">Deploy!L49</f>
        <v>1.10545770819743</v>
      </c>
      <c r="L30" s="27" t="n">
        <f aca="false">Deploy!M49</f>
        <v>1.21600347901718</v>
      </c>
      <c r="M30" s="16" t="s">
        <v>1098</v>
      </c>
    </row>
    <row r="31" customFormat="false" ht="17.15" hidden="false" customHeight="false" outlineLevel="0" collapsed="false">
      <c r="A31" s="0" t="s">
        <v>1099</v>
      </c>
      <c r="B31" s="4" t="s">
        <v>1100</v>
      </c>
      <c r="C31" s="0" t="s">
        <v>111</v>
      </c>
      <c r="D31" s="27" t="n">
        <f aca="false">Deploy!E50</f>
        <v>2.27984344422701</v>
      </c>
      <c r="E31" s="27" t="n">
        <f aca="false">Deploy!F50</f>
        <v>6.49162861491629</v>
      </c>
      <c r="F31" s="27" t="n">
        <f aca="false">Deploy!G50</f>
        <v>6.41415095672981</v>
      </c>
      <c r="G31" s="27" t="n">
        <f aca="false">Deploy!H50</f>
        <v>2.32286904761897</v>
      </c>
      <c r="H31" s="27" t="n">
        <f aca="false">Deploy!I50</f>
        <v>2.49346270928463</v>
      </c>
      <c r="I31" s="27" t="n">
        <f aca="false">Deploy!J50</f>
        <v>1.00293542074364</v>
      </c>
      <c r="J31" s="27" t="n">
        <f aca="false">Deploy!K50</f>
        <v>1.01965101108936</v>
      </c>
      <c r="K31" s="27" t="n">
        <f aca="false">Deploy!L50</f>
        <v>1.07091215481626</v>
      </c>
      <c r="L31" s="27" t="n">
        <f aca="false">Deploy!M50</f>
        <v>1.1607305936073</v>
      </c>
      <c r="M31" s="16" t="s">
        <v>1101</v>
      </c>
    </row>
    <row r="32" customFormat="false" ht="17.15" hidden="false" customHeight="false" outlineLevel="0" collapsed="false">
      <c r="A32" s="0" t="s">
        <v>1102</v>
      </c>
      <c r="B32" s="4" t="s">
        <v>1103</v>
      </c>
      <c r="C32" s="0" t="s">
        <v>111</v>
      </c>
      <c r="D32" s="27" t="n">
        <f aca="false">Deploy!E51</f>
        <v>2.27984344422701</v>
      </c>
      <c r="E32" s="27" t="n">
        <f aca="false">Deploy!F51</f>
        <v>6.49162861491629</v>
      </c>
      <c r="F32" s="27" t="n">
        <f aca="false">Deploy!G51</f>
        <v>6.41415095672981</v>
      </c>
      <c r="G32" s="27" t="n">
        <f aca="false">Deploy!H51</f>
        <v>1.50986488095233</v>
      </c>
      <c r="H32" s="27" t="n">
        <f aca="false">Deploy!I51</f>
        <v>2.43375492770164</v>
      </c>
      <c r="I32" s="27" t="n">
        <f aca="false">Deploy!J51</f>
        <v>1.52461997173298</v>
      </c>
      <c r="J32" s="27" t="n">
        <f aca="false">Deploy!K51</f>
        <v>1.01380055446837</v>
      </c>
      <c r="K32" s="27" t="n">
        <f aca="false">Deploy!L51</f>
        <v>1.05297075451185</v>
      </c>
      <c r="L32" s="27" t="n">
        <f aca="false">Deploy!M51</f>
        <v>1.12929414003044</v>
      </c>
      <c r="M32" s="16" t="s">
        <v>1104</v>
      </c>
    </row>
    <row r="33" customFormat="false" ht="17.15" hidden="false" customHeight="false" outlineLevel="0" collapsed="false">
      <c r="A33" s="7" t="s">
        <v>1105</v>
      </c>
    </row>
    <row r="34" customFormat="false" ht="17.15" hidden="false" customHeight="false" outlineLevel="0" collapsed="false">
      <c r="A34" s="0" t="s">
        <v>1106</v>
      </c>
      <c r="B34" s="4" t="s">
        <v>1107</v>
      </c>
      <c r="C34" s="0" t="s">
        <v>111</v>
      </c>
      <c r="D34" s="27" t="n">
        <f aca="false">Deploy!E20</f>
        <v>0</v>
      </c>
      <c r="E34" s="27" t="n">
        <f aca="false">Deploy!F20</f>
        <v>0</v>
      </c>
      <c r="F34" s="27" t="n">
        <f aca="false">Deploy!G20</f>
        <v>0.330874048706157</v>
      </c>
      <c r="G34" s="27" t="n">
        <f aca="false">Deploy!H20</f>
        <v>1.99199499891281</v>
      </c>
      <c r="H34" s="27" t="n">
        <f aca="false">Deploy!I20</f>
        <v>0.835779517286369</v>
      </c>
      <c r="I34" s="27" t="n">
        <f aca="false">Deploy!J20</f>
        <v>0.835779517286362</v>
      </c>
      <c r="J34" s="27" t="n">
        <f aca="false">Deploy!K20</f>
        <v>0.863638834529244</v>
      </c>
      <c r="K34" s="27" t="n">
        <f aca="false">Deploy!L20</f>
        <v>0.921214756831194</v>
      </c>
      <c r="L34" s="27" t="n">
        <f aca="false">Deploy!M20</f>
        <v>1.01333623251431</v>
      </c>
      <c r="M34" s="16" t="s">
        <v>1108</v>
      </c>
    </row>
    <row r="35" customFormat="false" ht="17.15" hidden="false" customHeight="false" outlineLevel="0" collapsed="false">
      <c r="A35" s="0" t="s">
        <v>1109</v>
      </c>
      <c r="B35" s="4" t="s">
        <v>1110</v>
      </c>
      <c r="C35" s="0" t="s">
        <v>111</v>
      </c>
      <c r="D35" s="27" t="n">
        <f aca="false">Deploy!E21</f>
        <v>0</v>
      </c>
      <c r="E35" s="27" t="n">
        <f aca="false">Deploy!F21</f>
        <v>0</v>
      </c>
      <c r="F35" s="27" t="n">
        <f aca="false">Deploy!G21</f>
        <v>0.330874048706157</v>
      </c>
      <c r="G35" s="27" t="n">
        <f aca="false">Deploy!H21</f>
        <v>2.80499916557944</v>
      </c>
      <c r="H35" s="27" t="n">
        <f aca="false">Deploy!I21</f>
        <v>1.82550059795608</v>
      </c>
      <c r="I35" s="27" t="n">
        <f aca="false">Deploy!J21</f>
        <v>1.42082517938682</v>
      </c>
      <c r="J35" s="27" t="n">
        <f aca="false">Deploy!K21</f>
        <v>1.4584352576647</v>
      </c>
      <c r="K35" s="27" t="n">
        <f aca="false">Deploy!L21</f>
        <v>1.54591351380735</v>
      </c>
      <c r="L35" s="27" t="n">
        <f aca="false">Deploy!M21</f>
        <v>1.69042907878524</v>
      </c>
      <c r="M35" s="16" t="s">
        <v>1111</v>
      </c>
    </row>
    <row r="36" customFormat="false" ht="17.15" hidden="false" customHeight="false" outlineLevel="0" collapsed="false">
      <c r="A36" s="0" t="s">
        <v>1112</v>
      </c>
      <c r="B36" s="4" t="s">
        <v>1113</v>
      </c>
      <c r="C36" s="0" t="s">
        <v>111</v>
      </c>
      <c r="D36" s="27" t="n">
        <f aca="false">Deploy!E36</f>
        <v>0</v>
      </c>
      <c r="E36" s="27" t="n">
        <f aca="false">Deploy!F36</f>
        <v>0</v>
      </c>
      <c r="F36" s="27" t="n">
        <f aca="false">Deploy!G36</f>
        <v>0.330874048706157</v>
      </c>
      <c r="G36" s="27" t="n">
        <f aca="false">Deploy!H36</f>
        <v>1.99199499891281</v>
      </c>
      <c r="H36" s="27" t="n">
        <f aca="false">Deploy!I36</f>
        <v>0.668623613829098</v>
      </c>
      <c r="I36" s="27" t="n">
        <f aca="false">Deploy!J36</f>
        <v>0.710412589693409</v>
      </c>
      <c r="J36" s="27" t="n">
        <f aca="false">Deploy!K36</f>
        <v>0.763693533920417</v>
      </c>
      <c r="K36" s="27" t="n">
        <f aca="false">Deploy!L36</f>
        <v>0.830516718138448</v>
      </c>
      <c r="L36" s="27" t="n">
        <f aca="false">Deploy!M36</f>
        <v>0.913568389952296</v>
      </c>
      <c r="M36" s="16" t="s">
        <v>1114</v>
      </c>
    </row>
    <row r="37" customFormat="false" ht="17.15" hidden="false" customHeight="false" outlineLevel="0" collapsed="false">
      <c r="A37" s="0" t="s">
        <v>1115</v>
      </c>
      <c r="B37" s="4" t="s">
        <v>1116</v>
      </c>
      <c r="C37" s="0" t="s">
        <v>111</v>
      </c>
      <c r="D37" s="27" t="n">
        <f aca="false">Deploy!E37</f>
        <v>0</v>
      </c>
      <c r="E37" s="27" t="n">
        <f aca="false">Deploy!F37</f>
        <v>0</v>
      </c>
      <c r="F37" s="27" t="n">
        <f aca="false">Deploy!G37</f>
        <v>0.330874048706157</v>
      </c>
      <c r="G37" s="27" t="n">
        <f aca="false">Deploy!H37</f>
        <v>2.80499916557944</v>
      </c>
      <c r="H37" s="27" t="n">
        <f aca="false">Deploy!I37</f>
        <v>1.59984012828876</v>
      </c>
      <c r="I37" s="27" t="n">
        <f aca="false">Deploy!J37</f>
        <v>1.19307526092629</v>
      </c>
      <c r="J37" s="27" t="n">
        <f aca="false">Deploy!K37</f>
        <v>1.27963067718525</v>
      </c>
      <c r="K37" s="27" t="n">
        <f aca="false">Deploy!L37</f>
        <v>1.38849030635905</v>
      </c>
      <c r="L37" s="27" t="n">
        <f aca="false">Deploy!M37</f>
        <v>1.52399817778405</v>
      </c>
      <c r="M37" s="16" t="s">
        <v>1117</v>
      </c>
    </row>
    <row r="38" customFormat="false" ht="17.15" hidden="false" customHeight="false" outlineLevel="0" collapsed="false">
      <c r="A38" s="0" t="s">
        <v>1118</v>
      </c>
      <c r="B38" s="4" t="s">
        <v>1119</v>
      </c>
      <c r="C38" s="0" t="s">
        <v>111</v>
      </c>
      <c r="D38" s="27" t="n">
        <f aca="false">Deploy!E52</f>
        <v>0</v>
      </c>
      <c r="E38" s="27" t="n">
        <f aca="false">Deploy!F52</f>
        <v>0</v>
      </c>
      <c r="F38" s="27" t="n">
        <f aca="false">Deploy!G52</f>
        <v>0.330874048706157</v>
      </c>
      <c r="G38" s="27" t="n">
        <f aca="false">Deploy!H52</f>
        <v>1.99199499891281</v>
      </c>
      <c r="H38" s="27" t="n">
        <f aca="false">Deploy!I52</f>
        <v>0.50146771037182</v>
      </c>
      <c r="I38" s="27" t="n">
        <f aca="false">Deploy!J52</f>
        <v>0.501467710371816</v>
      </c>
      <c r="J38" s="27" t="n">
        <f aca="false">Deploy!K52</f>
        <v>0.518183300717546</v>
      </c>
      <c r="K38" s="27" t="n">
        <f aca="false">Deploy!L52</f>
        <v>0.552728854098717</v>
      </c>
      <c r="L38" s="27" t="n">
        <f aca="false">Deploy!M52</f>
        <v>0.608001739508588</v>
      </c>
      <c r="M38" s="16" t="s">
        <v>1120</v>
      </c>
    </row>
    <row r="39" customFormat="false" ht="17.15" hidden="false" customHeight="false" outlineLevel="0" collapsed="false">
      <c r="A39" s="0" t="s">
        <v>1121</v>
      </c>
      <c r="B39" s="4" t="s">
        <v>1122</v>
      </c>
      <c r="C39" s="0" t="s">
        <v>111</v>
      </c>
      <c r="D39" s="27" t="n">
        <f aca="false">Deploy!E53</f>
        <v>0</v>
      </c>
      <c r="E39" s="27" t="n">
        <f aca="false">Deploy!F53</f>
        <v>0</v>
      </c>
      <c r="F39" s="27" t="n">
        <f aca="false">Deploy!G53</f>
        <v>0.330874048706157</v>
      </c>
      <c r="G39" s="27" t="n">
        <f aca="false">Deploy!H53</f>
        <v>2.80499916557944</v>
      </c>
      <c r="H39" s="27" t="n">
        <f aca="false">Deploy!I53</f>
        <v>1.37417965862144</v>
      </c>
      <c r="I39" s="27" t="n">
        <f aca="false">Deploy!J53</f>
        <v>0.852495107632098</v>
      </c>
      <c r="J39" s="27" t="n">
        <f aca="false">Deploy!K53</f>
        <v>0.875061154598821</v>
      </c>
      <c r="K39" s="27" t="n">
        <f aca="false">Deploy!L53</f>
        <v>0.927548108284409</v>
      </c>
      <c r="L39" s="27" t="n">
        <f aca="false">Deploy!M53</f>
        <v>1.01425744727115</v>
      </c>
      <c r="M39" s="16" t="s">
        <v>1123</v>
      </c>
    </row>
    <row r="40" customFormat="false" ht="17.15" hidden="false" customHeight="false" outlineLevel="0" collapsed="false">
      <c r="A40" s="7" t="s">
        <v>1124</v>
      </c>
    </row>
    <row r="41" customFormat="false" ht="17.15" hidden="false" customHeight="false" outlineLevel="0" collapsed="false">
      <c r="A41" s="0" t="s">
        <v>1125</v>
      </c>
      <c r="B41" s="0" t="s">
        <v>873</v>
      </c>
      <c r="C41" s="0" t="s">
        <v>111</v>
      </c>
      <c r="D41" s="27" t="n">
        <f aca="false">Players!E24</f>
        <v>0.978473581213307</v>
      </c>
      <c r="E41" s="27" t="n">
        <f aca="false">Players!F24</f>
        <v>2.50054359643401</v>
      </c>
      <c r="F41" s="27" t="n">
        <f aca="false">Players!G24</f>
        <v>4.89236790606654</v>
      </c>
      <c r="G41" s="27" t="n">
        <f aca="false">Players!H24</f>
        <v>4.89236790606654</v>
      </c>
      <c r="H41" s="27" t="n">
        <f aca="false">Players!I24</f>
        <v>4.89236790606654</v>
      </c>
      <c r="I41" s="27" t="n">
        <f aca="false">Players!J24</f>
        <v>4.89236790606654</v>
      </c>
      <c r="J41" s="27" t="n">
        <f aca="false">Players!K24</f>
        <v>4.89236790606654</v>
      </c>
      <c r="K41" s="27" t="n">
        <f aca="false">Players!L24</f>
        <v>4.89236790606654</v>
      </c>
      <c r="L41" s="27" t="n">
        <f aca="false">Players!M24</f>
        <v>4.89236790606654</v>
      </c>
      <c r="M41" s="16" t="s">
        <v>1126</v>
      </c>
    </row>
    <row r="42" customFormat="false" ht="17.15" hidden="false" customHeight="false" outlineLevel="0" collapsed="false">
      <c r="A42" s="0" t="s">
        <v>1127</v>
      </c>
      <c r="B42" s="0" t="s">
        <v>874</v>
      </c>
      <c r="C42" s="0" t="s">
        <v>111</v>
      </c>
      <c r="D42" s="27" t="n">
        <f aca="false">Players!E40</f>
        <v>2.32876712328767</v>
      </c>
      <c r="E42" s="27" t="n">
        <f aca="false">Players!F40</f>
        <v>5.29789084583605</v>
      </c>
      <c r="F42" s="27" t="n">
        <f aca="false">Players!G40</f>
        <v>6.89062839747771</v>
      </c>
      <c r="G42" s="27" t="n">
        <f aca="false">Players!H40</f>
        <v>6.89062839747771</v>
      </c>
      <c r="H42" s="27" t="n">
        <f aca="false">Players!I40</f>
        <v>6.89062839747771</v>
      </c>
      <c r="I42" s="27" t="n">
        <f aca="false">Players!J40</f>
        <v>6.89062839747771</v>
      </c>
      <c r="J42" s="27" t="n">
        <f aca="false">Players!K40</f>
        <v>6.89062839747771</v>
      </c>
      <c r="K42" s="27" t="n">
        <f aca="false">Players!L40</f>
        <v>6.89062839747771</v>
      </c>
      <c r="L42" s="27" t="n">
        <f aca="false">Players!M40</f>
        <v>6.89062839747771</v>
      </c>
      <c r="M42" s="16" t="s">
        <v>1128</v>
      </c>
    </row>
    <row r="43" customFormat="false" ht="17.15" hidden="false" customHeight="false" outlineLevel="0" collapsed="false">
      <c r="A43" s="0" t="s">
        <v>1129</v>
      </c>
      <c r="B43" s="0" t="s">
        <v>875</v>
      </c>
      <c r="C43" s="0" t="s">
        <v>111</v>
      </c>
      <c r="D43" s="27" t="n">
        <f aca="false">Players!E56</f>
        <v>0.489236790606654</v>
      </c>
      <c r="E43" s="27" t="n">
        <f aca="false">Players!F56</f>
        <v>1.95694716242661</v>
      </c>
      <c r="F43" s="27" t="n">
        <f aca="false">Players!G56</f>
        <v>2.82670145683844</v>
      </c>
      <c r="G43" s="27" t="n">
        <f aca="false">Players!H56</f>
        <v>2.82670145683844</v>
      </c>
      <c r="H43" s="27" t="n">
        <f aca="false">Players!I56</f>
        <v>2.82670145683844</v>
      </c>
      <c r="I43" s="27" t="n">
        <f aca="false">Players!J56</f>
        <v>2.82670145683844</v>
      </c>
      <c r="J43" s="27" t="n">
        <f aca="false">Players!K56</f>
        <v>2.82670145683844</v>
      </c>
      <c r="K43" s="27" t="n">
        <f aca="false">Players!L56</f>
        <v>2.82670145683844</v>
      </c>
      <c r="L43" s="27" t="n">
        <f aca="false">Players!M56</f>
        <v>2.82670145683844</v>
      </c>
      <c r="M43" s="16" t="s">
        <v>1130</v>
      </c>
    </row>
    <row r="44" customFormat="false" ht="17.15" hidden="false" customHeight="false" outlineLevel="0" collapsed="false">
      <c r="A44" s="0" t="s">
        <v>1131</v>
      </c>
      <c r="B44" s="0" t="s">
        <v>876</v>
      </c>
      <c r="C44" s="0" t="s">
        <v>111</v>
      </c>
      <c r="D44" s="27" t="str">
        <f aca="false">Players!E72</f>
        <v/>
      </c>
      <c r="E44" s="27" t="str">
        <f aca="false">Players!F72</f>
        <v/>
      </c>
      <c r="F44" s="27" t="n">
        <f aca="false">Players!G72</f>
        <v>2.7647314633616</v>
      </c>
      <c r="G44" s="27" t="n">
        <f aca="false">Players!H72</f>
        <v>5.07501630789302</v>
      </c>
      <c r="H44" s="27" t="n">
        <f aca="false">Players!I72</f>
        <v>5.07501630789302</v>
      </c>
      <c r="I44" s="27" t="n">
        <f aca="false">Players!J72</f>
        <v>5.07501630789302</v>
      </c>
      <c r="J44" s="27" t="n">
        <f aca="false">Players!K72</f>
        <v>5.07501630789302</v>
      </c>
      <c r="K44" s="27" t="n">
        <f aca="false">Players!L72</f>
        <v>5.07501630789302</v>
      </c>
      <c r="L44" s="27" t="n">
        <f aca="false">Players!M72</f>
        <v>5.07501630789302</v>
      </c>
      <c r="M44" s="16" t="s">
        <v>1132</v>
      </c>
    </row>
    <row r="45" customFormat="false" ht="15" hidden="false" customHeight="false" outlineLevel="0" collapsed="false">
      <c r="A45" s="0" t="s">
        <v>1133</v>
      </c>
      <c r="B45" s="0" t="s">
        <v>669</v>
      </c>
      <c r="C45" s="0" t="s">
        <v>111</v>
      </c>
      <c r="D45" s="27" t="n">
        <f aca="false">Players!E88</f>
        <v>0.391389432485323</v>
      </c>
      <c r="E45" s="27" t="n">
        <f aca="false">Players!F88</f>
        <v>0.924113937812568</v>
      </c>
      <c r="F45" s="27" t="n">
        <f aca="false">Players!G88</f>
        <v>2.01130680582735</v>
      </c>
      <c r="G45" s="27" t="n">
        <f aca="false">Players!H88</f>
        <v>3.68286584040009</v>
      </c>
      <c r="H45" s="27" t="n">
        <f aca="false">Players!I88</f>
        <v>5.35442487497282</v>
      </c>
      <c r="I45" s="27" t="n">
        <f aca="false">Players!J88</f>
        <v>7.02598390954555</v>
      </c>
      <c r="J45" s="27" t="n">
        <f aca="false">Players!K88</f>
        <v>8.69754294411829</v>
      </c>
      <c r="K45" s="27" t="n">
        <f aca="false">Players!L88</f>
        <v>8.69754294411829</v>
      </c>
      <c r="L45" s="27" t="n">
        <f aca="false">Players!M88</f>
        <v>8.69754294411829</v>
      </c>
      <c r="M45" s="16" t="s">
        <v>1134</v>
      </c>
    </row>
    <row r="46" customFormat="false" ht="15" hidden="false" customHeight="false" outlineLevel="0" collapsed="false">
      <c r="A46" s="0" t="s">
        <v>1135</v>
      </c>
      <c r="B46" s="0" t="s">
        <v>686</v>
      </c>
      <c r="C46" s="0" t="s">
        <v>111</v>
      </c>
      <c r="D46" s="27" t="str">
        <f aca="false">Players!E104</f>
        <v/>
      </c>
      <c r="E46" s="27" t="n">
        <f aca="false">Players!F104</f>
        <v>0.184822787562514</v>
      </c>
      <c r="F46" s="27" t="n">
        <f aca="false">Players!G104</f>
        <v>0.978473581213307</v>
      </c>
      <c r="G46" s="27" t="n">
        <f aca="false">Players!H104</f>
        <v>0.978473581213307</v>
      </c>
      <c r="H46" s="27" t="n">
        <f aca="false">Players!I104</f>
        <v>0.978473581213307</v>
      </c>
      <c r="I46" s="27" t="n">
        <f aca="false">Players!J104</f>
        <v>0.978473581213307</v>
      </c>
      <c r="J46" s="27" t="n">
        <f aca="false">Players!K104</f>
        <v>0.978473581213307</v>
      </c>
      <c r="K46" s="27" t="n">
        <f aca="false">Players!L104</f>
        <v>0.978473581213307</v>
      </c>
      <c r="L46" s="27" t="n">
        <f aca="false">Players!M104</f>
        <v>0.978473581213307</v>
      </c>
      <c r="M46" s="16" t="s">
        <v>1136</v>
      </c>
    </row>
    <row r="47" customFormat="false" ht="17.15" hidden="false" customHeight="false" outlineLevel="0" collapsed="false">
      <c r="A47" s="0" t="s">
        <v>1137</v>
      </c>
      <c r="B47" s="0" t="s">
        <v>877</v>
      </c>
      <c r="C47" s="0" t="s">
        <v>111</v>
      </c>
      <c r="D47" s="27" t="str">
        <f aca="false">Players!E120</f>
        <v/>
      </c>
      <c r="E47" s="27" t="n">
        <f aca="false">Players!F120</f>
        <v>0.00597956077408132</v>
      </c>
      <c r="F47" s="27" t="n">
        <f aca="false">Players!G120</f>
        <v>0.0158447488584475</v>
      </c>
      <c r="G47" s="27" t="n">
        <f aca="false">Players!H120</f>
        <v>0.0179908675799087</v>
      </c>
      <c r="H47" s="27" t="n">
        <f aca="false">Players!I120</f>
        <v>0.0179908675799087</v>
      </c>
      <c r="I47" s="27" t="n">
        <f aca="false">Players!J120</f>
        <v>0.0179908675799087</v>
      </c>
      <c r="J47" s="27" t="n">
        <f aca="false">Players!K120</f>
        <v>0.0179908675799087</v>
      </c>
      <c r="K47" s="27" t="n">
        <f aca="false">Players!L120</f>
        <v>0.0179908675799087</v>
      </c>
      <c r="L47" s="27" t="n">
        <f aca="false">Players!M120</f>
        <v>0.0179908675799087</v>
      </c>
      <c r="M47" s="16" t="s">
        <v>1138</v>
      </c>
    </row>
    <row r="48" customFormat="false" ht="15" hidden="false" customHeight="false" outlineLevel="0" collapsed="false">
      <c r="A48" s="0" t="s">
        <v>1139</v>
      </c>
      <c r="B48" s="0" t="s">
        <v>322</v>
      </c>
      <c r="C48" s="0" t="s">
        <v>111</v>
      </c>
      <c r="D48" s="27" t="str">
        <f aca="false">Players!E136</f>
        <v/>
      </c>
      <c r="E48" s="27" t="str">
        <f aca="false">Players!F136</f>
        <v/>
      </c>
      <c r="F48" s="27" t="str">
        <f aca="false">Players!G136</f>
        <v/>
      </c>
      <c r="G48" s="27" t="str">
        <f aca="false">Players!H136</f>
        <v/>
      </c>
      <c r="H48" s="27" t="str">
        <f aca="false">Players!I136</f>
        <v/>
      </c>
      <c r="I48" s="27" t="str">
        <f aca="false">Players!J136</f>
        <v/>
      </c>
      <c r="J48" s="27" t="str">
        <f aca="false">Players!K136</f>
        <v/>
      </c>
      <c r="K48" s="27" t="str">
        <f aca="false">Players!L136</f>
        <v/>
      </c>
      <c r="L48" s="27" t="str">
        <f aca="false">Players!M136</f>
        <v/>
      </c>
      <c r="M48" s="16" t="s">
        <v>1140</v>
      </c>
    </row>
    <row r="49" customFormat="false" ht="15" hidden="false" customHeight="false" outlineLevel="0" collapsed="false">
      <c r="A49" s="0" t="s">
        <v>1141</v>
      </c>
      <c r="B49" s="0" t="s">
        <v>321</v>
      </c>
      <c r="C49" s="0" t="s">
        <v>111</v>
      </c>
      <c r="D49" s="27" t="str">
        <f aca="false">Players!E152</f>
        <v/>
      </c>
      <c r="E49" s="27" t="str">
        <f aca="false">Players!F152</f>
        <v/>
      </c>
      <c r="F49" s="27" t="str">
        <f aca="false">Players!G152</f>
        <v/>
      </c>
      <c r="G49" s="27" t="str">
        <f aca="false">Players!H152</f>
        <v/>
      </c>
      <c r="H49" s="27" t="str">
        <f aca="false">Players!I152</f>
        <v/>
      </c>
      <c r="I49" s="27" t="str">
        <f aca="false">Players!J152</f>
        <v/>
      </c>
      <c r="J49" s="27" t="str">
        <f aca="false">Players!K152</f>
        <v/>
      </c>
      <c r="K49" s="27" t="str">
        <f aca="false">Players!L152</f>
        <v/>
      </c>
      <c r="L49" s="27" t="str">
        <f aca="false">Players!M152</f>
        <v/>
      </c>
      <c r="M49" s="16" t="s">
        <v>1142</v>
      </c>
    </row>
    <row r="50" customFormat="false" ht="17.15" hidden="false" customHeight="false" outlineLevel="0" collapsed="false">
      <c r="A50" s="0" t="s">
        <v>1143</v>
      </c>
      <c r="B50" s="0" t="s">
        <v>878</v>
      </c>
      <c r="C50" s="0" t="s">
        <v>111</v>
      </c>
      <c r="D50" s="27" t="str">
        <f aca="false">Players!E168</f>
        <v/>
      </c>
      <c r="E50" s="27" t="str">
        <f aca="false">Players!F168</f>
        <v/>
      </c>
      <c r="F50" s="27" t="str">
        <f aca="false">Players!G168</f>
        <v/>
      </c>
      <c r="G50" s="27" t="str">
        <f aca="false">Players!H168</f>
        <v/>
      </c>
      <c r="H50" s="27" t="str">
        <f aca="false">Players!I168</f>
        <v/>
      </c>
      <c r="I50" s="27" t="str">
        <f aca="false">Players!J168</f>
        <v/>
      </c>
      <c r="J50" s="27" t="str">
        <f aca="false">Players!K168</f>
        <v/>
      </c>
      <c r="K50" s="27" t="str">
        <f aca="false">Players!L168</f>
        <v/>
      </c>
      <c r="L50" s="27" t="str">
        <f aca="false">Players!M168</f>
        <v/>
      </c>
      <c r="M50" s="16" t="s">
        <v>1144</v>
      </c>
    </row>
    <row r="51" customFormat="false" ht="17.15" hidden="false" customHeight="false" outlineLevel="0" collapsed="false">
      <c r="A51" s="0" t="s">
        <v>1145</v>
      </c>
      <c r="B51" s="0" t="s">
        <v>879</v>
      </c>
      <c r="C51" s="0" t="s">
        <v>111</v>
      </c>
      <c r="D51" s="27" t="str">
        <f aca="false">Players!E184</f>
        <v/>
      </c>
      <c r="E51" s="27" t="str">
        <f aca="false">Players!F184</f>
        <v/>
      </c>
      <c r="F51" s="27" t="str">
        <f aca="false">Players!G184</f>
        <v/>
      </c>
      <c r="G51" s="27" t="str">
        <f aca="false">Players!H184</f>
        <v/>
      </c>
      <c r="H51" s="27" t="str">
        <f aca="false">Players!I184</f>
        <v/>
      </c>
      <c r="I51" s="27" t="str">
        <f aca="false">Players!J184</f>
        <v/>
      </c>
      <c r="J51" s="27" t="str">
        <f aca="false">Players!K184</f>
        <v/>
      </c>
      <c r="K51" s="27" t="str">
        <f aca="false">Players!L184</f>
        <v/>
      </c>
      <c r="L51" s="27" t="str">
        <f aca="false">Players!M184</f>
        <v/>
      </c>
      <c r="M51" s="16" t="s">
        <v>1146</v>
      </c>
    </row>
    <row r="52" customFormat="false" ht="17.15" hidden="false" customHeight="false" outlineLevel="0" collapsed="false">
      <c r="A52" s="0" t="s">
        <v>1147</v>
      </c>
      <c r="B52" s="4" t="s">
        <v>880</v>
      </c>
      <c r="C52" s="0" t="s">
        <v>111</v>
      </c>
      <c r="D52" s="27" t="str">
        <f aca="false">Players!E200</f>
        <v/>
      </c>
      <c r="E52" s="27" t="str">
        <f aca="false">Players!F200</f>
        <v/>
      </c>
      <c r="F52" s="27" t="str">
        <f aca="false">Players!G200</f>
        <v/>
      </c>
      <c r="G52" s="27" t="str">
        <f aca="false">Players!H200</f>
        <v/>
      </c>
      <c r="H52" s="27" t="str">
        <f aca="false">Players!I200</f>
        <v/>
      </c>
      <c r="I52" s="27" t="str">
        <f aca="false">Players!J200</f>
        <v/>
      </c>
      <c r="J52" s="27" t="str">
        <f aca="false">Players!K200</f>
        <v/>
      </c>
      <c r="K52" s="27" t="str">
        <f aca="false">Players!L200</f>
        <v/>
      </c>
      <c r="L52" s="27" t="str">
        <f aca="false">Players!M200</f>
        <v/>
      </c>
      <c r="M52" s="16" t="s">
        <v>1148</v>
      </c>
    </row>
    <row r="53" customFormat="false" ht="17.15" hidden="false" customHeight="false" outlineLevel="0" collapsed="false">
      <c r="A53" s="0" t="s">
        <v>1149</v>
      </c>
      <c r="B53" s="4" t="s">
        <v>881</v>
      </c>
      <c r="C53" s="0" t="s">
        <v>111</v>
      </c>
      <c r="D53" s="27" t="str">
        <f aca="false">Players!E216</f>
        <v/>
      </c>
      <c r="E53" s="27" t="str">
        <f aca="false">Players!F216</f>
        <v/>
      </c>
      <c r="F53" s="27" t="str">
        <f aca="false">Players!G216</f>
        <v/>
      </c>
      <c r="G53" s="27" t="str">
        <f aca="false">Players!H216</f>
        <v/>
      </c>
      <c r="H53" s="27" t="str">
        <f aca="false">Players!I216</f>
        <v/>
      </c>
      <c r="I53" s="27" t="str">
        <f aca="false">Players!J216</f>
        <v/>
      </c>
      <c r="J53" s="27" t="str">
        <f aca="false">Players!K216</f>
        <v/>
      </c>
      <c r="K53" s="27" t="str">
        <f aca="false">Players!L216</f>
        <v/>
      </c>
      <c r="L53" s="27" t="str">
        <f aca="false">Players!M216</f>
        <v/>
      </c>
      <c r="M53" s="16" t="s">
        <v>1150</v>
      </c>
    </row>
    <row r="54" customFormat="false" ht="17.15" hidden="false" customHeight="false" outlineLevel="0" collapsed="false">
      <c r="A54" s="0" t="s">
        <v>1151</v>
      </c>
      <c r="B54" s="4" t="s">
        <v>882</v>
      </c>
      <c r="C54" s="0" t="s">
        <v>111</v>
      </c>
      <c r="D54" s="27" t="str">
        <f aca="false">Players!E232</f>
        <v/>
      </c>
      <c r="E54" s="27" t="str">
        <f aca="false">Players!F232</f>
        <v/>
      </c>
      <c r="F54" s="27" t="str">
        <f aca="false">Players!G232</f>
        <v/>
      </c>
      <c r="G54" s="27" t="str">
        <f aca="false">Players!H232</f>
        <v/>
      </c>
      <c r="H54" s="27" t="str">
        <f aca="false">Players!I232</f>
        <v/>
      </c>
      <c r="I54" s="27" t="str">
        <f aca="false">Players!J232</f>
        <v/>
      </c>
      <c r="J54" s="27" t="str">
        <f aca="false">Players!K232</f>
        <v/>
      </c>
      <c r="K54" s="27" t="str">
        <f aca="false">Players!L232</f>
        <v/>
      </c>
      <c r="L54" s="27" t="str">
        <f aca="false">Players!M232</f>
        <v/>
      </c>
      <c r="M54" s="16" t="s">
        <v>1152</v>
      </c>
    </row>
    <row r="55" customFormat="false" ht="15" hidden="false" customHeight="false" outlineLevel="0" collapsed="false">
      <c r="A55" s="0" t="s">
        <v>1153</v>
      </c>
      <c r="B55" s="4" t="s">
        <v>835</v>
      </c>
      <c r="C55" s="0" t="s">
        <v>111</v>
      </c>
      <c r="D55" s="27" t="str">
        <f aca="false">Players!E248</f>
        <v/>
      </c>
      <c r="E55" s="27" t="str">
        <f aca="false">Players!F248</f>
        <v/>
      </c>
      <c r="F55" s="27" t="str">
        <f aca="false">Players!G248</f>
        <v/>
      </c>
      <c r="G55" s="27" t="str">
        <f aca="false">Players!H248</f>
        <v/>
      </c>
      <c r="H55" s="27" t="str">
        <f aca="false">Players!I248</f>
        <v/>
      </c>
      <c r="I55" s="27" t="str">
        <f aca="false">Players!J248</f>
        <v/>
      </c>
      <c r="J55" s="27" t="str">
        <f aca="false">Players!K248</f>
        <v/>
      </c>
      <c r="K55" s="27" t="str">
        <f aca="false">Players!L248</f>
        <v/>
      </c>
      <c r="L55" s="27" t="str">
        <f aca="false">Players!M248</f>
        <v/>
      </c>
      <c r="M55" s="16" t="s">
        <v>1154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1155</v>
      </c>
    </row>
    <row r="3" customFormat="false" ht="15" hidden="false" customHeight="false" outlineLevel="0" collapsed="false">
      <c r="A3" s="6" t="s">
        <v>1156</v>
      </c>
      <c r="B3" s="5" t="s">
        <v>12</v>
      </c>
      <c r="C3" s="5" t="s">
        <v>1157</v>
      </c>
      <c r="D3" s="5" t="s">
        <v>1158</v>
      </c>
      <c r="E3" s="5" t="s">
        <v>872</v>
      </c>
      <c r="F3" s="5" t="s">
        <v>1159</v>
      </c>
      <c r="G3" s="5" t="s">
        <v>1160</v>
      </c>
      <c r="H3" s="5" t="s">
        <v>17</v>
      </c>
    </row>
    <row r="4" customFormat="false" ht="17.15" hidden="false" customHeight="false" outlineLevel="0" collapsed="false">
      <c r="A4" s="0" t="s">
        <v>1161</v>
      </c>
      <c r="B4" s="0" t="s">
        <v>1162</v>
      </c>
      <c r="C4" s="0" t="n">
        <f aca="false">SUMPRODUCT(ISERROR(In!A1:T138)*1)</f>
        <v>0</v>
      </c>
      <c r="F4" s="0" t="str">
        <f aca="false">IF(C4=0,"OK","ERROR")</f>
        <v>OK</v>
      </c>
      <c r="G4" s="4" t="s">
        <v>1163</v>
      </c>
    </row>
    <row r="5" customFormat="false" ht="17.15" hidden="false" customHeight="false" outlineLevel="0" collapsed="false">
      <c r="A5" s="0" t="s">
        <v>1164</v>
      </c>
      <c r="B5" s="0" t="s">
        <v>1165</v>
      </c>
      <c r="C5" s="0" t="n">
        <f aca="false">SUMPRODUCT(ISERROR(TK_In!A1:T60)*1)</f>
        <v>0</v>
      </c>
      <c r="F5" s="0" t="str">
        <f aca="false">IF(C5=0,"OK","ERROR")</f>
        <v>OK</v>
      </c>
      <c r="G5" s="4" t="s">
        <v>1163</v>
      </c>
    </row>
    <row r="6" customFormat="false" ht="17.15" hidden="false" customHeight="false" outlineLevel="0" collapsed="false">
      <c r="A6" s="0" t="s">
        <v>1166</v>
      </c>
      <c r="B6" s="0" t="s">
        <v>1167</v>
      </c>
      <c r="C6" s="0" t="n">
        <f aca="false">SUMPRODUCT(ISERROR(SIL_In!A1:T60)*1)</f>
        <v>0</v>
      </c>
      <c r="F6" s="0" t="str">
        <f aca="false">IF(C6=0,"OK","ERROR")</f>
        <v>OK</v>
      </c>
      <c r="G6" s="4" t="s">
        <v>1163</v>
      </c>
    </row>
    <row r="7" customFormat="false" ht="17.15" hidden="false" customHeight="false" outlineLevel="0" collapsed="false">
      <c r="A7" s="0" t="s">
        <v>1168</v>
      </c>
      <c r="B7" s="0" t="s">
        <v>1169</v>
      </c>
      <c r="C7" s="0" t="n">
        <f aca="false">SUMPRODUCT(ISERROR(Players!A1:T265)*1)</f>
        <v>0</v>
      </c>
      <c r="F7" s="0" t="str">
        <f aca="false">IF(C7=0,"OK","ERROR")</f>
        <v>OK</v>
      </c>
      <c r="G7" s="4" t="s">
        <v>1163</v>
      </c>
    </row>
    <row r="8" customFormat="false" ht="17.15" hidden="false" customHeight="false" outlineLevel="0" collapsed="false">
      <c r="A8" s="0" t="s">
        <v>1170</v>
      </c>
      <c r="B8" s="0" t="s">
        <v>1171</v>
      </c>
      <c r="C8" s="0" t="n">
        <f aca="false">SUMPRODUCT(ISERROR(Matrix!A1:T68)*1)</f>
        <v>0</v>
      </c>
      <c r="F8" s="0" t="str">
        <f aca="false">IF(C8=0,"OK","ERROR")</f>
        <v>OK</v>
      </c>
      <c r="G8" s="4" t="s">
        <v>1163</v>
      </c>
    </row>
    <row r="9" customFormat="false" ht="17.15" hidden="false" customHeight="false" outlineLevel="0" collapsed="false">
      <c r="A9" s="0" t="s">
        <v>1172</v>
      </c>
      <c r="B9" s="0" t="s">
        <v>1173</v>
      </c>
      <c r="C9" s="0" t="n">
        <f aca="false">SUMPRODUCT(ISERROR(Pipeline!A1:T127)*1)</f>
        <v>0</v>
      </c>
      <c r="F9" s="0" t="str">
        <f aca="false">IF(C9=0,"OK","ERROR")</f>
        <v>OK</v>
      </c>
      <c r="G9" s="4" t="s">
        <v>1163</v>
      </c>
    </row>
    <row r="10" customFormat="false" ht="17.15" hidden="false" customHeight="false" outlineLevel="0" collapsed="false">
      <c r="A10" s="0" t="s">
        <v>1174</v>
      </c>
      <c r="B10" s="0" t="s">
        <v>1175</v>
      </c>
      <c r="C10" s="0" t="n">
        <f aca="false">SUMPRODUCT(ISERROR(Deploy!A1:T58)*1)</f>
        <v>0</v>
      </c>
      <c r="F10" s="0" t="str">
        <f aca="false">IF(C10=0,"OK","ERROR")</f>
        <v>OK</v>
      </c>
      <c r="G10" s="4" t="s">
        <v>1163</v>
      </c>
    </row>
    <row r="11" customFormat="false" ht="17.15" hidden="false" customHeight="false" outlineLevel="0" collapsed="false">
      <c r="A11" s="0" t="s">
        <v>1176</v>
      </c>
      <c r="B11" s="0" t="s">
        <v>1177</v>
      </c>
      <c r="C11" s="0" t="n">
        <f aca="false">SUMPRODUCT(ISERROR(C0!A1:T27)*1)</f>
        <v>0</v>
      </c>
      <c r="F11" s="0" t="str">
        <f aca="false">IF(C11=0,"OK","ERROR")</f>
        <v>OK</v>
      </c>
      <c r="G11" s="4" t="s">
        <v>1163</v>
      </c>
    </row>
    <row r="12" customFormat="false" ht="17.15" hidden="false" customHeight="false" outlineLevel="0" collapsed="false">
      <c r="A12" s="0" t="s">
        <v>1178</v>
      </c>
      <c r="B12" s="0" t="s">
        <v>1179</v>
      </c>
      <c r="C12" s="0" t="n">
        <f aca="false">SUMPRODUCT(ISERROR(C1!A1:T163)*1)</f>
        <v>0</v>
      </c>
      <c r="F12" s="0" t="str">
        <f aca="false">IF(C12=0,"OK","ERROR")</f>
        <v>OK</v>
      </c>
      <c r="G12" s="4" t="s">
        <v>1163</v>
      </c>
    </row>
    <row r="13" customFormat="false" ht="17.15" hidden="false" customHeight="false" outlineLevel="0" collapsed="false">
      <c r="A13" s="0" t="s">
        <v>1180</v>
      </c>
      <c r="B13" s="0" t="s">
        <v>1181</v>
      </c>
      <c r="C13" s="0" t="n">
        <f aca="false">SUMPRODUCT(ISERROR(Compare!A1:T29)*1)</f>
        <v>0</v>
      </c>
      <c r="F13" s="0" t="str">
        <f aca="false">IF(C13=0,"OK","ERROR")</f>
        <v>OK</v>
      </c>
      <c r="G13" s="4" t="s">
        <v>1163</v>
      </c>
    </row>
    <row r="14" customFormat="false" ht="17.15" hidden="false" customHeight="false" outlineLevel="0" collapsed="false">
      <c r="A14" s="0" t="s">
        <v>1182</v>
      </c>
      <c r="B14" s="0" t="s">
        <v>1183</v>
      </c>
      <c r="C14" s="0" t="n">
        <f aca="false">SUMPRODUCT(ISERROR(Interface!A1:T58)*1)</f>
        <v>0</v>
      </c>
      <c r="F14" s="0" t="str">
        <f aca="false">IF(C14=0,"OK","ERROR")</f>
        <v>OK</v>
      </c>
      <c r="G14" s="4" t="s">
        <v>1163</v>
      </c>
    </row>
    <row r="15" customFormat="false" ht="17.15" hidden="false" customHeight="false" outlineLevel="0" collapsed="false">
      <c r="A15" s="0" t="s">
        <v>1184</v>
      </c>
      <c r="B15" s="0" t="s">
        <v>1185</v>
      </c>
      <c r="C15" s="0" t="n">
        <f aca="false">SUMPRODUCT(ABS(Matrix!J5:J19-Matrix!K5:K19))</f>
        <v>0</v>
      </c>
      <c r="F15" s="0" t="str">
        <f aca="false">IF(C15&lt;0.000000001,"OK","ERROR")</f>
        <v>OK</v>
      </c>
      <c r="G15" s="4" t="s">
        <v>1186</v>
      </c>
    </row>
    <row r="16" customFormat="false" ht="17.15" hidden="false" customHeight="false" outlineLevel="0" collapsed="false">
      <c r="A16" s="0" t="s">
        <v>1187</v>
      </c>
      <c r="B16" s="0" t="s">
        <v>1188</v>
      </c>
      <c r="C16" s="0" t="n">
        <f aca="false">SUM(Matrix!C20:I20)</f>
        <v>10.8702978908458</v>
      </c>
      <c r="D16" s="25" t="n">
        <f aca="false">Players!F256</f>
        <v>10.8702978908458</v>
      </c>
      <c r="E16" s="16" t="n">
        <f aca="false">C16-D16</f>
        <v>0</v>
      </c>
      <c r="F16" s="0" t="str">
        <f aca="false">IF(ABS(E16)&lt;0.000000001,"OK","ERROR")</f>
        <v>OK</v>
      </c>
      <c r="G16" s="4" t="s">
        <v>1186</v>
      </c>
    </row>
    <row r="17" customFormat="false" ht="17.15" hidden="false" customHeight="false" outlineLevel="0" collapsed="false">
      <c r="A17" s="0" t="s">
        <v>1189</v>
      </c>
      <c r="B17" s="0" t="s">
        <v>1190</v>
      </c>
      <c r="C17" s="0" t="n">
        <f aca="false">SUMPRODUCT(ABS(Matrix!J26:J40-Matrix!K26:K40))</f>
        <v>0</v>
      </c>
      <c r="F17" s="0" t="str">
        <f aca="false">IF(C17&lt;0.000000001,"OK","ERROR")</f>
        <v>OK</v>
      </c>
      <c r="G17" s="4" t="s">
        <v>1186</v>
      </c>
    </row>
    <row r="18" customFormat="false" ht="17.15" hidden="false" customHeight="false" outlineLevel="0" collapsed="false">
      <c r="A18" s="0" t="s">
        <v>1191</v>
      </c>
      <c r="B18" s="0" t="s">
        <v>1192</v>
      </c>
      <c r="C18" s="0" t="n">
        <f aca="false">SUM(Matrix!C41:I41)</f>
        <v>20.3800543596434</v>
      </c>
      <c r="D18" s="25" t="n">
        <f aca="false">Players!G256</f>
        <v>20.3800543596434</v>
      </c>
      <c r="E18" s="16" t="n">
        <f aca="false">C18-D18</f>
        <v>0</v>
      </c>
      <c r="F18" s="0" t="str">
        <f aca="false">IF(ABS(E18)&lt;0.000000001,"OK","ERROR")</f>
        <v>OK</v>
      </c>
      <c r="G18" s="4" t="s">
        <v>1186</v>
      </c>
    </row>
    <row r="19" customFormat="false" ht="17.15" hidden="false" customHeight="false" outlineLevel="0" collapsed="false">
      <c r="A19" s="0" t="s">
        <v>1193</v>
      </c>
      <c r="B19" s="0" t="s">
        <v>1194</v>
      </c>
      <c r="C19" s="0" t="n">
        <f aca="false">SUMPRODUCT(ABS(Matrix!J47:J61-Matrix!K47:K61))</f>
        <v>0</v>
      </c>
      <c r="F19" s="0" t="str">
        <f aca="false">IF(C19&lt;0.000000001,"OK","ERROR")</f>
        <v>OK</v>
      </c>
      <c r="G19" s="4" t="s">
        <v>1186</v>
      </c>
    </row>
    <row r="20" customFormat="false" ht="17.15" hidden="false" customHeight="false" outlineLevel="0" collapsed="false">
      <c r="A20" s="0" t="s">
        <v>1195</v>
      </c>
      <c r="B20" s="0" t="s">
        <v>1196</v>
      </c>
      <c r="C20" s="0" t="n">
        <f aca="false">SUM(Matrix!C62:I62)</f>
        <v>24.364044357469</v>
      </c>
      <c r="D20" s="25" t="n">
        <f aca="false">Players!H256</f>
        <v>24.364044357469</v>
      </c>
      <c r="E20" s="16" t="n">
        <f aca="false">C20-D20</f>
        <v>0</v>
      </c>
      <c r="F20" s="0" t="str">
        <f aca="false">IF(ABS(E20)&lt;0.000000001,"OK","ERROR")</f>
        <v>OK</v>
      </c>
      <c r="G20" s="4" t="s">
        <v>1186</v>
      </c>
    </row>
    <row r="21" customFormat="false" ht="17.15" hidden="false" customHeight="false" outlineLevel="0" collapsed="false">
      <c r="A21" s="0" t="s">
        <v>1197</v>
      </c>
      <c r="B21" s="0" t="s">
        <v>1198</v>
      </c>
      <c r="C21" s="25" t="n">
        <f aca="false">Pipeline!D117</f>
        <v>0.929549902152642</v>
      </c>
      <c r="D21" s="25" t="n">
        <f aca="false">Players!D256</f>
        <v>0.929549902152642</v>
      </c>
      <c r="E21" s="16" t="n">
        <f aca="false">C21-D21</f>
        <v>0</v>
      </c>
      <c r="F21" s="0" t="str">
        <f aca="false">IF(ABS(E21)&lt;=0.01,"OK","ERROR")</f>
        <v>OK</v>
      </c>
      <c r="G21" s="4" t="s">
        <v>1186</v>
      </c>
    </row>
    <row r="22" customFormat="false" ht="17.15" hidden="false" customHeight="false" outlineLevel="0" collapsed="false">
      <c r="A22" s="0" t="s">
        <v>1199</v>
      </c>
      <c r="B22" s="0" t="s">
        <v>1200</v>
      </c>
      <c r="C22" s="25" t="n">
        <f aca="false">Pipeline!E117</f>
        <v>4.18786692759296</v>
      </c>
      <c r="D22" s="25" t="n">
        <f aca="false">Players!E256</f>
        <v>4.18786692759296</v>
      </c>
      <c r="E22" s="16" t="n">
        <f aca="false">C22-D22</f>
        <v>0</v>
      </c>
      <c r="F22" s="0" t="str">
        <f aca="false">IF(ABS(E22)&lt;=0.01,"OK","ERROR")</f>
        <v>OK</v>
      </c>
      <c r="G22" s="4" t="s">
        <v>1186</v>
      </c>
    </row>
    <row r="23" customFormat="false" ht="17.15" hidden="false" customHeight="false" outlineLevel="0" collapsed="false">
      <c r="A23" s="0" t="s">
        <v>1201</v>
      </c>
      <c r="B23" s="0" t="s">
        <v>1202</v>
      </c>
      <c r="C23" s="25" t="n">
        <f aca="false">Pipeline!F117</f>
        <v>10.8702978908458</v>
      </c>
      <c r="D23" s="25" t="n">
        <f aca="false">Players!F256</f>
        <v>10.8702978908458</v>
      </c>
      <c r="E23" s="16" t="n">
        <f aca="false">C23-D23</f>
        <v>0</v>
      </c>
      <c r="F23" s="0" t="str">
        <f aca="false">IF(ABS(E23)&lt;=0.01,"OK","ERROR")</f>
        <v>OK</v>
      </c>
      <c r="G23" s="4" t="s">
        <v>1186</v>
      </c>
    </row>
    <row r="24" customFormat="false" ht="17.15" hidden="false" customHeight="false" outlineLevel="0" collapsed="false">
      <c r="A24" s="0" t="s">
        <v>1203</v>
      </c>
      <c r="B24" s="0" t="s">
        <v>1204</v>
      </c>
      <c r="C24" s="25" t="n">
        <f aca="false">Pipeline!G117</f>
        <v>20.3800543596434</v>
      </c>
      <c r="D24" s="25" t="n">
        <f aca="false">Players!G256</f>
        <v>20.3800543596434</v>
      </c>
      <c r="E24" s="16" t="n">
        <f aca="false">C24-D24</f>
        <v>0</v>
      </c>
      <c r="F24" s="0" t="str">
        <f aca="false">IF(ABS(E24)&lt;=0.01,"OK","ERROR")</f>
        <v>OK</v>
      </c>
      <c r="G24" s="4" t="s">
        <v>1186</v>
      </c>
    </row>
    <row r="25" customFormat="false" ht="17.15" hidden="false" customHeight="false" outlineLevel="0" collapsed="false">
      <c r="A25" s="0" t="s">
        <v>1205</v>
      </c>
      <c r="B25" s="0" t="s">
        <v>1206</v>
      </c>
      <c r="C25" s="25" t="n">
        <f aca="false">Pipeline!H117</f>
        <v>24.364044357469</v>
      </c>
      <c r="D25" s="25" t="n">
        <f aca="false">Players!H256</f>
        <v>24.364044357469</v>
      </c>
      <c r="E25" s="16" t="n">
        <f aca="false">C25-D25</f>
        <v>0</v>
      </c>
      <c r="F25" s="0" t="str">
        <f aca="false">IF(ABS(E25)&lt;=0.01,"OK","ERROR")</f>
        <v>OK</v>
      </c>
      <c r="G25" s="4" t="s">
        <v>1186</v>
      </c>
    </row>
    <row r="26" customFormat="false" ht="17.15" hidden="false" customHeight="false" outlineLevel="0" collapsed="false">
      <c r="A26" s="0" t="s">
        <v>1207</v>
      </c>
      <c r="B26" s="0" t="s">
        <v>1208</v>
      </c>
      <c r="C26" s="25" t="n">
        <f aca="false">Pipeline!I117</f>
        <v>26.0356033920418</v>
      </c>
      <c r="D26" s="25" t="n">
        <f aca="false">Players!I256</f>
        <v>26.0356033920418</v>
      </c>
      <c r="E26" s="16" t="n">
        <f aca="false">C26-D26</f>
        <v>0</v>
      </c>
      <c r="F26" s="0" t="str">
        <f aca="false">IF(ABS(E26)&lt;=0.01,"OK","ERROR")</f>
        <v>OK</v>
      </c>
      <c r="G26" s="4" t="s">
        <v>1186</v>
      </c>
    </row>
    <row r="27" customFormat="false" ht="17.15" hidden="false" customHeight="false" outlineLevel="0" collapsed="false">
      <c r="A27" s="0" t="s">
        <v>1209</v>
      </c>
      <c r="B27" s="0" t="s">
        <v>1210</v>
      </c>
      <c r="C27" s="25" t="n">
        <f aca="false">Pipeline!J117</f>
        <v>27.7071624266145</v>
      </c>
      <c r="D27" s="25" t="n">
        <f aca="false">Players!J256</f>
        <v>27.7071624266145</v>
      </c>
      <c r="E27" s="16" t="n">
        <f aca="false">C27-D27</f>
        <v>0</v>
      </c>
      <c r="F27" s="0" t="str">
        <f aca="false">IF(ABS(E27)&lt;=0.01,"OK","ERROR")</f>
        <v>OK</v>
      </c>
      <c r="G27" s="4" t="s">
        <v>1186</v>
      </c>
    </row>
    <row r="28" customFormat="false" ht="17.15" hidden="false" customHeight="false" outlineLevel="0" collapsed="false">
      <c r="A28" s="0" t="s">
        <v>1211</v>
      </c>
      <c r="B28" s="0" t="s">
        <v>1212</v>
      </c>
      <c r="C28" s="25" t="n">
        <f aca="false">Pipeline!K117</f>
        <v>29.3787214611872</v>
      </c>
      <c r="D28" s="25" t="n">
        <f aca="false">Players!K256</f>
        <v>29.3787214611872</v>
      </c>
      <c r="E28" s="16" t="n">
        <f aca="false">C28-D28</f>
        <v>0</v>
      </c>
      <c r="F28" s="0" t="str">
        <f aca="false">IF(ABS(E28)&lt;=0.01,"OK","ERROR")</f>
        <v>OK</v>
      </c>
      <c r="G28" s="4" t="s">
        <v>1186</v>
      </c>
    </row>
    <row r="29" customFormat="false" ht="17.15" hidden="false" customHeight="false" outlineLevel="0" collapsed="false">
      <c r="A29" s="0" t="s">
        <v>1213</v>
      </c>
      <c r="B29" s="0" t="s">
        <v>1214</v>
      </c>
      <c r="C29" s="25" t="n">
        <f aca="false">Pipeline!L117</f>
        <v>29.3787214611872</v>
      </c>
      <c r="D29" s="25" t="n">
        <f aca="false">Players!L256</f>
        <v>29.3787214611872</v>
      </c>
      <c r="E29" s="16" t="n">
        <f aca="false">C29-D29</f>
        <v>0</v>
      </c>
      <c r="F29" s="0" t="str">
        <f aca="false">IF(ABS(E29)&lt;=0.01,"OK","ERROR")</f>
        <v>OK</v>
      </c>
      <c r="G29" s="4" t="s">
        <v>1186</v>
      </c>
    </row>
    <row r="30" customFormat="false" ht="17.15" hidden="false" customHeight="false" outlineLevel="0" collapsed="false">
      <c r="A30" s="0" t="s">
        <v>1215</v>
      </c>
      <c r="B30" s="0" t="s">
        <v>1216</v>
      </c>
      <c r="C30" s="25" t="n">
        <f aca="false">Pipeline!M117</f>
        <v>29.3787214611872</v>
      </c>
      <c r="D30" s="25" t="n">
        <f aca="false">Players!M256</f>
        <v>29.3787214611872</v>
      </c>
      <c r="E30" s="16" t="n">
        <f aca="false">C30-D30</f>
        <v>0</v>
      </c>
      <c r="F30" s="0" t="str">
        <f aca="false">IF(ABS(E30)&lt;=0.01,"OK","ERROR")</f>
        <v>OK</v>
      </c>
      <c r="G30" s="4" t="s">
        <v>1186</v>
      </c>
    </row>
    <row r="31" customFormat="false" ht="17.15" hidden="false" customHeight="false" outlineLevel="0" collapsed="false">
      <c r="A31" s="0" t="s">
        <v>1217</v>
      </c>
      <c r="B31" s="0" t="s">
        <v>1218</v>
      </c>
      <c r="C31" s="25" t="n">
        <f aca="false">Pipeline!E118</f>
        <v>4.18786692759296</v>
      </c>
      <c r="D31" s="25" t="n">
        <f aca="false">Pipeline!E117</f>
        <v>4.18786692759296</v>
      </c>
      <c r="F31" s="0" t="str">
        <f aca="false">IF(AND(Pipeline!E117&gt;=Pipeline!E118-0.000000001,Pipeline!E118&gt;=Pipeline!E119-0.000000001),"OK","ERROR")</f>
        <v>OK</v>
      </c>
      <c r="G31" s="4" t="s">
        <v>1219</v>
      </c>
    </row>
    <row r="32" customFormat="false" ht="17.15" hidden="false" customHeight="false" outlineLevel="0" collapsed="false">
      <c r="A32" s="0" t="s">
        <v>1220</v>
      </c>
      <c r="B32" s="0" t="s">
        <v>1221</v>
      </c>
      <c r="C32" s="25" t="n">
        <f aca="false">Pipeline!F118</f>
        <v>10.8702978908458</v>
      </c>
      <c r="D32" s="25" t="n">
        <f aca="false">Pipeline!F117</f>
        <v>10.8702978908458</v>
      </c>
      <c r="F32" s="0" t="str">
        <f aca="false">IF(AND(Pipeline!F117&gt;=Pipeline!F118-0.000000001,Pipeline!F118&gt;=Pipeline!F119-0.000000001),"OK","ERROR")</f>
        <v>OK</v>
      </c>
      <c r="G32" s="4" t="s">
        <v>1219</v>
      </c>
    </row>
    <row r="33" customFormat="false" ht="17.15" hidden="false" customHeight="false" outlineLevel="0" collapsed="false">
      <c r="A33" s="0" t="s">
        <v>1222</v>
      </c>
      <c r="B33" s="0" t="s">
        <v>1223</v>
      </c>
      <c r="C33" s="25" t="n">
        <f aca="false">Pipeline!G118</f>
        <v>20.0491803109372</v>
      </c>
      <c r="D33" s="25" t="n">
        <f aca="false">Pipeline!G117</f>
        <v>20.3800543596434</v>
      </c>
      <c r="F33" s="0" t="str">
        <f aca="false">IF(AND(Pipeline!G117&gt;=Pipeline!G118-0.000000001,Pipeline!G118&gt;=Pipeline!G119-0.000000001),"OK","ERROR")</f>
        <v>OK</v>
      </c>
      <c r="G33" s="4" t="s">
        <v>1219</v>
      </c>
    </row>
    <row r="34" customFormat="false" ht="17.15" hidden="false" customHeight="false" outlineLevel="0" collapsed="false">
      <c r="A34" s="0" t="s">
        <v>1224</v>
      </c>
      <c r="B34" s="0" t="s">
        <v>1225</v>
      </c>
      <c r="C34" s="25" t="n">
        <f aca="false">Pipeline!H118</f>
        <v>22.3720493585562</v>
      </c>
      <c r="D34" s="25" t="n">
        <f aca="false">Pipeline!H117</f>
        <v>24.364044357469</v>
      </c>
      <c r="F34" s="0" t="str">
        <f aca="false">IF(AND(Pipeline!H117&gt;=Pipeline!H118-0.000000001,Pipeline!H118&gt;=Pipeline!H119-0.000000001),"OK","ERROR")</f>
        <v>OK</v>
      </c>
      <c r="G34" s="4" t="s">
        <v>1219</v>
      </c>
    </row>
    <row r="35" customFormat="false" ht="17.15" hidden="false" customHeight="false" outlineLevel="0" collapsed="false">
      <c r="A35" s="0" t="s">
        <v>1226</v>
      </c>
      <c r="B35" s="0" t="s">
        <v>1227</v>
      </c>
      <c r="C35" s="25" t="n">
        <f aca="false">Pipeline!I118</f>
        <v>25.1998238747554</v>
      </c>
      <c r="D35" s="25" t="n">
        <f aca="false">Pipeline!I117</f>
        <v>26.0356033920418</v>
      </c>
      <c r="F35" s="0" t="str">
        <f aca="false">IF(AND(Pipeline!I117&gt;=Pipeline!I118-0.000000001,Pipeline!I118&gt;=Pipeline!I119-0.000000001),"OK","ERROR")</f>
        <v>OK</v>
      </c>
      <c r="G35" s="4" t="s">
        <v>1219</v>
      </c>
    </row>
    <row r="36" customFormat="false" ht="17.15" hidden="false" customHeight="false" outlineLevel="0" collapsed="false">
      <c r="A36" s="0" t="s">
        <v>1228</v>
      </c>
      <c r="B36" s="0" t="s">
        <v>1229</v>
      </c>
      <c r="C36" s="25" t="n">
        <f aca="false">Pipeline!J118</f>
        <v>26.8713829093281</v>
      </c>
      <c r="D36" s="25" t="n">
        <f aca="false">Pipeline!J117</f>
        <v>27.7071624266145</v>
      </c>
      <c r="F36" s="0" t="str">
        <f aca="false">IF(AND(Pipeline!J117&gt;=Pipeline!J118-0.000000001,Pipeline!J118&gt;=Pipeline!J119-0.000000001),"OK","ERROR")</f>
        <v>OK</v>
      </c>
      <c r="G36" s="4" t="s">
        <v>1219</v>
      </c>
    </row>
    <row r="37" customFormat="false" ht="17.15" hidden="false" customHeight="false" outlineLevel="0" collapsed="false">
      <c r="A37" s="0" t="s">
        <v>1230</v>
      </c>
      <c r="B37" s="0" t="s">
        <v>1231</v>
      </c>
      <c r="C37" s="25" t="n">
        <f aca="false">Pipeline!K118</f>
        <v>28.5429419439009</v>
      </c>
      <c r="D37" s="25" t="n">
        <f aca="false">Pipeline!K117</f>
        <v>29.3787214611872</v>
      </c>
      <c r="F37" s="0" t="str">
        <f aca="false">IF(AND(Pipeline!K117&gt;=Pipeline!K118-0.000000001,Pipeline!K118&gt;=Pipeline!K119-0.000000001),"OK","ERROR")</f>
        <v>OK</v>
      </c>
      <c r="G37" s="4" t="s">
        <v>1219</v>
      </c>
    </row>
    <row r="38" customFormat="false" ht="17.15" hidden="false" customHeight="false" outlineLevel="0" collapsed="false">
      <c r="A38" s="0" t="s">
        <v>1232</v>
      </c>
      <c r="B38" s="0" t="s">
        <v>1233</v>
      </c>
      <c r="C38" s="25" t="n">
        <f aca="false">Pipeline!L118</f>
        <v>29.3787214611872</v>
      </c>
      <c r="D38" s="25" t="n">
        <f aca="false">Pipeline!L117</f>
        <v>29.3787214611872</v>
      </c>
      <c r="F38" s="0" t="str">
        <f aca="false">IF(AND(Pipeline!L117&gt;=Pipeline!L118-0.000000001,Pipeline!L118&gt;=Pipeline!L119-0.000000001),"OK","ERROR")</f>
        <v>OK</v>
      </c>
      <c r="G38" s="4" t="s">
        <v>1219</v>
      </c>
    </row>
    <row r="39" customFormat="false" ht="17.15" hidden="false" customHeight="false" outlineLevel="0" collapsed="false">
      <c r="A39" s="0" t="s">
        <v>1234</v>
      </c>
      <c r="B39" s="0" t="s">
        <v>1235</v>
      </c>
      <c r="C39" s="25" t="n">
        <f aca="false">Pipeline!M118</f>
        <v>29.3787214611872</v>
      </c>
      <c r="D39" s="25" t="n">
        <f aca="false">Pipeline!M117</f>
        <v>29.3787214611872</v>
      </c>
      <c r="F39" s="0" t="str">
        <f aca="false">IF(AND(Pipeline!M117&gt;=Pipeline!M118-0.000000001,Pipeline!M118&gt;=Pipeline!M119-0.000000001),"OK","ERROR")</f>
        <v>OK</v>
      </c>
      <c r="G39" s="4" t="s">
        <v>1219</v>
      </c>
    </row>
    <row r="40" customFormat="false" ht="17.15" hidden="false" customHeight="false" outlineLevel="0" collapsed="false">
      <c r="A40" s="0" t="s">
        <v>1236</v>
      </c>
      <c r="B40" s="4" t="s">
        <v>1237</v>
      </c>
      <c r="C40" s="0" t="n">
        <f aca="false">Pipeline!M117-Pipeline!M119</f>
        <v>0</v>
      </c>
      <c r="D40" s="0" t="n">
        <f aca="false">SUMPRODUCT(ABS(Pipeline!E65:M65),1-Pipeline!E105:M105)+SUMPRODUCT(Pipeline!L5:L11,Pipeline!Q5:Q11)</f>
        <v>0</v>
      </c>
      <c r="F40" s="0" t="str">
        <f aca="false">IF(C40&lt;=D40+0.000000001,"OK","ERROR")</f>
        <v>OK</v>
      </c>
      <c r="G40" s="4" t="s">
        <v>1219</v>
      </c>
    </row>
    <row r="41" customFormat="false" ht="17.15" hidden="false" customHeight="false" outlineLevel="0" collapsed="false">
      <c r="A41" s="0" t="s">
        <v>1238</v>
      </c>
      <c r="B41" s="0" t="s">
        <v>1239</v>
      </c>
      <c r="C41" s="18" t="n">
        <f aca="false">Players!D10</f>
        <v>1</v>
      </c>
      <c r="D41" s="0" t="n">
        <v>1</v>
      </c>
      <c r="F41" s="0" t="str">
        <f aca="false">IF(ABS(C41-1)&lt;0.000000001,"OK","ERROR")</f>
        <v>OK</v>
      </c>
      <c r="G41" s="4" t="s">
        <v>1219</v>
      </c>
    </row>
    <row r="42" customFormat="false" ht="17.15" hidden="false" customHeight="false" outlineLevel="0" collapsed="false">
      <c r="A42" s="0" t="s">
        <v>1240</v>
      </c>
      <c r="B42" s="0" t="s">
        <v>1241</v>
      </c>
      <c r="C42" s="18" t="n">
        <f aca="false">Players!E10</f>
        <v>1</v>
      </c>
      <c r="D42" s="0" t="n">
        <v>1</v>
      </c>
      <c r="F42" s="0" t="str">
        <f aca="false">IF(ABS(C42-1)&lt;0.000000001,"OK","ERROR")</f>
        <v>OK</v>
      </c>
      <c r="G42" s="4" t="s">
        <v>1219</v>
      </c>
    </row>
    <row r="43" customFormat="false" ht="17.15" hidden="false" customHeight="false" outlineLevel="0" collapsed="false">
      <c r="A43" s="0" t="s">
        <v>1242</v>
      </c>
      <c r="B43" s="0" t="s">
        <v>1243</v>
      </c>
      <c r="C43" s="18" t="n">
        <f aca="false">Players!F10</f>
        <v>1</v>
      </c>
      <c r="D43" s="0" t="n">
        <v>1</v>
      </c>
      <c r="F43" s="0" t="str">
        <f aca="false">IF(ABS(C43-1)&lt;0.000000001,"OK","ERROR")</f>
        <v>OK</v>
      </c>
      <c r="G43" s="4" t="s">
        <v>1219</v>
      </c>
    </row>
    <row r="44" customFormat="false" ht="17.15" hidden="false" customHeight="false" outlineLevel="0" collapsed="false">
      <c r="A44" s="0" t="s">
        <v>1244</v>
      </c>
      <c r="B44" s="0" t="s">
        <v>1245</v>
      </c>
      <c r="C44" s="18" t="n">
        <f aca="false">Players!G10</f>
        <v>1</v>
      </c>
      <c r="D44" s="0" t="n">
        <v>1</v>
      </c>
      <c r="F44" s="0" t="str">
        <f aca="false">IF(ABS(C44-1)&lt;0.000000001,"OK","ERROR")</f>
        <v>OK</v>
      </c>
      <c r="G44" s="4" t="s">
        <v>1219</v>
      </c>
    </row>
    <row r="45" customFormat="false" ht="17.15" hidden="false" customHeight="false" outlineLevel="0" collapsed="false">
      <c r="A45" s="0" t="s">
        <v>1246</v>
      </c>
      <c r="B45" s="0" t="s">
        <v>1247</v>
      </c>
      <c r="C45" s="18" t="n">
        <f aca="false">Players!H10</f>
        <v>1</v>
      </c>
      <c r="D45" s="0" t="n">
        <v>1</v>
      </c>
      <c r="F45" s="0" t="str">
        <f aca="false">IF(ABS(C45-1)&lt;0.000000001,"OK","ERROR")</f>
        <v>OK</v>
      </c>
      <c r="G45" s="4" t="s">
        <v>1219</v>
      </c>
    </row>
    <row r="46" customFormat="false" ht="17.15" hidden="false" customHeight="false" outlineLevel="0" collapsed="false">
      <c r="A46" s="0" t="s">
        <v>1248</v>
      </c>
      <c r="B46" s="0" t="s">
        <v>1249</v>
      </c>
      <c r="C46" s="18" t="n">
        <f aca="false">Players!I10</f>
        <v>1</v>
      </c>
      <c r="D46" s="0" t="n">
        <v>1</v>
      </c>
      <c r="F46" s="0" t="str">
        <f aca="false">IF(ABS(C46-1)&lt;0.000000001,"OK","ERROR")</f>
        <v>OK</v>
      </c>
      <c r="G46" s="4" t="s">
        <v>1219</v>
      </c>
    </row>
    <row r="47" customFormat="false" ht="17.15" hidden="false" customHeight="false" outlineLevel="0" collapsed="false">
      <c r="A47" s="0" t="s">
        <v>1250</v>
      </c>
      <c r="B47" s="0" t="s">
        <v>1251</v>
      </c>
      <c r="C47" s="18" t="n">
        <f aca="false">Players!J10</f>
        <v>1</v>
      </c>
      <c r="D47" s="0" t="n">
        <v>1</v>
      </c>
      <c r="F47" s="0" t="str">
        <f aca="false">IF(ABS(C47-1)&lt;0.000000001,"OK","ERROR")</f>
        <v>OK</v>
      </c>
      <c r="G47" s="4" t="s">
        <v>1219</v>
      </c>
    </row>
    <row r="48" customFormat="false" ht="17.15" hidden="false" customHeight="false" outlineLevel="0" collapsed="false">
      <c r="A48" s="0" t="s">
        <v>1252</v>
      </c>
      <c r="B48" s="0" t="s">
        <v>1253</v>
      </c>
      <c r="C48" s="18" t="n">
        <f aca="false">Players!K10</f>
        <v>1</v>
      </c>
      <c r="D48" s="0" t="n">
        <v>1</v>
      </c>
      <c r="F48" s="0" t="str">
        <f aca="false">IF(ABS(C48-1)&lt;0.000000001,"OK","ERROR")</f>
        <v>OK</v>
      </c>
      <c r="G48" s="4" t="s">
        <v>1219</v>
      </c>
    </row>
    <row r="49" customFormat="false" ht="17.15" hidden="false" customHeight="false" outlineLevel="0" collapsed="false">
      <c r="A49" s="0" t="s">
        <v>1254</v>
      </c>
      <c r="B49" s="0" t="s">
        <v>1255</v>
      </c>
      <c r="C49" s="18" t="n">
        <f aca="false">Players!L10</f>
        <v>1</v>
      </c>
      <c r="D49" s="0" t="n">
        <v>1</v>
      </c>
      <c r="F49" s="0" t="str">
        <f aca="false">IF(ABS(C49-1)&lt;0.000000001,"OK","ERROR")</f>
        <v>OK</v>
      </c>
      <c r="G49" s="4" t="s">
        <v>1219</v>
      </c>
    </row>
    <row r="50" customFormat="false" ht="17.15" hidden="false" customHeight="false" outlineLevel="0" collapsed="false">
      <c r="A50" s="0" t="s">
        <v>1256</v>
      </c>
      <c r="B50" s="0" t="s">
        <v>1257</v>
      </c>
      <c r="C50" s="18" t="n">
        <f aca="false">Players!M10</f>
        <v>1</v>
      </c>
      <c r="D50" s="0" t="n">
        <v>1</v>
      </c>
      <c r="F50" s="0" t="str">
        <f aca="false">IF(ABS(C50-1)&lt;0.000000001,"OK","ERROR")</f>
        <v>OK</v>
      </c>
      <c r="G50" s="4" t="s">
        <v>1219</v>
      </c>
    </row>
    <row r="51" customFormat="false" ht="17.15" hidden="false" customHeight="false" outlineLevel="0" collapsed="false">
      <c r="A51" s="0" t="s">
        <v>1258</v>
      </c>
      <c r="B51" s="0" t="s">
        <v>1259</v>
      </c>
      <c r="C51" s="25" t="n">
        <f aca="false">Pipeline!E68</f>
        <v>2.27984344422701</v>
      </c>
      <c r="D51" s="25" t="n">
        <f aca="false">Players!E260</f>
        <v>2.27984344422701</v>
      </c>
      <c r="E51" s="16" t="n">
        <f aca="false">C51-D51</f>
        <v>0</v>
      </c>
      <c r="F51" s="0" t="str">
        <f aca="false">IF(ABS(E51)&lt;0.000000001,"OK","ERROR")</f>
        <v>OK</v>
      </c>
      <c r="G51" s="4" t="s">
        <v>1186</v>
      </c>
    </row>
    <row r="52" customFormat="false" ht="17.15" hidden="false" customHeight="false" outlineLevel="0" collapsed="false">
      <c r="A52" s="0" t="s">
        <v>1260</v>
      </c>
      <c r="B52" s="0" t="s">
        <v>1261</v>
      </c>
      <c r="C52" s="25" t="n">
        <f aca="false">Pipeline!F68</f>
        <v>6.49162861491629</v>
      </c>
      <c r="D52" s="25" t="n">
        <f aca="false">Players!F260</f>
        <v>6.49162861491629</v>
      </c>
      <c r="E52" s="16" t="n">
        <f aca="false">C52-D52</f>
        <v>0</v>
      </c>
      <c r="F52" s="0" t="str">
        <f aca="false">IF(ABS(E52)&lt;0.000000001,"OK","ERROR")</f>
        <v>OK</v>
      </c>
      <c r="G52" s="4" t="s">
        <v>1186</v>
      </c>
    </row>
    <row r="53" customFormat="false" ht="17.15" hidden="false" customHeight="false" outlineLevel="0" collapsed="false">
      <c r="A53" s="0" t="s">
        <v>1262</v>
      </c>
      <c r="B53" s="0" t="s">
        <v>1263</v>
      </c>
      <c r="C53" s="25" t="n">
        <f aca="false">Pipeline!G68</f>
        <v>6.74502500543597</v>
      </c>
      <c r="D53" s="25" t="n">
        <f aca="false">Players!G260</f>
        <v>6.74502500543597</v>
      </c>
      <c r="E53" s="16" t="n">
        <f aca="false">C53-D53</f>
        <v>0</v>
      </c>
      <c r="F53" s="0" t="str">
        <f aca="false">IF(ABS(E53)&lt;0.000000001,"OK","ERROR")</f>
        <v>OK</v>
      </c>
      <c r="G53" s="4" t="s">
        <v>1186</v>
      </c>
    </row>
    <row r="54" customFormat="false" ht="17.15" hidden="false" customHeight="false" outlineLevel="0" collapsed="false">
      <c r="A54" s="0" t="s">
        <v>1264</v>
      </c>
      <c r="B54" s="0" t="s">
        <v>1265</v>
      </c>
      <c r="C54" s="25" t="n">
        <f aca="false">Pipeline!H68</f>
        <v>3.98398999782562</v>
      </c>
      <c r="D54" s="25" t="n">
        <f aca="false">Players!H260</f>
        <v>3.98398999782562</v>
      </c>
      <c r="E54" s="16" t="n">
        <f aca="false">C54-D54</f>
        <v>0</v>
      </c>
      <c r="F54" s="0" t="str">
        <f aca="false">IF(ABS(E54)&lt;0.000000001,"OK","ERROR")</f>
        <v>OK</v>
      </c>
      <c r="G54" s="4" t="s">
        <v>1186</v>
      </c>
    </row>
    <row r="55" customFormat="false" ht="17.15" hidden="false" customHeight="false" outlineLevel="0" collapsed="false">
      <c r="A55" s="0" t="s">
        <v>1266</v>
      </c>
      <c r="B55" s="0" t="s">
        <v>1267</v>
      </c>
      <c r="C55" s="25" t="n">
        <f aca="false">Pipeline!I68</f>
        <v>1.67155903457273</v>
      </c>
      <c r="D55" s="25" t="n">
        <f aca="false">Players!I260</f>
        <v>1.67155903457273</v>
      </c>
      <c r="E55" s="16" t="n">
        <f aca="false">C55-D55</f>
        <v>0</v>
      </c>
      <c r="F55" s="0" t="str">
        <f aca="false">IF(ABS(E55)&lt;0.000000001,"OK","ERROR")</f>
        <v>OK</v>
      </c>
      <c r="G55" s="4" t="s">
        <v>1186</v>
      </c>
    </row>
    <row r="56" customFormat="false" ht="17.15" hidden="false" customHeight="false" outlineLevel="0" collapsed="false">
      <c r="A56" s="0" t="s">
        <v>1268</v>
      </c>
      <c r="B56" s="0" t="s">
        <v>1269</v>
      </c>
      <c r="C56" s="25" t="n">
        <f aca="false">Pipeline!J68</f>
        <v>1.67155903457273</v>
      </c>
      <c r="D56" s="25" t="n">
        <f aca="false">Players!J260</f>
        <v>1.67155903457273</v>
      </c>
      <c r="E56" s="16" t="n">
        <f aca="false">C56-D56</f>
        <v>0</v>
      </c>
      <c r="F56" s="0" t="str">
        <f aca="false">IF(ABS(E56)&lt;0.000000001,"OK","ERROR")</f>
        <v>OK</v>
      </c>
      <c r="G56" s="4" t="s">
        <v>1186</v>
      </c>
    </row>
    <row r="57" customFormat="false" ht="17.15" hidden="false" customHeight="false" outlineLevel="0" collapsed="false">
      <c r="A57" s="0" t="s">
        <v>1270</v>
      </c>
      <c r="B57" s="0" t="s">
        <v>1271</v>
      </c>
      <c r="C57" s="25" t="n">
        <f aca="false">Pipeline!K68</f>
        <v>1.67155903457273</v>
      </c>
      <c r="D57" s="25" t="n">
        <f aca="false">Players!K260</f>
        <v>1.67155903457273</v>
      </c>
      <c r="E57" s="16" t="n">
        <f aca="false">C57-D57</f>
        <v>0</v>
      </c>
      <c r="F57" s="0" t="str">
        <f aca="false">IF(ABS(E57)&lt;0.000000001,"OK","ERROR")</f>
        <v>OK</v>
      </c>
      <c r="G57" s="4" t="s">
        <v>1186</v>
      </c>
    </row>
    <row r="58" customFormat="false" ht="17.15" hidden="false" customHeight="false" outlineLevel="0" collapsed="false">
      <c r="A58" s="0" t="s">
        <v>1272</v>
      </c>
      <c r="B58" s="0" t="s">
        <v>1273</v>
      </c>
      <c r="C58" s="25" t="n">
        <f aca="false">Pipeline!L68</f>
        <v>0</v>
      </c>
      <c r="D58" s="25" t="n">
        <f aca="false">Players!L260</f>
        <v>0</v>
      </c>
      <c r="E58" s="16" t="n">
        <f aca="false">C58-D58</f>
        <v>0</v>
      </c>
      <c r="F58" s="0" t="str">
        <f aca="false">IF(ABS(E58)&lt;0.000000001,"OK","ERROR")</f>
        <v>OK</v>
      </c>
      <c r="G58" s="4" t="s">
        <v>1186</v>
      </c>
    </row>
    <row r="59" customFormat="false" ht="17.15" hidden="false" customHeight="false" outlineLevel="0" collapsed="false">
      <c r="A59" s="0" t="s">
        <v>1274</v>
      </c>
      <c r="B59" s="0" t="s">
        <v>1275</v>
      </c>
      <c r="C59" s="25" t="n">
        <f aca="false">Pipeline!M68</f>
        <v>0</v>
      </c>
      <c r="D59" s="25" t="n">
        <f aca="false">Players!M260</f>
        <v>0</v>
      </c>
      <c r="E59" s="16" t="n">
        <f aca="false">C59-D59</f>
        <v>0</v>
      </c>
      <c r="F59" s="0" t="str">
        <f aca="false">IF(ABS(E59)&lt;0.000000001,"OK","ERROR")</f>
        <v>OK</v>
      </c>
      <c r="G59" s="4" t="s">
        <v>1186</v>
      </c>
    </row>
    <row r="60" customFormat="false" ht="17.15" hidden="false" customHeight="false" outlineLevel="0" collapsed="false">
      <c r="A60" s="0" t="s">
        <v>1276</v>
      </c>
      <c r="B60" s="0" t="s">
        <v>1277</v>
      </c>
      <c r="C60" s="0" t="n">
        <f aca="false">lag_bldg</f>
        <v>18</v>
      </c>
      <c r="D60" s="0" t="s">
        <v>1278</v>
      </c>
      <c r="F60" s="0" t="str">
        <f aca="false">IF(AND(C60&gt;=0,C60&lt;=24),"OK","ERROR")</f>
        <v>OK</v>
      </c>
      <c r="G60" s="4" t="s">
        <v>1219</v>
      </c>
    </row>
    <row r="61" customFormat="false" ht="17.15" hidden="false" customHeight="false" outlineLevel="0" collapsed="false">
      <c r="A61" s="0" t="s">
        <v>1279</v>
      </c>
      <c r="B61" s="0" t="s">
        <v>1280</v>
      </c>
      <c r="C61" s="0" t="n">
        <f aca="false">lag_bldg_lo</f>
        <v>12</v>
      </c>
      <c r="D61" s="0" t="s">
        <v>1278</v>
      </c>
      <c r="F61" s="0" t="str">
        <f aca="false">IF(AND(C61&gt;=0,C61&lt;=24),"OK","ERROR")</f>
        <v>OK</v>
      </c>
      <c r="G61" s="4" t="s">
        <v>1219</v>
      </c>
    </row>
    <row r="62" customFormat="false" ht="17.15" hidden="false" customHeight="false" outlineLevel="0" collapsed="false">
      <c r="A62" s="0" t="s">
        <v>1281</v>
      </c>
      <c r="B62" s="0" t="s">
        <v>1282</v>
      </c>
      <c r="C62" s="0" t="n">
        <f aca="false">lag_bldg_hi</f>
        <v>24</v>
      </c>
      <c r="D62" s="0" t="s">
        <v>1278</v>
      </c>
      <c r="F62" s="0" t="str">
        <f aca="false">IF(AND(C62&gt;=0,C62&lt;=24),"OK","ERROR")</f>
        <v>OK</v>
      </c>
      <c r="G62" s="4" t="s">
        <v>1219</v>
      </c>
    </row>
    <row r="63" customFormat="false" ht="17.15" hidden="false" customHeight="false" outlineLevel="0" collapsed="false">
      <c r="A63" s="0" t="s">
        <v>1283</v>
      </c>
      <c r="B63" s="0" t="s">
        <v>1284</v>
      </c>
      <c r="C63" s="0" t="n">
        <f aca="false">dly_d1_m</f>
        <v>6</v>
      </c>
      <c r="D63" s="0" t="s">
        <v>1285</v>
      </c>
      <c r="F63" s="0" t="str">
        <f aca="false">IF(AND(C63&gt;=0,C63&lt;=36),"OK","ERROR")</f>
        <v>OK</v>
      </c>
      <c r="G63" s="4" t="s">
        <v>1219</v>
      </c>
    </row>
    <row r="64" customFormat="false" ht="17.15" hidden="false" customHeight="false" outlineLevel="0" collapsed="false">
      <c r="A64" s="0" t="s">
        <v>1286</v>
      </c>
      <c r="B64" s="0" t="s">
        <v>1287</v>
      </c>
      <c r="C64" s="0" t="n">
        <f aca="false">dly_d1_m_lo</f>
        <v>3</v>
      </c>
      <c r="D64" s="0" t="s">
        <v>1285</v>
      </c>
      <c r="F64" s="0" t="str">
        <f aca="false">IF(AND(C64&gt;=0,C64&lt;=36),"OK","ERROR")</f>
        <v>OK</v>
      </c>
      <c r="G64" s="4" t="s">
        <v>1219</v>
      </c>
    </row>
    <row r="65" customFormat="false" ht="17.15" hidden="false" customHeight="false" outlineLevel="0" collapsed="false">
      <c r="A65" s="0" t="s">
        <v>1288</v>
      </c>
      <c r="B65" s="0" t="s">
        <v>1289</v>
      </c>
      <c r="C65" s="0" t="n">
        <f aca="false">dly_d1_m_hi</f>
        <v>9</v>
      </c>
      <c r="D65" s="0" t="s">
        <v>1285</v>
      </c>
      <c r="F65" s="0" t="str">
        <f aca="false">IF(AND(C65&gt;=0,C65&lt;=36),"OK","ERROR")</f>
        <v>OK</v>
      </c>
      <c r="G65" s="4" t="s">
        <v>1219</v>
      </c>
    </row>
    <row r="66" customFormat="false" ht="17.15" hidden="false" customHeight="false" outlineLevel="0" collapsed="false">
      <c r="A66" s="0" t="s">
        <v>1290</v>
      </c>
      <c r="B66" s="0" t="s">
        <v>1291</v>
      </c>
      <c r="C66" s="0" t="n">
        <f aca="false">dly_d2_m</f>
        <v>12</v>
      </c>
      <c r="D66" s="0" t="s">
        <v>1285</v>
      </c>
      <c r="F66" s="0" t="str">
        <f aca="false">IF(AND(C66&gt;=0,C66&lt;=36),"OK","ERROR")</f>
        <v>OK</v>
      </c>
      <c r="G66" s="4" t="s">
        <v>1219</v>
      </c>
    </row>
    <row r="67" customFormat="false" ht="17.15" hidden="false" customHeight="false" outlineLevel="0" collapsed="false">
      <c r="A67" s="0" t="s">
        <v>1292</v>
      </c>
      <c r="B67" s="0" t="s">
        <v>1293</v>
      </c>
      <c r="C67" s="0" t="n">
        <f aca="false">dly_d2_m_lo</f>
        <v>12</v>
      </c>
      <c r="D67" s="0" t="s">
        <v>1285</v>
      </c>
      <c r="F67" s="0" t="str">
        <f aca="false">IF(AND(C67&gt;=0,C67&lt;=36),"OK","ERROR")</f>
        <v>OK</v>
      </c>
      <c r="G67" s="4" t="s">
        <v>1219</v>
      </c>
    </row>
    <row r="68" customFormat="false" ht="17.15" hidden="false" customHeight="false" outlineLevel="0" collapsed="false">
      <c r="A68" s="0" t="s">
        <v>1294</v>
      </c>
      <c r="B68" s="0" t="s">
        <v>1295</v>
      </c>
      <c r="C68" s="0" t="n">
        <f aca="false">dly_d2_m_hi</f>
        <v>12</v>
      </c>
      <c r="D68" s="0" t="s">
        <v>1285</v>
      </c>
      <c r="F68" s="0" t="str">
        <f aca="false">IF(AND(C68&gt;=0,C68&lt;=36),"OK","ERROR")</f>
        <v>OK</v>
      </c>
      <c r="G68" s="4" t="s">
        <v>1219</v>
      </c>
    </row>
    <row r="69" customFormat="false" ht="17.15" hidden="false" customHeight="false" outlineLevel="0" collapsed="false">
      <c r="A69" s="0" t="s">
        <v>1296</v>
      </c>
      <c r="B69" s="0" t="s">
        <v>1297</v>
      </c>
      <c r="C69" s="19" t="n">
        <f aca="false">dly_d2_bind</f>
        <v>0.35</v>
      </c>
      <c r="D69" s="16" t="s">
        <v>1298</v>
      </c>
      <c r="F69" s="0" t="str">
        <f aca="false">IF(AND(C69&gt;=0,C69&lt;=1),"OK","ERROR")</f>
        <v>OK</v>
      </c>
      <c r="G69" s="4" t="s">
        <v>1219</v>
      </c>
    </row>
    <row r="70" customFormat="false" ht="17.15" hidden="false" customHeight="false" outlineLevel="0" collapsed="false">
      <c r="A70" s="0" t="s">
        <v>1299</v>
      </c>
      <c r="B70" s="0" t="s">
        <v>1300</v>
      </c>
      <c r="C70" s="19" t="n">
        <f aca="false">dly_d2_bind_lo</f>
        <v>0.2</v>
      </c>
      <c r="D70" s="16" t="s">
        <v>1298</v>
      </c>
      <c r="F70" s="0" t="str">
        <f aca="false">IF(AND(C70&gt;=0,C70&lt;=1),"OK","ERROR")</f>
        <v>OK</v>
      </c>
      <c r="G70" s="4" t="s">
        <v>1219</v>
      </c>
    </row>
    <row r="71" customFormat="false" ht="17.15" hidden="false" customHeight="false" outlineLevel="0" collapsed="false">
      <c r="A71" s="0" t="s">
        <v>1301</v>
      </c>
      <c r="B71" s="0" t="s">
        <v>1302</v>
      </c>
      <c r="C71" s="19" t="n">
        <f aca="false">dly_d2_bind_hi</f>
        <v>0.5</v>
      </c>
      <c r="D71" s="16" t="s">
        <v>1298</v>
      </c>
      <c r="F71" s="0" t="str">
        <f aca="false">IF(AND(C71&gt;=0,C71&lt;=1),"OK","ERROR")</f>
        <v>OK</v>
      </c>
      <c r="G71" s="4" t="s">
        <v>1219</v>
      </c>
    </row>
    <row r="72" customFormat="false" ht="17.15" hidden="false" customHeight="false" outlineLevel="0" collapsed="false">
      <c r="A72" s="0" t="s">
        <v>1303</v>
      </c>
      <c r="B72" s="0" t="s">
        <v>1304</v>
      </c>
      <c r="C72" s="19" t="n">
        <f aca="false">tolband</f>
        <v>0.15</v>
      </c>
      <c r="D72" s="16" t="s">
        <v>1298</v>
      </c>
      <c r="F72" s="0" t="str">
        <f aca="false">IF(AND(C72&gt;=0,C72&lt;=1),"OK","ERROR")</f>
        <v>OK</v>
      </c>
      <c r="G72" s="4" t="s">
        <v>1219</v>
      </c>
    </row>
    <row r="73" customFormat="false" ht="17.15" hidden="false" customHeight="false" outlineLevel="0" collapsed="false">
      <c r="A73" s="0" t="s">
        <v>1305</v>
      </c>
      <c r="B73" s="0" t="s">
        <v>1306</v>
      </c>
      <c r="C73" s="19" t="n">
        <f aca="false">tolband_lo</f>
        <v>0.1</v>
      </c>
      <c r="D73" s="16" t="s">
        <v>1298</v>
      </c>
      <c r="F73" s="0" t="str">
        <f aca="false">IF(AND(C73&gt;=0,C73&lt;=1),"OK","ERROR")</f>
        <v>OK</v>
      </c>
      <c r="G73" s="4" t="s">
        <v>1219</v>
      </c>
    </row>
    <row r="74" customFormat="false" ht="17.15" hidden="false" customHeight="false" outlineLevel="0" collapsed="false">
      <c r="A74" s="0" t="s">
        <v>1307</v>
      </c>
      <c r="B74" s="0" t="s">
        <v>1308</v>
      </c>
      <c r="C74" s="19" t="n">
        <f aca="false">tolband_hi</f>
        <v>0.2</v>
      </c>
      <c r="D74" s="16" t="s">
        <v>1298</v>
      </c>
      <c r="F74" s="0" t="str">
        <f aca="false">IF(AND(C74&gt;=0,C74&lt;=1),"OK","ERROR")</f>
        <v>OK</v>
      </c>
      <c r="G74" s="4" t="s">
        <v>1219</v>
      </c>
    </row>
    <row r="75" customFormat="false" ht="17.15" hidden="false" customHeight="false" outlineLevel="0" collapsed="false">
      <c r="A75" s="0" t="s">
        <v>1309</v>
      </c>
      <c r="B75" s="4" t="s">
        <v>1310</v>
      </c>
      <c r="C75" s="0" t="n">
        <f aca="false">COUNTIF(Pipeline!E15:M29,"&lt;-1E-9")</f>
        <v>0</v>
      </c>
      <c r="F75" s="0" t="str">
        <f aca="false">IF(C75=0,"OK","WARN")</f>
        <v>OK</v>
      </c>
      <c r="G75" s="4" t="s">
        <v>1219</v>
      </c>
    </row>
    <row r="76" customFormat="false" ht="17.15" hidden="false" customHeight="false" outlineLevel="0" collapsed="false">
      <c r="A76" s="0" t="s">
        <v>1311</v>
      </c>
      <c r="B76" s="0" t="s">
        <v>1312</v>
      </c>
      <c r="C76" s="0" t="n">
        <v>0</v>
      </c>
      <c r="F76" s="0" t="str">
        <f aca="false">IF(C76=1,"OK","WARN")</f>
        <v>WARN</v>
      </c>
      <c r="G76" s="4" t="s">
        <v>1313</v>
      </c>
      <c r="H76" s="0" t="s">
        <v>1314</v>
      </c>
    </row>
    <row r="77" customFormat="false" ht="17.15" hidden="false" customHeight="false" outlineLevel="0" collapsed="false">
      <c r="A77" s="0" t="s">
        <v>1315</v>
      </c>
      <c r="B77" s="0" t="s">
        <v>1316</v>
      </c>
      <c r="C77" s="0" t="n">
        <f aca="false">(Deploy!M11&lt;Deploy!M12-0.000000001)+(Deploy!M12&lt;Deploy!M13-0.000000001)+(Deploy!M27&lt;Deploy!M28-0.000000001)+(Deploy!M28&lt;Deploy!M29-0.000000001)+(Deploy!M43&lt;Deploy!M44-0.000000001)+(Deploy!M44&lt;Deploy!M45-0.000000001)</f>
        <v>0</v>
      </c>
      <c r="F77" s="0" t="str">
        <f aca="false">IF(C77=0,"OK","WARN")</f>
        <v>OK</v>
      </c>
      <c r="G77" s="4" t="s">
        <v>1219</v>
      </c>
    </row>
    <row r="78" customFormat="false" ht="17.15" hidden="false" customHeight="false" outlineLevel="0" collapsed="false">
      <c r="A78" s="0" t="s">
        <v>1317</v>
      </c>
      <c r="B78" s="0" t="s">
        <v>1318</v>
      </c>
      <c r="C78" s="0" t="n">
        <f aca="false">SUMPRODUCT((In!S5:S136&lt;&gt;"")*(In!E5:E136=""))</f>
        <v>0</v>
      </c>
      <c r="F78" s="0" t="str">
        <f aca="false">IF(C78=0,"OK","ERROR")</f>
        <v>OK</v>
      </c>
      <c r="G78" s="4" t="s">
        <v>1319</v>
      </c>
    </row>
    <row r="79" customFormat="false" ht="17.15" hidden="false" customHeight="false" outlineLevel="0" collapsed="false">
      <c r="A79" s="0" t="s">
        <v>1320</v>
      </c>
      <c r="B79" s="0" t="s">
        <v>1321</v>
      </c>
      <c r="C79" s="0" t="n">
        <f aca="false">SUMPRODUCT((In!S5:S136&lt;&gt;"")*(In!F5:F136=""))</f>
        <v>0</v>
      </c>
      <c r="F79" s="0" t="str">
        <f aca="false">IF(C79=0,"OK","ERROR")</f>
        <v>OK</v>
      </c>
      <c r="G79" s="4" t="s">
        <v>1319</v>
      </c>
    </row>
    <row r="80" customFormat="false" ht="17.15" hidden="false" customHeight="false" outlineLevel="0" collapsed="false">
      <c r="A80" s="0" t="s">
        <v>1322</v>
      </c>
      <c r="B80" s="4" t="s">
        <v>1323</v>
      </c>
      <c r="C80" s="0" t="n">
        <f aca="false">SUMPRODUCT((In!S5:S136=1)*((ISNUMBER(SEARCH("Assumed",In!E5:E136))+ISNUMBER(SEARCH("Analogy",In!E5:E136)))&gt;0)*(((In!H5:H136="")+(In!J5:J136=""))&gt;0))</f>
        <v>0</v>
      </c>
      <c r="F80" s="0" t="str">
        <f aca="false">IF(C80=0,"OK","ERROR")</f>
        <v>OK</v>
      </c>
      <c r="G80" s="4" t="s">
        <v>1319</v>
      </c>
    </row>
    <row r="81" customFormat="false" ht="17.15" hidden="false" customHeight="false" outlineLevel="0" collapsed="false">
      <c r="A81" s="0" t="s">
        <v>1324</v>
      </c>
      <c r="B81" s="4" t="s">
        <v>1325</v>
      </c>
      <c r="C81" s="0" t="n">
        <f aca="false">SUMPRODUCT((In!S5:S136&gt;1)*((ISNUMBER(SEARCH("Assumed",In!E5:E136))+ISNUMBER(SEARCH("Analogy",In!E5:E136)))&gt;0))</f>
        <v>11</v>
      </c>
      <c r="F81" s="0" t="str">
        <f aca="false">IF(C81=0,"OK","WARN")</f>
        <v>WARN</v>
      </c>
      <c r="G81" s="4" t="s">
        <v>1319</v>
      </c>
    </row>
    <row r="82" customFormat="false" ht="17.15" hidden="false" customHeight="false" outlineLevel="0" collapsed="false">
      <c r="A82" s="0" t="s">
        <v>1326</v>
      </c>
      <c r="B82" s="0" t="s">
        <v>1327</v>
      </c>
      <c r="C82" s="0" t="n">
        <v>0</v>
      </c>
      <c r="F82" s="0" t="str">
        <f aca="false">IF(C82=0,"OK","ERROR")</f>
        <v>OK</v>
      </c>
      <c r="G82" s="4" t="s">
        <v>1319</v>
      </c>
    </row>
    <row r="83" customFormat="false" ht="17.15" hidden="false" customHeight="false" outlineLevel="0" collapsed="false">
      <c r="A83" s="0" t="s">
        <v>1328</v>
      </c>
      <c r="B83" s="4" t="s">
        <v>1329</v>
      </c>
      <c r="C83" s="0" t="n">
        <f aca="false">COUNTIF(In!E5:E136,"待證據")</f>
        <v>44</v>
      </c>
      <c r="F83" s="0" t="str">
        <f aca="false">IF(C83=0,"OK","WARN")</f>
        <v>WARN</v>
      </c>
      <c r="G83" s="4" t="s">
        <v>1319</v>
      </c>
      <c r="H83" s="0" t="s">
        <v>1330</v>
      </c>
    </row>
    <row r="84" customFormat="false" ht="15" hidden="false" customHeight="false" outlineLevel="0" collapsed="false">
      <c r="A84" s="0" t="s">
        <v>1331</v>
      </c>
      <c r="B84" s="4" t="s">
        <v>1332</v>
      </c>
      <c r="C84" s="0" t="n">
        <f aca="false">COUNTIF(In!G5:G136,"*【佔位】*")</f>
        <v>3</v>
      </c>
      <c r="F84" s="0" t="str">
        <f aca="false">IF(C84=0,"OK","WARN")</f>
        <v>WARN</v>
      </c>
      <c r="G84" s="4" t="s">
        <v>1319</v>
      </c>
    </row>
    <row r="86" customFormat="false" ht="15" hidden="false" customHeight="false" outlineLevel="0" collapsed="false">
      <c r="A86" s="7" t="s">
        <v>1333</v>
      </c>
      <c r="C86" s="31" t="n">
        <f aca="false">COUNTIF(F4:F84,"ERROR")</f>
        <v>0</v>
      </c>
    </row>
    <row r="87" customFormat="false" ht="15" hidden="false" customHeight="false" outlineLevel="0" collapsed="false">
      <c r="A87" s="7" t="s">
        <v>1334</v>
      </c>
      <c r="C87" s="31" t="n">
        <f aca="false">COUNTIF(F4:F84,"WARN")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1335</v>
      </c>
    </row>
    <row r="3" customFormat="false" ht="17.15" hidden="false" customHeight="false" outlineLevel="0" collapsed="false">
      <c r="A3" s="5" t="s">
        <v>1336</v>
      </c>
      <c r="B3" s="5" t="s">
        <v>902</v>
      </c>
      <c r="C3" s="5" t="s">
        <v>12</v>
      </c>
      <c r="D3" s="5" t="s">
        <v>1337</v>
      </c>
      <c r="E3" s="5" t="s">
        <v>1338</v>
      </c>
      <c r="F3" s="5" t="s">
        <v>1339</v>
      </c>
      <c r="G3" s="5" t="s">
        <v>1340</v>
      </c>
    </row>
    <row r="4" customFormat="false" ht="32.8" hidden="false" customHeight="false" outlineLevel="0" collapsed="false">
      <c r="A4" s="3" t="s">
        <v>1341</v>
      </c>
      <c r="B4" s="2" t="s">
        <v>1342</v>
      </c>
      <c r="C4" s="3" t="s">
        <v>1343</v>
      </c>
      <c r="D4" s="3" t="s">
        <v>1344</v>
      </c>
      <c r="E4" s="3" t="s">
        <v>1345</v>
      </c>
      <c r="F4" s="2" t="s">
        <v>1346</v>
      </c>
      <c r="G4" s="2" t="s">
        <v>1347</v>
      </c>
    </row>
    <row r="5" customFormat="false" ht="32.8" hidden="false" customHeight="false" outlineLevel="0" collapsed="false">
      <c r="A5" s="3" t="s">
        <v>1348</v>
      </c>
      <c r="B5" s="2" t="s">
        <v>1342</v>
      </c>
      <c r="C5" s="2" t="s">
        <v>1349</v>
      </c>
      <c r="D5" s="2" t="s">
        <v>1350</v>
      </c>
      <c r="E5" s="3" t="s">
        <v>1345</v>
      </c>
      <c r="F5" s="2" t="s">
        <v>1351</v>
      </c>
      <c r="G5" s="2" t="s">
        <v>1347</v>
      </c>
    </row>
    <row r="6" customFormat="false" ht="48.5" hidden="false" customHeight="false" outlineLevel="0" collapsed="false">
      <c r="A6" s="32" t="s">
        <v>1352</v>
      </c>
      <c r="B6" s="33" t="s">
        <v>1342</v>
      </c>
      <c r="C6" s="33" t="s">
        <v>1353</v>
      </c>
      <c r="D6" s="32" t="s">
        <v>1354</v>
      </c>
      <c r="E6" s="32" t="s">
        <v>1345</v>
      </c>
      <c r="F6" s="33" t="s">
        <v>1355</v>
      </c>
      <c r="G6" s="33" t="s">
        <v>1356</v>
      </c>
    </row>
    <row r="7" customFormat="false" ht="32.8" hidden="false" customHeight="false" outlineLevel="0" collapsed="false">
      <c r="A7" s="32" t="s">
        <v>1357</v>
      </c>
      <c r="B7" s="33" t="s">
        <v>1342</v>
      </c>
      <c r="C7" s="33" t="s">
        <v>1358</v>
      </c>
      <c r="D7" s="32" t="s">
        <v>1359</v>
      </c>
      <c r="E7" s="32" t="s">
        <v>1345</v>
      </c>
      <c r="F7" s="33" t="s">
        <v>1360</v>
      </c>
      <c r="G7" s="33" t="s">
        <v>1356</v>
      </c>
    </row>
    <row r="8" customFormat="false" ht="48.5" hidden="false" customHeight="false" outlineLevel="0" collapsed="false">
      <c r="A8" s="3" t="s">
        <v>1361</v>
      </c>
      <c r="B8" s="2" t="s">
        <v>1342</v>
      </c>
      <c r="C8" s="3" t="s">
        <v>1362</v>
      </c>
      <c r="D8" s="2" t="s">
        <v>1363</v>
      </c>
      <c r="E8" s="3" t="s">
        <v>1345</v>
      </c>
      <c r="F8" s="2" t="s">
        <v>1364</v>
      </c>
      <c r="G8" s="2" t="s">
        <v>1347</v>
      </c>
    </row>
    <row r="9" customFormat="false" ht="32.8" hidden="false" customHeight="false" outlineLevel="0" collapsed="false">
      <c r="A9" s="32" t="s">
        <v>1365</v>
      </c>
      <c r="B9" s="33" t="s">
        <v>1342</v>
      </c>
      <c r="C9" s="33" t="s">
        <v>1366</v>
      </c>
      <c r="D9" s="33" t="s">
        <v>1367</v>
      </c>
      <c r="E9" s="32" t="s">
        <v>1345</v>
      </c>
      <c r="F9" s="33" t="s">
        <v>1368</v>
      </c>
      <c r="G9" s="33" t="s">
        <v>1356</v>
      </c>
    </row>
    <row r="10" customFormat="false" ht="32.8" hidden="false" customHeight="false" outlineLevel="0" collapsed="false">
      <c r="A10" s="3" t="s">
        <v>1369</v>
      </c>
      <c r="B10" s="2" t="s">
        <v>1342</v>
      </c>
      <c r="C10" s="2" t="s">
        <v>1370</v>
      </c>
      <c r="D10" s="3" t="s">
        <v>1371</v>
      </c>
      <c r="E10" s="3" t="s">
        <v>1345</v>
      </c>
      <c r="F10" s="2" t="s">
        <v>1372</v>
      </c>
      <c r="G10" s="2" t="s">
        <v>1347</v>
      </c>
    </row>
    <row r="11" customFormat="false" ht="48.5" hidden="false" customHeight="false" outlineLevel="0" collapsed="false">
      <c r="A11" s="32" t="s">
        <v>1373</v>
      </c>
      <c r="B11" s="33" t="s">
        <v>1342</v>
      </c>
      <c r="C11" s="32" t="s">
        <v>1374</v>
      </c>
      <c r="D11" s="32" t="s">
        <v>1375</v>
      </c>
      <c r="E11" s="32" t="s">
        <v>1345</v>
      </c>
      <c r="F11" s="33" t="s">
        <v>1376</v>
      </c>
      <c r="G11" s="33" t="s">
        <v>1356</v>
      </c>
    </row>
    <row r="12" customFormat="false" ht="32.8" hidden="false" customHeight="false" outlineLevel="0" collapsed="false">
      <c r="A12" s="3" t="s">
        <v>1377</v>
      </c>
      <c r="B12" s="2" t="s">
        <v>1342</v>
      </c>
      <c r="C12" s="3" t="s">
        <v>1378</v>
      </c>
      <c r="D12" s="2" t="s">
        <v>1379</v>
      </c>
      <c r="E12" s="3" t="s">
        <v>1345</v>
      </c>
      <c r="F12" s="2" t="s">
        <v>1380</v>
      </c>
      <c r="G12" s="2" t="s">
        <v>1347</v>
      </c>
    </row>
    <row r="13" customFormat="false" ht="17.15" hidden="false" customHeight="false" outlineLevel="0" collapsed="false">
      <c r="A13" s="3" t="s">
        <v>1381</v>
      </c>
      <c r="B13" s="2" t="s">
        <v>1342</v>
      </c>
      <c r="C13" s="2" t="s">
        <v>1382</v>
      </c>
      <c r="D13" s="2" t="s">
        <v>1383</v>
      </c>
      <c r="E13" s="3" t="s">
        <v>1345</v>
      </c>
      <c r="F13" s="2" t="s">
        <v>1384</v>
      </c>
      <c r="G13" s="2" t="s">
        <v>1347</v>
      </c>
    </row>
    <row r="14" customFormat="false" ht="32.8" hidden="false" customHeight="false" outlineLevel="0" collapsed="false">
      <c r="A14" s="32" t="s">
        <v>1385</v>
      </c>
      <c r="B14" s="33" t="s">
        <v>1342</v>
      </c>
      <c r="C14" s="32" t="s">
        <v>1386</v>
      </c>
      <c r="D14" s="32" t="s">
        <v>1387</v>
      </c>
      <c r="E14" s="32" t="s">
        <v>1345</v>
      </c>
      <c r="F14" s="33" t="s">
        <v>1388</v>
      </c>
      <c r="G14" s="33" t="s">
        <v>1356</v>
      </c>
    </row>
    <row r="15" customFormat="false" ht="48.5" hidden="false" customHeight="false" outlineLevel="0" collapsed="false">
      <c r="A15" s="32" t="s">
        <v>1389</v>
      </c>
      <c r="B15" s="33" t="s">
        <v>1390</v>
      </c>
      <c r="C15" s="33" t="s">
        <v>1391</v>
      </c>
      <c r="D15" s="33" t="s">
        <v>1392</v>
      </c>
      <c r="E15" s="32" t="s">
        <v>1345</v>
      </c>
      <c r="F15" s="32" t="s">
        <v>1393</v>
      </c>
      <c r="G15" s="33" t="s">
        <v>1356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1394</v>
      </c>
    </row>
    <row r="3" customFormat="false" ht="15" hidden="false" customHeight="false" outlineLevel="0" collapsed="false">
      <c r="A3" s="6" t="s">
        <v>1156</v>
      </c>
      <c r="B3" s="5" t="s">
        <v>1338</v>
      </c>
      <c r="C3" s="5" t="s">
        <v>1395</v>
      </c>
      <c r="D3" s="5" t="s">
        <v>1396</v>
      </c>
      <c r="E3" s="5" t="s">
        <v>15</v>
      </c>
      <c r="F3" s="5" t="s">
        <v>1397</v>
      </c>
      <c r="G3" s="5" t="s">
        <v>1398</v>
      </c>
      <c r="H3" s="5" t="s">
        <v>1399</v>
      </c>
      <c r="I3" s="5" t="s">
        <v>1400</v>
      </c>
      <c r="J3" s="5" t="s">
        <v>1401</v>
      </c>
      <c r="K3" s="5" t="s">
        <v>1402</v>
      </c>
    </row>
    <row r="4" customFormat="false" ht="17.15" hidden="false" customHeight="false" outlineLevel="0" collapsed="false">
      <c r="A4" s="4" t="s">
        <v>1403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1404</v>
      </c>
    </row>
    <row r="3" customFormat="false" ht="17.15" hidden="false" customHeight="false" outlineLevel="0" collapsed="false">
      <c r="A3" s="5" t="s">
        <v>16</v>
      </c>
      <c r="B3" s="5" t="s">
        <v>1405</v>
      </c>
      <c r="C3" s="5" t="s">
        <v>17</v>
      </c>
    </row>
    <row r="4" customFormat="false" ht="17.15" hidden="false" customHeight="false" outlineLevel="0" collapsed="false">
      <c r="A4" s="0" t="s">
        <v>168</v>
      </c>
      <c r="B4" s="0" t="s">
        <v>32</v>
      </c>
      <c r="C4" s="4" t="s">
        <v>1406</v>
      </c>
    </row>
    <row r="5" customFormat="false" ht="17.15" hidden="false" customHeight="false" outlineLevel="0" collapsed="false">
      <c r="A5" s="0" t="s">
        <v>1407</v>
      </c>
      <c r="B5" s="0" t="s">
        <v>1408</v>
      </c>
      <c r="C5" s="0" t="s">
        <v>1409</v>
      </c>
    </row>
    <row r="6" customFormat="false" ht="17.15" hidden="false" customHeight="false" outlineLevel="0" collapsed="false">
      <c r="A6" s="0" t="s">
        <v>1410</v>
      </c>
      <c r="B6" s="0" t="s">
        <v>1411</v>
      </c>
      <c r="C6" s="0" t="s">
        <v>1412</v>
      </c>
    </row>
    <row r="7" customFormat="false" ht="17.15" hidden="false" customHeight="false" outlineLevel="0" collapsed="false">
      <c r="A7" s="0" t="s">
        <v>35</v>
      </c>
      <c r="B7" s="0" t="s">
        <v>1413</v>
      </c>
      <c r="C7" s="0" t="s">
        <v>1414</v>
      </c>
    </row>
    <row r="8" customFormat="false" ht="17.15" hidden="false" customHeight="false" outlineLevel="0" collapsed="false">
      <c r="A8" s="0" t="s">
        <v>40</v>
      </c>
      <c r="B8" s="0" t="s">
        <v>1415</v>
      </c>
      <c r="C8" s="0" t="s">
        <v>1416</v>
      </c>
    </row>
    <row r="9" customFormat="false" ht="17.15" hidden="false" customHeight="false" outlineLevel="0" collapsed="false">
      <c r="A9" s="0" t="s">
        <v>60</v>
      </c>
      <c r="B9" s="4" t="s">
        <v>1417</v>
      </c>
      <c r="C9" s="0" t="s">
        <v>1418</v>
      </c>
    </row>
    <row r="10" customFormat="false" ht="17.15" hidden="false" customHeight="false" outlineLevel="0" collapsed="false">
      <c r="A10" s="0" t="s">
        <v>74</v>
      </c>
      <c r="B10" s="0" t="s">
        <v>1419</v>
      </c>
      <c r="C10" s="0" t="s">
        <v>1420</v>
      </c>
    </row>
    <row r="11" customFormat="false" ht="17.15" hidden="false" customHeight="false" outlineLevel="0" collapsed="false">
      <c r="A11" s="0" t="s">
        <v>150</v>
      </c>
      <c r="B11" s="0" t="s">
        <v>1421</v>
      </c>
      <c r="C11" s="0" t="s">
        <v>1422</v>
      </c>
    </row>
    <row r="12" customFormat="false" ht="17.15" hidden="false" customHeight="false" outlineLevel="0" collapsed="false">
      <c r="A12" s="0" t="s">
        <v>82</v>
      </c>
      <c r="B12" s="0" t="s">
        <v>1423</v>
      </c>
      <c r="C12" s="0" t="s">
        <v>1424</v>
      </c>
    </row>
    <row r="13" customFormat="false" ht="17.15" hidden="false" customHeight="false" outlineLevel="0" collapsed="false">
      <c r="A13" s="0" t="s">
        <v>154</v>
      </c>
      <c r="B13" s="0" t="s">
        <v>1425</v>
      </c>
      <c r="C13" s="0" t="s">
        <v>1426</v>
      </c>
    </row>
    <row r="14" customFormat="false" ht="17.15" hidden="false" customHeight="false" outlineLevel="0" collapsed="false">
      <c r="A14" s="0" t="s">
        <v>89</v>
      </c>
      <c r="B14" s="0" t="s">
        <v>1427</v>
      </c>
      <c r="C14" s="0" t="s">
        <v>1428</v>
      </c>
    </row>
    <row r="15" customFormat="false" ht="17.15" hidden="false" customHeight="false" outlineLevel="0" collapsed="false">
      <c r="A15" s="0" t="s">
        <v>157</v>
      </c>
      <c r="B15" s="0" t="s">
        <v>1429</v>
      </c>
      <c r="C15" s="0" t="s">
        <v>1430</v>
      </c>
    </row>
    <row r="16" customFormat="false" ht="17.15" hidden="false" customHeight="false" outlineLevel="0" collapsed="false">
      <c r="A16" s="0" t="s">
        <v>95</v>
      </c>
      <c r="B16" s="0" t="s">
        <v>1431</v>
      </c>
      <c r="C16" s="0" t="s">
        <v>1432</v>
      </c>
    </row>
    <row r="17" customFormat="false" ht="17.15" hidden="false" customHeight="false" outlineLevel="0" collapsed="false">
      <c r="A17" s="0" t="s">
        <v>160</v>
      </c>
      <c r="B17" s="0" t="s">
        <v>1433</v>
      </c>
      <c r="C17" s="0" t="s">
        <v>1434</v>
      </c>
    </row>
    <row r="18" customFormat="false" ht="17.15" hidden="false" customHeight="false" outlineLevel="0" collapsed="false">
      <c r="A18" s="0" t="s">
        <v>103</v>
      </c>
      <c r="B18" s="0" t="s">
        <v>1435</v>
      </c>
      <c r="C18" s="0" t="s">
        <v>1436</v>
      </c>
    </row>
    <row r="19" customFormat="false" ht="17.15" hidden="false" customHeight="false" outlineLevel="0" collapsed="false">
      <c r="A19" s="0" t="s">
        <v>163</v>
      </c>
      <c r="B19" s="0" t="s">
        <v>1437</v>
      </c>
      <c r="C19" s="0" t="s">
        <v>1438</v>
      </c>
    </row>
    <row r="20" customFormat="false" ht="17.15" hidden="false" customHeight="false" outlineLevel="0" collapsed="false">
      <c r="A20" s="0" t="s">
        <v>143</v>
      </c>
      <c r="B20" s="0" t="s">
        <v>1439</v>
      </c>
      <c r="C20" s="0" t="s">
        <v>1440</v>
      </c>
    </row>
    <row r="21" customFormat="false" ht="17.15" hidden="false" customHeight="false" outlineLevel="0" collapsed="false">
      <c r="A21" s="0" t="s">
        <v>116</v>
      </c>
      <c r="B21" s="0" t="s">
        <v>1441</v>
      </c>
      <c r="C21" s="0" t="s">
        <v>1442</v>
      </c>
    </row>
    <row r="22" customFormat="false" ht="17.15" hidden="false" customHeight="false" outlineLevel="0" collapsed="false">
      <c r="A22" s="0" t="s">
        <v>146</v>
      </c>
      <c r="B22" s="0" t="s">
        <v>1443</v>
      </c>
      <c r="C22" s="0" t="s">
        <v>1444</v>
      </c>
    </row>
    <row r="23" customFormat="false" ht="17.15" hidden="false" customHeight="false" outlineLevel="0" collapsed="false">
      <c r="A23" s="0" t="s">
        <v>285</v>
      </c>
      <c r="B23" s="0" t="s">
        <v>1445</v>
      </c>
      <c r="C23" s="0" t="s">
        <v>1446</v>
      </c>
    </row>
    <row r="24" customFormat="false" ht="17.15" hidden="false" customHeight="false" outlineLevel="0" collapsed="false">
      <c r="A24" s="0" t="s">
        <v>289</v>
      </c>
      <c r="B24" s="0" t="s">
        <v>1447</v>
      </c>
      <c r="C24" s="0" t="s">
        <v>1448</v>
      </c>
    </row>
    <row r="25" customFormat="false" ht="17.15" hidden="false" customHeight="false" outlineLevel="0" collapsed="false">
      <c r="A25" s="0" t="s">
        <v>303</v>
      </c>
      <c r="B25" s="0" t="s">
        <v>1449</v>
      </c>
      <c r="C25" s="4" t="s">
        <v>1450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1451</v>
      </c>
    </row>
    <row r="3" customFormat="false" ht="15" hidden="false" customHeight="false" outlineLevel="0" collapsed="false">
      <c r="A3" s="6" t="s">
        <v>1156</v>
      </c>
      <c r="B3" s="5" t="s">
        <v>1452</v>
      </c>
      <c r="C3" s="5" t="s">
        <v>1453</v>
      </c>
      <c r="D3" s="5" t="s">
        <v>1454</v>
      </c>
      <c r="E3" s="5" t="s">
        <v>1340</v>
      </c>
    </row>
    <row r="4" customFormat="false" ht="32.8" hidden="false" customHeight="false" outlineLevel="0" collapsed="false">
      <c r="A4" s="3" t="s">
        <v>1455</v>
      </c>
      <c r="B4" s="3" t="s">
        <v>1456</v>
      </c>
      <c r="C4" s="2" t="s">
        <v>1457</v>
      </c>
      <c r="D4" s="3" t="s">
        <v>1458</v>
      </c>
      <c r="E4" s="2" t="s">
        <v>1459</v>
      </c>
    </row>
    <row r="5" customFormat="false" ht="17.15" hidden="false" customHeight="false" outlineLevel="0" collapsed="false">
      <c r="A5" s="3" t="s">
        <v>1460</v>
      </c>
      <c r="B5" s="3" t="s">
        <v>1461</v>
      </c>
      <c r="C5" s="3" t="s">
        <v>1462</v>
      </c>
      <c r="D5" s="2" t="s">
        <v>1463</v>
      </c>
      <c r="E5" s="2" t="s">
        <v>1464</v>
      </c>
    </row>
    <row r="6" customFormat="false" ht="17.15" hidden="false" customHeight="false" outlineLevel="0" collapsed="false">
      <c r="A6" s="3" t="s">
        <v>1465</v>
      </c>
      <c r="B6" s="3" t="s">
        <v>1456</v>
      </c>
      <c r="C6" s="3" t="s">
        <v>1466</v>
      </c>
      <c r="D6" s="2" t="s">
        <v>1467</v>
      </c>
      <c r="E6" s="3" t="s">
        <v>1468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2026-10-28T00:45:41Z</dcterms:created>
  <dc:creator>openpyxl</dc:creator>
  <dc:description/>
  <dc:language>en-US</dc:language>
  <cp:lastModifiedBy/>
  <dcterms:modified xsi:type="dcterms:W3CDTF">2026-10-28T00:45:41Z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