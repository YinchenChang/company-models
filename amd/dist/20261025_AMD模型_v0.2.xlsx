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README" sheetId="1" state="visible" r:id="rId3"/>
    <sheet name="In" sheetId="2" state="visible" r:id="rId4"/>
    <sheet name="Q" sheetId="3" state="visible" r:id="rId5"/>
    <sheet name="Units" sheetId="4" state="visible" r:id="rId6"/>
    <sheet name="PL" sheetId="5" state="visible" r:id="rId7"/>
    <sheet name="Val" sheetId="6" state="visible" r:id="rId8"/>
    <sheet name="Recon" sheetId="7" state="visible" r:id="rId9"/>
    <sheet name="Sens" sheetId="8" state="visible" r:id="rId10"/>
    <sheet name="Sources" sheetId="9" state="visible" r:id="rId11"/>
  </sheets>
  <definedNames>
    <definedName function="false" hidden="false" name="a25_cli" vbProcedure="false">Q!$F$8</definedName>
    <definedName function="false" hidden="false" name="a25_dc" vbProcedure="false">Q!$F$5</definedName>
    <definedName function="false" hidden="false" name="a25_dcx" vbProcedure="false">Q!$F$7</definedName>
    <definedName function="false" hidden="false" name="a25_emb" vbProcedure="false">Q!$F$10</definedName>
    <definedName function="false" hidden="false" name="a25_eps" vbProcedure="false">Q!$F$25</definedName>
    <definedName function="false" hidden="false" name="a25_etr" vbProcedure="false">Q!$F$23</definedName>
    <definedName function="false" hidden="false" name="a25_gam" vbProcedure="false">Q!$F$9</definedName>
    <definedName function="false" hidden="false" name="a25_gp" vbProcedure="false">Q!$F$12</definedName>
    <definedName function="false" hidden="false" name="a25_gpu" vbProcedure="false">Q!$F$6</definedName>
    <definedName function="false" hidden="false" name="a25_ni" vbProcedure="false">Q!$F$22</definedName>
    <definedName function="false" hidden="false" name="a25_oi" vbProcedure="false">Q!$F$15</definedName>
    <definedName function="false" hidden="false" name="a25_opx" vbProcedure="false">Q!$F$14</definedName>
    <definedName function="false" hidden="false" name="a25_oth" vbProcedure="false">Q!$F$20</definedName>
    <definedName function="false" hidden="false" name="a25_rev" vbProcedure="false">Q!$F$4</definedName>
    <definedName function="false" hidden="false" name="a25_sh" vbProcedure="false">Q!$F$24</definedName>
    <definedName function="false" hidden="false" name="a26_cli" vbProcedure="false">Q!$K$8</definedName>
    <definedName function="false" hidden="false" name="a26_dc" vbProcedure="false">Q!$K$5</definedName>
    <definedName function="false" hidden="false" name="a26_dcx" vbProcedure="false">Q!$K$7</definedName>
    <definedName function="false" hidden="false" name="a26_emb" vbProcedure="false">Q!$K$10</definedName>
    <definedName function="false" hidden="false" name="a26_eps" vbProcedure="false">Q!$K$25</definedName>
    <definedName function="false" hidden="false" name="a26_etr" vbProcedure="false">Q!$K$23</definedName>
    <definedName function="false" hidden="false" name="a26_gam" vbProcedure="false">Q!$K$9</definedName>
    <definedName function="false" hidden="false" name="a26_gp" vbProcedure="false">Q!$K$12</definedName>
    <definedName function="false" hidden="false" name="a26_gpu" vbProcedure="false">Q!$K$6</definedName>
    <definedName function="false" hidden="false" name="a26_ni" vbProcedure="false">Q!$K$22</definedName>
    <definedName function="false" hidden="false" name="a26_oi" vbProcedure="false">Q!$K$15</definedName>
    <definedName function="false" hidden="false" name="a26_opx" vbProcedure="false">Q!$K$14</definedName>
    <definedName function="false" hidden="false" name="a26_oth" vbProcedure="false">Q!$K$20</definedName>
    <definedName function="false" hidden="false" name="a26_rev" vbProcedure="false">Q!$K$4</definedName>
    <definedName function="false" hidden="false" name="a26_sh" vbProcedure="false">Q!$K$24</definedName>
    <definedName function="false" hidden="false" name="abs_mem" vbProcedure="false">In!$E$75</definedName>
    <definedName function="false" hidden="false" name="abs_mem_hi" vbProcedure="false">In!$F$75</definedName>
    <definedName function="false" hidden="false" name="abs_mem_lo" vbProcedure="false">In!$D$75</definedName>
    <definedName function="false" hidden="false" name="anth_gw" vbProcedure="false">In!$E$124</definedName>
    <definedName function="false" hidden="false" name="cons_eps26" vbProcedure="false">In!$E$129</definedName>
    <definedName function="false" hidden="false" name="cons_eps26_hi" vbProcedure="false">In!$F$129</definedName>
    <definedName function="false" hidden="false" name="cons_eps26_lo" vbProcedure="false">In!$D$129</definedName>
    <definedName function="false" hidden="false" name="cons_eps27" vbProcedure="false">In!$E$131</definedName>
    <definedName function="false" hidden="false" name="cons_eps27_lo" vbProcedure="false">In!$D$131</definedName>
    <definedName function="false" hidden="false" name="cons_eps28" vbProcedure="false">In!$E$132</definedName>
    <definedName function="false" hidden="false" name="cons_eps28_lo" vbProcedure="false">In!$D$132</definedName>
    <definedName function="false" hidden="false" name="cons_rev26" vbProcedure="false">In!$E$128</definedName>
    <definedName function="false" hidden="false" name="cons_rev26_hi" vbProcedure="false">In!$F$128</definedName>
    <definedName function="false" hidden="false" name="cons_rev26_lo" vbProcedure="false">In!$D$128</definedName>
    <definedName function="false" hidden="false" name="cons_rev27" vbProcedure="false">In!$E$130</definedName>
    <definedName function="false" hidden="false" name="cons_tp" vbProcedure="false">In!$E$149</definedName>
    <definedName function="false" hidden="false" name="g29_amd" vbProcedure="false">In!$E$24</definedName>
    <definedName function="false" hidden="false" name="g29_bw" vbProcedure="false">In!$E$8</definedName>
    <definedName function="false" hidden="false" name="g29_hp" vbProcedure="false">In!$E$20</definedName>
    <definedName function="false" hidden="false" name="g29_oth" vbProcedure="false">In!$E$36</definedName>
    <definedName function="false" hidden="false" name="g29_rb" vbProcedure="false">In!$E$12</definedName>
    <definedName function="false" hidden="false" name="g29_ru" vbProcedure="false">In!$E$16</definedName>
    <definedName function="false" hidden="false" name="g29_tpu" vbProcedure="false">In!$E$28</definedName>
    <definedName function="false" hidden="false" name="g29_trn" vbProcedure="false">In!$E$32</definedName>
    <definedName function="false" hidden="false" name="gb_amd_26" vbProcedure="false">In!$E$43</definedName>
    <definedName function="false" hidden="false" name="gb_amd_27" vbProcedure="false">In!$E$44</definedName>
    <definedName function="false" hidden="false" name="gb_amd_28" vbProcedure="false">In!$E$45</definedName>
    <definedName function="false" hidden="false" name="gm_gpu" vbProcedure="false">In!$E$74</definedName>
    <definedName function="false" hidden="false" name="gm_gpu_hi" vbProcedure="false">In!$F$74</definedName>
    <definedName function="false" hidden="false" name="gm_gpu_lo" vbProcedure="false">In!$D$74</definedName>
    <definedName function="false" hidden="false" name="gpu25" vbProcedure="false">In!$E$69</definedName>
    <definedName function="false" hidden="false" name="gpu25_hi" vbProcedure="false">In!$F$69</definedName>
    <definedName function="false" hidden="false" name="gpu25_lo" vbProcedure="false">In!$D$69</definedName>
    <definedName function="false" hidden="false" name="gpw" vbProcedure="false">In!$E$126</definedName>
    <definedName function="false" hidden="false" name="gs_q1" vbProcedure="false">In!$E$70</definedName>
    <definedName function="false" hidden="false" name="gs_q1_hi" vbProcedure="false">In!$F$70</definedName>
    <definedName function="false" hidden="false" name="gs_q1_lo" vbProcedure="false">In!$D$70</definedName>
    <definedName function="false" hidden="false" name="gs_q2" vbProcedure="false">In!$E$71</definedName>
    <definedName function="false" hidden="false" name="gs_q2_hi" vbProcedure="false">In!$F$71</definedName>
    <definedName function="false" hidden="false" name="gs_q2_lo" vbProcedure="false">In!$D$71</definedName>
    <definedName function="false" hidden="false" name="gw_26" vbProcedure="false">In!$E$113</definedName>
    <definedName function="false" hidden="false" name="gw_26_hi" vbProcedure="false">In!$F$113</definedName>
    <definedName function="false" hidden="false" name="gw_26_lo" vbProcedure="false">In!$D$113</definedName>
    <definedName function="false" hidden="false" name="gw_27" vbProcedure="false">In!$E$114</definedName>
    <definedName function="false" hidden="false" name="gw_27_hi" vbProcedure="false">In!$F$114</definedName>
    <definedName function="false" hidden="false" name="gw_27_lo" vbProcedure="false">In!$D$114</definedName>
    <definedName function="false" hidden="false" name="gw_28" vbProcedure="false">In!$E$115</definedName>
    <definedName function="false" hidden="false" name="gw_28_hi" vbProcedure="false">In!$F$115</definedName>
    <definedName function="false" hidden="false" name="gw_28_lo" vbProcedure="false">In!$D$115</definedName>
    <definedName function="false" hidden="false" name="gw_29" vbProcedure="false">In!$E$116</definedName>
    <definedName function="false" hidden="false" name="gw_29_hi" vbProcedure="false">In!$F$116</definedName>
    <definedName function="false" hidden="false" name="gw_29_lo" vbProcedure="false">In!$D$116</definedName>
    <definedName function="false" hidden="false" name="g_cli" vbProcedure="false">In!$E$84</definedName>
    <definedName function="false" hidden="false" name="g_cli_hi" vbProcedure="false">In!$F$84</definedName>
    <definedName function="false" hidden="false" name="g_cli_lo" vbProcedure="false">In!$D$84</definedName>
    <definedName function="false" hidden="false" name="g_cpu27" vbProcedure="false">In!$E$81</definedName>
    <definedName function="false" hidden="false" name="g_cpu27_hi" vbProcedure="false">In!$F$81</definedName>
    <definedName function="false" hidden="false" name="g_cpu27_lo" vbProcedure="false">In!$D$81</definedName>
    <definedName function="false" hidden="false" name="g_cpu28" vbProcedure="false">In!$E$82</definedName>
    <definedName function="false" hidden="false" name="g_cpu28_hi" vbProcedure="false">In!$F$82</definedName>
    <definedName function="false" hidden="false" name="g_cpu28_lo" vbProcedure="false">In!$D$82</definedName>
    <definedName function="false" hidden="false" name="g_cpu29" vbProcedure="false">In!$E$83</definedName>
    <definedName function="false" hidden="false" name="g_cpu29_hi" vbProcedure="false">In!$F$83</definedName>
    <definedName function="false" hidden="false" name="g_cpu29_lo" vbProcedure="false">In!$D$83</definedName>
    <definedName function="false" hidden="false" name="g_dc27" vbProcedure="false">In!$E$119</definedName>
    <definedName function="false" hidden="false" name="g_emb" vbProcedure="false">In!$E$86</definedName>
    <definedName function="false" hidden="false" name="g_emb_hi" vbProcedure="false">In!$F$86</definedName>
    <definedName function="false" hidden="false" name="g_emb_lo" vbProcedure="false">In!$D$86</definedName>
    <definedName function="false" hidden="false" name="g_gam" vbProcedure="false">In!$E$85</definedName>
    <definedName function="false" hidden="false" name="g_gam_hi" vbProcedure="false">In!$F$85</definedName>
    <definedName function="false" hidden="false" name="g_gam_lo" vbProcedure="false">In!$D$85</definedName>
    <definedName function="false" hidden="false" name="g_opx_min" vbProcedure="false">In!$E$106</definedName>
    <definedName function="false" hidden="false" name="g_opx_min_hi" vbProcedure="false">In!$F$106</definedName>
    <definedName function="false" hidden="false" name="g_opx_min_lo" vbProcedure="false">In!$D$106</definedName>
    <definedName function="false" hidden="false" name="g_srv27" vbProcedure="false">In!$E$120</definedName>
    <definedName function="false" hidden="false" name="hbm_A_26" vbProcedure="false">In!$E$56</definedName>
    <definedName function="false" hidden="false" name="hbm_A_27" vbProcedure="false">In!$E$57</definedName>
    <definedName function="false" hidden="false" name="hbm_A_28" vbProcedure="false">In!$E$58</definedName>
    <definedName function="false" hidden="false" name="hbm_A_29" vbProcedure="false">In!$E$59</definedName>
    <definedName function="false" hidden="false" name="hbm_B_26" vbProcedure="false">In!$E$60</definedName>
    <definedName function="false" hidden="false" name="hbm_B_27" vbProcedure="false">In!$E$61</definedName>
    <definedName function="false" hidden="false" name="hbm_B_28" vbProcedure="false">In!$E$62</definedName>
    <definedName function="false" hidden="false" name="hbm_B_29" vbProcedure="false">In!$E$63</definedName>
    <definedName function="false" hidden="false" name="hbm_C_26" vbProcedure="false">In!$E$64</definedName>
    <definedName function="false" hidden="false" name="hbm_C_27" vbProcedure="false">In!$E$65</definedName>
    <definedName function="false" hidden="false" name="hbm_C_28" vbProcedure="false">In!$E$66</definedName>
    <definedName function="false" hidden="false" name="hbm_C_29" vbProcedure="false">In!$E$67</definedName>
    <definedName function="false" hidden="false" name="hs_26" vbProcedure="false">Units!$C$111</definedName>
    <definedName function="false" hidden="false" name="k_rec" vbProcedure="false">Units!$C$109</definedName>
    <definedName function="false" hidden="false" name="lt_eps" vbProcedure="false">In!$E$121</definedName>
    <definedName function="false" hidden="false" name="meta_gw" vbProcedure="false">In!$E$123</definedName>
    <definedName function="false" hidden="false" name="ng_q3" vbProcedure="false">In!$E$72</definedName>
    <definedName function="false" hidden="false" name="ng_q3_hi" vbProcedure="false">In!$F$72</definedName>
    <definedName function="false" hidden="false" name="ng_q3_lo" vbProcedure="false">In!$D$72</definedName>
    <definedName function="false" hidden="false" name="ng_q4" vbProcedure="false">In!$E$73</definedName>
    <definedName function="false" hidden="false" name="ng_q4_hi" vbProcedure="false">In!$F$73</definedName>
    <definedName function="false" hidden="false" name="ng_q4_lo" vbProcedure="false">In!$D$73</definedName>
    <definedName function="false" hidden="false" name="nm10_k" vbProcedure="false">In!$E$148</definedName>
    <definedName function="false" hidden="false" name="openai_gw" vbProcedure="false">In!$E$122</definedName>
    <definedName function="false" hidden="false" name="opx_adj" vbProcedure="false">In!$E$107</definedName>
    <definedName function="false" hidden="false" name="opx_adj_hi" vbProcedure="false">In!$F$107</definedName>
    <definedName function="false" hidden="false" name="opx_adj_lo" vbProcedure="false">In!$D$107</definedName>
    <definedName function="false" hidden="false" name="orcl_u" vbProcedure="false">In!$E$125</definedName>
    <definedName function="false" hidden="false" name="oth_f" vbProcedure="false">In!$E$109</definedName>
    <definedName function="false" hidden="false" name="oth_f_hi" vbProcedure="false">In!$F$109</definedName>
    <definedName function="false" hidden="false" name="oth_f_lo" vbProcedure="false">In!$D$109</definedName>
    <definedName function="false" hidden="false" name="p355" vbProcedure="false">In!$E$127</definedName>
    <definedName function="false" hidden="false" name="p355_hi" vbProcedure="false">In!$F$127</definedName>
    <definedName function="false" hidden="false" name="p355_lo" vbProcedure="false">In!$D$127</definedName>
    <definedName function="false" hidden="false" name="pa_amd" vbProcedure="false">In!$E$51</definedName>
    <definedName function="false" hidden="false" name="pa_amd_hi" vbProcedure="false">In!$F$51</definedName>
    <definedName function="false" hidden="false" name="pa_amd_lo" vbProcedure="false">In!$D$51</definedName>
    <definedName function="false" hidden="false" name="pa_oth" vbProcedure="false">In!$E$54</definedName>
    <definedName function="false" hidden="false" name="pa_oth_hi" vbProcedure="false">In!$F$54</definedName>
    <definedName function="false" hidden="false" name="pa_oth_lo" vbProcedure="false">In!$D$54</definedName>
    <definedName function="false" hidden="false" name="pa_tpu" vbProcedure="false">In!$E$52</definedName>
    <definedName function="false" hidden="false" name="pa_tpu_hi" vbProcedure="false">In!$F$52</definedName>
    <definedName function="false" hidden="false" name="pa_tpu_lo" vbProcedure="false">In!$D$52</definedName>
    <definedName function="false" hidden="false" name="pa_trn" vbProcedure="false">In!$E$53</definedName>
    <definedName function="false" hidden="false" name="pa_trn_hi" vbProcedure="false">In!$F$53</definedName>
    <definedName function="false" hidden="false" name="pa_trn_lo" vbProcedure="false">In!$D$53</definedName>
    <definedName function="false" hidden="false" name="pe_mid" vbProcedure="false">Val!$C$150</definedName>
    <definedName function="false" hidden="false" name="pe_peak" vbProcedure="false">Val!$C$149</definedName>
    <definedName function="false" hidden="false" name="pe_trough" vbProcedure="false">Val!$C$151</definedName>
    <definedName function="false" hidden="false" name="pg_27" vbProcedure="false">In!$E$77</definedName>
    <definedName function="false" hidden="false" name="pg_27_hi" vbProcedure="false">In!$F$77</definedName>
    <definedName function="false" hidden="false" name="pg_27_lo" vbProcedure="false">In!$D$77</definedName>
    <definedName function="false" hidden="false" name="pg_28" vbProcedure="false">In!$E$78</definedName>
    <definedName function="false" hidden="false" name="pg_28_hi" vbProcedure="false">In!$F$78</definedName>
    <definedName function="false" hidden="false" name="pg_28_lo" vbProcedure="false">In!$D$78</definedName>
    <definedName function="false" hidden="false" name="pg_29" vbProcedure="false">In!$E$79</definedName>
    <definedName function="false" hidden="false" name="pg_29_hi" vbProcedure="false">In!$F$79</definedName>
    <definedName function="false" hidden="false" name="pg_29_lo" vbProcedure="false">In!$D$79</definedName>
    <definedName function="false" hidden="false" name="phi" vbProcedure="false">In!$E$105</definedName>
    <definedName function="false" hidden="false" name="phi_hi" vbProcedure="false">In!$F$105</definedName>
    <definedName function="false" hidden="false" name="phi_lo" vbProcedure="false">In!$D$105</definedName>
    <definedName function="false" hidden="false" name="pk_A" vbProcedure="false">In!$E$136</definedName>
    <definedName function="false" hidden="false" name="pk_B" vbProcedure="false">In!$E$137</definedName>
    <definedName function="false" hidden="false" name="pk_C" vbProcedure="false">In!$E$138</definedName>
    <definedName function="false" hidden="false" name="pm_bw" vbProcedure="false">In!$E$47</definedName>
    <definedName function="false" hidden="false" name="pm_bw_hi" vbProcedure="false">In!$F$47</definedName>
    <definedName function="false" hidden="false" name="pm_bw_lo" vbProcedure="false">In!$D$47</definedName>
    <definedName function="false" hidden="false" name="pm_hp" vbProcedure="false">In!$E$50</definedName>
    <definedName function="false" hidden="false" name="pm_hp_hi" vbProcedure="false">In!$F$50</definedName>
    <definedName function="false" hidden="false" name="pm_hp_lo" vbProcedure="false">In!$D$50</definedName>
    <definedName function="false" hidden="false" name="pm_rb" vbProcedure="false">In!$E$48</definedName>
    <definedName function="false" hidden="false" name="pm_rb_hi" vbProcedure="false">In!$F$48</definedName>
    <definedName function="false" hidden="false" name="pm_rb_lo" vbProcedure="false">In!$D$48</definedName>
    <definedName function="false" hidden="false" name="pm_ru" vbProcedure="false">In!$E$49</definedName>
    <definedName function="false" hidden="false" name="pm_ru_hi" vbProcedure="false">In!$F$49</definedName>
    <definedName function="false" hidden="false" name="pm_ru_lo" vbProcedure="false">In!$D$49</definedName>
    <definedName function="false" hidden="false" name="px" vbProcedure="false">In!$E$134</definedName>
    <definedName function="false" hidden="false" name="p_real26" vbProcedure="false">Units!$C$110</definedName>
    <definedName function="false" hidden="false" name="q3_cli" vbProcedure="false">In!$E$94</definedName>
    <definedName function="false" hidden="false" name="q3_cli_hi" vbProcedure="false">In!$F$94</definedName>
    <definedName function="false" hidden="false" name="q3_cli_lo" vbProcedure="false">In!$D$94</definedName>
    <definedName function="false" hidden="false" name="q3_emb" vbProcedure="false">In!$E$96</definedName>
    <definedName function="false" hidden="false" name="q3_emb_hi" vbProcedure="false">In!$F$96</definedName>
    <definedName function="false" hidden="false" name="q3_emb_lo" vbProcedure="false">In!$D$96</definedName>
    <definedName function="false" hidden="false" name="q3_gam" vbProcedure="false">In!$E$95</definedName>
    <definedName function="false" hidden="false" name="q3_gam_hi" vbProcedure="false">In!$F$95</definedName>
    <definedName function="false" hidden="false" name="q3_gam_lo" vbProcedure="false">In!$D$95</definedName>
    <definedName function="false" hidden="false" name="q3_gm" vbProcedure="false">In!$E$89</definedName>
    <definedName function="false" hidden="false" name="q3_opx" vbProcedure="false">In!$E$90</definedName>
    <definedName function="false" hidden="false" name="q3_oth" vbProcedure="false">In!$E$91</definedName>
    <definedName function="false" hidden="false" name="q3_rev" vbProcedure="false">In!$E$88</definedName>
    <definedName function="false" hidden="false" name="q3_rev_hi" vbProcedure="false">In!$F$88</definedName>
    <definedName function="false" hidden="false" name="q3_rev_lo" vbProcedure="false">In!$D$88</definedName>
    <definedName function="false" hidden="false" name="q3_sh" vbProcedure="false">In!$E$93</definedName>
    <definedName function="false" hidden="false" name="q4_cli" vbProcedure="false">In!$E$98</definedName>
    <definedName function="false" hidden="false" name="q4_cli_hi" vbProcedure="false">In!$F$98</definedName>
    <definedName function="false" hidden="false" name="q4_cli_lo" vbProcedure="false">In!$D$98</definedName>
    <definedName function="false" hidden="false" name="q4_dc" vbProcedure="false">In!$E$97</definedName>
    <definedName function="false" hidden="false" name="q4_dc_hi" vbProcedure="false">In!$F$97</definedName>
    <definedName function="false" hidden="false" name="q4_dc_lo" vbProcedure="false">In!$D$97</definedName>
    <definedName function="false" hidden="false" name="q4_emb" vbProcedure="false">In!$E$100</definedName>
    <definedName function="false" hidden="false" name="q4_emb_hi" vbProcedure="false">In!$F$100</definedName>
    <definedName function="false" hidden="false" name="q4_emb_lo" vbProcedure="false">In!$D$100</definedName>
    <definedName function="false" hidden="false" name="q4_gam" vbProcedure="false">In!$E$99</definedName>
    <definedName function="false" hidden="false" name="q4_gam_hi" vbProcedure="false">In!$F$99</definedName>
    <definedName function="false" hidden="false" name="q4_gam_lo" vbProcedure="false">In!$D$99</definedName>
    <definedName function="false" hidden="false" name="q4_gm" vbProcedure="false">In!$E$101</definedName>
    <definedName function="false" hidden="false" name="q4_gm_hi" vbProcedure="false">In!$F$101</definedName>
    <definedName function="false" hidden="false" name="q4_gm_lo" vbProcedure="false">In!$D$101</definedName>
    <definedName function="false" hidden="false" name="q4_opx_g" vbProcedure="false">In!$E$102</definedName>
    <definedName function="false" hidden="false" name="q4_opx_g_hi" vbProcedure="false">In!$F$102</definedName>
    <definedName function="false" hidden="false" name="q4_opx_g_lo" vbProcedure="false">In!$D$102</definedName>
    <definedName function="false" hidden="false" name="q4_sh" vbProcedure="false">In!$E$103</definedName>
    <definedName function="false" hidden="false" name="q4_sh_hi" vbProcedure="false">In!$F$103</definedName>
    <definedName function="false" hidden="false" name="q4_sh_lo" vbProcedure="false">In!$D$103</definedName>
    <definedName function="false" hidden="false" name="r_disc" vbProcedure="false">In!$E$135</definedName>
    <definedName function="false" hidden="false" name="r_disc_hi" vbProcedure="false">In!$F$135</definedName>
    <definedName function="false" hidden="false" name="r_disc_lo" vbProcedure="false">In!$D$135</definedName>
    <definedName function="false" hidden="false" name="sh_g" vbProcedure="false">In!$E$110</definedName>
    <definedName function="false" hidden="false" name="sh_g_hi" vbProcedure="false">In!$F$110</definedName>
    <definedName function="false" hidden="false" name="sh_g_lo" vbProcedure="false">In!$D$110</definedName>
    <definedName function="false" hidden="false" name="tp_g" vbProcedure="false">In!$E$144</definedName>
    <definedName function="false" hidden="false" name="tp_gd" vbProcedure="false">In!$E$145</definedName>
    <definedName function="false" hidden="false" name="tp_r" vbProcedure="false">In!$E$143</definedName>
    <definedName function="false" hidden="false" name="tp_roe" vbProcedure="false">In!$E$146</definedName>
    <definedName function="false" hidden="false" name="tp_wA" vbProcedure="false">In!$E$139</definedName>
    <definedName function="false" hidden="false" name="tp_wB" vbProcedure="false">In!$E$140</definedName>
    <definedName function="false" hidden="false" name="tp_wC" vbProcedure="false">In!$E$141</definedName>
    <definedName function="false" hidden="false" name="tp_w_dcf" vbProcedure="false">In!$E$147</definedName>
    <definedName function="false" hidden="false" name="tx_26" vbProcedure="false">In!$E$92</definedName>
    <definedName function="false" hidden="false" name="tx_f" vbProcedure="false">In!$E$108</definedName>
    <definedName function="false" hidden="false" name="tx_f_hi" vbProcedure="false">In!$F$108</definedName>
    <definedName function="false" hidden="false" name="tx_f_lo" vbProcedure="false">In!$D$108</definedName>
    <definedName function="false" hidden="false" name="uf" vbProcedure="false">In!$E$76</definedName>
    <definedName function="false" hidden="false" name="uf_hi" vbProcedure="false">In!$F$76</definedName>
    <definedName function="false" hidden="false" name="uf_lo" vbProcedure="false">In!$D$76</definedName>
    <definedName function="false" hidden="false" name="um28_A" vbProcedure="false">In!$E$37</definedName>
    <definedName function="false" hidden="false" name="um28_B" vbProcedure="false">In!$E$39</definedName>
    <definedName function="false" hidden="false" name="um28_C" vbProcedure="false">In!$E$41</definedName>
    <definedName function="false" hidden="false" name="um29_A" vbProcedure="false">In!$E$38</definedName>
    <definedName function="false" hidden="false" name="um29_B" vbProcedure="false">In!$E$40</definedName>
    <definedName function="false" hidden="false" name="um29_C" vbProcedure="false">In!$E$42</definedName>
    <definedName function="false" hidden="false" name="u_amd_26" vbProcedure="false">In!$E$21</definedName>
    <definedName function="false" hidden="false" name="u_amd_27" vbProcedure="false">In!$E$22</definedName>
    <definedName function="false" hidden="false" name="u_amd_28" vbProcedure="false">In!$E$23</definedName>
    <definedName function="false" hidden="false" name="u_bw_26" vbProcedure="false">In!$E$5</definedName>
    <definedName function="false" hidden="false" name="u_bw_27" vbProcedure="false">In!$E$6</definedName>
    <definedName function="false" hidden="false" name="u_bw_28" vbProcedure="false">In!$E$7</definedName>
    <definedName function="false" hidden="false" name="u_hp_26" vbProcedure="false">In!$E$17</definedName>
    <definedName function="false" hidden="false" name="u_hp_27" vbProcedure="false">In!$E$18</definedName>
    <definedName function="false" hidden="false" name="u_hp_28" vbProcedure="false">In!$E$19</definedName>
    <definedName function="false" hidden="false" name="u_oth_26" vbProcedure="false">In!$E$33</definedName>
    <definedName function="false" hidden="false" name="u_oth_27" vbProcedure="false">In!$E$34</definedName>
    <definedName function="false" hidden="false" name="u_oth_28" vbProcedure="false">In!$E$35</definedName>
    <definedName function="false" hidden="false" name="u_rb_26" vbProcedure="false">In!$E$9</definedName>
    <definedName function="false" hidden="false" name="u_rb_27" vbProcedure="false">In!$E$10</definedName>
    <definedName function="false" hidden="false" name="u_rb_28" vbProcedure="false">In!$E$11</definedName>
    <definedName function="false" hidden="false" name="u_ru_26" vbProcedure="false">In!$E$13</definedName>
    <definedName function="false" hidden="false" name="u_ru_27" vbProcedure="false">In!$E$14</definedName>
    <definedName function="false" hidden="false" name="u_ru_28" vbProcedure="false">In!$E$15</definedName>
    <definedName function="false" hidden="false" name="u_tpu_26" vbProcedure="false">In!$E$25</definedName>
    <definedName function="false" hidden="false" name="u_tpu_27" vbProcedure="false">In!$E$26</definedName>
    <definedName function="false" hidden="false" name="u_tpu_28" vbProcedure="false">In!$E$27</definedName>
    <definedName function="false" hidden="false" name="u_trn_26" vbProcedure="false">In!$E$29</definedName>
    <definedName function="false" hidden="false" name="u_trn_27" vbProcedure="false">In!$E$30</definedName>
    <definedName function="false" hidden="false" name="u_trn_28" vbProcedure="false">In!$E$31</definedName>
    <definedName function="false" hidden="false" name="wf" vbProcedure="false">In!$E$117</definedName>
    <definedName function="false" hidden="false" name="wf_hi" vbProcedure="false">In!$F$117</definedName>
    <definedName function="false" hidden="false" name="wf_lo" vbProcedure="false">In!$D$117</definedName>
    <definedName function="false" hidden="false" name="w_gw" vbProcedure="false">In!$E$112</definedName>
    <definedName function="false" hidden="false" name="w_tot" vbProcedure="false">In!$E$111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<sst xmlns="http://schemas.openxmlformats.org/spreadsheetml/2006/main" count="3509" uniqueCount="1050">
  <si>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）收支與估值模型 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AI </t>
    </r>
    <r>
      <rPr>
        <b val="true"/>
        <sz val="11"/>
        <rFont val="Noto Sans CJK SC"/>
        <family val="2"/>
      </rPr>
      <t xml:space="preserve">半導體 </t>
    </r>
    <r>
      <rPr>
        <b val="true"/>
        <sz val="11"/>
        <rFont val="Cambria"/>
        <family val="0"/>
        <charset val="1"/>
      </rPr>
      <t xml:space="preserve">Project</t>
    </r>
    <r>
      <rPr>
        <b val="true"/>
        <sz val="11"/>
        <rFont val="Noto Sans CJK SC"/>
        <family val="2"/>
      </rPr>
      <t xml:space="preserve">：運算層，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側非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份額）　</t>
    </r>
    <r>
      <rPr>
        <b val="true"/>
        <sz val="11"/>
        <rFont val="Cambria"/>
        <family val="0"/>
        <charset val="1"/>
      </rPr>
      <t xml:space="preserve">2026-10-25</t>
    </r>
  </si>
  <si>
    <r>
      <rPr>
        <sz val="11"/>
        <rFont val="Noto Sans CJK SC"/>
        <family val="2"/>
      </rPr>
      <t xml:space="preserve">本版：運算層第三個模型，複製 </t>
    </r>
    <r>
      <rPr>
        <sz val="11"/>
        <rFont val="Cambria"/>
        <family val="0"/>
        <charset val="1"/>
      </rPr>
      <t xml:space="preserve">nvidia/ </t>
    </r>
    <r>
      <rPr>
        <sz val="11"/>
        <rFont val="Noto Sans CJK SC"/>
        <family val="2"/>
      </rPr>
      <t xml:space="preserve">的結構，匯入 </t>
    </r>
    <r>
      <rPr>
        <sz val="11"/>
        <rFont val="Cambria"/>
        <family val="0"/>
        <charset val="1"/>
      </rPr>
      <t xml:space="preserve">nvidia/accel_share.py </t>
    </r>
    <r>
      <rPr>
        <sz val="11"/>
        <rFont val="Noto Sans CJK SC"/>
        <family val="2"/>
      </rPr>
      <t xml:space="preserve">的份額函式（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為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側非 </t>
    </r>
    <r>
      <rPr>
        <sz val="11"/>
        <rFont val="Cambria"/>
        <family val="0"/>
        <charset val="1"/>
      </rPr>
      <t xml:space="preserve">NVIDIA </t>
    </r>
    <r>
      <rPr>
        <sz val="11"/>
        <rFont val="Noto Sans CJK SC"/>
        <family val="2"/>
      </rPr>
      <t xml:space="preserve">份額）；</t>
    </r>
    <r>
      <rPr>
        <sz val="11"/>
        <rFont val="Cambria"/>
        <family val="0"/>
        <charset val="1"/>
      </rPr>
      <t xml:space="preserve">Val </t>
    </r>
    <r>
      <rPr>
        <sz val="11"/>
        <rFont val="Noto Sans CJK SC"/>
        <family val="2"/>
      </rPr>
      <t xml:space="preserve">頁第 </t>
    </r>
    <r>
      <rPr>
        <sz val="11"/>
        <rFont val="Cambria"/>
        <family val="0"/>
        <charset val="1"/>
      </rPr>
      <t xml:space="preserve">0 </t>
    </r>
    <r>
      <rPr>
        <sz val="11"/>
        <rFont val="Noto Sans CJK SC"/>
        <family val="2"/>
      </rPr>
      <t xml:space="preserve">節為情境加權目標價。</t>
    </r>
  </si>
  <si>
    <r>
      <rPr>
        <sz val="11"/>
        <rFont val="Noto Sans CJK SC"/>
        <family val="2"/>
      </rPr>
      <t xml:space="preserve">模型命題：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的資料中心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營收＝加速器市場（本專案加速器數量層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各平台每顆價）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金額份額；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各 </t>
    </r>
    <r>
      <rPr>
        <sz val="11"/>
        <rFont val="Cambria"/>
        <family val="0"/>
        <charset val="1"/>
      </rPr>
      <t xml:space="preserve">6 GW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Anthropic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Oracle </t>
    </r>
    <r>
      <rPr>
        <sz val="11"/>
        <rFont val="Noto Sans CJK SC"/>
        <family val="2"/>
      </rPr>
      <t xml:space="preserve">大單在 </t>
    </r>
    <r>
      <rPr>
        <sz val="11"/>
        <rFont val="Cambria"/>
        <family val="0"/>
        <charset val="1"/>
      </rPr>
      <t xml:space="preserve">2026 </t>
    </r>
    <r>
      <rPr>
        <sz val="11"/>
        <rFont val="Noto Sans CJK SC"/>
        <family val="2"/>
      </rPr>
      <t xml:space="preserve">下半年起放量，但每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附帶認股權證稀釋，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漲價又壓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毛利率。股價約為 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共識 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的 </t>
    </r>
    <r>
      <rPr>
        <sz val="11"/>
        <rFont val="Cambria"/>
        <family val="0"/>
        <charset val="1"/>
      </rPr>
      <t xml:space="preserve">33 </t>
    </r>
    <r>
      <rPr>
        <sz val="11"/>
        <rFont val="Noto Sans CJK SC"/>
        <family val="2"/>
      </rPr>
      <t xml:space="preserve">倍：要多少大單如期放量、毛利率守住多少，才撐得住現價。</t>
    </r>
  </si>
  <si>
    <r>
      <rPr>
        <sz val="11"/>
        <rFont val="Noto Sans CJK SC"/>
        <family val="2"/>
      </rPr>
      <t xml:space="preserve">核心問題：以市場層顆數推得的 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營收與 </t>
    </r>
    <r>
      <rPr>
        <sz val="11"/>
        <rFont val="Cambria"/>
        <family val="0"/>
        <charset val="1"/>
      </rPr>
      <t xml:space="preserve">EPS</t>
    </r>
    <r>
      <rPr>
        <sz val="11"/>
        <rFont val="Noto Sans CJK SC"/>
        <family val="2"/>
      </rPr>
      <t xml:space="preserve">，能否支撐現價與公司「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年資料中心逾一倍、</t>
    </r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逾 </t>
    </r>
    <r>
      <rPr>
        <sz val="11"/>
        <rFont val="Cambria"/>
        <family val="0"/>
        <charset val="1"/>
      </rPr>
      <t xml:space="preserve">$20</t>
    </r>
    <r>
      <rPr>
        <sz val="11"/>
        <rFont val="Noto Sans CJK SC"/>
        <family val="2"/>
      </rPr>
      <t xml:space="preserve">」的說法；差距來自顆數、售價還是毛利率。</t>
    </r>
  </si>
  <si>
    <r>
      <rPr>
        <sz val="11"/>
        <rFont val="Noto Sans CJK SC"/>
        <family val="2"/>
      </rPr>
      <t xml:space="preserve">會計年度：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會計年度約在 </t>
    </r>
    <r>
      <rPr>
        <sz val="11"/>
        <rFont val="Cambria"/>
        <family val="0"/>
        <charset val="1"/>
      </rPr>
      <t xml:space="preserve">12 </t>
    </r>
    <r>
      <rPr>
        <sz val="11"/>
        <rFont val="Noto Sans CJK SC"/>
        <family val="2"/>
      </rPr>
      <t xml:space="preserve">月最後一個週六結束，等於日曆年（</t>
    </r>
    <r>
      <rPr>
        <sz val="11"/>
        <rFont val="Cambria"/>
        <family val="0"/>
        <charset val="1"/>
      </rPr>
      <t xml:space="preserve">FY2026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CY2026</t>
    </r>
    <r>
      <rPr>
        <sz val="11"/>
        <rFont val="Noto Sans CJK SC"/>
        <family val="2"/>
      </rPr>
      <t xml:space="preserve">），上游市場層直接對照，不平移。預測期 </t>
    </r>
    <r>
      <rPr>
        <sz val="11"/>
        <rFont val="Cambria"/>
        <family val="0"/>
        <charset val="1"/>
      </rPr>
      <t xml:space="preserve">FY2027–FY2029</t>
    </r>
    <r>
      <rPr>
        <sz val="11"/>
        <rFont val="Noto Sans CJK SC"/>
        <family val="2"/>
      </rPr>
      <t xml:space="preserve">；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為錨點（</t>
    </r>
    <r>
      <rPr>
        <sz val="11"/>
        <rFont val="Cambria"/>
        <family val="0"/>
        <charset val="1"/>
      </rPr>
      <t xml:space="preserve">Q1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Q2 </t>
    </r>
    <r>
      <rPr>
        <sz val="11"/>
        <rFont val="Noto Sans CJK SC"/>
        <family val="2"/>
      </rPr>
      <t xml:space="preserve">實績＋</t>
    </r>
    <r>
      <rPr>
        <sz val="11"/>
        <rFont val="Cambria"/>
        <family val="0"/>
        <charset val="1"/>
      </rPr>
      <t xml:space="preserve">Q3 </t>
    </r>
    <r>
      <rPr>
        <sz val="11"/>
        <rFont val="Noto Sans CJK SC"/>
        <family val="2"/>
      </rPr>
      <t xml:space="preserve">指引＋</t>
    </r>
    <r>
      <rPr>
        <sz val="11"/>
        <rFont val="Cambria"/>
        <family val="0"/>
        <charset val="1"/>
      </rPr>
      <t xml:space="preserve">Q4 </t>
    </r>
    <r>
      <rPr>
        <sz val="11"/>
        <rFont val="Noto Sans CJK SC"/>
        <family val="2"/>
      </rPr>
      <t xml:space="preserve">假設）。</t>
    </r>
  </si>
  <si>
    <t xml:space="preserve">驅動因子 → 推導量（全部唯讀上游，不修改）</t>
  </si>
  <si>
    <r>
      <rPr>
        <sz val="11"/>
        <rFont val="Noto Sans CJK SC"/>
        <family val="2"/>
      </rPr>
      <t xml:space="preserve">資料中心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：加速器市場金額（</t>
    </r>
    <r>
      <rPr>
        <sz val="11"/>
        <rFont val="Cambria"/>
        <family val="0"/>
        <charset val="1"/>
      </rPr>
      <t xml:space="preserve">Units </t>
    </r>
    <r>
      <rPr>
        <sz val="11"/>
        <rFont val="Noto Sans CJK SC"/>
        <family val="2"/>
      </rPr>
      <t xml:space="preserve">頁，</t>
    </r>
    <r>
      <rPr>
        <sz val="11"/>
        <rFont val="Cambria"/>
        <family val="0"/>
        <charset val="1"/>
      </rPr>
      <t xml:space="preserve">markets/memory UNITS × </t>
    </r>
    <r>
      <rPr>
        <sz val="11"/>
        <rFont val="Noto Sans CJK SC"/>
        <family val="2"/>
      </rPr>
      <t xml:space="preserve">情境係數 </t>
    </r>
    <r>
      <rPr>
        <sz val="11"/>
        <rFont val="Cambria"/>
        <family val="0"/>
        <charset val="1"/>
      </rPr>
      <t xml:space="preserve">× NVIDIA </t>
    </r>
    <r>
      <rPr>
        <sz val="11"/>
        <rFont val="Noto Sans CJK SC"/>
        <family val="2"/>
      </rPr>
      <t xml:space="preserve">模型同一套每顆價）</t>
    </r>
    <r>
      <rPr>
        <sz val="11"/>
        <rFont val="Cambria"/>
        <family val="0"/>
        <charset val="1"/>
      </rPr>
      <t xml:space="preserve">× AMD </t>
    </r>
    <r>
      <rPr>
        <sz val="11"/>
        <rFont val="Noto Sans CJK SC"/>
        <family val="2"/>
      </rPr>
      <t xml:space="preserve">金額份額 </t>
    </r>
    <r>
      <rPr>
        <sz val="11"/>
        <rFont val="Cambria"/>
        <family val="0"/>
        <charset val="1"/>
      </rPr>
      <t xml:space="preserve">× k_rec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校準）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世代售價係數（基準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漲價依吸收比例轉嫁或壓毛利率。資料中心非 </t>
    </r>
    <r>
      <rPr>
        <sz val="11"/>
        <rFont val="Cambria"/>
        <family val="0"/>
        <charset val="1"/>
      </rPr>
      <t xml:space="preserve">GPU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EPYC CPU </t>
    </r>
    <r>
      <rPr>
        <sz val="11"/>
        <rFont val="Noto Sans CJK SC"/>
        <family val="2"/>
      </rPr>
      <t xml:space="preserve">等）、</t>
    </r>
    <r>
      <rPr>
        <sz val="11"/>
        <rFont val="Cambria"/>
        <family val="0"/>
        <charset val="1"/>
      </rPr>
      <t xml:space="preserve">Client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Gaming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Embedded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× </t>
    </r>
    <r>
      <rPr>
        <sz val="11"/>
        <rFont val="Noto Sans CJK SC"/>
        <family val="2"/>
      </rPr>
      <t xml:space="preserve">簡化成長率（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</si>
  <si>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Noto Sans CJK SC"/>
        <family val="2"/>
      </rPr>
      <t xml:space="preserve">毛利率：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Assumed 50%</t>
    </r>
    <r>
      <rPr>
        <sz val="11"/>
        <rFont val="Noto Sans CJK SC"/>
        <family val="2"/>
      </rPr>
      <t xml:space="preserve">）＋非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校準到錨點，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）；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起變化來自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占比上升與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價格（</t>
    </r>
    <r>
      <rPr>
        <sz val="11"/>
        <rFont val="Cambria"/>
        <family val="0"/>
        <charset val="1"/>
      </rPr>
      <t xml:space="preserve">markets/memory 2027 +80%</t>
    </r>
    <r>
      <rPr>
        <sz val="11"/>
        <rFont val="Noto Sans CJK SC"/>
        <family val="2"/>
      </rPr>
      <t xml:space="preserve">）。營業費用彈性（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推得）、稅率 </t>
    </r>
    <r>
      <rPr>
        <sz val="11"/>
        <rFont val="Cambria"/>
        <family val="0"/>
        <charset val="1"/>
      </rPr>
      <t xml:space="preserve">13%</t>
    </r>
    <r>
      <rPr>
        <sz val="11"/>
        <rFont val="Noto Sans CJK SC"/>
        <family val="2"/>
      </rPr>
      <t xml:space="preserve">（公司）、股數＋</t>
    </r>
    <r>
      <rPr>
        <sz val="11"/>
        <rFont val="Cambria"/>
        <family val="0"/>
        <charset val="1"/>
      </rPr>
      <t xml:space="preserve">OpenAI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Meta </t>
    </r>
    <r>
      <rPr>
        <sz val="11"/>
        <rFont val="Noto Sans CJK SC"/>
        <family val="2"/>
      </rPr>
      <t xml:space="preserve">認股權證（各 </t>
    </r>
    <r>
      <rPr>
        <sz val="11"/>
        <rFont val="Cambria"/>
        <family val="0"/>
        <charset val="1"/>
      </rPr>
      <t xml:space="preserve">160M </t>
    </r>
    <r>
      <rPr>
        <sz val="11"/>
        <rFont val="Noto Sans CJK SC"/>
        <family val="2"/>
      </rPr>
      <t xml:space="preserve">股，依 </t>
    </r>
    <r>
      <rPr>
        <sz val="11"/>
        <rFont val="Cambria"/>
        <family val="0"/>
        <charset val="1"/>
      </rPr>
      <t xml:space="preserve">GW </t>
    </r>
    <r>
      <rPr>
        <sz val="11"/>
        <rFont val="Noto Sans CJK SC"/>
        <family val="2"/>
      </rPr>
      <t xml:space="preserve">線性歸屬，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）。</t>
    </r>
  </si>
  <si>
    <r>
      <rPr>
        <sz val="11"/>
        <rFont val="Cambria"/>
        <family val="0"/>
        <charset val="1"/>
      </rPr>
      <t xml:space="preserve">EPS </t>
    </r>
    <r>
      <rPr>
        <sz val="11"/>
        <rFont val="Noto Sans CJK SC"/>
        <family val="2"/>
      </rPr>
      <t xml:space="preserve">口徑：</t>
    </r>
    <r>
      <rPr>
        <sz val="11"/>
        <rFont val="Cambria"/>
        <family val="0"/>
        <charset val="1"/>
      </rPr>
      <t xml:space="preserve">non-GAAP</t>
    </r>
    <r>
      <rPr>
        <sz val="11"/>
        <rFont val="Noto Sans CJK SC"/>
        <family val="2"/>
      </rPr>
      <t xml:space="preserve">（公司口徑，排除股票薪酬與併購攤銷）；共識同口徑。</t>
    </r>
  </si>
  <si>
    <r>
      <rPr>
        <sz val="11"/>
        <rFont val="Noto Sans CJK SC"/>
        <family val="2"/>
      </rPr>
      <t xml:space="preserve">校準：</t>
    </r>
    <r>
      <rPr>
        <sz val="11"/>
        <rFont val="Cambria"/>
        <family val="0"/>
        <charset val="1"/>
      </rPr>
      <t xml:space="preserve">k_rec</t>
    </r>
    <r>
      <rPr>
        <sz val="11"/>
        <rFont val="Noto Sans CJK SC"/>
        <family val="2"/>
      </rPr>
      <t xml:space="preserve">＝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 </t>
    </r>
    <r>
      <rPr>
        <sz val="11"/>
        <rFont val="Cambria"/>
        <family val="0"/>
        <charset val="1"/>
      </rPr>
      <t xml:space="preserve">÷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AMD </t>
    </r>
    <r>
      <rPr>
        <sz val="11"/>
        <rFont val="Noto Sans CJK SC"/>
        <family val="2"/>
      </rPr>
      <t xml:space="preserve">市場層 </t>
    </r>
    <r>
      <rPr>
        <sz val="11"/>
        <rFont val="Cambria"/>
        <family val="0"/>
        <charset val="1"/>
      </rPr>
      <t xml:space="preserve">CY2026 </t>
    </r>
    <r>
      <rPr>
        <sz val="11"/>
        <rFont val="Noto Sans CJK SC"/>
        <family val="2"/>
      </rPr>
      <t xml:space="preserve">顆數 </t>
    </r>
    <r>
      <rPr>
        <sz val="11"/>
        <rFont val="Cambria"/>
        <family val="0"/>
        <charset val="1"/>
      </rPr>
      <t xml:space="preserve">× pa_amd</t>
    </r>
    <r>
      <rPr>
        <sz val="11"/>
        <rFont val="Noto Sans CJK SC"/>
        <family val="2"/>
      </rPr>
      <t xml:space="preserve">）；錨點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本身含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拆分（公司不揭露）。不用共識、不用公司對 </t>
    </r>
    <r>
      <rPr>
        <sz val="11"/>
        <rFont val="Cambria"/>
        <family val="0"/>
        <charset val="1"/>
      </rPr>
      <t xml:space="preserve">2027 </t>
    </r>
    <r>
      <rPr>
        <sz val="11"/>
        <rFont val="Noto Sans CJK SC"/>
        <family val="2"/>
      </rPr>
      <t xml:space="preserve">的說法；後者只在 </t>
    </r>
    <r>
      <rPr>
        <sz val="11"/>
        <rFont val="Cambria"/>
        <family val="0"/>
        <charset val="1"/>
      </rPr>
      <t xml:space="preserve">Recon </t>
    </r>
    <r>
      <rPr>
        <sz val="11"/>
        <rFont val="Noto Sans CJK SC"/>
        <family val="2"/>
      </rPr>
      <t xml:space="preserve">對帳。</t>
    </r>
  </si>
  <si>
    <r>
      <rPr>
        <sz val="11"/>
        <rFont val="Noto Sans CJK SC"/>
        <family val="2"/>
      </rPr>
      <t xml:space="preserve">估值：目標價＝十年 </t>
    </r>
    <r>
      <rPr>
        <sz val="11"/>
        <rFont val="Cambria"/>
        <family val="0"/>
        <charset val="1"/>
      </rPr>
      <t xml:space="preserve">non-GAAP P/E </t>
    </r>
    <r>
      <rPr>
        <sz val="11"/>
        <rFont val="Noto Sans CJK SC"/>
        <family val="2"/>
      </rPr>
      <t xml:space="preserve">中位數 </t>
    </r>
    <r>
      <rPr>
        <sz val="11"/>
        <rFont val="Cambria"/>
        <family val="0"/>
        <charset val="1"/>
      </rPr>
      <t xml:space="preserve">× FY2027 EPS</t>
    </r>
    <r>
      <rPr>
        <sz val="11"/>
        <rFont val="Noto Sans CJK SC"/>
        <family val="2"/>
      </rPr>
      <t xml:space="preserve">（各情境），權重 </t>
    </r>
    <r>
      <rPr>
        <sz val="11"/>
        <rFont val="Cambria"/>
        <family val="0"/>
        <charset val="1"/>
      </rPr>
      <t xml:space="preserve">A 0.3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B 0.5</t>
    </r>
    <r>
      <rPr>
        <sz val="11"/>
        <rFont val="Noto Sans CJK SC"/>
        <family val="2"/>
      </rPr>
      <t xml:space="preserve">／</t>
    </r>
    <r>
      <rPr>
        <sz val="11"/>
        <rFont val="Cambria"/>
        <family val="0"/>
        <charset val="1"/>
      </rPr>
      <t xml:space="preserve">C 0.2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可改）；依循環位置取分位的規則值不適用（落後倍數含高成長期溢價，比照 </t>
    </r>
    <r>
      <rPr>
        <sz val="11"/>
        <rFont val="Cambria"/>
        <family val="0"/>
        <charset val="1"/>
      </rPr>
      <t xml:space="preserve">NVIDIA</t>
    </r>
    <r>
      <rPr>
        <sz val="11"/>
        <rFont val="Noto Sans CJK SC"/>
        <family val="2"/>
      </rPr>
      <t xml:space="preserve">），保留計算。循環位置（共用規則，不平移）：見頂年度 </t>
    </r>
    <r>
      <rPr>
        <sz val="11"/>
        <rFont val="Cambria"/>
        <family val="0"/>
        <charset val="1"/>
      </rPr>
      <t xml:space="preserve">A 2029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B 2028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2027 → FY2027</t>
    </r>
    <r>
      <rPr>
        <sz val="11"/>
        <rFont val="Noto Sans CJK SC"/>
        <family val="2"/>
      </rPr>
      <t xml:space="preserve">：</t>
    </r>
    <r>
      <rPr>
        <sz val="11"/>
        <rFont val="Cambria"/>
        <family val="0"/>
        <charset val="1"/>
      </rPr>
      <t xml:space="preserve">A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B </t>
    </r>
    <r>
      <rPr>
        <sz val="11"/>
        <rFont val="Noto Sans CJK SC"/>
        <family val="2"/>
      </rPr>
      <t xml:space="preserve">中段、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見頂。本版未做先驗，無 </t>
    </r>
    <r>
      <rPr>
        <sz val="11"/>
        <rFont val="Cambria"/>
        <family val="0"/>
        <charset val="1"/>
      </rPr>
      <t xml:space="preserve">Andy </t>
    </r>
    <r>
      <rPr>
        <sz val="11"/>
        <rFont val="Noto Sans CJK SC"/>
        <family val="2"/>
      </rPr>
      <t xml:space="preserve">合理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對照。</t>
    </r>
  </si>
  <si>
    <r>
      <rPr>
        <sz val="11"/>
        <rFont val="Noto Sans CJK SC"/>
        <family val="2"/>
      </rPr>
      <t xml:space="preserve">標記：</t>
    </r>
    <r>
      <rPr>
        <sz val="11"/>
        <rFont val="Cambria"/>
        <family val="0"/>
        <charset val="1"/>
      </rPr>
      <t xml:space="preserve">Verified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Interested-party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Analogy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Derived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SemiAnalysis </t>
    </r>
    <r>
      <rPr>
        <sz val="11"/>
        <rFont val="Noto Sans CJK SC"/>
        <family val="2"/>
      </rPr>
      <t xml:space="preserve">未使用。公司原文＝</t>
    </r>
    <r>
      <rPr>
        <sz val="11"/>
        <rFont val="Cambria"/>
        <family val="0"/>
        <charset val="1"/>
      </rPr>
      <t xml:space="preserve">8-K </t>
    </r>
    <r>
      <rPr>
        <sz val="11"/>
        <rFont val="Noto Sans CJK SC"/>
        <family val="2"/>
      </rPr>
      <t xml:space="preserve">新聞稿、簡報與 </t>
    </r>
    <r>
      <rPr>
        <sz val="11"/>
        <rFont val="Cambria"/>
        <family val="0"/>
        <charset val="1"/>
      </rPr>
      <t xml:space="preserve">10-Q</t>
    </r>
    <r>
      <rPr>
        <sz val="11"/>
        <rFont val="Noto Sans CJK SC"/>
        <family val="2"/>
      </rPr>
      <t xml:space="preserve">（</t>
    </r>
    <r>
      <rPr>
        <sz val="11"/>
        <rFont val="Cambria"/>
        <family val="0"/>
        <charset val="1"/>
      </rPr>
      <t xml:space="preserve">sec.gov</t>
    </r>
    <r>
      <rPr>
        <sz val="11"/>
        <rFont val="Noto Sans CJK SC"/>
        <family val="2"/>
      </rPr>
      <t xml:space="preserve">，已抓取）；法說逐字稿只經摘要（標二手）。</t>
    </r>
  </si>
  <si>
    <r>
      <rPr>
        <sz val="11"/>
        <rFont val="Noto Sans CJK SC"/>
        <family val="2"/>
      </rPr>
      <t xml:space="preserve">已知限制：</t>
    </r>
    <r>
      <rPr>
        <sz val="11"/>
        <rFont val="Cambria"/>
        <family val="0"/>
        <charset val="1"/>
      </rPr>
      <t xml:space="preserve">(1) </t>
    </r>
    <r>
      <rPr>
        <sz val="11"/>
        <rFont val="Noto Sans CJK SC"/>
        <family val="2"/>
      </rPr>
      <t xml:space="preserve">公司不拆分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與 </t>
    </r>
    <r>
      <rPr>
        <sz val="11"/>
        <rFont val="Cambria"/>
        <family val="0"/>
        <charset val="1"/>
      </rPr>
      <t xml:space="preserve">CPU</t>
    </r>
    <r>
      <rPr>
        <sz val="11"/>
        <rFont val="Noto Sans CJK SC"/>
        <family val="2"/>
      </rPr>
      <t xml:space="preserve">，</t>
    </r>
    <r>
      <rPr>
        <sz val="11"/>
        <rFont val="Cambria"/>
        <family val="0"/>
        <charset val="1"/>
      </rPr>
      <t xml:space="preserve">FY2026 </t>
    </r>
    <r>
      <rPr>
        <sz val="11"/>
        <rFont val="Noto Sans CJK SC"/>
        <family val="2"/>
      </rPr>
      <t xml:space="preserve">錨點的 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營收（約 </t>
    </r>
    <r>
      <rPr>
        <sz val="11"/>
        <rFont val="Cambria"/>
        <family val="0"/>
        <charset val="1"/>
      </rPr>
      <t xml:space="preserve">15</t>
    </r>
    <r>
      <rPr>
        <sz val="11"/>
        <rFont val="Noto Sans CJK SC"/>
        <family val="2"/>
      </rPr>
      <t xml:space="preserve">）為 </t>
    </r>
    <r>
      <rPr>
        <sz val="11"/>
        <rFont val="Cambria"/>
        <family val="0"/>
        <charset val="1"/>
      </rPr>
      <t xml:space="preserve">Assumed </t>
    </r>
    <r>
      <rPr>
        <sz val="11"/>
        <rFont val="Noto Sans CJK SC"/>
        <family val="2"/>
      </rPr>
      <t xml:space="preserve">拆分，</t>
    </r>
    <r>
      <rPr>
        <sz val="11"/>
        <rFont val="Cambria"/>
        <family val="0"/>
        <charset val="1"/>
      </rPr>
      <t xml:space="preserve">k_rec </t>
    </r>
    <r>
      <rPr>
        <sz val="11"/>
        <rFont val="Noto Sans CJK SC"/>
        <family val="2"/>
      </rPr>
      <t xml:space="preserve">隨之變動。</t>
    </r>
    <r>
      <rPr>
        <sz val="11"/>
        <rFont val="Cambria"/>
        <family val="0"/>
        <charset val="1"/>
      </rPr>
      <t xml:space="preserve">(2) k_rec </t>
    </r>
    <r>
      <rPr>
        <sz val="11"/>
        <rFont val="Noto Sans CJK SC"/>
        <family val="2"/>
      </rPr>
      <t xml:space="preserve">是顆數層與售價層的合併係數；</t>
    </r>
    <r>
      <rPr>
        <sz val="11"/>
        <rFont val="Cambria"/>
        <family val="0"/>
        <charset val="1"/>
      </rPr>
      <t xml:space="preserve">FY2027 </t>
    </r>
    <r>
      <rPr>
        <sz val="11"/>
        <rFont val="Noto Sans CJK SC"/>
        <family val="2"/>
      </rPr>
      <t xml:space="preserve">起沿用（世代售價係數 </t>
    </r>
    <r>
      <rPr>
        <sz val="11"/>
        <rFont val="Cambria"/>
        <family val="0"/>
        <charset val="1"/>
      </rPr>
      <t xml:space="preserve">1.0</t>
    </r>
    <r>
      <rPr>
        <sz val="11"/>
        <rFont val="Noto Sans CJK SC"/>
        <family val="2"/>
      </rPr>
      <t xml:space="preserve">）可能低估 </t>
    </r>
    <r>
      <rPr>
        <sz val="11"/>
        <rFont val="Cambria"/>
        <family val="0"/>
        <charset val="1"/>
      </rPr>
      <t xml:space="preserve">MI450 </t>
    </r>
    <r>
      <rPr>
        <sz val="11"/>
        <rFont val="Noto Sans CJK SC"/>
        <family val="2"/>
      </rPr>
      <t xml:space="preserve">的售價提升，</t>
    </r>
    <r>
      <rPr>
        <sz val="11"/>
        <rFont val="Cambria"/>
        <family val="0"/>
        <charset val="1"/>
      </rPr>
      <t xml:space="preserve">Sens </t>
    </r>
    <r>
      <rPr>
        <sz val="11"/>
        <rFont val="Noto Sans CJK SC"/>
        <family val="2"/>
      </rPr>
      <t xml:space="preserve">列「隨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容量」與「每顆＝市場層價」兩個上界。</t>
    </r>
    <r>
      <rPr>
        <sz val="11"/>
        <rFont val="Cambria"/>
        <family val="0"/>
        <charset val="1"/>
      </rPr>
      <t xml:space="preserve">(3) HBM </t>
    </r>
    <r>
      <rPr>
        <sz val="11"/>
        <rFont val="Noto Sans CJK SC"/>
        <family val="2"/>
      </rPr>
      <t xml:space="preserve">吸收比例、</t>
    </r>
    <r>
      <rPr>
        <sz val="11"/>
        <rFont val="Cambria"/>
        <family val="0"/>
        <charset val="1"/>
      </rPr>
      <t xml:space="preserve">GPU </t>
    </r>
    <r>
      <rPr>
        <sz val="11"/>
        <rFont val="Noto Sans CJK SC"/>
        <family val="2"/>
      </rPr>
      <t xml:space="preserve">毛利率、各業務成長率為 </t>
    </r>
    <r>
      <rPr>
        <sz val="11"/>
        <rFont val="Cambria"/>
        <family val="0"/>
        <charset val="1"/>
      </rPr>
      <t xml:space="preserve">Assumed</t>
    </r>
    <r>
      <rPr>
        <sz val="11"/>
        <rFont val="Noto Sans CJK SC"/>
        <family val="2"/>
      </rPr>
      <t xml:space="preserve">。</t>
    </r>
    <r>
      <rPr>
        <sz val="11"/>
        <rFont val="Cambria"/>
        <family val="0"/>
        <charset val="1"/>
      </rPr>
      <t xml:space="preserve">(4) </t>
    </r>
    <r>
      <rPr>
        <sz val="11"/>
        <rFont val="Noto Sans CJK SC"/>
        <family val="2"/>
      </rPr>
      <t xml:space="preserve">認股權證的會計處理（是否抵減營收）與各批股數未找到；本模型只計股數稀釋。</t>
    </r>
    <r>
      <rPr>
        <sz val="11"/>
        <rFont val="Cambria"/>
        <family val="0"/>
        <charset val="1"/>
      </rPr>
      <t xml:space="preserve">(5) </t>
    </r>
    <r>
      <rPr>
        <sz val="11"/>
        <rFont val="Noto Sans CJK SC"/>
        <family val="2"/>
      </rPr>
      <t xml:space="preserve">情境 </t>
    </r>
    <r>
      <rPr>
        <sz val="11"/>
        <rFont val="Cambria"/>
        <family val="0"/>
        <charset val="1"/>
      </rPr>
      <t xml:space="preserve">B</t>
    </r>
    <r>
      <rPr>
        <sz val="11"/>
        <rFont val="Noto Sans CJK SC"/>
        <family val="2"/>
      </rPr>
      <t xml:space="preserve">、</t>
    </r>
    <r>
      <rPr>
        <sz val="11"/>
        <rFont val="Cambria"/>
        <family val="0"/>
        <charset val="1"/>
      </rPr>
      <t xml:space="preserve">C </t>
    </r>
    <r>
      <rPr>
        <sz val="11"/>
        <rFont val="Noto Sans CJK SC"/>
        <family val="2"/>
      </rPr>
      <t xml:space="preserve">只影響加速器顆數與 </t>
    </r>
    <r>
      <rPr>
        <sz val="11"/>
        <rFont val="Cambria"/>
        <family val="0"/>
        <charset val="1"/>
      </rPr>
      <t xml:space="preserve">HBM </t>
    </r>
    <r>
      <rPr>
        <sz val="11"/>
        <rFont val="Noto Sans CJK SC"/>
        <family val="2"/>
      </rPr>
      <t xml:space="preserve">價格，</t>
    </r>
    <r>
      <rPr>
        <sz val="11"/>
        <rFont val="Cambria"/>
        <family val="0"/>
        <charset val="1"/>
      </rPr>
      <t xml:space="preserve">CPU </t>
    </r>
    <r>
      <rPr>
        <sz val="11"/>
        <rFont val="Noto Sans CJK SC"/>
        <family val="2"/>
      </rPr>
      <t xml:space="preserve">等業務三情境相同。</t>
    </r>
    <r>
      <rPr>
        <sz val="11"/>
        <rFont val="Cambria"/>
        <family val="0"/>
        <charset val="1"/>
      </rPr>
      <t xml:space="preserve">(6) </t>
    </r>
    <r>
      <rPr>
        <sz val="11"/>
        <rFont val="Noto Sans CJK SC"/>
        <family val="2"/>
      </rPr>
      <t xml:space="preserve">共識兩來源差距大（</t>
    </r>
    <r>
      <rPr>
        <sz val="11"/>
        <rFont val="Cambria"/>
        <family val="0"/>
        <charset val="1"/>
      </rPr>
      <t xml:space="preserve">FY2027 EPS 15.76 vs 11.23</t>
    </r>
    <r>
      <rPr>
        <sz val="11"/>
        <rFont val="Noto Sans CJK SC"/>
        <family val="2"/>
      </rPr>
      <t xml:space="preserve">）。</t>
    </r>
    <r>
      <rPr>
        <sz val="11"/>
        <rFont val="Cambria"/>
        <family val="0"/>
        <charset val="1"/>
      </rPr>
      <t xml:space="preserve">(7) </t>
    </r>
    <r>
      <rPr>
        <sz val="11"/>
        <rFont val="Noto Sans CJK SC"/>
        <family val="2"/>
      </rPr>
      <t xml:space="preserve">十年 </t>
    </r>
    <r>
      <rPr>
        <sz val="11"/>
        <rFont val="Cambria"/>
        <family val="0"/>
        <charset val="1"/>
      </rPr>
      <t xml:space="preserve">P/E </t>
    </r>
    <r>
      <rPr>
        <sz val="11"/>
        <rFont val="Noto Sans CJK SC"/>
        <family val="2"/>
      </rPr>
      <t xml:space="preserve">為落後倍數，含高成長期溢價（目標價方法已註明偏誤方向）。</t>
    </r>
  </si>
  <si>
    <r>
      <rPr>
        <sz val="11"/>
        <color theme="1"/>
        <rFont val="Calibri"/>
        <family val="2"/>
        <charset val="1"/>
      </rPr>
      <t xml:space="preserve">v0.2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(1) </t>
    </r>
    <r>
      <rPr>
        <sz val="11"/>
        <color theme="1"/>
        <rFont val="Noto Sans CJK SC"/>
        <family val="2"/>
      </rPr>
      <t xml:space="preserve">目標價改為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加權（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頁最前面「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目標價」：</t>
    </r>
    <r>
      <rPr>
        <sz val="11"/>
        <color theme="1"/>
        <rFont val="Calibri"/>
        <family val="2"/>
        <charset val="1"/>
      </rPr>
      <t xml:space="preserve">0.1 DCF </t>
    </r>
    <r>
      <rPr>
        <sz val="11"/>
        <color theme="1"/>
        <rFont val="Noto Sans CJK SC"/>
        <family val="2"/>
      </rPr>
      <t xml:space="preserve">股東權益現金流、</t>
    </r>
    <r>
      <rPr>
        <sz val="11"/>
        <color theme="1"/>
        <rFont val="Calibri"/>
        <family val="2"/>
        <charset val="1"/>
      </rPr>
      <t xml:space="preserve">0.2 Comparable </t>
    </r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0.3 </t>
    </r>
    <r>
      <rPr>
        <sz val="11"/>
        <color theme="1"/>
        <rFont val="Noto Sans CJK SC"/>
        <family val="2"/>
      </rPr>
      <t xml:space="preserve">結論；</t>
    </r>
    <r>
      <rPr>
        <sz val="11"/>
        <color theme="1"/>
        <rFont val="Calibri"/>
        <family val="2"/>
        <charset val="1"/>
      </rPr>
      <t xml:space="preserve">Val </t>
    </r>
    <r>
      <rPr>
        <sz val="11"/>
        <color theme="1"/>
        <rFont val="Noto Sans CJK SC"/>
        <family val="2"/>
      </rPr>
      <t xml:space="preserve">既有內容整體下移，公式一併改寫）；</t>
    </r>
    <r>
      <rPr>
        <sz val="11"/>
        <color theme="1"/>
        <rFont val="Calibri"/>
        <family val="2"/>
        <charset val="1"/>
      </rPr>
      <t xml:space="preserve">v0.1 </t>
    </r>
    <r>
      <rPr>
        <sz val="11"/>
        <color theme="1"/>
        <rFont val="Noto Sans CJK SC"/>
        <family val="2"/>
      </rPr>
      <t xml:space="preserve">的「</t>
    </r>
    <r>
      <rPr>
        <sz val="11"/>
        <color theme="1"/>
        <rFont val="Calibri"/>
        <family val="2"/>
        <charset val="1"/>
      </rPr>
      <t xml:space="preserve">0. </t>
    </r>
    <r>
      <rPr>
        <sz val="11"/>
        <color theme="1"/>
        <rFont val="Noto Sans CJK SC"/>
        <family val="2"/>
      </rPr>
      <t xml:space="preserve">目標價與上檔空間」改名「舊法：規則值情境加權（參考）」保留。</t>
    </r>
    <r>
      <rPr>
        <sz val="11"/>
        <color theme="1"/>
        <rFont val="Calibri"/>
        <family val="2"/>
        <charset val="1"/>
      </rPr>
      <t xml:space="preserve">(2) PL </t>
    </r>
    <r>
      <rPr>
        <sz val="11"/>
        <color theme="1"/>
        <rFont val="Noto Sans CJK SC"/>
        <family val="2"/>
      </rPr>
      <t xml:space="preserve">頁末新增三情境延伸到 </t>
    </r>
    <r>
      <rPr>
        <sz val="11"/>
        <color theme="1"/>
        <rFont val="Calibri"/>
        <family val="2"/>
        <charset val="1"/>
      </rPr>
      <t xml:space="preserve">FY2032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起為收斂法，非驅動因子推導（上游市場層只到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(3) </t>
    </r>
    <r>
      <rPr>
        <sz val="11"/>
        <color theme="1"/>
        <rFont val="Noto Sans CJK SC"/>
        <family val="2"/>
      </rPr>
      <t xml:space="preserve">現價維持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（補第二來源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）。</t>
    </r>
    <r>
      <rPr>
        <sz val="11"/>
        <color theme="1"/>
        <rFont val="Calibri"/>
        <family val="2"/>
        <charset val="1"/>
      </rPr>
      <t xml:space="preserve">(4) 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節新增目標價參數（黃底，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可改）；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頁新增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tp_w_dcf </t>
    </r>
    <r>
      <rPr>
        <sz val="11"/>
        <color theme="1"/>
        <rFont val="Noto Sans CJK SC"/>
        <family val="2"/>
      </rPr>
      <t xml:space="preserve">對加權目標價的影響。</t>
    </r>
    <r>
      <rPr>
        <sz val="11"/>
        <color theme="1"/>
        <rFont val="Calibri"/>
        <family val="2"/>
        <charset val="1"/>
      </rPr>
      <t xml:space="preserve">FY2025–FY2029 </t>
    </r>
    <r>
      <rPr>
        <sz val="11"/>
        <color theme="1"/>
        <rFont val="Noto Sans CJK SC"/>
        <family val="2"/>
      </rPr>
      <t xml:space="preserve">既有數字不變。</t>
    </r>
  </si>
  <si>
    <r>
      <rPr>
        <sz val="11"/>
        <color theme="1"/>
        <rFont val="Noto Sans CJK SC"/>
        <family val="2"/>
      </rPr>
      <t xml:space="preserve">情境對應（</t>
    </r>
    <r>
      <rPr>
        <sz val="11"/>
        <color theme="1"/>
        <rFont val="Calibri"/>
        <family val="2"/>
        <charset val="1"/>
      </rPr>
      <t xml:space="preserve">v0.2 </t>
    </r>
    <r>
      <rPr>
        <sz val="11"/>
        <color theme="1"/>
        <rFont val="Noto Sans CJK SC"/>
        <family val="2"/>
      </rPr>
      <t xml:space="preserve">延伸期）：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＝順利（市場層基準顆數）、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＝平平（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資本支出消化：</t>
    </r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＝不如預期（</t>
    </r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三情境相同，情境差從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對照。</t>
    </r>
  </si>
  <si>
    <r>
      <rPr>
        <sz val="11"/>
        <color theme="1"/>
        <rFont val="Calibri"/>
        <family val="2"/>
        <charset val="1"/>
      </rPr>
      <t xml:space="preserve">In — </t>
    </r>
    <r>
      <rPr>
        <sz val="11"/>
        <color theme="1"/>
        <rFont val="Noto Sans CJK SC"/>
        <family val="2"/>
      </rPr>
      <t xml:space="preserve">輸入（藍字；基準欄 </t>
    </r>
    <r>
      <rPr>
        <sz val="11"/>
        <color theme="1"/>
        <rFont val="Calibri"/>
        <family val="2"/>
        <charset val="1"/>
      </rPr>
      <t xml:space="preserve">E</t>
    </r>
    <r>
      <rPr>
        <sz val="11"/>
        <color theme="1"/>
        <rFont val="Noto Sans CJK SC"/>
        <family val="2"/>
      </rPr>
      <t xml:space="preserve">，低 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、高 </t>
    </r>
    <r>
      <rPr>
        <sz val="11"/>
        <color theme="1"/>
        <rFont val="Calibri"/>
        <family val="2"/>
        <charset val="1"/>
      </rPr>
      <t xml:space="preserve">F</t>
    </r>
    <r>
      <rPr>
        <sz val="11"/>
        <color theme="1"/>
        <rFont val="Noto Sans CJK SC"/>
        <family val="2"/>
      </rPr>
      <t xml:space="preserve">）。金額：十億美元（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）；每顆價格：千美元（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）；顆數：百萬顆；股數：十億股。每個輸入附兩個來源（找不到者寫「未找到」）；公司原文算一個</t>
    </r>
  </si>
  <si>
    <r>
      <rPr>
        <sz val="11"/>
        <color theme="1"/>
        <rFont val="Noto Sans CJK SC"/>
        <family val="2"/>
      </rPr>
      <t xml:space="preserve">標記：</t>
    </r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給低／高區間。</t>
    </r>
    <r>
      <rPr>
        <sz val="11"/>
        <color theme="1"/>
        <rFont val="Calibri"/>
        <family val="2"/>
        <charset val="1"/>
      </rPr>
      <t xml:space="preserve">SemiAnalysis </t>
    </r>
    <r>
      <rPr>
        <sz val="11"/>
        <color theme="1"/>
        <rFont val="Noto Sans CJK SC"/>
        <family val="2"/>
      </rPr>
      <t xml:space="preserve">未單獨使用。公司原文＝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新聞稿與簡報（</t>
    </r>
    <r>
      <rPr>
        <sz val="11"/>
        <color theme="1"/>
        <rFont val="Calibri"/>
        <family val="2"/>
        <charset val="1"/>
      </rPr>
      <t xml:space="preserve">sec.gov </t>
    </r>
    <r>
      <rPr>
        <sz val="11"/>
        <color theme="1"/>
        <rFont val="Noto Sans CJK SC"/>
        <family val="2"/>
      </rPr>
      <t xml:space="preserve">已逐頁抓取）；法說逐字稿只經摘要（二手）</t>
    </r>
  </si>
  <si>
    <t xml:space="preserve">鍵</t>
  </si>
  <si>
    <t xml:space="preserve">項目</t>
  </si>
  <si>
    <t xml:space="preserve">單位</t>
  </si>
  <si>
    <t xml:space="preserve">低</t>
  </si>
  <si>
    <t xml:space="preserve">基準</t>
  </si>
  <si>
    <t xml:space="preserve">高</t>
  </si>
  <si>
    <t xml:space="preserve">標記</t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</si>
  <si>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</si>
  <si>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2</t>
    </r>
    <r>
      <rPr>
        <b val="true"/>
        <sz val="11"/>
        <rFont val="Noto Sans CJK SC"/>
        <family val="2"/>
      </rPr>
      <t xml:space="preserve">／說明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</si>
  <si>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加速器顆數（</t>
    </r>
    <r>
      <rPr>
        <b val="true"/>
        <sz val="11"/>
        <rFont val="Cambria"/>
        <family val="0"/>
        <charset val="1"/>
      </rPr>
      <t xml:space="preserve">markets/memory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HBM</t>
    </r>
    <r>
      <rPr>
        <b val="true"/>
        <sz val="11"/>
        <rFont val="Noto Sans CJK SC"/>
        <family val="2"/>
      </rPr>
      <t xml:space="preserve">、台積電、網通、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模型同一份；情境係數讀台積電模型成品，不另訂）</t>
    </r>
  </si>
  <si>
    <t xml:space="preserve">u_bw_26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</si>
  <si>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2026</t>
    </r>
  </si>
  <si>
    <t xml:space="preserve">百萬顆</t>
  </si>
  <si>
    <t xml:space="preserve">Interested-party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</si>
  <si>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：顆數：</t>
    </r>
    <r>
      <rPr>
        <sz val="11"/>
        <color theme="1"/>
        <rFont val="Calibri"/>
        <family val="2"/>
        <charset val="1"/>
      </rPr>
      <t xml:space="preserve">Morgan Stanley 2026-07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5.4M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AC Research 2027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2.4M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B200 186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B300 288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[Derived]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</si>
  <si>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</si>
  <si>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u_bw_27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</si>
  <si>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</si>
  <si>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同上</t>
  </si>
  <si>
    <t xml:space="preserve">u_bw_28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</si>
  <si>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</si>
  <si>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g29_bw</t>
  </si>
  <si>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</si>
  <si>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t xml:space="preserve">%</t>
  </si>
  <si>
    <t xml:space="preserve">Assumed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</si>
  <si>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In!E8</t>
    </r>
  </si>
  <si>
    <r>
      <rPr>
        <sz val="11"/>
        <color theme="1"/>
        <rFont val="Calibri"/>
        <family val="2"/>
        <charset val="1"/>
      </rPr>
      <t xml:space="preserve">markets/memory </t>
    </r>
    <r>
      <rPr>
        <sz val="11"/>
        <color theme="1"/>
        <rFont val="Noto Sans CJK SC"/>
        <family val="2"/>
      </rPr>
      <t xml:space="preserve">無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；沿用台積電模型</t>
    </r>
  </si>
  <si>
    <t xml:space="preserve">u_rb_26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</si>
  <si>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</si>
  <si>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Rubin 22% ×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7.6M [Derived]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7.0M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</si>
  <si>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</si>
  <si>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u_rb_27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</si>
  <si>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</si>
  <si>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u_rb_28</t>
  </si>
  <si>
    <r>
      <rPr>
        <sz val="11"/>
        <color theme="1"/>
        <rFont val="Calibri"/>
        <family val="2"/>
        <charset val="1"/>
      </rPr>
      <t xml:space="preserve">NVIDIA Rubin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</si>
  <si>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g29_rb</t>
  </si>
  <si>
    <r>
      <rPr>
        <sz val="11"/>
        <color theme="1"/>
        <rFont val="Calibri"/>
        <family val="2"/>
        <charset val="1"/>
      </rPr>
      <t xml:space="preserve">NVIDIA Rubin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</si>
  <si>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In!E12</t>
    </r>
  </si>
  <si>
    <t xml:space="preserve">u_ru_26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</si>
  <si>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</si>
  <si>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：時程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 1 TB</t>
    </r>
    <r>
      <rPr>
        <sz val="11"/>
        <color theme="1"/>
        <rFont val="Noto Sans CJK SC"/>
        <family val="2"/>
      </rPr>
      <t xml:space="preserve">／封裝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</si>
  <si>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</si>
  <si>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u_ru_27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</si>
  <si>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</si>
  <si>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u_ru_28</t>
  </si>
  <si>
    <r>
      <rPr>
        <sz val="11"/>
        <color theme="1"/>
        <rFont val="Calibri"/>
        <family val="2"/>
        <charset val="1"/>
      </rPr>
      <t xml:space="preserve">NVIDIA Rubin Ultra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</si>
  <si>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g29_ru</t>
  </si>
  <si>
    <r>
      <rPr>
        <sz val="11"/>
        <color theme="1"/>
        <rFont val="Calibri"/>
        <family val="2"/>
        <charset val="1"/>
      </rPr>
      <t xml:space="preserve">NVIDIA Rubin Ultra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</si>
  <si>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In!E16</t>
    </r>
  </si>
  <si>
    <t xml:space="preserve">u_hp_26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</si>
  <si>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</si>
  <si>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TrendForce 2026 </t>
    </r>
    <r>
      <rPr>
        <sz val="11"/>
        <color theme="1"/>
        <rFont val="Noto Sans CJK SC"/>
        <family val="2"/>
      </rPr>
      <t xml:space="preserve">組合 </t>
    </r>
    <r>
      <rPr>
        <sz val="11"/>
        <color theme="1"/>
        <rFont val="Calibri"/>
        <family val="2"/>
        <charset val="1"/>
      </rPr>
      <t xml:space="preserve">Hopper 7%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</si>
  <si>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In!E17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</si>
  <si>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u_hp_27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</si>
  <si>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</si>
  <si>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u_hp_28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</si>
  <si>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</si>
  <si>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g29_hp</t>
  </si>
  <si>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</si>
  <si>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In!E20</t>
    </r>
  </si>
  <si>
    <t xml:space="preserve">u_amd_26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</si>
  <si>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</si>
  <si>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</si>
  <si>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Morgan Stanley MI455X 1.0M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MI450 0.5M</t>
    </r>
    <r>
      <rPr>
        <sz val="11"/>
        <color theme="1"/>
        <rFont val="Noto Sans CJK SC"/>
        <family val="2"/>
      </rPr>
      <t xml:space="preserve">；其餘 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</si>
  <si>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In!E21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</si>
  <si>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</si>
  <si>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</si>
  <si>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</si>
  <si>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</si>
  <si>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g29_amd</t>
  </si>
  <si>
    <r>
      <rPr>
        <sz val="11"/>
        <color theme="1"/>
        <rFont val="Calibri"/>
        <family val="2"/>
        <charset val="1"/>
      </rPr>
      <t xml:space="preserve">AMD Instinct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</si>
  <si>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In!E24</t>
    </r>
  </si>
  <si>
    <t xml:space="preserve">u_tpu_26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</si>
  <si>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</si>
  <si>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MS 3.2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5.0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GF 4.5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8.84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）取中間偏 </t>
    </r>
    <r>
      <rPr>
        <sz val="11"/>
        <color theme="1"/>
        <rFont val="Calibri"/>
        <family val="2"/>
        <charset val="1"/>
      </rPr>
      <t xml:space="preserve">MS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2028 Assumed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</si>
  <si>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In!E25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</si>
  <si>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u_tpu_27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</si>
  <si>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</si>
  <si>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u_tpu_28</t>
  </si>
  <si>
    <r>
      <rPr>
        <sz val="11"/>
        <color theme="1"/>
        <rFont val="Calibri"/>
        <family val="2"/>
        <charset val="1"/>
      </rPr>
      <t xml:space="preserve">Google TPU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</si>
  <si>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g29_tpu</t>
  </si>
  <si>
    <r>
      <rPr>
        <sz val="11"/>
        <color theme="1"/>
        <rFont val="Calibri"/>
        <family val="2"/>
        <charset val="1"/>
      </rPr>
      <t xml:space="preserve">Google TPU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</si>
  <si>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In!E28</t>
    </r>
  </si>
  <si>
    <t xml:space="preserve">u_trn_26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</si>
  <si>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</si>
  <si>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：年出貨未找到；</t>
    </r>
    <r>
      <rPr>
        <sz val="11"/>
        <color theme="1"/>
        <rFont val="Calibri"/>
        <family val="2"/>
        <charset val="1"/>
      </rPr>
      <t xml:space="preserve">GB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Trn2 96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Trn3 144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</si>
  <si>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In!E29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</si>
  <si>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u_trn_27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</si>
  <si>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</si>
  <si>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u_trn_28</t>
  </si>
  <si>
    <r>
      <rPr>
        <sz val="11"/>
        <color theme="1"/>
        <rFont val="Calibri"/>
        <family val="2"/>
        <charset val="1"/>
      </rPr>
      <t xml:space="preserve">AWS Trainium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</si>
  <si>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g29_trn</t>
  </si>
  <si>
    <r>
      <rPr>
        <sz val="11"/>
        <color theme="1"/>
        <rFont val="Calibri"/>
        <family val="2"/>
        <charset val="1"/>
      </rPr>
      <t xml:space="preserve">AWS Trainium 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</si>
  <si>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In!E32</t>
    </r>
  </si>
  <si>
    <t xml:space="preserve">u_oth_26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</si>
  <si>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2026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</si>
  <si>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</si>
  <si>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JPMorgan ASIC 12.5M − TPU − Trainium</t>
    </r>
  </si>
  <si>
    <r>
      <rPr>
        <sz val="11"/>
        <color theme="1"/>
        <rFont val="Noto Sans CJK SC"/>
        <family val="2"/>
      </rPr>
      <t xml:space="preserve">台積電模型 </t>
    </r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In!E33</t>
    </r>
    <r>
      <rPr>
        <sz val="11"/>
        <color theme="1"/>
        <rFont val="Noto Sans CJK SC"/>
        <family val="2"/>
      </rPr>
      <t xml:space="preserve">（值相同，建置時檢查）</t>
    </r>
  </si>
  <si>
    <t xml:space="preserve">u_oth_27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</si>
  <si>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2027</t>
    </r>
  </si>
  <si>
    <t xml:space="preserve">u_oth_28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</si>
  <si>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顆數 </t>
    </r>
    <r>
      <rPr>
        <sz val="11"/>
        <color theme="1"/>
        <rFont val="Calibri"/>
        <family val="2"/>
        <charset val="1"/>
      </rPr>
      <t xml:space="preserve">2028</t>
    </r>
  </si>
  <si>
    <t xml:space="preserve">g29_oth</t>
  </si>
  <si>
    <r>
      <rPr>
        <sz val="11"/>
        <color theme="1"/>
        <rFont val="Noto Sans CJK SC"/>
        <family val="2"/>
      </rPr>
      <t xml:space="preserve">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 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顆數成長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</si>
  <si>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In!E36</t>
    </r>
  </si>
  <si>
    <t xml:space="preserve">um28_A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</si>
  <si>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</si>
  <si>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t xml:space="preserve">x</t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</si>
  <si>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In!E37</t>
    </r>
  </si>
  <si>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＝基準；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＝明顯下修（與台積電、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</t>
    </r>
  </si>
  <si>
    <t xml:space="preserve">um29_A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</si>
  <si>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</si>
  <si>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In!E38</t>
    </r>
  </si>
  <si>
    <t xml:space="preserve">um28_B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</si>
  <si>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</si>
  <si>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In!E39</t>
    </r>
  </si>
  <si>
    <t xml:space="preserve">um29_B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</si>
  <si>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</si>
  <si>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In!E40</t>
    </r>
  </si>
  <si>
    <t xml:space="preserve">um28_C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</si>
  <si>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</si>
  <si>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In!E41</t>
    </r>
  </si>
  <si>
    <t xml:space="preserve">um29_C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</si>
  <si>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基準</t>
    </r>
  </si>
  <si>
    <r>
      <rPr>
        <sz val="11"/>
        <color theme="1"/>
        <rFont val="Calibri"/>
        <family val="2"/>
        <charset val="1"/>
      </rPr>
      <t xml:space="preserve">tsmc/dist/20261025_</t>
    </r>
    <r>
      <rPr>
        <sz val="11"/>
        <color theme="1"/>
        <rFont val="Noto Sans CJK SC"/>
        <family val="2"/>
      </rPr>
      <t xml:space="preserve">台積電模型</t>
    </r>
    <r>
      <rPr>
        <sz val="11"/>
        <color theme="1"/>
        <rFont val="Calibri"/>
        <family val="2"/>
        <charset val="1"/>
      </rPr>
      <t xml:space="preserve">_v0.3.xlsx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In!E42</t>
    </r>
  </si>
  <si>
    <t xml:space="preserve">gb_amd_26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</si>
  <si>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2026</t>
    </r>
  </si>
  <si>
    <t xml:space="preserve">GB</t>
  </si>
  <si>
    <r>
      <rPr>
        <sz val="11"/>
        <color theme="1"/>
        <rFont val="Calibri"/>
        <family val="2"/>
        <charset val="1"/>
      </rPr>
      <t xml:space="preserve">markets/memory/market.py UNITS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MI355X 288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MI450 432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</si>
  <si>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世代售價係數的 </t>
    </r>
    <r>
      <rPr>
        <sz val="11"/>
        <color theme="1"/>
        <rFont val="Calibri"/>
        <family val="2"/>
        <charset val="1"/>
      </rPr>
      <t xml:space="preserve">Analogy </t>
    </r>
    <r>
      <rPr>
        <sz val="11"/>
        <color theme="1"/>
        <rFont val="Noto Sans CJK SC"/>
        <family val="2"/>
      </rPr>
      <t xml:space="preserve">區間以容量比計（見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</si>
  <si>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t xml:space="preserve">gb_amd_27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</si>
  <si>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2027</t>
    </r>
  </si>
  <si>
    <t xml:space="preserve">gb_amd_28</t>
  </si>
  <si>
    <r>
      <rPr>
        <sz val="11"/>
        <color theme="1"/>
        <rFont val="Calibri"/>
        <family val="2"/>
        <charset val="1"/>
      </rPr>
      <t xml:space="preserve">AMD Instinct </t>
    </r>
    <r>
      <rPr>
        <sz val="11"/>
        <color theme="1"/>
        <rFont val="Noto Sans CJK SC"/>
        <family val="2"/>
      </rPr>
      <t xml:space="preserve">每顆 </t>
    </r>
    <r>
      <rPr>
        <sz val="11"/>
        <color theme="1"/>
        <rFont val="Calibri"/>
        <family val="2"/>
        <charset val="1"/>
      </rPr>
      <t xml:space="preserve">HBM 2028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</si>
  <si>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各平台每顆售價（金額份額用；與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模型同一套價格，讀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頁；模組層級）</t>
    </r>
  </si>
  <si>
    <t xml:space="preserve">pm_bw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</si>
  <si>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</si>
  <si>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US$K</t>
  </si>
  <si>
    <t xml:space="preserve">Derived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</si>
  <si>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In!D56:F56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</si>
  <si>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Rack!B6</t>
    </r>
  </si>
  <si>
    <t xml:space="preserve">pm_rb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</si>
  <si>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</si>
  <si>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In!D57:F57</t>
    </r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</si>
  <si>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Rack!C6</t>
    </r>
  </si>
  <si>
    <t xml:space="preserve">pm_ru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</si>
  <si>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Rubin Ultra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</si>
  <si>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In!D58:F58</t>
    </r>
  </si>
  <si>
    <r>
      <rPr>
        <sz val="11"/>
        <color theme="1"/>
        <rFont val="Noto Sans CJK SC"/>
        <family val="2"/>
      </rPr>
      <t xml:space="preserve">無：未發布。基準＝</t>
    </r>
    <r>
      <rPr>
        <sz val="11"/>
        <color theme="1"/>
        <rFont val="Calibri"/>
        <family val="2"/>
        <charset val="1"/>
      </rPr>
      <t xml:space="preserve">VR200 55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GB300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1.36 </t>
    </r>
    <r>
      <rPr>
        <sz val="11"/>
        <color theme="1"/>
        <rFont val="Noto Sans CJK SC"/>
        <family val="2"/>
      </rPr>
      <t xml:space="preserve">倍外推）＝</t>
    </r>
    <r>
      <rPr>
        <sz val="11"/>
        <color theme="1"/>
        <rFont val="Calibri"/>
        <family val="2"/>
        <charset val="1"/>
      </rPr>
      <t xml:space="preserve">75</t>
    </r>
  </si>
  <si>
    <t xml:space="preserve">pm_hp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</si>
  <si>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</si>
  <si>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In!D59:F59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</si>
  <si>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出貨僅 </t>
    </r>
    <r>
      <rPr>
        <sz val="11"/>
        <color theme="1"/>
        <rFont val="Calibri"/>
        <family val="2"/>
        <charset val="1"/>
      </rPr>
      <t xml:space="preserve">0.5M</t>
    </r>
    <r>
      <rPr>
        <sz val="11"/>
        <color theme="1"/>
        <rFont val="Noto Sans CJK SC"/>
        <family val="2"/>
      </rPr>
      <t xml:space="preserve">，影響小</t>
    </r>
  </si>
  <si>
    <t xml:space="preserve">pa_amd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</si>
  <si>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AMD Instinct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</si>
  <si>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In!D145:F145</t>
    </r>
  </si>
  <si>
    <r>
      <rPr>
        <sz val="11"/>
        <color theme="1"/>
        <rFont val="Calibri"/>
        <family val="2"/>
        <charset val="1"/>
      </rPr>
      <t xml:space="preserve">MI355X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下修）、其他報導 </t>
    </r>
    <r>
      <rPr>
        <sz val="11"/>
        <color theme="1"/>
        <rFont val="Calibri"/>
        <family val="2"/>
        <charset val="1"/>
      </rPr>
      <t xml:space="preserve">$20–25K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無官方價，部落格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gpusmith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MikeLongTerm</t>
    </r>
    <r>
      <rPr>
        <sz val="11"/>
        <color theme="1"/>
        <rFont val="Noto Sans CJK SC"/>
        <family val="2"/>
      </rPr>
      <t xml:space="preserve">；賣方有目標價誘因）</t>
    </r>
  </si>
  <si>
    <t xml:space="preserve">pa_tpu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</si>
  <si>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Google TPU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</si>
  <si>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In!D146:F146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</si>
  <si>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未找到（只有租用價代理：</t>
    </r>
    <r>
      <rPr>
        <sz val="11"/>
        <color theme="1"/>
        <rFont val="Calibri"/>
        <family val="2"/>
        <charset val="1"/>
      </rPr>
      <t xml:space="preserve">Ironwood $1.03–1.60</t>
    </r>
    <r>
      <rPr>
        <sz val="11"/>
        <color theme="1"/>
        <rFont val="Noto Sans CJK SC"/>
        <family val="2"/>
      </rPr>
      <t xml:space="preserve">／小時，</t>
    </r>
    <r>
      <rPr>
        <sz val="11"/>
        <color theme="1"/>
        <rFont val="Calibri"/>
        <family val="2"/>
        <charset val="1"/>
      </rPr>
      <t xml:space="preserve">SemiAnalysis</t>
    </r>
    <r>
      <rPr>
        <sz val="11"/>
        <color theme="1"/>
        <rFont val="Noto Sans CJK SC"/>
        <family val="2"/>
      </rPr>
      <t xml:space="preserve">，不可單獨使用）</t>
    </r>
  </si>
  <si>
    <t xml:space="preserve">pa_trn</t>
  </si>
  <si>
    <r>
      <rPr>
        <sz val="11"/>
        <color theme="1"/>
        <rFont val="Noto Sans CJK SC"/>
        <family val="2"/>
      </rPr>
      <t xml:space="preserve">每顆售價：</t>
    </r>
    <r>
      <rPr>
        <sz val="11"/>
        <color theme="1"/>
        <rFont val="Calibri"/>
        <family val="2"/>
        <charset val="1"/>
      </rPr>
      <t xml:space="preserve">AWS Trainium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</si>
  <si>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In!D147:F147</t>
    </r>
  </si>
  <si>
    <r>
      <rPr>
        <sz val="11"/>
        <color theme="1"/>
        <rFont val="Noto Sans CJK SC"/>
        <family val="2"/>
      </rPr>
      <t xml:space="preserve">無：每顆 </t>
    </r>
    <r>
      <rPr>
        <sz val="11"/>
        <color theme="1"/>
        <rFont val="Calibri"/>
        <family val="2"/>
        <charset val="1"/>
      </rPr>
      <t xml:space="preserve">ASP </t>
    </r>
    <r>
      <rPr>
        <sz val="11"/>
        <color theme="1"/>
        <rFont val="Noto Sans CJK SC"/>
        <family val="2"/>
      </rPr>
      <t xml:space="preserve">未找到</t>
    </r>
  </si>
  <si>
    <t xml:space="preserve">pa_oth</t>
  </si>
  <si>
    <r>
      <rPr>
        <sz val="11"/>
        <color theme="1"/>
        <rFont val="Noto Sans CJK SC"/>
        <family val="2"/>
      </rPr>
      <t xml:space="preserve">每顆售價：其他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</si>
  <si>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In!D148:F148</t>
    </r>
  </si>
  <si>
    <r>
      <rPr>
        <sz val="11"/>
        <color theme="1"/>
        <rFont val="Noto Sans CJK SC"/>
        <family val="2"/>
      </rPr>
      <t xml:space="preserve">無：未找到（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MTIA </t>
    </r>
    <r>
      <rPr>
        <sz val="11"/>
        <color theme="1"/>
        <rFont val="Noto Sans CJK SC"/>
        <family val="2"/>
      </rPr>
      <t xml:space="preserve">皆無 </t>
    </r>
    <r>
      <rPr>
        <sz val="11"/>
        <color theme="1"/>
        <rFont val="Calibri"/>
        <family val="2"/>
        <charset val="1"/>
      </rPr>
      <t xml:space="preserve">ASP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</si>
  <si>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C. HBM </t>
    </r>
    <r>
      <rPr>
        <b val="true"/>
        <sz val="11"/>
        <rFont val="Noto Sans CJK SC"/>
        <family val="2"/>
      </rPr>
      <t xml:space="preserve">價格路徑（情境別；讀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頁，原始來源 </t>
    </r>
    <r>
      <rPr>
        <b val="true"/>
        <sz val="11"/>
        <rFont val="Cambria"/>
        <family val="0"/>
        <charset val="1"/>
      </rPr>
      <t xml:space="preserve">skhynix </t>
    </r>
    <r>
      <rPr>
        <b val="true"/>
        <sz val="11"/>
        <rFont val="Noto Sans CJK SC"/>
        <family val="2"/>
      </rPr>
      <t xml:space="preserve">成品 </t>
    </r>
    <r>
      <rPr>
        <b val="true"/>
        <sz val="11"/>
        <rFont val="Cambria"/>
        <family val="0"/>
        <charset val="1"/>
      </rPr>
      <t xml:space="preserve">Mkt </t>
    </r>
    <r>
      <rPr>
        <b val="true"/>
        <sz val="11"/>
        <rFont val="Noto Sans CJK SC"/>
        <family val="2"/>
      </rPr>
      <t xml:space="preserve">頁；唯讀）</t>
    </r>
  </si>
  <si>
    <t xml:space="preserve">hbm_A_26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</si>
  <si>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</si>
  <si>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t xml:space="preserve">US$/GB</t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</si>
  <si>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In!D79:F79</t>
    </r>
  </si>
  <si>
    <r>
      <rPr>
        <sz val="11"/>
        <color theme="1"/>
        <rFont val="Calibri"/>
        <family val="2"/>
        <charset val="1"/>
      </rPr>
      <t xml:space="preserve">markets/memory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2026 BofA $14.6/GB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2027 +80% </t>
    </r>
    <r>
      <rPr>
        <sz val="11"/>
        <color theme="1"/>
        <rFont val="Noto Sans CJK SC"/>
        <family val="2"/>
      </rPr>
      <t xml:space="preserve">三情境相同；</t>
    </r>
    <r>
      <rPr>
        <sz val="11"/>
        <color theme="1"/>
        <rFont val="Calibri"/>
        <family val="2"/>
        <charset val="1"/>
      </rPr>
      <t xml:space="preserve">2028–29 </t>
    </r>
    <r>
      <rPr>
        <sz val="11"/>
        <color theme="1"/>
        <rFont val="Noto Sans CJK SC"/>
        <family val="2"/>
      </rPr>
      <t xml:space="preserve">依情境</t>
    </r>
  </si>
  <si>
    <t xml:space="preserve">hbm_A_27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</si>
  <si>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</si>
  <si>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In!D80:F80</t>
    </r>
  </si>
  <si>
    <t xml:space="preserve">hbm_A_28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</si>
  <si>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</si>
  <si>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In!D81:F81</t>
    </r>
  </si>
  <si>
    <t xml:space="preserve">hbm_A_29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</si>
  <si>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</si>
  <si>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In!D82:F82</t>
    </r>
  </si>
  <si>
    <t xml:space="preserve">hbm_B_26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</si>
  <si>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</si>
  <si>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In!D83:F83</t>
    </r>
  </si>
  <si>
    <t xml:space="preserve">hbm_B_27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</si>
  <si>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</si>
  <si>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In!D84:F84</t>
    </r>
  </si>
  <si>
    <t xml:space="preserve">hbm_B_28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</si>
  <si>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</si>
  <si>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In!D85:F85</t>
    </r>
  </si>
  <si>
    <t xml:space="preserve">hbm_B_29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</si>
  <si>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</si>
  <si>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In!D86:F86</t>
    </r>
  </si>
  <si>
    <t xml:space="preserve">hbm_C_26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</si>
  <si>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</si>
  <si>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In!D87:F87</t>
    </r>
  </si>
  <si>
    <t xml:space="preserve">hbm_C_27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</si>
  <si>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</si>
  <si>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In!D88:F88</t>
    </r>
  </si>
  <si>
    <t xml:space="preserve">hbm_C_28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</si>
  <si>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</si>
  <si>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In!D89:F89</t>
    </r>
  </si>
  <si>
    <t xml:space="preserve">hbm_C_29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</si>
  <si>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</si>
  <si>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nvidia/dist/20261025_NVIDIA</t>
    </r>
    <r>
      <rPr>
        <sz val="11"/>
        <color theme="1"/>
        <rFont val="Noto Sans CJK SC"/>
        <family val="2"/>
      </rPr>
      <t xml:space="preserve">模型</t>
    </r>
    <r>
      <rPr>
        <sz val="11"/>
        <color theme="1"/>
        <rFont val="Calibri"/>
        <family val="2"/>
        <charset val="1"/>
      </rPr>
      <t xml:space="preserve">_v0.2.xlsx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In!D90:F90</t>
    </r>
  </si>
  <si>
    <r>
      <rPr>
        <b val="true"/>
        <sz val="11"/>
        <rFont val="Cambria"/>
        <family val="0"/>
        <charset val="1"/>
      </rPr>
      <t xml:space="preserve">D. 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Instinct</t>
    </r>
    <r>
      <rPr>
        <b val="true"/>
        <sz val="11"/>
        <rFont val="Noto Sans CJK SC"/>
        <family val="2"/>
      </rPr>
      <t xml:space="preserve">）：公司不拆分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CPU</t>
    </r>
    <r>
      <rPr>
        <b val="true"/>
        <sz val="11"/>
        <rFont val="Noto Sans CJK SC"/>
        <family val="2"/>
      </rPr>
      <t xml:space="preserve">，拆分比例為 </t>
    </r>
    <r>
      <rPr>
        <b val="true"/>
        <sz val="11"/>
        <rFont val="Cambria"/>
        <family val="0"/>
        <charset val="1"/>
      </rPr>
      <t xml:space="preserve">Assumed</t>
    </r>
  </si>
  <si>
    <t xml:space="preserve">gpu25</t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</si>
  <si>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營收（歷史對照；不進預測）</t>
    </r>
  </si>
  <si>
    <t xml:space="preserve">US$B</t>
  </si>
  <si>
    <r>
      <rPr>
        <sz val="11"/>
        <color theme="1"/>
        <rFont val="Noto Sans CJK SC"/>
        <family val="2"/>
      </rPr>
      <t xml:space="preserve">公司不揭露。</t>
    </r>
    <r>
      <rPr>
        <sz val="11"/>
        <color theme="1"/>
        <rFont val="Calibri"/>
        <family val="2"/>
        <charset val="1"/>
      </rPr>
      <t xml:space="preserve">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2025 Instinct 2.65</t>
    </r>
    <r>
      <rPr>
        <sz val="11"/>
        <color theme="1"/>
        <rFont val="Noto Sans CJK SC"/>
        <family val="2"/>
      </rPr>
      <t xml:space="preserve">（含中國 </t>
    </r>
    <r>
      <rPr>
        <sz val="11"/>
        <color theme="1"/>
        <rFont val="Calibri"/>
        <family val="2"/>
        <charset val="1"/>
      </rPr>
      <t xml:space="preserve">MI308 0.39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Wells Fargo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2.5–2.6</t>
    </r>
    <r>
      <rPr>
        <sz val="11"/>
        <color theme="1"/>
        <rFont val="Noto Sans CJK SC"/>
        <family val="2"/>
      </rPr>
      <t xml:space="preserve">（二手）；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有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出口管制費用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</si>
  <si>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Calibri"/>
        <family val="2"/>
        <charset val="1"/>
      </rPr>
      <t xml:space="preserve">2024 Instinct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$5B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2025-01 </t>
    </r>
    <r>
      <rPr>
        <sz val="11"/>
        <color theme="1"/>
        <rFont val="Noto Sans CJK SC"/>
        <family val="2"/>
      </rPr>
      <t xml:space="preserve">法說，二手）。各季拆分：未找到</t>
    </r>
  </si>
  <si>
    <t xml:space="preserve">gs_q1</t>
  </si>
  <si>
    <r>
      <rPr>
        <sz val="11"/>
        <color theme="1"/>
        <rFont val="Calibri"/>
        <family val="2"/>
        <charset val="1"/>
      </rPr>
      <t xml:space="preserve">Q1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</si>
  <si>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公司不揭露；</t>
    </r>
    <r>
      <rPr>
        <sz val="11"/>
        <color theme="1"/>
        <rFont val="Calibri"/>
        <family val="2"/>
        <charset val="1"/>
      </rPr>
      <t xml:space="preserve">Q4 2025 Next Platform </t>
    </r>
    <r>
      <rPr>
        <sz val="11"/>
        <color theme="1"/>
        <rFont val="Noto Sans CJK SC"/>
        <family val="2"/>
      </rPr>
      <t xml:space="preserve">估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約占 </t>
    </r>
    <r>
      <rPr>
        <sz val="11"/>
        <color theme="1"/>
        <rFont val="Calibri"/>
        <family val="2"/>
        <charset val="1"/>
      </rPr>
      <t xml:space="preserve">49%</t>
    </r>
    <r>
      <rPr>
        <sz val="11"/>
        <color theme="1"/>
        <rFont val="Noto Sans CJK SC"/>
        <family val="2"/>
      </rPr>
      <t xml:space="preserve">（含中國）；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中國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$0.1B</t>
    </r>
    <r>
      <rPr>
        <sz val="11"/>
        <color theme="1"/>
        <rFont val="Noto Sans CJK SC"/>
        <family val="2"/>
      </rPr>
      <t xml:space="preserve">（公司指引）</t>
    </r>
  </si>
  <si>
    <t xml:space="preserve">第二來源：未找到</t>
  </si>
  <si>
    <t xml:space="preserve">gs_q2</t>
  </si>
  <si>
    <r>
      <rPr>
        <sz val="11"/>
        <color theme="1"/>
        <rFont val="Calibri"/>
        <family val="2"/>
        <charset val="1"/>
      </rPr>
      <t xml:space="preserve">Q2 2026 GPU </t>
    </r>
    <r>
      <rPr>
        <sz val="11"/>
        <color theme="1"/>
        <rFont val="Noto Sans CJK SC"/>
        <family val="2"/>
      </rPr>
      <t xml:space="preserve">占資料中心營收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</si>
  <si>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營收年增逾一倍（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基期受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管制壓低）；伺服器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雲端與企業皆年增逾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（法說摘要，二手：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）</t>
    </r>
  </si>
  <si>
    <t xml:space="preserve">ng_q3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</si>
  <si>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等）季增</t>
    </r>
  </si>
  <si>
    <r>
      <rPr>
        <sz val="11"/>
        <color theme="1"/>
        <rFont val="Noto Sans CJK SC"/>
        <family val="2"/>
      </rPr>
      <t xml:space="preserve">公司：下半年伺服器營收年增逾 </t>
    </r>
    <r>
      <rPr>
        <sz val="11"/>
        <color theme="1"/>
        <rFont val="Calibri"/>
        <family val="2"/>
        <charset val="1"/>
      </rPr>
      <t xml:space="preserve">80%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供給吃緊（法說摘要，二手）</t>
    </r>
  </si>
  <si>
    <t xml:space="preserve">—</t>
  </si>
  <si>
    <t xml:space="preserve">ng_q4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</si>
  <si>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季增</t>
    </r>
  </si>
  <si>
    <r>
      <rPr>
        <sz val="11"/>
        <color theme="1"/>
        <rFont val="Noto Sans CJK SC"/>
        <family val="2"/>
      </rPr>
      <t xml:space="preserve">同上；</t>
    </r>
    <r>
      <rPr>
        <sz val="11"/>
        <color theme="1"/>
        <rFont val="Calibri"/>
        <family val="2"/>
        <charset val="1"/>
      </rPr>
      <t xml:space="preserve">Venice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Zen 6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下半年開始部署（公司）</t>
    </r>
  </si>
  <si>
    <t xml:space="preserve">gm_gpu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</si>
  <si>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</si>
  <si>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毛利率低於公司平均（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法說摘要，二手）；公司平均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</si>
  <si>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Noto Sans CJK SC"/>
        <family val="2"/>
      </rPr>
      <t xml:space="preserve">第二來源：未找到。非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毛利率由此在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各區塊）</t>
    </r>
  </si>
  <si>
    <t xml:space="preserve">abs_mem</t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</si>
  <si>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漲價由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吸收的比例（其餘轉嫁到售價）</t>
    </r>
  </si>
  <si>
    <r>
      <rPr>
        <sz val="11"/>
        <color theme="1"/>
        <rFont val="Noto Sans CJK SC"/>
        <family val="2"/>
      </rPr>
      <t xml:space="preserve">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模型（</t>
    </r>
    <r>
      <rPr>
        <sz val="11"/>
        <color theme="1"/>
        <rFont val="Calibri"/>
        <family val="2"/>
        <charset val="1"/>
      </rPr>
      <t xml:space="preserve">Assumed 0–1</t>
    </r>
    <r>
      <rPr>
        <sz val="11"/>
        <color theme="1"/>
        <rFont val="Noto Sans CJK SC"/>
        <family val="2"/>
      </rPr>
      <t xml:space="preserve">，基準 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</si>
  <si>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第二來源：未找到。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對 </t>
    </r>
    <r>
      <rPr>
        <sz val="11"/>
        <color theme="1"/>
        <rFont val="Calibri"/>
        <family val="2"/>
        <charset val="1"/>
      </rPr>
      <t xml:space="preserve">HBM4 </t>
    </r>
    <r>
      <rPr>
        <sz val="11"/>
        <color theme="1"/>
        <rFont val="Noto Sans CJK SC"/>
        <family val="2"/>
      </rPr>
      <t xml:space="preserve">合約價轉嫁的公開說法：未找到</t>
    </r>
  </si>
  <si>
    <t xml:space="preserve">uf</t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</si>
  <si>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起乘以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市場層顆數）</t>
    </r>
  </si>
  <si>
    <r>
      <rPr>
        <sz val="11"/>
        <color theme="1"/>
        <rFont val="Noto Sans CJK SC"/>
        <family val="2"/>
      </rPr>
      <t xml:space="preserve">無：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 2 GW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5 </t>
    </r>
    <r>
      <rPr>
        <sz val="11"/>
        <color theme="1"/>
        <rFont val="Noto Sans CJK SC"/>
        <family val="2"/>
      </rPr>
      <t xml:space="preserve">萬顆等大單的時點不確定（見 </t>
    </r>
    <r>
      <rPr>
        <sz val="11"/>
        <color theme="1"/>
        <rFont val="Calibri"/>
        <family val="2"/>
        <charset val="1"/>
      </rPr>
      <t xml:space="preserve">H </t>
    </r>
    <r>
      <rPr>
        <sz val="11"/>
        <color theme="1"/>
        <rFont val="Noto Sans CJK SC"/>
        <family val="2"/>
      </rPr>
      <t xml:space="preserve">節）</t>
    </r>
  </si>
  <si>
    <t xml:space="preserve">±20%</t>
  </si>
  <si>
    <t xml:space="preserve">pg_27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</si>
  <si>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</si>
  <si>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</si>
  <si>
    <r>
      <rPr>
        <sz val="11"/>
        <color theme="1"/>
        <rFont val="Noto Sans CJK SC"/>
        <family val="2"/>
      </rPr>
      <t xml:space="preserve">基準 </t>
    </r>
    <r>
      <rPr>
        <sz val="11"/>
        <color theme="1"/>
        <rFont val="Calibri"/>
        <family val="2"/>
        <charset val="1"/>
      </rPr>
      <t xml:space="preserve">1.0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延續（比照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模型：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校準的水準沿用）；高＝售價隨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容量等比例（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432 ÷ 288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</si>
  <si>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MI455X </t>
    </r>
    <r>
      <rPr>
        <sz val="11"/>
        <color theme="1"/>
        <rFont val="Noto Sans CJK SC"/>
        <family val="2"/>
      </rPr>
      <t xml:space="preserve">官方價：未找到；部落格 </t>
    </r>
    <r>
      <rPr>
        <sz val="11"/>
        <color theme="1"/>
        <rFont val="Calibri"/>
        <family val="2"/>
        <charset val="1"/>
      </rPr>
      <t xml:space="preserve">$15–50K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pa_amd </t>
    </r>
    <r>
      <rPr>
        <sz val="11"/>
        <color theme="1"/>
        <rFont val="Noto Sans CJK SC"/>
        <family val="2"/>
      </rPr>
      <t xml:space="preserve">說明）</t>
    </r>
  </si>
  <si>
    <t xml:space="preserve">pg_28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</si>
  <si>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</si>
  <si>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t xml:space="preserve">pg_29</t>
  </si>
  <si>
    <r>
      <rPr>
        <sz val="11"/>
        <color theme="1"/>
        <rFont val="Noto Sans CJK SC"/>
        <family val="2"/>
      </rPr>
      <t xml:space="preserve">世代售價係數 </t>
    </r>
    <r>
      <rPr>
        <sz val="11"/>
        <color theme="1"/>
        <rFont val="Calibri"/>
        <family val="2"/>
        <charset val="1"/>
      </rPr>
      <t xml:space="preserve">2029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每顆售價 </t>
    </r>
    <r>
      <rPr>
        <sz val="11"/>
        <color theme="1"/>
        <rFont val="Calibri"/>
        <family val="2"/>
        <charset val="1"/>
      </rPr>
      <t xml:space="preserve">÷ FY2026 </t>
    </r>
    <r>
      <rPr>
        <sz val="11"/>
        <color theme="1"/>
        <rFont val="Noto Sans CJK SC"/>
        <family val="2"/>
      </rPr>
      <t xml:space="preserve">認列售價）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</si>
  <si>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其他業務（簡化成長率；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</si>
  <si>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g_cpu27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</si>
  <si>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等）年增 </t>
    </r>
    <r>
      <rPr>
        <sz val="11"/>
        <color theme="1"/>
        <rFont val="Calibri"/>
        <family val="2"/>
        <charset val="1"/>
      </rPr>
      <t xml:space="preserve">FY2027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</si>
  <si>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法說摘要，二手；只作 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，高＝公司說法）</t>
    </r>
  </si>
  <si>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市場 </t>
    </r>
    <r>
      <rPr>
        <sz val="11"/>
        <color theme="1"/>
        <rFont val="Calibri"/>
        <family val="2"/>
        <charset val="1"/>
      </rPr>
      <t xml:space="preserve">2030 </t>
    </r>
    <r>
      <rPr>
        <sz val="11"/>
        <color theme="1"/>
        <rFont val="Noto Sans CJK SC"/>
        <family val="2"/>
      </rPr>
      <t xml:space="preserve">年約 </t>
    </r>
    <r>
      <rPr>
        <sz val="11"/>
        <color theme="1"/>
        <rFont val="Calibri"/>
        <family val="2"/>
        <charset val="1"/>
      </rPr>
      <t xml:space="preserve">$220B</t>
    </r>
    <r>
      <rPr>
        <sz val="11"/>
        <color theme="1"/>
        <rFont val="Noto Sans CJK SC"/>
        <family val="2"/>
      </rPr>
      <t xml:space="preserve">、年增逾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（公司，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</si>
  <si>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t xml:space="preserve">g_cpu28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</si>
  <si>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FY2028</t>
    </r>
  </si>
  <si>
    <t xml:space="preserve">無</t>
  </si>
  <si>
    <t xml:space="preserve">g_cpu29</t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</si>
  <si>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FY2029</t>
    </r>
  </si>
  <si>
    <t xml:space="preserve">g_cli</t>
  </si>
  <si>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處理器）年增（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</si>
  <si>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PC </t>
    </r>
    <r>
      <rPr>
        <sz val="11"/>
        <color theme="1"/>
        <rFont val="Noto Sans CJK SC"/>
        <family val="2"/>
      </rPr>
      <t xml:space="preserve">市場轉弱、季節性低於上半年（二手）；</t>
    </r>
    <r>
      <rPr>
        <sz val="11"/>
        <color theme="1"/>
        <rFont val="Calibri"/>
        <family val="2"/>
        <charset val="1"/>
      </rPr>
      <t xml:space="preserve">Q2 2026 Client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23%</t>
    </r>
    <r>
      <rPr>
        <sz val="11"/>
        <color theme="1"/>
        <rFont val="Noto Sans CJK SC"/>
        <family val="2"/>
      </rPr>
      <t xml:space="preserve">（公司）</t>
    </r>
  </si>
  <si>
    <t xml:space="preserve">g_gam</t>
  </si>
  <si>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（主機半客製＋顯示卡）年增（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</si>
  <si>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半客製營收大幅雙位數下滑（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法說，二手）；</t>
    </r>
    <r>
      <rPr>
        <sz val="11"/>
        <color theme="1"/>
        <rFont val="Calibri"/>
        <family val="2"/>
        <charset val="1"/>
      </rPr>
      <t xml:space="preserve">Q2 2026 Gaming </t>
    </r>
    <r>
      <rPr>
        <sz val="11"/>
        <color theme="1"/>
        <rFont val="Noto Sans CJK SC"/>
        <family val="2"/>
      </rPr>
      <t xml:space="preserve">年減 </t>
    </r>
    <r>
      <rPr>
        <sz val="11"/>
        <color theme="1"/>
        <rFont val="Calibri"/>
        <family val="2"/>
        <charset val="1"/>
      </rPr>
      <t xml:space="preserve">31%</t>
    </r>
    <r>
      <rPr>
        <sz val="11"/>
        <color theme="1"/>
        <rFont val="Noto Sans CJK SC"/>
        <family val="2"/>
      </rPr>
      <t xml:space="preserve">（公司）</t>
    </r>
  </si>
  <si>
    <t xml:space="preserve">下一代主機時程：未找到</t>
  </si>
  <si>
    <t xml:space="preserve">g_emb</t>
  </si>
  <si>
    <r>
      <rPr>
        <sz val="11"/>
        <color theme="1"/>
        <rFont val="Calibri"/>
        <family val="2"/>
        <charset val="1"/>
      </rPr>
      <t xml:space="preserve">Embedded </t>
    </r>
    <r>
      <rPr>
        <sz val="11"/>
        <color theme="1"/>
        <rFont val="Noto Sans CJK SC"/>
        <family val="2"/>
      </rPr>
      <t xml:space="preserve">年增（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</si>
  <si>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強勁雙位數季增；今年設計案逾 </t>
    </r>
    <r>
      <rPr>
        <sz val="11"/>
        <color theme="1"/>
        <rFont val="Calibri"/>
        <family val="2"/>
        <charset val="1"/>
      </rPr>
      <t xml:space="preserve">$18B</t>
    </r>
    <r>
      <rPr>
        <sz val="11"/>
        <color theme="1"/>
        <rFont val="Noto Sans CJK SC"/>
        <family val="2"/>
      </rPr>
      <t xml:space="preserve">（二手）</t>
    </r>
  </si>
  <si>
    <r>
      <rPr>
        <b val="true"/>
        <sz val="11"/>
        <rFont val="Cambria"/>
        <family val="0"/>
        <charset val="1"/>
      </rPr>
      <t xml:space="preserve">F. FY2026 </t>
    </r>
    <r>
      <rPr>
        <b val="true"/>
        <sz val="11"/>
        <rFont val="Noto Sans CJK SC"/>
        <family val="2"/>
      </rPr>
      <t xml:space="preserve">錨點假設（</t>
    </r>
    <r>
      <rPr>
        <b val="true"/>
        <sz val="11"/>
        <rFont val="Cambria"/>
        <family val="0"/>
        <charset val="1"/>
      </rPr>
      <t xml:space="preserve">Q1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Q2 </t>
    </r>
    <r>
      <rPr>
        <b val="true"/>
        <sz val="11"/>
        <rFont val="Noto Sans CJK SC"/>
        <family val="2"/>
      </rPr>
      <t xml:space="preserve">實績＋</t>
    </r>
    <r>
      <rPr>
        <b val="true"/>
        <sz val="11"/>
        <rFont val="Cambria"/>
        <family val="0"/>
        <charset val="1"/>
      </rPr>
      <t xml:space="preserve">Q3 </t>
    </r>
    <r>
      <rPr>
        <b val="true"/>
        <sz val="11"/>
        <rFont val="Noto Sans CJK SC"/>
        <family val="2"/>
      </rPr>
      <t xml:space="preserve">指引＋</t>
    </r>
    <r>
      <rPr>
        <b val="true"/>
        <sz val="11"/>
        <rFont val="Cambria"/>
        <family val="0"/>
        <charset val="1"/>
      </rPr>
      <t xml:space="preserve">Q4 </t>
    </r>
    <r>
      <rPr>
        <b val="true"/>
        <sz val="11"/>
        <rFont val="Noto Sans CJK SC"/>
        <family val="2"/>
      </rPr>
      <t xml:space="preserve">假設）</t>
    </r>
  </si>
  <si>
    <t xml:space="preserve">q3_rev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</si>
  <si>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營收指引（</t>
    </r>
    <r>
      <rPr>
        <sz val="11"/>
        <color theme="1"/>
        <rFont val="Calibri"/>
        <family val="2"/>
        <charset val="1"/>
      </rPr>
      <t xml:space="preserve">±$0.3B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</si>
  <si>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$13B ±$300M</t>
    </r>
  </si>
  <si>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</si>
  <si>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q3_gm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</si>
  <si>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毛利率指引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</si>
  <si>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56%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</si>
  <si>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簡報（同一公司文件）</t>
    </r>
  </si>
  <si>
    <t xml:space="preserve">q3_opx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</si>
  <si>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營業費用指引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</si>
  <si>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$3.65B</t>
    </r>
  </si>
  <si>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摘要（二手）</t>
    </r>
  </si>
  <si>
    <t xml:space="preserve">q3_oth</t>
  </si>
  <si>
    <r>
      <rPr>
        <sz val="11"/>
        <color theme="1"/>
        <rFont val="Calibri"/>
        <family val="2"/>
        <charset val="1"/>
      </rPr>
      <t xml:space="preserve">Q3 2026 non-GAAP </t>
    </r>
    <r>
      <rPr>
        <sz val="11"/>
        <color theme="1"/>
        <rFont val="Noto Sans CJK SC"/>
        <family val="2"/>
      </rPr>
      <t xml:space="preserve">其他收益（扣利息費用）指引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</si>
  <si>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$55M</t>
    </r>
  </si>
  <si>
    <t xml:space="preserve">tx_26</t>
  </si>
  <si>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有效稅率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</si>
  <si>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13%</t>
    </r>
  </si>
  <si>
    <r>
      <rPr>
        <sz val="11"/>
        <color theme="1"/>
        <rFont val="Calibri"/>
        <family val="2"/>
        <charset val="1"/>
      </rPr>
      <t xml:space="preserve">Q1–Q2 </t>
    </r>
    <r>
      <rPr>
        <sz val="11"/>
        <color theme="1"/>
        <rFont val="Noto Sans CJK SC"/>
        <family val="2"/>
      </rPr>
      <t xml:space="preserve">實績推得約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</si>
  <si>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q3_sh</t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</si>
  <si>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稀釋股數指引</t>
    </r>
  </si>
  <si>
    <t xml:space="preserve">十億股</t>
  </si>
  <si>
    <r>
      <rPr>
        <sz val="11"/>
        <color theme="1"/>
        <rFont val="Calibri"/>
        <family val="2"/>
        <charset val="1"/>
      </rPr>
      <t xml:space="preserve">https://www.sec.gov/Archives/edgar/data/2488/000000248826000121/amdq22026earningsslidesf.htm</t>
    </r>
    <r>
      <rPr>
        <sz val="11"/>
        <color theme="1"/>
        <rFont val="Noto Sans CJK SC"/>
        <family val="2"/>
      </rPr>
      <t xml:space="preserve">：約 </t>
    </r>
    <r>
      <rPr>
        <sz val="11"/>
        <color theme="1"/>
        <rFont val="Calibri"/>
        <family val="2"/>
        <charset val="1"/>
      </rPr>
      <t xml:space="preserve">1,661M</t>
    </r>
  </si>
  <si>
    <t xml:space="preserve">q3_cli</t>
  </si>
  <si>
    <r>
      <rPr>
        <sz val="11"/>
        <color theme="1"/>
        <rFont val="Calibri"/>
        <family val="2"/>
        <charset val="1"/>
      </rPr>
      <t xml:space="preserve">Q3 2026 Client </t>
    </r>
    <r>
      <rPr>
        <sz val="11"/>
        <color theme="1"/>
        <rFont val="Noto Sans CJK SC"/>
        <family val="2"/>
      </rPr>
      <t xml:space="preserve">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</si>
  <si>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合計小幅季減；</t>
    </r>
    <r>
      <rPr>
        <sz val="11"/>
        <color theme="1"/>
        <rFont val="Calibri"/>
        <family val="2"/>
        <charset val="1"/>
      </rPr>
      <t xml:space="preserve">Client </t>
    </r>
    <r>
      <rPr>
        <sz val="11"/>
        <color theme="1"/>
        <rFont val="Noto Sans CJK SC"/>
        <family val="2"/>
      </rPr>
      <t xml:space="preserve">略增、</t>
    </r>
    <r>
      <rPr>
        <sz val="11"/>
        <color theme="1"/>
        <rFont val="Calibri"/>
        <family val="2"/>
        <charset val="1"/>
      </rPr>
      <t xml:space="preserve">Gaming </t>
    </r>
    <r>
      <rPr>
        <sz val="11"/>
        <color theme="1"/>
        <rFont val="Noto Sans CJK SC"/>
        <family val="2"/>
      </rPr>
      <t xml:space="preserve">強勁雙位數下滑（法說摘要，二手）</t>
    </r>
  </si>
  <si>
    <t xml:space="preserve">q3_gam</t>
  </si>
  <si>
    <r>
      <rPr>
        <sz val="11"/>
        <color theme="1"/>
        <rFont val="Calibri"/>
        <family val="2"/>
        <charset val="1"/>
      </rPr>
      <t xml:space="preserve">Q3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</si>
  <si>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q3_emb</t>
  </si>
  <si>
    <r>
      <rPr>
        <sz val="11"/>
        <color theme="1"/>
        <rFont val="Calibri"/>
        <family val="2"/>
        <charset val="1"/>
      </rPr>
      <t xml:space="preserve">Q3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</si>
  <si>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公司：強勁雙位數季增（二手）</t>
  </si>
  <si>
    <t xml:space="preserve">q4_dc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</si>
  <si>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資料中心季增（假設）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</si>
  <si>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第三季底開始出貨、第四季放量（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法說摘要，二手）；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第四季有顯著量（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法說）</t>
    </r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</si>
  <si>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$51.0B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$16.2B</t>
    </r>
    <r>
      <rPr>
        <sz val="11"/>
        <color theme="1"/>
        <rFont val="Noto Sans CJK SC"/>
        <family val="2"/>
      </rPr>
      <t xml:space="preserve">（只作對照，不校準）</t>
    </r>
  </si>
  <si>
    <t xml:space="preserve">q4_cli</t>
  </si>
  <si>
    <r>
      <rPr>
        <sz val="11"/>
        <color theme="1"/>
        <rFont val="Calibri"/>
        <family val="2"/>
        <charset val="1"/>
      </rPr>
      <t xml:space="preserve">Q4 2026 Client </t>
    </r>
    <r>
      <rPr>
        <sz val="11"/>
        <color theme="1"/>
        <rFont val="Noto Sans CJK SC"/>
        <family val="2"/>
      </rPr>
      <t xml:space="preserve">季增（假設）</t>
    </r>
  </si>
  <si>
    <t xml:space="preserve">公司：下半年季節性低於上半年（二手）</t>
  </si>
  <si>
    <t xml:space="preserve">q4_gam</t>
  </si>
  <si>
    <r>
      <rPr>
        <sz val="11"/>
        <color theme="1"/>
        <rFont val="Calibri"/>
        <family val="2"/>
        <charset val="1"/>
      </rPr>
      <t xml:space="preserve">Q4 2026 Gaming </t>
    </r>
    <r>
      <rPr>
        <sz val="11"/>
        <color theme="1"/>
        <rFont val="Noto Sans CJK SC"/>
        <family val="2"/>
      </rPr>
      <t xml:space="preserve">季增（假設）</t>
    </r>
  </si>
  <si>
    <t xml:space="preserve">q4_emb</t>
  </si>
  <si>
    <r>
      <rPr>
        <sz val="11"/>
        <color theme="1"/>
        <rFont val="Calibri"/>
        <family val="2"/>
        <charset val="1"/>
      </rPr>
      <t xml:space="preserve">Q4 2026 Embedded </t>
    </r>
    <r>
      <rPr>
        <sz val="11"/>
        <color theme="1"/>
        <rFont val="Noto Sans CJK SC"/>
        <family val="2"/>
      </rPr>
      <t xml:space="preserve">季增（假設）</t>
    </r>
  </si>
  <si>
    <t xml:space="preserve">q4_gm</t>
  </si>
  <si>
    <r>
      <rPr>
        <sz val="11"/>
        <color theme="1"/>
        <rFont val="Calibri"/>
        <family val="2"/>
        <charset val="1"/>
      </rPr>
      <t xml:space="preserve">Q4 2026 non-GAAP </t>
    </r>
    <r>
      <rPr>
        <sz val="11"/>
        <color theme="1"/>
        <rFont val="Noto Sans CJK SC"/>
        <family val="2"/>
      </rPr>
      <t xml:space="preserve">毛利率（假設）</t>
    </r>
  </si>
  <si>
    <r>
      <rPr>
        <sz val="11"/>
        <color theme="1"/>
        <rFont val="Noto Sans CJK SC"/>
        <family val="2"/>
      </rPr>
      <t xml:space="preserve">公司：資料中心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毛利率低於平均，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放量季組合偏低（二手）</t>
    </r>
  </si>
  <si>
    <r>
      <rPr>
        <sz val="11"/>
        <color theme="1"/>
        <rFont val="Noto Sans CJK SC"/>
        <family val="2"/>
      </rPr>
      <t xml:space="preserve">高＝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指引附近</t>
    </r>
  </si>
  <si>
    <t xml:space="preserve">q4_opx_g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</si>
  <si>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營業費用季增（假設）</t>
    </r>
  </si>
  <si>
    <r>
      <rPr>
        <sz val="11"/>
        <color theme="1"/>
        <rFont val="Calibri"/>
        <family val="2"/>
        <charset val="1"/>
      </rPr>
      <t xml:space="preserve">Q1→Q2 +7.9%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Q2→Q3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+7.5%</t>
    </r>
    <r>
      <rPr>
        <sz val="11"/>
        <color theme="1"/>
        <rFont val="Noto Sans CJK SC"/>
        <family val="2"/>
      </rPr>
      <t xml:space="preserve">（公司）；下半年費用成長落後營收（公司，二手）</t>
    </r>
  </si>
  <si>
    <t xml:space="preserve">q4_sh</t>
  </si>
  <si>
    <r>
      <rPr>
        <sz val="11"/>
        <color theme="1"/>
        <rFont val="Calibri"/>
        <family val="2"/>
        <charset val="1"/>
      </rPr>
      <t xml:space="preserve">Q4 2026 </t>
    </r>
    <r>
      <rPr>
        <sz val="11"/>
        <color theme="1"/>
        <rFont val="Noto Sans CJK SC"/>
        <family val="2"/>
      </rPr>
      <t xml:space="preserve">稀釋股數季變動</t>
    </r>
  </si>
  <si>
    <r>
      <rPr>
        <sz val="11"/>
        <color theme="1"/>
        <rFont val="Calibri"/>
        <family val="2"/>
        <charset val="1"/>
      </rPr>
      <t xml:space="preserve">Q1→Q2 +0.5%</t>
    </r>
    <r>
      <rPr>
        <sz val="11"/>
        <color theme="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</si>
  <si>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認股權證的稀釋另計（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節）</t>
    </r>
  </si>
  <si>
    <r>
      <rPr>
        <b val="true"/>
        <sz val="11"/>
        <rFont val="Cambria"/>
        <family val="0"/>
        <charset val="1"/>
      </rPr>
      <t xml:space="preserve">G. </t>
    </r>
    <r>
      <rPr>
        <b val="true"/>
        <sz val="11"/>
        <rFont val="Noto Sans CJK SC"/>
        <family val="2"/>
      </rPr>
      <t xml:space="preserve">營業費用、稅、股數、認股權證（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起）</t>
    </r>
  </si>
  <si>
    <t xml:space="preserve">phi</t>
  </si>
  <si>
    <t xml:space="preserve">營業費用成長對營收成長的彈性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</si>
  <si>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</si>
  <si>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；公司：費用成長低於營收成長（二手）</t>
    </r>
  </si>
  <si>
    <t xml:space="preserve">g_opx_min</t>
  </si>
  <si>
    <t xml:space="preserve">營業費用年增下限</t>
  </si>
  <si>
    <t xml:space="preserve">營收下滑時費用僵固</t>
  </si>
  <si>
    <t xml:space="preserve">opx_adj</t>
  </si>
  <si>
    <r>
      <rPr>
        <sz val="11"/>
        <color theme="1"/>
        <rFont val="Noto Sans CJK SC"/>
        <family val="2"/>
      </rPr>
      <t xml:space="preserve">營業費用額外占營收比（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用；基準為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</si>
  <si>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pt</t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</si>
  <si>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 </t>
    </r>
    <r>
      <rPr>
        <sz val="11"/>
        <color theme="1"/>
        <rFont val="Calibri"/>
        <family val="2"/>
        <charset val="1"/>
      </rPr>
      <t xml:space="preserve">±2 </t>
    </r>
    <r>
      <rPr>
        <sz val="11"/>
        <color theme="1"/>
        <rFont val="Noto Sans CJK SC"/>
        <family val="2"/>
      </rPr>
      <t xml:space="preserve">個百分點</t>
    </r>
  </si>
  <si>
    <t xml:space="preserve">tx_f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</si>
  <si>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</si>
  <si>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13%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13.0%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</si>
  <si>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oth_f</t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</si>
  <si>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其他收益淨額（扣利息；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起每年）</t>
    </r>
  </si>
  <si>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指引 </t>
    </r>
    <r>
      <rPr>
        <sz val="11"/>
        <color theme="1"/>
        <rFont val="Calibri"/>
        <family val="2"/>
        <charset val="1"/>
      </rPr>
      <t xml:space="preserve">$55M</t>
    </r>
    <r>
      <rPr>
        <sz val="11"/>
        <color theme="1"/>
        <rFont val="Noto Sans CJK SC"/>
        <family val="2"/>
      </rPr>
      <t xml:space="preserve">／季（公司）；</t>
    </r>
    <r>
      <rPr>
        <sz val="11"/>
        <color theme="1"/>
        <rFont val="Calibri"/>
        <family val="2"/>
        <charset val="1"/>
      </rPr>
      <t xml:space="preserve">Q1–Q2 2026 </t>
    </r>
    <r>
      <rPr>
        <sz val="11"/>
        <color theme="1"/>
        <rFont val="Noto Sans CJK SC"/>
        <family val="2"/>
      </rPr>
      <t xml:space="preserve">推得 </t>
    </r>
    <r>
      <rPr>
        <sz val="11"/>
        <color theme="1"/>
        <rFont val="Calibri"/>
        <family val="2"/>
        <charset val="1"/>
      </rPr>
      <t xml:space="preserve">0.06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0.08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頁）</t>
    </r>
  </si>
  <si>
    <t xml:space="preserve">sh_g</t>
  </si>
  <si>
    <r>
      <rPr>
        <sz val="11"/>
        <color theme="1"/>
        <rFont val="Noto Sans CJK SC"/>
        <family val="2"/>
      </rPr>
      <t xml:space="preserve">稀釋股數年變動（不含認股權證；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起）</t>
    </r>
  </si>
  <si>
    <r>
      <rPr>
        <sz val="11"/>
        <color theme="1"/>
        <rFont val="Calibri"/>
        <family val="2"/>
        <charset val="1"/>
      </rPr>
      <t xml:space="preserve">FY2025 1.636 → Q2 2026 1.659</t>
    </r>
    <r>
      <rPr>
        <sz val="11"/>
        <color theme="1"/>
        <rFont val="Noto Sans CJK SC"/>
        <family val="2"/>
      </rPr>
      <t xml:space="preserve">（年化約 </t>
    </r>
    <r>
      <rPr>
        <sz val="11"/>
        <color theme="1"/>
        <rFont val="Calibri"/>
        <family val="2"/>
        <charset val="1"/>
      </rPr>
      <t xml:space="preserve">+1.4%</t>
    </r>
    <r>
      <rPr>
        <sz val="11"/>
        <color theme="1"/>
        <rFont val="Noto Sans CJK SC"/>
        <family val="2"/>
      </rPr>
      <t xml:space="preserve">，公司）；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上半年買回僅 </t>
    </r>
    <r>
      <rPr>
        <sz val="11"/>
        <color theme="1"/>
        <rFont val="Calibri"/>
        <family val="2"/>
        <charset val="1"/>
      </rPr>
      <t xml:space="preserve">$0.22B</t>
    </r>
    <r>
      <rPr>
        <sz val="11"/>
        <color theme="1"/>
        <rFont val="Noto Sans CJK SC"/>
        <family val="2"/>
      </rPr>
      <t xml:space="preserve">（公司 </t>
    </r>
    <r>
      <rPr>
        <sz val="11"/>
        <color theme="1"/>
        <rFont val="Calibri"/>
        <family val="2"/>
        <charset val="1"/>
      </rPr>
      <t xml:space="preserve">10-Q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</si>
  <si>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低／高 </t>
    </r>
    <r>
      <rPr>
        <sz val="11"/>
        <color theme="1"/>
        <rFont val="Calibri"/>
        <family val="2"/>
        <charset val="1"/>
      </rPr>
      <t xml:space="preserve">Assumed</t>
    </r>
  </si>
  <si>
    <t xml:space="preserve">w_tot</t>
  </si>
  <si>
    <r>
      <rPr>
        <sz val="11"/>
        <color theme="1"/>
        <rFont val="Noto Sans CJK SC"/>
        <family val="2"/>
      </rPr>
      <t xml:space="preserve">客戶認股權證上限：</t>
    </r>
    <r>
      <rPr>
        <sz val="11"/>
        <color theme="1"/>
        <rFont val="Calibri"/>
        <family val="2"/>
        <charset val="1"/>
      </rPr>
      <t xml:space="preserve">OpenAI 160M </t>
    </r>
    <r>
      <rPr>
        <sz val="11"/>
        <color theme="1"/>
        <rFont val="Noto Sans CJK SC"/>
        <family val="2"/>
      </rPr>
      <t xml:space="preserve">＋ </t>
    </r>
    <r>
      <rPr>
        <sz val="11"/>
        <color theme="1"/>
        <rFont val="Calibri"/>
        <family val="2"/>
        <charset val="1"/>
      </rPr>
      <t xml:space="preserve">Meta 160M </t>
    </r>
    <r>
      <rPr>
        <sz val="11"/>
        <color theme="1"/>
        <rFont val="Noto Sans CJK SC"/>
        <family val="2"/>
      </rPr>
      <t xml:space="preserve">股</t>
    </r>
  </si>
  <si>
    <t xml:space="preserve">Verified</t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</si>
  <si>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2025-10-06 OpenAI </t>
    </r>
    <r>
      <rPr>
        <sz val="11"/>
        <color theme="1"/>
        <rFont val="Noto Sans CJK SC"/>
        <family val="2"/>
      </rPr>
      <t xml:space="preserve">新聞稿；</t>
    </r>
    <r>
      <rPr>
        <sz val="11"/>
        <color theme="1"/>
        <rFont val="Calibri"/>
        <family val="2"/>
        <charset val="1"/>
      </rPr>
      <t xml:space="preserve">2026-02-24 Meta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</si>
  <si>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出貨里程碑與股價門檻分批歸屬；各批股數：未找到</t>
    </r>
  </si>
  <si>
    <t xml:space="preserve">w_gw</t>
  </si>
  <si>
    <r>
      <rPr>
        <sz val="11"/>
        <color theme="1"/>
        <rFont val="Noto Sans CJK SC"/>
        <family val="2"/>
      </rPr>
      <t xml:space="preserve">認股權證對應的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合計（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）</t>
    </r>
  </si>
  <si>
    <t xml:space="preserve">GW</t>
  </si>
  <si>
    <t xml:space="preserve">gw_26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</si>
  <si>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</si>
  <si>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首批隨首個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歸屬；兩案首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皆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下半年開始出貨（公司）</t>
    </r>
  </si>
  <si>
    <t xml:space="preserve">歸屬時點：未找到</t>
  </si>
  <si>
    <t xml:space="preserve">gw_27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</si>
  <si>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年底</t>
    </r>
  </si>
  <si>
    <r>
      <rPr>
        <sz val="11"/>
        <color theme="1"/>
        <rFont val="Noto Sans CJK SC"/>
        <family val="2"/>
      </rPr>
      <t xml:space="preserve">假設兩案各完成 </t>
    </r>
    <r>
      <rPr>
        <sz val="11"/>
        <color theme="1"/>
        <rFont val="Calibri"/>
        <family val="2"/>
        <charset val="1"/>
      </rPr>
      <t xml:space="preserve">1 GW</t>
    </r>
  </si>
  <si>
    <r>
      <rPr>
        <sz val="11"/>
        <color theme="1"/>
        <rFont val="Noto Sans CJK SC"/>
        <family val="2"/>
      </rPr>
      <t xml:space="preserve">股價門檻（</t>
    </r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最後一批 </t>
    </r>
    <r>
      <rPr>
        <sz val="11"/>
        <color theme="1"/>
        <rFont val="Calibri"/>
        <family val="2"/>
        <charset val="1"/>
      </rPr>
      <t xml:space="preserve">$600</t>
    </r>
    <r>
      <rPr>
        <sz val="11"/>
        <color theme="1"/>
        <rFont val="Noto Sans CJK SC"/>
        <family val="2"/>
      </rPr>
      <t xml:space="preserve">，媒體報導，二手）未模型化</t>
    </r>
  </si>
  <si>
    <t xml:space="preserve">gw_28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</si>
  <si>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2028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</si>
  <si>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gw_29</t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</si>
  <si>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累計：</t>
    </r>
    <r>
      <rPr>
        <sz val="11"/>
        <color theme="1"/>
        <rFont val="Calibri"/>
        <family val="2"/>
        <charset val="1"/>
      </rPr>
      <t xml:space="preserve">2029 </t>
    </r>
    <r>
      <rPr>
        <sz val="11"/>
        <color theme="1"/>
        <rFont val="Noto Sans CJK SC"/>
        <family val="2"/>
      </rPr>
      <t xml:space="preserve">年底（情境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乘顆數係數）</t>
    </r>
  </si>
  <si>
    <t xml:space="preserve">wf</t>
  </si>
  <si>
    <r>
      <rPr>
        <sz val="11"/>
        <color theme="1"/>
        <rFont val="Noto Sans CJK SC"/>
        <family val="2"/>
      </rPr>
      <t xml:space="preserve">認股權證歸屬速度係數（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用）</t>
    </r>
  </si>
  <si>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＝不歸屬（股價門檻或里程碑未達）</t>
    </r>
  </si>
  <si>
    <r>
      <rPr>
        <b val="true"/>
        <sz val="11"/>
        <rFont val="Cambria"/>
        <family val="0"/>
        <charset val="1"/>
      </rPr>
      <t xml:space="preserve">H. </t>
    </r>
    <r>
      <rPr>
        <b val="true"/>
        <sz val="11"/>
        <rFont val="Noto Sans CJK SC"/>
        <family val="2"/>
      </rPr>
      <t xml:space="preserve">公司指引、大單與共識（只作 </t>
    </r>
    <r>
      <rPr>
        <b val="true"/>
        <sz val="11"/>
        <rFont val="Cambria"/>
        <family val="0"/>
        <charset val="1"/>
      </rPr>
      <t xml:space="preserve">Recon </t>
    </r>
    <r>
      <rPr>
        <b val="true"/>
        <sz val="11"/>
        <rFont val="Noto Sans CJK SC"/>
        <family val="2"/>
      </rPr>
      <t xml:space="preserve">對帳，不作校準）</t>
    </r>
  </si>
  <si>
    <t xml:space="preserve">g_dc27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</si>
  <si>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資料中心營收年增（逾一倍）</t>
    </r>
  </si>
  <si>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</t>
    </r>
    <r>
      <rPr>
        <sz val="11"/>
        <color theme="1"/>
        <rFont val="Calibri"/>
        <family val="2"/>
        <charset val="1"/>
      </rPr>
      <t xml:space="preserve">MarketBeat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platformaeronaut </t>
    </r>
    <r>
      <rPr>
        <sz val="11"/>
        <color theme="1"/>
        <rFont val="Noto Sans CJK SC"/>
        <family val="2"/>
      </rPr>
      <t xml:space="preserve">摘要，二手）</t>
    </r>
  </si>
  <si>
    <t xml:space="preserve">逐字稿未取得</t>
  </si>
  <si>
    <t xml:space="preserve">g_srv27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</si>
  <si>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年增（逾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</si>
  <si>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下半年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80%</t>
    </r>
  </si>
  <si>
    <t xml:space="preserve">lt_eps</t>
  </si>
  <si>
    <r>
      <rPr>
        <sz val="11"/>
        <color theme="1"/>
        <rFont val="Noto Sans CJK SC"/>
        <family val="2"/>
      </rPr>
      <t xml:space="preserve">公司：策略期間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稱將顯著超過）</t>
    </r>
  </si>
  <si>
    <t xml:space="preserve">US$</t>
  </si>
  <si>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法說重述，</t>
    </r>
    <r>
      <rPr>
        <sz val="11"/>
        <color theme="1"/>
        <rFont val="Calibri"/>
        <family val="2"/>
        <charset val="1"/>
      </rPr>
      <t xml:space="preserve">Motley Fool </t>
    </r>
    <r>
      <rPr>
        <sz val="11"/>
        <color theme="1"/>
        <rFont val="Noto Sans CJK SC"/>
        <family val="2"/>
      </rPr>
      <t xml:space="preserve">逐字稿）</t>
    </r>
  </si>
  <si>
    <r>
      <rPr>
        <sz val="11"/>
        <color theme="1"/>
        <rFont val="Noto Sans CJK SC"/>
        <family val="2"/>
      </rPr>
      <t xml:space="preserve">營收年複合成長逾 </t>
    </r>
    <r>
      <rPr>
        <sz val="11"/>
        <color theme="1"/>
        <rFont val="Calibri"/>
        <family val="2"/>
        <charset val="1"/>
      </rPr>
      <t xml:space="preserve">35%</t>
    </r>
    <r>
      <rPr>
        <sz val="11"/>
        <color theme="1"/>
        <rFont val="Noto Sans CJK SC"/>
        <family val="2"/>
      </rPr>
      <t xml:space="preserve">、資料中心逾 </t>
    </r>
    <r>
      <rPr>
        <sz val="11"/>
        <color theme="1"/>
        <rFont val="Calibri"/>
        <family val="2"/>
        <charset val="1"/>
      </rPr>
      <t xml:space="preserve">60%</t>
    </r>
  </si>
  <si>
    <t xml:space="preserve">openai_gw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</si>
  <si>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MI450 </t>
    </r>
    <r>
      <rPr>
        <sz val="11"/>
        <color theme="1"/>
        <rFont val="Noto Sans CJK SC"/>
        <family val="2"/>
      </rPr>
      <t xml:space="preserve">於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下半年）；</t>
    </r>
    <r>
      <rPr>
        <sz val="11"/>
        <color theme="1"/>
        <rFont val="Calibri"/>
        <family val="2"/>
        <charset val="1"/>
      </rPr>
      <t xml:space="preserve">CFO</t>
    </r>
    <r>
      <rPr>
        <sz val="11"/>
        <color theme="1"/>
        <rFont val="Noto Sans CJK SC"/>
        <family val="2"/>
      </rPr>
      <t xml:space="preserve">：數百億美元營收</t>
    </r>
  </si>
  <si>
    <r>
      <rPr>
        <sz val="11"/>
        <color theme="1"/>
        <rFont val="Calibri"/>
        <family val="2"/>
        <charset val="1"/>
      </rPr>
      <t xml:space="preserve">AMD 2025-10-06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ir.amd.com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</si>
  <si>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OpenAI </t>
    </r>
    <r>
      <rPr>
        <sz val="11"/>
        <color theme="1"/>
        <rFont val="Noto Sans CJK SC"/>
        <family val="2"/>
      </rPr>
      <t xml:space="preserve">為交易對手（立場：取得認股權證）</t>
    </r>
  </si>
  <si>
    <t xml:space="preserve">meta_gw</t>
  </si>
  <si>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6 GW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客製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下半年出貨）</t>
    </r>
  </si>
  <si>
    <r>
      <rPr>
        <sz val="11"/>
        <color theme="1"/>
        <rFont val="Calibri"/>
        <family val="2"/>
        <charset val="1"/>
      </rPr>
      <t xml:space="preserve">AMD 2026-02-24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</si>
  <si>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anth_gw</t>
  </si>
  <si>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：最多 </t>
    </r>
    <r>
      <rPr>
        <sz val="11"/>
        <color theme="1"/>
        <rFont val="Calibri"/>
        <family val="2"/>
        <charset val="1"/>
      </rPr>
      <t xml:space="preserve">2 GW MI450</t>
    </r>
    <r>
      <rPr>
        <sz val="11"/>
        <color theme="1"/>
        <rFont val="Noto Sans CJK SC"/>
        <family val="2"/>
      </rPr>
      <t xml:space="preserve">（首 </t>
    </r>
    <r>
      <rPr>
        <sz val="11"/>
        <color theme="1"/>
        <rFont val="Calibri"/>
        <family val="2"/>
        <charset val="1"/>
      </rPr>
      <t xml:space="preserve">1 GW </t>
    </r>
    <r>
      <rPr>
        <sz val="11"/>
        <color theme="1"/>
        <rFont val="Noto Sans CJK SC"/>
        <family val="2"/>
      </rPr>
      <t xml:space="preserve">自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上半年）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</si>
  <si>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MarketBeat </t>
    </r>
    <r>
      <rPr>
        <sz val="11"/>
        <color theme="1"/>
        <rFont val="Noto Sans CJK SC"/>
        <family val="2"/>
      </rPr>
      <t xml:space="preserve">摘要</t>
    </r>
  </si>
  <si>
    <t xml:space="preserve">orcl_u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</si>
  <si>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：首批 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第三季起，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起擴大）</t>
    </r>
  </si>
  <si>
    <r>
      <rPr>
        <sz val="11"/>
        <color theme="1"/>
        <rFont val="Calibri"/>
        <family val="2"/>
        <charset val="1"/>
      </rPr>
      <t xml:space="preserve">Oracle 2025-10-14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oracle.com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</si>
  <si>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為交易對手</t>
    </r>
  </si>
  <si>
    <t xml:space="preserve">gpw</t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</si>
  <si>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數（</t>
    </r>
    <r>
      <rPr>
        <sz val="11"/>
        <color theme="1"/>
        <rFont val="Calibri"/>
        <family val="2"/>
        <charset val="1"/>
      </rPr>
      <t xml:space="preserve">VR200 NVL72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Helios </t>
    </r>
    <r>
      <rPr>
        <sz val="11"/>
        <color theme="1"/>
        <rFont val="Noto Sans CJK SC"/>
        <family val="2"/>
      </rPr>
      <t xml:space="preserve">每架 </t>
    </r>
    <r>
      <rPr>
        <sz val="11"/>
        <color theme="1"/>
        <rFont val="Calibri"/>
        <family val="2"/>
        <charset val="1"/>
      </rPr>
      <t xml:space="preserve">72 </t>
    </r>
    <r>
      <rPr>
        <sz val="11"/>
        <color theme="1"/>
        <rFont val="Noto Sans CJK SC"/>
        <family val="2"/>
      </rPr>
      <t xml:space="preserve">顆的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</si>
  <si>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t xml:space="preserve">顆</t>
  </si>
  <si>
    <t xml:space="preserve">Analogy</t>
  </si>
  <si>
    <r>
      <rPr>
        <sz val="11"/>
        <color theme="1"/>
        <rFont val="Calibri"/>
        <family val="2"/>
        <charset val="1"/>
      </rPr>
      <t xml:space="preserve">markets/chip_bridge/dist/20261023_</t>
    </r>
    <r>
      <rPr>
        <sz val="11"/>
        <color theme="1"/>
        <rFont val="Noto Sans CJK SC"/>
        <family val="2"/>
      </rPr>
      <t xml:space="preserve">晶片內容橋接表</t>
    </r>
    <r>
      <rPr>
        <sz val="11"/>
        <color theme="1"/>
        <rFont val="Calibri"/>
        <family val="2"/>
        <charset val="1"/>
      </rPr>
      <t xml:space="preserve">_v0.2.1.xlsx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In!H7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VR200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數，</t>
    </r>
    <r>
      <rPr>
        <sz val="11"/>
        <color theme="1"/>
        <rFont val="Calibri"/>
        <family val="2"/>
        <charset val="1"/>
      </rPr>
      <t xml:space="preserve">Tokenomics IF_GPUsPerGW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</si>
  <si>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顆數：未找到</t>
    </r>
  </si>
  <si>
    <t xml:space="preserve">p355</t>
  </si>
  <si>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每顆售價（</t>
    </r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</si>
  <si>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（自 </t>
    </r>
    <r>
      <rPr>
        <sz val="11"/>
        <color theme="1"/>
        <rFont val="Calibri"/>
        <family val="2"/>
        <charset val="1"/>
      </rPr>
      <t xml:space="preserve">$25K </t>
    </r>
    <r>
      <rPr>
        <sz val="11"/>
        <color theme="1"/>
        <rFont val="Noto Sans CJK SC"/>
        <family val="2"/>
      </rPr>
      <t xml:space="preserve">下修；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轉述）</t>
    </r>
  </si>
  <si>
    <r>
      <rPr>
        <sz val="11"/>
        <color theme="1"/>
        <rFont val="Noto Sans CJK SC"/>
        <family val="2"/>
      </rPr>
      <t xml:space="preserve">其他報導 </t>
    </r>
    <r>
      <rPr>
        <sz val="11"/>
        <color theme="1"/>
        <rFont val="Calibri"/>
        <family val="2"/>
        <charset val="1"/>
      </rPr>
      <t xml:space="preserve">$20–25K</t>
    </r>
  </si>
  <si>
    <t xml:space="preserve">cons_rev26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</si>
  <si>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48 </t>
    </r>
    <r>
      <rPr>
        <sz val="11"/>
        <color theme="1"/>
        <rFont val="Noto Sans CJK SC"/>
        <family val="2"/>
      </rPr>
      <t xml:space="preserve">位）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</si>
  <si>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</si>
  <si>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2026-10-24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47.15</t>
    </r>
    <r>
      <rPr>
        <sz val="11"/>
        <color theme="1"/>
        <rFont val="Noto Sans CJK SC"/>
        <family val="2"/>
      </rPr>
      <t xml:space="preserve">，可能較舊</t>
    </r>
  </si>
  <si>
    <t xml:space="preserve">cons_eps26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</si>
  <si>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FY2026 non-GAAP EPS</t>
    </r>
  </si>
  <si>
    <t xml:space="preserve">tickflow 6.81</t>
  </si>
  <si>
    <t xml:space="preserve">cons_rev27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</si>
  <si>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</si>
  <si>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</si>
  <si>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  <r>
      <rPr>
        <sz val="11"/>
        <color theme="1"/>
        <rFont val="Noto Sans CJK SC"/>
        <family val="2"/>
      </rPr>
      <t xml:space="preserve">（各季分析師數不一，可能較舊）</t>
    </r>
  </si>
  <si>
    <t xml:space="preserve">cons_eps27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</si>
  <si>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non-GAAP EPS</t>
    </r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</si>
  <si>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EPS Next Year</t>
    </r>
    <r>
      <rPr>
        <sz val="11"/>
        <color theme="1"/>
        <rFont val="Noto Sans CJK SC"/>
        <family val="2"/>
      </rPr>
      <t xml:space="preserve">」（</t>
    </r>
    <r>
      <rPr>
        <sz val="11"/>
        <color theme="1"/>
        <rFont val="Calibri"/>
        <family val="2"/>
        <charset val="1"/>
      </rPr>
      <t xml:space="preserve">2026-10-23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</si>
  <si>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（本模型算術）；兩來源差 </t>
    </r>
    <r>
      <rPr>
        <sz val="11"/>
        <color theme="1"/>
        <rFont val="Calibri"/>
        <family val="2"/>
        <charset val="1"/>
      </rPr>
      <t xml:space="preserve">40%</t>
    </r>
  </si>
  <si>
    <t xml:space="preserve">cons_eps28</t>
  </si>
  <si>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</si>
  <si>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ts2.tech 2026-07-30 </t>
    </r>
    <r>
      <rPr>
        <sz val="11"/>
        <color theme="1"/>
        <rFont val="Noto Sans CJK SC"/>
        <family val="2"/>
      </rPr>
      <t xml:space="preserve">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</si>
  <si>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低＝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</si>
  <si>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b val="true"/>
        <sz val="11"/>
        <rFont val="Cambria"/>
        <family val="0"/>
        <charset val="1"/>
      </rPr>
      <t xml:space="preserve">I. </t>
    </r>
    <r>
      <rPr>
        <b val="true"/>
        <sz val="11"/>
        <rFont val="Noto Sans CJK SC"/>
        <family val="2"/>
      </rPr>
      <t xml:space="preserve">價格與估值</t>
    </r>
  </si>
  <si>
    <t xml:space="preserve">px</t>
  </si>
  <si>
    <r>
      <rPr>
        <sz val="11"/>
        <color theme="1"/>
        <rFont val="Noto Sans CJK SC"/>
        <family val="2"/>
      </rPr>
      <t xml:space="preserve">股價（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</si>
  <si>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歷史股價與統計頁（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</si>
  <si>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digrin.com AMD </t>
    </r>
    <r>
      <rPr>
        <sz val="11"/>
        <color theme="1"/>
        <rFont val="Noto Sans CJK SC"/>
        <family val="2"/>
      </rPr>
      <t xml:space="preserve">價格頁現價 </t>
    </r>
    <r>
      <rPr>
        <sz val="11"/>
        <color theme="1"/>
        <rFont val="Calibri"/>
        <family val="2"/>
        <charset val="1"/>
      </rPr>
      <t xml:space="preserve">516.79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頁面，即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收盤）；</t>
    </r>
    <r>
      <rPr>
        <sz val="11"/>
        <color theme="1"/>
        <rFont val="Calibri"/>
        <family val="2"/>
        <charset val="1"/>
      </rPr>
      <t xml:space="preserve">heygotrade </t>
    </r>
    <r>
      <rPr>
        <sz val="11"/>
        <color theme="1"/>
        <rFont val="Noto Sans CJK SC"/>
        <family val="2"/>
      </rPr>
      <t xml:space="preserve">每日報導的收盤序列與 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一致（</t>
    </r>
    <r>
      <rPr>
        <sz val="11"/>
        <color theme="1"/>
        <rFont val="Calibri"/>
        <family val="2"/>
        <charset val="1"/>
      </rPr>
      <t xml:space="preserve">10-19 538.05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10-14 570.82</t>
    </r>
    <r>
      <rPr>
        <sz val="11"/>
        <color theme="1"/>
        <rFont val="Noto Sans CJK SC"/>
        <family val="2"/>
      </rPr>
      <t xml:space="preserve">）</t>
    </r>
  </si>
  <si>
    <t xml:space="preserve">r_disc</t>
  </si>
  <si>
    <r>
      <rPr>
        <sz val="11"/>
        <color theme="1"/>
        <rFont val="Noto Sans CJK SC"/>
        <family val="2"/>
      </rPr>
      <t xml:space="preserve">折現率（把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年底隱含價折回現在；參考用）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</si>
  <si>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年底（</t>
    </r>
    <r>
      <rPr>
        <sz val="11"/>
        <color theme="1"/>
        <rFont val="Calibri"/>
        <family val="2"/>
        <charset val="1"/>
      </rPr>
      <t xml:space="preserve">2027-12</t>
    </r>
    <r>
      <rPr>
        <sz val="11"/>
        <color theme="1"/>
        <rFont val="Noto Sans CJK SC"/>
        <family val="2"/>
      </rPr>
      <t xml:space="preserve">）距 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1.19 </t>
    </r>
    <r>
      <rPr>
        <sz val="11"/>
        <color theme="1"/>
        <rFont val="Noto Sans CJK SC"/>
        <family val="2"/>
      </rPr>
      <t xml:space="preserve">年</t>
    </r>
  </si>
  <si>
    <t xml:space="preserve">pk_A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</si>
  <si>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</si>
  <si>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t xml:space="preserve">年</t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</si>
  <si>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Mkt!C12</t>
    </r>
  </si>
  <si>
    <r>
      <rPr>
        <sz val="11"/>
        <color theme="1"/>
        <rFont val="Noto Sans CJK SC"/>
        <family val="2"/>
      </rPr>
      <t xml:space="preserve">共用規則（</t>
    </r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會計年度＝日曆年，不平移</t>
    </r>
  </si>
  <si>
    <t xml:space="preserve">pk_B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</si>
  <si>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</si>
  <si>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Mkt!C20</t>
    </r>
  </si>
  <si>
    <t xml:space="preserve">pk_C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</si>
  <si>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：設備市場見頂年度（日曆年；循環位置規則用）</t>
    </r>
  </si>
  <si>
    <r>
      <rPr>
        <sz val="11"/>
        <color theme="1"/>
        <rFont val="Calibri"/>
        <family val="2"/>
        <charset val="1"/>
      </rPr>
      <t xml:space="preserve">markets/equipment/dist/20261023_</t>
    </r>
    <r>
      <rPr>
        <sz val="11"/>
        <color theme="1"/>
        <rFont val="Noto Sans CJK SC"/>
        <family val="2"/>
      </rPr>
      <t xml:space="preserve">半導體設備市場模型</t>
    </r>
    <r>
      <rPr>
        <sz val="11"/>
        <color theme="1"/>
        <rFont val="Calibri"/>
        <family val="2"/>
        <charset val="1"/>
      </rPr>
      <t xml:space="preserve">_v0.1.3.xlsx</t>
    </r>
    <r>
      <rPr>
        <sz val="11"/>
        <color theme="1"/>
        <rFont val="Noto Sans CJK SC"/>
        <family val="2"/>
      </rPr>
      <t xml:space="preserve">｜</t>
    </r>
    <r>
      <rPr>
        <sz val="11"/>
        <color theme="1"/>
        <rFont val="Calibri"/>
        <family val="2"/>
        <charset val="1"/>
      </rPr>
      <t xml:space="preserve">Mkt!C28</t>
    </r>
  </si>
  <si>
    <t xml:space="preserve">tp_wA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</si>
  <si>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</si>
  <si>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預設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0.5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</si>
  <si>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三權重合計應為 </t>
    </r>
    <r>
      <rPr>
        <sz val="11"/>
        <color theme="1"/>
        <rFont val="Calibri"/>
        <family val="2"/>
        <charset val="1"/>
      </rPr>
      <t xml:space="preserve">1</t>
    </r>
  </si>
  <si>
    <t xml:space="preserve">tp_wB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</si>
  <si>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B</t>
    </r>
  </si>
  <si>
    <t xml:space="preserve">tp_wC</t>
  </si>
  <si>
    <r>
      <rPr>
        <sz val="11"/>
        <color theme="1"/>
        <rFont val="Noto Sans CJK SC"/>
        <family val="2"/>
      </rPr>
      <t xml:space="preserve">目標價情境權重 </t>
    </r>
    <r>
      <rPr>
        <sz val="11"/>
        <color theme="1"/>
        <rFont val="Calibri"/>
        <family val="2"/>
        <charset val="1"/>
      </rPr>
      <t xml:space="preserve">C</t>
    </r>
  </si>
  <si>
    <r>
      <rPr>
        <b val="true"/>
        <sz val="11"/>
        <rFont val="Cambria"/>
        <family val="0"/>
        <charset val="1"/>
      </rPr>
      <t xml:space="preserve">J. </t>
    </r>
    <r>
      <rPr>
        <b val="true"/>
        <sz val="11"/>
        <rFont val="Noto Sans CJK SC"/>
        <family val="2"/>
      </rPr>
      <t xml:space="preserve">目標價參數（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新增：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加權、</t>
    </r>
    <r>
      <rPr>
        <b val="true"/>
        <sz val="11"/>
        <rFont val="Cambria"/>
        <family val="0"/>
        <charset val="1"/>
      </rPr>
      <t xml:space="preserve">FY2029 </t>
    </r>
    <r>
      <rPr>
        <b val="true"/>
        <sz val="11"/>
        <rFont val="Noto Sans CJK SC"/>
        <family val="2"/>
      </rPr>
      <t xml:space="preserve">後收斂法；黃底＝</t>
    </r>
    <r>
      <rPr>
        <b val="true"/>
        <sz val="11"/>
        <rFont val="Cambria"/>
        <family val="0"/>
        <charset val="1"/>
      </rPr>
      <t xml:space="preserve">Andy </t>
    </r>
    <r>
      <rPr>
        <b val="true"/>
        <sz val="11"/>
        <rFont val="Noto Sans CJK SC"/>
        <family val="2"/>
      </rPr>
      <t xml:space="preserve">可改）</t>
    </r>
  </si>
  <si>
    <t xml:space="preserve">tp_r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</si>
  <si>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折現率（股東權益成本）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</si>
  <si>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：美、台、日、韓同一值）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</si>
  <si>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</si>
  <si>
    <t xml:space="preserve">tp_g</t>
  </si>
  <si>
    <r>
      <rPr>
        <sz val="11"/>
        <color theme="1"/>
        <rFont val="Noto Sans CJK SC"/>
        <family val="2"/>
      </rPr>
      <t xml:space="preserve">長期成長率（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後永續；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情境的收斂目標）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</si>
  <si>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</si>
  <si>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±1pt</t>
    </r>
    <r>
      <rPr>
        <sz val="11"/>
        <color theme="1"/>
        <rFont val="Noto Sans CJK SC"/>
        <family val="2"/>
      </rPr>
      <t xml:space="preserve">（只改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再投資率與永續成長，不改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收斂路徑）</t>
    </r>
  </si>
  <si>
    <t xml:space="preserve">tp_gd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</si>
  <si>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情境長期成長相對 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的差（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＋、</t>
    </r>
    <r>
      <rPr>
        <sz val="11"/>
        <color theme="1"/>
        <rFont val="Calibri"/>
        <family val="2"/>
        <charset val="1"/>
      </rPr>
      <t xml:space="preserve">C−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</si>
  <si>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工作單 </t>
    </r>
    <r>
      <rPr>
        <sz val="11"/>
        <color theme="1"/>
        <rFont val="Calibri"/>
        <family val="2"/>
        <charset val="1"/>
      </rPr>
      <t xml:space="preserve">2026-10-25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2pt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tp_g−2pt</t>
    </r>
  </si>
  <si>
    <t xml:space="preserve">tp_roe</t>
  </si>
  <si>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（再投資率＝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）：同口徑近三年平均未找到，用工作單預設 </t>
    </r>
    <r>
      <rPr>
        <sz val="11"/>
        <color theme="1"/>
        <rFont val="Calibri"/>
        <family val="2"/>
        <charset val="1"/>
      </rPr>
      <t xml:space="preserve">0.20</t>
    </r>
  </si>
  <si>
    <r>
      <rPr>
        <sz val="11"/>
        <color theme="1"/>
        <rFont val="Noto Sans CJK SC"/>
        <family val="2"/>
      </rPr>
      <t xml:space="preserve">工作單：近三年平均 </t>
    </r>
    <r>
      <rPr>
        <sz val="11"/>
        <color theme="1"/>
        <rFont val="Calibri"/>
        <family val="2"/>
        <charset val="1"/>
      </rPr>
      <t xml:space="preserve">ROE</t>
    </r>
    <r>
      <rPr>
        <sz val="11"/>
        <color theme="1"/>
        <rFont val="Noto Sans CJK SC"/>
        <family val="2"/>
      </rPr>
      <t xml:space="preserve">，找不到用 </t>
    </r>
    <r>
      <rPr>
        <sz val="11"/>
        <color theme="1"/>
        <rFont val="Calibri"/>
        <family val="2"/>
        <charset val="1"/>
      </rPr>
      <t xml:space="preserve">0.20</t>
    </r>
    <r>
      <rPr>
        <sz val="11"/>
        <color theme="1"/>
        <rFont val="Noto Sans CJK SC"/>
        <family val="2"/>
      </rPr>
      <t xml:space="preserve">。</t>
    </r>
    <r>
      <rPr>
        <sz val="11"/>
        <color theme="1"/>
        <rFont val="Calibri"/>
        <family val="2"/>
        <charset val="1"/>
      </rPr>
      <t xml:space="preserve">GAAP ROE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</t>
    </r>
    <r>
      <rPr>
        <sz val="11"/>
        <color theme="1"/>
        <rFont val="Noto Sans CJK SC"/>
        <family val="2"/>
      </rPr>
      <t xml:space="preserve">）</t>
    </r>
    <r>
      <rPr>
        <sz val="11"/>
        <color theme="1"/>
        <rFont val="Calibri"/>
        <family val="2"/>
        <charset val="1"/>
      </rPr>
      <t xml:space="preserve">2023 1.53%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2024 2.85%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2025 6.88%</t>
    </r>
    <r>
      <rPr>
        <sz val="11"/>
        <color theme="1"/>
        <rFont val="Noto Sans CJK SC"/>
        <family val="2"/>
      </rPr>
      <t xml:space="preserve">，平均 </t>
    </r>
    <r>
      <rPr>
        <sz val="11"/>
        <color theme="1"/>
        <rFont val="Calibri"/>
        <family val="2"/>
        <charset val="1"/>
      </rPr>
      <t xml:space="preserve">3.75%</t>
    </r>
    <r>
      <rPr>
        <sz val="11"/>
        <color theme="1"/>
        <rFont val="Noto Sans CJK SC"/>
        <family val="2"/>
      </rPr>
      <t xml:space="preserve">，受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併購攤銷壓低，與本模型 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不同口徑，不採</t>
    </r>
  </si>
  <si>
    <r>
      <rPr>
        <sz val="11"/>
        <color theme="1"/>
        <rFont val="Noto Sans CJK SC"/>
        <family val="2"/>
      </rPr>
      <t xml:space="preserve">若採 </t>
    </r>
    <r>
      <rPr>
        <sz val="11"/>
        <color theme="1"/>
        <rFont val="Calibri"/>
        <family val="2"/>
        <charset val="1"/>
      </rPr>
      <t xml:space="preserve">GAAP 3.75%</t>
    </r>
    <r>
      <rPr>
        <sz val="11"/>
        <color theme="1"/>
        <rFont val="Noto Sans CJK SC"/>
        <family val="2"/>
      </rPr>
      <t xml:space="preserve">（≤ 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），再投資率達上限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，股東現金流只剩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的 </t>
    </r>
    <r>
      <rPr>
        <sz val="11"/>
        <color theme="1"/>
        <rFont val="Calibri"/>
        <family val="2"/>
        <charset val="1"/>
      </rPr>
      <t xml:space="preserve">20%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stockanalysis </t>
    </r>
    <r>
      <rPr>
        <sz val="11"/>
        <color theme="1"/>
        <rFont val="Noto Sans CJK SC"/>
        <family val="2"/>
      </rPr>
      <t xml:space="preserve">近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月 </t>
    </r>
    <r>
      <rPr>
        <sz val="11"/>
        <color theme="1"/>
        <rFont val="Calibri"/>
        <family val="2"/>
        <charset val="1"/>
      </rPr>
      <t xml:space="preserve">ROE 10.20%</t>
    </r>
  </si>
  <si>
    <t xml:space="preserve">tp_w_dcf</t>
  </si>
  <si>
    <r>
      <rPr>
        <sz val="11"/>
        <color theme="1"/>
        <rFont val="Noto Sans CJK SC"/>
        <family val="2"/>
      </rPr>
      <t xml:space="preserve">目標價中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的權重（其餘為 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</si>
  <si>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可改（</t>
    </r>
    <r>
      <rPr>
        <sz val="11"/>
        <color theme="1"/>
        <rFont val="Calibri"/>
        <family val="2"/>
        <charset val="1"/>
      </rPr>
      <t xml:space="preserve">Andy 2026-10-25 11:53 </t>
    </r>
    <r>
      <rPr>
        <sz val="11"/>
        <color theme="1"/>
        <rFont val="Noto Sans CJK SC"/>
        <family val="2"/>
      </rPr>
      <t xml:space="preserve">定 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50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</si>
  <si>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</si>
  <si>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t xml:space="preserve">nm10_k</t>
  </si>
  <si>
    <r>
      <rPr>
        <sz val="11"/>
        <color theme="1"/>
        <rFont val="Noto Sans CJK SC"/>
        <family val="2"/>
      </rPr>
      <t xml:space="preserve">延伸期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情境淨利率目標＝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本係數（同口徑十年平均未找到）</t>
    </r>
  </si>
  <si>
    <r>
      <rPr>
        <sz val="11"/>
        <color theme="1"/>
        <rFont val="Noto Sans CJK SC"/>
        <family val="2"/>
      </rPr>
      <t xml:space="preserve">工作單：找不到十年平均用最後一年 </t>
    </r>
    <r>
      <rPr>
        <sz val="11"/>
        <color theme="1"/>
        <rFont val="Calibri"/>
        <family val="2"/>
        <charset val="1"/>
      </rPr>
      <t xml:space="preserve">× 0.8</t>
    </r>
    <r>
      <rPr>
        <sz val="11"/>
        <color theme="1"/>
        <rFont val="Noto Sans CJK SC"/>
        <family val="2"/>
      </rPr>
      <t xml:space="preserve">。本模型為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口徑；同口徑十年淨利率：未找到</t>
    </r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</si>
  <si>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十年平均 </t>
    </r>
    <r>
      <rPr>
        <sz val="11"/>
        <color theme="1"/>
        <rFont val="Calibri"/>
        <family val="2"/>
        <charset val="1"/>
      </rPr>
      <t xml:space="preserve">7.10%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valueinvesting.io 2016–2025</t>
    </r>
    <r>
      <rPr>
        <sz val="11"/>
        <color theme="1"/>
        <rFont val="Noto Sans CJK SC"/>
        <family val="2"/>
      </rPr>
      <t xml:space="preserve">：−</t>
    </r>
    <r>
      <rPr>
        <sz val="11"/>
        <color theme="1"/>
        <rFont val="Calibri"/>
        <family val="2"/>
        <charset val="1"/>
      </rPr>
      <t xml:space="preserve">11.63%</t>
    </r>
    <r>
      <rPr>
        <sz val="11"/>
        <color theme="1"/>
        <rFont val="Noto Sans CJK SC"/>
        <family val="2"/>
      </rPr>
      <t xml:space="preserve">、−</t>
    </r>
    <r>
      <rPr>
        <sz val="11"/>
        <color theme="1"/>
        <rFont val="Calibri"/>
        <family val="2"/>
        <charset val="1"/>
      </rPr>
      <t xml:space="preserve">0.63%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5.20%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5.07%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25.50%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19.24%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5.59%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3.77%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6.36%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12.51%</t>
    </r>
    <r>
      <rPr>
        <sz val="11"/>
        <color theme="1"/>
        <rFont val="Noto Sans CJK SC"/>
        <family val="2"/>
      </rPr>
      <t xml:space="preserve">），含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攤銷，口徑不同不採</t>
    </r>
  </si>
  <si>
    <t xml:space="preserve">cons_tp</t>
  </si>
  <si>
    <t xml:space="preserve">市場共識目標價（賣方平均）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</si>
  <si>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位分析師平均，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頁面；現價為 </t>
    </r>
    <r>
      <rPr>
        <sz val="11"/>
        <color theme="1"/>
        <rFont val="Calibri"/>
        <family val="2"/>
        <charset val="1"/>
      </rPr>
      <t xml:space="preserve">10-23 </t>
    </r>
    <r>
      <rPr>
        <sz val="11"/>
        <color theme="1"/>
        <rFont val="Noto Sans CJK SC"/>
        <family val="2"/>
      </rPr>
      <t xml:space="preserve">收盤）</t>
    </r>
  </si>
  <si>
    <t xml:space="preserve">賣方有目標價誘因；只作對照，不進目標價</t>
  </si>
  <si>
    <r>
      <rPr>
        <sz val="11"/>
        <color theme="1"/>
        <rFont val="Calibri"/>
        <family val="2"/>
        <charset val="1"/>
      </rPr>
      <t xml:space="preserve">Q — </t>
    </r>
    <r>
      <rPr>
        <sz val="11"/>
        <color theme="1"/>
        <rFont val="Noto Sans CJK SC"/>
        <family val="2"/>
      </rPr>
      <t xml:space="preserve">實績（十億美元；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為美元；股數為十億股；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公司口徑）。會計年度＝日曆年。藍字＝輸入；黑字＝公式。實績取自 </t>
    </r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）；第二來源＝後續季度新聞稿的比較欄（同一公司不同文件）與 </t>
    </r>
    <r>
      <rPr>
        <sz val="11"/>
        <color theme="1"/>
        <rFont val="Calibri"/>
        <family val="2"/>
        <charset val="1"/>
      </rPr>
      <t xml:space="preserve">10-Q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</si>
  <si>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錨點＝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</t>
    </r>
    <r>
      <rPr>
        <sz val="11"/>
        <color theme="1"/>
        <rFont val="Noto Sans CJK SC"/>
        <family val="2"/>
      </rPr>
      <t xml:space="preserve">實績＋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指引中點＋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假設（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 </t>
    </r>
    <r>
      <rPr>
        <sz val="11"/>
        <color theme="1"/>
        <rFont val="Noto Sans CJK SC"/>
        <family val="2"/>
      </rPr>
      <t xml:space="preserve">欄，假設見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節）。資料中心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拆分公司不揭露，為 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節）。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口徑：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（排除股票薪酬、併購無形資產攤銷、投資損益等；公司口徑），共識亦為此口徑</t>
    </r>
  </si>
  <si>
    <t xml:space="preserve">Q1 2025</t>
  </si>
  <si>
    <t xml:space="preserve">Q2 2025</t>
  </si>
  <si>
    <t xml:space="preserve">Q3 2025</t>
  </si>
  <si>
    <t xml:space="preserve">Q4 2025</t>
  </si>
  <si>
    <r>
      <rPr>
        <b val="true"/>
        <sz val="11"/>
        <rFont val="Cambria"/>
        <family val="0"/>
        <charset val="1"/>
      </rPr>
      <t xml:space="preserve">FY2025 </t>
    </r>
    <r>
      <rPr>
        <b val="true"/>
        <sz val="11"/>
        <rFont val="Noto Sans CJK SC"/>
        <family val="2"/>
      </rPr>
      <t xml:space="preserve">全年</t>
    </r>
  </si>
  <si>
    <t xml:space="preserve">Q1 2026</t>
  </si>
  <si>
    <t xml:space="preserve">Q2 2026</t>
  </si>
  <si>
    <r>
      <rPr>
        <b val="true"/>
        <sz val="11"/>
        <rFont val="Cambria"/>
        <family val="0"/>
        <charset val="1"/>
      </rPr>
      <t xml:space="preserve">Q3 2026</t>
    </r>
    <r>
      <rPr>
        <b val="true"/>
        <sz val="11"/>
        <rFont val="Noto Sans CJK SC"/>
        <family val="2"/>
      </rPr>
      <t xml:space="preserve">（指引中點）</t>
    </r>
  </si>
  <si>
    <r>
      <rPr>
        <b val="true"/>
        <sz val="11"/>
        <rFont val="Cambria"/>
        <family val="0"/>
        <charset val="1"/>
      </rPr>
      <t xml:space="preserve">Q4 2026</t>
    </r>
    <r>
      <rPr>
        <b val="true"/>
        <sz val="11"/>
        <rFont val="Noto Sans CJK SC"/>
        <family val="2"/>
      </rPr>
      <t xml:space="preserve">（假設）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</si>
  <si>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</t>
    </r>
  </si>
  <si>
    <r>
      <rPr>
        <b val="true"/>
        <sz val="11"/>
        <rFont val="Noto Sans CJK SC"/>
        <family val="2"/>
      </rPr>
      <t xml:space="preserve">來源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（公司）</t>
    </r>
  </si>
  <si>
    <t xml:space="preserve">營收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</si>
  <si>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＝各段合計）</t>
    </r>
  </si>
  <si>
    <r>
      <rPr>
        <sz val="11"/>
        <color theme="1"/>
        <rFont val="Calibri"/>
        <family val="2"/>
        <charset val="1"/>
      </rPr>
      <t xml:space="preserve">AMD 8-K </t>
    </r>
    <r>
      <rPr>
        <sz val="11"/>
        <color theme="1"/>
        <rFont val="Noto Sans CJK SC"/>
        <family val="2"/>
      </rPr>
      <t xml:space="preserve">新聞稿：</t>
    </r>
    <r>
      <rPr>
        <sz val="11"/>
        <color theme="1"/>
        <rFont val="Calibri"/>
        <family val="2"/>
        <charset val="1"/>
      </rPr>
      <t xml:space="preserve">Q1 2026 https://www.sec.gov/Archives/edgar/data/2488/000000248826000072/q12026991.htm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 https://www.sec.gov/Archives/edgar/data/2488/000000248826000121/q22026991.htm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Q4 2025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Q3 2025</t>
    </r>
    <r>
      <rPr>
        <sz val="11"/>
        <color theme="1"/>
        <rFont val="Noto Sans CJK SC"/>
        <family val="2"/>
      </rPr>
      <t xml:space="preserve">、全年）</t>
    </r>
    <r>
      <rPr>
        <sz val="11"/>
        <color theme="1"/>
        <rFont val="Calibri"/>
        <family val="2"/>
        <charset val="1"/>
      </rPr>
      <t xml:space="preserve">https://www.sec.gov/Archives/edgar/data/2488/000000248826000014/q42025991.htm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</si>
  <si>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</si>
  <si>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t xml:space="preserve">Data Center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</si>
  <si>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＝指引 − 其他段）／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</si>
  <si>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16.635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</si>
  <si>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  其中：資料中心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Instinct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</si>
  <si>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</si>
  <si>
    <r>
      <rPr>
        <sz val="11"/>
        <color theme="1"/>
        <rFont val="Noto Sans CJK SC"/>
        <family val="2"/>
      </rPr>
      <t xml:space="preserve">公司不揭露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為全年估計（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gpu25</t>
    </r>
    <r>
      <rPr>
        <sz val="11"/>
        <color theme="1"/>
        <rFont val="Noto Sans CJK SC"/>
        <family val="2"/>
      </rPr>
      <t xml:space="preserve">），各季：未找到</t>
    </r>
  </si>
  <si>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</t>
    </r>
    <r>
      <rPr>
        <sz val="11"/>
        <color theme="1"/>
        <rFont val="Noto Sans CJK SC"/>
        <family val="2"/>
      </rPr>
      <t xml:space="preserve">＝資料中心 − 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</si>
  <si>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其中：資料中心非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</si>
  <si>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季增）</t>
    </r>
  </si>
  <si>
    <r>
      <rPr>
        <sz val="11"/>
        <color theme="1"/>
        <rFont val="Noto Sans CJK SC"/>
        <family val="2"/>
      </rPr>
      <t xml:space="preserve">資料中心 − </t>
    </r>
    <r>
      <rPr>
        <sz val="11"/>
        <color theme="1"/>
        <rFont val="Calibri"/>
        <family val="2"/>
        <charset val="1"/>
      </rPr>
      <t xml:space="preserve">GPU</t>
    </r>
  </si>
  <si>
    <t xml:space="preserve">Client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</si>
  <si>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</si>
  <si>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t xml:space="preserve">Gaming</t>
  </si>
  <si>
    <t xml:space="preserve">Embedded</t>
  </si>
  <si>
    <r>
      <rPr>
        <sz val="11"/>
        <color theme="1"/>
        <rFont val="Noto Sans CJK SC"/>
        <family val="2"/>
      </rPr>
      <t xml:space="preserve">檢查：營收 − 各段合計（應為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</si>
  <si>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毛利（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</si>
  <si>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Q2 2026</t>
    </r>
    <r>
      <rPr>
        <sz val="11"/>
        <color theme="1"/>
        <rFont val="Noto Sans CJK SC"/>
        <family val="2"/>
      </rPr>
      <t xml:space="preserve">＝營業利益＋營業費用）／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</si>
  <si>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18.165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</si>
  <si>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</si>
  <si>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2025 43%</t>
    </r>
    <r>
      <rPr>
        <sz val="11"/>
        <color theme="1"/>
        <rFont val="Noto Sans CJK SC"/>
        <family val="2"/>
      </rPr>
      <t xml:space="preserve">（含 </t>
    </r>
    <r>
      <rPr>
        <sz val="11"/>
        <color theme="1"/>
        <rFont val="Calibri"/>
        <family val="2"/>
        <charset val="1"/>
      </rPr>
      <t xml:space="preserve">MI308 </t>
    </r>
    <r>
      <rPr>
        <sz val="11"/>
        <color theme="1"/>
        <rFont val="Noto Sans CJK SC"/>
        <family val="2"/>
      </rPr>
      <t xml:space="preserve">費用 </t>
    </r>
    <r>
      <rPr>
        <sz val="11"/>
        <color theme="1"/>
        <rFont val="Calibri"/>
        <family val="2"/>
        <charset val="1"/>
      </rPr>
      <t xml:space="preserve">$0.8B</t>
    </r>
    <r>
      <rPr>
        <sz val="11"/>
        <color theme="1"/>
        <rFont val="Noto Sans CJK SC"/>
        <family val="2"/>
      </rPr>
      <t xml:space="preserve">）、</t>
    </r>
    <r>
      <rPr>
        <sz val="11"/>
        <color theme="1"/>
        <rFont val="Calibri"/>
        <family val="2"/>
        <charset val="1"/>
      </rPr>
      <t xml:space="preserve">FY2025 52%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56%</t>
    </r>
  </si>
  <si>
    <r>
      <rPr>
        <sz val="11"/>
        <color theme="1"/>
        <rFont val="Noto Sans CJK SC"/>
        <family val="2"/>
      </rPr>
      <t xml:space="preserve">營業費用（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</si>
  <si>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</si>
  <si>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營業利益（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</si>
  <si>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</si>
  <si>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檢查：毛利 − 營業費用 − 營業利益（實績應為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</si>
  <si>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t xml:space="preserve">利息費用</t>
  </si>
  <si>
    <r>
      <rPr>
        <sz val="11"/>
        <color theme="1"/>
        <rFont val="Calibri"/>
        <family val="2"/>
        <charset val="1"/>
      </rPr>
      <t xml:space="preserve">Verified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2025 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</si>
  <si>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其他收益淨額（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</si>
  <si>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長期投資（利得）損失（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調節，排除）</t>
    </r>
  </si>
  <si>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調節表「</t>
    </r>
    <r>
      <rPr>
        <sz val="11"/>
        <color theme="1"/>
        <rFont val="Calibri"/>
        <family val="2"/>
        <charset val="1"/>
      </rPr>
      <t xml:space="preserve">(Gains) losses on long-term investments, net</t>
    </r>
    <r>
      <rPr>
        <sz val="11"/>
        <color theme="1"/>
        <rFont val="Noto Sans CJK SC"/>
        <family val="2"/>
      </rPr>
      <t xml:space="preserve">」</t>
    </r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</si>
  <si>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）＝利息＋其他收益＋調節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</si>
  <si>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I</t>
    </r>
    <r>
      <rPr>
        <sz val="11"/>
        <color theme="1"/>
        <rFont val="Noto Sans CJK SC"/>
        <family val="2"/>
      </rPr>
      <t xml:space="preserve">）／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J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指引）</t>
    </r>
  </si>
  <si>
    <r>
      <rPr>
        <sz val="11"/>
        <color theme="1"/>
        <rFont val="Noto Sans CJK SC"/>
        <family val="2"/>
      </rPr>
      <t xml:space="preserve">稅前利益（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</si>
  <si>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淨利（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</si>
  <si>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稿比較欄；</t>
    </r>
    <r>
      <rPr>
        <sz val="11"/>
        <color theme="1"/>
        <rFont val="Calibri"/>
        <family val="2"/>
        <charset val="1"/>
      </rPr>
      <t xml:space="preserve">Q2 2025 </t>
    </r>
    <r>
      <rPr>
        <sz val="11"/>
        <color theme="1"/>
        <rFont val="Noto Sans CJK SC"/>
        <family val="2"/>
      </rPr>
      <t xml:space="preserve">毛利、利息、其他收益為全年 − 其餘三季（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合計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＝公司全年值</t>
    </r>
  </si>
  <si>
    <r>
      <rPr>
        <sz val="11"/>
        <color theme="1"/>
        <rFont val="Noto Sans CJK SC"/>
        <family val="2"/>
      </rPr>
      <t xml:space="preserve">有效稅率（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稅前）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</si>
  <si>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</si>
  <si>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FY2026 non-GAAP </t>
    </r>
    <r>
      <rPr>
        <sz val="11"/>
        <color theme="1"/>
        <rFont val="Noto Sans CJK SC"/>
        <family val="2"/>
      </rPr>
      <t xml:space="preserve">稅率 </t>
    </r>
    <r>
      <rPr>
        <sz val="11"/>
        <color theme="1"/>
        <rFont val="Calibri"/>
        <family val="2"/>
        <charset val="1"/>
      </rPr>
      <t xml:space="preserve">13%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簡報）</t>
    </r>
  </si>
  <si>
    <t xml:space="preserve">稀釋股數（十億股）</t>
  </si>
  <si>
    <r>
      <rPr>
        <sz val="11"/>
        <color theme="1"/>
        <rFont val="Calibri"/>
        <family val="2"/>
        <charset val="1"/>
      </rPr>
      <t xml:space="preserve">Q2 2025 1.630 </t>
    </r>
    <r>
      <rPr>
        <sz val="11"/>
        <color theme="1"/>
        <rFont val="Noto Sans CJK SC"/>
        <family val="2"/>
      </rPr>
      <t xml:space="preserve">見 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 1.636</t>
    </r>
    <r>
      <rPr>
        <sz val="11"/>
        <color theme="1"/>
        <rFont val="Noto Sans CJK SC"/>
        <family val="2"/>
      </rPr>
      <t xml:space="preserve">（公司全年值）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</si>
  <si>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，模型算）＝淨利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</si>
  <si>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FY2026 Q3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Q4 </t>
    </r>
    <r>
      <rPr>
        <sz val="11"/>
        <color theme="1"/>
        <rFont val="Noto Sans CJK SC"/>
        <family val="2"/>
      </rPr>
      <t xml:space="preserve">為指引與假設推得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</si>
  <si>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稀釋，公司）</t>
    </r>
  </si>
  <si>
    <r>
      <rPr>
        <sz val="11"/>
        <color theme="1"/>
        <rFont val="Noto Sans CJK SC"/>
        <family val="2"/>
      </rPr>
      <t xml:space="preserve">檢查：模型算 </t>
    </r>
    <r>
      <rPr>
        <sz val="11"/>
        <color theme="1"/>
        <rFont val="Calibri"/>
        <family val="2"/>
        <charset val="1"/>
      </rPr>
      <t xml:space="preserve">EPS −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（四捨五入差）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</si>
  <si>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稀釋，公司；參考）</t>
    </r>
  </si>
  <si>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含併購無形資產攤銷（</t>
    </r>
    <r>
      <rPr>
        <sz val="11"/>
        <color theme="1"/>
        <rFont val="Calibri"/>
        <family val="2"/>
        <charset val="1"/>
      </rPr>
      <t xml:space="preserve">FY2025 $2.25B</t>
    </r>
    <r>
      <rPr>
        <sz val="11"/>
        <color theme="1"/>
        <rFont val="Noto Sans CJK SC"/>
        <family val="2"/>
      </rPr>
      <t xml:space="preserve">）、股票薪酬（</t>
    </r>
    <r>
      <rPr>
        <sz val="11"/>
        <color theme="1"/>
        <rFont val="Calibri"/>
        <family val="2"/>
        <charset val="1"/>
      </rPr>
      <t xml:space="preserve">$1.64B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</si>
  <si>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檢查：</t>
    </r>
    <r>
      <rPr>
        <sz val="11"/>
        <color theme="1"/>
        <rFont val="Calibri"/>
        <family val="2"/>
        <charset val="1"/>
      </rPr>
      <t xml:space="preserve">FY2025 </t>
    </r>
    <r>
      <rPr>
        <sz val="11"/>
        <color theme="1"/>
        <rFont val="Noto Sans CJK SC"/>
        <family val="2"/>
      </rPr>
      <t xml:space="preserve">四季合計 − 公司全年值（營收 </t>
    </r>
    <r>
      <rPr>
        <sz val="11"/>
        <color theme="1"/>
        <rFont val="Calibri"/>
        <family val="2"/>
        <charset val="1"/>
      </rPr>
      <t xml:space="preserve">34.639</t>
    </r>
    <r>
      <rPr>
        <sz val="11"/>
        <color theme="1"/>
        <rFont val="Noto Sans CJK SC"/>
        <family val="2"/>
      </rPr>
      <t xml:space="preserve">、營業利益 </t>
    </r>
    <r>
      <rPr>
        <sz val="11"/>
        <color theme="1"/>
        <rFont val="Calibri"/>
        <family val="2"/>
        <charset val="1"/>
      </rPr>
      <t xml:space="preserve">7.768</t>
    </r>
    <r>
      <rPr>
        <sz val="11"/>
        <color theme="1"/>
        <rFont val="Noto Sans CJK SC"/>
        <family val="2"/>
      </rPr>
      <t xml:space="preserve">、淨利 </t>
    </r>
    <r>
      <rPr>
        <sz val="11"/>
        <color theme="1"/>
        <rFont val="Calibri"/>
        <family val="2"/>
        <charset val="1"/>
      </rPr>
      <t xml:space="preserve">6.831</t>
    </r>
    <r>
      <rPr>
        <sz val="11"/>
        <color theme="1"/>
        <rFont val="Noto Sans CJK SC"/>
        <family val="2"/>
      </rPr>
      <t xml:space="preserve">，應為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</si>
  <si>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錨點與共識的距離（參考；校準時未使用共識）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</si>
  <si>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共識營收 − </t>
    </r>
    <r>
      <rPr>
        <sz val="11"/>
        <color theme="1"/>
        <rFont val="Calibri"/>
        <family val="2"/>
        <charset val="1"/>
      </rPr>
      <t xml:space="preserve">1</t>
    </r>
  </si>
  <si>
    <r>
      <rPr>
        <sz val="11"/>
        <color theme="1"/>
        <rFont val="Calibri"/>
        <family val="2"/>
        <charset val="1"/>
      </rPr>
      <t xml:space="preserve">FY2026 EPS 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EPS − 1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</si>
  <si>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營收年增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</si>
  <si>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營業費用年增</t>
    </r>
  </si>
  <si>
    <r>
      <rPr>
        <sz val="11"/>
        <color theme="1"/>
        <rFont val="Noto Sans CJK SC"/>
        <family val="2"/>
      </rPr>
      <t xml:space="preserve">營業費用彈性（營業費用年增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營收年增；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phi </t>
    </r>
    <r>
      <rPr>
        <sz val="11"/>
        <color theme="1"/>
        <rFont val="Noto Sans CJK SC"/>
        <family val="2"/>
      </rPr>
      <t xml:space="preserve">的依據）</t>
    </r>
  </si>
  <si>
    <r>
      <rPr>
        <sz val="11"/>
        <color theme="1"/>
        <rFont val="Calibri"/>
        <family val="2"/>
        <charset val="1"/>
      </rPr>
      <t xml:space="preserve">Units — </t>
    </r>
    <r>
      <rPr>
        <sz val="11"/>
        <color theme="1"/>
        <rFont val="Noto Sans CJK SC"/>
        <family val="2"/>
      </rPr>
      <t xml:space="preserve">加速器顆數（百萬顆；日曆年；與 </t>
    </r>
    <r>
      <rPr>
        <sz val="11"/>
        <color theme="1"/>
        <rFont val="Calibri"/>
        <family val="2"/>
        <charset val="1"/>
      </rPr>
      <t xml:space="preserve">HBM</t>
    </r>
    <r>
      <rPr>
        <sz val="11"/>
        <color theme="1"/>
        <rFont val="Noto Sans CJK SC"/>
        <family val="2"/>
      </rPr>
      <t xml:space="preserve">、台積電、網通、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模型同一份）與金額份額（模組層級每顆價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顆數；價格與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模型相同）。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</t>
    </r>
  </si>
  <si>
    <r>
      <rPr>
        <b val="true"/>
        <sz val="11"/>
        <rFont val="Cambria"/>
        <family val="0"/>
        <charset val="1"/>
      </rPr>
      <t xml:space="preserve">CY2026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FY2026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</si>
  <si>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CY2027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</si>
  <si>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CY2028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</si>
  <si>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CY2029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）</t>
    </r>
  </si>
  <si>
    <t xml:space="preserve">說明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</si>
  <si>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</t>
    </r>
  </si>
  <si>
    <t xml:space="preserve">顆數</t>
  </si>
  <si>
    <r>
      <rPr>
        <sz val="11"/>
        <color theme="1"/>
        <rFont val="Calibri"/>
        <family val="2"/>
        <charset val="1"/>
      </rPr>
      <t xml:space="preserve">  NVIDIA Blackwell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B200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B300</t>
    </r>
    <r>
      <rPr>
        <sz val="11"/>
        <color theme="1"/>
        <rFont val="Noto Sans CJK SC"/>
        <family val="2"/>
      </rPr>
      <t xml:space="preserve">）</t>
    </r>
  </si>
  <si>
    <t xml:space="preserve">  NVIDIA Rubin</t>
  </si>
  <si>
    <t xml:space="preserve">  NVIDIA Rubin Ultra</t>
  </si>
  <si>
    <r>
      <rPr>
        <sz val="11"/>
        <color theme="1"/>
        <rFont val="Calibri"/>
        <family val="2"/>
        <charset val="1"/>
      </rPr>
      <t xml:space="preserve">  NVIDIA Hopper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H200 </t>
    </r>
    <r>
      <rPr>
        <sz val="11"/>
        <color theme="1"/>
        <rFont val="Noto Sans CJK SC"/>
        <family val="2"/>
      </rPr>
      <t xml:space="preserve">等）</t>
    </r>
  </si>
  <si>
    <t xml:space="preserve">  AMD Instinct</t>
  </si>
  <si>
    <t xml:space="preserve">  Google TPU</t>
  </si>
  <si>
    <t xml:space="preserve">  AWS Trainium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</si>
  <si>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MTIA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Ascend </t>
    </r>
    <r>
      <rPr>
        <sz val="11"/>
        <color theme="1"/>
        <rFont val="Noto Sans CJK SC"/>
        <family val="2"/>
      </rPr>
      <t xml:space="preserve">等）</t>
    </r>
  </si>
  <si>
    <t xml:space="preserve">  合計</t>
  </si>
  <si>
    <r>
      <rPr>
        <b val="true"/>
        <sz val="11"/>
        <rFont val="Noto Sans CJK SC"/>
        <family val="2"/>
      </rPr>
      <t xml:space="preserve">金額（顆數 </t>
    </r>
    <r>
      <rPr>
        <b val="true"/>
        <sz val="11"/>
        <rFont val="Cambria"/>
        <family val="0"/>
        <charset val="1"/>
      </rPr>
      <t xml:space="preserve">× </t>
    </r>
    <r>
      <rPr>
        <b val="true"/>
        <sz val="11"/>
        <rFont val="Noto Sans CJK SC"/>
        <family val="2"/>
      </rPr>
      <t xml:space="preserve">每顆售價）</t>
    </r>
  </si>
  <si>
    <t xml:space="preserve">顆數份額</t>
  </si>
  <si>
    <t xml:space="preserve">  NVIDIA</t>
  </si>
  <si>
    <t xml:space="preserve">  AMD</t>
  </si>
  <si>
    <r>
      <rPr>
        <sz val="11"/>
        <color theme="1"/>
        <rFont val="Noto Sans CJK SC"/>
        <family val="2"/>
      </rPr>
      <t xml:space="preserve">  其他 </t>
    </r>
    <r>
      <rPr>
        <sz val="11"/>
        <color theme="1"/>
        <rFont val="Calibri"/>
        <family val="2"/>
        <charset val="1"/>
      </rPr>
      <t xml:space="preserve">ASIC</t>
    </r>
  </si>
  <si>
    <t xml:space="preserve">金額份額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</si>
  <si>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</si>
  <si>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</si>
  <si>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金額份額的口徑：各平台「模組層級」每顆價（</t>
    </r>
    <r>
      <rPr>
        <b val="true"/>
        <sz val="11"/>
        <rFont val="Cambria"/>
        <family val="0"/>
        <charset val="1"/>
      </rPr>
      <t xml:space="preserve">NVIDIA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模組價；</t>
    </r>
    <r>
      <rPr>
        <b val="true"/>
        <sz val="11"/>
        <rFont val="Cambria"/>
        <family val="0"/>
        <charset val="1"/>
      </rPr>
      <t xml:space="preserve">AMD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ASIC</t>
    </r>
    <r>
      <rPr>
        <b val="true"/>
        <sz val="11"/>
        <rFont val="Noto Sans CJK SC"/>
        <family val="2"/>
      </rPr>
      <t xml:space="preserve">＝每顆晶片價；</t>
    </r>
    <r>
      <rPr>
        <b val="true"/>
        <sz val="11"/>
        <rFont val="Cambria"/>
        <family val="0"/>
        <charset val="1"/>
      </rPr>
      <t xml:space="preserve">In </t>
    </r>
    <r>
      <rPr>
        <b val="true"/>
        <sz val="11"/>
        <rFont val="Noto Sans CJK SC"/>
        <family val="2"/>
      </rPr>
      <t xml:space="preserve">頁 </t>
    </r>
    <r>
      <rPr>
        <b val="true"/>
        <sz val="11"/>
        <rFont val="Cambria"/>
        <family val="0"/>
        <charset val="1"/>
      </rPr>
      <t xml:space="preserve">B </t>
    </r>
    <r>
      <rPr>
        <b val="true"/>
        <sz val="11"/>
        <rFont val="Noto Sans CJK SC"/>
        <family val="2"/>
      </rPr>
      <t xml:space="preserve">節，與 </t>
    </r>
    <r>
      <rPr>
        <b val="true"/>
        <sz val="11"/>
        <rFont val="Cambria"/>
        <family val="0"/>
        <charset val="1"/>
      </rPr>
      <t xml:space="preserve">NVIDIA </t>
    </r>
    <r>
      <rPr>
        <b val="true"/>
        <sz val="11"/>
        <rFont val="Noto Sans CJK SC"/>
        <family val="2"/>
      </rPr>
      <t xml:space="preserve">模型相同），不含系統加價與網通。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營收＝加速器市場金額 </t>
    </r>
    <r>
      <rPr>
        <b val="true"/>
        <sz val="11"/>
        <rFont val="Cambria"/>
        <family val="0"/>
        <charset val="1"/>
      </rPr>
      <t xml:space="preserve">× AMD </t>
    </r>
    <r>
      <rPr>
        <b val="true"/>
        <sz val="11"/>
        <rFont val="Noto Sans CJK SC"/>
        <family val="2"/>
      </rPr>
      <t xml:space="preserve">金額份額 </t>
    </r>
    <r>
      <rPr>
        <b val="true"/>
        <sz val="11"/>
        <rFont val="Cambria"/>
        <family val="0"/>
        <charset val="1"/>
      </rPr>
      <t xml:space="preserve">× k_rec × </t>
    </r>
    <r>
      <rPr>
        <b val="true"/>
        <sz val="11"/>
        <rFont val="Noto Sans CJK SC"/>
        <family val="2"/>
      </rPr>
      <t xml:space="preserve">世代售價係數（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頁）。</t>
    </r>
  </si>
  <si>
    <r>
      <rPr>
        <b val="true"/>
        <sz val="11"/>
        <rFont val="Noto Sans CJK SC"/>
        <family val="2"/>
      </rPr>
      <t xml:space="preserve">校準（只用公司已發生的實績與當年指引：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錨點的資料中心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營收；不用共識、不用公司對 </t>
    </r>
    <r>
      <rPr>
        <b val="true"/>
        <sz val="11"/>
        <rFont val="Cambria"/>
        <family val="0"/>
        <charset val="1"/>
      </rPr>
      <t xml:space="preserve">2027 </t>
    </r>
    <r>
      <rPr>
        <b val="true"/>
        <sz val="11"/>
        <rFont val="Noto Sans CJK SC"/>
        <family val="2"/>
      </rPr>
      <t xml:space="preserve">的說法）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</si>
  <si>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＝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 </t>
    </r>
    <r>
      <rPr>
        <sz val="11"/>
        <color theme="1"/>
        <rFont val="Calibri"/>
        <family val="2"/>
        <charset val="1"/>
      </rPr>
      <t xml:space="preserve">CY2026 </t>
    </r>
    <r>
      <rPr>
        <sz val="11"/>
        <color theme="1"/>
        <rFont val="Noto Sans CJK SC"/>
        <family val="2"/>
      </rPr>
      <t xml:space="preserve">顆數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市場層每顆價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</si>
  <si>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顆數層與售價層無法分開識別，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是合併係數；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起沿用（比照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模型）。錨點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本身含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拆分（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D </t>
    </r>
    <r>
      <rPr>
        <sz val="11"/>
        <color theme="1"/>
        <rFont val="Noto Sans CJK SC"/>
        <family val="2"/>
      </rPr>
      <t xml:space="preserve">節）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</si>
  <si>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隱含每顆認列售價（</t>
    </r>
    <r>
      <rPr>
        <sz val="11"/>
        <color theme="1"/>
        <rFont val="Calibri"/>
        <family val="2"/>
        <charset val="1"/>
      </rPr>
      <t xml:space="preserve">k_rec × pa_amd</t>
    </r>
    <r>
      <rPr>
        <sz val="11"/>
        <color theme="1"/>
        <rFont val="Noto Sans CJK SC"/>
        <family val="2"/>
      </rPr>
      <t xml:space="preserve">；若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全歸售價層）</t>
    </r>
  </si>
  <si>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HSBC MI355X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$23K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Recon</t>
    </r>
    <r>
      <rPr>
        <sz val="11"/>
        <color theme="1"/>
        <rFont val="Noto Sans CJK SC"/>
        <family val="2"/>
      </rPr>
      <t xml:space="preserve">）：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多數可由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以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為主的售價解釋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</si>
  <si>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每顆認列售價 </t>
    </r>
    <r>
      <rPr>
        <sz val="11"/>
        <color theme="1"/>
        <rFont val="Calibri"/>
        <family val="2"/>
        <charset val="1"/>
      </rPr>
      <t xml:space="preserve">hs_26 </t>
    </r>
    <r>
      <rPr>
        <sz val="11"/>
        <color theme="1"/>
        <rFont val="Noto Sans CJK SC"/>
        <family val="2"/>
      </rPr>
      <t xml:space="preserve">＝ 每顆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 </t>
    </r>
    <r>
      <rPr>
        <sz val="11"/>
        <color theme="1"/>
        <rFont val="Calibri"/>
        <family val="2"/>
        <charset val="1"/>
      </rPr>
      <t xml:space="preserve">× 2026 HBM </t>
    </r>
    <r>
      <rPr>
        <sz val="11"/>
        <color theme="1"/>
        <rFont val="Noto Sans CJK SC"/>
        <family val="2"/>
      </rPr>
      <t xml:space="preserve">混合單價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每顆認列售價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</si>
  <si>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 ＝ </t>
    </r>
    <r>
      <rPr>
        <sz val="11"/>
        <color theme="1"/>
        <rFont val="Calibri"/>
        <family val="2"/>
        <charset val="1"/>
      </rPr>
      <t xml:space="preserve">hs_26 × HBM </t>
    </r>
    <r>
      <rPr>
        <sz val="11"/>
        <color theme="1"/>
        <rFont val="Noto Sans CJK SC"/>
        <family val="2"/>
      </rPr>
      <t xml:space="preserve">價格指數（容量增加視為隨世代售價等比例，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</si>
  <si>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（市場層 </t>
    </r>
    <r>
      <rPr>
        <sz val="11"/>
        <color theme="1"/>
        <rFont val="Calibri"/>
        <family val="2"/>
        <charset val="1"/>
      </rPr>
      <t xml:space="preserve">× k_rec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</si>
  <si>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— AMD </t>
    </r>
    <r>
      <rPr>
        <sz val="11"/>
        <color theme="1"/>
        <rFont val="Noto Sans CJK SC"/>
        <family val="2"/>
      </rPr>
      <t xml:space="preserve">損益（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FY2025A </t>
    </r>
    <r>
      <rPr>
        <sz val="11"/>
        <color theme="1"/>
        <rFont val="Noto Sans CJK SC"/>
        <family val="2"/>
      </rPr>
      <t xml:space="preserve">實績、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起為模型）。會計年度＝日曆年。三情境各一個完整推導區塊（本頁下方），頂端為摘要。</t>
    </r>
    <r>
      <rPr>
        <sz val="11"/>
        <color theme="1"/>
        <rFont val="Calibri"/>
        <family val="2"/>
        <charset val="1"/>
      </rPr>
      <t xml:space="preserve">FY2026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</si>
  <si>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t xml:space="preserve">情境／項目</t>
  </si>
  <si>
    <t xml:space="preserve">FY2025A</t>
  </si>
  <si>
    <t xml:space="preserve">FY2026</t>
  </si>
  <si>
    <t xml:space="preserve">FY2027</t>
  </si>
  <si>
    <t xml:space="preserve">FY2028</t>
  </si>
  <si>
    <t xml:space="preserve">FY2029</t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</si>
  <si>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</si>
  <si>
    <t xml:space="preserve">  營收年增</t>
  </si>
  <si>
    <t xml:space="preserve">  Data Center</t>
  </si>
  <si>
    <r>
      <rPr>
        <sz val="11"/>
        <color theme="1"/>
        <rFont val="Noto Sans CJK SC"/>
        <family val="2"/>
      </rPr>
      <t xml:space="preserve">    資料中心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</si>
  <si>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</si>
  <si>
    <r>
      <rPr>
        <sz val="11"/>
        <color theme="1"/>
        <rFont val="Calibri"/>
        <family val="2"/>
        <charset val="1"/>
      </rPr>
      <t xml:space="preserve">  Client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Gaming</t>
    </r>
  </si>
  <si>
    <t xml:space="preserve">  Embedded</t>
  </si>
  <si>
    <t xml:space="preserve">毛利率</t>
  </si>
  <si>
    <t xml:space="preserve">營業利益</t>
  </si>
  <si>
    <t xml:space="preserve">營業利益率</t>
  </si>
  <si>
    <t xml:space="preserve">稀釋股數</t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</si>
  <si>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</si>
  <si>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  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</si>
  <si>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</si>
  <si>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</si>
  <si>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核對（應為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）：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由下而上營收、毛利率 − 錨點（</t>
    </r>
    <r>
      <rPr>
        <b val="true"/>
        <sz val="11"/>
        <rFont val="Cambria"/>
        <family val="0"/>
        <charset val="1"/>
      </rPr>
      <t xml:space="preserve">k_rec</t>
    </r>
    <r>
      <rPr>
        <b val="true"/>
        <sz val="11"/>
        <rFont val="Noto Sans CJK SC"/>
        <family val="2"/>
      </rPr>
      <t xml:space="preserve">、非 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毛利率校準恆等式）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</si>
  <si>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：營收差（</t>
    </r>
    <r>
      <rPr>
        <sz val="11"/>
        <color theme="1"/>
        <rFont val="Calibri"/>
        <family val="2"/>
        <charset val="1"/>
      </rPr>
      <t xml:space="preserve">US$B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</si>
  <si>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  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：毛利率差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</si>
  <si>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：基準（顆數係數 </t>
    </r>
    <r>
      <rPr>
        <b val="true"/>
        <sz val="11"/>
        <rFont val="Cambria"/>
        <family val="0"/>
        <charset val="1"/>
      </rPr>
      <t xml:space="preserve">1.0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</si>
  <si>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A. </t>
    </r>
    <r>
      <rPr>
        <b val="true"/>
        <sz val="11"/>
        <rFont val="Noto Sans CJK SC"/>
        <family val="2"/>
      </rPr>
      <t xml:space="preserve">由下而上（</t>
    </r>
    <r>
      <rPr>
        <b val="true"/>
        <sz val="11"/>
        <rFont val="Cambria"/>
        <family val="0"/>
        <charset val="1"/>
      </rPr>
      <t xml:space="preserve">C </t>
    </r>
    <r>
      <rPr>
        <b val="true"/>
        <sz val="11"/>
        <rFont val="Noto Sans CJK SC"/>
        <family val="2"/>
      </rPr>
      <t xml:space="preserve">欄空白；</t>
    </r>
    <r>
      <rPr>
        <b val="true"/>
        <sz val="11"/>
        <rFont val="Cambria"/>
        <family val="0"/>
        <charset val="1"/>
      </rPr>
      <t xml:space="preserve">D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FY2026 … G</t>
    </r>
    <r>
      <rPr>
        <b val="true"/>
        <sz val="11"/>
        <rFont val="Noto Sans CJK SC"/>
        <family val="2"/>
      </rPr>
      <t xml:space="preserve">＝</t>
    </r>
    <r>
      <rPr>
        <b val="true"/>
        <sz val="11"/>
        <rFont val="Cambria"/>
        <family val="0"/>
        <charset val="1"/>
      </rPr>
      <t xml:space="preserve">FY2029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由校準等於錨點，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起為驅動因子推導）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</si>
  <si>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認列係數（</t>
    </r>
    <r>
      <rPr>
        <sz val="11"/>
        <color theme="1"/>
        <rFont val="Calibri"/>
        <family val="2"/>
        <charset val="1"/>
      </rPr>
      <t xml:space="preserve">k_rec × Sens </t>
    </r>
    <r>
      <rPr>
        <sz val="11"/>
        <color theme="1"/>
        <rFont val="Noto Sans CJK SC"/>
        <family val="2"/>
      </rPr>
      <t xml:space="preserve">顆數係數）</t>
    </r>
  </si>
  <si>
    <r>
      <rPr>
        <sz val="11"/>
        <color theme="1"/>
        <rFont val="Noto Sans CJK SC"/>
        <family val="2"/>
      </rPr>
      <t xml:space="preserve">加速器市場金額（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</si>
  <si>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金額份額（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</si>
  <si>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市場層顆數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</si>
  <si>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認列顆數（市場層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認列係數）</t>
    </r>
  </si>
  <si>
    <r>
      <rPr>
        <sz val="11"/>
        <color theme="1"/>
        <rFont val="Noto Sans CJK SC"/>
        <family val="2"/>
      </rPr>
      <t xml:space="preserve">世代售價係數（</t>
    </r>
    <r>
      <rPr>
        <sz val="11"/>
        <color theme="1"/>
        <rFont val="Calibri"/>
        <family val="2"/>
        <charset val="1"/>
      </rPr>
      <t xml:space="preserve">MI450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Helios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</si>
  <si>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基準營收 ＝ 市場金額 </t>
    </r>
    <r>
      <rPr>
        <sz val="11"/>
        <color theme="1"/>
        <rFont val="Calibri"/>
        <family val="2"/>
        <charset val="1"/>
      </rPr>
      <t xml:space="preserve">× AMD </t>
    </r>
    <r>
      <rPr>
        <sz val="11"/>
        <color theme="1"/>
        <rFont val="Noto Sans CJK SC"/>
        <family val="2"/>
      </rPr>
      <t xml:space="preserve">份額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認列係數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世代係數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</si>
  <si>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價格指數（相對 </t>
    </r>
    <r>
      <rPr>
        <sz val="11"/>
        <color theme="1"/>
        <rFont val="Calibri"/>
        <family val="2"/>
        <charset val="1"/>
      </rPr>
      <t xml:space="preserve">2026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</si>
  <si>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營收（含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漲價轉嫁 </t>
    </r>
    <r>
      <rPr>
        <sz val="11"/>
        <color theme="1"/>
        <rFont val="Calibri"/>
        <family val="2"/>
        <charset val="1"/>
      </rPr>
      <t xml:space="preserve">(1−</t>
    </r>
    <r>
      <rPr>
        <sz val="11"/>
        <color theme="1"/>
        <rFont val="Noto Sans CJK SC"/>
        <family val="2"/>
      </rPr>
      <t xml:space="preserve">吸收比例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</si>
  <si>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</si>
  <si>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r>
      <rPr>
        <sz val="11"/>
        <color theme="1"/>
        <rFont val="Noto Sans CJK SC"/>
        <family val="2"/>
      </rPr>
      <t xml:space="preserve">基準營收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成本＋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成本占比的增加）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</si>
  <si>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</si>
  <si>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EPYC CPU </t>
    </r>
    <r>
      <rPr>
        <sz val="11"/>
        <color theme="1"/>
        <rFont val="Noto Sans CJK SC"/>
        <family val="2"/>
      </rPr>
      <t xml:space="preserve">等）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</si>
  <si>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營收合計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</si>
  <si>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校準：錨點毛利 −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毛利；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起沿用）</t>
    </r>
  </si>
  <si>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；組合內（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Client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Gaming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Embedded</t>
    </r>
    <r>
      <rPr>
        <sz val="11"/>
        <color theme="1"/>
        <rFont val="Noto Sans CJK SC"/>
        <family val="2"/>
      </rPr>
      <t xml:space="preserve">）毛利率差異不模型化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</si>
  <si>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成本</t>
    </r>
  </si>
  <si>
    <t xml:space="preserve">由下而上營收合計</t>
  </si>
  <si>
    <t xml:space="preserve">由下而上成本合計</t>
  </si>
  <si>
    <t xml:space="preserve">由下而上毛利率</t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</si>
  <si>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＝ 錨點毛利率（校準恆等式，非獨立檢驗）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</si>
  <si>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報告值（</t>
    </r>
    <r>
      <rPr>
        <b val="true"/>
        <sz val="11"/>
        <rFont val="Cambria"/>
        <family val="0"/>
        <charset val="1"/>
      </rPr>
      <t xml:space="preserve">FY2025A </t>
    </r>
    <r>
      <rPr>
        <b val="true"/>
        <sz val="11"/>
        <rFont val="Noto Sans CJK SC"/>
        <family val="2"/>
      </rPr>
      <t xml:space="preserve">實績、</t>
    </r>
    <r>
      <rPr>
        <b val="true"/>
        <sz val="11"/>
        <rFont val="Cambria"/>
        <family val="0"/>
        <charset val="1"/>
      </rPr>
      <t xml:space="preserve">FY2026 </t>
    </r>
    <r>
      <rPr>
        <b val="true"/>
        <sz val="11"/>
        <rFont val="Noto Sans CJK SC"/>
        <family val="2"/>
      </rPr>
      <t xml:space="preserve">錨點；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起為由下而上）</t>
    </r>
  </si>
  <si>
    <r>
      <rPr>
        <sz val="11"/>
        <color theme="1"/>
        <rFont val="Noto Sans CJK SC"/>
        <family val="2"/>
      </rPr>
      <t xml:space="preserve">    資料中心非 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等）</t>
    </r>
  </si>
  <si>
    <t xml:space="preserve">營收年增</t>
  </si>
  <si>
    <t xml:space="preserve">營業費用（基準路徑）</t>
  </si>
  <si>
    <r>
      <rPr>
        <sz val="11"/>
        <color theme="1"/>
        <rFont val="Noto Sans CJK SC"/>
        <family val="2"/>
      </rPr>
      <t xml:space="preserve">前一年 </t>
    </r>
    <r>
      <rPr>
        <sz val="11"/>
        <color theme="1"/>
        <rFont val="Calibri"/>
        <family val="2"/>
        <charset val="1"/>
      </rPr>
      <t xml:space="preserve">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MAX(</t>
    </r>
    <r>
      <rPr>
        <sz val="11"/>
        <color theme="1"/>
        <rFont val="Noto Sans CJK SC"/>
        <family val="2"/>
      </rPr>
      <t xml:space="preserve">下限</t>
    </r>
    <r>
      <rPr>
        <sz val="11"/>
        <color theme="1"/>
        <rFont val="Calibri"/>
        <family val="2"/>
        <charset val="1"/>
      </rPr>
      <t xml:space="preserve">, </t>
    </r>
    <r>
      <rPr>
        <sz val="11"/>
        <color theme="1"/>
        <rFont val="Noto Sans CJK SC"/>
        <family val="2"/>
      </rPr>
      <t xml:space="preserve">彈性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營收年增</t>
    </r>
    <r>
      <rPr>
        <sz val="11"/>
        <color theme="1"/>
        <rFont val="Calibri"/>
        <family val="2"/>
        <charset val="1"/>
      </rPr>
      <t xml:space="preserve">)</t>
    </r>
    <r>
      <rPr>
        <sz val="11"/>
        <color theme="1"/>
        <rFont val="Noto Sans CJK SC"/>
        <family val="2"/>
      </rPr>
      <t xml:space="preserve">）</t>
    </r>
  </si>
  <si>
    <t xml:space="preserve">營業費用</t>
  </si>
  <si>
    <r>
      <rPr>
        <sz val="11"/>
        <color theme="1"/>
        <rFont val="Noto Sans CJK SC"/>
        <family val="2"/>
      </rPr>
      <t xml:space="preserve">非營業淨額（</t>
    </r>
    <r>
      <rPr>
        <sz val="11"/>
        <color theme="1"/>
        <rFont val="Calibri"/>
        <family val="2"/>
        <charset val="1"/>
      </rPr>
      <t xml:space="preserve">non-GAAP</t>
    </r>
    <r>
      <rPr>
        <sz val="11"/>
        <color theme="1"/>
        <rFont val="Noto Sans CJK SC"/>
        <family val="2"/>
      </rPr>
      <t xml:space="preserve">）</t>
    </r>
  </si>
  <si>
    <t xml:space="preserve">有效稅率</t>
  </si>
  <si>
    <t xml:space="preserve">稀釋股數（不含客戶認股權證）</t>
  </si>
  <si>
    <r>
      <rPr>
        <sz val="11"/>
        <color theme="1"/>
        <rFont val="Noto Sans CJK SC"/>
        <family val="2"/>
      </rPr>
      <t xml:space="preserve">客戶認股權證稀釋股數（年中平均已歸屬 </t>
    </r>
    <r>
      <rPr>
        <sz val="11"/>
        <color theme="1"/>
        <rFont val="Calibri"/>
        <family val="2"/>
        <charset val="1"/>
      </rPr>
      <t xml:space="preserve">GW ×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股數）</t>
    </r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</si>
  <si>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各 </t>
    </r>
    <r>
      <rPr>
        <sz val="11"/>
        <color theme="1"/>
        <rFont val="Calibri"/>
        <family val="2"/>
        <charset val="1"/>
      </rPr>
      <t xml:space="preserve">160M </t>
    </r>
    <r>
      <rPr>
        <sz val="11"/>
        <color theme="1"/>
        <rFont val="Noto Sans CJK SC"/>
        <family val="2"/>
      </rPr>
      <t xml:space="preserve">股，依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分批歸屬（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線性）；行使價 </t>
    </r>
    <r>
      <rPr>
        <sz val="11"/>
        <color theme="1"/>
        <rFont val="Calibri"/>
        <family val="2"/>
        <charset val="1"/>
      </rPr>
      <t xml:space="preserve">$0.01</t>
    </r>
    <r>
      <rPr>
        <sz val="11"/>
        <color theme="1"/>
        <rFont val="Noto Sans CJK SC"/>
        <family val="2"/>
      </rPr>
      <t xml:space="preserve">，視同全額稀釋</t>
    </r>
  </si>
  <si>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年增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</si>
  <si>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B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CY2029 ×0.85</t>
    </r>
  </si>
  <si>
    <r>
      <rPr>
        <b val="true"/>
        <sz val="11"/>
        <rFont val="Noto Sans CJK SC"/>
        <family val="2"/>
      </rPr>
      <t xml:space="preserve">情境 </t>
    </r>
    <r>
      <rPr>
        <b val="true"/>
        <sz val="11"/>
        <rFont val="Cambria"/>
        <family val="0"/>
        <charset val="1"/>
      </rPr>
      <t xml:space="preserve">C</t>
    </r>
    <r>
      <rPr>
        <b val="true"/>
        <sz val="11"/>
        <rFont val="Noto Sans CJK SC"/>
        <family val="2"/>
      </rPr>
      <t xml:space="preserve">：</t>
    </r>
    <r>
      <rPr>
        <b val="true"/>
        <sz val="11"/>
        <rFont val="Cambria"/>
        <family val="0"/>
        <charset val="1"/>
      </rPr>
      <t xml:space="preserve">CY2028–29 </t>
    </r>
    <r>
      <rPr>
        <b val="true"/>
        <sz val="11"/>
        <rFont val="Noto Sans CJK SC"/>
        <family val="2"/>
      </rPr>
      <t xml:space="preserve">顆數 </t>
    </r>
    <r>
      <rPr>
        <b val="true"/>
        <sz val="11"/>
        <rFont val="Cambria"/>
        <family val="0"/>
        <charset val="1"/>
      </rPr>
      <t xml:space="preserve">×0.6</t>
    </r>
  </si>
  <si>
    <r>
      <rPr>
        <b val="true"/>
        <sz val="11"/>
        <rFont val="Noto Sans CJK SC"/>
        <family val="2"/>
      </rPr>
      <t xml:space="preserve">三情境延伸到 </t>
    </r>
    <r>
      <rPr>
        <b val="true"/>
        <sz val="11"/>
        <rFont val="Cambria"/>
        <family val="0"/>
        <charset val="1"/>
      </rPr>
      <t xml:space="preserve">FY2032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FY2025A–FY2029 </t>
    </r>
    <r>
      <rPr>
        <b val="true"/>
        <sz val="11"/>
        <rFont val="Noto Sans CJK SC"/>
        <family val="2"/>
      </rPr>
      <t xml:space="preserve">引用上方推導區塊，</t>
    </r>
    <r>
      <rPr>
        <b val="true"/>
        <sz val="11"/>
        <rFont val="Cambria"/>
        <family val="0"/>
        <charset val="1"/>
      </rPr>
      <t xml:space="preserve">FY2030 </t>
    </r>
    <r>
      <rPr>
        <b val="true"/>
        <sz val="11"/>
        <rFont val="Noto Sans CJK SC"/>
        <family val="2"/>
      </rPr>
      <t xml:space="preserve">起為收斂法，非驅動因子推導；收斂年度為橘底）</t>
    </r>
  </si>
  <si>
    <r>
      <rPr>
        <sz val="11"/>
        <color theme="1"/>
        <rFont val="Noto Sans CJK SC"/>
        <family val="2"/>
      </rPr>
      <t xml:space="preserve">上游市場層（</t>
    </r>
    <r>
      <rPr>
        <sz val="11"/>
        <color theme="1"/>
        <rFont val="Calibri"/>
        <family val="2"/>
        <charset val="1"/>
      </rPr>
      <t xml:space="preserve">markets/*</t>
    </r>
    <r>
      <rPr>
        <sz val="11"/>
        <color theme="1"/>
        <rFont val="Noto Sans CJK SC"/>
        <family val="2"/>
      </rPr>
      <t xml:space="preserve">、台積電顆數）只到 </t>
    </r>
    <r>
      <rPr>
        <sz val="11"/>
        <color theme="1"/>
        <rFont val="Calibri"/>
        <family val="2"/>
        <charset val="1"/>
      </rPr>
      <t xml:space="preserve">CY2029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起：營收年增由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tp_g−tp_gd</t>
    </r>
    <r>
      <rPr>
        <sz val="11"/>
        <color theme="1"/>
        <rFont val="Noto Sans CJK SC"/>
        <family val="2"/>
      </rPr>
      <t xml:space="preserve">），淨利率由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線性收斂到中段利潤率（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目標的中點、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FY2029 × nm10_k</t>
    </r>
    <r>
      <rPr>
        <sz val="11"/>
        <color theme="1"/>
        <rFont val="Noto Sans CJK SC"/>
        <family val="2"/>
      </rPr>
      <t xml:space="preserve">；同口徑十年平均未找到），股數沿用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年變動</t>
    </r>
  </si>
  <si>
    <t xml:space="preserve">情境／延伸項目</t>
  </si>
  <si>
    <t xml:space="preserve">FY2030</t>
  </si>
  <si>
    <t xml:space="preserve">FY2031</t>
  </si>
  <si>
    <t xml:space="preserve">FY2032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</si>
  <si>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</si>
  <si>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t xml:space="preserve">淨利率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</si>
  <si>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淨利率線性收斂到中段利潤率（維持最後一年；十年平均見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</si>
  <si>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t xml:space="preserve">淨利（延伸表）</t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</si>
  <si>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起沿用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的股數年變動</t>
    </r>
  </si>
  <si>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（延伸表）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</si>
  <si>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</si>
  <si>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淨利率線性收斂到中段利潤率（最後一年與十年平均的中點；十年平均見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</si>
  <si>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起：上游最後一年（</t>
    </r>
    <r>
      <rPr>
        <sz val="11"/>
        <color theme="1"/>
        <rFont val="Calibri"/>
        <family val="2"/>
        <charset val="1"/>
      </rPr>
      <t xml:space="preserve">FY2029</t>
    </r>
    <r>
      <rPr>
        <sz val="11"/>
        <color theme="1"/>
        <rFont val="Noto Sans CJK SC"/>
        <family val="2"/>
      </rPr>
      <t xml:space="preserve">）年增線性收斂到 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的長期成長（</t>
    </r>
    <r>
      <rPr>
        <sz val="11"/>
        <color theme="1"/>
        <rFont val="Calibri"/>
        <family val="2"/>
        <charset val="1"/>
      </rPr>
      <t xml:space="preserve">tp_g</t>
    </r>
    <r>
      <rPr>
        <sz val="11"/>
        <color theme="1"/>
        <rFont val="Noto Sans CJK SC"/>
        <family val="2"/>
      </rPr>
      <t xml:space="preserve">－</t>
    </r>
    <r>
      <rPr>
        <sz val="11"/>
        <color theme="1"/>
        <rFont val="Calibri"/>
        <family val="2"/>
        <charset val="1"/>
      </rPr>
      <t xml:space="preserve">tp_gd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</si>
  <si>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起：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淨利率線性收斂到中段利潤率（十年平均；十年平均見 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nm10_k </t>
    </r>
    <r>
      <rPr>
        <sz val="11"/>
        <color theme="1"/>
        <rFont val="Noto Sans CJK SC"/>
        <family val="2"/>
      </rPr>
      <t xml:space="preserve">列）</t>
    </r>
  </si>
  <si>
    <r>
      <rPr>
        <sz val="11"/>
        <color theme="1"/>
        <rFont val="Calibri"/>
        <family val="2"/>
        <charset val="1"/>
      </rPr>
      <t xml:space="preserve">Val — P/E </t>
    </r>
    <r>
      <rPr>
        <sz val="11"/>
        <color theme="1"/>
        <rFont val="Noto Sans CJK SC"/>
        <family val="2"/>
      </rPr>
      <t xml:space="preserve">估值（美元；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）。目標價＝十年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FY2027 EPS</t>
    </r>
    <r>
      <rPr>
        <sz val="11"/>
        <color theme="1"/>
        <rFont val="Noto Sans CJK SC"/>
        <family val="2"/>
      </rPr>
      <t xml:space="preserve">（各情境），情境加權（第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節）。結論另看「現價 </t>
    </r>
    <r>
      <rPr>
        <sz val="11"/>
        <color theme="1"/>
        <rFont val="Calibri"/>
        <family val="2"/>
        <charset val="1"/>
      </rPr>
      <t xml:space="preserve">÷ 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」。跨公司規則：合理倍數＝</t>
    </r>
    <r>
      <rPr>
        <sz val="11"/>
        <color theme="1"/>
        <rFont val="Calibri"/>
        <family val="2"/>
        <charset val="1"/>
      </rPr>
      <t xml:space="preserve">10 </t>
    </r>
    <r>
      <rPr>
        <sz val="11"/>
        <color theme="1"/>
        <rFont val="Noto Sans CJK SC"/>
        <family val="2"/>
      </rPr>
      <t xml:space="preserve">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的分位，依循環位置：見頂年 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分位、中段中位數、谷底 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會計年度＝日曆年，用共用規則 </t>
    </r>
    <r>
      <rPr>
        <sz val="11"/>
        <color theme="1"/>
        <rFont val="Calibri"/>
        <family val="2"/>
        <charset val="1"/>
      </rPr>
      <t xml:space="preserve">classify</t>
    </r>
    <r>
      <rPr>
        <sz val="11"/>
        <color theme="1"/>
        <rFont val="Noto Sans CJK SC"/>
        <family val="2"/>
      </rPr>
      <t xml:space="preserve">（不平移），見頂年度讀設備市場模型</t>
    </r>
  </si>
  <si>
    <r>
      <rPr>
        <sz val="11"/>
        <color theme="1"/>
        <rFont val="Noto Sans CJK SC"/>
        <family val="2"/>
      </rPr>
      <t xml:space="preserve">依循環位置取分位的規則值：不適用（保留計算，不進結論；比照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模型）。理由：歷史倍數是落後倍數（年底價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當年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），含高成長期溢價與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低谷年（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為虧損、</t>
    </r>
    <r>
      <rPr>
        <sz val="11"/>
        <color theme="1"/>
        <rFont val="Calibri"/>
        <family val="2"/>
        <charset val="1"/>
      </rPr>
      <t xml:space="preserve">2022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18.5x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2019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71.7x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倍數另受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併購攤銷扭曲（</t>
    </r>
    <r>
      <rPr>
        <sz val="11"/>
        <color theme="1"/>
        <rFont val="Calibri"/>
        <family val="2"/>
        <charset val="1"/>
      </rPr>
      <t xml:space="preserve">2023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283x</t>
    </r>
    <r>
      <rPr>
        <sz val="11"/>
        <color theme="1"/>
        <rFont val="Noto Sans CJK SC"/>
        <family val="2"/>
      </rPr>
      <t xml:space="preserve">），只列參考。本版未做先驗，無 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合理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對照</t>
    </r>
  </si>
  <si>
    <r>
      <rPr>
        <b val="true"/>
        <sz val="11"/>
        <rFont val="Cambria"/>
        <family val="0"/>
        <charset val="1"/>
      </rPr>
      <t xml:space="preserve">0. </t>
    </r>
    <r>
      <rPr>
        <b val="true"/>
        <sz val="11"/>
        <rFont val="Noto Sans CJK SC"/>
        <family val="2"/>
      </rPr>
      <t xml:space="preserve">目標價（</t>
    </r>
    <r>
      <rPr>
        <b val="true"/>
        <sz val="11"/>
        <rFont val="Cambria"/>
        <family val="0"/>
        <charset val="1"/>
      </rPr>
      <t xml:space="preserve">DCF </t>
    </r>
    <r>
      <rPr>
        <b val="true"/>
        <sz val="11"/>
        <rFont val="Noto Sans CJK SC"/>
        <family val="2"/>
      </rPr>
      <t xml:space="preserve">與 </t>
    </r>
    <r>
      <rPr>
        <b val="true"/>
        <sz val="11"/>
        <rFont val="Cambria"/>
        <family val="0"/>
        <charset val="1"/>
      </rPr>
      <t xml:space="preserve">Comparable </t>
    </r>
    <r>
      <rPr>
        <b val="true"/>
        <sz val="11"/>
        <rFont val="Noto Sans CJK SC"/>
        <family val="2"/>
      </rPr>
      <t xml:space="preserve">加權；</t>
    </r>
    <r>
      <rPr>
        <b val="true"/>
        <sz val="11"/>
        <rFont val="Cambria"/>
        <family val="0"/>
        <charset val="1"/>
      </rPr>
      <t xml:space="preserve">v0.2 </t>
    </r>
    <r>
      <rPr>
        <b val="true"/>
        <sz val="11"/>
        <rFont val="Noto Sans CJK SC"/>
        <family val="2"/>
      </rPr>
      <t xml:space="preserve">新增，</t>
    </r>
    <r>
      <rPr>
        <b val="true"/>
        <sz val="11"/>
        <rFont val="Cambria"/>
        <family val="0"/>
        <charset val="1"/>
      </rPr>
      <t xml:space="preserve">Andy 2026-10-25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</si>
  <si>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0.1 DCF</t>
    </r>
    <r>
      <rPr>
        <b val="true"/>
        <sz val="11"/>
        <rFont val="Noto Sans CJK SC"/>
        <family val="2"/>
      </rPr>
      <t xml:space="preserve">（股東權益現金流，</t>
    </r>
    <r>
      <rPr>
        <b val="true"/>
        <sz val="11"/>
        <rFont val="Cambria"/>
        <family val="0"/>
        <charset val="1"/>
      </rPr>
      <t xml:space="preserve">FY2027–FY2032 </t>
    </r>
    <r>
      <rPr>
        <b val="true"/>
        <sz val="11"/>
        <rFont val="Noto Sans CJK SC"/>
        <family val="2"/>
      </rPr>
      <t xml:space="preserve">明確期＋</t>
    </r>
    <r>
      <rPr>
        <b val="true"/>
        <sz val="11"/>
        <rFont val="Cambria"/>
        <family val="0"/>
        <charset val="1"/>
      </rPr>
      <t xml:space="preserve">FY2032 </t>
    </r>
    <r>
      <rPr>
        <b val="true"/>
        <sz val="11"/>
        <rFont val="Noto Sans CJK SC"/>
        <family val="2"/>
      </rPr>
      <t xml:space="preserve">後永續）</t>
    </r>
  </si>
  <si>
    <t xml:space="preserve">A</t>
  </si>
  <si>
    <t xml:space="preserve">B</t>
  </si>
  <si>
    <t xml:space="preserve">C</t>
  </si>
  <si>
    <r>
      <rPr>
        <b val="true"/>
        <sz val="11"/>
        <rFont val="Noto Sans CJK SC"/>
        <family val="2"/>
      </rPr>
      <t xml:space="preserve">折現年數 </t>
    </r>
    <r>
      <rPr>
        <b val="true"/>
        <sz val="11"/>
        <rFont val="Cambria"/>
        <family val="0"/>
        <charset val="1"/>
      </rPr>
      <t xml:space="preserve">t</t>
    </r>
  </si>
  <si>
    <t xml:space="preserve">期內占比（基準日後）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</si>
  <si>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FY2027–FY2032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</si>
  <si>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引用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頁延伸表（上游結束後為收斂法）；三情境欄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</si>
  <si>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t xml:space="preserve">  FY2027</t>
  </si>
  <si>
    <t xml:space="preserve">  FY2028</t>
  </si>
  <si>
    <t xml:space="preserve">  FY2029</t>
  </si>
  <si>
    <t xml:space="preserve">  FY2030</t>
  </si>
  <si>
    <t xml:space="preserve">  FY2031</t>
  </si>
  <si>
    <t xml:space="preserve">  FY2032</t>
  </si>
  <si>
    <r>
      <rPr>
        <sz val="11"/>
        <color theme="1"/>
        <rFont val="Noto Sans CJK SC"/>
        <family val="2"/>
      </rPr>
      <t xml:space="preserve">股東現金流＝</t>
    </r>
    <r>
      <rPr>
        <sz val="11"/>
        <color theme="1"/>
        <rFont val="Calibri"/>
        <family val="2"/>
        <charset val="1"/>
      </rPr>
      <t xml:space="preserve">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</si>
  <si>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欄＝可發放比例（</t>
    </r>
    <r>
      <rPr>
        <sz val="11"/>
        <color theme="1"/>
        <rFont val="Calibri"/>
        <family val="2"/>
        <charset val="1"/>
      </rPr>
      <t xml:space="preserve">1 − </t>
    </r>
    <r>
      <rPr>
        <sz val="11"/>
        <color theme="1"/>
        <rFont val="Noto Sans CJK SC"/>
        <family val="2"/>
      </rPr>
      <t xml:space="preserve">再投資率；再投資率＝</t>
    </r>
    <r>
      <rPr>
        <sz val="11"/>
        <color theme="1"/>
        <rFont val="Calibri"/>
        <family val="2"/>
        <charset val="1"/>
      </rPr>
      <t xml:space="preserve">tp_g ÷ tp_roe</t>
    </r>
    <r>
      <rPr>
        <sz val="11"/>
        <color theme="1"/>
        <rFont val="Noto Sans CJK SC"/>
        <family val="2"/>
      </rPr>
      <t xml:space="preserve">，上限 </t>
    </r>
    <r>
      <rPr>
        <sz val="11"/>
        <color theme="1"/>
        <rFont val="Calibri"/>
        <family val="2"/>
        <charset val="1"/>
      </rPr>
      <t xml:space="preserve">0.8</t>
    </r>
    <r>
      <rPr>
        <sz val="11"/>
        <color theme="1"/>
        <rFont val="Noto Sans CJK SC"/>
        <family val="2"/>
      </rPr>
      <t xml:space="preserve">）；下列六列＝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可發放比例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期內占比</t>
    </r>
  </si>
  <si>
    <r>
      <rPr>
        <sz val="11"/>
        <color theme="1"/>
        <rFont val="Calibri"/>
        <family val="2"/>
        <charset val="1"/>
      </rPr>
      <t xml:space="preserve">  FY2027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</si>
  <si>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FY2028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</si>
  <si>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FY2029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</si>
  <si>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FY2030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</si>
  <si>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FY2031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</si>
  <si>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Calibri"/>
        <family val="2"/>
        <charset val="1"/>
      </rPr>
      <t xml:space="preserve">  FY2032 </t>
    </r>
    <r>
      <rPr>
        <sz val="11"/>
        <color theme="1"/>
        <rFont val="Noto Sans CJK SC"/>
        <family val="2"/>
      </rPr>
      <t xml:space="preserve">股東現金流</t>
    </r>
  </si>
  <si>
    <r>
      <rPr>
        <sz val="11"/>
        <color theme="1"/>
        <rFont val="Noto Sans CJK SC"/>
        <family val="2"/>
      </rPr>
      <t xml:space="preserve">  永續價值（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年底；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現金流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tp_g) ÷ (tp_r − tp_g)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</si>
  <si>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情境每股價值（折現率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</si>
  <si>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年底；明確期現金流與永續價值依 </t>
    </r>
    <r>
      <rPr>
        <sz val="11"/>
        <color theme="1"/>
        <rFont val="Calibri"/>
        <family val="2"/>
        <charset val="1"/>
      </rPr>
      <t xml:space="preserve">F </t>
    </r>
    <r>
      <rPr>
        <sz val="11"/>
        <color theme="1"/>
        <rFont val="Noto Sans CJK SC"/>
        <family val="2"/>
      </rPr>
      <t xml:space="preserve">欄年數折現；小於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時取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Andy 2026-10-25 12:22</t>
    </r>
    <r>
      <rPr>
        <sz val="11"/>
        <color theme="1"/>
        <rFont val="Noto Sans CJK SC"/>
        <family val="2"/>
      </rPr>
      <t xml:space="preserve">）</t>
    </r>
  </si>
  <si>
    <t xml:space="preserve">  其中：永續價值現值占比</t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</si>
  <si>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目標價（情境加權）</t>
    </r>
  </si>
  <si>
    <r>
      <rPr>
        <sz val="11"/>
        <color theme="1"/>
        <rFont val="Calibri"/>
        <family val="2"/>
        <charset val="1"/>
      </rPr>
      <t xml:space="preserve">Σ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情境價值 </t>
    </r>
    <r>
      <rPr>
        <sz val="11"/>
        <color theme="1"/>
        <rFont val="Calibri"/>
        <family val="2"/>
        <charset val="1"/>
      </rPr>
      <t xml:space="preserve">×(1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tp_r)</t>
    </r>
    <r>
      <rPr>
        <sz val="11"/>
        <color theme="1"/>
        <rFont val="Noto Sans CJK SC"/>
        <family val="2"/>
      </rPr>
      <t xml:space="preserve">：推到約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</t>
    </r>
  </si>
  <si>
    <r>
      <rPr>
        <b val="true"/>
        <sz val="11"/>
        <rFont val="Cambria"/>
        <family val="0"/>
        <charset val="1"/>
      </rPr>
      <t xml:space="preserve">0.2 Comparable</t>
    </r>
    <r>
      <rPr>
        <b val="true"/>
        <sz val="11"/>
        <rFont val="Noto Sans CJK SC"/>
        <family val="2"/>
      </rPr>
      <t xml:space="preserve">（市場主流同業前瞻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</si>
  <si>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同業與前瞻 </t>
    </r>
    <r>
      <rPr>
        <b val="true"/>
        <sz val="11"/>
        <rFont val="Cambria"/>
        <family val="0"/>
        <charset val="1"/>
      </rPr>
      <t xml:space="preserve">P/E</t>
    </r>
  </si>
  <si>
    <t xml:space="preserve">代號</t>
  </si>
  <si>
    <r>
      <rPr>
        <b val="true"/>
        <sz val="11"/>
        <rFont val="Noto Sans CJK SC"/>
        <family val="2"/>
      </rPr>
      <t xml:space="preserve">前瞻 </t>
    </r>
    <r>
      <rPr>
        <b val="true"/>
        <sz val="11"/>
        <rFont val="Cambria"/>
        <family val="0"/>
        <charset val="1"/>
      </rPr>
      <t xml:space="preserve">12 </t>
    </r>
    <r>
      <rPr>
        <b val="true"/>
        <sz val="11"/>
        <rFont val="Noto Sans CJK SC"/>
        <family val="2"/>
      </rPr>
      <t xml:space="preserve">月 </t>
    </r>
    <r>
      <rPr>
        <b val="true"/>
        <sz val="11"/>
        <rFont val="Cambria"/>
        <family val="0"/>
        <charset val="1"/>
      </rPr>
      <t xml:space="preserve">P/E</t>
    </r>
  </si>
  <si>
    <t xml:space="preserve">日期</t>
  </si>
  <si>
    <t xml:space="preserve">來源</t>
  </si>
  <si>
    <t xml:space="preserve">NVIDIA</t>
  </si>
  <si>
    <t xml:space="preserve">NVDA</t>
  </si>
  <si>
    <t xml:space="preserve">2026-10-23</t>
  </si>
  <si>
    <r>
      <rPr>
        <sz val="11"/>
        <color theme="1"/>
        <rFont val="Calibri"/>
        <family val="2"/>
        <charset val="1"/>
      </rPr>
      <t xml:space="preserve">stockanalysis.com </t>
    </r>
    <r>
      <rPr>
        <sz val="11"/>
        <color theme="1"/>
        <rFont val="Noto Sans CJK SC"/>
        <family val="2"/>
      </rPr>
      <t xml:space="preserve">統計頁（</t>
    </r>
    <r>
      <rPr>
        <sz val="11"/>
        <color theme="1"/>
        <rFont val="Calibri"/>
        <family val="2"/>
        <charset val="1"/>
      </rPr>
      <t xml:space="preserve">Forward PE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</si>
  <si>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（資料商彙整賣方預估）</t>
    </r>
  </si>
  <si>
    <t xml:space="preserve">Broadcom</t>
  </si>
  <si>
    <t xml:space="preserve">AVGO</t>
  </si>
  <si>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（同上）</t>
    </r>
  </si>
  <si>
    <t xml:space="preserve">Intel</t>
  </si>
  <si>
    <t xml:space="preserve">INTC</t>
  </si>
  <si>
    <t xml:space="preserve">Qualcomm</t>
  </si>
  <si>
    <t xml:space="preserve">QCOM</t>
  </si>
  <si>
    <t xml:space="preserve">Marvell</t>
  </si>
  <si>
    <t xml:space="preserve">MRVL</t>
  </si>
  <si>
    <t xml:space="preserve">  同業選擇</t>
  </si>
  <si>
    <r>
      <rPr>
        <sz val="11"/>
        <color theme="1"/>
        <rFont val="Noto Sans CJK SC"/>
        <family val="2"/>
      </rPr>
      <t xml:space="preserve">券商常用的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半導體同業（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 </t>
    </r>
    <r>
      <rPr>
        <sz val="11"/>
        <color theme="1"/>
        <rFont val="Noto Sans CJK SC"/>
        <family val="2"/>
      </rPr>
      <t xml:space="preserve">為直接競爭者）；不含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股（</t>
    </r>
    <r>
      <rPr>
        <sz val="11"/>
        <color theme="1"/>
        <rFont val="Calibri"/>
        <family val="2"/>
        <charset val="1"/>
      </rPr>
      <t xml:space="preserve">Andy 11:53</t>
    </r>
    <r>
      <rPr>
        <sz val="11"/>
        <color theme="1"/>
        <rFont val="Noto Sans CJK SC"/>
        <family val="2"/>
      </rPr>
      <t xml:space="preserve">）。前瞻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口徑為資料商的未來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，各家 </t>
    </r>
    <r>
      <rPr>
        <sz val="11"/>
        <color theme="1"/>
        <rFont val="Calibri"/>
        <family val="2"/>
        <charset val="1"/>
      </rPr>
      <t xml:space="preserve">GAAP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口徑不一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</si>
  <si>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</t>
    </r>
  </si>
  <si>
    <r>
      <rPr>
        <sz val="11"/>
        <color theme="1"/>
        <rFont val="Noto Sans CJK SC"/>
        <family val="2"/>
      </rPr>
      <t xml:space="preserve">  各情境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</si>
  <si>
    <r>
      <rPr>
        <sz val="11"/>
        <color theme="1"/>
        <rFont val="Noto Sans CJK SC"/>
        <family val="2"/>
      </rPr>
      <t xml:space="preserve">會計年度＝日曆年：約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個月後（</t>
    </r>
    <r>
      <rPr>
        <sz val="11"/>
        <color theme="1"/>
        <rFont val="Calibri"/>
        <family val="2"/>
        <charset val="1"/>
      </rPr>
      <t xml:space="preserve">2027-10 </t>
    </r>
    <r>
      <rPr>
        <sz val="11"/>
        <color theme="1"/>
        <rFont val="Noto Sans CJK SC"/>
        <family val="2"/>
      </rPr>
      <t xml:space="preserve">底）的未來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個月＝</t>
    </r>
    <r>
      <rPr>
        <sz val="11"/>
        <color theme="1"/>
        <rFont val="Calibri"/>
        <family val="2"/>
        <charset val="1"/>
      </rPr>
      <t xml:space="preserve">2027-11</t>
    </r>
    <r>
      <rPr>
        <sz val="11"/>
        <color theme="1"/>
        <rFont val="Noto Sans CJK SC"/>
        <family val="2"/>
      </rPr>
      <t xml:space="preserve">～</t>
    </r>
    <r>
      <rPr>
        <sz val="11"/>
        <color theme="1"/>
        <rFont val="Calibri"/>
        <family val="2"/>
        <charset val="1"/>
      </rPr>
      <t xml:space="preserve">2028-10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2/12 × FY2027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10/12 × FY2028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</si>
  <si>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</si>
  <si>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</si>
  <si>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同業前瞻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</si>
  <si>
    <r>
      <rPr>
        <b val="true"/>
        <sz val="11"/>
        <rFont val="Cambria"/>
        <family val="0"/>
        <charset val="1"/>
      </rPr>
      <t xml:space="preserve">0.3 </t>
    </r>
    <r>
      <rPr>
        <b val="true"/>
        <sz val="11"/>
        <rFont val="Noto Sans CJK SC"/>
        <family val="2"/>
      </rPr>
      <t xml:space="preserve">結論</t>
    </r>
  </si>
  <si>
    <t xml:space="preserve">數值</t>
  </si>
  <si>
    <t xml:space="preserve">對照</t>
  </si>
  <si>
    <r>
      <rPr>
        <sz val="11"/>
        <color theme="1"/>
        <rFont val="Noto Sans CJK SC"/>
        <family val="2"/>
      </rPr>
      <t xml:space="preserve">目標價（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加權）</t>
    </r>
  </si>
  <si>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目標價（市場主流同業法）</t>
    </r>
  </si>
  <si>
    <t xml:space="preserve">市場共識目標價</t>
  </si>
  <si>
    <r>
      <rPr>
        <sz val="11"/>
        <color theme="1"/>
        <rFont val="Calibri"/>
        <family val="2"/>
        <charset val="1"/>
      </rPr>
      <t xml:space="preserve">stockanalysis.com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55 </t>
    </r>
    <r>
      <rPr>
        <sz val="11"/>
        <color theme="1"/>
        <rFont val="Noto Sans CJK SC"/>
        <family val="2"/>
      </rPr>
      <t xml:space="preserve">位分析師平均目標價（</t>
    </r>
    <r>
      <rPr>
        <sz val="11"/>
        <color theme="1"/>
        <rFont val="Calibri"/>
        <family val="2"/>
        <charset val="1"/>
      </rPr>
      <t xml:space="preserve">2026-10-25 </t>
    </r>
    <r>
      <rPr>
        <sz val="11"/>
        <color theme="1"/>
        <rFont val="Noto Sans CJK SC"/>
        <family val="2"/>
      </rPr>
      <t xml:space="preserve">頁面）；</t>
    </r>
    <r>
      <rPr>
        <sz val="11"/>
        <color theme="1"/>
        <rFont val="Calibri"/>
        <family val="2"/>
        <charset val="1"/>
      </rPr>
      <t xml:space="preserve">Interested-party</t>
    </r>
  </si>
  <si>
    <t xml:space="preserve">上檔空間：加權目標價</t>
  </si>
  <si>
    <r>
      <rPr>
        <sz val="11"/>
        <color theme="1"/>
        <rFont val="Noto Sans CJK SC"/>
        <family val="2"/>
      </rPr>
      <t xml:space="preserve">上檔空間：</t>
    </r>
    <r>
      <rPr>
        <sz val="11"/>
        <color theme="1"/>
        <rFont val="Calibri"/>
        <family val="2"/>
        <charset val="1"/>
      </rPr>
      <t xml:space="preserve">Comparable </t>
    </r>
    <r>
      <rPr>
        <sz val="11"/>
        <color theme="1"/>
        <rFont val="Noto Sans CJK SC"/>
        <family val="2"/>
      </rPr>
      <t xml:space="preserve">目標價</t>
    </r>
  </si>
  <si>
    <r>
      <rPr>
        <sz val="11"/>
        <color theme="1"/>
        <rFont val="Noto Sans CJK SC"/>
        <family val="2"/>
      </rPr>
      <t xml:space="preserve">與市場共識目標價的差距：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因素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</si>
  <si>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＝我們的前瞻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（情境加權）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− 1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＝共識前瞻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（同權重的共識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2/12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15.76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）＋</t>
    </r>
    <r>
      <rPr>
        <sz val="11"/>
        <color theme="1"/>
        <rFont val="Calibri"/>
        <family val="2"/>
        <charset val="1"/>
      </rPr>
      <t xml:space="preserve">10/12 ×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，二手））</t>
    </r>
  </si>
  <si>
    <t xml:space="preserve">與市場共識目標價的差距：倍數因素</t>
  </si>
  <si>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＝市場共識目標價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共識前瞻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隱含的倍數；</t>
    </r>
    <r>
      <rPr>
        <sz val="11"/>
        <color theme="1"/>
        <rFont val="Calibri"/>
        <family val="2"/>
        <charset val="1"/>
      </rPr>
      <t xml:space="preserve">D</t>
    </r>
    <r>
      <rPr>
        <sz val="11"/>
        <color theme="1"/>
        <rFont val="Noto Sans CJK SC"/>
        <family val="2"/>
      </rPr>
      <t xml:space="preserve">＝同業中位數；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÷ D − 1</t>
    </r>
  </si>
  <si>
    <r>
      <rPr>
        <sz val="11"/>
        <color theme="1"/>
        <rFont val="Noto Sans CJK SC"/>
        <family val="2"/>
      </rPr>
      <t xml:space="preserve">價格帶（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不如預期～順利）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</si>
  <si>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價值（皆推到 </t>
    </r>
    <r>
      <rPr>
        <sz val="11"/>
        <color theme="1"/>
        <rFont val="Calibri"/>
        <family val="2"/>
        <charset val="1"/>
      </rPr>
      <t xml:space="preserve">12 </t>
    </r>
    <r>
      <rPr>
        <sz val="11"/>
        <color theme="1"/>
        <rFont val="Noto Sans CJK SC"/>
        <family val="2"/>
      </rPr>
      <t xml:space="preserve">個月後）</t>
    </r>
  </si>
  <si>
    <r>
      <rPr>
        <sz val="11"/>
        <color theme="1"/>
        <rFont val="Noto Sans CJK SC"/>
        <family val="2"/>
      </rPr>
      <t xml:space="preserve">  檢查用：現價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各情境 </t>
    </r>
    <r>
      <rPr>
        <sz val="11"/>
        <color theme="1"/>
        <rFont val="Calibri"/>
        <family val="2"/>
        <charset val="1"/>
      </rPr>
      <t xml:space="preserve">FY2028 EPS</t>
    </r>
  </si>
  <si>
    <r>
      <rPr>
        <sz val="11"/>
        <color theme="1"/>
        <rFont val="Noto Sans CJK SC"/>
        <family val="2"/>
      </rPr>
      <t xml:space="preserve">歷史倍數檢查：現價隱含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的十年分位（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</si>
  <si>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上一列在 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分布（</t>
    </r>
    <r>
      <rPr>
        <sz val="11"/>
        <color theme="1"/>
        <rFont val="Calibri"/>
        <family val="2"/>
        <charset val="1"/>
      </rPr>
      <t xml:space="preserve">Val!B126:B135</t>
    </r>
    <r>
      <rPr>
        <sz val="11"/>
        <color theme="1"/>
        <rFont val="Noto Sans CJK SC"/>
        <family val="2"/>
      </rPr>
      <t xml:space="preserve">）的分位（</t>
    </r>
    <r>
      <rPr>
        <sz val="11"/>
        <color theme="1"/>
        <rFont val="Calibri"/>
        <family val="2"/>
        <charset val="1"/>
      </rPr>
      <t xml:space="preserve">PERCENTRANK</t>
    </r>
    <r>
      <rPr>
        <sz val="11"/>
        <color theme="1"/>
        <rFont val="Noto Sans CJK SC"/>
        <family val="2"/>
      </rPr>
      <t xml:space="preserve">；低於最小＝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、高於最大＝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）；只作檢查，不進目標價</t>
    </r>
  </si>
  <si>
    <t xml:space="preserve">目標價方法</t>
  </si>
  <si>
    <r>
      <rPr>
        <sz val="11"/>
        <color theme="1"/>
        <rFont val="Calibri"/>
        <family val="2"/>
        <charset val="1"/>
      </rPr>
      <t xml:space="preserve">DCF</t>
    </r>
    <r>
      <rPr>
        <sz val="11"/>
        <color theme="1"/>
        <rFont val="Noto Sans CJK SC"/>
        <family val="2"/>
      </rPr>
      <t xml:space="preserve">：股東現金流＝</t>
    </r>
    <r>
      <rPr>
        <sz val="11"/>
        <color theme="1"/>
        <rFont val="Calibri"/>
        <family val="2"/>
        <charset val="1"/>
      </rPr>
      <t xml:space="preserve">non-GAAP EPS ×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1 − tp_g ÷ tp_roe</t>
    </r>
    <r>
      <rPr>
        <sz val="11"/>
        <color theme="1"/>
        <rFont val="Noto Sans CJK SC"/>
        <family val="2"/>
      </rPr>
      <t xml:space="preserve">），</t>
    </r>
    <r>
      <rPr>
        <sz val="11"/>
        <color theme="1"/>
        <rFont val="Calibri"/>
        <family val="2"/>
        <charset val="1"/>
      </rPr>
      <t xml:space="preserve">tp_r 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4%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tp_roe 0.20</t>
    </r>
    <r>
      <rPr>
        <sz val="11"/>
        <color theme="1"/>
        <rFont val="Noto Sans CJK SC"/>
        <family val="2"/>
      </rPr>
      <t xml:space="preserve">（工作單預設；</t>
    </r>
    <r>
      <rPr>
        <sz val="11"/>
        <color theme="1"/>
        <rFont val="Calibri"/>
        <family val="2"/>
        <charset val="1"/>
      </rPr>
      <t xml:space="preserve">GAAP ROE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攤銷壓低不採）；基準日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年底，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起逐年折現，</t>
    </r>
    <r>
      <rPr>
        <sz val="11"/>
        <color theme="1"/>
        <rFont val="Calibri"/>
        <family val="2"/>
        <charset val="1"/>
      </rPr>
      <t xml:space="preserve">FY2032 </t>
    </r>
    <r>
      <rPr>
        <sz val="11"/>
        <color theme="1"/>
        <rFont val="Noto Sans CJK SC"/>
        <family val="2"/>
      </rPr>
      <t xml:space="preserve">後永續。</t>
    </r>
    <r>
      <rPr>
        <sz val="11"/>
        <color theme="1"/>
        <rFont val="Calibri"/>
        <family val="2"/>
        <charset val="1"/>
      </rPr>
      <t xml:space="preserve">Comparable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Broadcom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Intel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Qualcomm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Marvell </t>
    </r>
    <r>
      <rPr>
        <sz val="11"/>
        <color theme="1"/>
        <rFont val="Noto Sans CJK SC"/>
        <family val="2"/>
      </rPr>
      <t xml:space="preserve">前瞻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12 </t>
    </r>
    <r>
      <rPr>
        <sz val="11"/>
        <color theme="1"/>
        <rFont val="Noto Sans CJK SC"/>
        <family val="2"/>
      </rPr>
      <t xml:space="preserve">個月後前瞻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。偏誤方向：</t>
    </r>
    <r>
      <rPr>
        <sz val="11"/>
        <color theme="1"/>
        <rFont val="Calibri"/>
        <family val="2"/>
        <charset val="1"/>
      </rPr>
      <t xml:space="preserve">non-GAAP EPS </t>
    </r>
    <r>
      <rPr>
        <sz val="11"/>
        <color theme="1"/>
        <rFont val="Noto Sans CJK SC"/>
        <family val="2"/>
      </rPr>
      <t xml:space="preserve">排除股票薪酬與攤銷（偏高）；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FY2030 </t>
    </r>
    <r>
      <rPr>
        <sz val="11"/>
        <color theme="1"/>
        <rFont val="Noto Sans CJK SC"/>
        <family val="2"/>
      </rPr>
      <t xml:space="preserve">起淨利率收斂到 </t>
    </r>
    <r>
      <rPr>
        <sz val="11"/>
        <color theme="1"/>
        <rFont val="Calibri"/>
        <family val="2"/>
        <charset val="1"/>
      </rPr>
      <t xml:space="preserve">FY2029 × 0.8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）；歷史分位用自算十年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落後 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（含轉型期高倍數）；永續價值占 </t>
    </r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價值過半，對 </t>
    </r>
    <r>
      <rPr>
        <sz val="11"/>
        <color theme="1"/>
        <rFont val="Calibri"/>
        <family val="2"/>
        <charset val="1"/>
      </rPr>
      <t xml:space="preserve">tp_r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tp_g </t>
    </r>
    <r>
      <rPr>
        <sz val="11"/>
        <color theme="1"/>
        <rFont val="Noto Sans CJK SC"/>
        <family val="2"/>
      </rPr>
      <t xml:space="preserve">敏感（</t>
    </r>
    <r>
      <rPr>
        <sz val="11"/>
        <color theme="1"/>
        <rFont val="Calibri"/>
        <family val="2"/>
        <charset val="1"/>
      </rPr>
      <t xml:space="preserve">Sens </t>
    </r>
    <r>
      <rPr>
        <sz val="11"/>
        <color theme="1"/>
        <rFont val="Noto Sans CJK SC"/>
        <family val="2"/>
      </rPr>
      <t xml:space="preserve">頁）。</t>
    </r>
  </si>
  <si>
    <r>
      <rPr>
        <sz val="11"/>
        <color theme="1"/>
        <rFont val="Noto Sans CJK SC"/>
        <family val="2"/>
      </rPr>
      <t xml:space="preserve">  檢查：情境權重合計（應為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）</t>
    </r>
  </si>
  <si>
    <t xml:space="preserve">舊法：規則值情境加權（參考）</t>
  </si>
  <si>
    <t xml:space="preserve">值</t>
  </si>
  <si>
    <t xml:space="preserve">規則值情境加權價（參考，非目標價）</t>
  </si>
  <si>
    <t xml:space="preserve">相對現價（參考）</t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</si>
  <si>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隱含價（樂觀）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</si>
  <si>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A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</si>
  <si>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隱含價（基準）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</si>
  <si>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B FY2027 EPS</t>
    </r>
  </si>
  <si>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隱含價（下檔）</t>
    </r>
  </si>
  <si>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情境 </t>
    </r>
    <r>
      <rPr>
        <sz val="11"/>
        <color theme="1"/>
        <rFont val="Calibri"/>
        <family val="2"/>
        <charset val="1"/>
      </rPr>
      <t xml:space="preserve">C FY2027 EPS</t>
    </r>
  </si>
  <si>
    <r>
      <rPr>
        <sz val="11"/>
        <color theme="1"/>
        <rFont val="Noto Sans CJK SC"/>
        <family val="2"/>
      </rPr>
      <t xml:space="preserve">情境權重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</si>
  <si>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tp_wA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tp_wB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tp_wC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Andy </t>
    </r>
    <r>
      <rPr>
        <sz val="11"/>
        <color theme="1"/>
        <rFont val="Noto Sans CJK SC"/>
        <family val="2"/>
      </rPr>
      <t xml:space="preserve">可改）</t>
    </r>
  </si>
  <si>
    <t xml:space="preserve">舊法說明</t>
  </si>
  <si>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：十年（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年底）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中位數（年底價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，自算；規則值不適用時的替代）</t>
    </r>
    <r>
      <rPr>
        <sz val="11"/>
        <color theme="1"/>
        <rFont val="Calibri"/>
        <family val="2"/>
        <charset val="1"/>
      </rPr>
      <t xml:space="preserve">× FY2027</t>
    </r>
    <r>
      <rPr>
        <sz val="11"/>
        <color theme="1"/>
        <rFont val="Noto Sans CJK SC"/>
        <family val="2"/>
      </rPr>
      <t xml:space="preserve">（≈未來 </t>
    </r>
    <r>
      <rPr>
        <sz val="11"/>
        <color theme="1"/>
        <rFont val="Calibri"/>
        <family val="2"/>
        <charset val="1"/>
      </rPr>
      <t xml:space="preserve">12–14 </t>
    </r>
    <r>
      <rPr>
        <sz val="11"/>
        <color theme="1"/>
        <rFont val="Noto Sans CJK SC"/>
        <family val="2"/>
      </rPr>
      <t xml:space="preserve">個月）</t>
    </r>
    <r>
      <rPr>
        <sz val="11"/>
        <color theme="1"/>
        <rFont val="Calibri"/>
        <family val="2"/>
        <charset val="1"/>
      </rPr>
      <t xml:space="preserve">non-GAAP EPS</t>
    </r>
    <r>
      <rPr>
        <sz val="11"/>
        <color theme="1"/>
        <rFont val="Noto Sans CJK SC"/>
        <family val="2"/>
      </rPr>
      <t xml:space="preserve">，情境加權。偏誤方向：歷史倍數含 </t>
    </r>
    <r>
      <rPr>
        <sz val="11"/>
        <color theme="1"/>
        <rFont val="Calibri"/>
        <family val="2"/>
        <charset val="1"/>
      </rPr>
      <t xml:space="preserve">AMD 2017–2021 </t>
    </r>
    <r>
      <rPr>
        <sz val="11"/>
        <color theme="1"/>
        <rFont val="Noto Sans CJK SC"/>
        <family val="2"/>
      </rPr>
      <t xml:space="preserve">年轉型期與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前的高成長溢價（偏高）。</t>
    </r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三情境相同（情境係數自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起），故三情境隱含價相同；樣板標籤 </t>
    </r>
    <r>
      <rPr>
        <sz val="11"/>
        <color theme="1"/>
        <rFont val="Calibri"/>
        <family val="2"/>
        <charset val="1"/>
      </rPr>
      <t xml:space="preserve">A </t>
    </r>
    <r>
      <rPr>
        <sz val="11"/>
        <color theme="1"/>
        <rFont val="Noto Sans CJK SC"/>
        <family val="2"/>
      </rPr>
      <t xml:space="preserve">樂觀／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基準／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下檔沿用，本模型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＝市場層基準、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資本支出消化、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＝明顯下修</t>
    </r>
  </si>
  <si>
    <r>
      <rPr>
        <b val="true"/>
        <sz val="11"/>
        <rFont val="Cambria"/>
        <family val="0"/>
        <charset val="1"/>
      </rPr>
      <t xml:space="preserve">1. </t>
    </r>
    <r>
      <rPr>
        <b val="true"/>
        <sz val="11"/>
        <rFont val="Noto Sans CJK SC"/>
        <family val="2"/>
      </rPr>
      <t xml:space="preserve">價格與市場隱含倍數</t>
    </r>
  </si>
  <si>
    <r>
      <rPr>
        <sz val="11"/>
        <color theme="1"/>
        <rFont val="Noto Sans CJK SC"/>
        <family val="2"/>
      </rPr>
      <t xml:space="preserve">現價（</t>
    </r>
    <r>
      <rPr>
        <sz val="11"/>
        <color theme="1"/>
        <rFont val="Calibri"/>
        <family val="2"/>
        <charset val="1"/>
      </rPr>
      <t xml:space="preserve">2026-10-23 </t>
    </r>
    <r>
      <rPr>
        <sz val="11"/>
        <color theme="1"/>
        <rFont val="Noto Sans CJK SC"/>
        <family val="2"/>
      </rPr>
      <t xml:space="preserve">收盤）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</si>
  <si>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FY2026 EPS</t>
    </r>
    <r>
      <rPr>
        <sz val="11"/>
        <color theme="1"/>
        <rFont val="Noto Sans CJK SC"/>
        <family val="2"/>
      </rPr>
      <t xml:space="preserve">（錨點）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</si>
  <si>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FY2027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</si>
  <si>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Calibri"/>
        <family val="2"/>
        <charset val="1"/>
      </rPr>
      <t xml:space="preserve">FY2027 EPS </t>
    </r>
    <r>
      <rPr>
        <sz val="11"/>
        <color theme="1"/>
        <rFont val="Noto Sans CJK SC"/>
        <family val="2"/>
      </rPr>
      <t xml:space="preserve">三情境相同（情境係數從 </t>
    </r>
    <r>
      <rPr>
        <sz val="11"/>
        <color theme="1"/>
        <rFont val="Calibri"/>
        <family val="2"/>
        <charset val="1"/>
      </rPr>
      <t xml:space="preserve">CY2028 </t>
    </r>
    <r>
      <rPr>
        <sz val="11"/>
        <color theme="1"/>
        <rFont val="Noto Sans CJK SC"/>
        <family val="2"/>
      </rPr>
      <t xml:space="preserve">才開始）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</si>
  <si>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FY2028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</si>
  <si>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FY2029 EPS</t>
    </r>
    <r>
      <rPr>
        <sz val="11"/>
        <color theme="1"/>
        <rFont val="Noto Sans CJK SC"/>
        <family val="2"/>
      </rPr>
      <t xml:space="preserve">（模型）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</si>
  <si>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FY2027 EPS</t>
    </r>
  </si>
  <si>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C</t>
    </r>
    <r>
      <rPr>
        <sz val="11"/>
        <color theme="1"/>
        <rFont val="Noto Sans CJK SC"/>
        <family val="2"/>
      </rPr>
      <t xml:space="preserve">＝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（兩來源差大）</t>
    </r>
  </si>
  <si>
    <r>
      <rPr>
        <sz val="11"/>
        <color theme="1"/>
        <rFont val="Noto Sans CJK SC"/>
        <family val="2"/>
      </rPr>
      <t xml:space="preserve">現價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共識 </t>
    </r>
    <r>
      <rPr>
        <sz val="11"/>
        <color theme="1"/>
        <rFont val="Calibri"/>
        <family val="2"/>
        <charset val="1"/>
      </rPr>
      <t xml:space="preserve">FY2028 EPS</t>
    </r>
    <r>
      <rPr>
        <sz val="11"/>
        <color theme="1"/>
        <rFont val="Noto Sans CJK SC"/>
        <family val="2"/>
      </rPr>
      <t xml:space="preserve">（約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，二手）</t>
    </r>
  </si>
  <si>
    <r>
      <rPr>
        <b val="true"/>
        <sz val="11"/>
        <rFont val="Cambria"/>
        <family val="0"/>
        <charset val="1"/>
      </rPr>
      <t xml:space="preserve">2. </t>
    </r>
    <r>
      <rPr>
        <b val="true"/>
        <sz val="11"/>
        <rFont val="Noto Sans CJK SC"/>
        <family val="2"/>
      </rPr>
      <t xml:space="preserve">循環位置（共用規則，不平移）與規則倍數</t>
    </r>
  </si>
  <si>
    <r>
      <rPr>
        <sz val="11"/>
        <color theme="1"/>
        <rFont val="Noto Sans CJK SC"/>
        <family val="2"/>
      </rPr>
      <t xml:space="preserve">規則：各情境見頂年度（日曆年）取自設備市場模型（</t>
    </r>
    <r>
      <rPr>
        <sz val="11"/>
        <color theme="1"/>
        <rFont val="Calibri"/>
        <family val="2"/>
        <charset val="1"/>
      </rPr>
      <t xml:space="preserve">Mkt </t>
    </r>
    <r>
      <rPr>
        <sz val="11"/>
        <color theme="1"/>
        <rFont val="Noto Sans CJK SC"/>
        <family val="2"/>
      </rPr>
      <t xml:space="preserve">頁「見頂年度」：</t>
    </r>
    <r>
      <rPr>
        <sz val="11"/>
        <color theme="1"/>
        <rFont val="Calibri"/>
        <family val="2"/>
        <charset val="1"/>
      </rPr>
      <t xml:space="preserve">A 2029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B 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2027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會計年度＝日曆年：</t>
    </r>
    <r>
      <rPr>
        <sz val="11"/>
        <color theme="1"/>
        <rFont val="Calibri"/>
        <family val="2"/>
        <charset val="1"/>
      </rPr>
      <t xml:space="preserve">FY </t>
    </r>
    <r>
      <rPr>
        <sz val="11"/>
        <color theme="1"/>
        <rFont val="Noto Sans CJK SC"/>
        <family val="2"/>
      </rPr>
      <t xml:space="preserve">早於見頂年＝中段（中位數）、等於＝見頂（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分位）、晚於＝谷底（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分位）。</t>
    </r>
  </si>
  <si>
    <t xml:space="preserve">情境</t>
  </si>
  <si>
    <r>
      <rPr>
        <b val="true"/>
        <sz val="11"/>
        <rFont val="Noto Sans CJK SC"/>
        <family val="2"/>
      </rPr>
      <t xml:space="preserve">設備市場見頂年度（</t>
    </r>
    <r>
      <rPr>
        <b val="true"/>
        <sz val="11"/>
        <rFont val="Cambria"/>
        <family val="0"/>
        <charset val="1"/>
      </rPr>
      <t xml:space="preserve">CY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</si>
  <si>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</si>
  <si>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倍數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</si>
  <si>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判定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</si>
  <si>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倍數</t>
    </r>
  </si>
  <si>
    <t xml:space="preserve">規則</t>
  </si>
  <si>
    <r>
      <rPr>
        <sz val="11"/>
        <color theme="1"/>
        <rFont val="Calibri"/>
        <family val="2"/>
        <charset val="1"/>
      </rPr>
      <t xml:space="preserve">tools/cycle_position.py classify</t>
    </r>
    <r>
      <rPr>
        <sz val="11"/>
        <color theme="1"/>
        <rFont val="Noto Sans CJK SC"/>
        <family val="2"/>
      </rPr>
      <t xml:space="preserve">（不平移）</t>
    </r>
  </si>
  <si>
    <r>
      <rPr>
        <b val="true"/>
        <sz val="11"/>
        <rFont val="Cambria"/>
        <family val="0"/>
        <charset val="1"/>
      </rPr>
      <t xml:space="preserve">3. </t>
    </r>
    <r>
      <rPr>
        <b val="true"/>
        <sz val="11"/>
        <rFont val="Noto Sans CJK SC"/>
        <family val="2"/>
      </rPr>
      <t xml:space="preserve">規則值隱含股價（美元）——不適用：落後倍數含高成長期溢價，保留計算但不進結論；規則值＝</t>
    </r>
    <r>
      <rPr>
        <b val="true"/>
        <sz val="11"/>
        <rFont val="Cambria"/>
        <family val="0"/>
        <charset val="1"/>
      </rPr>
      <t xml:space="preserve">FY2027 EPS × </t>
    </r>
    <r>
      <rPr>
        <b val="true"/>
        <sz val="11"/>
        <rFont val="Noto Sans CJK SC"/>
        <family val="2"/>
      </rPr>
      <t xml:space="preserve">依循環位置的倍數</t>
    </r>
  </si>
  <si>
    <r>
      <rPr>
        <b val="true"/>
        <sz val="11"/>
        <rFont val="Cambria"/>
        <family val="0"/>
        <charset val="1"/>
      </rPr>
      <t xml:space="preserve">EPS </t>
    </r>
    <r>
      <rPr>
        <b val="true"/>
        <sz val="11"/>
        <rFont val="Noto Sans CJK SC"/>
        <family val="2"/>
      </rPr>
      <t xml:space="preserve">年度</t>
    </r>
  </si>
  <si>
    <t xml:space="preserve">EPS</t>
  </si>
  <si>
    <t xml:space="preserve">倍數類型</t>
  </si>
  <si>
    <t xml:space="preserve">倍數</t>
  </si>
  <si>
    <r>
      <rPr>
        <b val="true"/>
        <sz val="11"/>
        <rFont val="Noto Sans CJK SC"/>
        <family val="2"/>
      </rPr>
      <t xml:space="preserve">隱含股價（不適用；約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年底，未折現）</t>
    </r>
  </si>
  <si>
    <t xml:space="preserve">相對現價</t>
  </si>
  <si>
    <t xml:space="preserve">折現到現在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</si>
  <si>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</si>
  <si>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t xml:space="preserve">參考：中位數</t>
  </si>
  <si>
    <r>
      <rPr>
        <sz val="11"/>
        <color theme="1"/>
        <rFont val="Noto Sans CJK SC"/>
        <family val="2"/>
      </rPr>
      <t xml:space="preserve">參考：</t>
    </r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</si>
  <si>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i val="true"/>
        <sz val="11"/>
        <rFont val="Cambria"/>
        <family val="0"/>
        <charset val="1"/>
      </rPr>
      <t xml:space="preserve">FY2028 </t>
    </r>
    <r>
      <rPr>
        <i val="true"/>
        <sz val="11"/>
        <rFont val="Noto Sans CJK SC"/>
        <family val="2"/>
      </rPr>
      <t xml:space="preserve">折現年數＝</t>
    </r>
    <r>
      <rPr>
        <i val="true"/>
        <sz val="11"/>
        <rFont val="Cambria"/>
        <family val="0"/>
        <charset val="1"/>
      </rPr>
      <t xml:space="preserve">1.19</t>
    </r>
    <r>
      <rPr>
        <i val="true"/>
        <sz val="11"/>
        <rFont val="Noto Sans CJK SC"/>
        <family val="2"/>
      </rPr>
      <t xml:space="preserve">＋</t>
    </r>
    <r>
      <rPr>
        <i val="true"/>
        <sz val="11"/>
        <rFont val="Cambria"/>
        <family val="0"/>
        <charset val="1"/>
      </rPr>
      <t xml:space="preserve">1</t>
    </r>
    <r>
      <rPr>
        <i val="true"/>
        <sz val="11"/>
        <rFont val="Noto Sans CJK SC"/>
        <family val="2"/>
      </rPr>
      <t xml:space="preserve">；折現率為 </t>
    </r>
    <r>
      <rPr>
        <i val="true"/>
        <sz val="11"/>
        <rFont val="Cambria"/>
        <family val="0"/>
        <charset val="1"/>
      </rPr>
      <t xml:space="preserve">In </t>
    </r>
    <r>
      <rPr>
        <i val="true"/>
        <sz val="11"/>
        <rFont val="Noto Sans CJK SC"/>
        <family val="2"/>
      </rPr>
      <t xml:space="preserve">頁 </t>
    </r>
    <r>
      <rPr>
        <i val="true"/>
        <sz val="11"/>
        <rFont val="Cambria"/>
        <family val="0"/>
        <charset val="1"/>
      </rPr>
      <t xml:space="preserve">r_disc</t>
    </r>
    <r>
      <rPr>
        <i val="true"/>
        <sz val="11"/>
        <rFont val="Noto Sans CJK SC"/>
        <family val="2"/>
      </rPr>
      <t xml:space="preserve">（</t>
    </r>
    <r>
      <rPr>
        <i val="true"/>
        <sz val="11"/>
        <rFont val="Cambria"/>
        <family val="0"/>
        <charset val="1"/>
      </rPr>
      <t xml:space="preserve">Assumed 8–12%</t>
    </r>
    <r>
      <rPr>
        <i val="true"/>
        <sz val="11"/>
        <rFont val="Noto Sans CJK SC"/>
        <family val="2"/>
      </rPr>
      <t xml:space="preserve">）。</t>
    </r>
  </si>
  <si>
    <r>
      <rPr>
        <b val="true"/>
        <sz val="11"/>
        <rFont val="Cambria"/>
        <family val="0"/>
        <charset val="1"/>
      </rPr>
      <t xml:space="preserve">4. What must be true</t>
    </r>
    <r>
      <rPr>
        <b val="true"/>
        <sz val="11"/>
        <rFont val="Noto Sans CJK SC"/>
        <family val="2"/>
      </rPr>
      <t xml:space="preserve">：要讓 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年底價等於現價 </t>
    </r>
    <r>
      <rPr>
        <b val="true"/>
        <sz val="11"/>
        <rFont val="Cambria"/>
        <family val="0"/>
        <charset val="1"/>
      </rPr>
      <t xml:space="preserve">×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＋報酬），需要的倍數（情境 </t>
    </r>
    <r>
      <rPr>
        <b val="true"/>
        <sz val="11"/>
        <rFont val="Cambria"/>
        <family val="0"/>
        <charset val="1"/>
      </rPr>
      <t xml:space="preserve">A </t>
    </r>
    <r>
      <rPr>
        <b val="true"/>
        <sz val="11"/>
        <rFont val="Noto Sans CJK SC"/>
        <family val="2"/>
      </rPr>
      <t xml:space="preserve">的 </t>
    </r>
    <r>
      <rPr>
        <b val="true"/>
        <sz val="11"/>
        <rFont val="Cambria"/>
        <family val="0"/>
        <charset val="1"/>
      </rPr>
      <t xml:space="preserve">FY2027</t>
    </r>
    <r>
      <rPr>
        <b val="true"/>
        <sz val="11"/>
        <rFont val="Noto Sans CJK SC"/>
        <family val="2"/>
      </rPr>
      <t xml:space="preserve">、</t>
    </r>
    <r>
      <rPr>
        <b val="true"/>
        <sz val="11"/>
        <rFont val="Cambria"/>
        <family val="0"/>
        <charset val="1"/>
      </rPr>
      <t xml:space="preserve">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</si>
  <si>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年底隱含價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現價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</si>
  <si>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FY2027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</si>
  <si>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所需倍數（</t>
    </r>
    <r>
      <rPr>
        <b val="true"/>
        <sz val="11"/>
        <rFont val="Cambria"/>
        <family val="0"/>
        <charset val="1"/>
      </rPr>
      <t xml:space="preserve">÷ FY2028 EPS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</si>
  <si>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</t>
    </r>
  </si>
  <si>
    <t xml:space="preserve">對照：歷史中位數</t>
  </si>
  <si>
    <r>
      <rPr>
        <b val="true"/>
        <sz val="11"/>
        <rFont val="Noto Sans CJK SC"/>
        <family val="2"/>
      </rPr>
      <t xml:space="preserve">對照：歷史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</si>
  <si>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1.00</t>
    </r>
    <r>
      <rPr>
        <sz val="11"/>
        <color theme="1"/>
        <rFont val="Noto Sans CJK SC"/>
        <family val="2"/>
      </rPr>
      <t xml:space="preserve">＝價格不變、</t>
    </r>
    <r>
      <rPr>
        <sz val="11"/>
        <color theme="1"/>
        <rFont val="Calibri"/>
        <family val="2"/>
        <charset val="1"/>
      </rPr>
      <t xml:space="preserve">1.21</t>
    </r>
    <r>
      <rPr>
        <sz val="11"/>
        <color theme="1"/>
        <rFont val="Noto Sans CJK SC"/>
        <family val="2"/>
      </rPr>
      <t xml:space="preserve">＝約兩年 </t>
    </r>
    <r>
      <rPr>
        <sz val="11"/>
        <color theme="1"/>
        <rFont val="Calibri"/>
        <family val="2"/>
        <charset val="1"/>
      </rPr>
      <t xml:space="preserve">10% </t>
    </r>
    <r>
      <rPr>
        <sz val="11"/>
        <color theme="1"/>
        <rFont val="Noto Sans CJK SC"/>
        <family val="2"/>
      </rPr>
      <t xml:space="preserve">年報酬。所需倍數高於歷史中位數時，現價已預支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以後的成長（大單放量、毛利率不被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壓縮）。</t>
    </r>
  </si>
  <si>
    <r>
      <rPr>
        <b val="true"/>
        <sz val="11"/>
        <rFont val="Cambria"/>
        <family val="0"/>
        <charset val="1"/>
      </rPr>
      <t xml:space="preserve">6. </t>
    </r>
    <r>
      <rPr>
        <b val="true"/>
        <sz val="11"/>
        <rFont val="Noto Sans CJK SC"/>
        <family val="2"/>
      </rPr>
      <t xml:space="preserve">十年倍數與規則值（</t>
    </r>
    <r>
      <rPr>
        <b val="true"/>
        <sz val="11"/>
        <rFont val="Cambria"/>
        <family val="0"/>
        <charset val="1"/>
      </rPr>
      <t xml:space="preserve">2016–2025 </t>
    </r>
    <r>
      <rPr>
        <b val="true"/>
        <sz val="11"/>
        <rFont val="Noto Sans CJK SC"/>
        <family val="2"/>
      </rPr>
      <t xml:space="preserve">年底；見頂年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分位、中段中位數、谷底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分位）</t>
    </r>
  </si>
  <si>
    <r>
      <rPr>
        <sz val="11"/>
        <color theme="1"/>
        <rFont val="Noto Sans CJK SC"/>
        <family val="2"/>
      </rPr>
      <t xml:space="preserve">規則（</t>
    </r>
    <r>
      <rPr>
        <sz val="11"/>
        <color theme="1"/>
        <rFont val="Calibri"/>
        <family val="2"/>
        <charset val="1"/>
      </rPr>
      <t xml:space="preserve">Andy 2026-10-13</t>
    </r>
    <r>
      <rPr>
        <sz val="11"/>
        <color theme="1"/>
        <rFont val="Noto Sans CJK SC"/>
        <family val="2"/>
      </rPr>
      <t xml:space="preserve">）：合理倍數＝</t>
    </r>
    <r>
      <rPr>
        <sz val="11"/>
        <color theme="1"/>
        <rFont val="Calibri"/>
        <family val="2"/>
        <charset val="1"/>
      </rPr>
      <t xml:space="preserve">2016–2025 </t>
    </r>
    <r>
      <rPr>
        <sz val="11"/>
        <color theme="1"/>
        <rFont val="Noto Sans CJK SC"/>
        <family val="2"/>
      </rPr>
      <t xml:space="preserve">年底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依循環位置取分位。本模型採用自算 </t>
    </r>
    <r>
      <rPr>
        <sz val="11"/>
        <color theme="1"/>
        <rFont val="Calibri"/>
        <family val="2"/>
        <charset val="1"/>
      </rPr>
      <t xml:space="preserve">non-GAAP P/E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9 </t>
    </r>
    <r>
      <rPr>
        <sz val="11"/>
        <color theme="1"/>
        <rFont val="Noto Sans CJK SC"/>
        <family val="2"/>
      </rPr>
      <t xml:space="preserve">年，</t>
    </r>
    <r>
      <rPr>
        <sz val="11"/>
        <color theme="1"/>
        <rFont val="Calibri"/>
        <family val="2"/>
        <charset val="1"/>
      </rPr>
      <t xml:space="preserve">2016 </t>
    </r>
    <r>
      <rPr>
        <sz val="11"/>
        <color theme="1"/>
        <rFont val="Noto Sans CJK SC"/>
        <family val="2"/>
      </rPr>
      <t xml:space="preserve">為虧損）；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序列（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）只列參考。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</si>
  <si>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：十年歷史倍數</t>
    </r>
  </si>
  <si>
    <t xml:space="preserve">年底</t>
  </si>
  <si>
    <r>
      <rPr>
        <b val="true"/>
        <sz val="11"/>
        <rFont val="Noto Sans CJK SC"/>
        <family val="2"/>
      </rPr>
      <t xml:space="preserve">自算：年底收盤價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公司 </t>
    </r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</si>
  <si>
    <r>
      <rPr>
        <b val="true"/>
        <sz val="11"/>
        <rFont val="Cambria"/>
        <family val="0"/>
        <charset val="1"/>
      </rPr>
      <t xml:space="preserve">Macrotrends GAAP P/E</t>
    </r>
    <r>
      <rPr>
        <b val="true"/>
        <sz val="11"/>
        <rFont val="Noto Sans CJK SC"/>
        <family val="2"/>
      </rPr>
      <t xml:space="preserve">（年底價 </t>
    </r>
    <r>
      <rPr>
        <b val="true"/>
        <sz val="11"/>
        <rFont val="Cambria"/>
        <family val="0"/>
        <charset val="1"/>
      </rPr>
      <t xml:space="preserve">÷ TTM GAAP EPS</t>
    </r>
    <r>
      <rPr>
        <b val="true"/>
        <sz val="11"/>
        <rFont val="Noto Sans CJK SC"/>
        <family val="2"/>
      </rPr>
      <t xml:space="preserve">；</t>
    </r>
    <r>
      <rPr>
        <b val="true"/>
        <sz val="11"/>
        <rFont val="Cambria"/>
        <family val="0"/>
        <charset val="1"/>
      </rPr>
      <t xml:space="preserve">2025 </t>
    </r>
    <r>
      <rPr>
        <b val="true"/>
        <sz val="11"/>
        <rFont val="Noto Sans CJK SC"/>
        <family val="2"/>
      </rPr>
      <t xml:space="preserve">自算）</t>
    </r>
  </si>
  <si>
    <t xml:space="preserve">標記／說明</t>
  </si>
  <si>
    <t xml:space="preserve">2016</t>
  </si>
  <si>
    <r>
      <rPr>
        <sz val="11"/>
        <color theme="1"/>
        <rFont val="Noto Sans CJK SC"/>
        <family val="2"/>
      </rPr>
      <t xml:space="preserve">自算：年底收盤價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non-GAAP </t>
    </r>
    <r>
      <rPr>
        <sz val="11"/>
        <color theme="1"/>
        <rFont val="Noto Sans CJK SC"/>
        <family val="2"/>
      </rPr>
      <t xml:space="preserve">稀釋 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（價格：</t>
    </r>
    <r>
      <rPr>
        <sz val="11"/>
        <color theme="1"/>
        <rFont val="Calibri"/>
        <family val="2"/>
        <charset val="1"/>
      </rPr>
      <t xml:space="preserve">Macrotrends </t>
    </r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一致；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：公司第四季新聞稿；</t>
    </r>
    <r>
      <rPr>
        <sz val="11"/>
        <color theme="1"/>
        <rFont val="Calibri"/>
        <family val="2"/>
        <charset val="1"/>
      </rPr>
      <t xml:space="preserve">2016 non-GAAP </t>
    </r>
    <r>
      <rPr>
        <sz val="11"/>
        <color theme="1"/>
        <rFont val="Noto Sans CJK SC"/>
        <family val="2"/>
      </rPr>
      <t xml:space="preserve">虧損，不計）；</t>
    </r>
    <r>
      <rPr>
        <sz val="11"/>
        <color theme="1"/>
        <rFont val="Calibri"/>
        <family val="2"/>
        <charset val="1"/>
      </rPr>
      <t xml:space="preserve">Macrotrends GAAP P/E</t>
    </r>
    <r>
      <rPr>
        <sz val="11"/>
        <color theme="1"/>
        <rFont val="Noto Sans CJK SC"/>
        <family val="2"/>
      </rPr>
      <t xml:space="preserve">（年底價 </t>
    </r>
    <r>
      <rPr>
        <sz val="11"/>
        <color theme="1"/>
        <rFont val="Calibri"/>
        <family val="2"/>
        <charset val="1"/>
      </rPr>
      <t xml:space="preserve">÷ TTM GAAP EPS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自算）：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（資料商）；</t>
    </r>
    <r>
      <rPr>
        <sz val="11"/>
        <color theme="1"/>
        <rFont val="Calibri"/>
        <family val="2"/>
        <charset val="1"/>
      </rPr>
      <t xml:space="preserve">GAAP </t>
    </r>
    <r>
      <rPr>
        <sz val="11"/>
        <color theme="1"/>
        <rFont val="Noto Sans CJK SC"/>
        <family val="2"/>
      </rPr>
      <t xml:space="preserve">受 </t>
    </r>
    <r>
      <rPr>
        <sz val="11"/>
        <color theme="1"/>
        <rFont val="Calibri"/>
        <family val="2"/>
        <charset val="1"/>
      </rPr>
      <t xml:space="preserve">Xilinx </t>
    </r>
    <r>
      <rPr>
        <sz val="11"/>
        <color theme="1"/>
        <rFont val="Noto Sans CJK SC"/>
        <family val="2"/>
      </rPr>
      <t xml:space="preserve">攤銷與 </t>
    </r>
    <r>
      <rPr>
        <sz val="11"/>
        <color theme="1"/>
        <rFont val="Calibri"/>
        <family val="2"/>
        <charset val="1"/>
      </rPr>
      <t xml:space="preserve">2020 </t>
    </r>
    <r>
      <rPr>
        <sz val="11"/>
        <color theme="1"/>
        <rFont val="Noto Sans CJK SC"/>
        <family val="2"/>
      </rPr>
      <t xml:space="preserve">稅務利益扭曲，只列參考，不採用</t>
    </r>
  </si>
  <si>
    <t xml:space="preserve">2017</t>
  </si>
  <si>
    <t xml:space="preserve">2018</t>
  </si>
  <si>
    <t xml:space="preserve">2019</t>
  </si>
  <si>
    <t xml:space="preserve">2020</t>
  </si>
  <si>
    <t xml:space="preserve">2021</t>
  </si>
  <si>
    <t xml:space="preserve">2022</t>
  </si>
  <si>
    <t xml:space="preserve">2023</t>
  </si>
  <si>
    <t xml:space="preserve">2024</t>
  </si>
  <si>
    <t xml:space="preserve">2025</t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</si>
  <si>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分位（各來源）</t>
    </r>
  </si>
  <si>
    <t xml:space="preserve">中位數（各來源）</t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</si>
  <si>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分位（各來源）</t>
    </r>
  </si>
  <si>
    <t xml:space="preserve">最小（各來源）</t>
  </si>
  <si>
    <t xml:space="preserve">最大（各來源）</t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</si>
  <si>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25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</si>
  <si>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中位數（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</si>
  <si>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</t>
    </r>
    <r>
      <rPr>
        <b val="true"/>
        <sz val="11"/>
        <rFont val="Cambria"/>
        <family val="0"/>
        <charset val="1"/>
      </rPr>
      <t xml:space="preserve">75 </t>
    </r>
    <r>
      <rPr>
        <b val="true"/>
        <sz val="11"/>
        <rFont val="Noto Sans CJK SC"/>
        <family val="2"/>
      </rPr>
      <t xml:space="preserve">分位（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</si>
  <si>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最小（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</si>
  <si>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採用 最大（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</si>
  <si>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：規則值</t>
    </r>
  </si>
  <si>
    <t xml:space="preserve">情形</t>
  </si>
  <si>
    <t xml:space="preserve">循環位置</t>
  </si>
  <si>
    <t xml:space="preserve">每股基準</t>
  </si>
  <si>
    <t xml:space="preserve">隱含股價</t>
  </si>
  <si>
    <t xml:space="preserve">相對目前</t>
  </si>
  <si>
    <r>
      <rPr>
        <b val="true"/>
        <sz val="11"/>
        <rFont val="Noto Sans CJK SC"/>
        <family val="2"/>
      </rPr>
      <t xml:space="preserve">現價 </t>
    </r>
    <r>
      <rPr>
        <b val="true"/>
        <sz val="11"/>
        <rFont val="Cambria"/>
        <family val="0"/>
        <charset val="1"/>
      </rPr>
      <t xml:space="preserve">÷ </t>
    </r>
    <r>
      <rPr>
        <b val="true"/>
        <sz val="11"/>
        <rFont val="Noto Sans CJK SC"/>
        <family val="2"/>
      </rPr>
      <t xml:space="preserve">基準</t>
    </r>
  </si>
  <si>
    <r>
      <rPr>
        <sz val="11"/>
        <color theme="1"/>
        <rFont val="Noto Sans CJK SC"/>
        <family val="2"/>
      </rPr>
      <t xml:space="preserve">規則值：見頂（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</si>
  <si>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25 </t>
    </r>
    <r>
      <rPr>
        <sz val="11"/>
        <color theme="1"/>
        <rFont val="Noto Sans CJK SC"/>
        <family val="2"/>
      </rPr>
      <t xml:space="preserve">分位</t>
    </r>
  </si>
  <si>
    <r>
      <rPr>
        <sz val="11"/>
        <color theme="1"/>
        <rFont val="Calibri"/>
        <family val="2"/>
        <charset val="1"/>
      </rPr>
      <t xml:space="preserve">FY2027 EPS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</si>
  <si>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規則值：中段（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</si>
  <si>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t xml:space="preserve">中位數</t>
  </si>
  <si>
    <r>
      <rPr>
        <sz val="11"/>
        <color theme="1"/>
        <rFont val="Noto Sans CJK SC"/>
        <family val="2"/>
      </rPr>
      <t xml:space="preserve">規則值：谷底（</t>
    </r>
    <r>
      <rPr>
        <sz val="11"/>
        <color theme="1"/>
        <rFont val="Calibri"/>
        <family val="2"/>
        <charset val="1"/>
      </rPr>
      <t xml:space="preserve">P/E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</si>
  <si>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75 </t>
    </r>
    <r>
      <rPr>
        <sz val="11"/>
        <color theme="1"/>
        <rFont val="Noto Sans CJK SC"/>
        <family val="2"/>
      </rPr>
      <t xml:space="preserve">分位</t>
    </r>
  </si>
  <si>
    <r>
      <rPr>
        <b val="true"/>
        <sz val="11"/>
        <rFont val="Noto Sans CJK SC"/>
        <family val="2"/>
      </rPr>
      <t xml:space="preserve">自算 </t>
    </r>
    <r>
      <rPr>
        <b val="true"/>
        <sz val="11"/>
        <rFont val="Cambria"/>
        <family val="0"/>
        <charset val="1"/>
      </rPr>
      <t xml:space="preserve">P/E </t>
    </r>
    <r>
      <rPr>
        <b val="true"/>
        <sz val="11"/>
        <rFont val="Noto Sans CJK SC"/>
        <family val="2"/>
      </rPr>
      <t xml:space="preserve">的輸入：年底收盤價與公司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2016–2025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</si>
  <si>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收盤價（</t>
    </r>
    <r>
      <rPr>
        <b val="true"/>
        <sz val="11"/>
        <rFont val="Cambria"/>
        <family val="0"/>
        <charset val="1"/>
      </rPr>
      <t xml:space="preserve">US$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</si>
  <si>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non-GAAP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</si>
  <si>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b val="true"/>
        <sz val="11"/>
        <rFont val="Cambria"/>
        <family val="0"/>
        <charset val="1"/>
      </rPr>
      <t xml:space="preserve">GAAP </t>
    </r>
    <r>
      <rPr>
        <b val="true"/>
        <sz val="11"/>
        <rFont val="Noto Sans CJK SC"/>
        <family val="2"/>
      </rPr>
      <t xml:space="preserve">稀釋 </t>
    </r>
    <r>
      <rPr>
        <b val="true"/>
        <sz val="11"/>
        <rFont val="Cambria"/>
        <family val="0"/>
        <charset val="1"/>
      </rPr>
      <t xml:space="preserve">EPS</t>
    </r>
    <r>
      <rPr>
        <b val="true"/>
        <sz val="11"/>
        <rFont val="Noto Sans CJK SC"/>
        <family val="2"/>
      </rPr>
      <t xml:space="preserve">（公司）</t>
    </r>
  </si>
  <si>
    <r>
      <rPr>
        <sz val="11"/>
        <color theme="1"/>
        <rFont val="Noto Sans CJK SC"/>
        <family val="2"/>
      </rPr>
      <t xml:space="preserve">價格：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2016–2024</t>
    </r>
    <r>
      <rPr>
        <sz val="11"/>
        <color theme="1"/>
        <rFont val="Noto Sans CJK SC"/>
        <family val="2"/>
      </rPr>
      <t xml:space="preserve">）與 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2016–2025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僅 </t>
    </r>
    <r>
      <rPr>
        <sz val="11"/>
        <color theme="1"/>
        <rFont val="Calibri"/>
        <family val="2"/>
        <charset val="1"/>
      </rPr>
      <t xml:space="preserve">digrin </t>
    </r>
    <r>
      <rPr>
        <sz val="11"/>
        <color theme="1"/>
        <rFont val="Noto Sans CJK SC"/>
        <family val="2"/>
      </rPr>
      <t xml:space="preserve">一個來源。</t>
    </r>
    <r>
      <rPr>
        <sz val="11"/>
        <color theme="1"/>
        <rFont val="Calibri"/>
        <family val="2"/>
        <charset val="1"/>
      </rPr>
      <t xml:space="preserve">EPS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第四季／全年新聞稿（</t>
    </r>
    <r>
      <rPr>
        <sz val="11"/>
        <color theme="1"/>
        <rFont val="Calibri"/>
        <family val="2"/>
        <charset val="1"/>
      </rPr>
      <t xml:space="preserve">sec.gov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2016–2017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2018–2019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2020–2021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2022–2023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2024–2025 </t>
    </r>
    <r>
      <rPr>
        <sz val="11"/>
        <color theme="1"/>
        <rFont val="Noto Sans CJK SC"/>
        <family val="2"/>
      </rPr>
      <t xml:space="preserve">稿）</t>
    </r>
  </si>
  <si>
    <r>
      <rPr>
        <sz val="11"/>
        <color theme="1"/>
        <rFont val="Calibri"/>
        <family val="2"/>
        <charset val="1"/>
      </rPr>
      <t xml:space="preserve">Recon — </t>
    </r>
    <r>
      <rPr>
        <sz val="11"/>
        <color theme="1"/>
        <rFont val="Noto Sans CJK SC"/>
        <family val="2"/>
      </rPr>
      <t xml:space="preserve">本模型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公司指引、大單、共識、市場層。只作事後對照，不為對上數字而調整參數。公司對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的說法（資料中心逾一倍、伺服器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）與共識只放在這裡，不用於校準</t>
    </r>
  </si>
  <si>
    <t xml:space="preserve">對照值</t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</si>
  <si>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</si>
  <si>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A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</si>
  <si>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</si>
  <si>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B</t>
    </r>
  </si>
  <si>
    <r>
      <rPr>
        <b val="true"/>
        <sz val="11"/>
        <rFont val="Noto Sans CJK SC"/>
        <family val="2"/>
      </rPr>
      <t xml:space="preserve">模型 </t>
    </r>
    <r>
      <rPr>
        <b val="true"/>
        <sz val="11"/>
        <rFont val="Cambria"/>
        <family val="0"/>
        <charset val="1"/>
      </rPr>
      <t xml:space="preserve">C</t>
    </r>
  </si>
  <si>
    <r>
      <rPr>
        <b val="true"/>
        <sz val="11"/>
        <rFont val="Noto Sans CJK SC"/>
        <family val="2"/>
      </rPr>
      <t xml:space="preserve">差距 </t>
    </r>
    <r>
      <rPr>
        <b val="true"/>
        <sz val="11"/>
        <rFont val="Cambria"/>
        <family val="0"/>
        <charset val="1"/>
      </rPr>
      <t xml:space="preserve">C</t>
    </r>
  </si>
  <si>
    <t xml:space="preserve">對照來源</t>
  </si>
  <si>
    <r>
      <rPr>
        <b val="true"/>
        <sz val="11"/>
        <rFont val="Cambria"/>
        <family val="0"/>
        <charset val="1"/>
      </rPr>
      <t xml:space="preserve">A. FY2026 </t>
    </r>
    <r>
      <rPr>
        <b val="true"/>
        <sz val="11"/>
        <rFont val="Noto Sans CJK SC"/>
        <family val="2"/>
      </rPr>
      <t xml:space="preserve">錨點與 </t>
    </r>
    <r>
      <rPr>
        <b val="true"/>
        <sz val="11"/>
        <rFont val="Cambria"/>
        <family val="0"/>
        <charset val="1"/>
      </rPr>
      <t xml:space="preserve">FY2027–28 vs </t>
    </r>
    <r>
      <rPr>
        <b val="true"/>
        <sz val="11"/>
        <rFont val="Noto Sans CJK SC"/>
        <family val="2"/>
      </rPr>
      <t xml:space="preserve">公司說法與共識（校準時未使用）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</si>
  <si>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S&amp;P Global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</si>
  <si>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（二手）</t>
    </r>
  </si>
  <si>
    <r>
      <rPr>
        <sz val="11"/>
        <color theme="1"/>
        <rFont val="Noto Sans CJK SC"/>
        <family val="2"/>
      </rPr>
      <t xml:space="preserve">另一來源 </t>
    </r>
    <r>
      <rPr>
        <sz val="11"/>
        <color theme="1"/>
        <rFont val="Calibri"/>
        <family val="2"/>
        <charset val="1"/>
      </rPr>
      <t xml:space="preserve">tickflow 47.15</t>
    </r>
  </si>
  <si>
    <r>
      <rPr>
        <sz val="11"/>
        <color theme="1"/>
        <rFont val="Calibri"/>
        <family val="2"/>
        <charset val="1"/>
      </rPr>
      <t xml:space="preserve">FY2026 EPS vs </t>
    </r>
    <r>
      <rPr>
        <sz val="11"/>
        <color theme="1"/>
        <rFont val="Noto Sans CJK SC"/>
        <family val="2"/>
      </rPr>
      <t xml:space="preserve">共識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</si>
  <si>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公司「逾一倍」（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× 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</si>
  <si>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法說（二手）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</si>
  <si>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年增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公司伺服器 </t>
    </r>
    <r>
      <rPr>
        <sz val="11"/>
        <color theme="1"/>
        <rFont val="Calibri"/>
        <family val="2"/>
        <charset val="1"/>
      </rPr>
      <t xml:space="preserve">CPU</t>
    </r>
    <r>
      <rPr>
        <sz val="11"/>
        <color theme="1"/>
        <rFont val="Noto Sans CJK SC"/>
        <family val="2"/>
      </rPr>
      <t xml:space="preserve">「逾 </t>
    </r>
    <r>
      <rPr>
        <sz val="11"/>
        <color theme="1"/>
        <rFont val="Calibri"/>
        <family val="2"/>
        <charset val="1"/>
      </rPr>
      <t xml:space="preserve">70%</t>
    </r>
    <r>
      <rPr>
        <sz val="11"/>
        <color theme="1"/>
        <rFont val="Noto Sans CJK SC"/>
        <family val="2"/>
      </rPr>
      <t xml:space="preserve">」（百分點）</t>
    </r>
  </si>
  <si>
    <r>
      <rPr>
        <sz val="11"/>
        <color theme="1"/>
        <rFont val="Noto Sans CJK SC"/>
        <family val="2"/>
      </rPr>
      <t xml:space="preserve">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含 </t>
    </r>
    <r>
      <rPr>
        <sz val="11"/>
        <color theme="1"/>
        <rFont val="Calibri"/>
        <family val="2"/>
        <charset val="1"/>
      </rPr>
      <t xml:space="preserve">DPU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FPGA</t>
    </r>
    <r>
      <rPr>
        <sz val="11"/>
        <color theme="1"/>
        <rFont val="Noto Sans CJK SC"/>
        <family val="2"/>
      </rPr>
      <t xml:space="preserve">；基準 </t>
    </r>
    <r>
      <rPr>
        <sz val="11"/>
        <color theme="1"/>
        <rFont val="Calibri"/>
        <family val="2"/>
        <charset val="1"/>
      </rPr>
      <t xml:space="preserve">50%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</si>
  <si>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「</t>
    </r>
    <r>
      <rPr>
        <sz val="11"/>
        <color theme="1"/>
        <rFont val="Calibri"/>
        <family val="2"/>
        <charset val="1"/>
      </rPr>
      <t xml:space="preserve">Revenue Next Year</t>
    </r>
    <r>
      <rPr>
        <sz val="11"/>
        <color theme="1"/>
        <rFont val="Noto Sans CJK SC"/>
        <family val="2"/>
      </rPr>
      <t xml:space="preserve">」）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</si>
  <si>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67.1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</si>
  <si>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stockanalysis 15.76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</si>
  <si>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差距超過 </t>
    </r>
    <r>
      <rPr>
        <sz val="11"/>
        <color theme="1"/>
        <rFont val="Calibri"/>
        <family val="2"/>
        <charset val="1"/>
      </rPr>
      <t xml:space="preserve">30% </t>
    </r>
    <r>
      <rPr>
        <sz val="11"/>
        <color theme="1"/>
        <rFont val="Noto Sans CJK SC"/>
        <family val="2"/>
      </rPr>
      <t xml:space="preserve">的原因見 </t>
    </r>
    <r>
      <rPr>
        <sz val="11"/>
        <color theme="1"/>
        <rFont val="Calibri"/>
        <family val="2"/>
        <charset val="1"/>
      </rPr>
      <t xml:space="preserve">README</t>
    </r>
  </si>
  <si>
    <r>
      <rPr>
        <sz val="11"/>
        <color theme="1"/>
        <rFont val="Calibri"/>
        <family val="2"/>
        <charset val="1"/>
      </rPr>
      <t xml:space="preserve">FY2027 EPS vs </t>
    </r>
    <r>
      <rPr>
        <sz val="11"/>
        <color theme="1"/>
        <rFont val="Noto Sans CJK SC"/>
        <family val="2"/>
      </rPr>
      <t xml:space="preserve">共識（</t>
    </r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11.23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</si>
  <si>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（二手；可能較舊）</t>
    </r>
  </si>
  <si>
    <r>
      <rPr>
        <sz val="11"/>
        <color theme="1"/>
        <rFont val="Calibri"/>
        <family val="2"/>
        <charset val="1"/>
      </rPr>
      <t xml:space="preserve">FY2028 EPS vs </t>
    </r>
    <r>
      <rPr>
        <sz val="11"/>
        <color theme="1"/>
        <rFont val="Noto Sans CJK SC"/>
        <family val="2"/>
      </rPr>
      <t xml:space="preserve">共識約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，二手）</t>
    </r>
  </si>
  <si>
    <r>
      <rPr>
        <sz val="11"/>
        <color theme="1"/>
        <rFont val="Calibri"/>
        <family val="2"/>
        <charset val="1"/>
      </rPr>
      <t xml:space="preserve">ts2.tech </t>
    </r>
    <r>
      <rPr>
        <sz val="11"/>
        <color theme="1"/>
        <rFont val="Noto Sans CJK SC"/>
        <family val="2"/>
      </rPr>
      <t xml:space="preserve">轉述（二手）</t>
    </r>
  </si>
  <si>
    <r>
      <rPr>
        <sz val="11"/>
        <color theme="1"/>
        <rFont val="Calibri"/>
        <family val="2"/>
        <charset val="1"/>
      </rPr>
      <t xml:space="preserve">tickflow </t>
    </r>
    <r>
      <rPr>
        <sz val="11"/>
        <color theme="1"/>
        <rFont val="Noto Sans CJK SC"/>
        <family val="2"/>
      </rPr>
      <t xml:space="preserve">四季合計 </t>
    </r>
    <r>
      <rPr>
        <sz val="11"/>
        <color theme="1"/>
        <rFont val="Calibri"/>
        <family val="2"/>
        <charset val="1"/>
      </rPr>
      <t xml:space="preserve">14.41</t>
    </r>
  </si>
  <si>
    <r>
      <rPr>
        <sz val="11"/>
        <color theme="1"/>
        <rFont val="Calibri"/>
        <family val="2"/>
        <charset val="1"/>
      </rPr>
      <t xml:space="preserve">FY2029 EPS vs </t>
    </r>
    <r>
      <rPr>
        <sz val="11"/>
        <color theme="1"/>
        <rFont val="Noto Sans CJK SC"/>
        <family val="2"/>
      </rPr>
      <t xml:space="preserve">公司策略期間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逾 </t>
    </r>
    <r>
      <rPr>
        <sz val="11"/>
        <color theme="1"/>
        <rFont val="Calibri"/>
        <family val="2"/>
        <charset val="1"/>
      </rPr>
      <t xml:space="preserve">$20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</si>
  <si>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2025-11 </t>
    </r>
    <r>
      <rPr>
        <sz val="11"/>
        <color theme="1"/>
        <rFont val="Noto Sans CJK SC"/>
        <family val="2"/>
      </rPr>
      <t xml:space="preserve">分析師日（二手）</t>
    </r>
  </si>
  <si>
    <r>
      <rPr>
        <sz val="11"/>
        <color theme="1"/>
        <rFont val="Noto Sans CJK SC"/>
        <family val="2"/>
      </rPr>
      <t xml:space="preserve">公司 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稱將顯著超過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</si>
  <si>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</t>
    </r>
    <r>
      <rPr>
        <sz val="11"/>
        <color theme="1"/>
        <rFont val="Noto Sans CJK SC"/>
        <family val="2"/>
      </rPr>
      <t xml:space="preserve">公司「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年資料中心 </t>
    </r>
    <r>
      <rPr>
        <sz val="11"/>
        <color theme="1"/>
        <rFont val="Calibri"/>
        <family val="2"/>
        <charset val="1"/>
      </rPr>
      <t xml:space="preserve">AI </t>
    </r>
    <r>
      <rPr>
        <sz val="11"/>
        <color theme="1"/>
        <rFont val="Noto Sans CJK SC"/>
        <family val="2"/>
      </rPr>
      <t xml:space="preserve">數百億美元」（下限 </t>
    </r>
    <r>
      <rPr>
        <sz val="11"/>
        <color theme="1"/>
        <rFont val="Calibri"/>
        <family val="2"/>
        <charset val="1"/>
      </rPr>
      <t xml:space="preserve">20</t>
    </r>
    <r>
      <rPr>
        <sz val="11"/>
        <color theme="1"/>
        <rFont val="Noto Sans CJK SC"/>
        <family val="2"/>
      </rPr>
      <t xml:space="preserve">）</t>
    </r>
  </si>
  <si>
    <t xml:space="preserve">公司分析師日（二手）</t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</si>
  <si>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vs FY2026 </t>
    </r>
    <r>
      <rPr>
        <sz val="11"/>
        <color theme="1"/>
        <rFont val="Noto Sans CJK SC"/>
        <family val="2"/>
      </rPr>
      <t xml:space="preserve">錨點（百分點）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</si>
  <si>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</si>
  <si>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漲價（</t>
    </r>
    <r>
      <rPr>
        <sz val="11"/>
        <color theme="1"/>
        <rFont val="Calibri"/>
        <family val="2"/>
        <charset val="1"/>
      </rPr>
      <t xml:space="preserve">2027 +80%</t>
    </r>
    <r>
      <rPr>
        <sz val="11"/>
        <color theme="1"/>
        <rFont val="Noto Sans CJK SC"/>
        <family val="2"/>
      </rPr>
      <t xml:space="preserve">，三情境相同）</t>
    </r>
    <r>
      <rPr>
        <sz val="11"/>
        <color theme="1"/>
        <rFont val="Calibri"/>
        <family val="2"/>
        <charset val="1"/>
      </rPr>
      <t xml:space="preserve">×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0.5 </t>
    </r>
    <r>
      <rPr>
        <sz val="11"/>
        <color theme="1"/>
        <rFont val="Noto Sans CJK SC"/>
        <family val="2"/>
      </rPr>
      <t xml:space="preserve">壓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</t>
    </r>
  </si>
  <si>
    <r>
      <rPr>
        <b val="true"/>
        <sz val="11"/>
        <rFont val="Cambria"/>
        <family val="0"/>
        <charset val="1"/>
      </rPr>
      <t xml:space="preserve">B. </t>
    </r>
    <r>
      <rPr>
        <b val="true"/>
        <sz val="11"/>
        <rFont val="Noto Sans CJK SC"/>
        <family val="2"/>
      </rPr>
      <t xml:space="preserve">認列係數 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與每顆售價</t>
    </r>
  </si>
  <si>
    <r>
      <rPr>
        <sz val="11"/>
        <color theme="1"/>
        <rFont val="Calibri"/>
        <family val="2"/>
        <charset val="1"/>
      </rPr>
      <t xml:space="preserve">k_rec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Derived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</si>
  <si>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錨點 </t>
    </r>
    <r>
      <rPr>
        <sz val="11"/>
        <color theme="1"/>
        <rFont val="Calibri"/>
        <family val="2"/>
        <charset val="1"/>
      </rPr>
      <t xml:space="preserve">GPU ÷ </t>
    </r>
    <r>
      <rPr>
        <sz val="11"/>
        <color theme="1"/>
        <rFont val="Noto Sans CJK SC"/>
        <family val="2"/>
      </rPr>
      <t xml:space="preserve">市場層顆數 </t>
    </r>
    <r>
      <rPr>
        <sz val="11"/>
        <color theme="1"/>
        <rFont val="Calibri"/>
        <family val="2"/>
        <charset val="1"/>
      </rPr>
      <t xml:space="preserve">× pa_amd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</si>
  <si>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起沿用</t>
    </r>
  </si>
  <si>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隱含每顆認列售價 </t>
    </r>
    <r>
      <rPr>
        <sz val="11"/>
        <color theme="1"/>
        <rFont val="Calibri"/>
        <family val="2"/>
        <charset val="1"/>
      </rPr>
      <t xml:space="preserve">vs HSBC MI355X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US$K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</si>
  <si>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HSBC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finviz </t>
    </r>
    <r>
      <rPr>
        <sz val="11"/>
        <color theme="1"/>
        <rFont val="Noto Sans CJK SC"/>
        <family val="2"/>
      </rPr>
      <t xml:space="preserve">轉述，</t>
    </r>
    <r>
      <rPr>
        <sz val="11"/>
        <color theme="1"/>
        <rFont val="Calibri"/>
        <family val="2"/>
        <charset val="1"/>
      </rPr>
      <t xml:space="preserve">Interested-party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</si>
  <si>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若 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全歸售價層；與 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價接近＝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的水準差主要是售價（</t>
    </r>
    <r>
      <rPr>
        <sz val="11"/>
        <color theme="1"/>
        <rFont val="Calibri"/>
        <family val="2"/>
        <charset val="1"/>
      </rPr>
      <t xml:space="preserve">MI355X </t>
    </r>
    <r>
      <rPr>
        <sz val="11"/>
        <color theme="1"/>
        <rFont val="Noto Sans CJK SC"/>
        <family val="2"/>
      </rPr>
      <t xml:space="preserve">為主）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</si>
  <si>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FY2026 vs </t>
    </r>
    <r>
      <rPr>
        <sz val="11"/>
        <color theme="1"/>
        <rFont val="Noto Sans CJK SC"/>
        <family val="2"/>
      </rPr>
      <t xml:space="preserve">市場層（百萬顆）</t>
    </r>
  </si>
  <si>
    <t xml:space="preserve">markets/memory UNITS</t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</si>
  <si>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vs FY2025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Assumed 6.5</t>
    </r>
    <r>
      <rPr>
        <sz val="11"/>
        <color theme="1"/>
        <rFont val="Noto Sans CJK SC"/>
        <family val="2"/>
      </rPr>
      <t xml:space="preserve">）年增</t>
    </r>
  </si>
  <si>
    <r>
      <rPr>
        <sz val="11"/>
        <color theme="1"/>
        <rFont val="Calibri"/>
        <family val="2"/>
        <charset val="1"/>
      </rPr>
      <t xml:space="preserve">Q </t>
    </r>
    <r>
      <rPr>
        <sz val="11"/>
        <color theme="1"/>
        <rFont val="Noto Sans CJK SC"/>
        <family val="2"/>
      </rPr>
      <t xml:space="preserve">頁（皆含 </t>
    </r>
    <r>
      <rPr>
        <sz val="11"/>
        <color theme="1"/>
        <rFont val="Calibri"/>
        <family val="2"/>
        <charset val="1"/>
      </rPr>
      <t xml:space="preserve">Assumed </t>
    </r>
    <r>
      <rPr>
        <sz val="11"/>
        <color theme="1"/>
        <rFont val="Noto Sans CJK SC"/>
        <family val="2"/>
      </rPr>
      <t xml:space="preserve">拆分）</t>
    </r>
  </si>
  <si>
    <r>
      <rPr>
        <b val="true"/>
        <sz val="11"/>
        <rFont val="Cambria"/>
        <family val="0"/>
        <charset val="1"/>
      </rPr>
      <t xml:space="preserve">C. </t>
    </r>
    <r>
      <rPr>
        <b val="true"/>
        <sz val="11"/>
        <rFont val="Noto Sans CJK SC"/>
        <family val="2"/>
      </rPr>
      <t xml:space="preserve">大單（</t>
    </r>
    <r>
      <rPr>
        <b val="true"/>
        <sz val="11"/>
        <rFont val="Cambria"/>
        <family val="0"/>
        <charset val="1"/>
      </rPr>
      <t xml:space="preserve">Interested-party</t>
    </r>
    <r>
      <rPr>
        <b val="true"/>
        <sz val="11"/>
        <rFont val="Noto Sans CJK SC"/>
        <family val="2"/>
      </rPr>
      <t xml:space="preserve">）：認列顆數換算 </t>
    </r>
    <r>
      <rPr>
        <b val="true"/>
        <sz val="11"/>
        <rFont val="Cambria"/>
        <family val="0"/>
        <charset val="1"/>
      </rPr>
      <t xml:space="preserve">GW</t>
    </r>
  </si>
  <si>
    <r>
      <rPr>
        <sz val="11"/>
        <color theme="1"/>
        <rFont val="Calibri"/>
        <family val="2"/>
        <charset val="1"/>
      </rPr>
      <t xml:space="preserve">FY2027 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GPU </t>
    </r>
    <r>
      <rPr>
        <sz val="11"/>
        <color theme="1"/>
        <rFont val="Noto Sans CJK SC"/>
        <family val="2"/>
      </rPr>
      <t xml:space="preserve">數 → 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</si>
  <si>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對照值＝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頁假設的 </t>
    </r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年新歸屬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</si>
  <si>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每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顆數以 </t>
    </r>
    <r>
      <rPr>
        <sz val="11"/>
        <color theme="1"/>
        <rFont val="Calibri"/>
        <family val="2"/>
        <charset val="1"/>
      </rPr>
      <t xml:space="preserve">VR200 NVL72 </t>
    </r>
    <r>
      <rPr>
        <sz val="11"/>
        <color theme="1"/>
        <rFont val="Noto Sans CJK SC"/>
        <family val="2"/>
      </rPr>
      <t xml:space="preserve">為 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；每顆認列售價低於市場層時，顆數高估、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偏高</t>
    </r>
  </si>
  <si>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隱含 </t>
    </r>
    <r>
      <rPr>
        <sz val="11"/>
        <color theme="1"/>
        <rFont val="Calibri"/>
        <family val="2"/>
        <charset val="1"/>
      </rPr>
      <t xml:space="preserve">GW</t>
    </r>
  </si>
  <si>
    <r>
      <rPr>
        <sz val="11"/>
        <color theme="1"/>
        <rFont val="Noto Sans CJK SC"/>
        <family val="2"/>
      </rPr>
      <t xml:space="preserve">已宣布大單合計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Meta 6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Anthropic 2</t>
    </r>
    <r>
      <rPr>
        <sz val="11"/>
        <color theme="1"/>
        <rFont val="Noto Sans CJK SC"/>
        <family val="2"/>
      </rPr>
      <t xml:space="preserve">＋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首批）</t>
    </r>
  </si>
  <si>
    <r>
      <rPr>
        <sz val="11"/>
        <color theme="1"/>
        <rFont val="Noto Sans CJK SC"/>
        <family val="2"/>
      </rPr>
      <t xml:space="preserve">公司、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新聞稿</t>
    </r>
  </si>
  <si>
    <r>
      <rPr>
        <sz val="11"/>
        <color theme="1"/>
        <rFont val="Noto Sans CJK SC"/>
        <family val="2"/>
      </rPr>
      <t xml:space="preserve">模型值＝</t>
    </r>
    <r>
      <rPr>
        <sz val="11"/>
        <color theme="1"/>
        <rFont val="Calibri"/>
        <family val="2"/>
        <charset val="1"/>
      </rPr>
      <t xml:space="preserve">FY2027–29 </t>
    </r>
    <r>
      <rPr>
        <sz val="11"/>
        <color theme="1"/>
        <rFont val="Noto Sans CJK SC"/>
        <family val="2"/>
      </rPr>
      <t xml:space="preserve">認列顆數累計換算 </t>
    </r>
    <r>
      <rPr>
        <sz val="11"/>
        <color theme="1"/>
        <rFont val="Calibri"/>
        <family val="2"/>
        <charset val="1"/>
      </rPr>
      <t xml:space="preserve">GW</t>
    </r>
    <r>
      <rPr>
        <sz val="11"/>
        <color theme="1"/>
        <rFont val="Noto Sans CJK SC"/>
        <family val="2"/>
      </rPr>
      <t xml:space="preserve">；大單為多年期、上限值</t>
    </r>
  </si>
  <si>
    <r>
      <rPr>
        <sz val="11"/>
        <color theme="1"/>
        <rFont val="Noto Sans CJK SC"/>
        <family val="2"/>
      </rPr>
      <t xml:space="preserve">認股權證稀釋占 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股數</t>
    </r>
  </si>
  <si>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 </t>
    </r>
    <r>
      <rPr>
        <sz val="11"/>
        <color theme="1"/>
        <rFont val="Calibri"/>
        <family val="2"/>
        <charset val="1"/>
      </rPr>
      <t xml:space="preserve">G </t>
    </r>
    <r>
      <rPr>
        <sz val="11"/>
        <color theme="1"/>
        <rFont val="Noto Sans CJK SC"/>
        <family val="2"/>
      </rPr>
      <t xml:space="preserve">節</t>
    </r>
  </si>
  <si>
    <r>
      <rPr>
        <sz val="11"/>
        <color theme="1"/>
        <rFont val="Noto Sans CJK SC"/>
        <family val="2"/>
      </rPr>
      <t xml:space="preserve">上限 </t>
    </r>
    <r>
      <rPr>
        <sz val="11"/>
        <color theme="1"/>
        <rFont val="Calibri"/>
        <family val="2"/>
        <charset val="1"/>
      </rPr>
      <t xml:space="preserve">0.32B </t>
    </r>
    <r>
      <rPr>
        <sz val="11"/>
        <color theme="1"/>
        <rFont val="Noto Sans CJK SC"/>
        <family val="2"/>
      </rPr>
      <t xml:space="preserve">股（約為 </t>
    </r>
    <r>
      <rPr>
        <sz val="11"/>
        <color theme="1"/>
        <rFont val="Calibri"/>
        <family val="2"/>
        <charset val="1"/>
      </rPr>
      <t xml:space="preserve">FY2026 </t>
    </r>
    <r>
      <rPr>
        <sz val="11"/>
        <color theme="1"/>
        <rFont val="Noto Sans CJK SC"/>
        <family val="2"/>
      </rPr>
      <t xml:space="preserve">股數的 </t>
    </r>
    <r>
      <rPr>
        <sz val="11"/>
        <color theme="1"/>
        <rFont val="Calibri"/>
        <family val="2"/>
        <charset val="1"/>
      </rPr>
      <t xml:space="preserve">19%</t>
    </r>
    <r>
      <rPr>
        <sz val="11"/>
        <color theme="1"/>
        <rFont val="Noto Sans CJK SC"/>
        <family val="2"/>
      </rPr>
      <t xml:space="preserve">）</t>
    </r>
  </si>
  <si>
    <r>
      <rPr>
        <b val="true"/>
        <sz val="11"/>
        <rFont val="Cambria"/>
        <family val="0"/>
        <charset val="1"/>
      </rPr>
      <t xml:space="preserve">D. </t>
    </r>
    <r>
      <rPr>
        <b val="true"/>
        <sz val="11"/>
        <rFont val="Noto Sans CJK SC"/>
        <family val="2"/>
      </rPr>
      <t xml:space="preserve">份額（</t>
    </r>
    <r>
      <rPr>
        <b val="true"/>
        <sz val="11"/>
        <rFont val="Cambria"/>
        <family val="0"/>
        <charset val="1"/>
      </rPr>
      <t xml:space="preserve">Units </t>
    </r>
    <r>
      <rPr>
        <b val="true"/>
        <sz val="11"/>
        <rFont val="Noto Sans CJK SC"/>
        <family val="2"/>
      </rPr>
      <t xml:space="preserve">頁，模組層級）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</si>
  <si>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</si>
  <si>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模型同一套價格）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</si>
  <si>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顆數份額</t>
    </r>
  </si>
  <si>
    <r>
      <rPr>
        <sz val="11"/>
        <color theme="1"/>
        <rFont val="Noto Sans CJK SC"/>
        <family val="2"/>
      </rPr>
      <t xml:space="preserve">公司目標「雙位數份額」（</t>
    </r>
    <r>
      <rPr>
        <sz val="11"/>
        <color theme="1"/>
        <rFont val="Calibri"/>
        <family val="2"/>
        <charset val="1"/>
      </rPr>
      <t xml:space="preserve">2025 </t>
    </r>
    <r>
      <rPr>
        <sz val="11"/>
        <color theme="1"/>
        <rFont val="Noto Sans CJK SC"/>
        <family val="2"/>
      </rPr>
      <t xml:space="preserve">分析師日，二手）</t>
    </r>
  </si>
  <si>
    <r>
      <rPr>
        <sz val="11"/>
        <color theme="1"/>
        <rFont val="Calibri"/>
        <family val="2"/>
        <charset val="1"/>
      </rPr>
      <t xml:space="preserve">2027 </t>
    </r>
    <r>
      <rPr>
        <sz val="11"/>
        <color theme="1"/>
        <rFont val="Noto Sans CJK SC"/>
        <family val="2"/>
      </rPr>
      <t xml:space="preserve">年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金額份額</t>
    </r>
  </si>
  <si>
    <r>
      <rPr>
        <sz val="11"/>
        <color theme="1"/>
        <rFont val="Noto Sans CJK SC"/>
        <family val="2"/>
      </rPr>
      <t xml:space="preserve">與 </t>
    </r>
    <r>
      <rPr>
        <sz val="11"/>
        <color theme="1"/>
        <rFont val="Calibri"/>
        <family val="2"/>
        <charset val="1"/>
      </rPr>
      <t xml:space="preserve">NVIDIA </t>
    </r>
    <r>
      <rPr>
        <sz val="11"/>
        <color theme="1"/>
        <rFont val="Noto Sans CJK SC"/>
        <family val="2"/>
      </rPr>
      <t xml:space="preserve">模型 </t>
    </r>
    <r>
      <rPr>
        <sz val="11"/>
        <color theme="1"/>
        <rFont val="Calibri"/>
        <family val="2"/>
        <charset val="1"/>
      </rPr>
      <t xml:space="preserve">Units </t>
    </r>
    <r>
      <rPr>
        <sz val="11"/>
        <color theme="1"/>
        <rFont val="Noto Sans CJK SC"/>
        <family val="2"/>
      </rPr>
      <t xml:space="preserve">頁的 </t>
    </r>
    <r>
      <rPr>
        <sz val="11"/>
        <color theme="1"/>
        <rFont val="Calibri"/>
        <family val="2"/>
        <charset val="1"/>
      </rPr>
      <t xml:space="preserve">CY2027 </t>
    </r>
    <r>
      <rPr>
        <sz val="11"/>
        <color theme="1"/>
        <rFont val="Noto Sans CJK SC"/>
        <family val="2"/>
      </rPr>
      <t xml:space="preserve">值相同（同一份顆數與價格）</t>
    </r>
  </si>
  <si>
    <r>
      <rPr>
        <b val="true"/>
        <sz val="11"/>
        <rFont val="Cambria"/>
        <family val="0"/>
        <charset val="1"/>
      </rPr>
      <t xml:space="preserve">E. </t>
    </r>
    <r>
      <rPr>
        <b val="true"/>
        <sz val="11"/>
        <rFont val="Noto Sans CJK SC"/>
        <family val="2"/>
      </rPr>
      <t xml:space="preserve">預留</t>
    </r>
  </si>
  <si>
    <r>
      <rPr>
        <sz val="11"/>
        <color theme="1"/>
        <rFont val="Calibri"/>
        <family val="2"/>
        <charset val="1"/>
      </rPr>
      <t xml:space="preserve">R4 </t>
    </r>
    <r>
      <rPr>
        <sz val="11"/>
        <color theme="1"/>
        <rFont val="Noto Sans CJK SC"/>
        <family val="2"/>
      </rPr>
      <t xml:space="preserve">產業部署路徑（</t>
    </r>
    <r>
      <rPr>
        <sz val="11"/>
        <color theme="1"/>
        <rFont val="Calibri"/>
        <family val="2"/>
        <charset val="1"/>
      </rPr>
      <t xml:space="preserve">markets/deploy_path/</t>
    </r>
    <r>
      <rPr>
        <sz val="11"/>
        <color theme="1"/>
        <rFont val="Noto Sans CJK SC"/>
        <family val="2"/>
      </rPr>
      <t xml:space="preserve">，尚未建立）：上線後以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營收 </t>
    </r>
    <r>
      <rPr>
        <sz val="11"/>
        <color theme="1"/>
        <rFont val="Calibri"/>
        <family val="2"/>
        <charset val="1"/>
      </rPr>
      <t xml:space="preserve">÷ </t>
    </r>
    <r>
      <rPr>
        <sz val="11"/>
        <color theme="1"/>
        <rFont val="Noto Sans CJK SC"/>
        <family val="2"/>
      </rPr>
      <t xml:space="preserve">部署 </t>
    </r>
    <r>
      <rPr>
        <sz val="11"/>
        <color theme="1"/>
        <rFont val="Calibri"/>
        <family val="2"/>
        <charset val="1"/>
      </rPr>
      <t xml:space="preserve">GW </t>
    </r>
    <r>
      <rPr>
        <sz val="11"/>
        <color theme="1"/>
        <rFont val="Noto Sans CJK SC"/>
        <family val="2"/>
      </rPr>
      <t xml:space="preserve">對照 </t>
    </r>
    <r>
      <rPr>
        <sz val="11"/>
        <color theme="1"/>
        <rFont val="Calibri"/>
        <family val="2"/>
        <charset val="1"/>
      </rPr>
      <t xml:space="preserve">IT capex</t>
    </r>
  </si>
  <si>
    <t xml:space="preserve">預留列：本版無數值</t>
  </si>
  <si>
    <r>
      <rPr>
        <sz val="11"/>
        <color theme="1"/>
        <rFont val="Calibri"/>
        <family val="2"/>
        <charset val="1"/>
      </rPr>
      <t xml:space="preserve">Sens — </t>
    </r>
    <r>
      <rPr>
        <sz val="11"/>
        <color theme="1"/>
        <rFont val="Noto Sans CJK SC"/>
        <family val="2"/>
      </rPr>
      <t xml:space="preserve">一次動一個輸入（情境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）：對 </t>
    </r>
    <r>
      <rPr>
        <sz val="11"/>
        <color theme="1"/>
        <rFont val="Calibri"/>
        <family val="2"/>
        <charset val="1"/>
      </rPr>
      <t xml:space="preserve">FY2027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</t>
    </r>
    <r>
      <rPr>
        <sz val="11"/>
        <color theme="1"/>
        <rFont val="Noto Sans CJK SC"/>
        <family val="2"/>
      </rPr>
      <t xml:space="preserve">的營收、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與隱含股價（十年 </t>
    </r>
    <r>
      <rPr>
        <sz val="11"/>
        <color theme="1"/>
        <rFont val="Calibri"/>
        <family val="2"/>
        <charset val="1"/>
      </rPr>
      <t xml:space="preserve">P/E </t>
    </r>
    <r>
      <rPr>
        <sz val="11"/>
        <color theme="1"/>
        <rFont val="Noto Sans CJK SC"/>
        <family val="2"/>
      </rPr>
      <t xml:space="preserve">中位數 </t>
    </r>
    <r>
      <rPr>
        <sz val="11"/>
        <color theme="1"/>
        <rFont val="Calibri"/>
        <family val="2"/>
        <charset val="1"/>
      </rPr>
      <t xml:space="preserve">× EPS</t>
    </r>
    <r>
      <rPr>
        <sz val="11"/>
        <color theme="1"/>
        <rFont val="Noto Sans CJK SC"/>
        <family val="2"/>
      </rPr>
      <t xml:space="preserve">，與目標價同法）的影響。每個案例是一個完整的推導區塊（本頁下方，與 </t>
    </r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同一引擎）</t>
    </r>
  </si>
  <si>
    <t xml:space="preserve">案例</t>
  </si>
  <si>
    <t xml:space="preserve">設定</t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</si>
  <si>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營收</t>
    </r>
  </si>
  <si>
    <t xml:space="preserve">FY2027 EPS</t>
  </si>
  <si>
    <r>
      <rPr>
        <b val="true"/>
        <sz val="11"/>
        <rFont val="Cambria"/>
        <family val="0"/>
        <charset val="1"/>
      </rPr>
      <t xml:space="preserve">FY2027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</si>
  <si>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</si>
  <si>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隱含價相對基準</t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</si>
  <si>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營收</t>
    </r>
  </si>
  <si>
    <t xml:space="preserve">FY2028 EPS</t>
  </si>
  <si>
    <r>
      <rPr>
        <b val="true"/>
        <sz val="11"/>
        <rFont val="Cambria"/>
        <family val="0"/>
        <charset val="1"/>
      </rPr>
      <t xml:space="preserve">FY2028 EPS </t>
    </r>
    <r>
      <rPr>
        <b val="true"/>
        <sz val="11"/>
        <rFont val="Noto Sans CJK SC"/>
        <family val="2"/>
      </rPr>
      <t xml:space="preserve">相對基準</t>
    </r>
  </si>
  <si>
    <r>
      <rPr>
        <b val="true"/>
        <sz val="11"/>
        <rFont val="Cambria"/>
        <family val="0"/>
        <charset val="1"/>
      </rPr>
      <t xml:space="preserve">FY2028 </t>
    </r>
    <r>
      <rPr>
        <b val="true"/>
        <sz val="11"/>
        <rFont val="Noto Sans CJK SC"/>
        <family val="2"/>
      </rPr>
      <t xml:space="preserve">隱含價（中位數 </t>
    </r>
    <r>
      <rPr>
        <b val="true"/>
        <sz val="11"/>
        <rFont val="Cambria"/>
        <family val="0"/>
        <charset val="1"/>
      </rPr>
      <t xml:space="preserve">P/E</t>
    </r>
    <r>
      <rPr>
        <b val="true"/>
        <sz val="11"/>
        <rFont val="Noto Sans CJK SC"/>
        <family val="2"/>
      </rPr>
      <t xml:space="preserve">）</t>
    </r>
  </si>
  <si>
    <t xml:space="preserve">FY2029 EPS</t>
  </si>
  <si>
    <r>
      <rPr>
        <b val="true"/>
        <sz val="11"/>
        <rFont val="Cambria"/>
        <family val="0"/>
        <charset val="1"/>
      </rPr>
      <t xml:space="preserve">FY2029 EPS </t>
    </r>
    <r>
      <rPr>
        <b val="true"/>
        <sz val="11"/>
        <rFont val="Noto Sans CJK SC"/>
        <family val="2"/>
      </rPr>
      <t xml:space="preserve">年增（對 </t>
    </r>
    <r>
      <rPr>
        <b val="true"/>
        <sz val="11"/>
        <rFont val="Cambria"/>
        <family val="0"/>
        <charset val="1"/>
      </rPr>
      <t xml:space="preserve">FY2028</t>
    </r>
    <r>
      <rPr>
        <b val="true"/>
        <sz val="1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</si>
  <si>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基準（情境 </t>
    </r>
    <r>
      <rPr>
        <sz val="11"/>
        <color theme="1"/>
        <rFont val="Calibri"/>
        <family val="2"/>
        <charset val="1"/>
      </rPr>
      <t xml:space="preserve">A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</si>
  <si>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PL </t>
    </r>
    <r>
      <rPr>
        <sz val="11"/>
        <color theme="1"/>
        <rFont val="Noto Sans CJK SC"/>
        <family val="2"/>
      </rPr>
      <t xml:space="preserve">區塊 </t>
    </r>
    <r>
      <rPr>
        <sz val="11"/>
        <color theme="1"/>
        <rFont val="Calibri"/>
        <family val="2"/>
        <charset val="1"/>
      </rPr>
      <t xml:space="preserve">A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</si>
  <si>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低（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</si>
  <si>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認列顆數 </t>
    </r>
    <r>
      <rPr>
        <sz val="11"/>
        <color theme="1"/>
        <rFont val="Calibri"/>
        <family val="2"/>
        <charset val="1"/>
      </rPr>
      <t xml:space="preserve">×0.8</t>
    </r>
    <r>
      <rPr>
        <sz val="11"/>
        <color theme="1"/>
        <rFont val="Noto Sans CJK SC"/>
        <family val="2"/>
      </rPr>
      <t xml:space="preserve">（大單延後）</t>
    </r>
  </si>
  <si>
    <r>
      <rPr>
        <sz val="11"/>
        <color theme="1"/>
        <rFont val="Calibri"/>
        <family val="2"/>
        <charset val="1"/>
      </rPr>
      <t xml:space="preserve">AMD </t>
    </r>
    <r>
      <rPr>
        <sz val="11"/>
        <color theme="1"/>
        <rFont val="Noto Sans CJK SC"/>
        <family val="2"/>
      </rPr>
      <t xml:space="preserve">顆數係數 高（</t>
    </r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</si>
  <si>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×1.2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Anthropic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Oracle </t>
    </r>
    <r>
      <rPr>
        <sz val="11"/>
        <color theme="1"/>
        <rFont val="Noto Sans CJK SC"/>
        <family val="2"/>
      </rPr>
      <t xml:space="preserve">提前放量）</t>
    </r>
  </si>
  <si>
    <r>
      <rPr>
        <sz val="11"/>
        <color theme="1"/>
        <rFont val="Noto Sans CJK SC"/>
        <family val="2"/>
      </rPr>
      <t xml:space="preserve">世代售價係數 高（隨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容量）</t>
    </r>
  </si>
  <si>
    <r>
      <rPr>
        <sz val="11"/>
        <color theme="1"/>
        <rFont val="Calibri"/>
        <family val="2"/>
        <charset val="1"/>
      </rPr>
      <t xml:space="preserve">FY2027 ×1.25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 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Analogy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</si>
  <si>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對照：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起每顆＝市場層 </t>
    </r>
    <r>
      <rPr>
        <sz val="11"/>
        <color theme="1"/>
        <rFont val="Calibri"/>
        <family val="2"/>
        <charset val="1"/>
      </rPr>
      <t xml:space="preserve">pa_amd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k_rec </t>
    </r>
    <r>
      <rPr>
        <sz val="11"/>
        <color theme="1"/>
        <rFont val="Noto Sans CJK SC"/>
        <family val="2"/>
      </rPr>
      <t xml:space="preserve">只解釋 </t>
    </r>
    <r>
      <rPr>
        <sz val="11"/>
        <color theme="1"/>
        <rFont val="Calibri"/>
        <family val="2"/>
        <charset val="1"/>
      </rPr>
      <t xml:space="preserve">2026 </t>
    </r>
    <r>
      <rPr>
        <sz val="11"/>
        <color theme="1"/>
        <rFont val="Noto Sans CJK SC"/>
        <family val="2"/>
      </rPr>
      <t xml:space="preserve">售價）</t>
    </r>
  </si>
  <si>
    <r>
      <rPr>
        <sz val="11"/>
        <color theme="1"/>
        <rFont val="Noto Sans CJK SC"/>
        <family val="2"/>
      </rPr>
      <t xml:space="preserve">世代係數＝</t>
    </r>
    <r>
      <rPr>
        <sz val="11"/>
        <color theme="1"/>
        <rFont val="Calibri"/>
        <family val="2"/>
        <charset val="1"/>
      </rPr>
      <t xml:space="preserve">1 ÷ k_rec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</si>
  <si>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</t>
    </r>
    <r>
      <rPr>
        <sz val="11"/>
        <color theme="1"/>
        <rFont val="Noto Sans CJK SC"/>
        <family val="2"/>
      </rPr>
      <t xml:space="preserve">（全額轉嫁）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</si>
  <si>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0.0</t>
    </r>
  </si>
  <si>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</t>
    </r>
    <r>
      <rPr>
        <sz val="11"/>
        <color theme="1"/>
        <rFont val="Noto Sans CJK SC"/>
        <family val="2"/>
      </rPr>
      <t xml:space="preserve">（全額吸收）</t>
    </r>
  </si>
  <si>
    <r>
      <rPr>
        <sz val="11"/>
        <color theme="1"/>
        <rFont val="Noto Sans CJK SC"/>
        <family val="2"/>
      </rPr>
      <t xml:space="preserve">吸收比例 </t>
    </r>
    <r>
      <rPr>
        <sz val="11"/>
        <color theme="1"/>
        <rFont val="Calibri"/>
        <family val="2"/>
        <charset val="1"/>
      </rPr>
      <t xml:space="preserve">1.0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</si>
  <si>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低（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</si>
  <si>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Calibri"/>
        <family val="2"/>
        <charset val="1"/>
      </rPr>
      <t xml:space="preserve">FY2026 GPU </t>
    </r>
    <r>
      <rPr>
        <sz val="11"/>
        <color theme="1"/>
        <rFont val="Noto Sans CJK SC"/>
        <family val="2"/>
      </rPr>
      <t xml:space="preserve">毛利率 </t>
    </r>
    <r>
      <rPr>
        <sz val="11"/>
        <color theme="1"/>
        <rFont val="Calibri"/>
        <family val="2"/>
        <charset val="1"/>
      </rPr>
      <t xml:space="preserve">40%</t>
    </r>
    <r>
      <rPr>
        <sz val="11"/>
        <color theme="1"/>
        <rFont val="Noto Sans CJK SC"/>
        <family val="2"/>
      </rPr>
      <t xml:space="preserve">（非 </t>
    </r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毛利率重新校準）</t>
    </r>
  </si>
  <si>
    <r>
      <rPr>
        <sz val="11"/>
        <color theme="1"/>
        <rFont val="Calibri"/>
        <family val="2"/>
        <charset val="1"/>
      </rPr>
      <t xml:space="preserve">GPU </t>
    </r>
    <r>
      <rPr>
        <sz val="11"/>
        <color theme="1"/>
        <rFont val="Noto Sans CJK SC"/>
        <family val="2"/>
      </rPr>
      <t xml:space="preserve">毛利率 高（</t>
    </r>
    <r>
      <rPr>
        <sz val="11"/>
        <color theme="1"/>
        <rFont val="Calibri"/>
        <family val="2"/>
        <charset val="1"/>
      </rPr>
      <t xml:space="preserve">55%</t>
    </r>
    <r>
      <rPr>
        <sz val="11"/>
        <color theme="1"/>
        <rFont val="Noto Sans CJK SC"/>
        <family val="2"/>
      </rPr>
      <t xml:space="preserve">）</t>
    </r>
  </si>
  <si>
    <t xml:space="preserve">55%</t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</si>
  <si>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低</t>
    </r>
  </si>
  <si>
    <r>
      <rPr>
        <sz val="11"/>
        <color theme="1"/>
        <rFont val="Calibri"/>
        <family val="2"/>
        <charset val="1"/>
      </rPr>
      <t xml:space="preserve">FY2027 +30%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+10%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+5%</t>
    </r>
  </si>
  <si>
    <r>
      <rPr>
        <sz val="11"/>
        <color theme="1"/>
        <rFont val="Noto Sans CJK SC"/>
        <family val="2"/>
      </rPr>
      <t xml:space="preserve">資料中心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 高（公司說法）</t>
    </r>
  </si>
  <si>
    <r>
      <rPr>
        <sz val="11"/>
        <color theme="1"/>
        <rFont val="Calibri"/>
        <family val="2"/>
        <charset val="1"/>
      </rPr>
      <t xml:space="preserve">FY2027 +70%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FY2028 +40%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FY2029 +25%</t>
    </r>
  </si>
  <si>
    <r>
      <rPr>
        <sz val="11"/>
        <color theme="1"/>
        <rFont val="Noto Sans CJK SC"/>
        <family val="2"/>
      </rPr>
      <t xml:space="preserve">營業費用率 −</t>
    </r>
    <r>
      <rPr>
        <sz val="11"/>
        <color theme="1"/>
        <rFont val="Calibri"/>
        <family val="2"/>
        <charset val="1"/>
      </rPr>
      <t xml:space="preserve">2pt</t>
    </r>
  </si>
  <si>
    <r>
      <rPr>
        <sz val="11"/>
        <color theme="1"/>
        <rFont val="Noto Sans CJK SC"/>
        <family val="2"/>
      </rPr>
      <t xml:space="preserve">營業費用額外 −</t>
    </r>
    <r>
      <rPr>
        <sz val="11"/>
        <color theme="1"/>
        <rFont val="Calibri"/>
        <family val="2"/>
        <charset val="1"/>
      </rPr>
      <t xml:space="preserve">2% × </t>
    </r>
    <r>
      <rPr>
        <sz val="11"/>
        <color theme="1"/>
        <rFont val="Noto Sans CJK SC"/>
        <family val="2"/>
      </rPr>
      <t xml:space="preserve">營收</t>
    </r>
  </si>
  <si>
    <r>
      <rPr>
        <sz val="11"/>
        <color theme="1"/>
        <rFont val="Noto Sans CJK SC"/>
        <family val="2"/>
      </rPr>
      <t xml:space="preserve">營業費用率 </t>
    </r>
    <r>
      <rPr>
        <sz val="11"/>
        <color theme="1"/>
        <rFont val="Calibri"/>
        <family val="2"/>
        <charset val="1"/>
      </rPr>
      <t xml:space="preserve">+2pt</t>
    </r>
  </si>
  <si>
    <r>
      <rPr>
        <sz val="11"/>
        <color theme="1"/>
        <rFont val="Calibri"/>
        <family val="2"/>
        <charset val="1"/>
      </rPr>
      <t xml:space="preserve">+2% × </t>
    </r>
    <r>
      <rPr>
        <sz val="11"/>
        <color theme="1"/>
        <rFont val="Noto Sans CJK SC"/>
        <family val="2"/>
      </rPr>
      <t xml:space="preserve">營收</t>
    </r>
  </si>
  <si>
    <t xml:space="preserve">認股權證不歸屬</t>
  </si>
  <si>
    <r>
      <rPr>
        <sz val="11"/>
        <color theme="1"/>
        <rFont val="Calibri"/>
        <family val="2"/>
        <charset val="1"/>
      </rPr>
      <t xml:space="preserve">OpenAI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Meta </t>
    </r>
    <r>
      <rPr>
        <sz val="11"/>
        <color theme="1"/>
        <rFont val="Noto Sans CJK SC"/>
        <family val="2"/>
      </rPr>
      <t xml:space="preserve">認股權證 </t>
    </r>
    <r>
      <rPr>
        <sz val="11"/>
        <color theme="1"/>
        <rFont val="Calibri"/>
        <family val="2"/>
        <charset val="1"/>
      </rPr>
      <t xml:space="preserve">0 </t>
    </r>
    <r>
      <rPr>
        <sz val="11"/>
        <color theme="1"/>
        <rFont val="Noto Sans CJK SC"/>
        <family val="2"/>
      </rPr>
      <t xml:space="preserve">股</t>
    </r>
  </si>
  <si>
    <r>
      <rPr>
        <sz val="11"/>
        <color theme="1"/>
        <rFont val="Noto Sans CJK SC"/>
        <family val="2"/>
      </rPr>
      <t xml:space="preserve">認股權證歸屬加速（</t>
    </r>
    <r>
      <rPr>
        <sz val="11"/>
        <color theme="1"/>
        <rFont val="Calibri"/>
        <family val="2"/>
        <charset val="1"/>
      </rPr>
      <t xml:space="preserve">×1.5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</si>
  <si>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已歸屬 </t>
    </r>
    <r>
      <rPr>
        <sz val="11"/>
        <color theme="1"/>
        <rFont val="Calibri"/>
        <family val="2"/>
        <charset val="1"/>
      </rPr>
      <t xml:space="preserve">GW ×1.5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</si>
  <si>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B</t>
    </r>
  </si>
  <si>
    <r>
      <rPr>
        <sz val="11"/>
        <color theme="1"/>
        <rFont val="Calibri"/>
        <family val="2"/>
        <charset val="1"/>
      </rPr>
      <t xml:space="preserve">CY2028 ×0.8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CY2029 ×0.85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B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</si>
  <si>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顆數情境 </t>
    </r>
    <r>
      <rPr>
        <sz val="11"/>
        <color theme="1"/>
        <rFont val="Calibri"/>
        <family val="2"/>
        <charset val="1"/>
      </rPr>
      <t xml:space="preserve">C</t>
    </r>
  </si>
  <si>
    <r>
      <rPr>
        <sz val="11"/>
        <color theme="1"/>
        <rFont val="Calibri"/>
        <family val="2"/>
        <charset val="1"/>
      </rPr>
      <t xml:space="preserve">CY2028–29 ×0.6</t>
    </r>
    <r>
      <rPr>
        <sz val="11"/>
        <color theme="1"/>
        <rFont val="Noto Sans CJK SC"/>
        <family val="2"/>
      </rPr>
      <t xml:space="preserve">；記憶體 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路徑</t>
    </r>
  </si>
  <si>
    <r>
      <rPr>
        <sz val="11"/>
        <color theme="1"/>
        <rFont val="Noto Sans CJK SC"/>
        <family val="2"/>
      </rPr>
      <t xml:space="preserve">讀法：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三情境相同；顆數、售價、吸收比例與 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成長從 </t>
    </r>
    <r>
      <rPr>
        <sz val="11"/>
        <color theme="1"/>
        <rFont val="Calibri"/>
        <family val="2"/>
        <charset val="1"/>
      </rPr>
      <t xml:space="preserve">FY2027 </t>
    </r>
    <r>
      <rPr>
        <sz val="11"/>
        <color theme="1"/>
        <rFont val="Noto Sans CJK SC"/>
        <family val="2"/>
      </rPr>
      <t xml:space="preserve">起作用，情境 </t>
    </r>
    <r>
      <rPr>
        <sz val="11"/>
        <color theme="1"/>
        <rFont val="Calibri"/>
        <family val="2"/>
        <charset val="1"/>
      </rPr>
      <t xml:space="preserve">B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C </t>
    </r>
    <r>
      <rPr>
        <sz val="11"/>
        <color theme="1"/>
        <rFont val="Noto Sans CJK SC"/>
        <family val="2"/>
      </rPr>
      <t xml:space="preserve">從 </t>
    </r>
    <r>
      <rPr>
        <sz val="11"/>
        <color theme="1"/>
        <rFont val="Calibri"/>
        <family val="2"/>
        <charset val="1"/>
      </rPr>
      <t xml:space="preserve">FY2028 </t>
    </r>
    <r>
      <rPr>
        <sz val="11"/>
        <color theme="1"/>
        <rFont val="Noto Sans CJK SC"/>
        <family val="2"/>
      </rPr>
      <t xml:space="preserve">起。隱含價欄＝</t>
    </r>
    <r>
      <rPr>
        <sz val="11"/>
        <color theme="1"/>
        <rFont val="Calibri"/>
        <family val="2"/>
        <charset val="1"/>
      </rPr>
      <t xml:space="preserve">EPS × </t>
    </r>
    <r>
      <rPr>
        <sz val="11"/>
        <color theme="1"/>
        <rFont val="Noto Sans CJK SC"/>
        <family val="2"/>
      </rPr>
      <t xml:space="preserve">十年 </t>
    </r>
    <r>
      <rPr>
        <sz val="11"/>
        <color theme="1"/>
        <rFont val="Calibri"/>
        <family val="2"/>
        <charset val="1"/>
      </rPr>
      <t xml:space="preserve">non-GAAP P/E </t>
    </r>
    <r>
      <rPr>
        <sz val="11"/>
        <color theme="1"/>
        <rFont val="Noto Sans CJK SC"/>
        <family val="2"/>
      </rPr>
      <t xml:space="preserve">中位數（與目標價同法），只反映 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變動。</t>
    </r>
  </si>
  <si>
    <r>
      <rPr>
        <b val="true"/>
        <sz val="11"/>
        <rFont val="Noto Sans CJK SC"/>
        <family val="2"/>
      </rPr>
      <t xml:space="preserve">目標價參數敏感度（</t>
    </r>
    <r>
      <rPr>
        <b val="true"/>
        <sz val="11"/>
        <rFont val="Cambria"/>
        <family val="0"/>
        <charset val="1"/>
      </rPr>
      <t xml:space="preserve">v0.2</t>
    </r>
    <r>
      <rPr>
        <b val="true"/>
        <sz val="11"/>
        <rFont val="Noto Sans CJK SC"/>
        <family val="2"/>
      </rPr>
      <t xml:space="preserve">）：加權目標價（</t>
    </r>
    <r>
      <rPr>
        <b val="true"/>
        <sz val="11"/>
        <rFont val="Cambria"/>
        <family val="0"/>
        <charset val="1"/>
      </rPr>
      <t xml:space="preserve">Val </t>
    </r>
    <r>
      <rPr>
        <b val="true"/>
        <sz val="11"/>
        <rFont val="Noto Sans CJK SC"/>
        <family val="2"/>
      </rPr>
      <t xml:space="preserve">第 </t>
    </r>
    <r>
      <rPr>
        <b val="true"/>
        <sz val="11"/>
        <rFont val="Cambria"/>
        <family val="0"/>
        <charset val="1"/>
      </rPr>
      <t xml:space="preserve">0 </t>
    </r>
    <r>
      <rPr>
        <b val="true"/>
        <sz val="11"/>
        <rFont val="Noto Sans CJK SC"/>
        <family val="2"/>
      </rPr>
      <t xml:space="preserve">節）一次動一個參數；</t>
    </r>
    <r>
      <rPr>
        <b val="true"/>
        <sz val="11"/>
        <rFont val="Cambria"/>
        <family val="0"/>
        <charset val="1"/>
      </rPr>
      <t xml:space="preserve">PL </t>
    </r>
    <r>
      <rPr>
        <b val="true"/>
        <sz val="11"/>
        <rFont val="Noto Sans CJK SC"/>
        <family val="2"/>
      </rPr>
      <t xml:space="preserve">延伸期的收斂路徑不隨 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變動，</t>
    </r>
    <r>
      <rPr>
        <b val="true"/>
        <sz val="11"/>
        <rFont val="Cambria"/>
        <family val="0"/>
        <charset val="1"/>
      </rPr>
      <t xml:space="preserve">tp_g </t>
    </r>
    <r>
      <rPr>
        <b val="true"/>
        <sz val="11"/>
        <rFont val="Noto Sans CJK SC"/>
        <family val="2"/>
      </rPr>
      <t xml:space="preserve">只改再投資率與永續成長</t>
    </r>
  </si>
  <si>
    <t xml:space="preserve">參數</t>
  </si>
  <si>
    <t xml:space="preserve">設定（低／高）</t>
  </si>
  <si>
    <t xml:space="preserve">低：加權目標價</t>
  </si>
  <si>
    <t xml:space="preserve">低：相對基準</t>
  </si>
  <si>
    <t xml:space="preserve">高：加權目標價</t>
  </si>
  <si>
    <t xml:space="preserve">高：相對基準</t>
  </si>
  <si>
    <t xml:space="preserve">基準加權目標價</t>
  </si>
  <si>
    <t xml:space="preserve">tp_r ±1pt</t>
  </si>
  <si>
    <r>
      <rPr>
        <sz val="11"/>
        <color theme="1"/>
        <rFont val="Noto Sans CJK SC"/>
        <family val="2"/>
      </rPr>
      <t xml:space="preserve">折現率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</si>
  <si>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t xml:space="preserve">tp_g ±1pt</t>
  </si>
  <si>
    <r>
      <rPr>
        <sz val="11"/>
        <color theme="1"/>
        <rFont val="Noto Sans CJK SC"/>
        <family val="2"/>
      </rPr>
      <t xml:space="preserve">長期成長 −</t>
    </r>
    <r>
      <rPr>
        <sz val="11"/>
        <color theme="1"/>
        <rFont val="Calibri"/>
        <family val="2"/>
        <charset val="1"/>
      </rPr>
      <t xml:space="preserve">1pt</t>
    </r>
    <r>
      <rPr>
        <sz val="11"/>
        <color theme="1"/>
        <rFont val="Noto Sans CJK SC"/>
        <family val="2"/>
      </rPr>
      <t xml:space="preserve">／＋</t>
    </r>
    <r>
      <rPr>
        <sz val="11"/>
        <color theme="1"/>
        <rFont val="Calibri"/>
        <family val="2"/>
        <charset val="1"/>
      </rPr>
      <t xml:space="preserve">1pt</t>
    </r>
  </si>
  <si>
    <r>
      <rPr>
        <sz val="11"/>
        <color theme="1"/>
        <rFont val="Calibri"/>
        <family val="2"/>
        <charset val="1"/>
      </rPr>
      <t xml:space="preserve">tp_w_dcf 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</si>
  <si>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sz val="11"/>
        <color theme="1"/>
        <rFont val="Calibri"/>
        <family val="2"/>
        <charset val="1"/>
      </rPr>
      <t xml:space="preserve">DCF </t>
    </r>
    <r>
      <rPr>
        <sz val="11"/>
        <color theme="1"/>
        <rFont val="Noto Sans CJK SC"/>
        <family val="2"/>
      </rPr>
      <t xml:space="preserve">權重 </t>
    </r>
    <r>
      <rPr>
        <sz val="11"/>
        <color theme="1"/>
        <rFont val="Calibri"/>
        <family val="2"/>
        <charset val="1"/>
      </rPr>
      <t xml:space="preserve">0.3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0.7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</si>
  <si>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低（</t>
    </r>
    <r>
      <rPr>
        <b val="true"/>
        <sz val="11"/>
        <rFont val="Cambria"/>
        <family val="0"/>
        <charset val="1"/>
      </rPr>
      <t xml:space="preserve">×0.8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</si>
  <si>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AMD </t>
    </r>
    <r>
      <rPr>
        <b val="true"/>
        <sz val="11"/>
        <rFont val="Noto Sans CJK SC"/>
        <family val="2"/>
      </rPr>
      <t xml:space="preserve">顆數係數 高（</t>
    </r>
    <r>
      <rPr>
        <b val="true"/>
        <sz val="11"/>
        <rFont val="Cambria"/>
        <family val="0"/>
        <charset val="1"/>
      </rPr>
      <t xml:space="preserve">×1.2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</si>
  <si>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案例區塊：世代售價係數 高（隨 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容量）（情境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</si>
  <si>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案例區塊：對照：</t>
    </r>
    <r>
      <rPr>
        <b val="true"/>
        <sz val="11"/>
        <rFont val="Cambria"/>
        <family val="0"/>
        <charset val="1"/>
      </rPr>
      <t xml:space="preserve">FY2027 </t>
    </r>
    <r>
      <rPr>
        <b val="true"/>
        <sz val="11"/>
        <rFont val="Noto Sans CJK SC"/>
        <family val="2"/>
      </rPr>
      <t xml:space="preserve">起每顆＝市場層 </t>
    </r>
    <r>
      <rPr>
        <b val="true"/>
        <sz val="11"/>
        <rFont val="Cambria"/>
        <family val="0"/>
        <charset val="1"/>
      </rPr>
      <t xml:space="preserve">pa_amd</t>
    </r>
    <r>
      <rPr>
        <b val="true"/>
        <sz val="11"/>
        <rFont val="Noto Sans CJK SC"/>
        <family val="2"/>
      </rPr>
      <t xml:space="preserve">（</t>
    </r>
    <r>
      <rPr>
        <b val="true"/>
        <sz val="11"/>
        <rFont val="Cambria"/>
        <family val="0"/>
        <charset val="1"/>
      </rPr>
      <t xml:space="preserve">k_rec </t>
    </r>
    <r>
      <rPr>
        <b val="true"/>
        <sz val="11"/>
        <rFont val="Noto Sans CJK SC"/>
        <family val="2"/>
      </rPr>
      <t xml:space="preserve">只解釋 </t>
    </r>
    <r>
      <rPr>
        <b val="true"/>
        <sz val="11"/>
        <rFont val="Cambria"/>
        <family val="0"/>
        <charset val="1"/>
      </rPr>
      <t xml:space="preserve">2026 </t>
    </r>
    <r>
      <rPr>
        <b val="true"/>
        <sz val="11"/>
        <rFont val="Noto Sans CJK SC"/>
        <family val="2"/>
      </rPr>
      <t xml:space="preserve">售價）（情境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</si>
  <si>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0</t>
    </r>
    <r>
      <rPr>
        <b val="true"/>
        <sz val="11"/>
        <rFont val="Noto Sans CJK SC"/>
        <family val="2"/>
      </rPr>
      <t xml:space="preserve">（全額轉嫁）（情境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</si>
  <si>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HBM </t>
    </r>
    <r>
      <rPr>
        <b val="true"/>
        <sz val="11"/>
        <rFont val="Noto Sans CJK SC"/>
        <family val="2"/>
      </rPr>
      <t xml:space="preserve">吸收比例 </t>
    </r>
    <r>
      <rPr>
        <b val="true"/>
        <sz val="11"/>
        <rFont val="Cambria"/>
        <family val="0"/>
        <charset val="1"/>
      </rPr>
      <t xml:space="preserve">1</t>
    </r>
    <r>
      <rPr>
        <b val="true"/>
        <sz val="11"/>
        <rFont val="Noto Sans CJK SC"/>
        <family val="2"/>
      </rPr>
      <t xml:space="preserve">（全額吸收）（情境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</si>
  <si>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低（</t>
    </r>
    <r>
      <rPr>
        <b val="true"/>
        <sz val="11"/>
        <rFont val="Cambria"/>
        <family val="0"/>
        <charset val="1"/>
      </rPr>
      <t xml:space="preserve">40%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</si>
  <si>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</t>
    </r>
    <r>
      <rPr>
        <b val="true"/>
        <sz val="11"/>
        <rFont val="Cambria"/>
        <family val="0"/>
        <charset val="1"/>
      </rPr>
      <t xml:space="preserve">GPU </t>
    </r>
    <r>
      <rPr>
        <b val="true"/>
        <sz val="11"/>
        <rFont val="Noto Sans CJK SC"/>
        <family val="2"/>
      </rPr>
      <t xml:space="preserve">毛利率 高（</t>
    </r>
    <r>
      <rPr>
        <b val="true"/>
        <sz val="11"/>
        <rFont val="Cambria"/>
        <family val="0"/>
        <charset val="1"/>
      </rPr>
      <t xml:space="preserve">55%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</si>
  <si>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低（情境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</si>
  <si>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案例區塊：資料中心 </t>
    </r>
    <r>
      <rPr>
        <b val="true"/>
        <sz val="11"/>
        <rFont val="Cambria"/>
        <family val="0"/>
        <charset val="1"/>
      </rPr>
      <t xml:space="preserve">CPU </t>
    </r>
    <r>
      <rPr>
        <b val="true"/>
        <sz val="11"/>
        <rFont val="Noto Sans CJK SC"/>
        <family val="2"/>
      </rPr>
      <t xml:space="preserve">成長 高（公司說法）（情境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</si>
  <si>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−</t>
    </r>
    <r>
      <rPr>
        <b val="true"/>
        <sz val="11"/>
        <rFont val="Cambria"/>
        <family val="0"/>
        <charset val="1"/>
      </rPr>
      <t xml:space="preserve">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</si>
  <si>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案例區塊：營業費用率 </t>
    </r>
    <r>
      <rPr>
        <b val="true"/>
        <sz val="11"/>
        <rFont val="Cambria"/>
        <family val="0"/>
        <charset val="1"/>
      </rPr>
      <t xml:space="preserve">+2pt</t>
    </r>
    <r>
      <rPr>
        <b val="true"/>
        <sz val="11"/>
        <rFont val="Noto Sans CJK SC"/>
        <family val="2"/>
      </rPr>
      <t xml:space="preserve">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</si>
  <si>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案例區塊：認股權證不歸屬（情境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</si>
  <si>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案例區塊：認股權證歸屬加速（</t>
    </r>
    <r>
      <rPr>
        <b val="true"/>
        <sz val="11"/>
        <rFont val="Cambria"/>
        <family val="0"/>
        <charset val="1"/>
      </rPr>
      <t xml:space="preserve">×1.5</t>
    </r>
    <r>
      <rPr>
        <b val="true"/>
        <sz val="11"/>
        <rFont val="Noto Sans CJK SC"/>
        <family val="2"/>
      </rPr>
      <t xml:space="preserve">）（情境 </t>
    </r>
    <r>
      <rPr>
        <b val="true"/>
        <sz val="11"/>
        <rFont val="Cambria"/>
        <family val="0"/>
        <charset val="1"/>
      </rPr>
      <t xml:space="preserve">A</t>
    </r>
    <r>
      <rPr>
        <b val="true"/>
        <sz val="11"/>
        <rFont val="Noto Sans CJK SC"/>
        <family val="2"/>
      </rPr>
      <t xml:space="preserve">）</t>
    </r>
  </si>
  <si>
    <r>
      <rPr>
        <b val="true"/>
        <sz val="11"/>
        <rFont val="Noto Sans CJK SC"/>
        <family val="2"/>
      </rPr>
      <t xml:space="preserve">來源（公司原文＝</t>
    </r>
    <r>
      <rPr>
        <b val="true"/>
        <sz val="11"/>
        <rFont val="Cambria"/>
        <family val="0"/>
        <charset val="1"/>
      </rPr>
      <t xml:space="preserve">AMD 8-K </t>
    </r>
    <r>
      <rPr>
        <b val="true"/>
        <sz val="11"/>
        <rFont val="Noto Sans CJK SC"/>
        <family val="2"/>
      </rPr>
      <t xml:space="preserve">新聞稿、簡報與 </t>
    </r>
    <r>
      <rPr>
        <b val="true"/>
        <sz val="11"/>
        <rFont val="Cambria"/>
        <family val="0"/>
        <charset val="1"/>
      </rPr>
      <t xml:space="preserve">10-Q</t>
    </r>
    <r>
      <rPr>
        <b val="true"/>
        <sz val="11"/>
        <rFont val="Noto Sans CJK SC"/>
        <family val="2"/>
      </rPr>
      <t xml:space="preserve">，</t>
    </r>
    <r>
      <rPr>
        <b val="true"/>
        <sz val="11"/>
        <rFont val="Cambria"/>
        <family val="0"/>
        <charset val="1"/>
      </rPr>
      <t xml:space="preserve">sec.gov </t>
    </r>
    <r>
      <rPr>
        <b val="true"/>
        <sz val="11"/>
        <rFont val="Noto Sans CJK SC"/>
        <family val="2"/>
      </rPr>
      <t xml:space="preserve">已逐頁抓取；法說逐字稿只經摘要）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</si>
  <si>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2026-08-04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</si>
  <si>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https://www.sec.gov/Archives/edgar/data/2488/000000248826000121/q22026991.htm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</si>
  <si>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簡報（</t>
    </r>
    <r>
      <rPr>
        <sz val="11"/>
        <color theme="1"/>
        <rFont val="Calibri"/>
        <family val="2"/>
        <charset val="1"/>
      </rPr>
      <t xml:space="preserve">Q3 </t>
    </r>
    <r>
      <rPr>
        <sz val="11"/>
        <color theme="1"/>
        <rFont val="Noto Sans CJK SC"/>
        <family val="2"/>
      </rPr>
      <t xml:space="preserve">指引明細）</t>
    </r>
  </si>
  <si>
    <t xml:space="preserve">https://www.sec.gov/Archives/edgar/data/2488/000000248826000121/amdq22026earningsslidesf.htm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</si>
  <si>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Q1 2026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2026-05-05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</si>
  <si>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https://www.sec.gov/Archives/edgar/data/2488/000000248826000072/q12026991.htm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</si>
  <si>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Q4 2025 </t>
    </r>
    <r>
      <rPr>
        <sz val="11"/>
        <color theme="1"/>
        <rFont val="Noto Sans CJK SC"/>
        <family val="2"/>
      </rPr>
      <t xml:space="preserve">與全年新聞稿（</t>
    </r>
    <r>
      <rPr>
        <sz val="11"/>
        <color theme="1"/>
        <rFont val="Calibri"/>
        <family val="2"/>
        <charset val="1"/>
      </rPr>
      <t xml:space="preserve">2026-02-03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</si>
  <si>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https://www.sec.gov/Archives/edgar/data/2488/000000248826000014/q42025991.htm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</si>
  <si>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Q2 2026 10-Q</t>
    </r>
    <r>
      <rPr>
        <sz val="11"/>
        <color theme="1"/>
        <rFont val="Noto Sans CJK SC"/>
        <family val="2"/>
      </rPr>
      <t xml:space="preserve">（股數、買回）</t>
    </r>
  </si>
  <si>
    <t xml:space="preserve">https://www.sec.gov/Archives/edgar/data/2488/000000248826000123/amd-20260627.htm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</si>
  <si>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OpenAI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2025-10-06</t>
    </r>
    <r>
      <rPr>
        <sz val="11"/>
        <color theme="1"/>
        <rFont val="Noto Sans CJK SC"/>
        <family val="2"/>
      </rPr>
      <t xml:space="preserve">）</t>
    </r>
  </si>
  <si>
    <t xml:space="preserve">https://ir.amd.com/news-events/press-releases/detail/1260/amd-and-openai-announce-strategic-partnership-to-deploy-6-gigawatts-of-amd-gpus</t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</si>
  <si>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Meta 6 GW </t>
    </r>
    <r>
      <rPr>
        <sz val="11"/>
        <color theme="1"/>
        <rFont val="Noto Sans CJK SC"/>
        <family val="2"/>
      </rPr>
      <t xml:space="preserve">合作新聞稿（</t>
    </r>
    <r>
      <rPr>
        <sz val="11"/>
        <color theme="1"/>
        <rFont val="Calibri"/>
        <family val="2"/>
        <charset val="1"/>
      </rPr>
      <t xml:space="preserve">2026-02-24</t>
    </r>
    <r>
      <rPr>
        <sz val="11"/>
        <color theme="1"/>
        <rFont val="Noto Sans CJK SC"/>
        <family val="2"/>
      </rPr>
      <t xml:space="preserve">，</t>
    </r>
    <r>
      <rPr>
        <sz val="11"/>
        <color theme="1"/>
        <rFont val="Calibri"/>
        <family val="2"/>
        <charset val="1"/>
      </rPr>
      <t xml:space="preserve">8-K EX-99.1</t>
    </r>
    <r>
      <rPr>
        <sz val="11"/>
        <color theme="1"/>
        <rFont val="Noto Sans CJK SC"/>
        <family val="2"/>
      </rPr>
      <t xml:space="preserve">）</t>
    </r>
  </si>
  <si>
    <t xml:space="preserve">https://www.sec.gov/Archives/edgar/data/2488/000000248826000045/pressreleasedatedfebruary2.htm</t>
  </si>
  <si>
    <r>
      <rPr>
        <sz val="11"/>
        <color theme="1"/>
        <rFont val="Calibri"/>
        <family val="2"/>
        <charset val="1"/>
      </rPr>
      <t xml:space="preserve">Oracle</t>
    </r>
    <r>
      <rPr>
        <sz val="11"/>
        <color theme="1"/>
        <rFont val="Noto Sans CJK SC"/>
        <family val="2"/>
      </rPr>
      <t xml:space="preserve">：</t>
    </r>
    <r>
      <rPr>
        <sz val="11"/>
        <color theme="1"/>
        <rFont val="Calibri"/>
        <family val="2"/>
        <charset val="1"/>
      </rPr>
      <t xml:space="preserve">5 </t>
    </r>
    <r>
      <rPr>
        <sz val="11"/>
        <color theme="1"/>
        <rFont val="Noto Sans CJK SC"/>
        <family val="2"/>
      </rPr>
      <t xml:space="preserve">萬顆 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新聞稿（</t>
    </r>
    <r>
      <rPr>
        <sz val="11"/>
        <color theme="1"/>
        <rFont val="Calibri"/>
        <family val="2"/>
        <charset val="1"/>
      </rPr>
      <t xml:space="preserve">2025-10-14</t>
    </r>
    <r>
      <rPr>
        <sz val="11"/>
        <color theme="1"/>
        <rFont val="Noto Sans CJK SC"/>
        <family val="2"/>
      </rPr>
      <t xml:space="preserve">）</t>
    </r>
  </si>
  <si>
    <t xml:space="preserve">https://oracle.com/news/announcement/ai-world-oracle-and-amd-expand-partnership-to-help-customers-achieve-next-generation-ai-scale-2025-10-14</t>
  </si>
  <si>
    <r>
      <rPr>
        <sz val="11"/>
        <color theme="1"/>
        <rFont val="Noto Sans CJK SC"/>
        <family val="2"/>
      </rPr>
      <t xml:space="preserve">公司：歷年第四季新聞稿（</t>
    </r>
    <r>
      <rPr>
        <sz val="11"/>
        <color theme="1"/>
        <rFont val="Calibri"/>
        <family val="2"/>
        <charset val="1"/>
      </rPr>
      <t xml:space="preserve">EPS </t>
    </r>
    <r>
      <rPr>
        <sz val="11"/>
        <color theme="1"/>
        <rFont val="Noto Sans CJK SC"/>
        <family val="2"/>
      </rPr>
      <t xml:space="preserve">歷史）</t>
    </r>
  </si>
  <si>
    <r>
      <rPr>
        <sz val="11"/>
        <color theme="1"/>
        <rFont val="Calibri"/>
        <family val="2"/>
        <charset val="1"/>
      </rPr>
      <t xml:space="preserve">https://www.sec.gov/Archives/edgar/data/2488/000000248824000009/q42023991final.htm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000000248822000014/q421991amd.htm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000000248818000014/q417991.htm</t>
    </r>
    <r>
      <rPr>
        <sz val="11"/>
        <color theme="1"/>
        <rFont val="Noto Sans CJK SC"/>
        <family val="2"/>
      </rPr>
      <t xml:space="preserve">；</t>
    </r>
    <r>
      <rPr>
        <sz val="11"/>
        <color theme="1"/>
        <rFont val="Calibri"/>
        <family val="2"/>
        <charset val="1"/>
      </rPr>
      <t xml:space="preserve">000000248820000006/amdq4andfy2019earningsslides.pdf</t>
    </r>
  </si>
  <si>
    <r>
      <rPr>
        <sz val="11"/>
        <color theme="1"/>
        <rFont val="Noto Sans CJK SC"/>
        <family val="2"/>
      </rPr>
      <t xml:space="preserve">公司：</t>
    </r>
    <r>
      <rPr>
        <sz val="11"/>
        <color theme="1"/>
        <rFont val="Calibri"/>
        <family val="2"/>
        <charset val="1"/>
      </rPr>
      <t xml:space="preserve">Q3 2026 </t>
    </r>
    <r>
      <rPr>
        <sz val="11"/>
        <color theme="1"/>
        <rFont val="Noto Sans CJK SC"/>
        <family val="2"/>
      </rPr>
      <t xml:space="preserve">財報日（</t>
    </r>
    <r>
      <rPr>
        <sz val="11"/>
        <color theme="1"/>
        <rFont val="Calibri"/>
        <family val="2"/>
        <charset val="1"/>
      </rPr>
      <t xml:space="preserve">2026-11-03 </t>
    </r>
    <r>
      <rPr>
        <sz val="11"/>
        <color theme="1"/>
        <rFont val="Noto Sans CJK SC"/>
        <family val="2"/>
      </rPr>
      <t xml:space="preserve">盤後）</t>
    </r>
  </si>
  <si>
    <t xml:space="preserve">https://finviz.com/news/399552/amd-to-report-fiscal-third-quarter-2026-financial-results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</si>
  <si>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MarketBeat Q2 2026 </t>
    </r>
    <r>
      <rPr>
        <sz val="11"/>
        <color theme="1"/>
        <rFont val="Noto Sans CJK SC"/>
        <family val="2"/>
      </rPr>
      <t xml:space="preserve">法說摘要</t>
    </r>
  </si>
  <si>
    <t xml:space="preserve">https://www.marketbeat.com/instant-alerts/advanced-micro-devices-q2-earnings-call-highlights-2026-08-04/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</si>
  <si>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platformaeronaut Q2 2026 </t>
    </r>
    <r>
      <rPr>
        <sz val="11"/>
        <color theme="1"/>
        <rFont val="Noto Sans CJK SC"/>
        <family val="2"/>
      </rPr>
      <t xml:space="preserve">摘要</t>
    </r>
  </si>
  <si>
    <t xml:space="preserve">https://transcripts.platformaeronaut.com/summaries/AMD-2Q26-AI-Summary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</si>
  <si>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Motley Fool Q4 2025 </t>
    </r>
    <r>
      <rPr>
        <sz val="11"/>
        <color theme="1"/>
        <rFont val="Noto Sans CJK SC"/>
        <family val="2"/>
      </rPr>
      <t xml:space="preserve">逐字稿（分析師日目標重述）</t>
    </r>
  </si>
  <si>
    <t xml:space="preserve">https://www.fool.com/earnings/call-transcripts/2026/02/03/amd-amd-q4-2025-earnings-call-transcript/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</si>
  <si>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Next Platform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Q4 2025 Instinct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EPYC </t>
    </r>
    <r>
      <rPr>
        <sz val="11"/>
        <color theme="1"/>
        <rFont val="Noto Sans CJK SC"/>
        <family val="2"/>
      </rPr>
      <t xml:space="preserve">拆分估計）</t>
    </r>
  </si>
  <si>
    <t xml:space="preserve">https://www.nextplatform.com/2026/02/04/amd-finally-makes-more-money-on-gpus-than-cpus-in-a-quarter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</si>
  <si>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stockanalysis</t>
    </r>
    <r>
      <rPr>
        <sz val="11"/>
        <color theme="1"/>
        <rFont val="Noto Sans CJK SC"/>
        <family val="2"/>
      </rPr>
      <t xml:space="preserve">（現價、共識）</t>
    </r>
  </si>
  <si>
    <t xml:space="preserve">https://stockanalysis.com/stocks/amd/forecast/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</si>
  <si>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tickflow</t>
    </r>
    <r>
      <rPr>
        <sz val="11"/>
        <color theme="1"/>
        <rFont val="Noto Sans CJK SC"/>
        <family val="2"/>
      </rPr>
      <t xml:space="preserve">（共識，各季）</t>
    </r>
  </si>
  <si>
    <t xml:space="preserve">https://www.tickflow.io/stock/AMD/forecast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</si>
  <si>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ts2.tech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2028 EPS </t>
    </r>
    <r>
      <rPr>
        <sz val="11"/>
        <color theme="1"/>
        <rFont val="Noto Sans CJK SC"/>
        <family val="2"/>
      </rPr>
      <t xml:space="preserve">約 </t>
    </r>
    <r>
      <rPr>
        <sz val="11"/>
        <color theme="1"/>
        <rFont val="Calibri"/>
        <family val="2"/>
        <charset val="1"/>
      </rPr>
      <t xml:space="preserve">$20</t>
    </r>
    <r>
      <rPr>
        <sz val="11"/>
        <color theme="1"/>
        <rFont val="Noto Sans CJK SC"/>
        <family val="2"/>
      </rPr>
      <t xml:space="preserve">，轉述 </t>
    </r>
    <r>
      <rPr>
        <sz val="11"/>
        <color theme="1"/>
        <rFont val="Calibri"/>
        <family val="2"/>
        <charset val="1"/>
      </rPr>
      <t xml:space="preserve">Motley Fool</t>
    </r>
    <r>
      <rPr>
        <sz val="11"/>
        <color theme="1"/>
        <rFont val="Noto Sans CJK SC"/>
        <family val="2"/>
      </rPr>
      <t xml:space="preserve">）</t>
    </r>
  </si>
  <si>
    <t xml:space="preserve">https://ts2.tech/en/amd-nasdaqamd-shares-require-43-times-earnings-multiple-for-price-to-double-by-2028/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</si>
  <si>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Macrotrends</t>
    </r>
    <r>
      <rPr>
        <sz val="11"/>
        <color theme="1"/>
        <rFont val="Noto Sans CJK SC"/>
        <family val="2"/>
      </rPr>
      <t xml:space="preserve">（年底價、</t>
    </r>
    <r>
      <rPr>
        <sz val="11"/>
        <color theme="1"/>
        <rFont val="Calibri"/>
        <family val="2"/>
        <charset val="1"/>
      </rPr>
      <t xml:space="preserve">GAAP P/E</t>
    </r>
    <r>
      <rPr>
        <sz val="11"/>
        <color theme="1"/>
        <rFont val="Noto Sans CJK SC"/>
        <family val="2"/>
      </rPr>
      <t xml:space="preserve">）</t>
    </r>
  </si>
  <si>
    <t xml:space="preserve">https://www.macrotrends.net/stocks/charts/AMD/amd/pe-ratio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</si>
  <si>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digrin</t>
    </r>
    <r>
      <rPr>
        <sz val="11"/>
        <color theme="1"/>
        <rFont val="Noto Sans CJK SC"/>
        <family val="2"/>
      </rPr>
      <t xml:space="preserve">（年底價）</t>
    </r>
  </si>
  <si>
    <t xml:space="preserve">https://www.digrin.com/stocks/detail/AMD/price</t>
  </si>
  <si>
    <r>
      <rPr>
        <sz val="11"/>
        <color theme="1"/>
        <rFont val="Noto Sans CJK SC"/>
        <family val="2"/>
      </rPr>
      <t xml:space="preserve">二手：</t>
    </r>
    <r>
      <rPr>
        <sz val="11"/>
        <color theme="1"/>
        <rFont val="Calibri"/>
        <family val="2"/>
        <charset val="1"/>
      </rPr>
      <t xml:space="preserve">heygotrade</t>
    </r>
    <r>
      <rPr>
        <sz val="11"/>
        <color theme="1"/>
        <rFont val="Noto Sans CJK SC"/>
        <family val="2"/>
      </rPr>
      <t xml:space="preserve">（每日收盤報導）</t>
    </r>
  </si>
  <si>
    <t xml:space="preserve">https://www.heygotrade.com/en/news/amd-amd-stock-news-october-20-2026/</t>
  </si>
  <si>
    <r>
      <rPr>
        <sz val="11"/>
        <color theme="1"/>
        <rFont val="Noto Sans CJK SC"/>
        <family val="2"/>
      </rPr>
      <t xml:space="preserve">市場層：</t>
    </r>
    <r>
      <rPr>
        <sz val="11"/>
        <color theme="1"/>
        <rFont val="Calibri"/>
        <family val="2"/>
        <charset val="1"/>
      </rPr>
      <t xml:space="preserve">markets/memory/market.py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UNITS</t>
    </r>
    <r>
      <rPr>
        <sz val="11"/>
        <color theme="1"/>
        <rFont val="Noto Sans CJK SC"/>
        <family val="2"/>
      </rPr>
      <t xml:space="preserve">）；</t>
    </r>
    <r>
      <rPr>
        <sz val="11"/>
        <color theme="1"/>
        <rFont val="Calibri"/>
        <family val="2"/>
        <charset val="1"/>
      </rPr>
      <t xml:space="preserve">tsmc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nvidia</t>
    </r>
    <r>
      <rPr>
        <sz val="11"/>
        <color theme="1"/>
        <rFont val="Noto Sans CJK SC"/>
        <family val="2"/>
      </rPr>
      <t xml:space="preserve">（</t>
    </r>
    <r>
      <rPr>
        <sz val="11"/>
        <color theme="1"/>
        <rFont val="Calibri"/>
        <family val="2"/>
        <charset val="1"/>
      </rPr>
      <t xml:space="preserve">accel_share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In </t>
    </r>
    <r>
      <rPr>
        <sz val="11"/>
        <color theme="1"/>
        <rFont val="Noto Sans CJK SC"/>
        <family val="2"/>
      </rPr>
      <t xml:space="preserve">頁價格與 </t>
    </r>
    <r>
      <rPr>
        <sz val="11"/>
        <color theme="1"/>
        <rFont val="Calibri"/>
        <family val="2"/>
        <charset val="1"/>
      </rPr>
      <t xml:space="preserve">HBM </t>
    </r>
    <r>
      <rPr>
        <sz val="11"/>
        <color theme="1"/>
        <rFont val="Noto Sans CJK SC"/>
        <family val="2"/>
      </rPr>
      <t xml:space="preserve">路徑）、</t>
    </r>
    <r>
      <rPr>
        <sz val="11"/>
        <color theme="1"/>
        <rFont val="Calibri"/>
        <family val="2"/>
        <charset val="1"/>
      </rPr>
      <t xml:space="preserve">markets/chip_bridge</t>
    </r>
    <r>
      <rPr>
        <sz val="11"/>
        <color theme="1"/>
        <rFont val="Noto Sans CJK SC"/>
        <family val="2"/>
      </rPr>
      <t xml:space="preserve">、</t>
    </r>
    <r>
      <rPr>
        <sz val="11"/>
        <color theme="1"/>
        <rFont val="Calibri"/>
        <family val="2"/>
        <charset val="1"/>
      </rPr>
      <t xml:space="preserve">markets/equipment </t>
    </r>
    <r>
      <rPr>
        <sz val="11"/>
        <color theme="1"/>
        <rFont val="Noto Sans CJK SC"/>
        <family val="2"/>
      </rPr>
      <t xml:space="preserve">成品（本 </t>
    </r>
    <r>
      <rPr>
        <sz val="11"/>
        <color theme="1"/>
        <rFont val="Calibri"/>
        <family val="2"/>
        <charset val="1"/>
      </rPr>
      <t xml:space="preserve">repo</t>
    </r>
    <r>
      <rPr>
        <sz val="11"/>
        <color theme="1"/>
        <rFont val="Noto Sans CJK SC"/>
        <family val="2"/>
      </rPr>
      <t xml:space="preserve">）</t>
    </r>
  </si>
  <si>
    <r>
      <rPr>
        <sz val="11"/>
        <color theme="1"/>
        <rFont val="Noto Sans CJK SC"/>
        <family val="2"/>
      </rPr>
      <t xml:space="preserve">未找到：</t>
    </r>
    <r>
      <rPr>
        <sz val="11"/>
        <color theme="1"/>
        <rFont val="Calibri"/>
        <family val="2"/>
        <charset val="1"/>
      </rPr>
      <t xml:space="preserve">GPU</t>
    </r>
    <r>
      <rPr>
        <sz val="11"/>
        <color theme="1"/>
        <rFont val="Noto Sans CJK SC"/>
        <family val="2"/>
      </rPr>
      <t xml:space="preserve">／</t>
    </r>
    <r>
      <rPr>
        <sz val="11"/>
        <color theme="1"/>
        <rFont val="Calibri"/>
        <family val="2"/>
        <charset val="1"/>
      </rPr>
      <t xml:space="preserve">CPU </t>
    </r>
    <r>
      <rPr>
        <sz val="11"/>
        <color theme="1"/>
        <rFont val="Noto Sans CJK SC"/>
        <family val="2"/>
      </rPr>
      <t xml:space="preserve">拆分（公司不揭露）；認股權證會計處理與各批股數；</t>
    </r>
    <r>
      <rPr>
        <sz val="11"/>
        <color theme="1"/>
        <rFont val="Calibri"/>
        <family val="2"/>
        <charset val="1"/>
      </rPr>
      <t xml:space="preserve">MI450 </t>
    </r>
    <r>
      <rPr>
        <sz val="11"/>
        <color theme="1"/>
        <rFont val="Noto Sans CJK SC"/>
        <family val="2"/>
      </rPr>
      <t xml:space="preserve">每顆售價；</t>
    </r>
    <r>
      <rPr>
        <sz val="11"/>
        <color theme="1"/>
        <rFont val="Calibri"/>
        <family val="2"/>
        <charset val="1"/>
      </rPr>
      <t xml:space="preserve">Q2 2026 </t>
    </r>
    <r>
      <rPr>
        <sz val="11"/>
        <color theme="1"/>
        <rFont val="Noto Sans CJK SC"/>
        <family val="2"/>
      </rPr>
      <t xml:space="preserve">法說逐字稿原文</t>
    </r>
  </si>
  <si>
    <t xml:space="preserve">未找到</t>
  </si>
  <si>
    <t xml:space="preserve">SemiAnalysis</t>
  </si>
  <si>
    <t xml:space="preserve">未使用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</si>
</sst>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.00"/>
    <numFmt numFmtId="166" formatCode="#,##0.000"/>
    <numFmt numFmtId="167" formatCode="0.000"/>
    <numFmt numFmtId="168" formatCode="0.0%"/>
    <numFmt numFmtId="169" formatCode="0.0"/>
    <numFmt numFmtId="170" formatCode="0.0000"/>
    <numFmt numFmtId="171" formatCode="#,##0.0"/>
    <numFmt numFmtId="172" formatCode="#,##0.00"/>
    <numFmt numFmtId="173" formatCode="0%"/>
    <numFmt numFmtId="174" formatCode="#,##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b val="true"/>
      <sz val="11"/>
      <name val="Noto Sans CJK SC"/>
      <family val="2"/>
    </font>
    <font>
      <sz val="11"/>
      <name val="Noto Sans CJK SC"/>
      <family val="2"/>
    </font>
    <font>
      <sz val="11"/>
      <name val="Cambria"/>
      <family val="0"/>
      <charset val="1"/>
    </font>
    <font>
      <sz val="11"/>
      <color theme="1"/>
      <name val="Noto Sans CJK SC"/>
      <family val="2"/>
    </font>
    <font>
      <sz val="11"/>
      <color rgb="FF0000FF"/>
      <name val="Cambria"/>
      <family val="0"/>
      <charset val="1"/>
    </font>
    <font>
      <i val="true"/>
      <sz val="11"/>
      <name val="Cambria"/>
      <family val="0"/>
      <charset val="1"/>
    </font>
    <font>
      <i val="true"/>
      <sz val="11"/>
      <name val="Noto Sans CJK SC"/>
      <family val="2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FFF2CC"/>
        <bgColor rgb="FFFCE4D6"/>
      </patternFill>
    </fill>
    <fill>
      <patternFill patternType="solid">
        <fgColor rgb="FFFCE4D6"/>
        <bgColor rgb="FFFFF2CC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0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1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4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3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7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CE4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18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70"/>
  </cols>
  <sheetData>
    <row r="1" customFormat="false" ht="17.15" hidden="false" customHeight="false" outlineLevel="0" collapsed="false">
      <c r="A1" s="1" t="s">
        <v>0</v>
      </c>
    </row>
    <row r="2" customFormat="false" ht="17.15" hidden="false" customHeight="false" outlineLevel="0" collapsed="false">
      <c r="A2" s="2" t="s">
        <v>1</v>
      </c>
    </row>
    <row r="3" customFormat="false" ht="17.15" hidden="false" customHeight="false" outlineLevel="0" collapsed="false">
      <c r="A3" s="2" t="s">
        <v>2</v>
      </c>
    </row>
    <row r="4" customFormat="false" ht="17.15" hidden="false" customHeight="false" outlineLevel="0" collapsed="false">
      <c r="A4" s="2" t="s">
        <v>3</v>
      </c>
    </row>
    <row r="5" customFormat="false" ht="15" hidden="false" customHeight="false" outlineLevel="0" collapsed="false">
      <c r="A5" s="2"/>
    </row>
    <row r="6" customFormat="false" ht="17.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/>
    </row>
    <row r="8" customFormat="false" ht="15" hidden="false" customHeight="false" outlineLevel="0" collapsed="false">
      <c r="A8" s="3" t="s">
        <v>5</v>
      </c>
    </row>
    <row r="9" customFormat="false" ht="17.15" hidden="false" customHeight="false" outlineLevel="0" collapsed="false">
      <c r="A9" s="2" t="s">
        <v>6</v>
      </c>
    </row>
    <row r="10" customFormat="false" ht="17.15" hidden="false" customHeight="false" outlineLevel="0" collapsed="false">
      <c r="A10" s="2" t="s">
        <v>7</v>
      </c>
    </row>
    <row r="11" customFormat="false" ht="17.15" hidden="false" customHeight="false" outlineLevel="0" collapsed="false">
      <c r="A11" s="4" t="s">
        <v>8</v>
      </c>
    </row>
    <row r="12" customFormat="false" ht="17.15" hidden="false" customHeight="false" outlineLevel="0" collapsed="false">
      <c r="A12" s="2" t="s">
        <v>9</v>
      </c>
    </row>
    <row r="13" customFormat="false" ht="17.15" hidden="false" customHeight="false" outlineLevel="0" collapsed="false">
      <c r="A13" s="2" t="s">
        <v>10</v>
      </c>
    </row>
    <row r="14" customFormat="false" ht="15" hidden="false" customHeight="false" outlineLevel="0" collapsed="false">
      <c r="A14" s="2"/>
    </row>
    <row r="15" customFormat="false" ht="17.15" hidden="false" customHeight="false" outlineLevel="0" collapsed="false">
      <c r="A15" s="2" t="s">
        <v>11</v>
      </c>
    </row>
    <row r="16" customFormat="false" ht="17.15" hidden="false" customHeight="false" outlineLevel="0" collapsed="false">
      <c r="A16" s="2" t="s">
        <v>12</v>
      </c>
    </row>
    <row r="17" customFormat="false" ht="17.15" hidden="false" customHeight="false" outlineLevel="0" collapsed="false">
      <c r="A17" s="0" t="s">
        <v>13</v>
      </c>
    </row>
    <row r="18" customFormat="false" ht="17.15" hidden="false" customHeight="false" outlineLevel="0" collapsed="false">
      <c r="A18" s="5" t="s">
        <v>14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4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3" ySplit="3" topLeftCell="D4" activePane="bottomRight" state="frozen"/>
      <selection pane="topLeft" activeCell="A1" activeCellId="0" sqref="A1"/>
      <selection pane="topRight" activeCell="D1" activeCellId="0" sqref="D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58"/>
    <col collapsed="false" customWidth="true" hidden="false" outlineLevel="0" max="3" min="3" style="0" width="10"/>
    <col collapsed="false" customWidth="true" hidden="false" outlineLevel="0" max="4" min="4" style="0" width="9"/>
    <col collapsed="false" customWidth="true" hidden="false" outlineLevel="0" max="5" min="5" style="0" width="11"/>
    <col collapsed="false" customWidth="true" hidden="false" outlineLevel="0" max="6" min="6" style="0" width="9"/>
    <col collapsed="false" customWidth="true" hidden="false" outlineLevel="0" max="7" min="7" style="0" width="18"/>
    <col collapsed="false" customWidth="true" hidden="false" outlineLevel="0" max="9" min="8" style="0" width="70"/>
  </cols>
  <sheetData>
    <row r="1" customFormat="false" ht="17.15" hidden="false" customHeight="false" outlineLevel="0" collapsed="false">
      <c r="A1" s="0" t="s">
        <v>15</v>
      </c>
    </row>
    <row r="2" customFormat="false" ht="17.15" hidden="false" customHeight="false" outlineLevel="0" collapsed="false">
      <c r="A2" s="5" t="s">
        <v>16</v>
      </c>
    </row>
    <row r="3" customFormat="false" ht="17.15" hidden="false" customHeight="false" outlineLevel="0" collapsed="false">
      <c r="A3" s="6" t="s">
        <v>17</v>
      </c>
      <c r="B3" s="6" t="s">
        <v>18</v>
      </c>
      <c r="C3" s="6" t="s">
        <v>19</v>
      </c>
      <c r="D3" s="6" t="s">
        <v>20</v>
      </c>
      <c r="E3" s="6" t="s">
        <v>21</v>
      </c>
      <c r="F3" s="6" t="s">
        <v>22</v>
      </c>
      <c r="G3" s="6" t="s">
        <v>23</v>
      </c>
      <c r="H3" s="6" t="s">
        <v>24</v>
      </c>
      <c r="I3" s="6" t="s">
        <v>25</v>
      </c>
    </row>
    <row r="4" customFormat="false" ht="17.15" hidden="false" customHeight="false" outlineLevel="0" collapsed="false">
      <c r="A4" s="1" t="s">
        <v>26</v>
      </c>
    </row>
    <row r="5" customFormat="false" ht="17.15" hidden="false" customHeight="false" outlineLevel="0" collapsed="false">
      <c r="A5" s="0" t="s">
        <v>27</v>
      </c>
      <c r="B5" s="0" t="s">
        <v>28</v>
      </c>
      <c r="C5" s="5" t="s">
        <v>29</v>
      </c>
      <c r="E5" s="7" t="n">
        <v>5.4</v>
      </c>
      <c r="G5" s="8" t="s">
        <v>30</v>
      </c>
      <c r="H5" s="8" t="s">
        <v>31</v>
      </c>
      <c r="I5" s="5" t="s">
        <v>32</v>
      </c>
    </row>
    <row r="6" customFormat="false" ht="17.15" hidden="false" customHeight="false" outlineLevel="0" collapsed="false">
      <c r="A6" s="0" t="s">
        <v>33</v>
      </c>
      <c r="B6" s="0" t="s">
        <v>34</v>
      </c>
      <c r="C6" s="5" t="s">
        <v>29</v>
      </c>
      <c r="E6" s="7" t="n">
        <v>2.4</v>
      </c>
      <c r="G6" s="8" t="s">
        <v>30</v>
      </c>
      <c r="H6" s="5" t="s">
        <v>35</v>
      </c>
      <c r="I6" s="5" t="s">
        <v>35</v>
      </c>
    </row>
    <row r="7" customFormat="false" ht="17.15" hidden="false" customHeight="false" outlineLevel="0" collapsed="false">
      <c r="A7" s="0" t="s">
        <v>36</v>
      </c>
      <c r="B7" s="0" t="s">
        <v>37</v>
      </c>
      <c r="C7" s="5" t="s">
        <v>29</v>
      </c>
      <c r="E7" s="7" t="n">
        <v>0.5</v>
      </c>
      <c r="G7" s="8" t="s">
        <v>30</v>
      </c>
      <c r="H7" s="5" t="s">
        <v>35</v>
      </c>
      <c r="I7" s="5" t="s">
        <v>35</v>
      </c>
    </row>
    <row r="8" customFormat="false" ht="17.15" hidden="false" customHeight="false" outlineLevel="0" collapsed="false">
      <c r="A8" s="0" t="s">
        <v>38</v>
      </c>
      <c r="B8" s="0" t="s">
        <v>39</v>
      </c>
      <c r="C8" s="0" t="s">
        <v>40</v>
      </c>
      <c r="E8" s="7" t="n">
        <v>-0.5</v>
      </c>
      <c r="G8" s="8" t="s">
        <v>41</v>
      </c>
      <c r="H8" s="8" t="s">
        <v>42</v>
      </c>
      <c r="I8" s="8" t="s">
        <v>43</v>
      </c>
    </row>
    <row r="9" customFormat="false" ht="17.15" hidden="false" customHeight="false" outlineLevel="0" collapsed="false">
      <c r="A9" s="0" t="s">
        <v>44</v>
      </c>
      <c r="B9" s="0" t="s">
        <v>45</v>
      </c>
      <c r="C9" s="5" t="s">
        <v>29</v>
      </c>
      <c r="E9" s="7" t="n">
        <v>1.7</v>
      </c>
      <c r="G9" s="8" t="s">
        <v>30</v>
      </c>
      <c r="H9" s="8" t="s">
        <v>46</v>
      </c>
      <c r="I9" s="5" t="s">
        <v>47</v>
      </c>
    </row>
    <row r="10" customFormat="false" ht="17.15" hidden="false" customHeight="false" outlineLevel="0" collapsed="false">
      <c r="A10" s="0" t="s">
        <v>48</v>
      </c>
      <c r="B10" s="0" t="s">
        <v>49</v>
      </c>
      <c r="C10" s="5" t="s">
        <v>29</v>
      </c>
      <c r="E10" s="7" t="n">
        <v>7</v>
      </c>
      <c r="G10" s="8" t="s">
        <v>30</v>
      </c>
      <c r="H10" s="5" t="s">
        <v>35</v>
      </c>
      <c r="I10" s="5" t="s">
        <v>35</v>
      </c>
    </row>
    <row r="11" customFormat="false" ht="17.15" hidden="false" customHeight="false" outlineLevel="0" collapsed="false">
      <c r="A11" s="0" t="s">
        <v>50</v>
      </c>
      <c r="B11" s="0" t="s">
        <v>51</v>
      </c>
      <c r="C11" s="5" t="s">
        <v>29</v>
      </c>
      <c r="E11" s="7" t="n">
        <v>7</v>
      </c>
      <c r="G11" s="8" t="s">
        <v>30</v>
      </c>
      <c r="H11" s="5" t="s">
        <v>35</v>
      </c>
      <c r="I11" s="5" t="s">
        <v>35</v>
      </c>
    </row>
    <row r="12" customFormat="false" ht="17.15" hidden="false" customHeight="false" outlineLevel="0" collapsed="false">
      <c r="A12" s="0" t="s">
        <v>52</v>
      </c>
      <c r="B12" s="0" t="s">
        <v>53</v>
      </c>
      <c r="C12" s="0" t="s">
        <v>40</v>
      </c>
      <c r="E12" s="7" t="n">
        <v>0.15</v>
      </c>
      <c r="G12" s="8" t="s">
        <v>41</v>
      </c>
      <c r="H12" s="8" t="s">
        <v>54</v>
      </c>
      <c r="I12" s="8" t="s">
        <v>43</v>
      </c>
    </row>
    <row r="13" customFormat="false" ht="17.15" hidden="false" customHeight="false" outlineLevel="0" collapsed="false">
      <c r="A13" s="0" t="s">
        <v>55</v>
      </c>
      <c r="B13" s="0" t="s">
        <v>56</v>
      </c>
      <c r="C13" s="5" t="s">
        <v>29</v>
      </c>
      <c r="E13" s="7" t="n">
        <v>0</v>
      </c>
      <c r="G13" s="8" t="s">
        <v>41</v>
      </c>
      <c r="H13" s="8" t="s">
        <v>57</v>
      </c>
      <c r="I13" s="5" t="s">
        <v>58</v>
      </c>
    </row>
    <row r="14" customFormat="false" ht="17.15" hidden="false" customHeight="false" outlineLevel="0" collapsed="false">
      <c r="A14" s="0" t="s">
        <v>59</v>
      </c>
      <c r="B14" s="0" t="s">
        <v>60</v>
      </c>
      <c r="C14" s="5" t="s">
        <v>29</v>
      </c>
      <c r="E14" s="7" t="n">
        <v>0.3</v>
      </c>
      <c r="G14" s="8" t="s">
        <v>41</v>
      </c>
      <c r="H14" s="5" t="s">
        <v>35</v>
      </c>
      <c r="I14" s="5" t="s">
        <v>35</v>
      </c>
    </row>
    <row r="15" customFormat="false" ht="17.15" hidden="false" customHeight="false" outlineLevel="0" collapsed="false">
      <c r="A15" s="0" t="s">
        <v>61</v>
      </c>
      <c r="B15" s="0" t="s">
        <v>62</v>
      </c>
      <c r="C15" s="5" t="s">
        <v>29</v>
      </c>
      <c r="E15" s="7" t="n">
        <v>2</v>
      </c>
      <c r="G15" s="8" t="s">
        <v>41</v>
      </c>
      <c r="H15" s="5" t="s">
        <v>35</v>
      </c>
      <c r="I15" s="5" t="s">
        <v>35</v>
      </c>
    </row>
    <row r="16" customFormat="false" ht="17.15" hidden="false" customHeight="false" outlineLevel="0" collapsed="false">
      <c r="A16" s="0" t="s">
        <v>63</v>
      </c>
      <c r="B16" s="0" t="s">
        <v>64</v>
      </c>
      <c r="C16" s="0" t="s">
        <v>40</v>
      </c>
      <c r="E16" s="7" t="n">
        <v>0.15</v>
      </c>
      <c r="G16" s="8" t="s">
        <v>41</v>
      </c>
      <c r="H16" s="8" t="s">
        <v>65</v>
      </c>
      <c r="I16" s="8" t="s">
        <v>43</v>
      </c>
    </row>
    <row r="17" customFormat="false" ht="17.15" hidden="false" customHeight="false" outlineLevel="0" collapsed="false">
      <c r="A17" s="0" t="s">
        <v>66</v>
      </c>
      <c r="B17" s="0" t="s">
        <v>67</v>
      </c>
      <c r="C17" s="5" t="s">
        <v>29</v>
      </c>
      <c r="E17" s="7" t="n">
        <v>0.5</v>
      </c>
      <c r="G17" s="8" t="s">
        <v>30</v>
      </c>
      <c r="H17" s="8" t="s">
        <v>68</v>
      </c>
      <c r="I17" s="5" t="s">
        <v>69</v>
      </c>
    </row>
    <row r="18" customFormat="false" ht="17.15" hidden="false" customHeight="false" outlineLevel="0" collapsed="false">
      <c r="A18" s="0" t="s">
        <v>70</v>
      </c>
      <c r="B18" s="0" t="s">
        <v>71</v>
      </c>
      <c r="C18" s="5" t="s">
        <v>29</v>
      </c>
      <c r="E18" s="7" t="n">
        <v>0</v>
      </c>
      <c r="G18" s="8" t="s">
        <v>30</v>
      </c>
      <c r="H18" s="5" t="s">
        <v>35</v>
      </c>
      <c r="I18" s="5" t="s">
        <v>35</v>
      </c>
    </row>
    <row r="19" customFormat="false" ht="17.15" hidden="false" customHeight="false" outlineLevel="0" collapsed="false">
      <c r="A19" s="0" t="s">
        <v>72</v>
      </c>
      <c r="B19" s="0" t="s">
        <v>73</v>
      </c>
      <c r="C19" s="5" t="s">
        <v>29</v>
      </c>
      <c r="E19" s="7" t="n">
        <v>0</v>
      </c>
      <c r="G19" s="8" t="s">
        <v>30</v>
      </c>
      <c r="H19" s="5" t="s">
        <v>35</v>
      </c>
      <c r="I19" s="5" t="s">
        <v>35</v>
      </c>
    </row>
    <row r="20" customFormat="false" ht="17.15" hidden="false" customHeight="false" outlineLevel="0" collapsed="false">
      <c r="A20" s="0" t="s">
        <v>74</v>
      </c>
      <c r="B20" s="0" t="s">
        <v>75</v>
      </c>
      <c r="C20" s="0" t="s">
        <v>40</v>
      </c>
      <c r="E20" s="7" t="n">
        <v>0</v>
      </c>
      <c r="G20" s="8" t="s">
        <v>41</v>
      </c>
      <c r="H20" s="8" t="s">
        <v>76</v>
      </c>
      <c r="I20" s="8" t="s">
        <v>43</v>
      </c>
    </row>
    <row r="21" customFormat="false" ht="17.15" hidden="false" customHeight="false" outlineLevel="0" collapsed="false">
      <c r="A21" s="0" t="s">
        <v>77</v>
      </c>
      <c r="B21" s="0" t="s">
        <v>78</v>
      </c>
      <c r="C21" s="5" t="s">
        <v>29</v>
      </c>
      <c r="E21" s="7" t="n">
        <v>0.75</v>
      </c>
      <c r="G21" s="8" t="s">
        <v>79</v>
      </c>
      <c r="H21" s="8" t="s">
        <v>80</v>
      </c>
      <c r="I21" s="5" t="s">
        <v>81</v>
      </c>
    </row>
    <row r="22" customFormat="false" ht="17.15" hidden="false" customHeight="false" outlineLevel="0" collapsed="false">
      <c r="A22" s="0" t="s">
        <v>82</v>
      </c>
      <c r="B22" s="0" t="s">
        <v>83</v>
      </c>
      <c r="C22" s="5" t="s">
        <v>29</v>
      </c>
      <c r="E22" s="7" t="n">
        <v>1.5</v>
      </c>
      <c r="G22" s="8" t="s">
        <v>79</v>
      </c>
      <c r="H22" s="5" t="s">
        <v>35</v>
      </c>
      <c r="I22" s="5" t="s">
        <v>35</v>
      </c>
    </row>
    <row r="23" customFormat="false" ht="17.15" hidden="false" customHeight="false" outlineLevel="0" collapsed="false">
      <c r="A23" s="0" t="s">
        <v>84</v>
      </c>
      <c r="B23" s="0" t="s">
        <v>85</v>
      </c>
      <c r="C23" s="5" t="s">
        <v>29</v>
      </c>
      <c r="E23" s="7" t="n">
        <v>2</v>
      </c>
      <c r="G23" s="8" t="s">
        <v>79</v>
      </c>
      <c r="H23" s="5" t="s">
        <v>35</v>
      </c>
      <c r="I23" s="5" t="s">
        <v>35</v>
      </c>
    </row>
    <row r="24" customFormat="false" ht="17.15" hidden="false" customHeight="false" outlineLevel="0" collapsed="false">
      <c r="A24" s="0" t="s">
        <v>86</v>
      </c>
      <c r="B24" s="0" t="s">
        <v>87</v>
      </c>
      <c r="C24" s="0" t="s">
        <v>40</v>
      </c>
      <c r="E24" s="7" t="n">
        <v>0.15</v>
      </c>
      <c r="G24" s="8" t="s">
        <v>41</v>
      </c>
      <c r="H24" s="8" t="s">
        <v>88</v>
      </c>
      <c r="I24" s="8" t="s">
        <v>43</v>
      </c>
    </row>
    <row r="25" customFormat="false" ht="17.15" hidden="false" customHeight="false" outlineLevel="0" collapsed="false">
      <c r="A25" s="0" t="s">
        <v>89</v>
      </c>
      <c r="B25" s="0" t="s">
        <v>90</v>
      </c>
      <c r="C25" s="5" t="s">
        <v>29</v>
      </c>
      <c r="E25" s="7" t="n">
        <v>3.85</v>
      </c>
      <c r="G25" s="8" t="s">
        <v>30</v>
      </c>
      <c r="H25" s="8" t="s">
        <v>91</v>
      </c>
      <c r="I25" s="5" t="s">
        <v>92</v>
      </c>
    </row>
    <row r="26" customFormat="false" ht="17.15" hidden="false" customHeight="false" outlineLevel="0" collapsed="false">
      <c r="A26" s="0" t="s">
        <v>93</v>
      </c>
      <c r="B26" s="0" t="s">
        <v>94</v>
      </c>
      <c r="C26" s="5" t="s">
        <v>29</v>
      </c>
      <c r="E26" s="7" t="n">
        <v>5.5</v>
      </c>
      <c r="G26" s="8" t="s">
        <v>30</v>
      </c>
      <c r="H26" s="5" t="s">
        <v>35</v>
      </c>
      <c r="I26" s="5" t="s">
        <v>35</v>
      </c>
    </row>
    <row r="27" customFormat="false" ht="17.15" hidden="false" customHeight="false" outlineLevel="0" collapsed="false">
      <c r="A27" s="0" t="s">
        <v>95</v>
      </c>
      <c r="B27" s="0" t="s">
        <v>96</v>
      </c>
      <c r="C27" s="5" t="s">
        <v>29</v>
      </c>
      <c r="E27" s="7" t="n">
        <v>7</v>
      </c>
      <c r="G27" s="8" t="s">
        <v>30</v>
      </c>
      <c r="H27" s="5" t="s">
        <v>35</v>
      </c>
      <c r="I27" s="5" t="s">
        <v>35</v>
      </c>
    </row>
    <row r="28" customFormat="false" ht="17.15" hidden="false" customHeight="false" outlineLevel="0" collapsed="false">
      <c r="A28" s="0" t="s">
        <v>97</v>
      </c>
      <c r="B28" s="0" t="s">
        <v>98</v>
      </c>
      <c r="C28" s="0" t="s">
        <v>40</v>
      </c>
      <c r="E28" s="7" t="n">
        <v>0.15</v>
      </c>
      <c r="G28" s="8" t="s">
        <v>41</v>
      </c>
      <c r="H28" s="8" t="s">
        <v>99</v>
      </c>
      <c r="I28" s="8" t="s">
        <v>43</v>
      </c>
    </row>
    <row r="29" customFormat="false" ht="17.15" hidden="false" customHeight="false" outlineLevel="0" collapsed="false">
      <c r="A29" s="0" t="s">
        <v>100</v>
      </c>
      <c r="B29" s="0" t="s">
        <v>101</v>
      </c>
      <c r="C29" s="5" t="s">
        <v>29</v>
      </c>
      <c r="E29" s="7" t="n">
        <v>2</v>
      </c>
      <c r="G29" s="8" t="s">
        <v>41</v>
      </c>
      <c r="H29" s="8" t="s">
        <v>102</v>
      </c>
      <c r="I29" s="5" t="s">
        <v>103</v>
      </c>
    </row>
    <row r="30" customFormat="false" ht="17.15" hidden="false" customHeight="false" outlineLevel="0" collapsed="false">
      <c r="A30" s="0" t="s">
        <v>104</v>
      </c>
      <c r="B30" s="0" t="s">
        <v>105</v>
      </c>
      <c r="C30" s="5" t="s">
        <v>29</v>
      </c>
      <c r="E30" s="7" t="n">
        <v>2.5</v>
      </c>
      <c r="G30" s="8" t="s">
        <v>41</v>
      </c>
      <c r="H30" s="5" t="s">
        <v>35</v>
      </c>
      <c r="I30" s="5" t="s">
        <v>35</v>
      </c>
    </row>
    <row r="31" customFormat="false" ht="17.15" hidden="false" customHeight="false" outlineLevel="0" collapsed="false">
      <c r="A31" s="0" t="s">
        <v>106</v>
      </c>
      <c r="B31" s="0" t="s">
        <v>107</v>
      </c>
      <c r="C31" s="5" t="s">
        <v>29</v>
      </c>
      <c r="E31" s="7" t="n">
        <v>3</v>
      </c>
      <c r="G31" s="8" t="s">
        <v>41</v>
      </c>
      <c r="H31" s="5" t="s">
        <v>35</v>
      </c>
      <c r="I31" s="5" t="s">
        <v>35</v>
      </c>
    </row>
    <row r="32" customFormat="false" ht="17.15" hidden="false" customHeight="false" outlineLevel="0" collapsed="false">
      <c r="A32" s="0" t="s">
        <v>108</v>
      </c>
      <c r="B32" s="0" t="s">
        <v>109</v>
      </c>
      <c r="C32" s="0" t="s">
        <v>40</v>
      </c>
      <c r="E32" s="7" t="n">
        <v>0.15</v>
      </c>
      <c r="G32" s="8" t="s">
        <v>41</v>
      </c>
      <c r="H32" s="8" t="s">
        <v>110</v>
      </c>
      <c r="I32" s="8" t="s">
        <v>43</v>
      </c>
    </row>
    <row r="33" customFormat="false" ht="17.15" hidden="false" customHeight="false" outlineLevel="0" collapsed="false">
      <c r="A33" s="0" t="s">
        <v>111</v>
      </c>
      <c r="B33" s="5" t="s">
        <v>112</v>
      </c>
      <c r="C33" s="5" t="s">
        <v>29</v>
      </c>
      <c r="E33" s="7" t="n">
        <v>1</v>
      </c>
      <c r="G33" s="8" t="s">
        <v>113</v>
      </c>
      <c r="H33" s="8" t="s">
        <v>114</v>
      </c>
      <c r="I33" s="5" t="s">
        <v>115</v>
      </c>
    </row>
    <row r="34" customFormat="false" ht="17.15" hidden="false" customHeight="false" outlineLevel="0" collapsed="false">
      <c r="A34" s="0" t="s">
        <v>116</v>
      </c>
      <c r="B34" s="5" t="s">
        <v>117</v>
      </c>
      <c r="C34" s="5" t="s">
        <v>29</v>
      </c>
      <c r="E34" s="7" t="n">
        <v>4.5</v>
      </c>
      <c r="G34" s="8" t="s">
        <v>113</v>
      </c>
      <c r="H34" s="5" t="s">
        <v>35</v>
      </c>
      <c r="I34" s="5" t="s">
        <v>35</v>
      </c>
    </row>
    <row r="35" customFormat="false" ht="17.15" hidden="false" customHeight="false" outlineLevel="0" collapsed="false">
      <c r="A35" s="0" t="s">
        <v>118</v>
      </c>
      <c r="B35" s="5" t="s">
        <v>119</v>
      </c>
      <c r="C35" s="5" t="s">
        <v>29</v>
      </c>
      <c r="E35" s="7" t="n">
        <v>5</v>
      </c>
      <c r="G35" s="8" t="s">
        <v>113</v>
      </c>
      <c r="H35" s="5" t="s">
        <v>35</v>
      </c>
      <c r="I35" s="5" t="s">
        <v>35</v>
      </c>
    </row>
    <row r="36" customFormat="false" ht="17.15" hidden="false" customHeight="false" outlineLevel="0" collapsed="false">
      <c r="A36" s="0" t="s">
        <v>120</v>
      </c>
      <c r="B36" s="5" t="s">
        <v>121</v>
      </c>
      <c r="C36" s="0" t="s">
        <v>40</v>
      </c>
      <c r="E36" s="7" t="n">
        <v>0.15</v>
      </c>
      <c r="G36" s="8" t="s">
        <v>41</v>
      </c>
      <c r="H36" s="8" t="s">
        <v>122</v>
      </c>
      <c r="I36" s="8" t="s">
        <v>43</v>
      </c>
    </row>
    <row r="37" customFormat="false" ht="17.15" hidden="false" customHeight="false" outlineLevel="0" collapsed="false">
      <c r="A37" s="0" t="s">
        <v>123</v>
      </c>
      <c r="B37" s="5" t="s">
        <v>124</v>
      </c>
      <c r="C37" s="0" t="s">
        <v>125</v>
      </c>
      <c r="E37" s="7" t="n">
        <v>1</v>
      </c>
      <c r="G37" s="8" t="s">
        <v>41</v>
      </c>
      <c r="H37" s="8" t="s">
        <v>126</v>
      </c>
      <c r="I37" s="8" t="s">
        <v>127</v>
      </c>
    </row>
    <row r="38" customFormat="false" ht="17.15" hidden="false" customHeight="false" outlineLevel="0" collapsed="false">
      <c r="A38" s="0" t="s">
        <v>128</v>
      </c>
      <c r="B38" s="5" t="s">
        <v>129</v>
      </c>
      <c r="C38" s="0" t="s">
        <v>125</v>
      </c>
      <c r="E38" s="7" t="n">
        <v>1</v>
      </c>
      <c r="G38" s="8" t="s">
        <v>41</v>
      </c>
      <c r="H38" s="8" t="s">
        <v>130</v>
      </c>
      <c r="I38" s="5" t="s">
        <v>35</v>
      </c>
    </row>
    <row r="39" customFormat="false" ht="17.15" hidden="false" customHeight="false" outlineLevel="0" collapsed="false">
      <c r="A39" s="0" t="s">
        <v>131</v>
      </c>
      <c r="B39" s="5" t="s">
        <v>132</v>
      </c>
      <c r="C39" s="0" t="s">
        <v>125</v>
      </c>
      <c r="E39" s="7" t="n">
        <v>0.8</v>
      </c>
      <c r="G39" s="8" t="s">
        <v>41</v>
      </c>
      <c r="H39" s="8" t="s">
        <v>133</v>
      </c>
      <c r="I39" s="8" t="s">
        <v>127</v>
      </c>
    </row>
    <row r="40" customFormat="false" ht="17.15" hidden="false" customHeight="false" outlineLevel="0" collapsed="false">
      <c r="A40" s="0" t="s">
        <v>134</v>
      </c>
      <c r="B40" s="5" t="s">
        <v>135</v>
      </c>
      <c r="C40" s="0" t="s">
        <v>125</v>
      </c>
      <c r="E40" s="7" t="n">
        <v>0.85</v>
      </c>
      <c r="G40" s="8" t="s">
        <v>41</v>
      </c>
      <c r="H40" s="8" t="s">
        <v>136</v>
      </c>
      <c r="I40" s="5" t="s">
        <v>35</v>
      </c>
    </row>
    <row r="41" customFormat="false" ht="17.15" hidden="false" customHeight="false" outlineLevel="0" collapsed="false">
      <c r="A41" s="0" t="s">
        <v>137</v>
      </c>
      <c r="B41" s="5" t="s">
        <v>138</v>
      </c>
      <c r="C41" s="0" t="s">
        <v>125</v>
      </c>
      <c r="E41" s="7" t="n">
        <v>0.6</v>
      </c>
      <c r="G41" s="8" t="s">
        <v>41</v>
      </c>
      <c r="H41" s="8" t="s">
        <v>139</v>
      </c>
      <c r="I41" s="8" t="s">
        <v>127</v>
      </c>
    </row>
    <row r="42" customFormat="false" ht="17.15" hidden="false" customHeight="false" outlineLevel="0" collapsed="false">
      <c r="A42" s="0" t="s">
        <v>140</v>
      </c>
      <c r="B42" s="5" t="s">
        <v>141</v>
      </c>
      <c r="C42" s="0" t="s">
        <v>125</v>
      </c>
      <c r="E42" s="7" t="n">
        <v>0.6</v>
      </c>
      <c r="G42" s="8" t="s">
        <v>41</v>
      </c>
      <c r="H42" s="8" t="s">
        <v>142</v>
      </c>
      <c r="I42" s="5" t="s">
        <v>35</v>
      </c>
    </row>
    <row r="43" customFormat="false" ht="17.15" hidden="false" customHeight="false" outlineLevel="0" collapsed="false">
      <c r="A43" s="0" t="s">
        <v>143</v>
      </c>
      <c r="B43" s="0" t="s">
        <v>144</v>
      </c>
      <c r="C43" s="0" t="s">
        <v>145</v>
      </c>
      <c r="E43" s="7" t="n">
        <v>288</v>
      </c>
      <c r="G43" s="8" t="s">
        <v>30</v>
      </c>
      <c r="H43" s="8" t="s">
        <v>146</v>
      </c>
      <c r="I43" s="5" t="s">
        <v>147</v>
      </c>
    </row>
    <row r="44" customFormat="false" ht="17.15" hidden="false" customHeight="false" outlineLevel="0" collapsed="false">
      <c r="A44" s="0" t="s">
        <v>148</v>
      </c>
      <c r="B44" s="0" t="s">
        <v>149</v>
      </c>
      <c r="C44" s="0" t="s">
        <v>145</v>
      </c>
      <c r="E44" s="7" t="n">
        <v>360</v>
      </c>
      <c r="G44" s="8" t="s">
        <v>30</v>
      </c>
      <c r="H44" s="5" t="s">
        <v>35</v>
      </c>
      <c r="I44" s="5" t="s">
        <v>35</v>
      </c>
    </row>
    <row r="45" customFormat="false" ht="17.15" hidden="false" customHeight="false" outlineLevel="0" collapsed="false">
      <c r="A45" s="0" t="s">
        <v>150</v>
      </c>
      <c r="B45" s="0" t="s">
        <v>151</v>
      </c>
      <c r="C45" s="0" t="s">
        <v>145</v>
      </c>
      <c r="E45" s="7" t="n">
        <v>432</v>
      </c>
      <c r="G45" s="8" t="s">
        <v>30</v>
      </c>
      <c r="H45" s="5" t="s">
        <v>35</v>
      </c>
      <c r="I45" s="5" t="s">
        <v>35</v>
      </c>
    </row>
    <row r="46" customFormat="false" ht="17.15" hidden="false" customHeight="false" outlineLevel="0" collapsed="false">
      <c r="A46" s="1" t="s">
        <v>152</v>
      </c>
    </row>
    <row r="47" customFormat="false" ht="17.15" hidden="false" customHeight="false" outlineLevel="0" collapsed="false">
      <c r="A47" s="0" t="s">
        <v>153</v>
      </c>
      <c r="B47" s="5" t="s">
        <v>154</v>
      </c>
      <c r="C47" s="0" t="s">
        <v>155</v>
      </c>
      <c r="D47" s="7" t="n">
        <v>37.6</v>
      </c>
      <c r="E47" s="7" t="n">
        <v>40.4</v>
      </c>
      <c r="F47" s="7" t="n">
        <v>47</v>
      </c>
      <c r="G47" s="8" t="s">
        <v>156</v>
      </c>
      <c r="H47" s="8" t="s">
        <v>157</v>
      </c>
      <c r="I47" s="8" t="s">
        <v>158</v>
      </c>
    </row>
    <row r="48" customFormat="false" ht="17.15" hidden="false" customHeight="false" outlineLevel="0" collapsed="false">
      <c r="A48" s="0" t="s">
        <v>159</v>
      </c>
      <c r="B48" s="5" t="s">
        <v>160</v>
      </c>
      <c r="C48" s="0" t="s">
        <v>155</v>
      </c>
      <c r="D48" s="7" t="n">
        <v>50</v>
      </c>
      <c r="E48" s="7" t="n">
        <v>55</v>
      </c>
      <c r="F48" s="7" t="n">
        <v>60</v>
      </c>
      <c r="G48" s="8" t="s">
        <v>156</v>
      </c>
      <c r="H48" s="8" t="s">
        <v>161</v>
      </c>
      <c r="I48" s="8" t="s">
        <v>162</v>
      </c>
    </row>
    <row r="49" customFormat="false" ht="17.15" hidden="false" customHeight="false" outlineLevel="0" collapsed="false">
      <c r="A49" s="0" t="s">
        <v>163</v>
      </c>
      <c r="B49" s="5" t="s">
        <v>164</v>
      </c>
      <c r="C49" s="0" t="s">
        <v>155</v>
      </c>
      <c r="D49" s="7" t="n">
        <v>60</v>
      </c>
      <c r="E49" s="7" t="n">
        <v>75</v>
      </c>
      <c r="F49" s="7" t="n">
        <v>100</v>
      </c>
      <c r="G49" s="8" t="s">
        <v>156</v>
      </c>
      <c r="H49" s="8" t="s">
        <v>165</v>
      </c>
      <c r="I49" s="5" t="s">
        <v>166</v>
      </c>
    </row>
    <row r="50" customFormat="false" ht="17.15" hidden="false" customHeight="false" outlineLevel="0" collapsed="false">
      <c r="A50" s="0" t="s">
        <v>167</v>
      </c>
      <c r="B50" s="5" t="s">
        <v>168</v>
      </c>
      <c r="C50" s="0" t="s">
        <v>155</v>
      </c>
      <c r="D50" s="7" t="n">
        <v>25</v>
      </c>
      <c r="E50" s="7" t="n">
        <v>30</v>
      </c>
      <c r="F50" s="7" t="n">
        <v>35</v>
      </c>
      <c r="G50" s="8" t="s">
        <v>156</v>
      </c>
      <c r="H50" s="8" t="s">
        <v>169</v>
      </c>
      <c r="I50" s="5" t="s">
        <v>170</v>
      </c>
    </row>
    <row r="51" customFormat="false" ht="17.15" hidden="false" customHeight="false" outlineLevel="0" collapsed="false">
      <c r="A51" s="0" t="s">
        <v>171</v>
      </c>
      <c r="B51" s="5" t="s">
        <v>172</v>
      </c>
      <c r="C51" s="0" t="s">
        <v>155</v>
      </c>
      <c r="D51" s="7" t="n">
        <v>20</v>
      </c>
      <c r="E51" s="7" t="n">
        <v>30</v>
      </c>
      <c r="F51" s="7" t="n">
        <v>45</v>
      </c>
      <c r="G51" s="8" t="s">
        <v>156</v>
      </c>
      <c r="H51" s="8" t="s">
        <v>173</v>
      </c>
      <c r="I51" s="8" t="s">
        <v>174</v>
      </c>
    </row>
    <row r="52" customFormat="false" ht="17.15" hidden="false" customHeight="false" outlineLevel="0" collapsed="false">
      <c r="A52" s="0" t="s">
        <v>175</v>
      </c>
      <c r="B52" s="5" t="s">
        <v>176</v>
      </c>
      <c r="C52" s="0" t="s">
        <v>155</v>
      </c>
      <c r="D52" s="7" t="n">
        <v>8</v>
      </c>
      <c r="E52" s="7" t="n">
        <v>12</v>
      </c>
      <c r="F52" s="7" t="n">
        <v>18</v>
      </c>
      <c r="G52" s="8" t="s">
        <v>156</v>
      </c>
      <c r="H52" s="8" t="s">
        <v>177</v>
      </c>
      <c r="I52" s="5" t="s">
        <v>178</v>
      </c>
    </row>
    <row r="53" customFormat="false" ht="17.15" hidden="false" customHeight="false" outlineLevel="0" collapsed="false">
      <c r="A53" s="0" t="s">
        <v>179</v>
      </c>
      <c r="B53" s="5" t="s">
        <v>180</v>
      </c>
      <c r="C53" s="0" t="s">
        <v>155</v>
      </c>
      <c r="D53" s="7" t="n">
        <v>5</v>
      </c>
      <c r="E53" s="7" t="n">
        <v>8</v>
      </c>
      <c r="F53" s="7" t="n">
        <v>12</v>
      </c>
      <c r="G53" s="8" t="s">
        <v>156</v>
      </c>
      <c r="H53" s="8" t="s">
        <v>181</v>
      </c>
      <c r="I53" s="5" t="s">
        <v>182</v>
      </c>
    </row>
    <row r="54" customFormat="false" ht="17.15" hidden="false" customHeight="false" outlineLevel="0" collapsed="false">
      <c r="A54" s="0" t="s">
        <v>183</v>
      </c>
      <c r="B54" s="5" t="s">
        <v>184</v>
      </c>
      <c r="C54" s="0" t="s">
        <v>155</v>
      </c>
      <c r="D54" s="7" t="n">
        <v>5</v>
      </c>
      <c r="E54" s="7" t="n">
        <v>8</v>
      </c>
      <c r="F54" s="7" t="n">
        <v>12</v>
      </c>
      <c r="G54" s="8" t="s">
        <v>156</v>
      </c>
      <c r="H54" s="8" t="s">
        <v>185</v>
      </c>
      <c r="I54" s="5" t="s">
        <v>186</v>
      </c>
    </row>
    <row r="55" customFormat="false" ht="17.15" hidden="false" customHeight="false" outlineLevel="0" collapsed="false">
      <c r="A55" s="1" t="s">
        <v>187</v>
      </c>
    </row>
    <row r="56" customFormat="false" ht="17.15" hidden="false" customHeight="false" outlineLevel="0" collapsed="false">
      <c r="A56" s="0" t="s">
        <v>188</v>
      </c>
      <c r="B56" s="0" t="s">
        <v>189</v>
      </c>
      <c r="C56" s="0" t="s">
        <v>190</v>
      </c>
      <c r="E56" s="7" t="n">
        <v>14.6</v>
      </c>
      <c r="G56" s="8" t="s">
        <v>156</v>
      </c>
      <c r="H56" s="8" t="s">
        <v>191</v>
      </c>
      <c r="I56" s="8" t="s">
        <v>192</v>
      </c>
    </row>
    <row r="57" customFormat="false" ht="17.15" hidden="false" customHeight="false" outlineLevel="0" collapsed="false">
      <c r="A57" s="0" t="s">
        <v>193</v>
      </c>
      <c r="B57" s="0" t="s">
        <v>194</v>
      </c>
      <c r="C57" s="0" t="s">
        <v>190</v>
      </c>
      <c r="E57" s="7" t="n">
        <v>26.28</v>
      </c>
      <c r="G57" s="8" t="s">
        <v>156</v>
      </c>
      <c r="H57" s="8" t="s">
        <v>195</v>
      </c>
      <c r="I57" s="5" t="s">
        <v>35</v>
      </c>
    </row>
    <row r="58" customFormat="false" ht="17.15" hidden="false" customHeight="false" outlineLevel="0" collapsed="false">
      <c r="A58" s="0" t="s">
        <v>196</v>
      </c>
      <c r="B58" s="0" t="s">
        <v>197</v>
      </c>
      <c r="C58" s="0" t="s">
        <v>190</v>
      </c>
      <c r="E58" s="7" t="n">
        <v>28.908</v>
      </c>
      <c r="G58" s="8" t="s">
        <v>156</v>
      </c>
      <c r="H58" s="8" t="s">
        <v>198</v>
      </c>
      <c r="I58" s="5" t="s">
        <v>35</v>
      </c>
    </row>
    <row r="59" customFormat="false" ht="17.15" hidden="false" customHeight="false" outlineLevel="0" collapsed="false">
      <c r="A59" s="0" t="s">
        <v>199</v>
      </c>
      <c r="B59" s="0" t="s">
        <v>200</v>
      </c>
      <c r="C59" s="0" t="s">
        <v>190</v>
      </c>
      <c r="E59" s="7" t="n">
        <v>27.4626</v>
      </c>
      <c r="G59" s="8" t="s">
        <v>156</v>
      </c>
      <c r="H59" s="8" t="s">
        <v>201</v>
      </c>
      <c r="I59" s="5" t="s">
        <v>35</v>
      </c>
    </row>
    <row r="60" customFormat="false" ht="17.15" hidden="false" customHeight="false" outlineLevel="0" collapsed="false">
      <c r="A60" s="0" t="s">
        <v>202</v>
      </c>
      <c r="B60" s="0" t="s">
        <v>203</v>
      </c>
      <c r="C60" s="0" t="s">
        <v>190</v>
      </c>
      <c r="E60" s="7" t="n">
        <v>14.6</v>
      </c>
      <c r="G60" s="8" t="s">
        <v>156</v>
      </c>
      <c r="H60" s="8" t="s">
        <v>204</v>
      </c>
      <c r="I60" s="5" t="s">
        <v>35</v>
      </c>
    </row>
    <row r="61" customFormat="false" ht="17.15" hidden="false" customHeight="false" outlineLevel="0" collapsed="false">
      <c r="A61" s="0" t="s">
        <v>205</v>
      </c>
      <c r="B61" s="0" t="s">
        <v>206</v>
      </c>
      <c r="C61" s="0" t="s">
        <v>190</v>
      </c>
      <c r="E61" s="7" t="n">
        <v>26.28</v>
      </c>
      <c r="G61" s="8" t="s">
        <v>156</v>
      </c>
      <c r="H61" s="8" t="s">
        <v>207</v>
      </c>
      <c r="I61" s="5" t="s">
        <v>35</v>
      </c>
    </row>
    <row r="62" customFormat="false" ht="17.15" hidden="false" customHeight="false" outlineLevel="0" collapsed="false">
      <c r="A62" s="0" t="s">
        <v>208</v>
      </c>
      <c r="B62" s="0" t="s">
        <v>209</v>
      </c>
      <c r="C62" s="0" t="s">
        <v>190</v>
      </c>
      <c r="E62" s="7" t="n">
        <v>19.71</v>
      </c>
      <c r="G62" s="8" t="s">
        <v>156</v>
      </c>
      <c r="H62" s="8" t="s">
        <v>210</v>
      </c>
      <c r="I62" s="5" t="s">
        <v>35</v>
      </c>
    </row>
    <row r="63" customFormat="false" ht="17.15" hidden="false" customHeight="false" outlineLevel="0" collapsed="false">
      <c r="A63" s="0" t="s">
        <v>211</v>
      </c>
      <c r="B63" s="0" t="s">
        <v>212</v>
      </c>
      <c r="C63" s="0" t="s">
        <v>190</v>
      </c>
      <c r="E63" s="7" t="n">
        <v>19.71</v>
      </c>
      <c r="G63" s="8" t="s">
        <v>156</v>
      </c>
      <c r="H63" s="8" t="s">
        <v>213</v>
      </c>
      <c r="I63" s="5" t="s">
        <v>35</v>
      </c>
    </row>
    <row r="64" customFormat="false" ht="17.15" hidden="false" customHeight="false" outlineLevel="0" collapsed="false">
      <c r="A64" s="0" t="s">
        <v>214</v>
      </c>
      <c r="B64" s="0" t="s">
        <v>215</v>
      </c>
      <c r="C64" s="0" t="s">
        <v>190</v>
      </c>
      <c r="E64" s="7" t="n">
        <v>14.6</v>
      </c>
      <c r="G64" s="8" t="s">
        <v>156</v>
      </c>
      <c r="H64" s="8" t="s">
        <v>216</v>
      </c>
      <c r="I64" s="5" t="s">
        <v>35</v>
      </c>
    </row>
    <row r="65" customFormat="false" ht="17.15" hidden="false" customHeight="false" outlineLevel="0" collapsed="false">
      <c r="A65" s="0" t="s">
        <v>217</v>
      </c>
      <c r="B65" s="0" t="s">
        <v>218</v>
      </c>
      <c r="C65" s="0" t="s">
        <v>190</v>
      </c>
      <c r="E65" s="7" t="n">
        <v>26.28</v>
      </c>
      <c r="G65" s="8" t="s">
        <v>156</v>
      </c>
      <c r="H65" s="8" t="s">
        <v>219</v>
      </c>
      <c r="I65" s="5" t="s">
        <v>35</v>
      </c>
    </row>
    <row r="66" customFormat="false" ht="17.15" hidden="false" customHeight="false" outlineLevel="0" collapsed="false">
      <c r="A66" s="0" t="s">
        <v>220</v>
      </c>
      <c r="B66" s="0" t="s">
        <v>221</v>
      </c>
      <c r="C66" s="0" t="s">
        <v>190</v>
      </c>
      <c r="E66" s="7" t="n">
        <v>15.768</v>
      </c>
      <c r="G66" s="8" t="s">
        <v>156</v>
      </c>
      <c r="H66" s="8" t="s">
        <v>222</v>
      </c>
      <c r="I66" s="5" t="s">
        <v>35</v>
      </c>
    </row>
    <row r="67" customFormat="false" ht="17.15" hidden="false" customHeight="false" outlineLevel="0" collapsed="false">
      <c r="A67" s="0" t="s">
        <v>223</v>
      </c>
      <c r="B67" s="0" t="s">
        <v>224</v>
      </c>
      <c r="C67" s="0" t="s">
        <v>190</v>
      </c>
      <c r="E67" s="7" t="n">
        <v>16.5564</v>
      </c>
      <c r="G67" s="8" t="s">
        <v>156</v>
      </c>
      <c r="H67" s="8" t="s">
        <v>225</v>
      </c>
      <c r="I67" s="5" t="s">
        <v>35</v>
      </c>
    </row>
    <row r="68" customFormat="false" ht="17.15" hidden="false" customHeight="false" outlineLevel="0" collapsed="false">
      <c r="A68" s="1" t="s">
        <v>226</v>
      </c>
    </row>
    <row r="69" customFormat="false" ht="17.15" hidden="false" customHeight="false" outlineLevel="0" collapsed="false">
      <c r="A69" s="0" t="s">
        <v>227</v>
      </c>
      <c r="B69" s="0" t="s">
        <v>228</v>
      </c>
      <c r="C69" s="0" t="s">
        <v>229</v>
      </c>
      <c r="D69" s="7" t="n">
        <v>5.9</v>
      </c>
      <c r="E69" s="7" t="n">
        <v>6.5</v>
      </c>
      <c r="F69" s="7" t="n">
        <v>7.5</v>
      </c>
      <c r="G69" s="8" t="s">
        <v>41</v>
      </c>
      <c r="H69" s="5" t="s">
        <v>230</v>
      </c>
      <c r="I69" s="8" t="s">
        <v>231</v>
      </c>
    </row>
    <row r="70" customFormat="false" ht="17.15" hidden="false" customHeight="false" outlineLevel="0" collapsed="false">
      <c r="A70" s="0" t="s">
        <v>232</v>
      </c>
      <c r="B70" s="0" t="s">
        <v>233</v>
      </c>
      <c r="C70" s="0" t="s">
        <v>40</v>
      </c>
      <c r="D70" s="7" t="n">
        <v>0.38</v>
      </c>
      <c r="E70" s="7" t="n">
        <v>0.42</v>
      </c>
      <c r="F70" s="7" t="n">
        <v>0.46</v>
      </c>
      <c r="G70" s="8" t="s">
        <v>41</v>
      </c>
      <c r="H70" s="5" t="s">
        <v>234</v>
      </c>
      <c r="I70" s="5" t="s">
        <v>235</v>
      </c>
    </row>
    <row r="71" customFormat="false" ht="17.15" hidden="false" customHeight="false" outlineLevel="0" collapsed="false">
      <c r="A71" s="0" t="s">
        <v>236</v>
      </c>
      <c r="B71" s="0" t="s">
        <v>237</v>
      </c>
      <c r="C71" s="0" t="s">
        <v>40</v>
      </c>
      <c r="D71" s="7" t="n">
        <v>0.39</v>
      </c>
      <c r="E71" s="7" t="n">
        <v>0.43</v>
      </c>
      <c r="F71" s="7" t="n">
        <v>0.47</v>
      </c>
      <c r="G71" s="8" t="s">
        <v>41</v>
      </c>
      <c r="H71" s="5" t="s">
        <v>238</v>
      </c>
      <c r="I71" s="5" t="s">
        <v>235</v>
      </c>
    </row>
    <row r="72" customFormat="false" ht="17.15" hidden="false" customHeight="false" outlineLevel="0" collapsed="false">
      <c r="A72" s="0" t="s">
        <v>239</v>
      </c>
      <c r="B72" s="0" t="s">
        <v>240</v>
      </c>
      <c r="C72" s="0" t="s">
        <v>40</v>
      </c>
      <c r="D72" s="7" t="n">
        <v>0.04</v>
      </c>
      <c r="E72" s="7" t="n">
        <v>0.08</v>
      </c>
      <c r="F72" s="7" t="n">
        <v>0.12</v>
      </c>
      <c r="G72" s="8" t="s">
        <v>41</v>
      </c>
      <c r="H72" s="5" t="s">
        <v>241</v>
      </c>
      <c r="I72" s="8" t="s">
        <v>242</v>
      </c>
    </row>
    <row r="73" customFormat="false" ht="17.15" hidden="false" customHeight="false" outlineLevel="0" collapsed="false">
      <c r="A73" s="0" t="s">
        <v>243</v>
      </c>
      <c r="B73" s="0" t="s">
        <v>244</v>
      </c>
      <c r="C73" s="0" t="s">
        <v>40</v>
      </c>
      <c r="D73" s="7" t="n">
        <v>0.02</v>
      </c>
      <c r="E73" s="7" t="n">
        <v>0.06</v>
      </c>
      <c r="F73" s="7" t="n">
        <v>0.1</v>
      </c>
      <c r="G73" s="8" t="s">
        <v>41</v>
      </c>
      <c r="H73" s="5" t="s">
        <v>245</v>
      </c>
      <c r="I73" s="8" t="s">
        <v>242</v>
      </c>
    </row>
    <row r="74" customFormat="false" ht="17.15" hidden="false" customHeight="false" outlineLevel="0" collapsed="false">
      <c r="A74" s="0" t="s">
        <v>246</v>
      </c>
      <c r="B74" s="5" t="s">
        <v>247</v>
      </c>
      <c r="C74" s="0" t="s">
        <v>40</v>
      </c>
      <c r="D74" s="7" t="n">
        <v>0.4</v>
      </c>
      <c r="E74" s="7" t="n">
        <v>0.5</v>
      </c>
      <c r="F74" s="7" t="n">
        <v>0.55</v>
      </c>
      <c r="G74" s="8" t="s">
        <v>41</v>
      </c>
      <c r="H74" s="5" t="s">
        <v>248</v>
      </c>
      <c r="I74" s="5" t="s">
        <v>249</v>
      </c>
    </row>
    <row r="75" customFormat="false" ht="17.15" hidden="false" customHeight="false" outlineLevel="0" collapsed="false">
      <c r="A75" s="0" t="s">
        <v>250</v>
      </c>
      <c r="B75" s="0" t="s">
        <v>251</v>
      </c>
      <c r="C75" s="0" t="s">
        <v>125</v>
      </c>
      <c r="D75" s="7" t="n">
        <v>0</v>
      </c>
      <c r="E75" s="7" t="n">
        <v>0.5</v>
      </c>
      <c r="F75" s="7" t="n">
        <v>1</v>
      </c>
      <c r="G75" s="8" t="s">
        <v>41</v>
      </c>
      <c r="H75" s="5" t="s">
        <v>252</v>
      </c>
      <c r="I75" s="5" t="s">
        <v>253</v>
      </c>
    </row>
    <row r="76" customFormat="false" ht="17.15" hidden="false" customHeight="false" outlineLevel="0" collapsed="false">
      <c r="A76" s="0" t="s">
        <v>254</v>
      </c>
      <c r="B76" s="0" t="s">
        <v>255</v>
      </c>
      <c r="C76" s="0" t="s">
        <v>125</v>
      </c>
      <c r="D76" s="7" t="n">
        <v>0.8</v>
      </c>
      <c r="E76" s="7" t="n">
        <v>1</v>
      </c>
      <c r="F76" s="7" t="n">
        <v>1.2</v>
      </c>
      <c r="G76" s="8" t="s">
        <v>41</v>
      </c>
      <c r="H76" s="5" t="s">
        <v>256</v>
      </c>
      <c r="I76" s="8" t="s">
        <v>257</v>
      </c>
    </row>
    <row r="77" customFormat="false" ht="17.15" hidden="false" customHeight="false" outlineLevel="0" collapsed="false">
      <c r="A77" s="0" t="s">
        <v>258</v>
      </c>
      <c r="B77" s="5" t="s">
        <v>259</v>
      </c>
      <c r="C77" s="0" t="s">
        <v>125</v>
      </c>
      <c r="D77" s="7" t="n">
        <v>1</v>
      </c>
      <c r="E77" s="7" t="n">
        <v>1</v>
      </c>
      <c r="F77" s="7" t="n">
        <v>1.25</v>
      </c>
      <c r="G77" s="8" t="s">
        <v>260</v>
      </c>
      <c r="H77" s="5" t="s">
        <v>261</v>
      </c>
      <c r="I77" s="8" t="s">
        <v>262</v>
      </c>
    </row>
    <row r="78" customFormat="false" ht="17.15" hidden="false" customHeight="false" outlineLevel="0" collapsed="false">
      <c r="A78" s="0" t="s">
        <v>263</v>
      </c>
      <c r="B78" s="5" t="s">
        <v>264</v>
      </c>
      <c r="C78" s="0" t="s">
        <v>125</v>
      </c>
      <c r="D78" s="7" t="n">
        <v>1</v>
      </c>
      <c r="E78" s="7" t="n">
        <v>1</v>
      </c>
      <c r="F78" s="7" t="n">
        <v>1.5</v>
      </c>
      <c r="G78" s="8" t="s">
        <v>260</v>
      </c>
      <c r="H78" s="5" t="s">
        <v>261</v>
      </c>
      <c r="I78" s="8" t="s">
        <v>262</v>
      </c>
    </row>
    <row r="79" customFormat="false" ht="17.15" hidden="false" customHeight="false" outlineLevel="0" collapsed="false">
      <c r="A79" s="0" t="s">
        <v>265</v>
      </c>
      <c r="B79" s="5" t="s">
        <v>266</v>
      </c>
      <c r="C79" s="0" t="s">
        <v>125</v>
      </c>
      <c r="D79" s="7" t="n">
        <v>1</v>
      </c>
      <c r="E79" s="7" t="n">
        <v>1</v>
      </c>
      <c r="F79" s="7" t="n">
        <v>1.5</v>
      </c>
      <c r="G79" s="8" t="s">
        <v>260</v>
      </c>
      <c r="H79" s="5" t="s">
        <v>261</v>
      </c>
      <c r="I79" s="8" t="s">
        <v>262</v>
      </c>
    </row>
    <row r="80" customFormat="false" ht="17.15" hidden="false" customHeight="false" outlineLevel="0" collapsed="false">
      <c r="A80" s="1" t="s">
        <v>267</v>
      </c>
    </row>
    <row r="81" customFormat="false" ht="17.15" hidden="false" customHeight="false" outlineLevel="0" collapsed="false">
      <c r="A81" s="0" t="s">
        <v>268</v>
      </c>
      <c r="B81" s="5" t="s">
        <v>269</v>
      </c>
      <c r="C81" s="0" t="s">
        <v>40</v>
      </c>
      <c r="D81" s="7" t="n">
        <v>0.3</v>
      </c>
      <c r="E81" s="7" t="n">
        <v>0.5</v>
      </c>
      <c r="F81" s="7" t="n">
        <v>0.7</v>
      </c>
      <c r="G81" s="8" t="s">
        <v>41</v>
      </c>
      <c r="H81" s="5" t="s">
        <v>270</v>
      </c>
      <c r="I81" s="5" t="s">
        <v>271</v>
      </c>
    </row>
    <row r="82" customFormat="false" ht="17.15" hidden="false" customHeight="false" outlineLevel="0" collapsed="false">
      <c r="A82" s="0" t="s">
        <v>272</v>
      </c>
      <c r="B82" s="5" t="s">
        <v>273</v>
      </c>
      <c r="C82" s="0" t="s">
        <v>40</v>
      </c>
      <c r="D82" s="7" t="n">
        <v>0.1</v>
      </c>
      <c r="E82" s="7" t="n">
        <v>0.25</v>
      </c>
      <c r="F82" s="7" t="n">
        <v>0.4</v>
      </c>
      <c r="G82" s="8" t="s">
        <v>41</v>
      </c>
      <c r="H82" s="5" t="s">
        <v>274</v>
      </c>
      <c r="I82" s="8" t="s">
        <v>242</v>
      </c>
    </row>
    <row r="83" customFormat="false" ht="17.15" hidden="false" customHeight="false" outlineLevel="0" collapsed="false">
      <c r="A83" s="0" t="s">
        <v>275</v>
      </c>
      <c r="B83" s="5" t="s">
        <v>276</v>
      </c>
      <c r="C83" s="0" t="s">
        <v>40</v>
      </c>
      <c r="D83" s="7" t="n">
        <v>0.05</v>
      </c>
      <c r="E83" s="7" t="n">
        <v>0.15</v>
      </c>
      <c r="F83" s="7" t="n">
        <v>0.25</v>
      </c>
      <c r="G83" s="8" t="s">
        <v>41</v>
      </c>
      <c r="H83" s="5" t="s">
        <v>274</v>
      </c>
      <c r="I83" s="8" t="s">
        <v>242</v>
      </c>
    </row>
    <row r="84" customFormat="false" ht="17.15" hidden="false" customHeight="false" outlineLevel="0" collapsed="false">
      <c r="A84" s="0" t="s">
        <v>277</v>
      </c>
      <c r="B84" s="0" t="s">
        <v>278</v>
      </c>
      <c r="C84" s="0" t="s">
        <v>40</v>
      </c>
      <c r="D84" s="7" t="n">
        <v>-0.05</v>
      </c>
      <c r="E84" s="7" t="n">
        <v>0.03</v>
      </c>
      <c r="F84" s="7" t="n">
        <v>0.1</v>
      </c>
      <c r="G84" s="8" t="s">
        <v>41</v>
      </c>
      <c r="H84" s="5" t="s">
        <v>279</v>
      </c>
      <c r="I84" s="5" t="s">
        <v>235</v>
      </c>
    </row>
    <row r="85" customFormat="false" ht="17.15" hidden="false" customHeight="false" outlineLevel="0" collapsed="false">
      <c r="A85" s="0" t="s">
        <v>280</v>
      </c>
      <c r="B85" s="0" t="s">
        <v>281</v>
      </c>
      <c r="C85" s="0" t="s">
        <v>40</v>
      </c>
      <c r="D85" s="7" t="n">
        <v>-0.25</v>
      </c>
      <c r="E85" s="7" t="n">
        <v>-0.1</v>
      </c>
      <c r="F85" s="7" t="n">
        <v>0.1</v>
      </c>
      <c r="G85" s="8" t="s">
        <v>41</v>
      </c>
      <c r="H85" s="5" t="s">
        <v>282</v>
      </c>
      <c r="I85" s="5" t="s">
        <v>283</v>
      </c>
    </row>
    <row r="86" customFormat="false" ht="17.15" hidden="false" customHeight="false" outlineLevel="0" collapsed="false">
      <c r="A86" s="0" t="s">
        <v>284</v>
      </c>
      <c r="B86" s="0" t="s">
        <v>285</v>
      </c>
      <c r="C86" s="0" t="s">
        <v>40</v>
      </c>
      <c r="D86" s="7" t="n">
        <v>0</v>
      </c>
      <c r="E86" s="7" t="n">
        <v>0.1</v>
      </c>
      <c r="F86" s="7" t="n">
        <v>0.15</v>
      </c>
      <c r="G86" s="8" t="s">
        <v>41</v>
      </c>
      <c r="H86" s="5" t="s">
        <v>286</v>
      </c>
      <c r="I86" s="8" t="s">
        <v>242</v>
      </c>
    </row>
    <row r="87" customFormat="false" ht="17.15" hidden="false" customHeight="false" outlineLevel="0" collapsed="false">
      <c r="A87" s="1" t="s">
        <v>287</v>
      </c>
    </row>
    <row r="88" customFormat="false" ht="17.15" hidden="false" customHeight="false" outlineLevel="0" collapsed="false">
      <c r="A88" s="0" t="s">
        <v>288</v>
      </c>
      <c r="B88" s="0" t="s">
        <v>289</v>
      </c>
      <c r="C88" s="0" t="s">
        <v>229</v>
      </c>
      <c r="D88" s="7" t="n">
        <v>12.7</v>
      </c>
      <c r="E88" s="7" t="n">
        <v>13</v>
      </c>
      <c r="F88" s="7" t="n">
        <v>13.3</v>
      </c>
      <c r="G88" s="8" t="s">
        <v>30</v>
      </c>
      <c r="H88" s="8" t="s">
        <v>290</v>
      </c>
      <c r="I88" s="8" t="s">
        <v>291</v>
      </c>
    </row>
    <row r="89" customFormat="false" ht="17.15" hidden="false" customHeight="false" outlineLevel="0" collapsed="false">
      <c r="A89" s="0" t="s">
        <v>292</v>
      </c>
      <c r="B89" s="0" t="s">
        <v>293</v>
      </c>
      <c r="C89" s="0" t="s">
        <v>40</v>
      </c>
      <c r="E89" s="7" t="n">
        <v>0.56</v>
      </c>
      <c r="G89" s="8" t="s">
        <v>30</v>
      </c>
      <c r="H89" s="8" t="s">
        <v>294</v>
      </c>
      <c r="I89" s="8" t="s">
        <v>295</v>
      </c>
    </row>
    <row r="90" customFormat="false" ht="17.15" hidden="false" customHeight="false" outlineLevel="0" collapsed="false">
      <c r="A90" s="0" t="s">
        <v>296</v>
      </c>
      <c r="B90" s="0" t="s">
        <v>297</v>
      </c>
      <c r="C90" s="0" t="s">
        <v>229</v>
      </c>
      <c r="E90" s="7" t="n">
        <v>3.65</v>
      </c>
      <c r="G90" s="8" t="s">
        <v>30</v>
      </c>
      <c r="H90" s="8" t="s">
        <v>298</v>
      </c>
      <c r="I90" s="8" t="s">
        <v>299</v>
      </c>
    </row>
    <row r="91" customFormat="false" ht="17.15" hidden="false" customHeight="false" outlineLevel="0" collapsed="false">
      <c r="A91" s="0" t="s">
        <v>300</v>
      </c>
      <c r="B91" s="0" t="s">
        <v>301</v>
      </c>
      <c r="C91" s="0" t="s">
        <v>229</v>
      </c>
      <c r="E91" s="7" t="n">
        <v>0.055</v>
      </c>
      <c r="G91" s="8" t="s">
        <v>30</v>
      </c>
      <c r="H91" s="8" t="s">
        <v>302</v>
      </c>
      <c r="I91" s="8" t="s">
        <v>242</v>
      </c>
    </row>
    <row r="92" customFormat="false" ht="17.15" hidden="false" customHeight="false" outlineLevel="0" collapsed="false">
      <c r="A92" s="0" t="s">
        <v>303</v>
      </c>
      <c r="B92" s="0" t="s">
        <v>304</v>
      </c>
      <c r="C92" s="0" t="s">
        <v>40</v>
      </c>
      <c r="E92" s="7" t="n">
        <v>0.13</v>
      </c>
      <c r="G92" s="8" t="s">
        <v>30</v>
      </c>
      <c r="H92" s="8" t="s">
        <v>305</v>
      </c>
      <c r="I92" s="8" t="s">
        <v>306</v>
      </c>
    </row>
    <row r="93" customFormat="false" ht="17.15" hidden="false" customHeight="false" outlineLevel="0" collapsed="false">
      <c r="A93" s="0" t="s">
        <v>307</v>
      </c>
      <c r="B93" s="0" t="s">
        <v>308</v>
      </c>
      <c r="C93" s="5" t="s">
        <v>309</v>
      </c>
      <c r="E93" s="7" t="n">
        <v>1.661</v>
      </c>
      <c r="G93" s="8" t="s">
        <v>30</v>
      </c>
      <c r="H93" s="8" t="s">
        <v>310</v>
      </c>
      <c r="I93" s="8" t="s">
        <v>242</v>
      </c>
    </row>
    <row r="94" customFormat="false" ht="17.15" hidden="false" customHeight="false" outlineLevel="0" collapsed="false">
      <c r="A94" s="0" t="s">
        <v>311</v>
      </c>
      <c r="B94" s="0" t="s">
        <v>312</v>
      </c>
      <c r="C94" s="0" t="s">
        <v>40</v>
      </c>
      <c r="D94" s="7" t="n">
        <v>0</v>
      </c>
      <c r="E94" s="7" t="n">
        <v>0.02</v>
      </c>
      <c r="F94" s="7" t="n">
        <v>0.05</v>
      </c>
      <c r="G94" s="8" t="s">
        <v>41</v>
      </c>
      <c r="H94" s="5" t="s">
        <v>313</v>
      </c>
      <c r="I94" s="8" t="s">
        <v>242</v>
      </c>
    </row>
    <row r="95" customFormat="false" ht="17.15" hidden="false" customHeight="false" outlineLevel="0" collapsed="false">
      <c r="A95" s="0" t="s">
        <v>314</v>
      </c>
      <c r="B95" s="0" t="s">
        <v>315</v>
      </c>
      <c r="C95" s="0" t="s">
        <v>40</v>
      </c>
      <c r="D95" s="7" t="n">
        <v>-0.3</v>
      </c>
      <c r="E95" s="7" t="n">
        <v>-0.2</v>
      </c>
      <c r="F95" s="7" t="n">
        <v>-0.1</v>
      </c>
      <c r="G95" s="8" t="s">
        <v>41</v>
      </c>
      <c r="H95" s="5" t="s">
        <v>35</v>
      </c>
      <c r="I95" s="8" t="s">
        <v>242</v>
      </c>
    </row>
    <row r="96" customFormat="false" ht="17.15" hidden="false" customHeight="false" outlineLevel="0" collapsed="false">
      <c r="A96" s="0" t="s">
        <v>316</v>
      </c>
      <c r="B96" s="0" t="s">
        <v>317</v>
      </c>
      <c r="C96" s="0" t="s">
        <v>40</v>
      </c>
      <c r="D96" s="7" t="n">
        <v>0.08</v>
      </c>
      <c r="E96" s="7" t="n">
        <v>0.12</v>
      </c>
      <c r="F96" s="7" t="n">
        <v>0.16</v>
      </c>
      <c r="G96" s="8" t="s">
        <v>41</v>
      </c>
      <c r="H96" s="5" t="s">
        <v>318</v>
      </c>
      <c r="I96" s="8" t="s">
        <v>242</v>
      </c>
    </row>
    <row r="97" customFormat="false" ht="17.15" hidden="false" customHeight="false" outlineLevel="0" collapsed="false">
      <c r="A97" s="0" t="s">
        <v>319</v>
      </c>
      <c r="B97" s="0" t="s">
        <v>320</v>
      </c>
      <c r="C97" s="0" t="s">
        <v>40</v>
      </c>
      <c r="D97" s="7" t="n">
        <v>0.1</v>
      </c>
      <c r="E97" s="7" t="n">
        <v>0.25</v>
      </c>
      <c r="F97" s="7" t="n">
        <v>0.4</v>
      </c>
      <c r="G97" s="8" t="s">
        <v>41</v>
      </c>
      <c r="H97" s="5" t="s">
        <v>321</v>
      </c>
      <c r="I97" s="5" t="s">
        <v>322</v>
      </c>
    </row>
    <row r="98" customFormat="false" ht="17.15" hidden="false" customHeight="false" outlineLevel="0" collapsed="false">
      <c r="A98" s="0" t="s">
        <v>323</v>
      </c>
      <c r="B98" s="0" t="s">
        <v>324</v>
      </c>
      <c r="C98" s="0" t="s">
        <v>40</v>
      </c>
      <c r="D98" s="7" t="n">
        <v>-0.1</v>
      </c>
      <c r="E98" s="7" t="n">
        <v>-0.05</v>
      </c>
      <c r="F98" s="7" t="n">
        <v>0.02</v>
      </c>
      <c r="G98" s="8" t="s">
        <v>41</v>
      </c>
      <c r="H98" s="5" t="s">
        <v>325</v>
      </c>
      <c r="I98" s="8" t="s">
        <v>242</v>
      </c>
    </row>
    <row r="99" customFormat="false" ht="17.15" hidden="false" customHeight="false" outlineLevel="0" collapsed="false">
      <c r="A99" s="0" t="s">
        <v>326</v>
      </c>
      <c r="B99" s="0" t="s">
        <v>327</v>
      </c>
      <c r="C99" s="0" t="s">
        <v>40</v>
      </c>
      <c r="D99" s="7" t="n">
        <v>-0.2</v>
      </c>
      <c r="E99" s="7" t="n">
        <v>-0.1</v>
      </c>
      <c r="F99" s="7" t="n">
        <v>0.1</v>
      </c>
      <c r="G99" s="8" t="s">
        <v>41</v>
      </c>
      <c r="H99" s="5" t="s">
        <v>274</v>
      </c>
      <c r="I99" s="8" t="s">
        <v>242</v>
      </c>
    </row>
    <row r="100" customFormat="false" ht="17.15" hidden="false" customHeight="false" outlineLevel="0" collapsed="false">
      <c r="A100" s="0" t="s">
        <v>328</v>
      </c>
      <c r="B100" s="0" t="s">
        <v>329</v>
      </c>
      <c r="C100" s="0" t="s">
        <v>40</v>
      </c>
      <c r="D100" s="7" t="n">
        <v>0</v>
      </c>
      <c r="E100" s="7" t="n">
        <v>0.03</v>
      </c>
      <c r="F100" s="7" t="n">
        <v>0.08</v>
      </c>
      <c r="G100" s="8" t="s">
        <v>41</v>
      </c>
      <c r="H100" s="5" t="s">
        <v>274</v>
      </c>
      <c r="I100" s="8" t="s">
        <v>242</v>
      </c>
    </row>
    <row r="101" customFormat="false" ht="17.15" hidden="false" customHeight="false" outlineLevel="0" collapsed="false">
      <c r="A101" s="0" t="s">
        <v>330</v>
      </c>
      <c r="B101" s="0" t="s">
        <v>331</v>
      </c>
      <c r="C101" s="0" t="s">
        <v>40</v>
      </c>
      <c r="D101" s="7" t="n">
        <v>0.54</v>
      </c>
      <c r="E101" s="7" t="n">
        <v>0.555</v>
      </c>
      <c r="F101" s="7" t="n">
        <v>0.57</v>
      </c>
      <c r="G101" s="8" t="s">
        <v>41</v>
      </c>
      <c r="H101" s="5" t="s">
        <v>332</v>
      </c>
      <c r="I101" s="5" t="s">
        <v>333</v>
      </c>
    </row>
    <row r="102" customFormat="false" ht="17.15" hidden="false" customHeight="false" outlineLevel="0" collapsed="false">
      <c r="A102" s="0" t="s">
        <v>334</v>
      </c>
      <c r="B102" s="0" t="s">
        <v>335</v>
      </c>
      <c r="C102" s="0" t="s">
        <v>40</v>
      </c>
      <c r="D102" s="7" t="n">
        <v>0.02</v>
      </c>
      <c r="E102" s="7" t="n">
        <v>0.05</v>
      </c>
      <c r="F102" s="7" t="n">
        <v>0.08</v>
      </c>
      <c r="G102" s="8" t="s">
        <v>41</v>
      </c>
      <c r="H102" s="8" t="s">
        <v>336</v>
      </c>
      <c r="I102" s="8" t="s">
        <v>242</v>
      </c>
    </row>
    <row r="103" customFormat="false" ht="17.15" hidden="false" customHeight="false" outlineLevel="0" collapsed="false">
      <c r="A103" s="0" t="s">
        <v>337</v>
      </c>
      <c r="B103" s="0" t="s">
        <v>338</v>
      </c>
      <c r="C103" s="0" t="s">
        <v>40</v>
      </c>
      <c r="D103" s="7" t="n">
        <v>0</v>
      </c>
      <c r="E103" s="7" t="n">
        <v>0.002</v>
      </c>
      <c r="F103" s="7" t="n">
        <v>0.01</v>
      </c>
      <c r="G103" s="8" t="s">
        <v>41</v>
      </c>
      <c r="H103" s="8" t="s">
        <v>339</v>
      </c>
      <c r="I103" s="5" t="s">
        <v>340</v>
      </c>
    </row>
    <row r="104" customFormat="false" ht="17.15" hidden="false" customHeight="false" outlineLevel="0" collapsed="false">
      <c r="A104" s="1" t="s">
        <v>341</v>
      </c>
    </row>
    <row r="105" customFormat="false" ht="17.15" hidden="false" customHeight="false" outlineLevel="0" collapsed="false">
      <c r="A105" s="0" t="s">
        <v>342</v>
      </c>
      <c r="B105" s="5" t="s">
        <v>343</v>
      </c>
      <c r="C105" s="0" t="s">
        <v>125</v>
      </c>
      <c r="D105" s="7" t="n">
        <v>0.5</v>
      </c>
      <c r="E105" s="9" t="n">
        <f aca="false">Q!B36</f>
        <v>0.804809842988933</v>
      </c>
      <c r="F105" s="7" t="n">
        <v>0.9</v>
      </c>
      <c r="G105" s="8" t="s">
        <v>156</v>
      </c>
      <c r="H105" s="8" t="s">
        <v>344</v>
      </c>
      <c r="I105" s="5" t="s">
        <v>345</v>
      </c>
    </row>
    <row r="106" customFormat="false" ht="15" hidden="false" customHeight="false" outlineLevel="0" collapsed="false">
      <c r="A106" s="0" t="s">
        <v>346</v>
      </c>
      <c r="B106" s="5" t="s">
        <v>347</v>
      </c>
      <c r="C106" s="0" t="s">
        <v>40</v>
      </c>
      <c r="D106" s="7" t="n">
        <v>0</v>
      </c>
      <c r="E106" s="7" t="n">
        <v>0.05</v>
      </c>
      <c r="F106" s="7" t="n">
        <v>0.1</v>
      </c>
      <c r="G106" s="8" t="s">
        <v>41</v>
      </c>
      <c r="H106" s="5" t="s">
        <v>274</v>
      </c>
      <c r="I106" s="5" t="s">
        <v>348</v>
      </c>
    </row>
    <row r="107" customFormat="false" ht="17.15" hidden="false" customHeight="false" outlineLevel="0" collapsed="false">
      <c r="A107" s="0" t="s">
        <v>349</v>
      </c>
      <c r="B107" s="5" t="s">
        <v>350</v>
      </c>
      <c r="C107" s="0" t="s">
        <v>351</v>
      </c>
      <c r="D107" s="7" t="n">
        <v>-0.02</v>
      </c>
      <c r="E107" s="7" t="n">
        <v>0</v>
      </c>
      <c r="F107" s="7" t="n">
        <v>0.02</v>
      </c>
      <c r="G107" s="8" t="s">
        <v>41</v>
      </c>
      <c r="H107" s="5" t="s">
        <v>274</v>
      </c>
      <c r="I107" s="8" t="s">
        <v>352</v>
      </c>
    </row>
    <row r="108" customFormat="false" ht="17.15" hidden="false" customHeight="false" outlineLevel="0" collapsed="false">
      <c r="A108" s="0" t="s">
        <v>353</v>
      </c>
      <c r="B108" s="0" t="s">
        <v>354</v>
      </c>
      <c r="C108" s="0" t="s">
        <v>40</v>
      </c>
      <c r="D108" s="7" t="n">
        <v>0.12</v>
      </c>
      <c r="E108" s="7" t="n">
        <v>0.13</v>
      </c>
      <c r="F108" s="7" t="n">
        <v>0.15</v>
      </c>
      <c r="G108" s="8" t="s">
        <v>30</v>
      </c>
      <c r="H108" s="5" t="s">
        <v>355</v>
      </c>
      <c r="I108" s="8" t="s">
        <v>242</v>
      </c>
    </row>
    <row r="109" customFormat="false" ht="17.15" hidden="false" customHeight="false" outlineLevel="0" collapsed="false">
      <c r="A109" s="0" t="s">
        <v>356</v>
      </c>
      <c r="B109" s="0" t="s">
        <v>357</v>
      </c>
      <c r="C109" s="0" t="s">
        <v>229</v>
      </c>
      <c r="D109" s="7" t="n">
        <v>0</v>
      </c>
      <c r="E109" s="7" t="n">
        <v>0.2</v>
      </c>
      <c r="F109" s="7" t="n">
        <v>0.4</v>
      </c>
      <c r="G109" s="8" t="s">
        <v>41</v>
      </c>
      <c r="H109" s="8" t="s">
        <v>358</v>
      </c>
      <c r="I109" s="8" t="s">
        <v>242</v>
      </c>
    </row>
    <row r="110" customFormat="false" ht="17.15" hidden="false" customHeight="false" outlineLevel="0" collapsed="false">
      <c r="A110" s="0" t="s">
        <v>359</v>
      </c>
      <c r="B110" s="5" t="s">
        <v>360</v>
      </c>
      <c r="C110" s="0" t="s">
        <v>40</v>
      </c>
      <c r="D110" s="7" t="n">
        <v>-0.005</v>
      </c>
      <c r="E110" s="7" t="n">
        <v>0.01</v>
      </c>
      <c r="F110" s="7" t="n">
        <v>0.015</v>
      </c>
      <c r="G110" s="8" t="s">
        <v>156</v>
      </c>
      <c r="H110" s="8" t="s">
        <v>361</v>
      </c>
      <c r="I110" s="5" t="s">
        <v>362</v>
      </c>
    </row>
    <row r="111" customFormat="false" ht="17.15" hidden="false" customHeight="false" outlineLevel="0" collapsed="false">
      <c r="A111" s="0" t="s">
        <v>363</v>
      </c>
      <c r="B111" s="5" t="s">
        <v>364</v>
      </c>
      <c r="C111" s="5" t="s">
        <v>309</v>
      </c>
      <c r="E111" s="7" t="n">
        <v>0.32</v>
      </c>
      <c r="G111" s="8" t="s">
        <v>365</v>
      </c>
      <c r="H111" s="5" t="s">
        <v>366</v>
      </c>
      <c r="I111" s="5" t="s">
        <v>367</v>
      </c>
    </row>
    <row r="112" customFormat="false" ht="17.15" hidden="false" customHeight="false" outlineLevel="0" collapsed="false">
      <c r="A112" s="0" t="s">
        <v>368</v>
      </c>
      <c r="B112" s="5" t="s">
        <v>369</v>
      </c>
      <c r="C112" s="0" t="s">
        <v>370</v>
      </c>
      <c r="E112" s="7" t="n">
        <v>12</v>
      </c>
      <c r="G112" s="8" t="s">
        <v>365</v>
      </c>
      <c r="H112" s="5" t="s">
        <v>35</v>
      </c>
      <c r="I112" s="8" t="s">
        <v>242</v>
      </c>
    </row>
    <row r="113" customFormat="false" ht="17.15" hidden="false" customHeight="false" outlineLevel="0" collapsed="false">
      <c r="A113" s="0" t="s">
        <v>371</v>
      </c>
      <c r="B113" s="5" t="s">
        <v>372</v>
      </c>
      <c r="C113" s="0" t="s">
        <v>370</v>
      </c>
      <c r="D113" s="7" t="n">
        <v>0</v>
      </c>
      <c r="E113" s="7" t="n">
        <v>0</v>
      </c>
      <c r="F113" s="7" t="n">
        <v>1</v>
      </c>
      <c r="G113" s="8" t="s">
        <v>41</v>
      </c>
      <c r="H113" s="5" t="s">
        <v>373</v>
      </c>
      <c r="I113" s="5" t="s">
        <v>374</v>
      </c>
    </row>
    <row r="114" customFormat="false" ht="17.15" hidden="false" customHeight="false" outlineLevel="0" collapsed="false">
      <c r="A114" s="0" t="s">
        <v>375</v>
      </c>
      <c r="B114" s="5" t="s">
        <v>376</v>
      </c>
      <c r="C114" s="0" t="s">
        <v>370</v>
      </c>
      <c r="D114" s="7" t="n">
        <v>1</v>
      </c>
      <c r="E114" s="7" t="n">
        <v>2</v>
      </c>
      <c r="F114" s="7" t="n">
        <v>3</v>
      </c>
      <c r="G114" s="8" t="s">
        <v>41</v>
      </c>
      <c r="H114" s="5" t="s">
        <v>377</v>
      </c>
      <c r="I114" s="5" t="s">
        <v>378</v>
      </c>
    </row>
    <row r="115" customFormat="false" ht="17.15" hidden="false" customHeight="false" outlineLevel="0" collapsed="false">
      <c r="A115" s="0" t="s">
        <v>379</v>
      </c>
      <c r="B115" s="5" t="s">
        <v>380</v>
      </c>
      <c r="C115" s="0" t="s">
        <v>370</v>
      </c>
      <c r="D115" s="7" t="n">
        <v>2</v>
      </c>
      <c r="E115" s="7" t="n">
        <v>4</v>
      </c>
      <c r="F115" s="7" t="n">
        <v>6</v>
      </c>
      <c r="G115" s="8" t="s">
        <v>41</v>
      </c>
      <c r="H115" s="5" t="s">
        <v>274</v>
      </c>
      <c r="I115" s="8" t="s">
        <v>242</v>
      </c>
    </row>
    <row r="116" customFormat="false" ht="17.15" hidden="false" customHeight="false" outlineLevel="0" collapsed="false">
      <c r="A116" s="0" t="s">
        <v>381</v>
      </c>
      <c r="B116" s="5" t="s">
        <v>382</v>
      </c>
      <c r="C116" s="0" t="s">
        <v>370</v>
      </c>
      <c r="D116" s="7" t="n">
        <v>4</v>
      </c>
      <c r="E116" s="7" t="n">
        <v>6</v>
      </c>
      <c r="F116" s="7" t="n">
        <v>9</v>
      </c>
      <c r="G116" s="8" t="s">
        <v>41</v>
      </c>
      <c r="H116" s="5" t="s">
        <v>274</v>
      </c>
      <c r="I116" s="8" t="s">
        <v>242</v>
      </c>
    </row>
    <row r="117" customFormat="false" ht="17.15" hidden="false" customHeight="false" outlineLevel="0" collapsed="false">
      <c r="A117" s="0" t="s">
        <v>383</v>
      </c>
      <c r="B117" s="5" t="s">
        <v>384</v>
      </c>
      <c r="C117" s="0" t="s">
        <v>125</v>
      </c>
      <c r="D117" s="7" t="n">
        <v>0</v>
      </c>
      <c r="E117" s="7" t="n">
        <v>1</v>
      </c>
      <c r="F117" s="7" t="n">
        <v>1.5</v>
      </c>
      <c r="G117" s="8" t="s">
        <v>41</v>
      </c>
      <c r="H117" s="8" t="s">
        <v>385</v>
      </c>
      <c r="I117" s="8" t="s">
        <v>242</v>
      </c>
    </row>
    <row r="118" customFormat="false" ht="17.15" hidden="false" customHeight="false" outlineLevel="0" collapsed="false">
      <c r="A118" s="1" t="s">
        <v>386</v>
      </c>
    </row>
    <row r="119" customFormat="false" ht="17.15" hidden="false" customHeight="false" outlineLevel="0" collapsed="false">
      <c r="A119" s="0" t="s">
        <v>387</v>
      </c>
      <c r="B119" s="5" t="s">
        <v>388</v>
      </c>
      <c r="C119" s="0" t="s">
        <v>40</v>
      </c>
      <c r="E119" s="7" t="n">
        <v>1</v>
      </c>
      <c r="G119" s="8" t="s">
        <v>30</v>
      </c>
      <c r="H119" s="8" t="s">
        <v>389</v>
      </c>
      <c r="I119" s="5" t="s">
        <v>390</v>
      </c>
    </row>
    <row r="120" customFormat="false" ht="17.15" hidden="false" customHeight="false" outlineLevel="0" collapsed="false">
      <c r="A120" s="0" t="s">
        <v>391</v>
      </c>
      <c r="B120" s="5" t="s">
        <v>392</v>
      </c>
      <c r="C120" s="0" t="s">
        <v>40</v>
      </c>
      <c r="E120" s="7" t="n">
        <v>0.7</v>
      </c>
      <c r="G120" s="8" t="s">
        <v>30</v>
      </c>
      <c r="H120" s="5" t="s">
        <v>35</v>
      </c>
      <c r="I120" s="5" t="s">
        <v>393</v>
      </c>
    </row>
    <row r="121" customFormat="false" ht="17.15" hidden="false" customHeight="false" outlineLevel="0" collapsed="false">
      <c r="A121" s="0" t="s">
        <v>394</v>
      </c>
      <c r="B121" s="5" t="s">
        <v>395</v>
      </c>
      <c r="C121" s="0" t="s">
        <v>396</v>
      </c>
      <c r="E121" s="7" t="n">
        <v>20</v>
      </c>
      <c r="G121" s="8" t="s">
        <v>30</v>
      </c>
      <c r="H121" s="8" t="s">
        <v>397</v>
      </c>
      <c r="I121" s="5" t="s">
        <v>398</v>
      </c>
    </row>
    <row r="122" customFormat="false" ht="17.15" hidden="false" customHeight="false" outlineLevel="0" collapsed="false">
      <c r="A122" s="0" t="s">
        <v>399</v>
      </c>
      <c r="B122" s="0" t="s">
        <v>400</v>
      </c>
      <c r="C122" s="0" t="s">
        <v>370</v>
      </c>
      <c r="E122" s="7" t="n">
        <v>6</v>
      </c>
      <c r="G122" s="8" t="s">
        <v>30</v>
      </c>
      <c r="H122" s="8" t="s">
        <v>401</v>
      </c>
      <c r="I122" s="8" t="s">
        <v>402</v>
      </c>
    </row>
    <row r="123" customFormat="false" ht="17.15" hidden="false" customHeight="false" outlineLevel="0" collapsed="false">
      <c r="A123" s="0" t="s">
        <v>403</v>
      </c>
      <c r="B123" s="0" t="s">
        <v>404</v>
      </c>
      <c r="C123" s="0" t="s">
        <v>370</v>
      </c>
      <c r="E123" s="7" t="n">
        <v>6</v>
      </c>
      <c r="G123" s="8" t="s">
        <v>30</v>
      </c>
      <c r="H123" s="8" t="s">
        <v>405</v>
      </c>
      <c r="I123" s="8" t="s">
        <v>242</v>
      </c>
    </row>
    <row r="124" customFormat="false" ht="17.15" hidden="false" customHeight="false" outlineLevel="0" collapsed="false">
      <c r="A124" s="0" t="s">
        <v>406</v>
      </c>
      <c r="B124" s="0" t="s">
        <v>407</v>
      </c>
      <c r="C124" s="0" t="s">
        <v>370</v>
      </c>
      <c r="E124" s="7" t="n">
        <v>2</v>
      </c>
      <c r="G124" s="8" t="s">
        <v>30</v>
      </c>
      <c r="H124" s="8" t="s">
        <v>408</v>
      </c>
      <c r="I124" s="8" t="s">
        <v>242</v>
      </c>
    </row>
    <row r="125" customFormat="false" ht="17.15" hidden="false" customHeight="false" outlineLevel="0" collapsed="false">
      <c r="A125" s="0" t="s">
        <v>409</v>
      </c>
      <c r="B125" s="0" t="s">
        <v>410</v>
      </c>
      <c r="C125" s="5" t="s">
        <v>29</v>
      </c>
      <c r="E125" s="7" t="n">
        <v>0.05</v>
      </c>
      <c r="G125" s="8" t="s">
        <v>30</v>
      </c>
      <c r="H125" s="8" t="s">
        <v>411</v>
      </c>
      <c r="I125" s="8" t="s">
        <v>412</v>
      </c>
    </row>
    <row r="126" customFormat="false" ht="17.15" hidden="false" customHeight="false" outlineLevel="0" collapsed="false">
      <c r="A126" s="0" t="s">
        <v>413</v>
      </c>
      <c r="B126" s="5" t="s">
        <v>414</v>
      </c>
      <c r="C126" s="5" t="s">
        <v>415</v>
      </c>
      <c r="E126" s="7" t="n">
        <v>291744</v>
      </c>
      <c r="G126" s="8" t="s">
        <v>416</v>
      </c>
      <c r="H126" s="8" t="s">
        <v>417</v>
      </c>
      <c r="I126" s="8" t="s">
        <v>418</v>
      </c>
    </row>
    <row r="127" customFormat="false" ht="17.15" hidden="false" customHeight="false" outlineLevel="0" collapsed="false">
      <c r="A127" s="0" t="s">
        <v>419</v>
      </c>
      <c r="B127" s="0" t="s">
        <v>420</v>
      </c>
      <c r="C127" s="0" t="s">
        <v>155</v>
      </c>
      <c r="D127" s="7" t="n">
        <v>20</v>
      </c>
      <c r="E127" s="7" t="n">
        <v>23</v>
      </c>
      <c r="F127" s="7" t="n">
        <v>25</v>
      </c>
      <c r="G127" s="8" t="s">
        <v>30</v>
      </c>
      <c r="H127" s="8" t="s">
        <v>421</v>
      </c>
      <c r="I127" s="5" t="s">
        <v>422</v>
      </c>
    </row>
    <row r="128" customFormat="false" ht="17.15" hidden="false" customHeight="false" outlineLevel="0" collapsed="false">
      <c r="A128" s="0" t="s">
        <v>423</v>
      </c>
      <c r="B128" s="5" t="s">
        <v>424</v>
      </c>
      <c r="C128" s="0" t="s">
        <v>229</v>
      </c>
      <c r="D128" s="7" t="n">
        <v>48.3</v>
      </c>
      <c r="E128" s="7" t="n">
        <v>51</v>
      </c>
      <c r="F128" s="7" t="n">
        <v>52.7</v>
      </c>
      <c r="G128" s="8" t="s">
        <v>30</v>
      </c>
      <c r="H128" s="8" t="s">
        <v>425</v>
      </c>
      <c r="I128" s="5" t="s">
        <v>426</v>
      </c>
    </row>
    <row r="129" customFormat="false" ht="17.15" hidden="false" customHeight="false" outlineLevel="0" collapsed="false">
      <c r="A129" s="0" t="s">
        <v>427</v>
      </c>
      <c r="B129" s="5" t="s">
        <v>428</v>
      </c>
      <c r="C129" s="0" t="s">
        <v>396</v>
      </c>
      <c r="D129" s="7" t="n">
        <v>7</v>
      </c>
      <c r="E129" s="7" t="n">
        <v>7.59</v>
      </c>
      <c r="F129" s="7" t="n">
        <v>8.2</v>
      </c>
      <c r="G129" s="8" t="s">
        <v>30</v>
      </c>
      <c r="H129" s="8" t="s">
        <v>425</v>
      </c>
      <c r="I129" s="8" t="s">
        <v>429</v>
      </c>
    </row>
    <row r="130" customFormat="false" ht="17.15" hidden="false" customHeight="false" outlineLevel="0" collapsed="false">
      <c r="A130" s="0" t="s">
        <v>430</v>
      </c>
      <c r="B130" s="5" t="s">
        <v>431</v>
      </c>
      <c r="C130" s="0" t="s">
        <v>229</v>
      </c>
      <c r="E130" s="7" t="n">
        <v>89.17</v>
      </c>
      <c r="G130" s="8" t="s">
        <v>30</v>
      </c>
      <c r="H130" s="8" t="s">
        <v>432</v>
      </c>
      <c r="I130" s="8" t="s">
        <v>433</v>
      </c>
    </row>
    <row r="131" customFormat="false" ht="17.15" hidden="false" customHeight="false" outlineLevel="0" collapsed="false">
      <c r="A131" s="0" t="s">
        <v>434</v>
      </c>
      <c r="B131" s="5" t="s">
        <v>435</v>
      </c>
      <c r="C131" s="0" t="s">
        <v>396</v>
      </c>
      <c r="D131" s="7" t="n">
        <v>11.23</v>
      </c>
      <c r="E131" s="7" t="n">
        <v>15.76</v>
      </c>
      <c r="G131" s="8" t="s">
        <v>30</v>
      </c>
      <c r="H131" s="8" t="s">
        <v>436</v>
      </c>
      <c r="I131" s="5" t="s">
        <v>437</v>
      </c>
    </row>
    <row r="132" customFormat="false" ht="17.15" hidden="false" customHeight="false" outlineLevel="0" collapsed="false">
      <c r="A132" s="0" t="s">
        <v>438</v>
      </c>
      <c r="B132" s="5" t="s">
        <v>439</v>
      </c>
      <c r="C132" s="0" t="s">
        <v>396</v>
      </c>
      <c r="D132" s="7" t="n">
        <v>14.41</v>
      </c>
      <c r="E132" s="7" t="n">
        <v>20</v>
      </c>
      <c r="G132" s="8" t="s">
        <v>30</v>
      </c>
      <c r="H132" s="8" t="s">
        <v>440</v>
      </c>
      <c r="I132" s="5" t="s">
        <v>441</v>
      </c>
    </row>
    <row r="133" customFormat="false" ht="17.15" hidden="false" customHeight="false" outlineLevel="0" collapsed="false">
      <c r="A133" s="1" t="s">
        <v>442</v>
      </c>
    </row>
    <row r="134" customFormat="false" ht="17.15" hidden="false" customHeight="false" outlineLevel="0" collapsed="false">
      <c r="A134" s="0" t="s">
        <v>443</v>
      </c>
      <c r="B134" s="5" t="s">
        <v>444</v>
      </c>
      <c r="C134" s="0" t="s">
        <v>396</v>
      </c>
      <c r="E134" s="7" t="n">
        <v>516.79</v>
      </c>
      <c r="G134" s="8" t="s">
        <v>30</v>
      </c>
      <c r="H134" s="8" t="s">
        <v>445</v>
      </c>
      <c r="I134" s="8" t="s">
        <v>446</v>
      </c>
    </row>
    <row r="135" customFormat="false" ht="17.15" hidden="false" customHeight="false" outlineLevel="0" collapsed="false">
      <c r="A135" s="0" t="s">
        <v>447</v>
      </c>
      <c r="B135" s="5" t="s">
        <v>448</v>
      </c>
      <c r="C135" s="0" t="s">
        <v>40</v>
      </c>
      <c r="D135" s="7" t="n">
        <v>0.08</v>
      </c>
      <c r="E135" s="7" t="n">
        <v>0.1</v>
      </c>
      <c r="F135" s="7" t="n">
        <v>0.12</v>
      </c>
      <c r="G135" s="8" t="s">
        <v>41</v>
      </c>
      <c r="H135" s="5" t="s">
        <v>274</v>
      </c>
      <c r="I135" s="8" t="s">
        <v>449</v>
      </c>
    </row>
    <row r="136" customFormat="false" ht="17.15" hidden="false" customHeight="false" outlineLevel="0" collapsed="false">
      <c r="A136" s="0" t="s">
        <v>450</v>
      </c>
      <c r="B136" s="5" t="s">
        <v>451</v>
      </c>
      <c r="C136" s="5" t="s">
        <v>452</v>
      </c>
      <c r="E136" s="7" t="n">
        <v>2029</v>
      </c>
      <c r="G136" s="8" t="s">
        <v>156</v>
      </c>
      <c r="H136" s="8" t="s">
        <v>453</v>
      </c>
      <c r="I136" s="5" t="s">
        <v>454</v>
      </c>
    </row>
    <row r="137" customFormat="false" ht="17.15" hidden="false" customHeight="false" outlineLevel="0" collapsed="false">
      <c r="A137" s="0" t="s">
        <v>455</v>
      </c>
      <c r="B137" s="5" t="s">
        <v>456</v>
      </c>
      <c r="C137" s="5" t="s">
        <v>452</v>
      </c>
      <c r="E137" s="7" t="n">
        <v>2028</v>
      </c>
      <c r="G137" s="8" t="s">
        <v>156</v>
      </c>
      <c r="H137" s="8" t="s">
        <v>457</v>
      </c>
      <c r="I137" s="5" t="s">
        <v>35</v>
      </c>
    </row>
    <row r="138" customFormat="false" ht="17.15" hidden="false" customHeight="false" outlineLevel="0" collapsed="false">
      <c r="A138" s="0" t="s">
        <v>458</v>
      </c>
      <c r="B138" s="5" t="s">
        <v>459</v>
      </c>
      <c r="C138" s="5" t="s">
        <v>452</v>
      </c>
      <c r="E138" s="7" t="n">
        <v>2027</v>
      </c>
      <c r="G138" s="8" t="s">
        <v>156</v>
      </c>
      <c r="H138" s="8" t="s">
        <v>460</v>
      </c>
      <c r="I138" s="5" t="s">
        <v>35</v>
      </c>
    </row>
    <row r="139" customFormat="false" ht="17.15" hidden="false" customHeight="false" outlineLevel="0" collapsed="false">
      <c r="A139" s="10" t="s">
        <v>461</v>
      </c>
      <c r="B139" s="11" t="s">
        <v>462</v>
      </c>
      <c r="C139" s="10" t="s">
        <v>40</v>
      </c>
      <c r="D139" s="10"/>
      <c r="E139" s="12" t="n">
        <v>0.3</v>
      </c>
      <c r="F139" s="10"/>
      <c r="G139" s="10" t="s">
        <v>41</v>
      </c>
      <c r="H139" s="10" t="s">
        <v>463</v>
      </c>
      <c r="I139" s="11" t="s">
        <v>464</v>
      </c>
    </row>
    <row r="140" customFormat="false" ht="17.15" hidden="false" customHeight="false" outlineLevel="0" collapsed="false">
      <c r="A140" s="10" t="s">
        <v>465</v>
      </c>
      <c r="B140" s="11" t="s">
        <v>466</v>
      </c>
      <c r="C140" s="10" t="s">
        <v>40</v>
      </c>
      <c r="D140" s="10"/>
      <c r="E140" s="12" t="n">
        <v>0.5</v>
      </c>
      <c r="F140" s="10"/>
      <c r="G140" s="10" t="s">
        <v>41</v>
      </c>
      <c r="H140" s="10" t="s">
        <v>463</v>
      </c>
      <c r="I140" s="11" t="s">
        <v>464</v>
      </c>
    </row>
    <row r="141" customFormat="false" ht="17.15" hidden="false" customHeight="false" outlineLevel="0" collapsed="false">
      <c r="A141" s="10" t="s">
        <v>467</v>
      </c>
      <c r="B141" s="11" t="s">
        <v>468</v>
      </c>
      <c r="C141" s="10" t="s">
        <v>40</v>
      </c>
      <c r="D141" s="10"/>
      <c r="E141" s="12" t="n">
        <v>0.2</v>
      </c>
      <c r="F141" s="10"/>
      <c r="G141" s="10" t="s">
        <v>41</v>
      </c>
      <c r="H141" s="10" t="s">
        <v>463</v>
      </c>
      <c r="I141" s="11" t="s">
        <v>464</v>
      </c>
    </row>
    <row r="142" customFormat="false" ht="17.15" hidden="false" customHeight="false" outlineLevel="0" collapsed="false">
      <c r="A142" s="1" t="s">
        <v>469</v>
      </c>
    </row>
    <row r="143" customFormat="false" ht="17.15" hidden="false" customHeight="false" outlineLevel="0" collapsed="false">
      <c r="A143" s="10" t="s">
        <v>470</v>
      </c>
      <c r="B143" s="10" t="s">
        <v>471</v>
      </c>
      <c r="C143" s="10" t="s">
        <v>40</v>
      </c>
      <c r="D143" s="10"/>
      <c r="E143" s="12" t="n">
        <v>0.1</v>
      </c>
      <c r="F143" s="10"/>
      <c r="G143" s="10" t="s">
        <v>41</v>
      </c>
      <c r="H143" s="10" t="s">
        <v>472</v>
      </c>
      <c r="I143" s="10" t="s">
        <v>473</v>
      </c>
    </row>
    <row r="144" customFormat="false" ht="17.15" hidden="false" customHeight="false" outlineLevel="0" collapsed="false">
      <c r="A144" s="10" t="s">
        <v>474</v>
      </c>
      <c r="B144" s="11" t="s">
        <v>475</v>
      </c>
      <c r="C144" s="10" t="s">
        <v>40</v>
      </c>
      <c r="D144" s="10"/>
      <c r="E144" s="12" t="n">
        <v>0.04</v>
      </c>
      <c r="F144" s="10"/>
      <c r="G144" s="10" t="s">
        <v>41</v>
      </c>
      <c r="H144" s="10" t="s">
        <v>476</v>
      </c>
      <c r="I144" s="10" t="s">
        <v>477</v>
      </c>
    </row>
    <row r="145" customFormat="false" ht="17.15" hidden="false" customHeight="false" outlineLevel="0" collapsed="false">
      <c r="A145" s="10" t="s">
        <v>478</v>
      </c>
      <c r="B145" s="11" t="s">
        <v>479</v>
      </c>
      <c r="C145" s="10" t="s">
        <v>351</v>
      </c>
      <c r="D145" s="10"/>
      <c r="E145" s="12" t="n">
        <v>0.02</v>
      </c>
      <c r="F145" s="10"/>
      <c r="G145" s="10" t="s">
        <v>41</v>
      </c>
      <c r="H145" s="11" t="s">
        <v>480</v>
      </c>
      <c r="I145" s="10" t="s">
        <v>242</v>
      </c>
    </row>
    <row r="146" customFormat="false" ht="17.15" hidden="false" customHeight="false" outlineLevel="0" collapsed="false">
      <c r="A146" s="10" t="s">
        <v>481</v>
      </c>
      <c r="B146" s="10" t="s">
        <v>482</v>
      </c>
      <c r="C146" s="10" t="s">
        <v>40</v>
      </c>
      <c r="D146" s="10"/>
      <c r="E146" s="12" t="n">
        <v>0.2</v>
      </c>
      <c r="F146" s="10"/>
      <c r="G146" s="10" t="s">
        <v>41</v>
      </c>
      <c r="H146" s="11" t="s">
        <v>483</v>
      </c>
      <c r="I146" s="11" t="s">
        <v>484</v>
      </c>
    </row>
    <row r="147" customFormat="false" ht="17.15" hidden="false" customHeight="false" outlineLevel="0" collapsed="false">
      <c r="A147" s="10" t="s">
        <v>485</v>
      </c>
      <c r="B147" s="11" t="s">
        <v>486</v>
      </c>
      <c r="C147" s="10" t="s">
        <v>40</v>
      </c>
      <c r="D147" s="10"/>
      <c r="E147" s="12" t="n">
        <v>0.5</v>
      </c>
      <c r="F147" s="10"/>
      <c r="G147" s="10" t="s">
        <v>41</v>
      </c>
      <c r="H147" s="10" t="s">
        <v>487</v>
      </c>
      <c r="I147" s="10" t="s">
        <v>488</v>
      </c>
    </row>
    <row r="148" customFormat="false" ht="17.15" hidden="false" customHeight="false" outlineLevel="0" collapsed="false">
      <c r="A148" s="10" t="s">
        <v>489</v>
      </c>
      <c r="B148" s="11" t="s">
        <v>490</v>
      </c>
      <c r="C148" s="10" t="s">
        <v>125</v>
      </c>
      <c r="D148" s="10"/>
      <c r="E148" s="12" t="n">
        <v>0.8</v>
      </c>
      <c r="F148" s="10"/>
      <c r="G148" s="10" t="s">
        <v>41</v>
      </c>
      <c r="H148" s="11" t="s">
        <v>491</v>
      </c>
      <c r="I148" s="11" t="s">
        <v>492</v>
      </c>
    </row>
    <row r="149" customFormat="false" ht="17.15" hidden="false" customHeight="false" outlineLevel="0" collapsed="false">
      <c r="A149" s="0" t="s">
        <v>493</v>
      </c>
      <c r="B149" s="5" t="s">
        <v>494</v>
      </c>
      <c r="C149" s="0" t="s">
        <v>396</v>
      </c>
      <c r="E149" s="7" t="n">
        <v>637.61</v>
      </c>
      <c r="G149" s="8" t="s">
        <v>30</v>
      </c>
      <c r="H149" s="8" t="s">
        <v>495</v>
      </c>
      <c r="I149" s="5" t="s">
        <v>496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3" topLeftCell="B4" activePane="bottomRight" state="frozen"/>
      <selection pane="topLeft" activeCell="A1" activeCellId="0" sqref="A1"/>
      <selection pane="topRight" activeCell="B1" activeCellId="0" sqref="B1"/>
      <selection pane="bottomLeft" activeCell="A4" activeCellId="0" sqref="A4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2"/>
    <col collapsed="false" customWidth="true" hidden="false" outlineLevel="0" max="11" min="2" style="0" width="14"/>
    <col collapsed="false" customWidth="true" hidden="false" outlineLevel="0" max="12" min="12" style="0" width="24"/>
    <col collapsed="false" customWidth="true" hidden="false" outlineLevel="0" max="13" min="13" style="0" width="90"/>
    <col collapsed="false" customWidth="true" hidden="false" outlineLevel="0" max="14" min="14" style="0" width="70"/>
  </cols>
  <sheetData>
    <row r="1" customFormat="false" ht="17.15" hidden="false" customHeight="false" outlineLevel="0" collapsed="false">
      <c r="A1" s="0" t="s">
        <v>497</v>
      </c>
    </row>
    <row r="2" customFormat="false" ht="17.15" hidden="false" customHeight="false" outlineLevel="0" collapsed="false">
      <c r="A2" s="0" t="s">
        <v>498</v>
      </c>
    </row>
    <row r="3" customFormat="false" ht="17.15" hidden="false" customHeight="false" outlineLevel="0" collapsed="false">
      <c r="A3" s="6" t="s">
        <v>18</v>
      </c>
      <c r="B3" s="13" t="s">
        <v>499</v>
      </c>
      <c r="C3" s="13" t="s">
        <v>500</v>
      </c>
      <c r="D3" s="13" t="s">
        <v>501</v>
      </c>
      <c r="E3" s="13" t="s">
        <v>502</v>
      </c>
      <c r="F3" s="13" t="s">
        <v>503</v>
      </c>
      <c r="G3" s="13" t="s">
        <v>504</v>
      </c>
      <c r="H3" s="13" t="s">
        <v>505</v>
      </c>
      <c r="I3" s="13" t="s">
        <v>506</v>
      </c>
      <c r="J3" s="13" t="s">
        <v>507</v>
      </c>
      <c r="K3" s="13" t="s">
        <v>508</v>
      </c>
      <c r="L3" s="6" t="s">
        <v>23</v>
      </c>
      <c r="M3" s="6" t="s">
        <v>509</v>
      </c>
      <c r="N3" s="6" t="s">
        <v>25</v>
      </c>
    </row>
    <row r="4" customFormat="false" ht="17.15" hidden="false" customHeight="false" outlineLevel="0" collapsed="false">
      <c r="A4" s="5" t="s">
        <v>510</v>
      </c>
      <c r="B4" s="14" t="n">
        <v>7.438</v>
      </c>
      <c r="C4" s="14" t="n">
        <v>7.685</v>
      </c>
      <c r="D4" s="14" t="n">
        <v>9.246</v>
      </c>
      <c r="E4" s="14" t="n">
        <v>10.27</v>
      </c>
      <c r="F4" s="15" t="n">
        <f aca="false">SUM(B4:E4)</f>
        <v>34.639</v>
      </c>
      <c r="G4" s="14" t="n">
        <v>10.253</v>
      </c>
      <c r="H4" s="14" t="n">
        <v>11.536</v>
      </c>
      <c r="I4" s="15" t="n">
        <f aca="false">q3_rev</f>
        <v>13</v>
      </c>
      <c r="J4" s="15" t="n">
        <f aca="false">J5+J8+J9+J10</f>
        <v>14.8541752</v>
      </c>
      <c r="K4" s="15" t="n">
        <f aca="false">SUM(G4:J4)</f>
        <v>49.6431752</v>
      </c>
      <c r="L4" s="8" t="s">
        <v>511</v>
      </c>
      <c r="M4" s="8" t="s">
        <v>512</v>
      </c>
      <c r="N4" s="8" t="s">
        <v>513</v>
      </c>
    </row>
    <row r="5" customFormat="false" ht="17.15" hidden="false" customHeight="false" outlineLevel="0" collapsed="false">
      <c r="A5" s="0" t="s">
        <v>514</v>
      </c>
      <c r="B5" s="14" t="n">
        <v>3.674</v>
      </c>
      <c r="C5" s="14" t="n">
        <v>3.24</v>
      </c>
      <c r="D5" s="14" t="n">
        <v>4.341</v>
      </c>
      <c r="E5" s="14" t="n">
        <v>5.38</v>
      </c>
      <c r="F5" s="15" t="n">
        <f aca="false">SUM(B5:E5)</f>
        <v>16.635</v>
      </c>
      <c r="G5" s="14" t="n">
        <v>5.775</v>
      </c>
      <c r="H5" s="14" t="n">
        <v>6.718</v>
      </c>
      <c r="I5" s="15" t="n">
        <f aca="false">I4-I8-I9-I10</f>
        <v>8.15932</v>
      </c>
      <c r="J5" s="15" t="n">
        <f aca="false">I5*(1+q4_dc)</f>
        <v>10.19915</v>
      </c>
      <c r="K5" s="15" t="n">
        <f aca="false">SUM(G5:J5)</f>
        <v>30.85147</v>
      </c>
      <c r="L5" s="8" t="s">
        <v>515</v>
      </c>
      <c r="M5" s="8" t="s">
        <v>512</v>
      </c>
      <c r="N5" s="8" t="s">
        <v>516</v>
      </c>
    </row>
    <row r="6" customFormat="false" ht="17.15" hidden="false" customHeight="false" outlineLevel="0" collapsed="false">
      <c r="A6" s="5" t="s">
        <v>517</v>
      </c>
      <c r="F6" s="15" t="n">
        <f aca="false">gpu25</f>
        <v>6.5</v>
      </c>
      <c r="G6" s="15" t="n">
        <f aca="false">G5*gs_q1</f>
        <v>2.4255</v>
      </c>
      <c r="H6" s="15" t="n">
        <f aca="false">H5*gs_q2</f>
        <v>2.88874</v>
      </c>
      <c r="I6" s="15" t="n">
        <f aca="false">I5-I7</f>
        <v>4.0237192</v>
      </c>
      <c r="J6" s="15" t="n">
        <f aca="false">J5-J7</f>
        <v>5.815413152</v>
      </c>
      <c r="K6" s="15" t="n">
        <f aca="false">SUM(G6:J6)</f>
        <v>15.153372352</v>
      </c>
      <c r="L6" s="8" t="s">
        <v>518</v>
      </c>
      <c r="M6" s="5" t="s">
        <v>519</v>
      </c>
      <c r="N6" s="8" t="s">
        <v>520</v>
      </c>
    </row>
    <row r="7" customFormat="false" ht="17.15" hidden="false" customHeight="false" outlineLevel="0" collapsed="false">
      <c r="A7" s="5" t="s">
        <v>521</v>
      </c>
      <c r="F7" s="15" t="n">
        <f aca="false">F5-F6</f>
        <v>10.135</v>
      </c>
      <c r="G7" s="15" t="n">
        <f aca="false">G5-G6</f>
        <v>3.3495</v>
      </c>
      <c r="H7" s="15" t="n">
        <f aca="false">H5-H6</f>
        <v>3.82926</v>
      </c>
      <c r="I7" s="15" t="n">
        <f aca="false">H7*(1+ng_q3)</f>
        <v>4.1356008</v>
      </c>
      <c r="J7" s="15" t="n">
        <f aca="false">I7*(1+ng_q4)</f>
        <v>4.383736848</v>
      </c>
      <c r="K7" s="15" t="n">
        <f aca="false">SUM(G7:J7)</f>
        <v>15.698097648</v>
      </c>
      <c r="L7" s="8" t="s">
        <v>522</v>
      </c>
      <c r="M7" s="5" t="s">
        <v>523</v>
      </c>
      <c r="N7" s="8" t="s">
        <v>242</v>
      </c>
    </row>
    <row r="8" customFormat="false" ht="17.15" hidden="false" customHeight="false" outlineLevel="0" collapsed="false">
      <c r="A8" s="0" t="s">
        <v>524</v>
      </c>
      <c r="B8" s="14" t="n">
        <v>2.294</v>
      </c>
      <c r="C8" s="14" t="n">
        <v>2.499</v>
      </c>
      <c r="D8" s="14" t="n">
        <v>2.75</v>
      </c>
      <c r="E8" s="14" t="n">
        <v>3.097</v>
      </c>
      <c r="F8" s="15" t="n">
        <f aca="false">SUM(B8:E8)</f>
        <v>10.64</v>
      </c>
      <c r="G8" s="14" t="n">
        <v>2.885</v>
      </c>
      <c r="H8" s="14" t="n">
        <v>3.062</v>
      </c>
      <c r="I8" s="15" t="n">
        <f aca="false">H8*(1+q3_cli)</f>
        <v>3.12324</v>
      </c>
      <c r="J8" s="15" t="n">
        <f aca="false">I8*(1+q4_cli)</f>
        <v>2.967078</v>
      </c>
      <c r="K8" s="15" t="n">
        <f aca="false">SUM(G8:J8)</f>
        <v>12.037318</v>
      </c>
      <c r="L8" s="8" t="s">
        <v>525</v>
      </c>
      <c r="M8" s="8" t="s">
        <v>512</v>
      </c>
      <c r="N8" s="8" t="s">
        <v>513</v>
      </c>
    </row>
    <row r="9" customFormat="false" ht="17.15" hidden="false" customHeight="false" outlineLevel="0" collapsed="false">
      <c r="A9" s="0" t="s">
        <v>526</v>
      </c>
      <c r="B9" s="14" t="n">
        <v>0.647</v>
      </c>
      <c r="C9" s="14" t="n">
        <v>1.122</v>
      </c>
      <c r="D9" s="14" t="n">
        <v>1.298</v>
      </c>
      <c r="E9" s="14" t="n">
        <v>0.843</v>
      </c>
      <c r="F9" s="15" t="n">
        <f aca="false">SUM(B9:E9)</f>
        <v>3.91</v>
      </c>
      <c r="G9" s="14" t="n">
        <v>0.72</v>
      </c>
      <c r="H9" s="14" t="n">
        <v>0.779</v>
      </c>
      <c r="I9" s="15" t="n">
        <f aca="false">H9*(1+q3_gam)</f>
        <v>0.6232</v>
      </c>
      <c r="J9" s="15" t="n">
        <f aca="false">I9*(1+q4_gam)</f>
        <v>0.56088</v>
      </c>
      <c r="K9" s="15" t="n">
        <f aca="false">SUM(G9:J9)</f>
        <v>2.68308</v>
      </c>
      <c r="L9" s="8" t="s">
        <v>525</v>
      </c>
      <c r="M9" s="8" t="s">
        <v>512</v>
      </c>
      <c r="N9" s="8" t="s">
        <v>513</v>
      </c>
    </row>
    <row r="10" customFormat="false" ht="17.15" hidden="false" customHeight="false" outlineLevel="0" collapsed="false">
      <c r="A10" s="0" t="s">
        <v>527</v>
      </c>
      <c r="B10" s="14" t="n">
        <v>0.823</v>
      </c>
      <c r="C10" s="14" t="n">
        <v>0.824</v>
      </c>
      <c r="D10" s="14" t="n">
        <v>0.857</v>
      </c>
      <c r="E10" s="14" t="n">
        <v>0.95</v>
      </c>
      <c r="F10" s="15" t="n">
        <f aca="false">SUM(B10:E10)</f>
        <v>3.454</v>
      </c>
      <c r="G10" s="14" t="n">
        <v>0.873</v>
      </c>
      <c r="H10" s="14" t="n">
        <v>0.977</v>
      </c>
      <c r="I10" s="15" t="n">
        <f aca="false">H10*(1+q3_emb)</f>
        <v>1.09424</v>
      </c>
      <c r="J10" s="15" t="n">
        <f aca="false">I10*(1+q4_emb)</f>
        <v>1.1270672</v>
      </c>
      <c r="K10" s="15" t="n">
        <f aca="false">SUM(G10:J10)</f>
        <v>4.0713072</v>
      </c>
      <c r="L10" s="8" t="s">
        <v>525</v>
      </c>
      <c r="M10" s="8" t="s">
        <v>512</v>
      </c>
      <c r="N10" s="8" t="s">
        <v>513</v>
      </c>
    </row>
    <row r="11" customFormat="false" ht="17.15" hidden="false" customHeight="false" outlineLevel="0" collapsed="false">
      <c r="A11" s="5" t="s">
        <v>528</v>
      </c>
      <c r="B11" s="16" t="n">
        <f aca="false">B4-B5-B8-B9-B10</f>
        <v>0</v>
      </c>
      <c r="C11" s="16" t="n">
        <f aca="false">C4-C5-C8-C9-C10</f>
        <v>0</v>
      </c>
      <c r="D11" s="16" t="n">
        <f aca="false">D4-D5-D8-D9-D10</f>
        <v>0</v>
      </c>
      <c r="E11" s="16" t="n">
        <f aca="false">E4-E5-E8-E9-E10</f>
        <v>0</v>
      </c>
      <c r="F11" s="16" t="n">
        <f aca="false">F4-F5-F8-F9-F10</f>
        <v>0</v>
      </c>
      <c r="G11" s="16" t="n">
        <f aca="false">G4-G5-G8-G9-G10</f>
        <v>0</v>
      </c>
      <c r="H11" s="16" t="n">
        <f aca="false">H4-H5-H8-H9-H10</f>
        <v>0</v>
      </c>
      <c r="I11" s="16" t="n">
        <f aca="false">I4-I5-I8-I9-I10</f>
        <v>0</v>
      </c>
      <c r="J11" s="16" t="n">
        <f aca="false">J4-J5-J8-J9-J10</f>
        <v>0</v>
      </c>
      <c r="K11" s="16" t="n">
        <f aca="false">K4-K5-K8-K9-K10</f>
        <v>0</v>
      </c>
      <c r="L11" s="8" t="s">
        <v>242</v>
      </c>
      <c r="M11" s="8" t="s">
        <v>242</v>
      </c>
      <c r="N11" s="8" t="s">
        <v>242</v>
      </c>
    </row>
    <row r="12" customFormat="false" ht="17.15" hidden="false" customHeight="false" outlineLevel="0" collapsed="false">
      <c r="A12" s="5" t="s">
        <v>529</v>
      </c>
      <c r="B12" s="14" t="n">
        <v>3.992</v>
      </c>
      <c r="C12" s="14" t="n">
        <v>3.326</v>
      </c>
      <c r="D12" s="14" t="n">
        <v>4.992</v>
      </c>
      <c r="E12" s="14" t="n">
        <v>5.855</v>
      </c>
      <c r="F12" s="15" t="n">
        <f aca="false">SUM(B12:E12)</f>
        <v>18.165</v>
      </c>
      <c r="G12" s="14" t="n">
        <v>5.685</v>
      </c>
      <c r="H12" s="14" t="n">
        <v>6.488</v>
      </c>
      <c r="I12" s="15" t="n">
        <f aca="false">I4*q3_gm</f>
        <v>7.28</v>
      </c>
      <c r="J12" s="15" t="n">
        <f aca="false">J4*q4_gm</f>
        <v>8.244067236</v>
      </c>
      <c r="K12" s="15" t="n">
        <f aca="false">SUM(G12:J12)</f>
        <v>27.697067236</v>
      </c>
      <c r="L12" s="8" t="s">
        <v>530</v>
      </c>
      <c r="M12" s="8" t="s">
        <v>512</v>
      </c>
      <c r="N12" s="8" t="s">
        <v>531</v>
      </c>
    </row>
    <row r="13" customFormat="false" ht="17.15" hidden="false" customHeight="false" outlineLevel="0" collapsed="false">
      <c r="A13" s="5" t="s">
        <v>532</v>
      </c>
      <c r="B13" s="17" t="n">
        <f aca="false">B12/B4</f>
        <v>0.536703414896478</v>
      </c>
      <c r="C13" s="17" t="n">
        <f aca="false">C12/C4</f>
        <v>0.432791151594014</v>
      </c>
      <c r="D13" s="17" t="n">
        <f aca="false">D12/D4</f>
        <v>0.539909149902661</v>
      </c>
      <c r="E13" s="17" t="n">
        <f aca="false">E12/E4</f>
        <v>0.570107108081792</v>
      </c>
      <c r="F13" s="17" t="n">
        <f aca="false">F12/F4</f>
        <v>0.524408903259332</v>
      </c>
      <c r="G13" s="17" t="n">
        <f aca="false">G12/G4</f>
        <v>0.55447186189408</v>
      </c>
      <c r="H13" s="17" t="n">
        <f aca="false">H12/H4</f>
        <v>0.562413314840499</v>
      </c>
      <c r="I13" s="17" t="n">
        <f aca="false">I12/I4</f>
        <v>0.56</v>
      </c>
      <c r="J13" s="17" t="n">
        <f aca="false">J12/J4</f>
        <v>0.555</v>
      </c>
      <c r="K13" s="17" t="n">
        <f aca="false">K12/K4</f>
        <v>0.557922959690137</v>
      </c>
      <c r="L13" s="8" t="s">
        <v>156</v>
      </c>
      <c r="M13" s="8" t="s">
        <v>242</v>
      </c>
      <c r="N13" s="5" t="s">
        <v>533</v>
      </c>
    </row>
    <row r="14" customFormat="false" ht="17.15" hidden="false" customHeight="false" outlineLevel="0" collapsed="false">
      <c r="A14" s="5" t="s">
        <v>534</v>
      </c>
      <c r="B14" s="14" t="n">
        <v>2.213</v>
      </c>
      <c r="C14" s="14" t="n">
        <v>2.429</v>
      </c>
      <c r="D14" s="14" t="n">
        <v>2.754</v>
      </c>
      <c r="E14" s="14" t="n">
        <v>3.001</v>
      </c>
      <c r="F14" s="15" t="n">
        <f aca="false">SUM(B14:E14)</f>
        <v>10.397</v>
      </c>
      <c r="G14" s="14" t="n">
        <v>3.145</v>
      </c>
      <c r="H14" s="14" t="n">
        <v>3.394</v>
      </c>
      <c r="I14" s="15" t="n">
        <f aca="false">q3_opx</f>
        <v>3.65</v>
      </c>
      <c r="J14" s="15" t="n">
        <f aca="false">I14*(1+q4_opx_g)</f>
        <v>3.8325</v>
      </c>
      <c r="K14" s="15" t="n">
        <f aca="false">SUM(G14:J14)</f>
        <v>14.0215</v>
      </c>
      <c r="L14" s="8" t="s">
        <v>535</v>
      </c>
      <c r="M14" s="8" t="s">
        <v>512</v>
      </c>
      <c r="N14" s="8" t="s">
        <v>513</v>
      </c>
    </row>
    <row r="15" customFormat="false" ht="17.15" hidden="false" customHeight="false" outlineLevel="0" collapsed="false">
      <c r="A15" s="5" t="s">
        <v>536</v>
      </c>
      <c r="B15" s="14" t="n">
        <v>1.779</v>
      </c>
      <c r="C15" s="14" t="n">
        <v>0.897</v>
      </c>
      <c r="D15" s="14" t="n">
        <v>2.238</v>
      </c>
      <c r="E15" s="14" t="n">
        <v>2.854</v>
      </c>
      <c r="F15" s="15" t="n">
        <f aca="false">SUM(B15:E15)</f>
        <v>7.768</v>
      </c>
      <c r="G15" s="14" t="n">
        <v>2.54</v>
      </c>
      <c r="H15" s="14" t="n">
        <v>3.094</v>
      </c>
      <c r="I15" s="15" t="n">
        <f aca="false">I12-I14</f>
        <v>3.63</v>
      </c>
      <c r="J15" s="15" t="n">
        <f aca="false">J12-J14</f>
        <v>4.411567236</v>
      </c>
      <c r="K15" s="15" t="n">
        <f aca="false">SUM(G15:J15)</f>
        <v>13.675567236</v>
      </c>
      <c r="L15" s="8" t="s">
        <v>537</v>
      </c>
      <c r="M15" s="8" t="s">
        <v>512</v>
      </c>
      <c r="N15" s="8" t="s">
        <v>513</v>
      </c>
    </row>
    <row r="16" customFormat="false" ht="17.15" hidden="false" customHeight="false" outlineLevel="0" collapsed="false">
      <c r="A16" s="5" t="s">
        <v>538</v>
      </c>
      <c r="B16" s="16" t="n">
        <f aca="false">B12-B14-B15</f>
        <v>0</v>
      </c>
      <c r="C16" s="16" t="n">
        <f aca="false">C12-C14-C15</f>
        <v>0</v>
      </c>
      <c r="D16" s="16" t="n">
        <f aca="false">D12-D14-D15</f>
        <v>0</v>
      </c>
      <c r="E16" s="16" t="n">
        <f aca="false">E12-E14-E15</f>
        <v>0</v>
      </c>
      <c r="G16" s="16" t="n">
        <f aca="false">G12-G14-G15</f>
        <v>0</v>
      </c>
      <c r="H16" s="16" t="n">
        <f aca="false">H12-H14-H15</f>
        <v>0</v>
      </c>
      <c r="L16" s="8" t="s">
        <v>242</v>
      </c>
      <c r="M16" s="8" t="s">
        <v>242</v>
      </c>
      <c r="N16" s="8" t="s">
        <v>242</v>
      </c>
    </row>
    <row r="17" customFormat="false" ht="17.15" hidden="false" customHeight="false" outlineLevel="0" collapsed="false">
      <c r="A17" s="5" t="s">
        <v>539</v>
      </c>
      <c r="B17" s="14" t="n">
        <v>-0.02</v>
      </c>
      <c r="C17" s="14" t="n">
        <v>-0.038</v>
      </c>
      <c r="D17" s="14" t="n">
        <v>-0.037</v>
      </c>
      <c r="E17" s="14" t="n">
        <v>-0.036</v>
      </c>
      <c r="F17" s="15" t="n">
        <f aca="false">SUM(B17:E17)</f>
        <v>-0.131</v>
      </c>
      <c r="G17" s="14" t="n">
        <v>-0.037</v>
      </c>
      <c r="H17" s="14" t="n">
        <v>-0.037</v>
      </c>
      <c r="L17" s="8" t="s">
        <v>540</v>
      </c>
      <c r="M17" s="8" t="s">
        <v>512</v>
      </c>
      <c r="N17" s="8" t="s">
        <v>513</v>
      </c>
    </row>
    <row r="18" customFormat="false" ht="17.15" hidden="false" customHeight="false" outlineLevel="0" collapsed="false">
      <c r="A18" s="5" t="s">
        <v>541</v>
      </c>
      <c r="B18" s="14" t="n">
        <v>0.039</v>
      </c>
      <c r="C18" s="14" t="n">
        <v>0.098</v>
      </c>
      <c r="D18" s="14" t="n">
        <v>0.082</v>
      </c>
      <c r="E18" s="14" t="n">
        <v>0.358</v>
      </c>
      <c r="F18" s="15" t="n">
        <f aca="false">SUM(B18:E18)</f>
        <v>0.577</v>
      </c>
      <c r="G18" s="14" t="n">
        <v>0.165</v>
      </c>
      <c r="H18" s="14" t="n">
        <v>0.598</v>
      </c>
      <c r="L18" s="8" t="s">
        <v>540</v>
      </c>
      <c r="M18" s="8" t="s">
        <v>512</v>
      </c>
      <c r="N18" s="8" t="s">
        <v>513</v>
      </c>
    </row>
    <row r="19" customFormat="false" ht="17.15" hidden="false" customHeight="false" outlineLevel="0" collapsed="false">
      <c r="A19" s="5" t="s">
        <v>542</v>
      </c>
      <c r="B19" s="14" t="n">
        <v>0.002</v>
      </c>
      <c r="C19" s="14" t="n">
        <v>-0.061</v>
      </c>
      <c r="D19" s="14" t="n">
        <v>-0.026</v>
      </c>
      <c r="E19" s="14" t="n">
        <v>-0.28</v>
      </c>
      <c r="F19" s="15" t="n">
        <f aca="false">SUM(B19:E19)</f>
        <v>-0.365</v>
      </c>
      <c r="G19" s="14" t="n">
        <v>-0.066</v>
      </c>
      <c r="H19" s="14" t="n">
        <v>-0.483</v>
      </c>
      <c r="L19" s="8" t="s">
        <v>540</v>
      </c>
      <c r="M19" s="8" t="s">
        <v>512</v>
      </c>
      <c r="N19" s="8" t="s">
        <v>543</v>
      </c>
    </row>
    <row r="20" customFormat="false" ht="17.15" hidden="false" customHeight="false" outlineLevel="0" collapsed="false">
      <c r="A20" s="5" t="s">
        <v>544</v>
      </c>
      <c r="B20" s="15" t="n">
        <f aca="false">B17+B18+B19</f>
        <v>0.021</v>
      </c>
      <c r="C20" s="15" t="n">
        <f aca="false">C17+C18+C19</f>
        <v>-0.000999999999999994</v>
      </c>
      <c r="D20" s="15" t="n">
        <f aca="false">D17+D18+D19</f>
        <v>0.019</v>
      </c>
      <c r="E20" s="15" t="n">
        <f aca="false">E17+E18+E19</f>
        <v>0.042</v>
      </c>
      <c r="F20" s="15" t="n">
        <f aca="false">SUM(B20:E20)</f>
        <v>0.081</v>
      </c>
      <c r="G20" s="15" t="n">
        <f aca="false">G17+G18+G19</f>
        <v>0.062</v>
      </c>
      <c r="H20" s="15" t="n">
        <f aca="false">H17+H18+H19</f>
        <v>0.078</v>
      </c>
      <c r="I20" s="15" t="n">
        <f aca="false">q3_oth</f>
        <v>0.055</v>
      </c>
      <c r="J20" s="15" t="n">
        <f aca="false">q3_oth</f>
        <v>0.055</v>
      </c>
      <c r="K20" s="15" t="n">
        <f aca="false">SUM(G20:J20)</f>
        <v>0.25</v>
      </c>
      <c r="L20" s="8" t="s">
        <v>545</v>
      </c>
      <c r="M20" s="8" t="s">
        <v>512</v>
      </c>
      <c r="N20" s="8" t="s">
        <v>513</v>
      </c>
    </row>
    <row r="21" customFormat="false" ht="17.15" hidden="false" customHeight="false" outlineLevel="0" collapsed="false">
      <c r="A21" s="5" t="s">
        <v>546</v>
      </c>
      <c r="B21" s="15" t="n">
        <f aca="false">B15+B20</f>
        <v>1.8</v>
      </c>
      <c r="C21" s="15" t="n">
        <f aca="false">C15+C20</f>
        <v>0.896</v>
      </c>
      <c r="D21" s="15" t="n">
        <f aca="false">D15+D20</f>
        <v>2.257</v>
      </c>
      <c r="E21" s="15" t="n">
        <f aca="false">E15+E20</f>
        <v>2.896</v>
      </c>
      <c r="F21" s="15" t="n">
        <f aca="false">SUM(B21:E21)</f>
        <v>7.849</v>
      </c>
      <c r="G21" s="15" t="n">
        <f aca="false">G15+G20</f>
        <v>2.602</v>
      </c>
      <c r="H21" s="15" t="n">
        <f aca="false">H15+H20</f>
        <v>3.172</v>
      </c>
      <c r="I21" s="15" t="n">
        <f aca="false">I15+I20</f>
        <v>3.685</v>
      </c>
      <c r="J21" s="15" t="n">
        <f aca="false">J15+J20</f>
        <v>4.466567236</v>
      </c>
      <c r="K21" s="15" t="n">
        <f aca="false">SUM(G21:J21)</f>
        <v>13.925567236</v>
      </c>
      <c r="L21" s="8" t="s">
        <v>156</v>
      </c>
      <c r="M21" s="8" t="s">
        <v>512</v>
      </c>
      <c r="N21" s="8" t="s">
        <v>513</v>
      </c>
    </row>
    <row r="22" customFormat="false" ht="17.15" hidden="false" customHeight="false" outlineLevel="0" collapsed="false">
      <c r="A22" s="5" t="s">
        <v>547</v>
      </c>
      <c r="B22" s="14" t="n">
        <v>1.566</v>
      </c>
      <c r="C22" s="14" t="n">
        <v>0.781</v>
      </c>
      <c r="D22" s="14" t="n">
        <v>1.965</v>
      </c>
      <c r="E22" s="14" t="n">
        <v>2.519</v>
      </c>
      <c r="F22" s="15" t="n">
        <f aca="false">SUM(B22:E22)</f>
        <v>6.831</v>
      </c>
      <c r="G22" s="14" t="n">
        <v>2.265</v>
      </c>
      <c r="H22" s="14" t="n">
        <v>2.76</v>
      </c>
      <c r="I22" s="15" t="n">
        <f aca="false">I21*(1-tx_26)</f>
        <v>3.20595</v>
      </c>
      <c r="J22" s="15" t="n">
        <f aca="false">J21*(1-tx_26)</f>
        <v>3.88591349532</v>
      </c>
      <c r="K22" s="15" t="n">
        <f aca="false">SUM(G22:J22)</f>
        <v>12.11686349532</v>
      </c>
      <c r="L22" s="8" t="s">
        <v>537</v>
      </c>
      <c r="M22" s="8" t="s">
        <v>512</v>
      </c>
      <c r="N22" s="8" t="s">
        <v>548</v>
      </c>
    </row>
    <row r="23" customFormat="false" ht="17.15" hidden="false" customHeight="false" outlineLevel="0" collapsed="false">
      <c r="A23" s="5" t="s">
        <v>549</v>
      </c>
      <c r="B23" s="17" t="n">
        <f aca="false">1-B22/B21</f>
        <v>0.13</v>
      </c>
      <c r="C23" s="17" t="n">
        <f aca="false">1-C22/C21</f>
        <v>0.128348214285714</v>
      </c>
      <c r="D23" s="17" t="n">
        <f aca="false">1-D22/D21</f>
        <v>0.129375276916261</v>
      </c>
      <c r="E23" s="17" t="n">
        <f aca="false">1-E22/E21</f>
        <v>0.13017955801105</v>
      </c>
      <c r="F23" s="17" t="n">
        <f aca="false">1-F22/F21</f>
        <v>0.129698050707096</v>
      </c>
      <c r="G23" s="17" t="n">
        <f aca="false">1-G22/G21</f>
        <v>0.129515757109915</v>
      </c>
      <c r="H23" s="17" t="n">
        <f aca="false">1-H22/H21</f>
        <v>0.129886506935687</v>
      </c>
      <c r="I23" s="17" t="n">
        <f aca="false">tx_26</f>
        <v>0.13</v>
      </c>
      <c r="J23" s="17" t="n">
        <f aca="false">tx_26</f>
        <v>0.13</v>
      </c>
      <c r="K23" s="17" t="n">
        <f aca="false">1-K22/K21</f>
        <v>0.129883667216384</v>
      </c>
      <c r="L23" s="8" t="s">
        <v>550</v>
      </c>
      <c r="M23" s="8" t="s">
        <v>242</v>
      </c>
      <c r="N23" s="5" t="s">
        <v>551</v>
      </c>
    </row>
    <row r="24" customFormat="false" ht="17.15" hidden="false" customHeight="false" outlineLevel="0" collapsed="false">
      <c r="A24" s="5" t="s">
        <v>552</v>
      </c>
      <c r="B24" s="14" t="n">
        <v>1.626</v>
      </c>
      <c r="C24" s="14" t="n">
        <v>1.63</v>
      </c>
      <c r="D24" s="14" t="n">
        <v>1.641</v>
      </c>
      <c r="E24" s="14" t="n">
        <v>1.649</v>
      </c>
      <c r="F24" s="14" t="n">
        <v>1.636</v>
      </c>
      <c r="G24" s="14" t="n">
        <v>1.65</v>
      </c>
      <c r="H24" s="14" t="n">
        <v>1.659</v>
      </c>
      <c r="I24" s="15" t="n">
        <f aca="false">q3_sh</f>
        <v>1.661</v>
      </c>
      <c r="J24" s="15" t="n">
        <f aca="false">I24*(1+q4_sh)</f>
        <v>1.664322</v>
      </c>
      <c r="K24" s="15" t="n">
        <f aca="false">AVERAGE(G24:J24)</f>
        <v>1.6585805</v>
      </c>
      <c r="L24" s="8" t="s">
        <v>535</v>
      </c>
      <c r="M24" s="8" t="s">
        <v>512</v>
      </c>
      <c r="N24" s="8" t="s">
        <v>553</v>
      </c>
    </row>
    <row r="25" customFormat="false" ht="17.15" hidden="false" customHeight="false" outlineLevel="0" collapsed="false">
      <c r="A25" s="0" t="s">
        <v>554</v>
      </c>
      <c r="B25" s="16" t="n">
        <f aca="false">B22/B24</f>
        <v>0.96309963099631</v>
      </c>
      <c r="C25" s="16" t="n">
        <f aca="false">C22/C24</f>
        <v>0.479141104294479</v>
      </c>
      <c r="D25" s="16" t="n">
        <f aca="false">D22/D24</f>
        <v>1.19744058500914</v>
      </c>
      <c r="E25" s="16" t="n">
        <f aca="false">E22/E24</f>
        <v>1.52759248029109</v>
      </c>
      <c r="F25" s="16" t="n">
        <f aca="false">F22/F24</f>
        <v>4.17542787286064</v>
      </c>
      <c r="G25" s="16" t="n">
        <f aca="false">G22/G24</f>
        <v>1.37272727272727</v>
      </c>
      <c r="H25" s="16" t="n">
        <f aca="false">H22/H24</f>
        <v>1.66365280289331</v>
      </c>
      <c r="I25" s="16" t="n">
        <f aca="false">I22/I24</f>
        <v>1.93013245033113</v>
      </c>
      <c r="J25" s="16" t="n">
        <f aca="false">J22/J24</f>
        <v>2.33483273989048</v>
      </c>
      <c r="K25" s="16" t="n">
        <f aca="false">K22/K24</f>
        <v>7.30556249474777</v>
      </c>
      <c r="L25" s="8" t="s">
        <v>156</v>
      </c>
      <c r="M25" s="8" t="s">
        <v>242</v>
      </c>
      <c r="N25" s="8" t="s">
        <v>555</v>
      </c>
    </row>
    <row r="26" customFormat="false" ht="17.15" hidden="false" customHeight="false" outlineLevel="0" collapsed="false">
      <c r="A26" s="0" t="s">
        <v>556</v>
      </c>
      <c r="B26" s="18" t="n">
        <v>0.96</v>
      </c>
      <c r="C26" s="18" t="n">
        <v>0.48</v>
      </c>
      <c r="D26" s="18" t="n">
        <v>1.2</v>
      </c>
      <c r="E26" s="18" t="n">
        <v>1.53</v>
      </c>
      <c r="F26" s="18" t="n">
        <v>4.17</v>
      </c>
      <c r="G26" s="18" t="n">
        <v>1.37</v>
      </c>
      <c r="H26" s="18" t="n">
        <v>1.66</v>
      </c>
      <c r="L26" s="8" t="s">
        <v>365</v>
      </c>
      <c r="M26" s="8" t="s">
        <v>512</v>
      </c>
      <c r="N26" s="8" t="s">
        <v>513</v>
      </c>
    </row>
    <row r="27" customFormat="false" ht="17.15" hidden="false" customHeight="false" outlineLevel="0" collapsed="false">
      <c r="A27" s="5" t="s">
        <v>557</v>
      </c>
      <c r="B27" s="16" t="n">
        <f aca="false">B25-B26</f>
        <v>0.00309963099631005</v>
      </c>
      <c r="C27" s="16" t="n">
        <f aca="false">C25-C26</f>
        <v>-0.00085889570552139</v>
      </c>
      <c r="D27" s="16" t="n">
        <f aca="false">D25-D26</f>
        <v>-0.00255941499085921</v>
      </c>
      <c r="E27" s="16" t="n">
        <f aca="false">E25-E26</f>
        <v>-0.0024075197089144</v>
      </c>
      <c r="F27" s="16" t="n">
        <f aca="false">F25-F26</f>
        <v>0.00542787286063629</v>
      </c>
      <c r="G27" s="16" t="n">
        <f aca="false">G25-G26</f>
        <v>0.00272727272727269</v>
      </c>
      <c r="H27" s="16" t="n">
        <f aca="false">H25-H26</f>
        <v>0.00365280289330916</v>
      </c>
      <c r="L27" s="8" t="s">
        <v>242</v>
      </c>
      <c r="M27" s="8" t="s">
        <v>242</v>
      </c>
      <c r="N27" s="8" t="s">
        <v>242</v>
      </c>
    </row>
    <row r="28" customFormat="false" ht="17.15" hidden="false" customHeight="false" outlineLevel="0" collapsed="false">
      <c r="A28" s="0" t="s">
        <v>558</v>
      </c>
      <c r="B28" s="18" t="n">
        <v>0.44</v>
      </c>
      <c r="C28" s="18" t="n">
        <v>0.54</v>
      </c>
      <c r="D28" s="18" t="n">
        <v>0.75</v>
      </c>
      <c r="E28" s="18" t="n">
        <v>0.92</v>
      </c>
      <c r="F28" s="18" t="n">
        <v>2.65</v>
      </c>
      <c r="G28" s="18" t="n">
        <v>0.84</v>
      </c>
      <c r="H28" s="18" t="n">
        <v>1.38</v>
      </c>
      <c r="L28" s="8" t="s">
        <v>365</v>
      </c>
      <c r="M28" s="8" t="s">
        <v>512</v>
      </c>
      <c r="N28" s="8" t="s">
        <v>559</v>
      </c>
    </row>
    <row r="29" customFormat="false" ht="17.15" hidden="false" customHeight="false" outlineLevel="0" collapsed="false">
      <c r="A29" s="5" t="s">
        <v>560</v>
      </c>
      <c r="F29" s="16" t="n">
        <f aca="false">(F4-34.639)+(F15-7.768)+(F22-6.831)</f>
        <v>0</v>
      </c>
      <c r="L29" s="8" t="s">
        <v>242</v>
      </c>
      <c r="M29" s="8" t="s">
        <v>242</v>
      </c>
      <c r="N29" s="8" t="s">
        <v>242</v>
      </c>
    </row>
    <row r="31" customFormat="false" ht="17.15" hidden="false" customHeight="false" outlineLevel="0" collapsed="false">
      <c r="A31" s="1" t="s">
        <v>561</v>
      </c>
    </row>
    <row r="32" customFormat="false" ht="17.15" hidden="false" customHeight="false" outlineLevel="0" collapsed="false">
      <c r="A32" s="0" t="s">
        <v>562</v>
      </c>
      <c r="B32" s="17" t="n">
        <f aca="false">K4/cons_rev26-1</f>
        <v>-0.0266044078431372</v>
      </c>
    </row>
    <row r="33" customFormat="false" ht="17.15" hidden="false" customHeight="false" outlineLevel="0" collapsed="false">
      <c r="A33" s="0" t="s">
        <v>563</v>
      </c>
      <c r="B33" s="17" t="n">
        <f aca="false">K25/cons_eps26-1</f>
        <v>-0.0374752971346812</v>
      </c>
    </row>
    <row r="34" customFormat="false" ht="17.15" hidden="false" customHeight="false" outlineLevel="0" collapsed="false">
      <c r="A34" s="0" t="s">
        <v>564</v>
      </c>
      <c r="B34" s="17" t="n">
        <f aca="false">K4/F4-1</f>
        <v>0.433158439908774</v>
      </c>
    </row>
    <row r="35" customFormat="false" ht="17.15" hidden="false" customHeight="false" outlineLevel="0" collapsed="false">
      <c r="A35" s="0" t="s">
        <v>565</v>
      </c>
      <c r="B35" s="17" t="n">
        <f aca="false">K14/F14-1</f>
        <v>0.348610176012311</v>
      </c>
    </row>
    <row r="36" customFormat="false" ht="17.15" hidden="false" customHeight="false" outlineLevel="0" collapsed="false">
      <c r="A36" s="5" t="s">
        <v>566</v>
      </c>
      <c r="B36" s="9" t="n">
        <f aca="false">B35/B34</f>
        <v>0.804809842988933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1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0"/>
    <col collapsed="false" customWidth="true" hidden="false" outlineLevel="0" max="2" min="2" style="0" width="16"/>
    <col collapsed="false" customWidth="true" hidden="false" outlineLevel="0" max="6" min="3" style="0" width="18"/>
    <col collapsed="false" customWidth="true" hidden="false" outlineLevel="0" max="7" min="7" style="0" width="80"/>
  </cols>
  <sheetData>
    <row r="1" customFormat="false" ht="17.15" hidden="false" customHeight="false" outlineLevel="0" collapsed="false">
      <c r="A1" s="0" t="s">
        <v>567</v>
      </c>
    </row>
    <row r="3" customFormat="false" ht="17.15" hidden="false" customHeight="false" outlineLevel="0" collapsed="false">
      <c r="A3" s="6" t="s">
        <v>18</v>
      </c>
      <c r="B3" s="6" t="s">
        <v>19</v>
      </c>
      <c r="C3" s="13" t="s">
        <v>568</v>
      </c>
      <c r="D3" s="13" t="s">
        <v>569</v>
      </c>
      <c r="E3" s="13" t="s">
        <v>570</v>
      </c>
      <c r="F3" s="13" t="s">
        <v>571</v>
      </c>
      <c r="G3" s="6" t="s">
        <v>572</v>
      </c>
    </row>
    <row r="4" customFormat="false" ht="17.15" hidden="false" customHeight="false" outlineLevel="0" collapsed="false">
      <c r="A4" s="3" t="s">
        <v>573</v>
      </c>
    </row>
    <row r="5" customFormat="false" ht="15" hidden="false" customHeight="false" outlineLevel="0" collapsed="false">
      <c r="A5" s="3" t="s">
        <v>574</v>
      </c>
    </row>
    <row r="6" customFormat="false" ht="17.15" hidden="false" customHeight="false" outlineLevel="0" collapsed="false">
      <c r="A6" s="0" t="s">
        <v>575</v>
      </c>
      <c r="B6" s="5" t="s">
        <v>29</v>
      </c>
      <c r="C6" s="9" t="n">
        <f aca="false">u_bw_26</f>
        <v>5.4</v>
      </c>
      <c r="D6" s="9" t="n">
        <f aca="false">u_bw_27</f>
        <v>2.4</v>
      </c>
      <c r="E6" s="9" t="n">
        <f aca="false">u_bw_28*um28_A</f>
        <v>0.5</v>
      </c>
      <c r="F6" s="9" t="n">
        <f aca="false">u_bw_28*(1+g29_bw)*um29_A</f>
        <v>0.25</v>
      </c>
    </row>
    <row r="7" customFormat="false" ht="15" hidden="false" customHeight="false" outlineLevel="0" collapsed="false">
      <c r="A7" s="0" t="s">
        <v>576</v>
      </c>
      <c r="B7" s="5" t="s">
        <v>29</v>
      </c>
      <c r="C7" s="9" t="n">
        <f aca="false">u_rb_26</f>
        <v>1.7</v>
      </c>
      <c r="D7" s="9" t="n">
        <f aca="false">u_rb_27</f>
        <v>7</v>
      </c>
      <c r="E7" s="9" t="n">
        <f aca="false">u_rb_28*um28_A</f>
        <v>7</v>
      </c>
      <c r="F7" s="9" t="n">
        <f aca="false">u_rb_28*(1+g29_rb)*um29_A</f>
        <v>8.05</v>
      </c>
    </row>
    <row r="8" customFormat="false" ht="15" hidden="false" customHeight="false" outlineLevel="0" collapsed="false">
      <c r="A8" s="0" t="s">
        <v>577</v>
      </c>
      <c r="B8" s="5" t="s">
        <v>29</v>
      </c>
      <c r="C8" s="9" t="n">
        <f aca="false">u_ru_26</f>
        <v>0</v>
      </c>
      <c r="D8" s="9" t="n">
        <f aca="false">u_ru_27</f>
        <v>0.3</v>
      </c>
      <c r="E8" s="9" t="n">
        <f aca="false">u_ru_28*um28_A</f>
        <v>2</v>
      </c>
      <c r="F8" s="9" t="n">
        <f aca="false">u_ru_28*(1+g29_ru)*um29_A</f>
        <v>2.3</v>
      </c>
    </row>
    <row r="9" customFormat="false" ht="17.15" hidden="false" customHeight="false" outlineLevel="0" collapsed="false">
      <c r="A9" s="0" t="s">
        <v>578</v>
      </c>
      <c r="B9" s="5" t="s">
        <v>29</v>
      </c>
      <c r="C9" s="9" t="n">
        <f aca="false">u_hp_26</f>
        <v>0.5</v>
      </c>
      <c r="D9" s="9" t="n">
        <f aca="false">u_hp_27</f>
        <v>0</v>
      </c>
      <c r="E9" s="9" t="n">
        <f aca="false">u_hp_28*um28_A</f>
        <v>0</v>
      </c>
      <c r="F9" s="9" t="n">
        <f aca="false">u_hp_28*(1+g29_hp)*um29_A</f>
        <v>0</v>
      </c>
    </row>
    <row r="10" customFormat="false" ht="15" hidden="false" customHeight="false" outlineLevel="0" collapsed="false">
      <c r="A10" s="0" t="s">
        <v>579</v>
      </c>
      <c r="B10" s="5" t="s">
        <v>29</v>
      </c>
      <c r="C10" s="9" t="n">
        <f aca="false">u_amd_26</f>
        <v>0.75</v>
      </c>
      <c r="D10" s="9" t="n">
        <f aca="false">u_amd_27</f>
        <v>1.5</v>
      </c>
      <c r="E10" s="9" t="n">
        <f aca="false">u_amd_28*um28_A</f>
        <v>2</v>
      </c>
      <c r="F10" s="9" t="n">
        <f aca="false">u_amd_28*(1+g29_amd)*um29_A</f>
        <v>2.3</v>
      </c>
    </row>
    <row r="11" customFormat="false" ht="15" hidden="false" customHeight="false" outlineLevel="0" collapsed="false">
      <c r="A11" s="0" t="s">
        <v>580</v>
      </c>
      <c r="B11" s="5" t="s">
        <v>29</v>
      </c>
      <c r="C11" s="9" t="n">
        <f aca="false">u_tpu_26</f>
        <v>3.85</v>
      </c>
      <c r="D11" s="9" t="n">
        <f aca="false">u_tpu_27</f>
        <v>5.5</v>
      </c>
      <c r="E11" s="9" t="n">
        <f aca="false">u_tpu_28*um28_A</f>
        <v>7</v>
      </c>
      <c r="F11" s="9" t="n">
        <f aca="false">u_tpu_28*(1+g29_tpu)*um29_A</f>
        <v>8.05</v>
      </c>
    </row>
    <row r="12" customFormat="false" ht="15" hidden="false" customHeight="false" outlineLevel="0" collapsed="false">
      <c r="A12" s="0" t="s">
        <v>581</v>
      </c>
      <c r="B12" s="5" t="s">
        <v>29</v>
      </c>
      <c r="C12" s="9" t="n">
        <f aca="false">u_trn_26</f>
        <v>2</v>
      </c>
      <c r="D12" s="9" t="n">
        <f aca="false">u_trn_27</f>
        <v>2.5</v>
      </c>
      <c r="E12" s="9" t="n">
        <f aca="false">u_trn_28*um28_A</f>
        <v>3</v>
      </c>
      <c r="F12" s="9" t="n">
        <f aca="false">u_trn_28*(1+g29_trn)*um29_A</f>
        <v>3.45</v>
      </c>
    </row>
    <row r="13" customFormat="false" ht="17.15" hidden="false" customHeight="false" outlineLevel="0" collapsed="false">
      <c r="A13" s="5" t="s">
        <v>582</v>
      </c>
      <c r="B13" s="5" t="s">
        <v>29</v>
      </c>
      <c r="C13" s="9" t="n">
        <f aca="false">u_oth_26</f>
        <v>1</v>
      </c>
      <c r="D13" s="9" t="n">
        <f aca="false">u_oth_27</f>
        <v>4.5</v>
      </c>
      <c r="E13" s="9" t="n">
        <f aca="false">u_oth_28*um28_A</f>
        <v>5</v>
      </c>
      <c r="F13" s="9" t="n">
        <f aca="false">u_oth_28*(1+g29_oth)*um29_A</f>
        <v>5.75</v>
      </c>
    </row>
    <row r="14" customFormat="false" ht="15" hidden="false" customHeight="false" outlineLevel="0" collapsed="false">
      <c r="A14" s="3" t="s">
        <v>583</v>
      </c>
      <c r="B14" s="5" t="s">
        <v>29</v>
      </c>
      <c r="C14" s="9" t="n">
        <f aca="false">SUM(C6:C13)</f>
        <v>15.2</v>
      </c>
      <c r="D14" s="9" t="n">
        <f aca="false">SUM(D6:D13)</f>
        <v>23.7</v>
      </c>
      <c r="E14" s="9" t="n">
        <f aca="false">SUM(E6:E13)</f>
        <v>26.5</v>
      </c>
      <c r="F14" s="9" t="n">
        <f aca="false">SUM(F6:F13)</f>
        <v>30.15</v>
      </c>
    </row>
    <row r="15" customFormat="false" ht="17.15" hidden="false" customHeight="false" outlineLevel="0" collapsed="false">
      <c r="A15" s="3" t="s">
        <v>584</v>
      </c>
    </row>
    <row r="16" customFormat="false" ht="17.15" hidden="false" customHeight="false" outlineLevel="0" collapsed="false">
      <c r="A16" s="0" t="s">
        <v>575</v>
      </c>
      <c r="B16" s="0" t="s">
        <v>229</v>
      </c>
      <c r="C16" s="19" t="n">
        <f aca="false">u_bw_26*(pm_bw)</f>
        <v>218.16</v>
      </c>
      <c r="D16" s="19" t="n">
        <f aca="false">u_bw_27*(pm_bw)</f>
        <v>96.96</v>
      </c>
      <c r="E16" s="19" t="n">
        <f aca="false">u_bw_28*um28_A*(pm_bw)</f>
        <v>20.2</v>
      </c>
      <c r="F16" s="19" t="n">
        <f aca="false">u_bw_28*(1+g29_bw)*um29_A*(pm_bw)</f>
        <v>10.1</v>
      </c>
    </row>
    <row r="17" customFormat="false" ht="15" hidden="false" customHeight="false" outlineLevel="0" collapsed="false">
      <c r="A17" s="0" t="s">
        <v>576</v>
      </c>
      <c r="B17" s="0" t="s">
        <v>229</v>
      </c>
      <c r="C17" s="19" t="n">
        <f aca="false">u_rb_26*(pm_rb)</f>
        <v>93.5</v>
      </c>
      <c r="D17" s="19" t="n">
        <f aca="false">u_rb_27*(pm_rb)</f>
        <v>385</v>
      </c>
      <c r="E17" s="19" t="n">
        <f aca="false">u_rb_28*um28_A*(pm_rb)</f>
        <v>385</v>
      </c>
      <c r="F17" s="19" t="n">
        <f aca="false">u_rb_28*(1+g29_rb)*um29_A*(pm_rb)</f>
        <v>442.75</v>
      </c>
    </row>
    <row r="18" customFormat="false" ht="15" hidden="false" customHeight="false" outlineLevel="0" collapsed="false">
      <c r="A18" s="0" t="s">
        <v>577</v>
      </c>
      <c r="B18" s="0" t="s">
        <v>229</v>
      </c>
      <c r="C18" s="19" t="n">
        <f aca="false">u_ru_26*(pm_ru)</f>
        <v>0</v>
      </c>
      <c r="D18" s="19" t="n">
        <f aca="false">u_ru_27*(pm_ru)</f>
        <v>22.5</v>
      </c>
      <c r="E18" s="19" t="n">
        <f aca="false">u_ru_28*um28_A*(pm_ru)</f>
        <v>150</v>
      </c>
      <c r="F18" s="19" t="n">
        <f aca="false">u_ru_28*(1+g29_ru)*um29_A*(pm_ru)</f>
        <v>172.5</v>
      </c>
    </row>
    <row r="19" customFormat="false" ht="17.15" hidden="false" customHeight="false" outlineLevel="0" collapsed="false">
      <c r="A19" s="0" t="s">
        <v>578</v>
      </c>
      <c r="B19" s="0" t="s">
        <v>229</v>
      </c>
      <c r="C19" s="19" t="n">
        <f aca="false">u_hp_26*(pm_hp)</f>
        <v>15</v>
      </c>
      <c r="D19" s="19" t="n">
        <f aca="false">u_hp_27*(pm_hp)</f>
        <v>0</v>
      </c>
      <c r="E19" s="19" t="n">
        <f aca="false">u_hp_28*um28_A*(pm_hp)</f>
        <v>0</v>
      </c>
      <c r="F19" s="19" t="n">
        <f aca="false">u_hp_28*(1+g29_hp)*um29_A*(pm_hp)</f>
        <v>0</v>
      </c>
    </row>
    <row r="20" customFormat="false" ht="15" hidden="false" customHeight="false" outlineLevel="0" collapsed="false">
      <c r="A20" s="0" t="s">
        <v>579</v>
      </c>
      <c r="B20" s="0" t="s">
        <v>229</v>
      </c>
      <c r="C20" s="19" t="n">
        <f aca="false">u_amd_26*(pa_amd)</f>
        <v>22.5</v>
      </c>
      <c r="D20" s="19" t="n">
        <f aca="false">u_amd_27*(pa_amd)</f>
        <v>45</v>
      </c>
      <c r="E20" s="19" t="n">
        <f aca="false">u_amd_28*um28_A*(pa_amd)</f>
        <v>60</v>
      </c>
      <c r="F20" s="19" t="n">
        <f aca="false">u_amd_28*(1+g29_amd)*um29_A*(pa_amd)</f>
        <v>69</v>
      </c>
    </row>
    <row r="21" customFormat="false" ht="15" hidden="false" customHeight="false" outlineLevel="0" collapsed="false">
      <c r="A21" s="0" t="s">
        <v>580</v>
      </c>
      <c r="B21" s="0" t="s">
        <v>229</v>
      </c>
      <c r="C21" s="19" t="n">
        <f aca="false">u_tpu_26*(pa_tpu)</f>
        <v>46.2</v>
      </c>
      <c r="D21" s="19" t="n">
        <f aca="false">u_tpu_27*(pa_tpu)</f>
        <v>66</v>
      </c>
      <c r="E21" s="19" t="n">
        <f aca="false">u_tpu_28*um28_A*(pa_tpu)</f>
        <v>84</v>
      </c>
      <c r="F21" s="19" t="n">
        <f aca="false">u_tpu_28*(1+g29_tpu)*um29_A*(pa_tpu)</f>
        <v>96.6</v>
      </c>
    </row>
    <row r="22" customFormat="false" ht="15" hidden="false" customHeight="false" outlineLevel="0" collapsed="false">
      <c r="A22" s="0" t="s">
        <v>581</v>
      </c>
      <c r="B22" s="0" t="s">
        <v>229</v>
      </c>
      <c r="C22" s="19" t="n">
        <f aca="false">u_trn_26*(pa_trn)</f>
        <v>16</v>
      </c>
      <c r="D22" s="19" t="n">
        <f aca="false">u_trn_27*(pa_trn)</f>
        <v>20</v>
      </c>
      <c r="E22" s="19" t="n">
        <f aca="false">u_trn_28*um28_A*(pa_trn)</f>
        <v>24</v>
      </c>
      <c r="F22" s="19" t="n">
        <f aca="false">u_trn_28*(1+g29_trn)*um29_A*(pa_trn)</f>
        <v>27.6</v>
      </c>
    </row>
    <row r="23" customFormat="false" ht="17.15" hidden="false" customHeight="false" outlineLevel="0" collapsed="false">
      <c r="A23" s="5" t="s">
        <v>582</v>
      </c>
      <c r="B23" s="0" t="s">
        <v>229</v>
      </c>
      <c r="C23" s="19" t="n">
        <f aca="false">u_oth_26*(pa_oth)</f>
        <v>8</v>
      </c>
      <c r="D23" s="19" t="n">
        <f aca="false">u_oth_27*(pa_oth)</f>
        <v>36</v>
      </c>
      <c r="E23" s="19" t="n">
        <f aca="false">u_oth_28*um28_A*(pa_oth)</f>
        <v>40</v>
      </c>
      <c r="F23" s="19" t="n">
        <f aca="false">u_oth_28*(1+g29_oth)*um29_A*(pa_oth)</f>
        <v>46</v>
      </c>
    </row>
    <row r="24" customFormat="false" ht="15" hidden="false" customHeight="false" outlineLevel="0" collapsed="false">
      <c r="A24" s="3" t="s">
        <v>583</v>
      </c>
      <c r="B24" s="8" t="s">
        <v>229</v>
      </c>
      <c r="C24" s="19" t="n">
        <f aca="false">SUM(C16:C23)</f>
        <v>419.36</v>
      </c>
      <c r="D24" s="19" t="n">
        <f aca="false">SUM(D16:D23)</f>
        <v>671.46</v>
      </c>
      <c r="E24" s="19" t="n">
        <f aca="false">SUM(E16:E23)</f>
        <v>763.2</v>
      </c>
      <c r="F24" s="19" t="n">
        <f aca="false">SUM(F16:F23)</f>
        <v>864.55</v>
      </c>
    </row>
    <row r="25" customFormat="false" ht="15" hidden="false" customHeight="false" outlineLevel="0" collapsed="false">
      <c r="A25" s="3" t="s">
        <v>585</v>
      </c>
    </row>
    <row r="26" customFormat="false" ht="15" hidden="false" customHeight="false" outlineLevel="0" collapsed="false">
      <c r="A26" s="0" t="s">
        <v>586</v>
      </c>
      <c r="B26" s="0" t="s">
        <v>40</v>
      </c>
      <c r="C26" s="17" t="n">
        <f aca="false">(C6+C7+C8+C9)/C14</f>
        <v>0.5</v>
      </c>
      <c r="D26" s="17" t="n">
        <f aca="false">(D6+D7+D8+D9)/D14</f>
        <v>0.409282700421941</v>
      </c>
      <c r="E26" s="17" t="n">
        <f aca="false">(E6+E7+E8+E9)/E14</f>
        <v>0.358490566037736</v>
      </c>
      <c r="F26" s="17" t="n">
        <f aca="false">(F6+F7+F8+F9)/F14</f>
        <v>0.351575456053068</v>
      </c>
    </row>
    <row r="27" customFormat="false" ht="15" hidden="false" customHeight="false" outlineLevel="0" collapsed="false">
      <c r="A27" s="0" t="s">
        <v>587</v>
      </c>
      <c r="B27" s="0" t="s">
        <v>40</v>
      </c>
      <c r="C27" s="17" t="n">
        <f aca="false">(C10)/C14</f>
        <v>0.0493421052631579</v>
      </c>
      <c r="D27" s="17" t="n">
        <f aca="false">(D10)/D14</f>
        <v>0.0632911392405063</v>
      </c>
      <c r="E27" s="17" t="n">
        <f aca="false">(E10)/E14</f>
        <v>0.0754716981132075</v>
      </c>
      <c r="F27" s="17" t="n">
        <f aca="false">(F10)/F14</f>
        <v>0.0762852404643449</v>
      </c>
    </row>
    <row r="28" customFormat="false" ht="15" hidden="false" customHeight="false" outlineLevel="0" collapsed="false">
      <c r="A28" s="0" t="s">
        <v>580</v>
      </c>
      <c r="B28" s="0" t="s">
        <v>40</v>
      </c>
      <c r="C28" s="17" t="n">
        <f aca="false">(C11)/C14</f>
        <v>0.253289473684211</v>
      </c>
      <c r="D28" s="17" t="n">
        <f aca="false">(D11)/D14</f>
        <v>0.232067510548523</v>
      </c>
      <c r="E28" s="17" t="n">
        <f aca="false">(E11)/E14</f>
        <v>0.264150943396226</v>
      </c>
      <c r="F28" s="17" t="n">
        <f aca="false">(F11)/F14</f>
        <v>0.266998341625207</v>
      </c>
    </row>
    <row r="29" customFormat="false" ht="15" hidden="false" customHeight="false" outlineLevel="0" collapsed="false">
      <c r="A29" s="0" t="s">
        <v>581</v>
      </c>
      <c r="B29" s="0" t="s">
        <v>40</v>
      </c>
      <c r="C29" s="17" t="n">
        <f aca="false">(C12)/C14</f>
        <v>0.131578947368421</v>
      </c>
      <c r="D29" s="17" t="n">
        <f aca="false">(D12)/D14</f>
        <v>0.105485232067511</v>
      </c>
      <c r="E29" s="17" t="n">
        <f aca="false">(E12)/E14</f>
        <v>0.113207547169811</v>
      </c>
      <c r="F29" s="17" t="n">
        <f aca="false">(F12)/F14</f>
        <v>0.114427860696517</v>
      </c>
    </row>
    <row r="30" customFormat="false" ht="17.15" hidden="false" customHeight="false" outlineLevel="0" collapsed="false">
      <c r="A30" s="5" t="s">
        <v>588</v>
      </c>
      <c r="B30" s="0" t="s">
        <v>40</v>
      </c>
      <c r="C30" s="17" t="n">
        <f aca="false">(C13)/C14</f>
        <v>0.0657894736842105</v>
      </c>
      <c r="D30" s="17" t="n">
        <f aca="false">(D13)/D14</f>
        <v>0.189873417721519</v>
      </c>
      <c r="E30" s="17" t="n">
        <f aca="false">(E13)/E14</f>
        <v>0.188679245283019</v>
      </c>
      <c r="F30" s="17" t="n">
        <f aca="false">(F13)/F14</f>
        <v>0.190713101160862</v>
      </c>
    </row>
    <row r="31" customFormat="false" ht="15" hidden="false" customHeight="false" outlineLevel="0" collapsed="false">
      <c r="A31" s="3" t="s">
        <v>589</v>
      </c>
    </row>
    <row r="32" customFormat="false" ht="15" hidden="false" customHeight="false" outlineLevel="0" collapsed="false">
      <c r="A32" s="0" t="s">
        <v>586</v>
      </c>
      <c r="B32" s="0" t="s">
        <v>40</v>
      </c>
      <c r="C32" s="17" t="n">
        <f aca="false">(C16+C17+C18+C19)/C24</f>
        <v>0.778948874475391</v>
      </c>
      <c r="D32" s="17" t="n">
        <f aca="false">(D16+D17+D18+D19)/D24</f>
        <v>0.751288237571858</v>
      </c>
      <c r="E32" s="17" t="n">
        <f aca="false">(E16+E17+E18+E19)/E24</f>
        <v>0.727463312368973</v>
      </c>
      <c r="F32" s="17" t="n">
        <f aca="false">(F16+F17+F18+F19)/F24</f>
        <v>0.723324272743045</v>
      </c>
    </row>
    <row r="33" customFormat="false" ht="15" hidden="false" customHeight="false" outlineLevel="0" collapsed="false">
      <c r="A33" s="0" t="s">
        <v>587</v>
      </c>
      <c r="B33" s="0" t="s">
        <v>40</v>
      </c>
      <c r="C33" s="17" t="n">
        <f aca="false">(C20)/C24</f>
        <v>0.0536531858069439</v>
      </c>
      <c r="D33" s="17" t="n">
        <f aca="false">(D20)/D24</f>
        <v>0.0670181395764454</v>
      </c>
      <c r="E33" s="17" t="n">
        <f aca="false">(E20)/E24</f>
        <v>0.0786163522012579</v>
      </c>
      <c r="F33" s="17" t="n">
        <f aca="false">(F20)/F24</f>
        <v>0.0798103059395061</v>
      </c>
    </row>
    <row r="34" customFormat="false" ht="15" hidden="false" customHeight="false" outlineLevel="0" collapsed="false">
      <c r="A34" s="0" t="s">
        <v>580</v>
      </c>
      <c r="B34" s="0" t="s">
        <v>40</v>
      </c>
      <c r="C34" s="17" t="n">
        <f aca="false">(C21)/C24</f>
        <v>0.110167874856925</v>
      </c>
      <c r="D34" s="17" t="n">
        <f aca="false">(D21)/D24</f>
        <v>0.0982932713787865</v>
      </c>
      <c r="E34" s="17" t="n">
        <f aca="false">(E21)/E24</f>
        <v>0.110062893081761</v>
      </c>
      <c r="F34" s="17" t="n">
        <f aca="false">(F21)/F24</f>
        <v>0.111734428315309</v>
      </c>
    </row>
    <row r="35" customFormat="false" ht="15" hidden="false" customHeight="false" outlineLevel="0" collapsed="false">
      <c r="A35" s="0" t="s">
        <v>581</v>
      </c>
      <c r="B35" s="0" t="s">
        <v>40</v>
      </c>
      <c r="C35" s="17" t="n">
        <f aca="false">(C22)/C24</f>
        <v>0.0381533765738268</v>
      </c>
      <c r="D35" s="17" t="n">
        <f aca="false">(D22)/D24</f>
        <v>0.0297858398117535</v>
      </c>
      <c r="E35" s="17" t="n">
        <f aca="false">(E22)/E24</f>
        <v>0.0314465408805031</v>
      </c>
      <c r="F35" s="17" t="n">
        <f aca="false">(F22)/F24</f>
        <v>0.0319241223758024</v>
      </c>
    </row>
    <row r="36" customFormat="false" ht="17.15" hidden="false" customHeight="false" outlineLevel="0" collapsed="false">
      <c r="A36" s="5" t="s">
        <v>588</v>
      </c>
      <c r="B36" s="0" t="s">
        <v>40</v>
      </c>
      <c r="C36" s="17" t="n">
        <f aca="false">(C23)/C24</f>
        <v>0.0190766882869134</v>
      </c>
      <c r="D36" s="17" t="n">
        <f aca="false">(D23)/D24</f>
        <v>0.0536145116611563</v>
      </c>
      <c r="E36" s="17" t="n">
        <f aca="false">(E23)/E24</f>
        <v>0.0524109014675052</v>
      </c>
      <c r="F36" s="17" t="n">
        <f aca="false">(F23)/F24</f>
        <v>0.0532068706263374</v>
      </c>
    </row>
    <row r="38" customFormat="false" ht="17.15" hidden="false" customHeight="false" outlineLevel="0" collapsed="false">
      <c r="A38" s="3" t="s">
        <v>590</v>
      </c>
    </row>
    <row r="39" customFormat="false" ht="15" hidden="false" customHeight="false" outlineLevel="0" collapsed="false">
      <c r="A39" s="3" t="s">
        <v>574</v>
      </c>
    </row>
    <row r="40" customFormat="false" ht="17.15" hidden="false" customHeight="false" outlineLevel="0" collapsed="false">
      <c r="A40" s="0" t="s">
        <v>575</v>
      </c>
      <c r="B40" s="5" t="s">
        <v>29</v>
      </c>
      <c r="C40" s="9" t="n">
        <f aca="false">u_bw_26</f>
        <v>5.4</v>
      </c>
      <c r="D40" s="9" t="n">
        <f aca="false">u_bw_27</f>
        <v>2.4</v>
      </c>
      <c r="E40" s="9" t="n">
        <f aca="false">u_bw_28*um28_B</f>
        <v>0.4</v>
      </c>
      <c r="F40" s="9" t="n">
        <f aca="false">u_bw_28*(1+g29_bw)*um29_B</f>
        <v>0.2125</v>
      </c>
    </row>
    <row r="41" customFormat="false" ht="15" hidden="false" customHeight="false" outlineLevel="0" collapsed="false">
      <c r="A41" s="0" t="s">
        <v>576</v>
      </c>
      <c r="B41" s="5" t="s">
        <v>29</v>
      </c>
      <c r="C41" s="9" t="n">
        <f aca="false">u_rb_26</f>
        <v>1.7</v>
      </c>
      <c r="D41" s="9" t="n">
        <f aca="false">u_rb_27</f>
        <v>7</v>
      </c>
      <c r="E41" s="9" t="n">
        <f aca="false">u_rb_28*um28_B</f>
        <v>5.6</v>
      </c>
      <c r="F41" s="9" t="n">
        <f aca="false">u_rb_28*(1+g29_rb)*um29_B</f>
        <v>6.8425</v>
      </c>
    </row>
    <row r="42" customFormat="false" ht="15" hidden="false" customHeight="false" outlineLevel="0" collapsed="false">
      <c r="A42" s="0" t="s">
        <v>577</v>
      </c>
      <c r="B42" s="5" t="s">
        <v>29</v>
      </c>
      <c r="C42" s="9" t="n">
        <f aca="false">u_ru_26</f>
        <v>0</v>
      </c>
      <c r="D42" s="9" t="n">
        <f aca="false">u_ru_27</f>
        <v>0.3</v>
      </c>
      <c r="E42" s="9" t="n">
        <f aca="false">u_ru_28*um28_B</f>
        <v>1.6</v>
      </c>
      <c r="F42" s="9" t="n">
        <f aca="false">u_ru_28*(1+g29_ru)*um29_B</f>
        <v>1.955</v>
      </c>
    </row>
    <row r="43" customFormat="false" ht="17.15" hidden="false" customHeight="false" outlineLevel="0" collapsed="false">
      <c r="A43" s="0" t="s">
        <v>578</v>
      </c>
      <c r="B43" s="5" t="s">
        <v>29</v>
      </c>
      <c r="C43" s="9" t="n">
        <f aca="false">u_hp_26</f>
        <v>0.5</v>
      </c>
      <c r="D43" s="9" t="n">
        <f aca="false">u_hp_27</f>
        <v>0</v>
      </c>
      <c r="E43" s="9" t="n">
        <f aca="false">u_hp_28*um28_B</f>
        <v>0</v>
      </c>
      <c r="F43" s="9" t="n">
        <f aca="false">u_hp_28*(1+g29_hp)*um29_B</f>
        <v>0</v>
      </c>
    </row>
    <row r="44" customFormat="false" ht="15" hidden="false" customHeight="false" outlineLevel="0" collapsed="false">
      <c r="A44" s="0" t="s">
        <v>579</v>
      </c>
      <c r="B44" s="5" t="s">
        <v>29</v>
      </c>
      <c r="C44" s="9" t="n">
        <f aca="false">u_amd_26</f>
        <v>0.75</v>
      </c>
      <c r="D44" s="9" t="n">
        <f aca="false">u_amd_27</f>
        <v>1.5</v>
      </c>
      <c r="E44" s="9" t="n">
        <f aca="false">u_amd_28*um28_B</f>
        <v>1.6</v>
      </c>
      <c r="F44" s="9" t="n">
        <f aca="false">u_amd_28*(1+g29_amd)*um29_B</f>
        <v>1.955</v>
      </c>
    </row>
    <row r="45" customFormat="false" ht="15" hidden="false" customHeight="false" outlineLevel="0" collapsed="false">
      <c r="A45" s="0" t="s">
        <v>580</v>
      </c>
      <c r="B45" s="5" t="s">
        <v>29</v>
      </c>
      <c r="C45" s="9" t="n">
        <f aca="false">u_tpu_26</f>
        <v>3.85</v>
      </c>
      <c r="D45" s="9" t="n">
        <f aca="false">u_tpu_27</f>
        <v>5.5</v>
      </c>
      <c r="E45" s="9" t="n">
        <f aca="false">u_tpu_28*um28_B</f>
        <v>5.6</v>
      </c>
      <c r="F45" s="9" t="n">
        <f aca="false">u_tpu_28*(1+g29_tpu)*um29_B</f>
        <v>6.8425</v>
      </c>
    </row>
    <row r="46" customFormat="false" ht="15" hidden="false" customHeight="false" outlineLevel="0" collapsed="false">
      <c r="A46" s="0" t="s">
        <v>581</v>
      </c>
      <c r="B46" s="5" t="s">
        <v>29</v>
      </c>
      <c r="C46" s="9" t="n">
        <f aca="false">u_trn_26</f>
        <v>2</v>
      </c>
      <c r="D46" s="9" t="n">
        <f aca="false">u_trn_27</f>
        <v>2.5</v>
      </c>
      <c r="E46" s="9" t="n">
        <f aca="false">u_trn_28*um28_B</f>
        <v>2.4</v>
      </c>
      <c r="F46" s="9" t="n">
        <f aca="false">u_trn_28*(1+g29_trn)*um29_B</f>
        <v>2.9325</v>
      </c>
    </row>
    <row r="47" customFormat="false" ht="17.15" hidden="false" customHeight="false" outlineLevel="0" collapsed="false">
      <c r="A47" s="5" t="s">
        <v>582</v>
      </c>
      <c r="B47" s="5" t="s">
        <v>29</v>
      </c>
      <c r="C47" s="9" t="n">
        <f aca="false">u_oth_26</f>
        <v>1</v>
      </c>
      <c r="D47" s="9" t="n">
        <f aca="false">u_oth_27</f>
        <v>4.5</v>
      </c>
      <c r="E47" s="9" t="n">
        <f aca="false">u_oth_28*um28_B</f>
        <v>4</v>
      </c>
      <c r="F47" s="9" t="n">
        <f aca="false">u_oth_28*(1+g29_oth)*um29_B</f>
        <v>4.8875</v>
      </c>
    </row>
    <row r="48" customFormat="false" ht="15" hidden="false" customHeight="false" outlineLevel="0" collapsed="false">
      <c r="A48" s="3" t="s">
        <v>583</v>
      </c>
      <c r="B48" s="5" t="s">
        <v>29</v>
      </c>
      <c r="C48" s="9" t="n">
        <f aca="false">SUM(C40:C47)</f>
        <v>15.2</v>
      </c>
      <c r="D48" s="9" t="n">
        <f aca="false">SUM(D40:D47)</f>
        <v>23.7</v>
      </c>
      <c r="E48" s="9" t="n">
        <f aca="false">SUM(E40:E47)</f>
        <v>21.2</v>
      </c>
      <c r="F48" s="9" t="n">
        <f aca="false">SUM(F40:F47)</f>
        <v>25.6275</v>
      </c>
    </row>
    <row r="49" customFormat="false" ht="17.15" hidden="false" customHeight="false" outlineLevel="0" collapsed="false">
      <c r="A49" s="3" t="s">
        <v>584</v>
      </c>
    </row>
    <row r="50" customFormat="false" ht="17.15" hidden="false" customHeight="false" outlineLevel="0" collapsed="false">
      <c r="A50" s="0" t="s">
        <v>575</v>
      </c>
      <c r="B50" s="0" t="s">
        <v>229</v>
      </c>
      <c r="C50" s="19" t="n">
        <f aca="false">u_bw_26*(pm_bw)</f>
        <v>218.16</v>
      </c>
      <c r="D50" s="19" t="n">
        <f aca="false">u_bw_27*(pm_bw)</f>
        <v>96.96</v>
      </c>
      <c r="E50" s="19" t="n">
        <f aca="false">u_bw_28*um28_B*(pm_bw)</f>
        <v>16.16</v>
      </c>
      <c r="F50" s="19" t="n">
        <f aca="false">u_bw_28*(1+g29_bw)*um29_B*(pm_bw)</f>
        <v>8.585</v>
      </c>
    </row>
    <row r="51" customFormat="false" ht="15" hidden="false" customHeight="false" outlineLevel="0" collapsed="false">
      <c r="A51" s="0" t="s">
        <v>576</v>
      </c>
      <c r="B51" s="0" t="s">
        <v>229</v>
      </c>
      <c r="C51" s="19" t="n">
        <f aca="false">u_rb_26*(pm_rb)</f>
        <v>93.5</v>
      </c>
      <c r="D51" s="19" t="n">
        <f aca="false">u_rb_27*(pm_rb)</f>
        <v>385</v>
      </c>
      <c r="E51" s="19" t="n">
        <f aca="false">u_rb_28*um28_B*(pm_rb)</f>
        <v>308</v>
      </c>
      <c r="F51" s="19" t="n">
        <f aca="false">u_rb_28*(1+g29_rb)*um29_B*(pm_rb)</f>
        <v>376.3375</v>
      </c>
    </row>
    <row r="52" customFormat="false" ht="15" hidden="false" customHeight="false" outlineLevel="0" collapsed="false">
      <c r="A52" s="0" t="s">
        <v>577</v>
      </c>
      <c r="B52" s="0" t="s">
        <v>229</v>
      </c>
      <c r="C52" s="19" t="n">
        <f aca="false">u_ru_26*(pm_ru)</f>
        <v>0</v>
      </c>
      <c r="D52" s="19" t="n">
        <f aca="false">u_ru_27*(pm_ru)</f>
        <v>22.5</v>
      </c>
      <c r="E52" s="19" t="n">
        <f aca="false">u_ru_28*um28_B*(pm_ru)</f>
        <v>120</v>
      </c>
      <c r="F52" s="19" t="n">
        <f aca="false">u_ru_28*(1+g29_ru)*um29_B*(pm_ru)</f>
        <v>146.625</v>
      </c>
    </row>
    <row r="53" customFormat="false" ht="17.15" hidden="false" customHeight="false" outlineLevel="0" collapsed="false">
      <c r="A53" s="0" t="s">
        <v>578</v>
      </c>
      <c r="B53" s="0" t="s">
        <v>229</v>
      </c>
      <c r="C53" s="19" t="n">
        <f aca="false">u_hp_26*(pm_hp)</f>
        <v>15</v>
      </c>
      <c r="D53" s="19" t="n">
        <f aca="false">u_hp_27*(pm_hp)</f>
        <v>0</v>
      </c>
      <c r="E53" s="19" t="n">
        <f aca="false">u_hp_28*um28_B*(pm_hp)</f>
        <v>0</v>
      </c>
      <c r="F53" s="19" t="n">
        <f aca="false">u_hp_28*(1+g29_hp)*um29_B*(pm_hp)</f>
        <v>0</v>
      </c>
    </row>
    <row r="54" customFormat="false" ht="15" hidden="false" customHeight="false" outlineLevel="0" collapsed="false">
      <c r="A54" s="0" t="s">
        <v>579</v>
      </c>
      <c r="B54" s="0" t="s">
        <v>229</v>
      </c>
      <c r="C54" s="19" t="n">
        <f aca="false">u_amd_26*(pa_amd)</f>
        <v>22.5</v>
      </c>
      <c r="D54" s="19" t="n">
        <f aca="false">u_amd_27*(pa_amd)</f>
        <v>45</v>
      </c>
      <c r="E54" s="19" t="n">
        <f aca="false">u_amd_28*um28_B*(pa_amd)</f>
        <v>48</v>
      </c>
      <c r="F54" s="19" t="n">
        <f aca="false">u_amd_28*(1+g29_amd)*um29_B*(pa_amd)</f>
        <v>58.65</v>
      </c>
    </row>
    <row r="55" customFormat="false" ht="15" hidden="false" customHeight="false" outlineLevel="0" collapsed="false">
      <c r="A55" s="0" t="s">
        <v>580</v>
      </c>
      <c r="B55" s="0" t="s">
        <v>229</v>
      </c>
      <c r="C55" s="19" t="n">
        <f aca="false">u_tpu_26*(pa_tpu)</f>
        <v>46.2</v>
      </c>
      <c r="D55" s="19" t="n">
        <f aca="false">u_tpu_27*(pa_tpu)</f>
        <v>66</v>
      </c>
      <c r="E55" s="19" t="n">
        <f aca="false">u_tpu_28*um28_B*(pa_tpu)</f>
        <v>67.2</v>
      </c>
      <c r="F55" s="19" t="n">
        <f aca="false">u_tpu_28*(1+g29_tpu)*um29_B*(pa_tpu)</f>
        <v>82.11</v>
      </c>
    </row>
    <row r="56" customFormat="false" ht="15" hidden="false" customHeight="false" outlineLevel="0" collapsed="false">
      <c r="A56" s="0" t="s">
        <v>581</v>
      </c>
      <c r="B56" s="0" t="s">
        <v>229</v>
      </c>
      <c r="C56" s="19" t="n">
        <f aca="false">u_trn_26*(pa_trn)</f>
        <v>16</v>
      </c>
      <c r="D56" s="19" t="n">
        <f aca="false">u_trn_27*(pa_trn)</f>
        <v>20</v>
      </c>
      <c r="E56" s="19" t="n">
        <f aca="false">u_trn_28*um28_B*(pa_trn)</f>
        <v>19.2</v>
      </c>
      <c r="F56" s="19" t="n">
        <f aca="false">u_trn_28*(1+g29_trn)*um29_B*(pa_trn)</f>
        <v>23.46</v>
      </c>
    </row>
    <row r="57" customFormat="false" ht="17.15" hidden="false" customHeight="false" outlineLevel="0" collapsed="false">
      <c r="A57" s="5" t="s">
        <v>582</v>
      </c>
      <c r="B57" s="0" t="s">
        <v>229</v>
      </c>
      <c r="C57" s="19" t="n">
        <f aca="false">u_oth_26*(pa_oth)</f>
        <v>8</v>
      </c>
      <c r="D57" s="19" t="n">
        <f aca="false">u_oth_27*(pa_oth)</f>
        <v>36</v>
      </c>
      <c r="E57" s="19" t="n">
        <f aca="false">u_oth_28*um28_B*(pa_oth)</f>
        <v>32</v>
      </c>
      <c r="F57" s="19" t="n">
        <f aca="false">u_oth_28*(1+g29_oth)*um29_B*(pa_oth)</f>
        <v>39.1</v>
      </c>
    </row>
    <row r="58" customFormat="false" ht="15" hidden="false" customHeight="false" outlineLevel="0" collapsed="false">
      <c r="A58" s="3" t="s">
        <v>583</v>
      </c>
      <c r="B58" s="8" t="s">
        <v>229</v>
      </c>
      <c r="C58" s="19" t="n">
        <f aca="false">SUM(C50:C57)</f>
        <v>419.36</v>
      </c>
      <c r="D58" s="19" t="n">
        <f aca="false">SUM(D50:D57)</f>
        <v>671.46</v>
      </c>
      <c r="E58" s="19" t="n">
        <f aca="false">SUM(E50:E57)</f>
        <v>610.56</v>
      </c>
      <c r="F58" s="19" t="n">
        <f aca="false">SUM(F50:F57)</f>
        <v>734.8675</v>
      </c>
    </row>
    <row r="59" customFormat="false" ht="15" hidden="false" customHeight="false" outlineLevel="0" collapsed="false">
      <c r="A59" s="3" t="s">
        <v>585</v>
      </c>
    </row>
    <row r="60" customFormat="false" ht="15" hidden="false" customHeight="false" outlineLevel="0" collapsed="false">
      <c r="A60" s="0" t="s">
        <v>586</v>
      </c>
      <c r="B60" s="0" t="s">
        <v>40</v>
      </c>
      <c r="C60" s="17" t="n">
        <f aca="false">(C40+C41+C42+C43)/C48</f>
        <v>0.5</v>
      </c>
      <c r="D60" s="17" t="n">
        <f aca="false">(D40+D41+D42+D43)/D48</f>
        <v>0.409282700421941</v>
      </c>
      <c r="E60" s="17" t="n">
        <f aca="false">(E40+E41+E42+E43)/E48</f>
        <v>0.358490566037736</v>
      </c>
      <c r="F60" s="17" t="n">
        <f aca="false">(F40+F41+F42+F43)/F48</f>
        <v>0.351575456053068</v>
      </c>
    </row>
    <row r="61" customFormat="false" ht="15" hidden="false" customHeight="false" outlineLevel="0" collapsed="false">
      <c r="A61" s="0" t="s">
        <v>587</v>
      </c>
      <c r="B61" s="0" t="s">
        <v>40</v>
      </c>
      <c r="C61" s="17" t="n">
        <f aca="false">(C44)/C48</f>
        <v>0.0493421052631579</v>
      </c>
      <c r="D61" s="17" t="n">
        <f aca="false">(D44)/D48</f>
        <v>0.0632911392405063</v>
      </c>
      <c r="E61" s="17" t="n">
        <f aca="false">(E44)/E48</f>
        <v>0.0754716981132075</v>
      </c>
      <c r="F61" s="17" t="n">
        <f aca="false">(F44)/F48</f>
        <v>0.076285240464345</v>
      </c>
    </row>
    <row r="62" customFormat="false" ht="15" hidden="false" customHeight="false" outlineLevel="0" collapsed="false">
      <c r="A62" s="0" t="s">
        <v>580</v>
      </c>
      <c r="B62" s="0" t="s">
        <v>40</v>
      </c>
      <c r="C62" s="17" t="n">
        <f aca="false">(C45)/C48</f>
        <v>0.253289473684211</v>
      </c>
      <c r="D62" s="17" t="n">
        <f aca="false">(D45)/D48</f>
        <v>0.232067510548523</v>
      </c>
      <c r="E62" s="17" t="n">
        <f aca="false">(E45)/E48</f>
        <v>0.264150943396226</v>
      </c>
      <c r="F62" s="17" t="n">
        <f aca="false">(F45)/F48</f>
        <v>0.266998341625207</v>
      </c>
    </row>
    <row r="63" customFormat="false" ht="15" hidden="false" customHeight="false" outlineLevel="0" collapsed="false">
      <c r="A63" s="0" t="s">
        <v>581</v>
      </c>
      <c r="B63" s="0" t="s">
        <v>40</v>
      </c>
      <c r="C63" s="17" t="n">
        <f aca="false">(C46)/C48</f>
        <v>0.131578947368421</v>
      </c>
      <c r="D63" s="17" t="n">
        <f aca="false">(D46)/D48</f>
        <v>0.105485232067511</v>
      </c>
      <c r="E63" s="17" t="n">
        <f aca="false">(E46)/E48</f>
        <v>0.113207547169811</v>
      </c>
      <c r="F63" s="17" t="n">
        <f aca="false">(F46)/F48</f>
        <v>0.114427860696517</v>
      </c>
    </row>
    <row r="64" customFormat="false" ht="17.15" hidden="false" customHeight="false" outlineLevel="0" collapsed="false">
      <c r="A64" s="5" t="s">
        <v>588</v>
      </c>
      <c r="B64" s="0" t="s">
        <v>40</v>
      </c>
      <c r="C64" s="17" t="n">
        <f aca="false">(C47)/C48</f>
        <v>0.0657894736842105</v>
      </c>
      <c r="D64" s="17" t="n">
        <f aca="false">(D47)/D48</f>
        <v>0.189873417721519</v>
      </c>
      <c r="E64" s="17" t="n">
        <f aca="false">(E47)/E48</f>
        <v>0.188679245283019</v>
      </c>
      <c r="F64" s="17" t="n">
        <f aca="false">(F47)/F48</f>
        <v>0.190713101160862</v>
      </c>
    </row>
    <row r="65" customFormat="false" ht="15" hidden="false" customHeight="false" outlineLevel="0" collapsed="false">
      <c r="A65" s="3" t="s">
        <v>589</v>
      </c>
    </row>
    <row r="66" customFormat="false" ht="15" hidden="false" customHeight="false" outlineLevel="0" collapsed="false">
      <c r="A66" s="0" t="s">
        <v>586</v>
      </c>
      <c r="B66" s="0" t="s">
        <v>40</v>
      </c>
      <c r="C66" s="17" t="n">
        <f aca="false">(C50+C51+C52+C53)/C58</f>
        <v>0.778948874475391</v>
      </c>
      <c r="D66" s="17" t="n">
        <f aca="false">(D50+D51+D52+D53)/D58</f>
        <v>0.751288237571858</v>
      </c>
      <c r="E66" s="17" t="n">
        <f aca="false">(E50+E51+E52+E53)/E58</f>
        <v>0.727463312368973</v>
      </c>
      <c r="F66" s="17" t="n">
        <f aca="false">(F50+F51+F52+F53)/F58</f>
        <v>0.723324272743045</v>
      </c>
    </row>
    <row r="67" customFormat="false" ht="15" hidden="false" customHeight="false" outlineLevel="0" collapsed="false">
      <c r="A67" s="0" t="s">
        <v>587</v>
      </c>
      <c r="B67" s="0" t="s">
        <v>40</v>
      </c>
      <c r="C67" s="17" t="n">
        <f aca="false">(C54)/C58</f>
        <v>0.0536531858069439</v>
      </c>
      <c r="D67" s="17" t="n">
        <f aca="false">(D54)/D58</f>
        <v>0.0670181395764454</v>
      </c>
      <c r="E67" s="17" t="n">
        <f aca="false">(E54)/E58</f>
        <v>0.0786163522012579</v>
      </c>
      <c r="F67" s="17" t="n">
        <f aca="false">(F54)/F58</f>
        <v>0.0798103059395061</v>
      </c>
    </row>
    <row r="68" customFormat="false" ht="15" hidden="false" customHeight="false" outlineLevel="0" collapsed="false">
      <c r="A68" s="0" t="s">
        <v>580</v>
      </c>
      <c r="B68" s="0" t="s">
        <v>40</v>
      </c>
      <c r="C68" s="17" t="n">
        <f aca="false">(C55)/C58</f>
        <v>0.110167874856925</v>
      </c>
      <c r="D68" s="17" t="n">
        <f aca="false">(D55)/D58</f>
        <v>0.0982932713787865</v>
      </c>
      <c r="E68" s="17" t="n">
        <f aca="false">(E55)/E58</f>
        <v>0.110062893081761</v>
      </c>
      <c r="F68" s="17" t="n">
        <f aca="false">(F55)/F58</f>
        <v>0.111734428315309</v>
      </c>
    </row>
    <row r="69" customFormat="false" ht="15" hidden="false" customHeight="false" outlineLevel="0" collapsed="false">
      <c r="A69" s="0" t="s">
        <v>581</v>
      </c>
      <c r="B69" s="0" t="s">
        <v>40</v>
      </c>
      <c r="C69" s="17" t="n">
        <f aca="false">(C56)/C58</f>
        <v>0.0381533765738268</v>
      </c>
      <c r="D69" s="17" t="n">
        <f aca="false">(D56)/D58</f>
        <v>0.0297858398117535</v>
      </c>
      <c r="E69" s="17" t="n">
        <f aca="false">(E56)/E58</f>
        <v>0.0314465408805031</v>
      </c>
      <c r="F69" s="17" t="n">
        <f aca="false">(F56)/F58</f>
        <v>0.0319241223758024</v>
      </c>
    </row>
    <row r="70" customFormat="false" ht="17.15" hidden="false" customHeight="false" outlineLevel="0" collapsed="false">
      <c r="A70" s="5" t="s">
        <v>588</v>
      </c>
      <c r="B70" s="0" t="s">
        <v>40</v>
      </c>
      <c r="C70" s="17" t="n">
        <f aca="false">(C57)/C58</f>
        <v>0.0190766882869134</v>
      </c>
      <c r="D70" s="17" t="n">
        <f aca="false">(D57)/D58</f>
        <v>0.0536145116611563</v>
      </c>
      <c r="E70" s="17" t="n">
        <f aca="false">(E57)/E58</f>
        <v>0.0524109014675052</v>
      </c>
      <c r="F70" s="17" t="n">
        <f aca="false">(F57)/F58</f>
        <v>0.0532068706263374</v>
      </c>
    </row>
    <row r="72" customFormat="false" ht="17.15" hidden="false" customHeight="false" outlineLevel="0" collapsed="false">
      <c r="A72" s="3" t="s">
        <v>591</v>
      </c>
    </row>
    <row r="73" customFormat="false" ht="15" hidden="false" customHeight="false" outlineLevel="0" collapsed="false">
      <c r="A73" s="3" t="s">
        <v>574</v>
      </c>
    </row>
    <row r="74" customFormat="false" ht="17.15" hidden="false" customHeight="false" outlineLevel="0" collapsed="false">
      <c r="A74" s="0" t="s">
        <v>575</v>
      </c>
      <c r="B74" s="5" t="s">
        <v>29</v>
      </c>
      <c r="C74" s="9" t="n">
        <f aca="false">u_bw_26</f>
        <v>5.4</v>
      </c>
      <c r="D74" s="9" t="n">
        <f aca="false">u_bw_27</f>
        <v>2.4</v>
      </c>
      <c r="E74" s="9" t="n">
        <f aca="false">u_bw_28*um28_C</f>
        <v>0.3</v>
      </c>
      <c r="F74" s="9" t="n">
        <f aca="false">u_bw_28*(1+g29_bw)*um29_C</f>
        <v>0.15</v>
      </c>
    </row>
    <row r="75" customFormat="false" ht="15" hidden="false" customHeight="false" outlineLevel="0" collapsed="false">
      <c r="A75" s="0" t="s">
        <v>576</v>
      </c>
      <c r="B75" s="5" t="s">
        <v>29</v>
      </c>
      <c r="C75" s="9" t="n">
        <f aca="false">u_rb_26</f>
        <v>1.7</v>
      </c>
      <c r="D75" s="9" t="n">
        <f aca="false">u_rb_27</f>
        <v>7</v>
      </c>
      <c r="E75" s="9" t="n">
        <f aca="false">u_rb_28*um28_C</f>
        <v>4.2</v>
      </c>
      <c r="F75" s="9" t="n">
        <f aca="false">u_rb_28*(1+g29_rb)*um29_C</f>
        <v>4.83</v>
      </c>
    </row>
    <row r="76" customFormat="false" ht="15" hidden="false" customHeight="false" outlineLevel="0" collapsed="false">
      <c r="A76" s="0" t="s">
        <v>577</v>
      </c>
      <c r="B76" s="5" t="s">
        <v>29</v>
      </c>
      <c r="C76" s="9" t="n">
        <f aca="false">u_ru_26</f>
        <v>0</v>
      </c>
      <c r="D76" s="9" t="n">
        <f aca="false">u_ru_27</f>
        <v>0.3</v>
      </c>
      <c r="E76" s="9" t="n">
        <f aca="false">u_ru_28*um28_C</f>
        <v>1.2</v>
      </c>
      <c r="F76" s="9" t="n">
        <f aca="false">u_ru_28*(1+g29_ru)*um29_C</f>
        <v>1.38</v>
      </c>
    </row>
    <row r="77" customFormat="false" ht="17.15" hidden="false" customHeight="false" outlineLevel="0" collapsed="false">
      <c r="A77" s="0" t="s">
        <v>578</v>
      </c>
      <c r="B77" s="5" t="s">
        <v>29</v>
      </c>
      <c r="C77" s="9" t="n">
        <f aca="false">u_hp_26</f>
        <v>0.5</v>
      </c>
      <c r="D77" s="9" t="n">
        <f aca="false">u_hp_27</f>
        <v>0</v>
      </c>
      <c r="E77" s="9" t="n">
        <f aca="false">u_hp_28*um28_C</f>
        <v>0</v>
      </c>
      <c r="F77" s="9" t="n">
        <f aca="false">u_hp_28*(1+g29_hp)*um29_C</f>
        <v>0</v>
      </c>
    </row>
    <row r="78" customFormat="false" ht="15" hidden="false" customHeight="false" outlineLevel="0" collapsed="false">
      <c r="A78" s="0" t="s">
        <v>579</v>
      </c>
      <c r="B78" s="5" t="s">
        <v>29</v>
      </c>
      <c r="C78" s="9" t="n">
        <f aca="false">u_amd_26</f>
        <v>0.75</v>
      </c>
      <c r="D78" s="9" t="n">
        <f aca="false">u_amd_27</f>
        <v>1.5</v>
      </c>
      <c r="E78" s="9" t="n">
        <f aca="false">u_amd_28*um28_C</f>
        <v>1.2</v>
      </c>
      <c r="F78" s="9" t="n">
        <f aca="false">u_amd_28*(1+g29_amd)*um29_C</f>
        <v>1.38</v>
      </c>
    </row>
    <row r="79" customFormat="false" ht="15" hidden="false" customHeight="false" outlineLevel="0" collapsed="false">
      <c r="A79" s="0" t="s">
        <v>580</v>
      </c>
      <c r="B79" s="5" t="s">
        <v>29</v>
      </c>
      <c r="C79" s="9" t="n">
        <f aca="false">u_tpu_26</f>
        <v>3.85</v>
      </c>
      <c r="D79" s="9" t="n">
        <f aca="false">u_tpu_27</f>
        <v>5.5</v>
      </c>
      <c r="E79" s="9" t="n">
        <f aca="false">u_tpu_28*um28_C</f>
        <v>4.2</v>
      </c>
      <c r="F79" s="9" t="n">
        <f aca="false">u_tpu_28*(1+g29_tpu)*um29_C</f>
        <v>4.83</v>
      </c>
    </row>
    <row r="80" customFormat="false" ht="15" hidden="false" customHeight="false" outlineLevel="0" collapsed="false">
      <c r="A80" s="0" t="s">
        <v>581</v>
      </c>
      <c r="B80" s="5" t="s">
        <v>29</v>
      </c>
      <c r="C80" s="9" t="n">
        <f aca="false">u_trn_26</f>
        <v>2</v>
      </c>
      <c r="D80" s="9" t="n">
        <f aca="false">u_trn_27</f>
        <v>2.5</v>
      </c>
      <c r="E80" s="9" t="n">
        <f aca="false">u_trn_28*um28_C</f>
        <v>1.8</v>
      </c>
      <c r="F80" s="9" t="n">
        <f aca="false">u_trn_28*(1+g29_trn)*um29_C</f>
        <v>2.07</v>
      </c>
    </row>
    <row r="81" customFormat="false" ht="17.15" hidden="false" customHeight="false" outlineLevel="0" collapsed="false">
      <c r="A81" s="5" t="s">
        <v>582</v>
      </c>
      <c r="B81" s="5" t="s">
        <v>29</v>
      </c>
      <c r="C81" s="9" t="n">
        <f aca="false">u_oth_26</f>
        <v>1</v>
      </c>
      <c r="D81" s="9" t="n">
        <f aca="false">u_oth_27</f>
        <v>4.5</v>
      </c>
      <c r="E81" s="9" t="n">
        <f aca="false">u_oth_28*um28_C</f>
        <v>3</v>
      </c>
      <c r="F81" s="9" t="n">
        <f aca="false">u_oth_28*(1+g29_oth)*um29_C</f>
        <v>3.45</v>
      </c>
    </row>
    <row r="82" customFormat="false" ht="15" hidden="false" customHeight="false" outlineLevel="0" collapsed="false">
      <c r="A82" s="3" t="s">
        <v>583</v>
      </c>
      <c r="B82" s="5" t="s">
        <v>29</v>
      </c>
      <c r="C82" s="9" t="n">
        <f aca="false">SUM(C74:C81)</f>
        <v>15.2</v>
      </c>
      <c r="D82" s="9" t="n">
        <f aca="false">SUM(D74:D81)</f>
        <v>23.7</v>
      </c>
      <c r="E82" s="9" t="n">
        <f aca="false">SUM(E74:E81)</f>
        <v>15.9</v>
      </c>
      <c r="F82" s="9" t="n">
        <f aca="false">SUM(F74:F81)</f>
        <v>18.09</v>
      </c>
    </row>
    <row r="83" customFormat="false" ht="17.15" hidden="false" customHeight="false" outlineLevel="0" collapsed="false">
      <c r="A83" s="3" t="s">
        <v>584</v>
      </c>
    </row>
    <row r="84" customFormat="false" ht="17.15" hidden="false" customHeight="false" outlineLevel="0" collapsed="false">
      <c r="A84" s="0" t="s">
        <v>575</v>
      </c>
      <c r="B84" s="0" t="s">
        <v>229</v>
      </c>
      <c r="C84" s="19" t="n">
        <f aca="false">u_bw_26*(pm_bw)</f>
        <v>218.16</v>
      </c>
      <c r="D84" s="19" t="n">
        <f aca="false">u_bw_27*(pm_bw)</f>
        <v>96.96</v>
      </c>
      <c r="E84" s="19" t="n">
        <f aca="false">u_bw_28*um28_C*(pm_bw)</f>
        <v>12.12</v>
      </c>
      <c r="F84" s="19" t="n">
        <f aca="false">u_bw_28*(1+g29_bw)*um29_C*(pm_bw)</f>
        <v>6.06</v>
      </c>
    </row>
    <row r="85" customFormat="false" ht="15" hidden="false" customHeight="false" outlineLevel="0" collapsed="false">
      <c r="A85" s="0" t="s">
        <v>576</v>
      </c>
      <c r="B85" s="0" t="s">
        <v>229</v>
      </c>
      <c r="C85" s="19" t="n">
        <f aca="false">u_rb_26*(pm_rb)</f>
        <v>93.5</v>
      </c>
      <c r="D85" s="19" t="n">
        <f aca="false">u_rb_27*(pm_rb)</f>
        <v>385</v>
      </c>
      <c r="E85" s="19" t="n">
        <f aca="false">u_rb_28*um28_C*(pm_rb)</f>
        <v>231</v>
      </c>
      <c r="F85" s="19" t="n">
        <f aca="false">u_rb_28*(1+g29_rb)*um29_C*(pm_rb)</f>
        <v>265.65</v>
      </c>
    </row>
    <row r="86" customFormat="false" ht="15" hidden="false" customHeight="false" outlineLevel="0" collapsed="false">
      <c r="A86" s="0" t="s">
        <v>577</v>
      </c>
      <c r="B86" s="0" t="s">
        <v>229</v>
      </c>
      <c r="C86" s="19" t="n">
        <f aca="false">u_ru_26*(pm_ru)</f>
        <v>0</v>
      </c>
      <c r="D86" s="19" t="n">
        <f aca="false">u_ru_27*(pm_ru)</f>
        <v>22.5</v>
      </c>
      <c r="E86" s="19" t="n">
        <f aca="false">u_ru_28*um28_C*(pm_ru)</f>
        <v>90</v>
      </c>
      <c r="F86" s="19" t="n">
        <f aca="false">u_ru_28*(1+g29_ru)*um29_C*(pm_ru)</f>
        <v>103.5</v>
      </c>
    </row>
    <row r="87" customFormat="false" ht="17.15" hidden="false" customHeight="false" outlineLevel="0" collapsed="false">
      <c r="A87" s="0" t="s">
        <v>578</v>
      </c>
      <c r="B87" s="0" t="s">
        <v>229</v>
      </c>
      <c r="C87" s="19" t="n">
        <f aca="false">u_hp_26*(pm_hp)</f>
        <v>15</v>
      </c>
      <c r="D87" s="19" t="n">
        <f aca="false">u_hp_27*(pm_hp)</f>
        <v>0</v>
      </c>
      <c r="E87" s="19" t="n">
        <f aca="false">u_hp_28*um28_C*(pm_hp)</f>
        <v>0</v>
      </c>
      <c r="F87" s="19" t="n">
        <f aca="false">u_hp_28*(1+g29_hp)*um29_C*(pm_hp)</f>
        <v>0</v>
      </c>
    </row>
    <row r="88" customFormat="false" ht="15" hidden="false" customHeight="false" outlineLevel="0" collapsed="false">
      <c r="A88" s="0" t="s">
        <v>579</v>
      </c>
      <c r="B88" s="0" t="s">
        <v>229</v>
      </c>
      <c r="C88" s="19" t="n">
        <f aca="false">u_amd_26*(pa_amd)</f>
        <v>22.5</v>
      </c>
      <c r="D88" s="19" t="n">
        <f aca="false">u_amd_27*(pa_amd)</f>
        <v>45</v>
      </c>
      <c r="E88" s="19" t="n">
        <f aca="false">u_amd_28*um28_C*(pa_amd)</f>
        <v>36</v>
      </c>
      <c r="F88" s="19" t="n">
        <f aca="false">u_amd_28*(1+g29_amd)*um29_C*(pa_amd)</f>
        <v>41.4</v>
      </c>
    </row>
    <row r="89" customFormat="false" ht="15" hidden="false" customHeight="false" outlineLevel="0" collapsed="false">
      <c r="A89" s="0" t="s">
        <v>580</v>
      </c>
      <c r="B89" s="0" t="s">
        <v>229</v>
      </c>
      <c r="C89" s="19" t="n">
        <f aca="false">u_tpu_26*(pa_tpu)</f>
        <v>46.2</v>
      </c>
      <c r="D89" s="19" t="n">
        <f aca="false">u_tpu_27*(pa_tpu)</f>
        <v>66</v>
      </c>
      <c r="E89" s="19" t="n">
        <f aca="false">u_tpu_28*um28_C*(pa_tpu)</f>
        <v>50.4</v>
      </c>
      <c r="F89" s="19" t="n">
        <f aca="false">u_tpu_28*(1+g29_tpu)*um29_C*(pa_tpu)</f>
        <v>57.96</v>
      </c>
    </row>
    <row r="90" customFormat="false" ht="15" hidden="false" customHeight="false" outlineLevel="0" collapsed="false">
      <c r="A90" s="0" t="s">
        <v>581</v>
      </c>
      <c r="B90" s="0" t="s">
        <v>229</v>
      </c>
      <c r="C90" s="19" t="n">
        <f aca="false">u_trn_26*(pa_trn)</f>
        <v>16</v>
      </c>
      <c r="D90" s="19" t="n">
        <f aca="false">u_trn_27*(pa_trn)</f>
        <v>20</v>
      </c>
      <c r="E90" s="19" t="n">
        <f aca="false">u_trn_28*um28_C*(pa_trn)</f>
        <v>14.4</v>
      </c>
      <c r="F90" s="19" t="n">
        <f aca="false">u_trn_28*(1+g29_trn)*um29_C*(pa_trn)</f>
        <v>16.56</v>
      </c>
    </row>
    <row r="91" customFormat="false" ht="17.15" hidden="false" customHeight="false" outlineLevel="0" collapsed="false">
      <c r="A91" s="5" t="s">
        <v>582</v>
      </c>
      <c r="B91" s="0" t="s">
        <v>229</v>
      </c>
      <c r="C91" s="19" t="n">
        <f aca="false">u_oth_26*(pa_oth)</f>
        <v>8</v>
      </c>
      <c r="D91" s="19" t="n">
        <f aca="false">u_oth_27*(pa_oth)</f>
        <v>36</v>
      </c>
      <c r="E91" s="19" t="n">
        <f aca="false">u_oth_28*um28_C*(pa_oth)</f>
        <v>24</v>
      </c>
      <c r="F91" s="19" t="n">
        <f aca="false">u_oth_28*(1+g29_oth)*um29_C*(pa_oth)</f>
        <v>27.6</v>
      </c>
    </row>
    <row r="92" customFormat="false" ht="15" hidden="false" customHeight="false" outlineLevel="0" collapsed="false">
      <c r="A92" s="3" t="s">
        <v>583</v>
      </c>
      <c r="B92" s="8" t="s">
        <v>229</v>
      </c>
      <c r="C92" s="19" t="n">
        <f aca="false">SUM(C84:C91)</f>
        <v>419.36</v>
      </c>
      <c r="D92" s="19" t="n">
        <f aca="false">SUM(D84:D91)</f>
        <v>671.46</v>
      </c>
      <c r="E92" s="19" t="n">
        <f aca="false">SUM(E84:E91)</f>
        <v>457.92</v>
      </c>
      <c r="F92" s="19" t="n">
        <f aca="false">SUM(F84:F91)</f>
        <v>518.73</v>
      </c>
    </row>
    <row r="93" customFormat="false" ht="15" hidden="false" customHeight="false" outlineLevel="0" collapsed="false">
      <c r="A93" s="3" t="s">
        <v>585</v>
      </c>
    </row>
    <row r="94" customFormat="false" ht="15" hidden="false" customHeight="false" outlineLevel="0" collapsed="false">
      <c r="A94" s="0" t="s">
        <v>586</v>
      </c>
      <c r="B94" s="0" t="s">
        <v>40</v>
      </c>
      <c r="C94" s="17" t="n">
        <f aca="false">(C74+C75+C76+C77)/C82</f>
        <v>0.5</v>
      </c>
      <c r="D94" s="17" t="n">
        <f aca="false">(D74+D75+D76+D77)/D82</f>
        <v>0.409282700421941</v>
      </c>
      <c r="E94" s="17" t="n">
        <f aca="false">(E74+E75+E76+E77)/E82</f>
        <v>0.358490566037736</v>
      </c>
      <c r="F94" s="17" t="n">
        <f aca="false">(F74+F75+F76+F77)/F82</f>
        <v>0.351575456053068</v>
      </c>
    </row>
    <row r="95" customFormat="false" ht="15" hidden="false" customHeight="false" outlineLevel="0" collapsed="false">
      <c r="A95" s="0" t="s">
        <v>587</v>
      </c>
      <c r="B95" s="0" t="s">
        <v>40</v>
      </c>
      <c r="C95" s="17" t="n">
        <f aca="false">(C78)/C82</f>
        <v>0.0493421052631579</v>
      </c>
      <c r="D95" s="17" t="n">
        <f aca="false">(D78)/D82</f>
        <v>0.0632911392405063</v>
      </c>
      <c r="E95" s="17" t="n">
        <f aca="false">(E78)/E82</f>
        <v>0.0754716981132075</v>
      </c>
      <c r="F95" s="17" t="n">
        <f aca="false">(F78)/F82</f>
        <v>0.0762852404643449</v>
      </c>
    </row>
    <row r="96" customFormat="false" ht="15" hidden="false" customHeight="false" outlineLevel="0" collapsed="false">
      <c r="A96" s="0" t="s">
        <v>580</v>
      </c>
      <c r="B96" s="0" t="s">
        <v>40</v>
      </c>
      <c r="C96" s="17" t="n">
        <f aca="false">(C79)/C82</f>
        <v>0.253289473684211</v>
      </c>
      <c r="D96" s="17" t="n">
        <f aca="false">(D79)/D82</f>
        <v>0.232067510548523</v>
      </c>
      <c r="E96" s="17" t="n">
        <f aca="false">(E79)/E82</f>
        <v>0.264150943396226</v>
      </c>
      <c r="F96" s="17" t="n">
        <f aca="false">(F79)/F82</f>
        <v>0.266998341625207</v>
      </c>
    </row>
    <row r="97" customFormat="false" ht="15" hidden="false" customHeight="false" outlineLevel="0" collapsed="false">
      <c r="A97" s="0" t="s">
        <v>581</v>
      </c>
      <c r="B97" s="0" t="s">
        <v>40</v>
      </c>
      <c r="C97" s="17" t="n">
        <f aca="false">(C80)/C82</f>
        <v>0.131578947368421</v>
      </c>
      <c r="D97" s="17" t="n">
        <f aca="false">(D80)/D82</f>
        <v>0.105485232067511</v>
      </c>
      <c r="E97" s="17" t="n">
        <f aca="false">(E80)/E82</f>
        <v>0.113207547169811</v>
      </c>
      <c r="F97" s="17" t="n">
        <f aca="false">(F80)/F82</f>
        <v>0.114427860696517</v>
      </c>
    </row>
    <row r="98" customFormat="false" ht="17.15" hidden="false" customHeight="false" outlineLevel="0" collapsed="false">
      <c r="A98" s="5" t="s">
        <v>588</v>
      </c>
      <c r="B98" s="0" t="s">
        <v>40</v>
      </c>
      <c r="C98" s="17" t="n">
        <f aca="false">(C81)/C82</f>
        <v>0.0657894736842105</v>
      </c>
      <c r="D98" s="17" t="n">
        <f aca="false">(D81)/D82</f>
        <v>0.189873417721519</v>
      </c>
      <c r="E98" s="17" t="n">
        <f aca="false">(E81)/E82</f>
        <v>0.188679245283019</v>
      </c>
      <c r="F98" s="17" t="n">
        <f aca="false">(F81)/F82</f>
        <v>0.190713101160862</v>
      </c>
    </row>
    <row r="99" customFormat="false" ht="15" hidden="false" customHeight="false" outlineLevel="0" collapsed="false">
      <c r="A99" s="3" t="s">
        <v>589</v>
      </c>
    </row>
    <row r="100" customFormat="false" ht="15" hidden="false" customHeight="false" outlineLevel="0" collapsed="false">
      <c r="A100" s="0" t="s">
        <v>586</v>
      </c>
      <c r="B100" s="0" t="s">
        <v>40</v>
      </c>
      <c r="C100" s="17" t="n">
        <f aca="false">(C84+C85+C86+C87)/C92</f>
        <v>0.778948874475391</v>
      </c>
      <c r="D100" s="17" t="n">
        <f aca="false">(D84+D85+D86+D87)/D92</f>
        <v>0.751288237571858</v>
      </c>
      <c r="E100" s="17" t="n">
        <f aca="false">(E84+E85+E86+E87)/E92</f>
        <v>0.727463312368973</v>
      </c>
      <c r="F100" s="17" t="n">
        <f aca="false">(F84+F85+F86+F87)/F92</f>
        <v>0.723324272743046</v>
      </c>
    </row>
    <row r="101" customFormat="false" ht="15" hidden="false" customHeight="false" outlineLevel="0" collapsed="false">
      <c r="A101" s="0" t="s">
        <v>587</v>
      </c>
      <c r="B101" s="0" t="s">
        <v>40</v>
      </c>
      <c r="C101" s="17" t="n">
        <f aca="false">(C88)/C92</f>
        <v>0.0536531858069439</v>
      </c>
      <c r="D101" s="17" t="n">
        <f aca="false">(D88)/D92</f>
        <v>0.0670181395764454</v>
      </c>
      <c r="E101" s="17" t="n">
        <f aca="false">(E88)/E92</f>
        <v>0.0786163522012579</v>
      </c>
      <c r="F101" s="17" t="n">
        <f aca="false">(F88)/F92</f>
        <v>0.0798103059395061</v>
      </c>
    </row>
    <row r="102" customFormat="false" ht="15" hidden="false" customHeight="false" outlineLevel="0" collapsed="false">
      <c r="A102" s="0" t="s">
        <v>580</v>
      </c>
      <c r="B102" s="0" t="s">
        <v>40</v>
      </c>
      <c r="C102" s="17" t="n">
        <f aca="false">(C89)/C92</f>
        <v>0.110167874856925</v>
      </c>
      <c r="D102" s="17" t="n">
        <f aca="false">(D89)/D92</f>
        <v>0.0982932713787865</v>
      </c>
      <c r="E102" s="17" t="n">
        <f aca="false">(E89)/E92</f>
        <v>0.110062893081761</v>
      </c>
      <c r="F102" s="17" t="n">
        <f aca="false">(F89)/F92</f>
        <v>0.111734428315309</v>
      </c>
    </row>
    <row r="103" customFormat="false" ht="15" hidden="false" customHeight="false" outlineLevel="0" collapsed="false">
      <c r="A103" s="0" t="s">
        <v>581</v>
      </c>
      <c r="B103" s="0" t="s">
        <v>40</v>
      </c>
      <c r="C103" s="17" t="n">
        <f aca="false">(C90)/C92</f>
        <v>0.0381533765738268</v>
      </c>
      <c r="D103" s="17" t="n">
        <f aca="false">(D90)/D92</f>
        <v>0.0297858398117535</v>
      </c>
      <c r="E103" s="17" t="n">
        <f aca="false">(E90)/E92</f>
        <v>0.0314465408805031</v>
      </c>
      <c r="F103" s="17" t="n">
        <f aca="false">(F90)/F92</f>
        <v>0.0319241223758024</v>
      </c>
    </row>
    <row r="104" customFormat="false" ht="17.15" hidden="false" customHeight="false" outlineLevel="0" collapsed="false">
      <c r="A104" s="5" t="s">
        <v>588</v>
      </c>
      <c r="B104" s="0" t="s">
        <v>40</v>
      </c>
      <c r="C104" s="17" t="n">
        <f aca="false">(C91)/C92</f>
        <v>0.0190766882869134</v>
      </c>
      <c r="D104" s="17" t="n">
        <f aca="false">(D91)/D92</f>
        <v>0.0536145116611563</v>
      </c>
      <c r="E104" s="17" t="n">
        <f aca="false">(E91)/E92</f>
        <v>0.0524109014675052</v>
      </c>
      <c r="F104" s="17" t="n">
        <f aca="false">(F91)/F92</f>
        <v>0.0532068706263374</v>
      </c>
    </row>
    <row r="106" customFormat="false" ht="17.15" hidden="false" customHeight="false" outlineLevel="0" collapsed="false">
      <c r="A106" s="3" t="s">
        <v>592</v>
      </c>
    </row>
    <row r="108" customFormat="false" ht="17.15" hidden="false" customHeight="false" outlineLevel="0" collapsed="false">
      <c r="A108" s="3" t="s">
        <v>593</v>
      </c>
    </row>
    <row r="109" customFormat="false" ht="17.15" hidden="false" customHeight="false" outlineLevel="0" collapsed="false">
      <c r="A109" s="0" t="s">
        <v>594</v>
      </c>
      <c r="B109" s="0" t="s">
        <v>125</v>
      </c>
      <c r="C109" s="20" t="n">
        <f aca="false">a26_gpu/(u_amd_26*pa_amd)</f>
        <v>0.673483215644445</v>
      </c>
      <c r="D109" s="8" t="s">
        <v>156</v>
      </c>
      <c r="G109" s="5" t="s">
        <v>595</v>
      </c>
    </row>
    <row r="110" customFormat="false" ht="17.15" hidden="false" customHeight="false" outlineLevel="0" collapsed="false">
      <c r="A110" s="0" t="s">
        <v>596</v>
      </c>
      <c r="B110" s="0" t="s">
        <v>155</v>
      </c>
      <c r="C110" s="19" t="n">
        <f aca="false">k_rec*pa_amd</f>
        <v>20.2044964693333</v>
      </c>
      <c r="G110" s="5" t="s">
        <v>597</v>
      </c>
    </row>
    <row r="111" customFormat="false" ht="17.15" hidden="false" customHeight="false" outlineLevel="0" collapsed="false">
      <c r="A111" s="0" t="s">
        <v>598</v>
      </c>
      <c r="B111" s="0" t="s">
        <v>125</v>
      </c>
      <c r="C111" s="20" t="n">
        <f aca="false">gb_amd_26*hbm_A_26/1000/p_real26</f>
        <v>0.208112090612211</v>
      </c>
      <c r="D111" s="8" t="s">
        <v>156</v>
      </c>
      <c r="G111" s="8" t="s">
        <v>599</v>
      </c>
    </row>
    <row r="112" customFormat="false" ht="17.15" hidden="false" customHeight="false" outlineLevel="0" collapsed="false">
      <c r="A112" s="0" t="s">
        <v>600</v>
      </c>
      <c r="B112" s="5" t="s">
        <v>29</v>
      </c>
      <c r="C112" s="9" t="n">
        <f aca="false">u_amd_26*k_rec</f>
        <v>0.505112411733333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K24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0"/>
    <col collapsed="false" customWidth="true" hidden="false" outlineLevel="0" max="2" min="2" style="0" width="14"/>
    <col collapsed="false" customWidth="true" hidden="false" outlineLevel="0" max="7" min="3" style="0" width="13"/>
    <col collapsed="false" customWidth="true" hidden="false" outlineLevel="0" max="8" min="8" style="0" width="70"/>
  </cols>
  <sheetData>
    <row r="1" customFormat="false" ht="17.15" hidden="false" customHeight="false" outlineLevel="0" collapsed="false">
      <c r="A1" s="0" t="s">
        <v>601</v>
      </c>
    </row>
    <row r="3" customFormat="false" ht="15" hidden="false" customHeight="false" outlineLevel="0" collapsed="false">
      <c r="A3" s="6" t="s">
        <v>602</v>
      </c>
      <c r="B3" s="6" t="s">
        <v>19</v>
      </c>
      <c r="C3" s="13" t="s">
        <v>603</v>
      </c>
      <c r="D3" s="13" t="s">
        <v>604</v>
      </c>
      <c r="E3" s="13" t="s">
        <v>605</v>
      </c>
      <c r="F3" s="13" t="s">
        <v>606</v>
      </c>
      <c r="G3" s="13" t="s">
        <v>607</v>
      </c>
      <c r="H3" s="6" t="s">
        <v>572</v>
      </c>
    </row>
    <row r="4" customFormat="false" ht="17.15" hidden="false" customHeight="false" outlineLevel="0" collapsed="false">
      <c r="A4" s="3" t="s">
        <v>608</v>
      </c>
    </row>
    <row r="5" customFormat="false" ht="15" hidden="false" customHeight="false" outlineLevel="0" collapsed="false">
      <c r="A5" s="5" t="s">
        <v>510</v>
      </c>
      <c r="B5" s="0" t="s">
        <v>229</v>
      </c>
      <c r="C5" s="21" t="n">
        <f aca="false">C95</f>
        <v>34.639</v>
      </c>
      <c r="D5" s="21" t="n">
        <f aca="false">D95</f>
        <v>49.6431752</v>
      </c>
      <c r="E5" s="21" t="n">
        <f aca="false">E95</f>
        <v>75.668418636</v>
      </c>
      <c r="F5" s="21" t="n">
        <f aca="false">F95</f>
        <v>93.8335972068667</v>
      </c>
      <c r="G5" s="21" t="n">
        <f aca="false">G95</f>
        <v>105.107835642353</v>
      </c>
    </row>
    <row r="6" customFormat="false" ht="15" hidden="false" customHeight="false" outlineLevel="0" collapsed="false">
      <c r="A6" s="5" t="s">
        <v>609</v>
      </c>
      <c r="B6" s="0" t="s">
        <v>40</v>
      </c>
      <c r="D6" s="17" t="n">
        <f aca="false">D101</f>
        <v>0.433158439908774</v>
      </c>
      <c r="E6" s="17" t="n">
        <f aca="false">E101</f>
        <v>0.524246149267261</v>
      </c>
      <c r="F6" s="17" t="n">
        <f aca="false">F101</f>
        <v>0.240062880899488</v>
      </c>
      <c r="G6" s="17" t="n">
        <f aca="false">G101</f>
        <v>0.120151403879686</v>
      </c>
    </row>
    <row r="7" customFormat="false" ht="15" hidden="false" customHeight="false" outlineLevel="0" collapsed="false">
      <c r="A7" s="0" t="s">
        <v>610</v>
      </c>
      <c r="B7" s="0" t="s">
        <v>229</v>
      </c>
      <c r="C7" s="21" t="n">
        <f aca="false">C96</f>
        <v>16.635</v>
      </c>
      <c r="D7" s="21" t="n">
        <f aca="false">D96</f>
        <v>30.85147</v>
      </c>
      <c r="E7" s="21" t="n">
        <f aca="false">E96</f>
        <v>56.376771176</v>
      </c>
      <c r="F7" s="21" t="n">
        <f aca="false">F96</f>
        <v>73.9636300286667</v>
      </c>
      <c r="G7" s="21" t="n">
        <f aca="false">G96</f>
        <v>84.5794580529667</v>
      </c>
    </row>
    <row r="8" customFormat="false" ht="17.15" hidden="false" customHeight="false" outlineLevel="0" collapsed="false">
      <c r="A8" s="5" t="s">
        <v>611</v>
      </c>
      <c r="B8" s="0" t="s">
        <v>229</v>
      </c>
      <c r="C8" s="21" t="n">
        <f aca="false">C97</f>
        <v>6.5</v>
      </c>
      <c r="D8" s="21" t="n">
        <f aca="false">D97</f>
        <v>15.153372352</v>
      </c>
      <c r="E8" s="21" t="n">
        <f aca="false">E97</f>
        <v>32.829624704</v>
      </c>
      <c r="F8" s="21" t="n">
        <f aca="false">F97</f>
        <v>44.5296969386667</v>
      </c>
      <c r="G8" s="21" t="n">
        <f aca="false">G97</f>
        <v>50.7304349994667</v>
      </c>
    </row>
    <row r="9" customFormat="false" ht="17.15" hidden="false" customHeight="false" outlineLevel="0" collapsed="false">
      <c r="A9" s="5" t="s">
        <v>612</v>
      </c>
      <c r="B9" s="0" t="s">
        <v>229</v>
      </c>
      <c r="C9" s="21" t="n">
        <f aca="false">C98</f>
        <v>10.135</v>
      </c>
      <c r="D9" s="21" t="n">
        <f aca="false">D98</f>
        <v>15.698097648</v>
      </c>
      <c r="E9" s="21" t="n">
        <f aca="false">E98</f>
        <v>23.547146472</v>
      </c>
      <c r="F9" s="21" t="n">
        <f aca="false">F98</f>
        <v>29.43393309</v>
      </c>
      <c r="G9" s="21" t="n">
        <f aca="false">G98</f>
        <v>33.8490230535</v>
      </c>
    </row>
    <row r="10" customFormat="false" ht="17.15" hidden="false" customHeight="false" outlineLevel="0" collapsed="false">
      <c r="A10" s="0" t="s">
        <v>613</v>
      </c>
      <c r="B10" s="0" t="s">
        <v>229</v>
      </c>
      <c r="C10" s="21" t="n">
        <f aca="false">C99</f>
        <v>14.55</v>
      </c>
      <c r="D10" s="21" t="n">
        <f aca="false">D99</f>
        <v>14.720398</v>
      </c>
      <c r="E10" s="21" t="n">
        <f aca="false">E99</f>
        <v>14.81320954</v>
      </c>
      <c r="F10" s="21" t="n">
        <f aca="false">F99</f>
        <v>14.9436854662</v>
      </c>
      <c r="G10" s="21" t="n">
        <f aca="false">G99</f>
        <v>15.109467706186</v>
      </c>
    </row>
    <row r="11" customFormat="false" ht="15" hidden="false" customHeight="false" outlineLevel="0" collapsed="false">
      <c r="A11" s="0" t="s">
        <v>614</v>
      </c>
      <c r="B11" s="0" t="s">
        <v>229</v>
      </c>
      <c r="C11" s="21" t="n">
        <f aca="false">C100</f>
        <v>3.454</v>
      </c>
      <c r="D11" s="21" t="n">
        <f aca="false">D100</f>
        <v>4.0713072</v>
      </c>
      <c r="E11" s="21" t="n">
        <f aca="false">E100</f>
        <v>4.47843792</v>
      </c>
      <c r="F11" s="21" t="n">
        <f aca="false">F100</f>
        <v>4.926281712</v>
      </c>
      <c r="G11" s="21" t="n">
        <f aca="false">G100</f>
        <v>5.4189098832</v>
      </c>
    </row>
    <row r="12" customFormat="false" ht="15" hidden="false" customHeight="false" outlineLevel="0" collapsed="false">
      <c r="A12" s="5" t="s">
        <v>615</v>
      </c>
      <c r="B12" s="0" t="s">
        <v>40</v>
      </c>
      <c r="C12" s="17" t="n">
        <f aca="false">C103</f>
        <v>0.524408903259332</v>
      </c>
      <c r="D12" s="17" t="n">
        <f aca="false">D103</f>
        <v>0.557922959690137</v>
      </c>
      <c r="E12" s="17" t="n">
        <f aca="false">E103</f>
        <v>0.497188136060135</v>
      </c>
      <c r="F12" s="17" t="n">
        <f aca="false">F103</f>
        <v>0.477934372095612</v>
      </c>
      <c r="G12" s="17" t="n">
        <f aca="false">G103</f>
        <v>0.482336296288716</v>
      </c>
    </row>
    <row r="13" customFormat="false" ht="15" hidden="false" customHeight="false" outlineLevel="0" collapsed="false">
      <c r="A13" s="5" t="s">
        <v>616</v>
      </c>
      <c r="B13" s="0" t="s">
        <v>229</v>
      </c>
      <c r="C13" s="21" t="n">
        <f aca="false">C106</f>
        <v>7.768</v>
      </c>
      <c r="D13" s="21" t="n">
        <f aca="false">D106</f>
        <v>13.675567236</v>
      </c>
      <c r="E13" s="21" t="n">
        <f aca="false">E106</f>
        <v>17.6840103182269</v>
      </c>
      <c r="F13" s="21" t="n">
        <f aca="false">F106</f>
        <v>21.0568611633398</v>
      </c>
      <c r="G13" s="21" t="n">
        <f aca="false">G106</f>
        <v>24.6074681046867</v>
      </c>
    </row>
    <row r="14" customFormat="false" ht="15" hidden="false" customHeight="false" outlineLevel="0" collapsed="false">
      <c r="A14" s="5" t="s">
        <v>617</v>
      </c>
      <c r="B14" s="0" t="s">
        <v>40</v>
      </c>
      <c r="C14" s="17" t="n">
        <f aca="false">C107</f>
        <v>0.22425589653281</v>
      </c>
      <c r="D14" s="17" t="n">
        <f aca="false">D107</f>
        <v>0.275477287278756</v>
      </c>
      <c r="E14" s="17" t="n">
        <f aca="false">E107</f>
        <v>0.233703976335162</v>
      </c>
      <c r="F14" s="17" t="n">
        <f aca="false">F107</f>
        <v>0.224406415080918</v>
      </c>
      <c r="G14" s="17" t="n">
        <f aca="false">G107</f>
        <v>0.234116400117093</v>
      </c>
    </row>
    <row r="15" customFormat="false" ht="17.15" hidden="false" customHeight="false" outlineLevel="0" collapsed="false">
      <c r="A15" s="5" t="s">
        <v>547</v>
      </c>
      <c r="B15" s="0" t="s">
        <v>229</v>
      </c>
      <c r="C15" s="21" t="n">
        <f aca="false">C110</f>
        <v>6.831</v>
      </c>
      <c r="D15" s="21" t="n">
        <f aca="false">D110</f>
        <v>12.11686349532</v>
      </c>
      <c r="E15" s="21" t="n">
        <f aca="false">E110</f>
        <v>15.5590889768574</v>
      </c>
      <c r="F15" s="21" t="n">
        <f aca="false">F110</f>
        <v>18.4934692121056</v>
      </c>
      <c r="G15" s="21" t="n">
        <f aca="false">G110</f>
        <v>21.5824972510774</v>
      </c>
    </row>
    <row r="16" customFormat="false" ht="15" hidden="false" customHeight="false" outlineLevel="0" collapsed="false">
      <c r="A16" s="5" t="s">
        <v>618</v>
      </c>
      <c r="B16" s="5" t="s">
        <v>309</v>
      </c>
      <c r="C16" s="16" t="n">
        <f aca="false">C113</f>
        <v>1.636</v>
      </c>
      <c r="D16" s="16" t="n">
        <f aca="false">D113</f>
        <v>1.6585805</v>
      </c>
      <c r="E16" s="16" t="n">
        <f aca="false">E113</f>
        <v>1.70183297166667</v>
      </c>
      <c r="F16" s="16" t="n">
        <f aca="false">F113</f>
        <v>1.77191796805</v>
      </c>
      <c r="G16" s="16" t="n">
        <f aca="false">G113</f>
        <v>1.84217048106383</v>
      </c>
    </row>
    <row r="17" customFormat="false" ht="17.15" hidden="false" customHeight="false" outlineLevel="0" collapsed="false">
      <c r="A17" s="0" t="s">
        <v>619</v>
      </c>
      <c r="B17" s="0" t="s">
        <v>396</v>
      </c>
      <c r="C17" s="9" t="n">
        <f aca="false">C114</f>
        <v>4.17542787286064</v>
      </c>
      <c r="D17" s="9" t="n">
        <f aca="false">D114</f>
        <v>7.30556249474777</v>
      </c>
      <c r="E17" s="9" t="n">
        <f aca="false">E114</f>
        <v>9.14254761536311</v>
      </c>
      <c r="F17" s="9" t="n">
        <f aca="false">F114</f>
        <v>10.4369782041647</v>
      </c>
      <c r="G17" s="9" t="n">
        <f aca="false">G114</f>
        <v>11.7157980072581</v>
      </c>
    </row>
    <row r="18" customFormat="false" ht="17.15" hidden="false" customHeight="false" outlineLevel="0" collapsed="false">
      <c r="A18" s="0" t="s">
        <v>620</v>
      </c>
      <c r="B18" s="0" t="s">
        <v>40</v>
      </c>
      <c r="D18" s="17" t="n">
        <f aca="false">D115</f>
        <v>0.749656015430735</v>
      </c>
      <c r="E18" s="17" t="n">
        <f aca="false">E115</f>
        <v>0.251450195920713</v>
      </c>
      <c r="F18" s="17" t="n">
        <f aca="false">F115</f>
        <v>0.14158313888641</v>
      </c>
      <c r="G18" s="17" t="n">
        <f aca="false">G115</f>
        <v>0.122527783241242</v>
      </c>
    </row>
    <row r="20" customFormat="false" ht="17.15" hidden="false" customHeight="false" outlineLevel="0" collapsed="false">
      <c r="A20" s="3" t="s">
        <v>621</v>
      </c>
    </row>
    <row r="21" customFormat="false" ht="15" hidden="false" customHeight="false" outlineLevel="0" collapsed="false">
      <c r="A21" s="5" t="s">
        <v>510</v>
      </c>
      <c r="B21" s="0" t="s">
        <v>229</v>
      </c>
      <c r="C21" s="21" t="n">
        <f aca="false">C143</f>
        <v>34.639</v>
      </c>
      <c r="D21" s="21" t="n">
        <f aca="false">D143</f>
        <v>49.6431752</v>
      </c>
      <c r="E21" s="21" t="n">
        <f aca="false">E143</f>
        <v>75.668418636</v>
      </c>
      <c r="F21" s="21" t="n">
        <f aca="false">F143</f>
        <v>82.8084386191333</v>
      </c>
      <c r="G21" s="21" t="n">
        <f aca="false">G143</f>
        <v>95.3157584404327</v>
      </c>
    </row>
    <row r="22" customFormat="false" ht="15" hidden="false" customHeight="false" outlineLevel="0" collapsed="false">
      <c r="A22" s="5" t="s">
        <v>609</v>
      </c>
      <c r="B22" s="0" t="s">
        <v>40</v>
      </c>
      <c r="D22" s="17" t="n">
        <f aca="false">D149</f>
        <v>0.433158439908774</v>
      </c>
      <c r="E22" s="17" t="n">
        <f aca="false">E149</f>
        <v>0.524246149267261</v>
      </c>
      <c r="F22" s="17" t="n">
        <f aca="false">F149</f>
        <v>0.0943593127997047</v>
      </c>
      <c r="G22" s="17" t="n">
        <f aca="false">G149</f>
        <v>0.151039193950089</v>
      </c>
    </row>
    <row r="23" customFormat="false" ht="15" hidden="false" customHeight="false" outlineLevel="0" collapsed="false">
      <c r="A23" s="0" t="s">
        <v>610</v>
      </c>
      <c r="B23" s="0" t="s">
        <v>229</v>
      </c>
      <c r="C23" s="21" t="n">
        <f aca="false">C144</f>
        <v>16.635</v>
      </c>
      <c r="D23" s="21" t="n">
        <f aca="false">D144</f>
        <v>30.85147</v>
      </c>
      <c r="E23" s="21" t="n">
        <f aca="false">E144</f>
        <v>56.376771176</v>
      </c>
      <c r="F23" s="21" t="n">
        <f aca="false">F144</f>
        <v>62.9384714409333</v>
      </c>
      <c r="G23" s="21" t="n">
        <f aca="false">G144</f>
        <v>74.7873808510467</v>
      </c>
    </row>
    <row r="24" customFormat="false" ht="17.15" hidden="false" customHeight="false" outlineLevel="0" collapsed="false">
      <c r="A24" s="5" t="s">
        <v>611</v>
      </c>
      <c r="B24" s="0" t="s">
        <v>229</v>
      </c>
      <c r="C24" s="21" t="n">
        <f aca="false">C145</f>
        <v>6.5</v>
      </c>
      <c r="D24" s="21" t="n">
        <f aca="false">D145</f>
        <v>15.153372352</v>
      </c>
      <c r="E24" s="21" t="n">
        <f aca="false">E145</f>
        <v>32.829624704</v>
      </c>
      <c r="F24" s="21" t="n">
        <f aca="false">F145</f>
        <v>33.5045383509333</v>
      </c>
      <c r="G24" s="21" t="n">
        <f aca="false">G145</f>
        <v>40.9383577975467</v>
      </c>
    </row>
    <row r="25" customFormat="false" ht="17.15" hidden="false" customHeight="false" outlineLevel="0" collapsed="false">
      <c r="A25" s="5" t="s">
        <v>612</v>
      </c>
      <c r="B25" s="0" t="s">
        <v>229</v>
      </c>
      <c r="C25" s="21" t="n">
        <f aca="false">C146</f>
        <v>10.135</v>
      </c>
      <c r="D25" s="21" t="n">
        <f aca="false">D146</f>
        <v>15.698097648</v>
      </c>
      <c r="E25" s="21" t="n">
        <f aca="false">E146</f>
        <v>23.547146472</v>
      </c>
      <c r="F25" s="21" t="n">
        <f aca="false">F146</f>
        <v>29.43393309</v>
      </c>
      <c r="G25" s="21" t="n">
        <f aca="false">G146</f>
        <v>33.8490230535</v>
      </c>
    </row>
    <row r="26" customFormat="false" ht="17.15" hidden="false" customHeight="false" outlineLevel="0" collapsed="false">
      <c r="A26" s="0" t="s">
        <v>613</v>
      </c>
      <c r="B26" s="0" t="s">
        <v>229</v>
      </c>
      <c r="C26" s="21" t="n">
        <f aca="false">C147</f>
        <v>14.55</v>
      </c>
      <c r="D26" s="21" t="n">
        <f aca="false">D147</f>
        <v>14.720398</v>
      </c>
      <c r="E26" s="21" t="n">
        <f aca="false">E147</f>
        <v>14.81320954</v>
      </c>
      <c r="F26" s="21" t="n">
        <f aca="false">F147</f>
        <v>14.9436854662</v>
      </c>
      <c r="G26" s="21" t="n">
        <f aca="false">G147</f>
        <v>15.109467706186</v>
      </c>
    </row>
    <row r="27" customFormat="false" ht="15" hidden="false" customHeight="false" outlineLevel="0" collapsed="false">
      <c r="A27" s="0" t="s">
        <v>614</v>
      </c>
      <c r="B27" s="0" t="s">
        <v>229</v>
      </c>
      <c r="C27" s="21" t="n">
        <f aca="false">C148</f>
        <v>3.454</v>
      </c>
      <c r="D27" s="21" t="n">
        <f aca="false">D148</f>
        <v>4.0713072</v>
      </c>
      <c r="E27" s="21" t="n">
        <f aca="false">E148</f>
        <v>4.47843792</v>
      </c>
      <c r="F27" s="21" t="n">
        <f aca="false">F148</f>
        <v>4.926281712</v>
      </c>
      <c r="G27" s="21" t="n">
        <f aca="false">G148</f>
        <v>5.4189098832</v>
      </c>
    </row>
    <row r="28" customFormat="false" ht="15" hidden="false" customHeight="false" outlineLevel="0" collapsed="false">
      <c r="A28" s="5" t="s">
        <v>615</v>
      </c>
      <c r="B28" s="0" t="s">
        <v>40</v>
      </c>
      <c r="C28" s="17" t="n">
        <f aca="false">C151</f>
        <v>0.524408903259332</v>
      </c>
      <c r="D28" s="17" t="n">
        <f aca="false">D151</f>
        <v>0.557922959690137</v>
      </c>
      <c r="E28" s="17" t="n">
        <f aca="false">E151</f>
        <v>0.497188136060135</v>
      </c>
      <c r="F28" s="17" t="n">
        <f aca="false">F151</f>
        <v>0.528312848282123</v>
      </c>
      <c r="G28" s="17" t="n">
        <f aca="false">G151</f>
        <v>0.524924474739021</v>
      </c>
    </row>
    <row r="29" customFormat="false" ht="15" hidden="false" customHeight="false" outlineLevel="0" collapsed="false">
      <c r="A29" s="5" t="s">
        <v>616</v>
      </c>
      <c r="B29" s="0" t="s">
        <v>229</v>
      </c>
      <c r="C29" s="21" t="n">
        <f aca="false">C154</f>
        <v>7.768</v>
      </c>
      <c r="D29" s="21" t="n">
        <f aca="false">D154</f>
        <v>13.675567236</v>
      </c>
      <c r="E29" s="21" t="n">
        <f aca="false">E154</f>
        <v>17.6840103182269</v>
      </c>
      <c r="F29" s="21" t="n">
        <f aca="false">F154</f>
        <v>22.2972579622707</v>
      </c>
      <c r="G29" s="21" t="n">
        <f aca="false">G154</f>
        <v>25.9744720385698</v>
      </c>
    </row>
    <row r="30" customFormat="false" ht="15" hidden="false" customHeight="false" outlineLevel="0" collapsed="false">
      <c r="A30" s="5" t="s">
        <v>617</v>
      </c>
      <c r="B30" s="0" t="s">
        <v>40</v>
      </c>
      <c r="C30" s="17" t="n">
        <f aca="false">C155</f>
        <v>0.22425589653281</v>
      </c>
      <c r="D30" s="17" t="n">
        <f aca="false">D155</f>
        <v>0.275477287278756</v>
      </c>
      <c r="E30" s="17" t="n">
        <f aca="false">E155</f>
        <v>0.233703976335162</v>
      </c>
      <c r="F30" s="17" t="n">
        <f aca="false">F155</f>
        <v>0.269263112963934</v>
      </c>
      <c r="G30" s="17" t="n">
        <f aca="false">G155</f>
        <v>0.272509734629059</v>
      </c>
    </row>
    <row r="31" customFormat="false" ht="17.15" hidden="false" customHeight="false" outlineLevel="0" collapsed="false">
      <c r="A31" s="5" t="s">
        <v>547</v>
      </c>
      <c r="B31" s="0" t="s">
        <v>229</v>
      </c>
      <c r="C31" s="21" t="n">
        <f aca="false">C158</f>
        <v>6.831</v>
      </c>
      <c r="D31" s="21" t="n">
        <f aca="false">D158</f>
        <v>12.11686349532</v>
      </c>
      <c r="E31" s="21" t="n">
        <f aca="false">E158</f>
        <v>15.5590889768574</v>
      </c>
      <c r="F31" s="21" t="n">
        <f aca="false">F158</f>
        <v>19.5726144271755</v>
      </c>
      <c r="G31" s="21" t="n">
        <f aca="false">G158</f>
        <v>22.7717906735557</v>
      </c>
    </row>
    <row r="32" customFormat="false" ht="15" hidden="false" customHeight="false" outlineLevel="0" collapsed="false">
      <c r="A32" s="5" t="s">
        <v>618</v>
      </c>
      <c r="B32" s="5" t="s">
        <v>309</v>
      </c>
      <c r="C32" s="16" t="n">
        <f aca="false">C161</f>
        <v>1.636</v>
      </c>
      <c r="D32" s="16" t="n">
        <f aca="false">D161</f>
        <v>1.6585805</v>
      </c>
      <c r="E32" s="16" t="n">
        <f aca="false">E161</f>
        <v>1.70183297166667</v>
      </c>
      <c r="F32" s="16" t="n">
        <f aca="false">F161</f>
        <v>1.76125130138333</v>
      </c>
      <c r="G32" s="16" t="n">
        <f aca="false">G161</f>
        <v>1.81950381439717</v>
      </c>
    </row>
    <row r="33" customFormat="false" ht="17.15" hidden="false" customHeight="false" outlineLevel="0" collapsed="false">
      <c r="A33" s="0" t="s">
        <v>619</v>
      </c>
      <c r="B33" s="0" t="s">
        <v>396</v>
      </c>
      <c r="C33" s="9" t="n">
        <f aca="false">C162</f>
        <v>4.17542787286064</v>
      </c>
      <c r="D33" s="9" t="n">
        <f aca="false">D162</f>
        <v>7.30556249474777</v>
      </c>
      <c r="E33" s="9" t="n">
        <f aca="false">E162</f>
        <v>9.14254761536311</v>
      </c>
      <c r="F33" s="9" t="n">
        <f aca="false">F162</f>
        <v>11.1129027480648</v>
      </c>
      <c r="G33" s="9" t="n">
        <f aca="false">G162</f>
        <v>12.5153849601027</v>
      </c>
    </row>
    <row r="34" customFormat="false" ht="17.15" hidden="false" customHeight="false" outlineLevel="0" collapsed="false">
      <c r="A34" s="0" t="s">
        <v>620</v>
      </c>
      <c r="B34" s="0" t="s">
        <v>40</v>
      </c>
      <c r="D34" s="17" t="n">
        <f aca="false">D163</f>
        <v>0.749656015430735</v>
      </c>
      <c r="E34" s="17" t="n">
        <f aca="false">E163</f>
        <v>0.251450195920713</v>
      </c>
      <c r="F34" s="17" t="n">
        <f aca="false">F163</f>
        <v>0.215514888803061</v>
      </c>
      <c r="G34" s="17" t="n">
        <f aca="false">G163</f>
        <v>0.126203049179218</v>
      </c>
    </row>
    <row r="36" customFormat="false" ht="17.15" hidden="false" customHeight="false" outlineLevel="0" collapsed="false">
      <c r="A36" s="3" t="s">
        <v>622</v>
      </c>
    </row>
    <row r="37" customFormat="false" ht="15" hidden="false" customHeight="false" outlineLevel="0" collapsed="false">
      <c r="A37" s="5" t="s">
        <v>510</v>
      </c>
      <c r="B37" s="0" t="s">
        <v>229</v>
      </c>
      <c r="C37" s="21" t="n">
        <f aca="false">C191</f>
        <v>34.639</v>
      </c>
      <c r="D37" s="21" t="n">
        <f aca="false">D191</f>
        <v>49.6431752</v>
      </c>
      <c r="E37" s="21" t="n">
        <f aca="false">E191</f>
        <v>75.668418636</v>
      </c>
      <c r="F37" s="21" t="n">
        <f aca="false">F191</f>
        <v>73.7511264314</v>
      </c>
      <c r="G37" s="21" t="n">
        <f aca="false">G191</f>
        <v>82.648381578566</v>
      </c>
    </row>
    <row r="38" customFormat="false" ht="15" hidden="false" customHeight="false" outlineLevel="0" collapsed="false">
      <c r="A38" s="5" t="s">
        <v>609</v>
      </c>
      <c r="B38" s="0" t="s">
        <v>40</v>
      </c>
      <c r="D38" s="17" t="n">
        <f aca="false">D197</f>
        <v>0.433158439908774</v>
      </c>
      <c r="E38" s="17" t="n">
        <f aca="false">E197</f>
        <v>0.524246149267261</v>
      </c>
      <c r="F38" s="17" t="n">
        <f aca="false">F197</f>
        <v>-0.0253380768246666</v>
      </c>
      <c r="G38" s="17" t="n">
        <f aca="false">G197</f>
        <v>0.120638905162239</v>
      </c>
    </row>
    <row r="39" customFormat="false" ht="15" hidden="false" customHeight="false" outlineLevel="0" collapsed="false">
      <c r="A39" s="0" t="s">
        <v>610</v>
      </c>
      <c r="B39" s="0" t="s">
        <v>229</v>
      </c>
      <c r="C39" s="21" t="n">
        <f aca="false">C192</f>
        <v>16.635</v>
      </c>
      <c r="D39" s="21" t="n">
        <f aca="false">D192</f>
        <v>30.85147</v>
      </c>
      <c r="E39" s="21" t="n">
        <f aca="false">E192</f>
        <v>56.376771176</v>
      </c>
      <c r="F39" s="21" t="n">
        <f aca="false">F192</f>
        <v>53.8811592532</v>
      </c>
      <c r="G39" s="21" t="n">
        <f aca="false">G192</f>
        <v>62.12000398918</v>
      </c>
    </row>
    <row r="40" customFormat="false" ht="17.15" hidden="false" customHeight="false" outlineLevel="0" collapsed="false">
      <c r="A40" s="5" t="s">
        <v>611</v>
      </c>
      <c r="B40" s="0" t="s">
        <v>229</v>
      </c>
      <c r="C40" s="21" t="n">
        <f aca="false">C193</f>
        <v>6.5</v>
      </c>
      <c r="D40" s="21" t="n">
        <f aca="false">D193</f>
        <v>15.153372352</v>
      </c>
      <c r="E40" s="21" t="n">
        <f aca="false">E193</f>
        <v>32.829624704</v>
      </c>
      <c r="F40" s="21" t="n">
        <f aca="false">F193</f>
        <v>24.4472261632</v>
      </c>
      <c r="G40" s="21" t="n">
        <f aca="false">G193</f>
        <v>28.27098093568</v>
      </c>
    </row>
    <row r="41" customFormat="false" ht="17.15" hidden="false" customHeight="false" outlineLevel="0" collapsed="false">
      <c r="A41" s="5" t="s">
        <v>612</v>
      </c>
      <c r="B41" s="0" t="s">
        <v>229</v>
      </c>
      <c r="C41" s="21" t="n">
        <f aca="false">C194</f>
        <v>10.135</v>
      </c>
      <c r="D41" s="21" t="n">
        <f aca="false">D194</f>
        <v>15.698097648</v>
      </c>
      <c r="E41" s="21" t="n">
        <f aca="false">E194</f>
        <v>23.547146472</v>
      </c>
      <c r="F41" s="21" t="n">
        <f aca="false">F194</f>
        <v>29.43393309</v>
      </c>
      <c r="G41" s="21" t="n">
        <f aca="false">G194</f>
        <v>33.8490230535</v>
      </c>
    </row>
    <row r="42" customFormat="false" ht="17.15" hidden="false" customHeight="false" outlineLevel="0" collapsed="false">
      <c r="A42" s="0" t="s">
        <v>613</v>
      </c>
      <c r="B42" s="0" t="s">
        <v>229</v>
      </c>
      <c r="C42" s="21" t="n">
        <f aca="false">C195</f>
        <v>14.55</v>
      </c>
      <c r="D42" s="21" t="n">
        <f aca="false">D195</f>
        <v>14.720398</v>
      </c>
      <c r="E42" s="21" t="n">
        <f aca="false">E195</f>
        <v>14.81320954</v>
      </c>
      <c r="F42" s="21" t="n">
        <f aca="false">F195</f>
        <v>14.9436854662</v>
      </c>
      <c r="G42" s="21" t="n">
        <f aca="false">G195</f>
        <v>15.109467706186</v>
      </c>
    </row>
    <row r="43" customFormat="false" ht="15" hidden="false" customHeight="false" outlineLevel="0" collapsed="false">
      <c r="A43" s="0" t="s">
        <v>614</v>
      </c>
      <c r="B43" s="0" t="s">
        <v>229</v>
      </c>
      <c r="C43" s="21" t="n">
        <f aca="false">C196</f>
        <v>3.454</v>
      </c>
      <c r="D43" s="21" t="n">
        <f aca="false">D196</f>
        <v>4.0713072</v>
      </c>
      <c r="E43" s="21" t="n">
        <f aca="false">E196</f>
        <v>4.47843792</v>
      </c>
      <c r="F43" s="21" t="n">
        <f aca="false">F196</f>
        <v>4.926281712</v>
      </c>
      <c r="G43" s="21" t="n">
        <f aca="false">G196</f>
        <v>5.4189098832</v>
      </c>
    </row>
    <row r="44" customFormat="false" ht="15" hidden="false" customHeight="false" outlineLevel="0" collapsed="false">
      <c r="A44" s="5" t="s">
        <v>615</v>
      </c>
      <c r="B44" s="0" t="s">
        <v>40</v>
      </c>
      <c r="C44" s="17" t="n">
        <f aca="false">C199</f>
        <v>0.524408903259332</v>
      </c>
      <c r="D44" s="17" t="n">
        <f aca="false">D199</f>
        <v>0.557922959690137</v>
      </c>
      <c r="E44" s="17" t="n">
        <f aca="false">E199</f>
        <v>0.497188136060135</v>
      </c>
      <c r="F44" s="17" t="n">
        <f aca="false">F199</f>
        <v>0.551630576282044</v>
      </c>
      <c r="G44" s="17" t="n">
        <f aca="false">G199</f>
        <v>0.547797455026072</v>
      </c>
    </row>
    <row r="45" customFormat="false" ht="15" hidden="false" customHeight="false" outlineLevel="0" collapsed="false">
      <c r="A45" s="5" t="s">
        <v>616</v>
      </c>
      <c r="B45" s="0" t="s">
        <v>229</v>
      </c>
      <c r="C45" s="21" t="n">
        <f aca="false">C202</f>
        <v>7.768</v>
      </c>
      <c r="D45" s="21" t="n">
        <f aca="false">D202</f>
        <v>13.675567236</v>
      </c>
      <c r="E45" s="21" t="n">
        <f aca="false">E202</f>
        <v>17.6840103182269</v>
      </c>
      <c r="F45" s="21" t="n">
        <f aca="false">F202</f>
        <v>19.7490751876779</v>
      </c>
      <c r="G45" s="21" t="n">
        <f aca="false">G202</f>
        <v>22.3077317471716</v>
      </c>
    </row>
    <row r="46" customFormat="false" ht="15" hidden="false" customHeight="false" outlineLevel="0" collapsed="false">
      <c r="A46" s="5" t="s">
        <v>617</v>
      </c>
      <c r="B46" s="0" t="s">
        <v>40</v>
      </c>
      <c r="C46" s="17" t="n">
        <f aca="false">C203</f>
        <v>0.22425589653281</v>
      </c>
      <c r="D46" s="17" t="n">
        <f aca="false">D203</f>
        <v>0.275477287278756</v>
      </c>
      <c r="E46" s="17" t="n">
        <f aca="false">E203</f>
        <v>0.233703976335162</v>
      </c>
      <c r="F46" s="17" t="n">
        <f aca="false">F203</f>
        <v>0.267779980364742</v>
      </c>
      <c r="G46" s="17" t="n">
        <f aca="false">G203</f>
        <v>0.2699112955523</v>
      </c>
    </row>
    <row r="47" customFormat="false" ht="17.15" hidden="false" customHeight="false" outlineLevel="0" collapsed="false">
      <c r="A47" s="5" t="s">
        <v>547</v>
      </c>
      <c r="B47" s="0" t="s">
        <v>229</v>
      </c>
      <c r="C47" s="21" t="n">
        <f aca="false">C206</f>
        <v>6.831</v>
      </c>
      <c r="D47" s="21" t="n">
        <f aca="false">D206</f>
        <v>12.11686349532</v>
      </c>
      <c r="E47" s="21" t="n">
        <f aca="false">E206</f>
        <v>15.5590889768574</v>
      </c>
      <c r="F47" s="21" t="n">
        <f aca="false">F206</f>
        <v>17.3556954132798</v>
      </c>
      <c r="G47" s="21" t="n">
        <f aca="false">G206</f>
        <v>19.5817266200393</v>
      </c>
    </row>
    <row r="48" customFormat="false" ht="15" hidden="false" customHeight="false" outlineLevel="0" collapsed="false">
      <c r="A48" s="5" t="s">
        <v>618</v>
      </c>
      <c r="B48" s="5" t="s">
        <v>309</v>
      </c>
      <c r="C48" s="16" t="n">
        <f aca="false">C209</f>
        <v>1.636</v>
      </c>
      <c r="D48" s="16" t="n">
        <f aca="false">D209</f>
        <v>1.6585805</v>
      </c>
      <c r="E48" s="16" t="n">
        <f aca="false">E209</f>
        <v>1.70183297166667</v>
      </c>
      <c r="F48" s="16" t="n">
        <f aca="false">F209</f>
        <v>1.75058463471667</v>
      </c>
      <c r="G48" s="16" t="n">
        <f aca="false">G209</f>
        <v>1.7888371477305</v>
      </c>
    </row>
    <row r="49" customFormat="false" ht="17.15" hidden="false" customHeight="false" outlineLevel="0" collapsed="false">
      <c r="A49" s="0" t="s">
        <v>619</v>
      </c>
      <c r="B49" s="0" t="s">
        <v>396</v>
      </c>
      <c r="C49" s="9" t="n">
        <f aca="false">C210</f>
        <v>4.17542787286064</v>
      </c>
      <c r="D49" s="9" t="n">
        <f aca="false">D210</f>
        <v>7.30556249474777</v>
      </c>
      <c r="E49" s="9" t="n">
        <f aca="false">E210</f>
        <v>9.14254761536311</v>
      </c>
      <c r="F49" s="9" t="n">
        <f aca="false">F210</f>
        <v>9.91422812076083</v>
      </c>
      <c r="G49" s="9" t="n">
        <f aca="false">G210</f>
        <v>10.9466234223069</v>
      </c>
    </row>
    <row r="50" customFormat="false" ht="17.15" hidden="false" customHeight="false" outlineLevel="0" collapsed="false">
      <c r="A50" s="0" t="s">
        <v>620</v>
      </c>
      <c r="B50" s="0" t="s">
        <v>40</v>
      </c>
      <c r="D50" s="17" t="n">
        <f aca="false">D211</f>
        <v>0.749656015430735</v>
      </c>
      <c r="E50" s="17" t="n">
        <f aca="false">E211</f>
        <v>0.251450195920713</v>
      </c>
      <c r="F50" s="17" t="n">
        <f aca="false">F211</f>
        <v>0.0844054127868026</v>
      </c>
      <c r="G50" s="17" t="n">
        <f aca="false">G211</f>
        <v>0.104132695855985</v>
      </c>
    </row>
    <row r="52" customFormat="false" ht="17.15" hidden="false" customHeight="false" outlineLevel="0" collapsed="false">
      <c r="A52" s="3" t="s">
        <v>623</v>
      </c>
    </row>
    <row r="53" customFormat="false" ht="17.15" hidden="false" customHeight="false" outlineLevel="0" collapsed="false">
      <c r="A53" s="5" t="s">
        <v>624</v>
      </c>
      <c r="D53" s="20" t="n">
        <f aca="false">D91-a26_rev</f>
        <v>0</v>
      </c>
    </row>
    <row r="54" customFormat="false" ht="17.15" hidden="false" customHeight="false" outlineLevel="0" collapsed="false">
      <c r="A54" s="5" t="s">
        <v>625</v>
      </c>
      <c r="D54" s="20" t="n">
        <f aca="false">D93-a26_gp/a26_rev</f>
        <v>0</v>
      </c>
    </row>
    <row r="70" customFormat="false" ht="17.15" hidden="false" customHeight="false" outlineLevel="0" collapsed="false">
      <c r="A70" s="3" t="s">
        <v>626</v>
      </c>
    </row>
    <row r="71" customFormat="false" ht="15" hidden="false" customHeight="false" outlineLevel="0" collapsed="false">
      <c r="A71" s="6" t="s">
        <v>18</v>
      </c>
      <c r="B71" s="6" t="s">
        <v>19</v>
      </c>
      <c r="C71" s="13" t="s">
        <v>603</v>
      </c>
      <c r="D71" s="13" t="s">
        <v>604</v>
      </c>
      <c r="E71" s="13" t="s">
        <v>605</v>
      </c>
      <c r="F71" s="13" t="s">
        <v>606</v>
      </c>
      <c r="G71" s="13" t="s">
        <v>607</v>
      </c>
      <c r="H71" s="6" t="s">
        <v>572</v>
      </c>
    </row>
    <row r="72" customFormat="false" ht="17.15" hidden="false" customHeight="false" outlineLevel="0" collapsed="false">
      <c r="A72" s="1" t="s">
        <v>627</v>
      </c>
    </row>
    <row r="73" customFormat="false" ht="17.15" hidden="false" customHeight="false" outlineLevel="0" collapsed="false">
      <c r="A73" s="0" t="s">
        <v>628</v>
      </c>
      <c r="B73" s="0" t="s">
        <v>125</v>
      </c>
      <c r="D73" s="16" t="n">
        <f aca="false">k_rec</f>
        <v>0.673483215644445</v>
      </c>
      <c r="E73" s="16" t="n">
        <f aca="false">k_rec*1</f>
        <v>0.673483215644445</v>
      </c>
      <c r="F73" s="16" t="n">
        <f aca="false">k_rec*1</f>
        <v>0.673483215644445</v>
      </c>
      <c r="G73" s="16" t="n">
        <f aca="false">k_rec*1</f>
        <v>0.673483215644445</v>
      </c>
    </row>
    <row r="74" customFormat="false" ht="17.15" hidden="false" customHeight="false" outlineLevel="0" collapsed="false">
      <c r="A74" s="5" t="s">
        <v>629</v>
      </c>
      <c r="B74" s="0" t="s">
        <v>229</v>
      </c>
      <c r="D74" s="21" t="n">
        <f aca="false">Units!C24</f>
        <v>419.36</v>
      </c>
      <c r="E74" s="21" t="n">
        <f aca="false">Units!D24</f>
        <v>671.46</v>
      </c>
      <c r="F74" s="21" t="n">
        <f aca="false">Units!E24</f>
        <v>763.2</v>
      </c>
      <c r="G74" s="21" t="n">
        <f aca="false">Units!F24</f>
        <v>864.55</v>
      </c>
    </row>
    <row r="75" customFormat="false" ht="17.15" hidden="false" customHeight="false" outlineLevel="0" collapsed="false">
      <c r="A75" s="0" t="s">
        <v>630</v>
      </c>
      <c r="B75" s="0" t="s">
        <v>40</v>
      </c>
      <c r="D75" s="17" t="n">
        <f aca="false">Units!C33</f>
        <v>0.0536531858069439</v>
      </c>
      <c r="E75" s="17" t="n">
        <f aca="false">Units!D33</f>
        <v>0.0670181395764454</v>
      </c>
      <c r="F75" s="17" t="n">
        <f aca="false">Units!E33</f>
        <v>0.0786163522012579</v>
      </c>
      <c r="G75" s="17" t="n">
        <f aca="false">Units!F33</f>
        <v>0.0798103059395061</v>
      </c>
    </row>
    <row r="76" customFormat="false" ht="17.15" hidden="false" customHeight="false" outlineLevel="0" collapsed="false">
      <c r="A76" s="0" t="s">
        <v>631</v>
      </c>
      <c r="B76" s="5" t="s">
        <v>29</v>
      </c>
      <c r="D76" s="9" t="n">
        <f aca="false">Units!C10</f>
        <v>0.75</v>
      </c>
      <c r="E76" s="9" t="n">
        <f aca="false">Units!D10</f>
        <v>1.5</v>
      </c>
      <c r="F76" s="9" t="n">
        <f aca="false">Units!E10</f>
        <v>2</v>
      </c>
      <c r="G76" s="9" t="n">
        <f aca="false">Units!F10</f>
        <v>2.3</v>
      </c>
    </row>
    <row r="77" customFormat="false" ht="17.15" hidden="false" customHeight="false" outlineLevel="0" collapsed="false">
      <c r="A77" s="0" t="s">
        <v>632</v>
      </c>
      <c r="B77" s="5" t="s">
        <v>29</v>
      </c>
      <c r="D77" s="9" t="n">
        <f aca="false">D76*D73</f>
        <v>0.505112411733333</v>
      </c>
      <c r="E77" s="9" t="n">
        <f aca="false">E76*E73</f>
        <v>1.01022482346667</v>
      </c>
      <c r="F77" s="9" t="n">
        <f aca="false">F76*F73</f>
        <v>1.34696643128889</v>
      </c>
      <c r="G77" s="9" t="n">
        <f aca="false">G76*G73</f>
        <v>1.54901139598222</v>
      </c>
    </row>
    <row r="78" customFormat="false" ht="17.15" hidden="false" customHeight="false" outlineLevel="0" collapsed="false">
      <c r="A78" s="5" t="s">
        <v>633</v>
      </c>
      <c r="B78" s="0" t="s">
        <v>125</v>
      </c>
      <c r="D78" s="16" t="n">
        <f aca="false">1</f>
        <v>1</v>
      </c>
      <c r="E78" s="16" t="n">
        <f aca="false">pg_27</f>
        <v>1</v>
      </c>
      <c r="F78" s="16" t="n">
        <f aca="false">pg_28</f>
        <v>1</v>
      </c>
      <c r="G78" s="16" t="n">
        <f aca="false">pg_29</f>
        <v>1</v>
      </c>
    </row>
    <row r="79" customFormat="false" ht="17.15" hidden="false" customHeight="false" outlineLevel="0" collapsed="false">
      <c r="A79" s="0" t="s">
        <v>634</v>
      </c>
      <c r="B79" s="0" t="s">
        <v>229</v>
      </c>
      <c r="D79" s="21" t="n">
        <f aca="false">D74*D75*D73*D78</f>
        <v>15.153372352</v>
      </c>
      <c r="E79" s="21" t="n">
        <f aca="false">E74*E75*E73*E78</f>
        <v>30.306744704</v>
      </c>
      <c r="F79" s="21" t="n">
        <f aca="false">F74*F75*F73*F78</f>
        <v>40.4089929386667</v>
      </c>
      <c r="G79" s="21" t="n">
        <f aca="false">G74*G75*G73*G78</f>
        <v>46.4703418794667</v>
      </c>
    </row>
    <row r="80" customFormat="false" ht="17.15" hidden="false" customHeight="false" outlineLevel="0" collapsed="false">
      <c r="A80" s="0" t="s">
        <v>635</v>
      </c>
      <c r="B80" s="0" t="s">
        <v>125</v>
      </c>
      <c r="D80" s="16" t="n">
        <f aca="false">hbm_A_26/hbm_A_26</f>
        <v>1</v>
      </c>
      <c r="E80" s="16" t="n">
        <f aca="false">hbm_A_27/hbm_A_26</f>
        <v>1.8</v>
      </c>
      <c r="F80" s="16" t="n">
        <f aca="false">hbm_A_28/hbm_A_26</f>
        <v>1.98</v>
      </c>
      <c r="G80" s="16" t="n">
        <f aca="false">hbm_A_29/hbm_A_26</f>
        <v>1.881</v>
      </c>
    </row>
    <row r="81" customFormat="false" ht="17.15" hidden="false" customHeight="false" outlineLevel="0" collapsed="false">
      <c r="A81" s="5" t="s">
        <v>636</v>
      </c>
      <c r="B81" s="0" t="s">
        <v>229</v>
      </c>
      <c r="D81" s="21" t="n">
        <f aca="false">D79*(1+(1-abs_mem)*hs_26*(D80-1))</f>
        <v>15.153372352</v>
      </c>
      <c r="E81" s="21" t="n">
        <f aca="false">E79*(1+(1-abs_mem)*hs_26*(E80-1))</f>
        <v>32.829624704</v>
      </c>
      <c r="F81" s="21" t="n">
        <f aca="false">F79*(1+(1-abs_mem)*hs_26*(F80-1))</f>
        <v>44.5296969386667</v>
      </c>
      <c r="G81" s="21" t="n">
        <f aca="false">G79*(1+(1-abs_mem)*hs_26*(G80-1))</f>
        <v>50.7304349994667</v>
      </c>
    </row>
    <row r="82" customFormat="false" ht="17.15" hidden="false" customHeight="false" outlineLevel="0" collapsed="false">
      <c r="A82" s="5" t="s">
        <v>637</v>
      </c>
      <c r="B82" s="0" t="s">
        <v>229</v>
      </c>
      <c r="D82" s="21" t="n">
        <f aca="false">D79*((1-gm_gpu)+hs_26*(D80-1))</f>
        <v>7.576686176</v>
      </c>
      <c r="E82" s="21" t="n">
        <f aca="false">E79*((1-gm_gpu)+hs_26*(E80-1))</f>
        <v>20.199132352</v>
      </c>
      <c r="F82" s="21" t="n">
        <f aca="false">F79*((1-gm_gpu)+hs_26*(F80-1))</f>
        <v>28.4459044693333</v>
      </c>
      <c r="G82" s="21" t="n">
        <f aca="false">G79*((1-gm_gpu)+hs_26*(G80-1))</f>
        <v>31.7553571797333</v>
      </c>
      <c r="H82" s="5" t="s">
        <v>638</v>
      </c>
    </row>
    <row r="83" customFormat="false" ht="17.15" hidden="false" customHeight="false" outlineLevel="0" collapsed="false">
      <c r="A83" s="5" t="s">
        <v>639</v>
      </c>
      <c r="B83" s="0" t="s">
        <v>40</v>
      </c>
      <c r="D83" s="17" t="n">
        <f aca="false">1-D82/D81</f>
        <v>0.5</v>
      </c>
      <c r="E83" s="17" t="n">
        <f aca="false">1-E82/E81</f>
        <v>0.38472850256071</v>
      </c>
      <c r="F83" s="17" t="n">
        <f aca="false">1-F82/F81</f>
        <v>0.361192497929785</v>
      </c>
      <c r="G83" s="17" t="n">
        <f aca="false">1-G82/G81</f>
        <v>0.374037356863445</v>
      </c>
    </row>
    <row r="84" customFormat="false" ht="17.15" hidden="false" customHeight="false" outlineLevel="0" collapsed="false">
      <c r="A84" s="5" t="s">
        <v>640</v>
      </c>
      <c r="B84" s="0" t="s">
        <v>229</v>
      </c>
      <c r="D84" s="21" t="n">
        <f aca="false">a26_dcx</f>
        <v>15.698097648</v>
      </c>
      <c r="E84" s="21" t="n">
        <f aca="false">D84*(1+g_cpu27)</f>
        <v>23.547146472</v>
      </c>
      <c r="F84" s="21" t="n">
        <f aca="false">E84*(1+g_cpu28)</f>
        <v>29.43393309</v>
      </c>
      <c r="G84" s="21" t="n">
        <f aca="false">F84*(1+g_cpu29)</f>
        <v>33.8490230535</v>
      </c>
    </row>
    <row r="85" customFormat="false" ht="15" hidden="false" customHeight="false" outlineLevel="0" collapsed="false">
      <c r="A85" s="0" t="s">
        <v>524</v>
      </c>
      <c r="B85" s="0" t="s">
        <v>229</v>
      </c>
      <c r="D85" s="21" t="n">
        <f aca="false">a26_cli</f>
        <v>12.037318</v>
      </c>
      <c r="E85" s="21" t="n">
        <f aca="false">D85*(1+g_cli)</f>
        <v>12.39843754</v>
      </c>
      <c r="F85" s="21" t="n">
        <f aca="false">E85*(1+g_cli)</f>
        <v>12.7703906662</v>
      </c>
      <c r="G85" s="21" t="n">
        <f aca="false">F85*(1+g_cli)</f>
        <v>13.153502386186</v>
      </c>
    </row>
    <row r="86" customFormat="false" ht="15" hidden="false" customHeight="false" outlineLevel="0" collapsed="false">
      <c r="A86" s="0" t="s">
        <v>526</v>
      </c>
      <c r="B86" s="0" t="s">
        <v>229</v>
      </c>
      <c r="D86" s="21" t="n">
        <f aca="false">a26_gam</f>
        <v>2.68308</v>
      </c>
      <c r="E86" s="21" t="n">
        <f aca="false">D86*(1+g_gam)</f>
        <v>2.414772</v>
      </c>
      <c r="F86" s="21" t="n">
        <f aca="false">E86*(1+g_gam)</f>
        <v>2.1732948</v>
      </c>
      <c r="G86" s="21" t="n">
        <f aca="false">F86*(1+g_gam)</f>
        <v>1.95596532</v>
      </c>
    </row>
    <row r="87" customFormat="false" ht="15" hidden="false" customHeight="false" outlineLevel="0" collapsed="false">
      <c r="A87" s="0" t="s">
        <v>527</v>
      </c>
      <c r="B87" s="0" t="s">
        <v>229</v>
      </c>
      <c r="D87" s="21" t="n">
        <f aca="false">a26_emb</f>
        <v>4.0713072</v>
      </c>
      <c r="E87" s="21" t="n">
        <f aca="false">D87*(1+g_emb)</f>
        <v>4.47843792</v>
      </c>
      <c r="F87" s="21" t="n">
        <f aca="false">E87*(1+g_emb)</f>
        <v>4.926281712</v>
      </c>
      <c r="G87" s="21" t="n">
        <f aca="false">F87*(1+g_emb)</f>
        <v>5.4189098832</v>
      </c>
    </row>
    <row r="88" customFormat="false" ht="17.15" hidden="false" customHeight="false" outlineLevel="0" collapsed="false">
      <c r="A88" s="5" t="s">
        <v>641</v>
      </c>
      <c r="B88" s="0" t="s">
        <v>229</v>
      </c>
      <c r="D88" s="21" t="n">
        <f aca="false">D84+D85+D86+D87</f>
        <v>34.489802848</v>
      </c>
      <c r="E88" s="21" t="n">
        <f aca="false">E84+E85+E86+E87</f>
        <v>42.838793932</v>
      </c>
      <c r="F88" s="21" t="n">
        <f aca="false">F84+F85+F86+F87</f>
        <v>49.3039002682</v>
      </c>
      <c r="G88" s="21" t="n">
        <f aca="false">G84+G85+G86+G87</f>
        <v>54.377400642886</v>
      </c>
    </row>
    <row r="89" customFormat="false" ht="17.15" hidden="false" customHeight="false" outlineLevel="0" collapsed="false">
      <c r="A89" s="5" t="s">
        <v>642</v>
      </c>
      <c r="B89" s="0" t="s">
        <v>40</v>
      </c>
      <c r="D89" s="17" t="n">
        <f aca="false">(a26_gp-(D81-D82))/D88</f>
        <v>0.583371878020658</v>
      </c>
      <c r="E89" s="17" t="n">
        <f aca="false">$D89</f>
        <v>0.583371878020658</v>
      </c>
      <c r="F89" s="17" t="n">
        <f aca="false">$D89</f>
        <v>0.583371878020658</v>
      </c>
      <c r="G89" s="17" t="n">
        <f aca="false">$D89</f>
        <v>0.583371878020658</v>
      </c>
      <c r="H89" s="8" t="s">
        <v>643</v>
      </c>
    </row>
    <row r="90" customFormat="false" ht="17.15" hidden="false" customHeight="false" outlineLevel="0" collapsed="false">
      <c r="A90" s="5" t="s">
        <v>644</v>
      </c>
      <c r="B90" s="0" t="s">
        <v>229</v>
      </c>
      <c r="D90" s="21" t="n">
        <f aca="false">(1-D89)*D88</f>
        <v>14.369421788</v>
      </c>
      <c r="E90" s="21" t="n">
        <f aca="false">(1-E89)*E88</f>
        <v>17.8478462637492</v>
      </c>
      <c r="F90" s="21" t="n">
        <f aca="false">(1-F89)*F88</f>
        <v>20.5413913749969</v>
      </c>
      <c r="G90" s="21" t="n">
        <f aca="false">(1-G89)*G88</f>
        <v>22.6551543079639</v>
      </c>
    </row>
    <row r="91" customFormat="false" ht="15" hidden="false" customHeight="false" outlineLevel="0" collapsed="false">
      <c r="A91" s="5" t="s">
        <v>645</v>
      </c>
      <c r="B91" s="0" t="s">
        <v>229</v>
      </c>
      <c r="D91" s="21" t="n">
        <f aca="false">D81+D88</f>
        <v>49.6431752</v>
      </c>
      <c r="E91" s="21" t="n">
        <f aca="false">E81+E88</f>
        <v>75.668418636</v>
      </c>
      <c r="F91" s="21" t="n">
        <f aca="false">F81+F88</f>
        <v>93.8335972068667</v>
      </c>
      <c r="G91" s="21" t="n">
        <f aca="false">G81+G88</f>
        <v>105.107835642353</v>
      </c>
    </row>
    <row r="92" customFormat="false" ht="15" hidden="false" customHeight="false" outlineLevel="0" collapsed="false">
      <c r="A92" s="5" t="s">
        <v>646</v>
      </c>
      <c r="B92" s="0" t="s">
        <v>229</v>
      </c>
      <c r="D92" s="21" t="n">
        <f aca="false">D82+D90</f>
        <v>21.946107964</v>
      </c>
      <c r="E92" s="21" t="n">
        <f aca="false">E82+E90</f>
        <v>38.0469786157492</v>
      </c>
      <c r="F92" s="21" t="n">
        <f aca="false">F82+F90</f>
        <v>48.9872958443303</v>
      </c>
      <c r="G92" s="21" t="n">
        <f aca="false">G82+G90</f>
        <v>54.4105114876972</v>
      </c>
    </row>
    <row r="93" customFormat="false" ht="17.15" hidden="false" customHeight="false" outlineLevel="0" collapsed="false">
      <c r="A93" s="5" t="s">
        <v>647</v>
      </c>
      <c r="B93" s="0" t="s">
        <v>40</v>
      </c>
      <c r="D93" s="17" t="n">
        <f aca="false">1-D92/D91</f>
        <v>0.557922959690137</v>
      </c>
      <c r="E93" s="17" t="n">
        <f aca="false">1-E92/E91</f>
        <v>0.497188136060135</v>
      </c>
      <c r="F93" s="17" t="n">
        <f aca="false">1-F92/F91</f>
        <v>0.477934372095612</v>
      </c>
      <c r="G93" s="17" t="n">
        <f aca="false">1-G92/G91</f>
        <v>0.482336296288716</v>
      </c>
      <c r="H93" s="8" t="s">
        <v>648</v>
      </c>
    </row>
    <row r="94" customFormat="false" ht="17.15" hidden="false" customHeight="false" outlineLevel="0" collapsed="false">
      <c r="A94" s="1" t="s">
        <v>649</v>
      </c>
    </row>
    <row r="95" customFormat="false" ht="15" hidden="false" customHeight="false" outlineLevel="0" collapsed="false">
      <c r="A95" s="5" t="s">
        <v>510</v>
      </c>
      <c r="B95" s="0" t="s">
        <v>229</v>
      </c>
      <c r="C95" s="21" t="n">
        <f aca="false">a25_rev</f>
        <v>34.639</v>
      </c>
      <c r="D95" s="21" t="n">
        <f aca="false">a26_rev</f>
        <v>49.6431752</v>
      </c>
      <c r="E95" s="21" t="n">
        <f aca="false">E91</f>
        <v>75.668418636</v>
      </c>
      <c r="F95" s="21" t="n">
        <f aca="false">F91</f>
        <v>93.8335972068667</v>
      </c>
      <c r="G95" s="21" t="n">
        <f aca="false">G91</f>
        <v>105.107835642353</v>
      </c>
    </row>
    <row r="96" customFormat="false" ht="15" hidden="false" customHeight="false" outlineLevel="0" collapsed="false">
      <c r="A96" s="0" t="s">
        <v>610</v>
      </c>
      <c r="B96" s="0" t="s">
        <v>229</v>
      </c>
      <c r="C96" s="21" t="n">
        <f aca="false">a25_dc</f>
        <v>16.635</v>
      </c>
      <c r="D96" s="21" t="n">
        <f aca="false">a26_dc</f>
        <v>30.85147</v>
      </c>
      <c r="E96" s="21" t="n">
        <f aca="false">E81+E84</f>
        <v>56.376771176</v>
      </c>
      <c r="F96" s="21" t="n">
        <f aca="false">F81+F84</f>
        <v>73.9636300286667</v>
      </c>
      <c r="G96" s="21" t="n">
        <f aca="false">G81+G84</f>
        <v>84.5794580529667</v>
      </c>
    </row>
    <row r="97" customFormat="false" ht="17.15" hidden="false" customHeight="false" outlineLevel="0" collapsed="false">
      <c r="A97" s="5" t="s">
        <v>611</v>
      </c>
      <c r="B97" s="0" t="s">
        <v>229</v>
      </c>
      <c r="C97" s="21" t="n">
        <f aca="false">a25_gpu</f>
        <v>6.5</v>
      </c>
      <c r="D97" s="21" t="n">
        <f aca="false">a26_gpu</f>
        <v>15.153372352</v>
      </c>
      <c r="E97" s="21" t="n">
        <f aca="false">E81</f>
        <v>32.829624704</v>
      </c>
      <c r="F97" s="21" t="n">
        <f aca="false">F81</f>
        <v>44.5296969386667</v>
      </c>
      <c r="G97" s="21" t="n">
        <f aca="false">G81</f>
        <v>50.7304349994667</v>
      </c>
    </row>
    <row r="98" customFormat="false" ht="17.15" hidden="false" customHeight="false" outlineLevel="0" collapsed="false">
      <c r="A98" s="5" t="s">
        <v>650</v>
      </c>
      <c r="B98" s="0" t="s">
        <v>229</v>
      </c>
      <c r="C98" s="21" t="n">
        <f aca="false">a25_dcx</f>
        <v>10.135</v>
      </c>
      <c r="D98" s="21" t="n">
        <f aca="false">a26_dcx</f>
        <v>15.698097648</v>
      </c>
      <c r="E98" s="21" t="n">
        <f aca="false">E84</f>
        <v>23.547146472</v>
      </c>
      <c r="F98" s="21" t="n">
        <f aca="false">F84</f>
        <v>29.43393309</v>
      </c>
      <c r="G98" s="21" t="n">
        <f aca="false">G84</f>
        <v>33.8490230535</v>
      </c>
    </row>
    <row r="99" customFormat="false" ht="17.15" hidden="false" customHeight="false" outlineLevel="0" collapsed="false">
      <c r="A99" s="0" t="s">
        <v>613</v>
      </c>
      <c r="B99" s="0" t="s">
        <v>229</v>
      </c>
      <c r="C99" s="21" t="n">
        <f aca="false">a25_cli+a25_gam</f>
        <v>14.55</v>
      </c>
      <c r="D99" s="21" t="n">
        <f aca="false">a26_cli+a26_gam</f>
        <v>14.720398</v>
      </c>
      <c r="E99" s="21" t="n">
        <f aca="false">E85+E86</f>
        <v>14.81320954</v>
      </c>
      <c r="F99" s="21" t="n">
        <f aca="false">F85+F86</f>
        <v>14.9436854662</v>
      </c>
      <c r="G99" s="21" t="n">
        <f aca="false">G85+G86</f>
        <v>15.109467706186</v>
      </c>
    </row>
    <row r="100" customFormat="false" ht="15" hidden="false" customHeight="false" outlineLevel="0" collapsed="false">
      <c r="A100" s="0" t="s">
        <v>614</v>
      </c>
      <c r="B100" s="0" t="s">
        <v>229</v>
      </c>
      <c r="C100" s="21" t="n">
        <f aca="false">a25_emb</f>
        <v>3.454</v>
      </c>
      <c r="D100" s="21" t="n">
        <f aca="false">a26_emb</f>
        <v>4.0713072</v>
      </c>
      <c r="E100" s="21" t="n">
        <f aca="false">E87</f>
        <v>4.47843792</v>
      </c>
      <c r="F100" s="21" t="n">
        <f aca="false">F87</f>
        <v>4.926281712</v>
      </c>
      <c r="G100" s="21" t="n">
        <f aca="false">G87</f>
        <v>5.4189098832</v>
      </c>
    </row>
    <row r="101" customFormat="false" ht="15" hidden="false" customHeight="false" outlineLevel="0" collapsed="false">
      <c r="A101" s="5" t="s">
        <v>651</v>
      </c>
      <c r="B101" s="0" t="s">
        <v>40</v>
      </c>
      <c r="D101" s="17" t="n">
        <f aca="false">D95/C95-1</f>
        <v>0.433158439908774</v>
      </c>
      <c r="E101" s="17" t="n">
        <f aca="false">E95/D95-1</f>
        <v>0.524246149267261</v>
      </c>
      <c r="F101" s="17" t="n">
        <f aca="false">F95/E95-1</f>
        <v>0.240062880899488</v>
      </c>
      <c r="G101" s="17" t="n">
        <f aca="false">G95/F95-1</f>
        <v>0.120151403879686</v>
      </c>
    </row>
    <row r="102" customFormat="false" ht="17.15" hidden="false" customHeight="false" outlineLevel="0" collapsed="false">
      <c r="A102" s="5" t="s">
        <v>529</v>
      </c>
      <c r="B102" s="0" t="s">
        <v>229</v>
      </c>
      <c r="C102" s="21" t="n">
        <f aca="false">a25_gp</f>
        <v>18.165</v>
      </c>
      <c r="D102" s="21" t="n">
        <f aca="false">a26_gp</f>
        <v>27.697067236</v>
      </c>
      <c r="E102" s="21" t="n">
        <f aca="false">E95-E92</f>
        <v>37.6214400202508</v>
      </c>
      <c r="F102" s="21" t="n">
        <f aca="false">F95-F92</f>
        <v>44.8463013625364</v>
      </c>
      <c r="G102" s="21" t="n">
        <f aca="false">G95-G92</f>
        <v>50.6973241546555</v>
      </c>
    </row>
    <row r="103" customFormat="false" ht="15" hidden="false" customHeight="false" outlineLevel="0" collapsed="false">
      <c r="A103" s="5" t="s">
        <v>615</v>
      </c>
      <c r="B103" s="0" t="s">
        <v>40</v>
      </c>
      <c r="C103" s="17" t="n">
        <f aca="false">C102/C95</f>
        <v>0.524408903259332</v>
      </c>
      <c r="D103" s="17" t="n">
        <f aca="false">D102/D95</f>
        <v>0.557922959690137</v>
      </c>
      <c r="E103" s="17" t="n">
        <f aca="false">E102/E95</f>
        <v>0.497188136060135</v>
      </c>
      <c r="F103" s="17" t="n">
        <f aca="false">F102/F95</f>
        <v>0.477934372095612</v>
      </c>
      <c r="G103" s="17" t="n">
        <f aca="false">G102/G95</f>
        <v>0.482336296288716</v>
      </c>
    </row>
    <row r="104" customFormat="false" ht="17.15" hidden="false" customHeight="false" outlineLevel="0" collapsed="false">
      <c r="A104" s="5" t="s">
        <v>652</v>
      </c>
      <c r="B104" s="0" t="s">
        <v>229</v>
      </c>
      <c r="C104" s="21" t="n">
        <f aca="false">a25_opx</f>
        <v>10.397</v>
      </c>
      <c r="D104" s="21" t="n">
        <f aca="false">a26_opx</f>
        <v>14.0215</v>
      </c>
      <c r="E104" s="21" t="n">
        <f aca="false">D104*(1+MAX(g_opx_min,phi*E101))</f>
        <v>19.9374297020239</v>
      </c>
      <c r="F104" s="21" t="n">
        <f aca="false">E104*(1+MAX(g_opx_min,phi*F101))</f>
        <v>23.7894401991966</v>
      </c>
      <c r="G104" s="21" t="n">
        <f aca="false">F104*(1+MAX(g_opx_min,phi*G101))</f>
        <v>26.0898560499688</v>
      </c>
      <c r="H104" s="5" t="s">
        <v>653</v>
      </c>
    </row>
    <row r="105" customFormat="false" ht="15" hidden="false" customHeight="false" outlineLevel="0" collapsed="false">
      <c r="A105" s="5" t="s">
        <v>654</v>
      </c>
      <c r="B105" s="0" t="s">
        <v>229</v>
      </c>
      <c r="C105" s="21" t="n">
        <f aca="false">C104</f>
        <v>10.397</v>
      </c>
      <c r="D105" s="21" t="n">
        <f aca="false">D104</f>
        <v>14.0215</v>
      </c>
      <c r="E105" s="21" t="n">
        <f aca="false">E104+0*E95</f>
        <v>19.9374297020239</v>
      </c>
      <c r="F105" s="21" t="n">
        <f aca="false">F104+0*F95</f>
        <v>23.7894401991966</v>
      </c>
      <c r="G105" s="21" t="n">
        <f aca="false">G104+0*G95</f>
        <v>26.0898560499688</v>
      </c>
    </row>
    <row r="106" customFormat="false" ht="15" hidden="false" customHeight="false" outlineLevel="0" collapsed="false">
      <c r="A106" s="5" t="s">
        <v>616</v>
      </c>
      <c r="B106" s="0" t="s">
        <v>229</v>
      </c>
      <c r="C106" s="21" t="n">
        <f aca="false">C102-C105</f>
        <v>7.768</v>
      </c>
      <c r="D106" s="21" t="n">
        <f aca="false">D102-D105</f>
        <v>13.675567236</v>
      </c>
      <c r="E106" s="21" t="n">
        <f aca="false">E102-E105</f>
        <v>17.6840103182269</v>
      </c>
      <c r="F106" s="21" t="n">
        <f aca="false">F102-F105</f>
        <v>21.0568611633398</v>
      </c>
      <c r="G106" s="21" t="n">
        <f aca="false">G102-G105</f>
        <v>24.6074681046867</v>
      </c>
    </row>
    <row r="107" customFormat="false" ht="15" hidden="false" customHeight="false" outlineLevel="0" collapsed="false">
      <c r="A107" s="5" t="s">
        <v>617</v>
      </c>
      <c r="B107" s="0" t="s">
        <v>40</v>
      </c>
      <c r="C107" s="17" t="n">
        <f aca="false">C106/C95</f>
        <v>0.22425589653281</v>
      </c>
      <c r="D107" s="17" t="n">
        <f aca="false">D106/D95</f>
        <v>0.275477287278756</v>
      </c>
      <c r="E107" s="17" t="n">
        <f aca="false">E106/E95</f>
        <v>0.233703976335162</v>
      </c>
      <c r="F107" s="17" t="n">
        <f aca="false">F106/F95</f>
        <v>0.224406415080918</v>
      </c>
      <c r="G107" s="17" t="n">
        <f aca="false">G106/G95</f>
        <v>0.234116400117093</v>
      </c>
    </row>
    <row r="108" customFormat="false" ht="17.15" hidden="false" customHeight="false" outlineLevel="0" collapsed="false">
      <c r="A108" s="5" t="s">
        <v>655</v>
      </c>
      <c r="B108" s="0" t="s">
        <v>229</v>
      </c>
      <c r="C108" s="9" t="n">
        <f aca="false">a25_oth</f>
        <v>0.081</v>
      </c>
      <c r="D108" s="9" t="n">
        <f aca="false">a26_oth</f>
        <v>0.25</v>
      </c>
      <c r="E108" s="9" t="n">
        <f aca="false">oth_f</f>
        <v>0.2</v>
      </c>
      <c r="F108" s="9" t="n">
        <f aca="false">oth_f</f>
        <v>0.2</v>
      </c>
      <c r="G108" s="9" t="n">
        <f aca="false">oth_f</f>
        <v>0.2</v>
      </c>
    </row>
    <row r="109" customFormat="false" ht="15" hidden="false" customHeight="false" outlineLevel="0" collapsed="false">
      <c r="A109" s="5" t="s">
        <v>656</v>
      </c>
      <c r="B109" s="0" t="s">
        <v>40</v>
      </c>
      <c r="C109" s="17" t="n">
        <f aca="false">a25_etr</f>
        <v>0.129698050707096</v>
      </c>
      <c r="D109" s="17" t="n">
        <f aca="false">a26_etr</f>
        <v>0.129883667216384</v>
      </c>
      <c r="E109" s="17" t="n">
        <f aca="false">tx_f</f>
        <v>0.13</v>
      </c>
      <c r="F109" s="17" t="n">
        <f aca="false">tx_f</f>
        <v>0.13</v>
      </c>
      <c r="G109" s="17" t="n">
        <f aca="false">tx_f</f>
        <v>0.13</v>
      </c>
    </row>
    <row r="110" customFormat="false" ht="17.15" hidden="false" customHeight="false" outlineLevel="0" collapsed="false">
      <c r="A110" s="5" t="s">
        <v>547</v>
      </c>
      <c r="B110" s="0" t="s">
        <v>229</v>
      </c>
      <c r="C110" s="21" t="n">
        <f aca="false">a25_ni</f>
        <v>6.831</v>
      </c>
      <c r="D110" s="21" t="n">
        <f aca="false">a26_ni</f>
        <v>12.11686349532</v>
      </c>
      <c r="E110" s="21" t="n">
        <f aca="false">(E106+E108)*(1-E109)</f>
        <v>15.5590889768574</v>
      </c>
      <c r="F110" s="21" t="n">
        <f aca="false">(F106+F108)*(1-F109)</f>
        <v>18.4934692121056</v>
      </c>
      <c r="G110" s="21" t="n">
        <f aca="false">(G106+G108)*(1-G109)</f>
        <v>21.5824972510774</v>
      </c>
    </row>
    <row r="111" customFormat="false" ht="15" hidden="false" customHeight="false" outlineLevel="0" collapsed="false">
      <c r="A111" s="5" t="s">
        <v>657</v>
      </c>
      <c r="B111" s="5" t="s">
        <v>309</v>
      </c>
      <c r="C111" s="16" t="n">
        <f aca="false">a25_sh</f>
        <v>1.636</v>
      </c>
      <c r="D111" s="16" t="n">
        <f aca="false">a26_sh</f>
        <v>1.6585805</v>
      </c>
      <c r="E111" s="16" t="n">
        <f aca="false">D111*(1+sh_g)</f>
        <v>1.675166305</v>
      </c>
      <c r="F111" s="16" t="n">
        <f aca="false">E111*(1+sh_g)</f>
        <v>1.69191796805</v>
      </c>
      <c r="G111" s="16" t="n">
        <f aca="false">F111*(1+sh_g)</f>
        <v>1.7088371477305</v>
      </c>
    </row>
    <row r="112" customFormat="false" ht="17.15" hidden="false" customHeight="false" outlineLevel="0" collapsed="false">
      <c r="A112" s="5" t="s">
        <v>658</v>
      </c>
      <c r="B112" s="5" t="s">
        <v>309</v>
      </c>
      <c r="C112" s="16" t="n">
        <f aca="false">0</f>
        <v>0</v>
      </c>
      <c r="D112" s="16" t="n">
        <f aca="false">0</f>
        <v>0</v>
      </c>
      <c r="E112" s="16" t="n">
        <f aca="false">w_tot/w_gw*(gw_26+gw_27)/2*wf</f>
        <v>0.0266666666666667</v>
      </c>
      <c r="F112" s="16" t="n">
        <f aca="false">w_tot/w_gw*(gw_27+gw_28*um28_A)/2*wf</f>
        <v>0.08</v>
      </c>
      <c r="G112" s="16" t="n">
        <f aca="false">w_tot/w_gw*(gw_28*um28_A+gw_29*um29_A)/2*wf</f>
        <v>0.133333333333333</v>
      </c>
      <c r="H112" s="8" t="s">
        <v>659</v>
      </c>
    </row>
    <row r="113" customFormat="false" ht="15" hidden="false" customHeight="false" outlineLevel="0" collapsed="false">
      <c r="A113" s="5" t="s">
        <v>618</v>
      </c>
      <c r="B113" s="5" t="s">
        <v>309</v>
      </c>
      <c r="C113" s="16" t="n">
        <f aca="false">C111+C112</f>
        <v>1.636</v>
      </c>
      <c r="D113" s="16" t="n">
        <f aca="false">D111+D112</f>
        <v>1.6585805</v>
      </c>
      <c r="E113" s="16" t="n">
        <f aca="false">E111+E112</f>
        <v>1.70183297166667</v>
      </c>
      <c r="F113" s="16" t="n">
        <f aca="false">F111+F112</f>
        <v>1.77191796805</v>
      </c>
      <c r="G113" s="16" t="n">
        <f aca="false">G111+G112</f>
        <v>1.84217048106383</v>
      </c>
    </row>
    <row r="114" customFormat="false" ht="17.15" hidden="false" customHeight="false" outlineLevel="0" collapsed="false">
      <c r="A114" s="0" t="s">
        <v>619</v>
      </c>
      <c r="B114" s="0" t="s">
        <v>396</v>
      </c>
      <c r="C114" s="9" t="n">
        <f aca="false">C110/C113</f>
        <v>4.17542787286064</v>
      </c>
      <c r="D114" s="9" t="n">
        <f aca="false">D110/D113</f>
        <v>7.30556249474777</v>
      </c>
      <c r="E114" s="9" t="n">
        <f aca="false">E110/E113</f>
        <v>9.14254761536311</v>
      </c>
      <c r="F114" s="9" t="n">
        <f aca="false">F110/F113</f>
        <v>10.4369782041647</v>
      </c>
      <c r="G114" s="9" t="n">
        <f aca="false">G110/G113</f>
        <v>11.7157980072581</v>
      </c>
    </row>
    <row r="115" customFormat="false" ht="17.15" hidden="false" customHeight="false" outlineLevel="0" collapsed="false">
      <c r="A115" s="0" t="s">
        <v>660</v>
      </c>
      <c r="B115" s="0" t="s">
        <v>40</v>
      </c>
      <c r="D115" s="17" t="n">
        <f aca="false">D114/C114-1</f>
        <v>0.749656015430735</v>
      </c>
      <c r="E115" s="17" t="n">
        <f aca="false">E114/D114-1</f>
        <v>0.251450195920713</v>
      </c>
      <c r="F115" s="17" t="n">
        <f aca="false">F114/E114-1</f>
        <v>0.14158313888641</v>
      </c>
      <c r="G115" s="17" t="n">
        <f aca="false">G114/F114-1</f>
        <v>0.122527783241242</v>
      </c>
    </row>
    <row r="118" customFormat="false" ht="17.15" hidden="false" customHeight="false" outlineLevel="0" collapsed="false">
      <c r="A118" s="3" t="s">
        <v>661</v>
      </c>
    </row>
    <row r="119" customFormat="false" ht="15" hidden="false" customHeight="false" outlineLevel="0" collapsed="false">
      <c r="A119" s="6" t="s">
        <v>18</v>
      </c>
      <c r="B119" s="6" t="s">
        <v>19</v>
      </c>
      <c r="C119" s="13" t="s">
        <v>603</v>
      </c>
      <c r="D119" s="13" t="s">
        <v>604</v>
      </c>
      <c r="E119" s="13" t="s">
        <v>605</v>
      </c>
      <c r="F119" s="13" t="s">
        <v>606</v>
      </c>
      <c r="G119" s="13" t="s">
        <v>607</v>
      </c>
      <c r="H119" s="6" t="s">
        <v>572</v>
      </c>
    </row>
    <row r="120" customFormat="false" ht="17.15" hidden="false" customHeight="false" outlineLevel="0" collapsed="false">
      <c r="A120" s="1" t="s">
        <v>627</v>
      </c>
    </row>
    <row r="121" customFormat="false" ht="17.15" hidden="false" customHeight="false" outlineLevel="0" collapsed="false">
      <c r="A121" s="0" t="s">
        <v>628</v>
      </c>
      <c r="B121" s="0" t="s">
        <v>125</v>
      </c>
      <c r="D121" s="16" t="n">
        <f aca="false">k_rec</f>
        <v>0.673483215644445</v>
      </c>
      <c r="E121" s="16" t="n">
        <f aca="false">k_rec*1</f>
        <v>0.673483215644445</v>
      </c>
      <c r="F121" s="16" t="n">
        <f aca="false">k_rec*1</f>
        <v>0.673483215644445</v>
      </c>
      <c r="G121" s="16" t="n">
        <f aca="false">k_rec*1</f>
        <v>0.673483215644445</v>
      </c>
    </row>
    <row r="122" customFormat="false" ht="17.15" hidden="false" customHeight="false" outlineLevel="0" collapsed="false">
      <c r="A122" s="5" t="s">
        <v>629</v>
      </c>
      <c r="B122" s="0" t="s">
        <v>229</v>
      </c>
      <c r="D122" s="21" t="n">
        <f aca="false">Units!C58</f>
        <v>419.36</v>
      </c>
      <c r="E122" s="21" t="n">
        <f aca="false">Units!D58</f>
        <v>671.46</v>
      </c>
      <c r="F122" s="21" t="n">
        <f aca="false">Units!E58</f>
        <v>610.56</v>
      </c>
      <c r="G122" s="21" t="n">
        <f aca="false">Units!F58</f>
        <v>734.8675</v>
      </c>
    </row>
    <row r="123" customFormat="false" ht="17.15" hidden="false" customHeight="false" outlineLevel="0" collapsed="false">
      <c r="A123" s="0" t="s">
        <v>630</v>
      </c>
      <c r="B123" s="0" t="s">
        <v>40</v>
      </c>
      <c r="D123" s="17" t="n">
        <f aca="false">Units!C67</f>
        <v>0.0536531858069439</v>
      </c>
      <c r="E123" s="17" t="n">
        <f aca="false">Units!D67</f>
        <v>0.0670181395764454</v>
      </c>
      <c r="F123" s="17" t="n">
        <f aca="false">Units!E67</f>
        <v>0.0786163522012579</v>
      </c>
      <c r="G123" s="17" t="n">
        <f aca="false">Units!F67</f>
        <v>0.0798103059395061</v>
      </c>
    </row>
    <row r="124" customFormat="false" ht="17.15" hidden="false" customHeight="false" outlineLevel="0" collapsed="false">
      <c r="A124" s="0" t="s">
        <v>631</v>
      </c>
      <c r="B124" s="5" t="s">
        <v>29</v>
      </c>
      <c r="D124" s="9" t="n">
        <f aca="false">Units!C44</f>
        <v>0.75</v>
      </c>
      <c r="E124" s="9" t="n">
        <f aca="false">Units!D44</f>
        <v>1.5</v>
      </c>
      <c r="F124" s="9" t="n">
        <f aca="false">Units!E44</f>
        <v>1.6</v>
      </c>
      <c r="G124" s="9" t="n">
        <f aca="false">Units!F44</f>
        <v>1.955</v>
      </c>
    </row>
    <row r="125" customFormat="false" ht="17.15" hidden="false" customHeight="false" outlineLevel="0" collapsed="false">
      <c r="A125" s="0" t="s">
        <v>632</v>
      </c>
      <c r="B125" s="5" t="s">
        <v>29</v>
      </c>
      <c r="D125" s="9" t="n">
        <f aca="false">D124*D121</f>
        <v>0.505112411733333</v>
      </c>
      <c r="E125" s="9" t="n">
        <f aca="false">E124*E121</f>
        <v>1.01022482346667</v>
      </c>
      <c r="F125" s="9" t="n">
        <f aca="false">F124*F121</f>
        <v>1.07757314503111</v>
      </c>
      <c r="G125" s="9" t="n">
        <f aca="false">G124*G121</f>
        <v>1.31665968658489</v>
      </c>
    </row>
    <row r="126" customFormat="false" ht="17.15" hidden="false" customHeight="false" outlineLevel="0" collapsed="false">
      <c r="A126" s="5" t="s">
        <v>633</v>
      </c>
      <c r="B126" s="0" t="s">
        <v>125</v>
      </c>
      <c r="D126" s="16" t="n">
        <f aca="false">1</f>
        <v>1</v>
      </c>
      <c r="E126" s="16" t="n">
        <f aca="false">pg_27</f>
        <v>1</v>
      </c>
      <c r="F126" s="16" t="n">
        <f aca="false">pg_28</f>
        <v>1</v>
      </c>
      <c r="G126" s="16" t="n">
        <f aca="false">pg_29</f>
        <v>1</v>
      </c>
    </row>
    <row r="127" customFormat="false" ht="17.15" hidden="false" customHeight="false" outlineLevel="0" collapsed="false">
      <c r="A127" s="0" t="s">
        <v>634</v>
      </c>
      <c r="B127" s="0" t="s">
        <v>229</v>
      </c>
      <c r="D127" s="21" t="n">
        <f aca="false">D122*D123*D121*D126</f>
        <v>15.153372352</v>
      </c>
      <c r="E127" s="21" t="n">
        <f aca="false">E122*E123*E121*E126</f>
        <v>30.306744704</v>
      </c>
      <c r="F127" s="21" t="n">
        <f aca="false">F122*F123*F121*F126</f>
        <v>32.3271943509333</v>
      </c>
      <c r="G127" s="21" t="n">
        <f aca="false">G122*G123*G121*G126</f>
        <v>39.4997905975467</v>
      </c>
    </row>
    <row r="128" customFormat="false" ht="17.15" hidden="false" customHeight="false" outlineLevel="0" collapsed="false">
      <c r="A128" s="0" t="s">
        <v>635</v>
      </c>
      <c r="B128" s="0" t="s">
        <v>125</v>
      </c>
      <c r="D128" s="16" t="n">
        <f aca="false">hbm_B_26/hbm_B_26</f>
        <v>1</v>
      </c>
      <c r="E128" s="16" t="n">
        <f aca="false">hbm_B_27/hbm_B_26</f>
        <v>1.8</v>
      </c>
      <c r="F128" s="16" t="n">
        <f aca="false">hbm_B_28/hbm_B_26</f>
        <v>1.35</v>
      </c>
      <c r="G128" s="16" t="n">
        <f aca="false">hbm_B_29/hbm_B_26</f>
        <v>1.35</v>
      </c>
    </row>
    <row r="129" customFormat="false" ht="17.15" hidden="false" customHeight="false" outlineLevel="0" collapsed="false">
      <c r="A129" s="5" t="s">
        <v>636</v>
      </c>
      <c r="B129" s="0" t="s">
        <v>229</v>
      </c>
      <c r="D129" s="21" t="n">
        <f aca="false">D127*(1+(1-abs_mem)*hs_26*(D128-1))</f>
        <v>15.153372352</v>
      </c>
      <c r="E129" s="21" t="n">
        <f aca="false">E127*(1+(1-abs_mem)*hs_26*(E128-1))</f>
        <v>32.829624704</v>
      </c>
      <c r="F129" s="21" t="n">
        <f aca="false">F127*(1+(1-abs_mem)*hs_26*(F128-1))</f>
        <v>33.5045383509333</v>
      </c>
      <c r="G129" s="21" t="n">
        <f aca="false">G127*(1+(1-abs_mem)*hs_26*(G128-1))</f>
        <v>40.9383577975467</v>
      </c>
    </row>
    <row r="130" customFormat="false" ht="17.15" hidden="false" customHeight="false" outlineLevel="0" collapsed="false">
      <c r="A130" s="5" t="s">
        <v>637</v>
      </c>
      <c r="B130" s="0" t="s">
        <v>229</v>
      </c>
      <c r="D130" s="21" t="n">
        <f aca="false">D127*((1-gm_gpu)+hs_26*(D128-1))</f>
        <v>7.576686176</v>
      </c>
      <c r="E130" s="21" t="n">
        <f aca="false">E127*((1-gm_gpu)+hs_26*(E128-1))</f>
        <v>20.199132352</v>
      </c>
      <c r="F130" s="21" t="n">
        <f aca="false">F127*((1-gm_gpu)+hs_26*(F128-1))</f>
        <v>18.5182851754667</v>
      </c>
      <c r="G130" s="21" t="n">
        <f aca="false">G127*((1-gm_gpu)+hs_26*(G128-1))</f>
        <v>22.6270296987733</v>
      </c>
      <c r="H130" s="5" t="s">
        <v>638</v>
      </c>
    </row>
    <row r="131" customFormat="false" ht="17.15" hidden="false" customHeight="false" outlineLevel="0" collapsed="false">
      <c r="A131" s="5" t="s">
        <v>639</v>
      </c>
      <c r="B131" s="0" t="s">
        <v>40</v>
      </c>
      <c r="D131" s="17" t="n">
        <f aca="false">1-D130/D129</f>
        <v>0.5</v>
      </c>
      <c r="E131" s="17" t="n">
        <f aca="false">1-E130/E129</f>
        <v>0.38472850256071</v>
      </c>
      <c r="F131" s="17" t="n">
        <f aca="false">1-F130/F129</f>
        <v>0.447290245234768</v>
      </c>
      <c r="G131" s="17" t="n">
        <f aca="false">1-G130/G129</f>
        <v>0.447290245234768</v>
      </c>
    </row>
    <row r="132" customFormat="false" ht="17.15" hidden="false" customHeight="false" outlineLevel="0" collapsed="false">
      <c r="A132" s="5" t="s">
        <v>640</v>
      </c>
      <c r="B132" s="0" t="s">
        <v>229</v>
      </c>
      <c r="D132" s="21" t="n">
        <f aca="false">a26_dcx</f>
        <v>15.698097648</v>
      </c>
      <c r="E132" s="21" t="n">
        <f aca="false">D132*(1+g_cpu27)</f>
        <v>23.547146472</v>
      </c>
      <c r="F132" s="21" t="n">
        <f aca="false">E132*(1+g_cpu28)</f>
        <v>29.43393309</v>
      </c>
      <c r="G132" s="21" t="n">
        <f aca="false">F132*(1+g_cpu29)</f>
        <v>33.8490230535</v>
      </c>
    </row>
    <row r="133" customFormat="false" ht="15" hidden="false" customHeight="false" outlineLevel="0" collapsed="false">
      <c r="A133" s="0" t="s">
        <v>524</v>
      </c>
      <c r="B133" s="0" t="s">
        <v>229</v>
      </c>
      <c r="D133" s="21" t="n">
        <f aca="false">a26_cli</f>
        <v>12.037318</v>
      </c>
      <c r="E133" s="21" t="n">
        <f aca="false">D133*(1+g_cli)</f>
        <v>12.39843754</v>
      </c>
      <c r="F133" s="21" t="n">
        <f aca="false">E133*(1+g_cli)</f>
        <v>12.7703906662</v>
      </c>
      <c r="G133" s="21" t="n">
        <f aca="false">F133*(1+g_cli)</f>
        <v>13.153502386186</v>
      </c>
    </row>
    <row r="134" customFormat="false" ht="15" hidden="false" customHeight="false" outlineLevel="0" collapsed="false">
      <c r="A134" s="0" t="s">
        <v>526</v>
      </c>
      <c r="B134" s="0" t="s">
        <v>229</v>
      </c>
      <c r="D134" s="21" t="n">
        <f aca="false">a26_gam</f>
        <v>2.68308</v>
      </c>
      <c r="E134" s="21" t="n">
        <f aca="false">D134*(1+g_gam)</f>
        <v>2.414772</v>
      </c>
      <c r="F134" s="21" t="n">
        <f aca="false">E134*(1+g_gam)</f>
        <v>2.1732948</v>
      </c>
      <c r="G134" s="21" t="n">
        <f aca="false">F134*(1+g_gam)</f>
        <v>1.95596532</v>
      </c>
    </row>
    <row r="135" customFormat="false" ht="15" hidden="false" customHeight="false" outlineLevel="0" collapsed="false">
      <c r="A135" s="0" t="s">
        <v>527</v>
      </c>
      <c r="B135" s="0" t="s">
        <v>229</v>
      </c>
      <c r="D135" s="21" t="n">
        <f aca="false">a26_emb</f>
        <v>4.0713072</v>
      </c>
      <c r="E135" s="21" t="n">
        <f aca="false">D135*(1+g_emb)</f>
        <v>4.47843792</v>
      </c>
      <c r="F135" s="21" t="n">
        <f aca="false">E135*(1+g_emb)</f>
        <v>4.926281712</v>
      </c>
      <c r="G135" s="21" t="n">
        <f aca="false">F135*(1+g_emb)</f>
        <v>5.4189098832</v>
      </c>
    </row>
    <row r="136" customFormat="false" ht="17.15" hidden="false" customHeight="false" outlineLevel="0" collapsed="false">
      <c r="A136" s="5" t="s">
        <v>641</v>
      </c>
      <c r="B136" s="0" t="s">
        <v>229</v>
      </c>
      <c r="D136" s="21" t="n">
        <f aca="false">D132+D133+D134+D135</f>
        <v>34.489802848</v>
      </c>
      <c r="E136" s="21" t="n">
        <f aca="false">E132+E133+E134+E135</f>
        <v>42.838793932</v>
      </c>
      <c r="F136" s="21" t="n">
        <f aca="false">F132+F133+F134+F135</f>
        <v>49.3039002682</v>
      </c>
      <c r="G136" s="21" t="n">
        <f aca="false">G132+G133+G134+G135</f>
        <v>54.377400642886</v>
      </c>
    </row>
    <row r="137" customFormat="false" ht="17.15" hidden="false" customHeight="false" outlineLevel="0" collapsed="false">
      <c r="A137" s="5" t="s">
        <v>642</v>
      </c>
      <c r="B137" s="0" t="s">
        <v>40</v>
      </c>
      <c r="D137" s="17" t="n">
        <f aca="false">(a26_gp-(D129-D130))/D136</f>
        <v>0.583371878020658</v>
      </c>
      <c r="E137" s="17" t="n">
        <f aca="false">$D137</f>
        <v>0.583371878020658</v>
      </c>
      <c r="F137" s="17" t="n">
        <f aca="false">$D137</f>
        <v>0.583371878020658</v>
      </c>
      <c r="G137" s="17" t="n">
        <f aca="false">$D137</f>
        <v>0.583371878020658</v>
      </c>
      <c r="H137" s="8" t="s">
        <v>643</v>
      </c>
    </row>
    <row r="138" customFormat="false" ht="17.15" hidden="false" customHeight="false" outlineLevel="0" collapsed="false">
      <c r="A138" s="5" t="s">
        <v>644</v>
      </c>
      <c r="B138" s="0" t="s">
        <v>229</v>
      </c>
      <c r="D138" s="21" t="n">
        <f aca="false">(1-D137)*D136</f>
        <v>14.369421788</v>
      </c>
      <c r="E138" s="21" t="n">
        <f aca="false">(1-E137)*E136</f>
        <v>17.8478462637492</v>
      </c>
      <c r="F138" s="21" t="n">
        <f aca="false">(1-F137)*F136</f>
        <v>20.5413913749969</v>
      </c>
      <c r="G138" s="21" t="n">
        <f aca="false">(1-G137)*G136</f>
        <v>22.6551543079639</v>
      </c>
    </row>
    <row r="139" customFormat="false" ht="15" hidden="false" customHeight="false" outlineLevel="0" collapsed="false">
      <c r="A139" s="5" t="s">
        <v>645</v>
      </c>
      <c r="B139" s="0" t="s">
        <v>229</v>
      </c>
      <c r="D139" s="21" t="n">
        <f aca="false">D129+D136</f>
        <v>49.6431752</v>
      </c>
      <c r="E139" s="21" t="n">
        <f aca="false">E129+E136</f>
        <v>75.668418636</v>
      </c>
      <c r="F139" s="21" t="n">
        <f aca="false">F129+F136</f>
        <v>82.8084386191333</v>
      </c>
      <c r="G139" s="21" t="n">
        <f aca="false">G129+G136</f>
        <v>95.3157584404327</v>
      </c>
    </row>
    <row r="140" customFormat="false" ht="15" hidden="false" customHeight="false" outlineLevel="0" collapsed="false">
      <c r="A140" s="5" t="s">
        <v>646</v>
      </c>
      <c r="B140" s="0" t="s">
        <v>229</v>
      </c>
      <c r="D140" s="21" t="n">
        <f aca="false">D130+D138</f>
        <v>21.946107964</v>
      </c>
      <c r="E140" s="21" t="n">
        <f aca="false">E130+E138</f>
        <v>38.0469786157492</v>
      </c>
      <c r="F140" s="21" t="n">
        <f aca="false">F130+F138</f>
        <v>39.0596765504636</v>
      </c>
      <c r="G140" s="21" t="n">
        <f aca="false">G130+G138</f>
        <v>45.2821840067372</v>
      </c>
    </row>
    <row r="141" customFormat="false" ht="17.15" hidden="false" customHeight="false" outlineLevel="0" collapsed="false">
      <c r="A141" s="5" t="s">
        <v>647</v>
      </c>
      <c r="B141" s="0" t="s">
        <v>40</v>
      </c>
      <c r="D141" s="17" t="n">
        <f aca="false">1-D140/D139</f>
        <v>0.557922959690137</v>
      </c>
      <c r="E141" s="17" t="n">
        <f aca="false">1-E140/E139</f>
        <v>0.497188136060135</v>
      </c>
      <c r="F141" s="17" t="n">
        <f aca="false">1-F140/F139</f>
        <v>0.528312848282124</v>
      </c>
      <c r="G141" s="17" t="n">
        <f aca="false">1-G140/G139</f>
        <v>0.524924474739021</v>
      </c>
      <c r="H141" s="8" t="s">
        <v>648</v>
      </c>
    </row>
    <row r="142" customFormat="false" ht="17.15" hidden="false" customHeight="false" outlineLevel="0" collapsed="false">
      <c r="A142" s="1" t="s">
        <v>649</v>
      </c>
    </row>
    <row r="143" customFormat="false" ht="15" hidden="false" customHeight="false" outlineLevel="0" collapsed="false">
      <c r="A143" s="5" t="s">
        <v>510</v>
      </c>
      <c r="B143" s="0" t="s">
        <v>229</v>
      </c>
      <c r="C143" s="21" t="n">
        <f aca="false">a25_rev</f>
        <v>34.639</v>
      </c>
      <c r="D143" s="21" t="n">
        <f aca="false">a26_rev</f>
        <v>49.6431752</v>
      </c>
      <c r="E143" s="21" t="n">
        <f aca="false">E139</f>
        <v>75.668418636</v>
      </c>
      <c r="F143" s="21" t="n">
        <f aca="false">F139</f>
        <v>82.8084386191333</v>
      </c>
      <c r="G143" s="21" t="n">
        <f aca="false">G139</f>
        <v>95.3157584404327</v>
      </c>
    </row>
    <row r="144" customFormat="false" ht="15" hidden="false" customHeight="false" outlineLevel="0" collapsed="false">
      <c r="A144" s="0" t="s">
        <v>610</v>
      </c>
      <c r="B144" s="0" t="s">
        <v>229</v>
      </c>
      <c r="C144" s="21" t="n">
        <f aca="false">a25_dc</f>
        <v>16.635</v>
      </c>
      <c r="D144" s="21" t="n">
        <f aca="false">a26_dc</f>
        <v>30.85147</v>
      </c>
      <c r="E144" s="21" t="n">
        <f aca="false">E129+E132</f>
        <v>56.376771176</v>
      </c>
      <c r="F144" s="21" t="n">
        <f aca="false">F129+F132</f>
        <v>62.9384714409333</v>
      </c>
      <c r="G144" s="21" t="n">
        <f aca="false">G129+G132</f>
        <v>74.7873808510467</v>
      </c>
    </row>
    <row r="145" customFormat="false" ht="17.15" hidden="false" customHeight="false" outlineLevel="0" collapsed="false">
      <c r="A145" s="5" t="s">
        <v>611</v>
      </c>
      <c r="B145" s="0" t="s">
        <v>229</v>
      </c>
      <c r="C145" s="21" t="n">
        <f aca="false">a25_gpu</f>
        <v>6.5</v>
      </c>
      <c r="D145" s="21" t="n">
        <f aca="false">a26_gpu</f>
        <v>15.153372352</v>
      </c>
      <c r="E145" s="21" t="n">
        <f aca="false">E129</f>
        <v>32.829624704</v>
      </c>
      <c r="F145" s="21" t="n">
        <f aca="false">F129</f>
        <v>33.5045383509333</v>
      </c>
      <c r="G145" s="21" t="n">
        <f aca="false">G129</f>
        <v>40.9383577975467</v>
      </c>
    </row>
    <row r="146" customFormat="false" ht="17.15" hidden="false" customHeight="false" outlineLevel="0" collapsed="false">
      <c r="A146" s="5" t="s">
        <v>650</v>
      </c>
      <c r="B146" s="0" t="s">
        <v>229</v>
      </c>
      <c r="C146" s="21" t="n">
        <f aca="false">a25_dcx</f>
        <v>10.135</v>
      </c>
      <c r="D146" s="21" t="n">
        <f aca="false">a26_dcx</f>
        <v>15.698097648</v>
      </c>
      <c r="E146" s="21" t="n">
        <f aca="false">E132</f>
        <v>23.547146472</v>
      </c>
      <c r="F146" s="21" t="n">
        <f aca="false">F132</f>
        <v>29.43393309</v>
      </c>
      <c r="G146" s="21" t="n">
        <f aca="false">G132</f>
        <v>33.8490230535</v>
      </c>
    </row>
    <row r="147" customFormat="false" ht="17.15" hidden="false" customHeight="false" outlineLevel="0" collapsed="false">
      <c r="A147" s="0" t="s">
        <v>613</v>
      </c>
      <c r="B147" s="0" t="s">
        <v>229</v>
      </c>
      <c r="C147" s="21" t="n">
        <f aca="false">a25_cli+a25_gam</f>
        <v>14.55</v>
      </c>
      <c r="D147" s="21" t="n">
        <f aca="false">a26_cli+a26_gam</f>
        <v>14.720398</v>
      </c>
      <c r="E147" s="21" t="n">
        <f aca="false">E133+E134</f>
        <v>14.81320954</v>
      </c>
      <c r="F147" s="21" t="n">
        <f aca="false">F133+F134</f>
        <v>14.9436854662</v>
      </c>
      <c r="G147" s="21" t="n">
        <f aca="false">G133+G134</f>
        <v>15.109467706186</v>
      </c>
    </row>
    <row r="148" customFormat="false" ht="15" hidden="false" customHeight="false" outlineLevel="0" collapsed="false">
      <c r="A148" s="0" t="s">
        <v>614</v>
      </c>
      <c r="B148" s="0" t="s">
        <v>229</v>
      </c>
      <c r="C148" s="21" t="n">
        <f aca="false">a25_emb</f>
        <v>3.454</v>
      </c>
      <c r="D148" s="21" t="n">
        <f aca="false">a26_emb</f>
        <v>4.0713072</v>
      </c>
      <c r="E148" s="21" t="n">
        <f aca="false">E135</f>
        <v>4.47843792</v>
      </c>
      <c r="F148" s="21" t="n">
        <f aca="false">F135</f>
        <v>4.926281712</v>
      </c>
      <c r="G148" s="21" t="n">
        <f aca="false">G135</f>
        <v>5.4189098832</v>
      </c>
    </row>
    <row r="149" customFormat="false" ht="15" hidden="false" customHeight="false" outlineLevel="0" collapsed="false">
      <c r="A149" s="5" t="s">
        <v>651</v>
      </c>
      <c r="B149" s="0" t="s">
        <v>40</v>
      </c>
      <c r="D149" s="17" t="n">
        <f aca="false">D143/C143-1</f>
        <v>0.433158439908774</v>
      </c>
      <c r="E149" s="17" t="n">
        <f aca="false">E143/D143-1</f>
        <v>0.524246149267261</v>
      </c>
      <c r="F149" s="17" t="n">
        <f aca="false">F143/E143-1</f>
        <v>0.0943593127997047</v>
      </c>
      <c r="G149" s="17" t="n">
        <f aca="false">G143/F143-1</f>
        <v>0.151039193950089</v>
      </c>
    </row>
    <row r="150" customFormat="false" ht="17.15" hidden="false" customHeight="false" outlineLevel="0" collapsed="false">
      <c r="A150" s="5" t="s">
        <v>529</v>
      </c>
      <c r="B150" s="0" t="s">
        <v>229</v>
      </c>
      <c r="C150" s="21" t="n">
        <f aca="false">a25_gp</f>
        <v>18.165</v>
      </c>
      <c r="D150" s="21" t="n">
        <f aca="false">a26_gp</f>
        <v>27.697067236</v>
      </c>
      <c r="E150" s="21" t="n">
        <f aca="false">E143-E140</f>
        <v>37.6214400202508</v>
      </c>
      <c r="F150" s="21" t="n">
        <f aca="false">F143-F140</f>
        <v>43.7487620686697</v>
      </c>
      <c r="G150" s="21" t="n">
        <f aca="false">G143-G140</f>
        <v>50.0335744336955</v>
      </c>
    </row>
    <row r="151" customFormat="false" ht="15" hidden="false" customHeight="false" outlineLevel="0" collapsed="false">
      <c r="A151" s="5" t="s">
        <v>615</v>
      </c>
      <c r="B151" s="0" t="s">
        <v>40</v>
      </c>
      <c r="C151" s="17" t="n">
        <f aca="false">C150/C143</f>
        <v>0.524408903259332</v>
      </c>
      <c r="D151" s="17" t="n">
        <f aca="false">D150/D143</f>
        <v>0.557922959690137</v>
      </c>
      <c r="E151" s="17" t="n">
        <f aca="false">E150/E143</f>
        <v>0.497188136060135</v>
      </c>
      <c r="F151" s="17" t="n">
        <f aca="false">F150/F143</f>
        <v>0.528312848282123</v>
      </c>
      <c r="G151" s="17" t="n">
        <f aca="false">G150/G143</f>
        <v>0.524924474739021</v>
      </c>
    </row>
    <row r="152" customFormat="false" ht="17.15" hidden="false" customHeight="false" outlineLevel="0" collapsed="false">
      <c r="A152" s="5" t="s">
        <v>652</v>
      </c>
      <c r="B152" s="0" t="s">
        <v>229</v>
      </c>
      <c r="C152" s="21" t="n">
        <f aca="false">a25_opx</f>
        <v>10.397</v>
      </c>
      <c r="D152" s="21" t="n">
        <f aca="false">a26_opx</f>
        <v>14.0215</v>
      </c>
      <c r="E152" s="21" t="n">
        <f aca="false">D152*(1+MAX(g_opx_min,phi*E149))</f>
        <v>19.9374297020239</v>
      </c>
      <c r="F152" s="21" t="n">
        <f aca="false">E152*(1+MAX(g_opx_min,phi*F149))</f>
        <v>21.451504106399</v>
      </c>
      <c r="G152" s="21" t="n">
        <f aca="false">F152*(1+MAX(g_opx_min,phi*G149))</f>
        <v>24.0591023951257</v>
      </c>
      <c r="H152" s="5" t="s">
        <v>653</v>
      </c>
    </row>
    <row r="153" customFormat="false" ht="15" hidden="false" customHeight="false" outlineLevel="0" collapsed="false">
      <c r="A153" s="5" t="s">
        <v>654</v>
      </c>
      <c r="B153" s="0" t="s">
        <v>229</v>
      </c>
      <c r="C153" s="21" t="n">
        <f aca="false">C152</f>
        <v>10.397</v>
      </c>
      <c r="D153" s="21" t="n">
        <f aca="false">D152</f>
        <v>14.0215</v>
      </c>
      <c r="E153" s="21" t="n">
        <f aca="false">E152+0*E143</f>
        <v>19.9374297020239</v>
      </c>
      <c r="F153" s="21" t="n">
        <f aca="false">F152+0*F143</f>
        <v>21.451504106399</v>
      </c>
      <c r="G153" s="21" t="n">
        <f aca="false">G152+0*G143</f>
        <v>24.0591023951257</v>
      </c>
    </row>
    <row r="154" customFormat="false" ht="15" hidden="false" customHeight="false" outlineLevel="0" collapsed="false">
      <c r="A154" s="5" t="s">
        <v>616</v>
      </c>
      <c r="B154" s="0" t="s">
        <v>229</v>
      </c>
      <c r="C154" s="21" t="n">
        <f aca="false">C150-C153</f>
        <v>7.768</v>
      </c>
      <c r="D154" s="21" t="n">
        <f aca="false">D150-D153</f>
        <v>13.675567236</v>
      </c>
      <c r="E154" s="21" t="n">
        <f aca="false">E150-E153</f>
        <v>17.6840103182269</v>
      </c>
      <c r="F154" s="21" t="n">
        <f aca="false">F150-F153</f>
        <v>22.2972579622707</v>
      </c>
      <c r="G154" s="21" t="n">
        <f aca="false">G150-G153</f>
        <v>25.9744720385698</v>
      </c>
    </row>
    <row r="155" customFormat="false" ht="15" hidden="false" customHeight="false" outlineLevel="0" collapsed="false">
      <c r="A155" s="5" t="s">
        <v>617</v>
      </c>
      <c r="B155" s="0" t="s">
        <v>40</v>
      </c>
      <c r="C155" s="17" t="n">
        <f aca="false">C154/C143</f>
        <v>0.22425589653281</v>
      </c>
      <c r="D155" s="17" t="n">
        <f aca="false">D154/D143</f>
        <v>0.275477287278756</v>
      </c>
      <c r="E155" s="17" t="n">
        <f aca="false">E154/E143</f>
        <v>0.233703976335162</v>
      </c>
      <c r="F155" s="17" t="n">
        <f aca="false">F154/F143</f>
        <v>0.269263112963934</v>
      </c>
      <c r="G155" s="17" t="n">
        <f aca="false">G154/G143</f>
        <v>0.272509734629059</v>
      </c>
    </row>
    <row r="156" customFormat="false" ht="17.15" hidden="false" customHeight="false" outlineLevel="0" collapsed="false">
      <c r="A156" s="5" t="s">
        <v>655</v>
      </c>
      <c r="B156" s="0" t="s">
        <v>229</v>
      </c>
      <c r="C156" s="9" t="n">
        <f aca="false">a25_oth</f>
        <v>0.081</v>
      </c>
      <c r="D156" s="9" t="n">
        <f aca="false">a26_oth</f>
        <v>0.25</v>
      </c>
      <c r="E156" s="9" t="n">
        <f aca="false">oth_f</f>
        <v>0.2</v>
      </c>
      <c r="F156" s="9" t="n">
        <f aca="false">oth_f</f>
        <v>0.2</v>
      </c>
      <c r="G156" s="9" t="n">
        <f aca="false">oth_f</f>
        <v>0.2</v>
      </c>
    </row>
    <row r="157" customFormat="false" ht="15" hidden="false" customHeight="false" outlineLevel="0" collapsed="false">
      <c r="A157" s="5" t="s">
        <v>656</v>
      </c>
      <c r="B157" s="0" t="s">
        <v>40</v>
      </c>
      <c r="C157" s="17" t="n">
        <f aca="false">a25_etr</f>
        <v>0.129698050707096</v>
      </c>
      <c r="D157" s="17" t="n">
        <f aca="false">a26_etr</f>
        <v>0.129883667216384</v>
      </c>
      <c r="E157" s="17" t="n">
        <f aca="false">tx_f</f>
        <v>0.13</v>
      </c>
      <c r="F157" s="17" t="n">
        <f aca="false">tx_f</f>
        <v>0.13</v>
      </c>
      <c r="G157" s="17" t="n">
        <f aca="false">tx_f</f>
        <v>0.13</v>
      </c>
    </row>
    <row r="158" customFormat="false" ht="17.15" hidden="false" customHeight="false" outlineLevel="0" collapsed="false">
      <c r="A158" s="5" t="s">
        <v>547</v>
      </c>
      <c r="B158" s="0" t="s">
        <v>229</v>
      </c>
      <c r="C158" s="21" t="n">
        <f aca="false">a25_ni</f>
        <v>6.831</v>
      </c>
      <c r="D158" s="21" t="n">
        <f aca="false">a26_ni</f>
        <v>12.11686349532</v>
      </c>
      <c r="E158" s="21" t="n">
        <f aca="false">(E154+E156)*(1-E157)</f>
        <v>15.5590889768574</v>
      </c>
      <c r="F158" s="21" t="n">
        <f aca="false">(F154+F156)*(1-F157)</f>
        <v>19.5726144271755</v>
      </c>
      <c r="G158" s="21" t="n">
        <f aca="false">(G154+G156)*(1-G157)</f>
        <v>22.7717906735557</v>
      </c>
    </row>
    <row r="159" customFormat="false" ht="15" hidden="false" customHeight="false" outlineLevel="0" collapsed="false">
      <c r="A159" s="5" t="s">
        <v>657</v>
      </c>
      <c r="B159" s="5" t="s">
        <v>309</v>
      </c>
      <c r="C159" s="16" t="n">
        <f aca="false">a25_sh</f>
        <v>1.636</v>
      </c>
      <c r="D159" s="16" t="n">
        <f aca="false">a26_sh</f>
        <v>1.6585805</v>
      </c>
      <c r="E159" s="16" t="n">
        <f aca="false">D159*(1+sh_g)</f>
        <v>1.675166305</v>
      </c>
      <c r="F159" s="16" t="n">
        <f aca="false">E159*(1+sh_g)</f>
        <v>1.69191796805</v>
      </c>
      <c r="G159" s="16" t="n">
        <f aca="false">F159*(1+sh_g)</f>
        <v>1.7088371477305</v>
      </c>
    </row>
    <row r="160" customFormat="false" ht="17.15" hidden="false" customHeight="false" outlineLevel="0" collapsed="false">
      <c r="A160" s="5" t="s">
        <v>658</v>
      </c>
      <c r="B160" s="5" t="s">
        <v>309</v>
      </c>
      <c r="C160" s="16" t="n">
        <f aca="false">0</f>
        <v>0</v>
      </c>
      <c r="D160" s="16" t="n">
        <f aca="false">0</f>
        <v>0</v>
      </c>
      <c r="E160" s="16" t="n">
        <f aca="false">w_tot/w_gw*(gw_26+gw_27)/2*wf</f>
        <v>0.0266666666666667</v>
      </c>
      <c r="F160" s="16" t="n">
        <f aca="false">w_tot/w_gw*(gw_27+gw_28*um28_B)/2*wf</f>
        <v>0.0693333333333333</v>
      </c>
      <c r="G160" s="16" t="n">
        <f aca="false">w_tot/w_gw*(gw_28*um28_B+gw_29*um29_B)/2*wf</f>
        <v>0.110666666666667</v>
      </c>
      <c r="H160" s="8" t="s">
        <v>659</v>
      </c>
    </row>
    <row r="161" customFormat="false" ht="15" hidden="false" customHeight="false" outlineLevel="0" collapsed="false">
      <c r="A161" s="5" t="s">
        <v>618</v>
      </c>
      <c r="B161" s="5" t="s">
        <v>309</v>
      </c>
      <c r="C161" s="16" t="n">
        <f aca="false">C159+C160</f>
        <v>1.636</v>
      </c>
      <c r="D161" s="16" t="n">
        <f aca="false">D159+D160</f>
        <v>1.6585805</v>
      </c>
      <c r="E161" s="16" t="n">
        <f aca="false">E159+E160</f>
        <v>1.70183297166667</v>
      </c>
      <c r="F161" s="16" t="n">
        <f aca="false">F159+F160</f>
        <v>1.76125130138333</v>
      </c>
      <c r="G161" s="16" t="n">
        <f aca="false">G159+G160</f>
        <v>1.81950381439717</v>
      </c>
    </row>
    <row r="162" customFormat="false" ht="17.15" hidden="false" customHeight="false" outlineLevel="0" collapsed="false">
      <c r="A162" s="0" t="s">
        <v>619</v>
      </c>
      <c r="B162" s="0" t="s">
        <v>396</v>
      </c>
      <c r="C162" s="9" t="n">
        <f aca="false">C158/C161</f>
        <v>4.17542787286064</v>
      </c>
      <c r="D162" s="9" t="n">
        <f aca="false">D158/D161</f>
        <v>7.30556249474777</v>
      </c>
      <c r="E162" s="9" t="n">
        <f aca="false">E158/E161</f>
        <v>9.14254761536311</v>
      </c>
      <c r="F162" s="9" t="n">
        <f aca="false">F158/F161</f>
        <v>11.1129027480648</v>
      </c>
      <c r="G162" s="9" t="n">
        <f aca="false">G158/G161</f>
        <v>12.5153849601027</v>
      </c>
    </row>
    <row r="163" customFormat="false" ht="17.15" hidden="false" customHeight="false" outlineLevel="0" collapsed="false">
      <c r="A163" s="0" t="s">
        <v>660</v>
      </c>
      <c r="B163" s="0" t="s">
        <v>40</v>
      </c>
      <c r="D163" s="17" t="n">
        <f aca="false">D162/C162-1</f>
        <v>0.749656015430735</v>
      </c>
      <c r="E163" s="17" t="n">
        <f aca="false">E162/D162-1</f>
        <v>0.251450195920713</v>
      </c>
      <c r="F163" s="17" t="n">
        <f aca="false">F162/E162-1</f>
        <v>0.215514888803061</v>
      </c>
      <c r="G163" s="17" t="n">
        <f aca="false">G162/F162-1</f>
        <v>0.126203049179218</v>
      </c>
    </row>
    <row r="166" customFormat="false" ht="17.15" hidden="false" customHeight="false" outlineLevel="0" collapsed="false">
      <c r="A166" s="3" t="s">
        <v>662</v>
      </c>
    </row>
    <row r="167" customFormat="false" ht="15" hidden="false" customHeight="false" outlineLevel="0" collapsed="false">
      <c r="A167" s="6" t="s">
        <v>18</v>
      </c>
      <c r="B167" s="6" t="s">
        <v>19</v>
      </c>
      <c r="C167" s="13" t="s">
        <v>603</v>
      </c>
      <c r="D167" s="13" t="s">
        <v>604</v>
      </c>
      <c r="E167" s="13" t="s">
        <v>605</v>
      </c>
      <c r="F167" s="13" t="s">
        <v>606</v>
      </c>
      <c r="G167" s="13" t="s">
        <v>607</v>
      </c>
      <c r="H167" s="6" t="s">
        <v>572</v>
      </c>
    </row>
    <row r="168" customFormat="false" ht="17.15" hidden="false" customHeight="false" outlineLevel="0" collapsed="false">
      <c r="A168" s="1" t="s">
        <v>627</v>
      </c>
    </row>
    <row r="169" customFormat="false" ht="17.15" hidden="false" customHeight="false" outlineLevel="0" collapsed="false">
      <c r="A169" s="0" t="s">
        <v>628</v>
      </c>
      <c r="B169" s="0" t="s">
        <v>125</v>
      </c>
      <c r="D169" s="16" t="n">
        <f aca="false">k_rec</f>
        <v>0.673483215644445</v>
      </c>
      <c r="E169" s="16" t="n">
        <f aca="false">k_rec*1</f>
        <v>0.673483215644445</v>
      </c>
      <c r="F169" s="16" t="n">
        <f aca="false">k_rec*1</f>
        <v>0.673483215644445</v>
      </c>
      <c r="G169" s="16" t="n">
        <f aca="false">k_rec*1</f>
        <v>0.673483215644445</v>
      </c>
    </row>
    <row r="170" customFormat="false" ht="17.15" hidden="false" customHeight="false" outlineLevel="0" collapsed="false">
      <c r="A170" s="5" t="s">
        <v>629</v>
      </c>
      <c r="B170" s="0" t="s">
        <v>229</v>
      </c>
      <c r="D170" s="21" t="n">
        <f aca="false">Units!C92</f>
        <v>419.36</v>
      </c>
      <c r="E170" s="21" t="n">
        <f aca="false">Units!D92</f>
        <v>671.46</v>
      </c>
      <c r="F170" s="21" t="n">
        <f aca="false">Units!E92</f>
        <v>457.92</v>
      </c>
      <c r="G170" s="21" t="n">
        <f aca="false">Units!F92</f>
        <v>518.73</v>
      </c>
    </row>
    <row r="171" customFormat="false" ht="17.15" hidden="false" customHeight="false" outlineLevel="0" collapsed="false">
      <c r="A171" s="0" t="s">
        <v>630</v>
      </c>
      <c r="B171" s="0" t="s">
        <v>40</v>
      </c>
      <c r="D171" s="17" t="n">
        <f aca="false">Units!C101</f>
        <v>0.0536531858069439</v>
      </c>
      <c r="E171" s="17" t="n">
        <f aca="false">Units!D101</f>
        <v>0.0670181395764454</v>
      </c>
      <c r="F171" s="17" t="n">
        <f aca="false">Units!E101</f>
        <v>0.0786163522012579</v>
      </c>
      <c r="G171" s="17" t="n">
        <f aca="false">Units!F101</f>
        <v>0.0798103059395061</v>
      </c>
    </row>
    <row r="172" customFormat="false" ht="17.15" hidden="false" customHeight="false" outlineLevel="0" collapsed="false">
      <c r="A172" s="0" t="s">
        <v>631</v>
      </c>
      <c r="B172" s="5" t="s">
        <v>29</v>
      </c>
      <c r="D172" s="9" t="n">
        <f aca="false">Units!C78</f>
        <v>0.75</v>
      </c>
      <c r="E172" s="9" t="n">
        <f aca="false">Units!D78</f>
        <v>1.5</v>
      </c>
      <c r="F172" s="9" t="n">
        <f aca="false">Units!E78</f>
        <v>1.2</v>
      </c>
      <c r="G172" s="9" t="n">
        <f aca="false">Units!F78</f>
        <v>1.38</v>
      </c>
    </row>
    <row r="173" customFormat="false" ht="17.15" hidden="false" customHeight="false" outlineLevel="0" collapsed="false">
      <c r="A173" s="0" t="s">
        <v>632</v>
      </c>
      <c r="B173" s="5" t="s">
        <v>29</v>
      </c>
      <c r="D173" s="9" t="n">
        <f aca="false">D172*D169</f>
        <v>0.505112411733333</v>
      </c>
      <c r="E173" s="9" t="n">
        <f aca="false">E172*E169</f>
        <v>1.01022482346667</v>
      </c>
      <c r="F173" s="9" t="n">
        <f aca="false">F172*F169</f>
        <v>0.808179858773333</v>
      </c>
      <c r="G173" s="9" t="n">
        <f aca="false">G172*G169</f>
        <v>0.929406837589333</v>
      </c>
    </row>
    <row r="174" customFormat="false" ht="17.15" hidden="false" customHeight="false" outlineLevel="0" collapsed="false">
      <c r="A174" s="5" t="s">
        <v>633</v>
      </c>
      <c r="B174" s="0" t="s">
        <v>125</v>
      </c>
      <c r="D174" s="16" t="n">
        <f aca="false">1</f>
        <v>1</v>
      </c>
      <c r="E174" s="16" t="n">
        <f aca="false">pg_27</f>
        <v>1</v>
      </c>
      <c r="F174" s="16" t="n">
        <f aca="false">pg_28</f>
        <v>1</v>
      </c>
      <c r="G174" s="16" t="n">
        <f aca="false">pg_29</f>
        <v>1</v>
      </c>
    </row>
    <row r="175" customFormat="false" ht="17.15" hidden="false" customHeight="false" outlineLevel="0" collapsed="false">
      <c r="A175" s="0" t="s">
        <v>634</v>
      </c>
      <c r="B175" s="0" t="s">
        <v>229</v>
      </c>
      <c r="D175" s="21" t="n">
        <f aca="false">D170*D171*D169*D174</f>
        <v>15.153372352</v>
      </c>
      <c r="E175" s="21" t="n">
        <f aca="false">E170*E171*E169*E174</f>
        <v>30.306744704</v>
      </c>
      <c r="F175" s="21" t="n">
        <f aca="false">F170*F171*F169*F174</f>
        <v>24.2453957632</v>
      </c>
      <c r="G175" s="21" t="n">
        <f aca="false">G170*G171*G169*G174</f>
        <v>27.88220512768</v>
      </c>
    </row>
    <row r="176" customFormat="false" ht="17.15" hidden="false" customHeight="false" outlineLevel="0" collapsed="false">
      <c r="A176" s="0" t="s">
        <v>635</v>
      </c>
      <c r="B176" s="0" t="s">
        <v>125</v>
      </c>
      <c r="D176" s="16" t="n">
        <f aca="false">hbm_C_26/hbm_C_26</f>
        <v>1</v>
      </c>
      <c r="E176" s="16" t="n">
        <f aca="false">hbm_C_27/hbm_C_26</f>
        <v>1.8</v>
      </c>
      <c r="F176" s="16" t="n">
        <f aca="false">hbm_C_28/hbm_C_26</f>
        <v>1.08</v>
      </c>
      <c r="G176" s="16" t="n">
        <f aca="false">hbm_C_29/hbm_C_26</f>
        <v>1.134</v>
      </c>
    </row>
    <row r="177" customFormat="false" ht="17.15" hidden="false" customHeight="false" outlineLevel="0" collapsed="false">
      <c r="A177" s="5" t="s">
        <v>636</v>
      </c>
      <c r="B177" s="0" t="s">
        <v>229</v>
      </c>
      <c r="D177" s="21" t="n">
        <f aca="false">D175*(1+(1-abs_mem)*hs_26*(D176-1))</f>
        <v>15.153372352</v>
      </c>
      <c r="E177" s="21" t="n">
        <f aca="false">E175*(1+(1-abs_mem)*hs_26*(E176-1))</f>
        <v>32.829624704</v>
      </c>
      <c r="F177" s="21" t="n">
        <f aca="false">F175*(1+(1-abs_mem)*hs_26*(F176-1))</f>
        <v>24.4472261632</v>
      </c>
      <c r="G177" s="21" t="n">
        <f aca="false">G175*(1+(1-abs_mem)*hs_26*(G176-1))</f>
        <v>28.27098093568</v>
      </c>
    </row>
    <row r="178" customFormat="false" ht="17.15" hidden="false" customHeight="false" outlineLevel="0" collapsed="false">
      <c r="A178" s="5" t="s">
        <v>637</v>
      </c>
      <c r="B178" s="0" t="s">
        <v>229</v>
      </c>
      <c r="D178" s="21" t="n">
        <f aca="false">D175*((1-gm_gpu)+hs_26*(D176-1))</f>
        <v>7.576686176</v>
      </c>
      <c r="E178" s="21" t="n">
        <f aca="false">E175*((1-gm_gpu)+hs_26*(E176-1))</f>
        <v>20.199132352</v>
      </c>
      <c r="F178" s="21" t="n">
        <f aca="false">F175*((1-gm_gpu)+hs_26*(F176-1))</f>
        <v>12.5263586816</v>
      </c>
      <c r="G178" s="21" t="n">
        <f aca="false">G175*((1-gm_gpu)+hs_26*(G176-1))</f>
        <v>14.71865417984</v>
      </c>
      <c r="H178" s="5" t="s">
        <v>638</v>
      </c>
    </row>
    <row r="179" customFormat="false" ht="17.15" hidden="false" customHeight="false" outlineLevel="0" collapsed="false">
      <c r="A179" s="5" t="s">
        <v>639</v>
      </c>
      <c r="B179" s="0" t="s">
        <v>40</v>
      </c>
      <c r="D179" s="17" t="n">
        <f aca="false">1-D178/D177</f>
        <v>0.5</v>
      </c>
      <c r="E179" s="17" t="n">
        <f aca="false">1-E178/E177</f>
        <v>0.38472850256071</v>
      </c>
      <c r="F179" s="17" t="n">
        <f aca="false">1-F178/F177</f>
        <v>0.487616361955381</v>
      </c>
      <c r="G179" s="17" t="n">
        <f aca="false">1-G178/G177</f>
        <v>0.479372356646316</v>
      </c>
    </row>
    <row r="180" customFormat="false" ht="17.15" hidden="false" customHeight="false" outlineLevel="0" collapsed="false">
      <c r="A180" s="5" t="s">
        <v>640</v>
      </c>
      <c r="B180" s="0" t="s">
        <v>229</v>
      </c>
      <c r="D180" s="21" t="n">
        <f aca="false">a26_dcx</f>
        <v>15.698097648</v>
      </c>
      <c r="E180" s="21" t="n">
        <f aca="false">D180*(1+g_cpu27)</f>
        <v>23.547146472</v>
      </c>
      <c r="F180" s="21" t="n">
        <f aca="false">E180*(1+g_cpu28)</f>
        <v>29.43393309</v>
      </c>
      <c r="G180" s="21" t="n">
        <f aca="false">F180*(1+g_cpu29)</f>
        <v>33.8490230535</v>
      </c>
    </row>
    <row r="181" customFormat="false" ht="15" hidden="false" customHeight="false" outlineLevel="0" collapsed="false">
      <c r="A181" s="0" t="s">
        <v>524</v>
      </c>
      <c r="B181" s="0" t="s">
        <v>229</v>
      </c>
      <c r="D181" s="21" t="n">
        <f aca="false">a26_cli</f>
        <v>12.037318</v>
      </c>
      <c r="E181" s="21" t="n">
        <f aca="false">D181*(1+g_cli)</f>
        <v>12.39843754</v>
      </c>
      <c r="F181" s="21" t="n">
        <f aca="false">E181*(1+g_cli)</f>
        <v>12.7703906662</v>
      </c>
      <c r="G181" s="21" t="n">
        <f aca="false">F181*(1+g_cli)</f>
        <v>13.153502386186</v>
      </c>
    </row>
    <row r="182" customFormat="false" ht="15" hidden="false" customHeight="false" outlineLevel="0" collapsed="false">
      <c r="A182" s="0" t="s">
        <v>526</v>
      </c>
      <c r="B182" s="0" t="s">
        <v>229</v>
      </c>
      <c r="D182" s="21" t="n">
        <f aca="false">a26_gam</f>
        <v>2.68308</v>
      </c>
      <c r="E182" s="21" t="n">
        <f aca="false">D182*(1+g_gam)</f>
        <v>2.414772</v>
      </c>
      <c r="F182" s="21" t="n">
        <f aca="false">E182*(1+g_gam)</f>
        <v>2.1732948</v>
      </c>
      <c r="G182" s="21" t="n">
        <f aca="false">F182*(1+g_gam)</f>
        <v>1.95596532</v>
      </c>
    </row>
    <row r="183" customFormat="false" ht="15" hidden="false" customHeight="false" outlineLevel="0" collapsed="false">
      <c r="A183" s="0" t="s">
        <v>527</v>
      </c>
      <c r="B183" s="0" t="s">
        <v>229</v>
      </c>
      <c r="D183" s="21" t="n">
        <f aca="false">a26_emb</f>
        <v>4.0713072</v>
      </c>
      <c r="E183" s="21" t="n">
        <f aca="false">D183*(1+g_emb)</f>
        <v>4.47843792</v>
      </c>
      <c r="F183" s="21" t="n">
        <f aca="false">E183*(1+g_emb)</f>
        <v>4.926281712</v>
      </c>
      <c r="G183" s="21" t="n">
        <f aca="false">F183*(1+g_emb)</f>
        <v>5.4189098832</v>
      </c>
    </row>
    <row r="184" customFormat="false" ht="17.15" hidden="false" customHeight="false" outlineLevel="0" collapsed="false">
      <c r="A184" s="5" t="s">
        <v>641</v>
      </c>
      <c r="B184" s="0" t="s">
        <v>229</v>
      </c>
      <c r="D184" s="21" t="n">
        <f aca="false">D180+D181+D182+D183</f>
        <v>34.489802848</v>
      </c>
      <c r="E184" s="21" t="n">
        <f aca="false">E180+E181+E182+E183</f>
        <v>42.838793932</v>
      </c>
      <c r="F184" s="21" t="n">
        <f aca="false">F180+F181+F182+F183</f>
        <v>49.3039002682</v>
      </c>
      <c r="G184" s="21" t="n">
        <f aca="false">G180+G181+G182+G183</f>
        <v>54.377400642886</v>
      </c>
    </row>
    <row r="185" customFormat="false" ht="17.15" hidden="false" customHeight="false" outlineLevel="0" collapsed="false">
      <c r="A185" s="5" t="s">
        <v>642</v>
      </c>
      <c r="B185" s="0" t="s">
        <v>40</v>
      </c>
      <c r="D185" s="17" t="n">
        <f aca="false">(a26_gp-(D177-D178))/D184</f>
        <v>0.583371878020658</v>
      </c>
      <c r="E185" s="17" t="n">
        <f aca="false">$D185</f>
        <v>0.583371878020658</v>
      </c>
      <c r="F185" s="17" t="n">
        <f aca="false">$D185</f>
        <v>0.583371878020658</v>
      </c>
      <c r="G185" s="17" t="n">
        <f aca="false">$D185</f>
        <v>0.583371878020658</v>
      </c>
      <c r="H185" s="8" t="s">
        <v>643</v>
      </c>
    </row>
    <row r="186" customFormat="false" ht="17.15" hidden="false" customHeight="false" outlineLevel="0" collapsed="false">
      <c r="A186" s="5" t="s">
        <v>644</v>
      </c>
      <c r="B186" s="0" t="s">
        <v>229</v>
      </c>
      <c r="D186" s="21" t="n">
        <f aca="false">(1-D185)*D184</f>
        <v>14.369421788</v>
      </c>
      <c r="E186" s="21" t="n">
        <f aca="false">(1-E185)*E184</f>
        <v>17.8478462637492</v>
      </c>
      <c r="F186" s="21" t="n">
        <f aca="false">(1-F185)*F184</f>
        <v>20.5413913749969</v>
      </c>
      <c r="G186" s="21" t="n">
        <f aca="false">(1-G185)*G184</f>
        <v>22.6551543079639</v>
      </c>
    </row>
    <row r="187" customFormat="false" ht="15" hidden="false" customHeight="false" outlineLevel="0" collapsed="false">
      <c r="A187" s="5" t="s">
        <v>645</v>
      </c>
      <c r="B187" s="0" t="s">
        <v>229</v>
      </c>
      <c r="D187" s="21" t="n">
        <f aca="false">D177+D184</f>
        <v>49.6431752</v>
      </c>
      <c r="E187" s="21" t="n">
        <f aca="false">E177+E184</f>
        <v>75.668418636</v>
      </c>
      <c r="F187" s="21" t="n">
        <f aca="false">F177+F184</f>
        <v>73.7511264314</v>
      </c>
      <c r="G187" s="21" t="n">
        <f aca="false">G177+G184</f>
        <v>82.648381578566</v>
      </c>
    </row>
    <row r="188" customFormat="false" ht="15" hidden="false" customHeight="false" outlineLevel="0" collapsed="false">
      <c r="A188" s="5" t="s">
        <v>646</v>
      </c>
      <c r="B188" s="0" t="s">
        <v>229</v>
      </c>
      <c r="D188" s="21" t="n">
        <f aca="false">D178+D186</f>
        <v>21.946107964</v>
      </c>
      <c r="E188" s="21" t="n">
        <f aca="false">E178+E186</f>
        <v>38.0469786157492</v>
      </c>
      <c r="F188" s="21" t="n">
        <f aca="false">F178+F186</f>
        <v>33.067750056597</v>
      </c>
      <c r="G188" s="21" t="n">
        <f aca="false">G178+G186</f>
        <v>37.3738084878039</v>
      </c>
    </row>
    <row r="189" customFormat="false" ht="17.15" hidden="false" customHeight="false" outlineLevel="0" collapsed="false">
      <c r="A189" s="5" t="s">
        <v>647</v>
      </c>
      <c r="B189" s="0" t="s">
        <v>40</v>
      </c>
      <c r="D189" s="17" t="n">
        <f aca="false">1-D188/D187</f>
        <v>0.557922959690137</v>
      </c>
      <c r="E189" s="17" t="n">
        <f aca="false">1-E188/E187</f>
        <v>0.497188136060135</v>
      </c>
      <c r="F189" s="17" t="n">
        <f aca="false">1-F188/F187</f>
        <v>0.551630576282044</v>
      </c>
      <c r="G189" s="17" t="n">
        <f aca="false">1-G188/G187</f>
        <v>0.547797455026072</v>
      </c>
      <c r="H189" s="8" t="s">
        <v>648</v>
      </c>
    </row>
    <row r="190" customFormat="false" ht="17.15" hidden="false" customHeight="false" outlineLevel="0" collapsed="false">
      <c r="A190" s="1" t="s">
        <v>649</v>
      </c>
    </row>
    <row r="191" customFormat="false" ht="15" hidden="false" customHeight="false" outlineLevel="0" collapsed="false">
      <c r="A191" s="5" t="s">
        <v>510</v>
      </c>
      <c r="B191" s="0" t="s">
        <v>229</v>
      </c>
      <c r="C191" s="21" t="n">
        <f aca="false">a25_rev</f>
        <v>34.639</v>
      </c>
      <c r="D191" s="21" t="n">
        <f aca="false">a26_rev</f>
        <v>49.6431752</v>
      </c>
      <c r="E191" s="21" t="n">
        <f aca="false">E187</f>
        <v>75.668418636</v>
      </c>
      <c r="F191" s="21" t="n">
        <f aca="false">F187</f>
        <v>73.7511264314</v>
      </c>
      <c r="G191" s="21" t="n">
        <f aca="false">G187</f>
        <v>82.648381578566</v>
      </c>
    </row>
    <row r="192" customFormat="false" ht="15" hidden="false" customHeight="false" outlineLevel="0" collapsed="false">
      <c r="A192" s="0" t="s">
        <v>610</v>
      </c>
      <c r="B192" s="0" t="s">
        <v>229</v>
      </c>
      <c r="C192" s="21" t="n">
        <f aca="false">a25_dc</f>
        <v>16.635</v>
      </c>
      <c r="D192" s="21" t="n">
        <f aca="false">a26_dc</f>
        <v>30.85147</v>
      </c>
      <c r="E192" s="21" t="n">
        <f aca="false">E177+E180</f>
        <v>56.376771176</v>
      </c>
      <c r="F192" s="21" t="n">
        <f aca="false">F177+F180</f>
        <v>53.8811592532</v>
      </c>
      <c r="G192" s="21" t="n">
        <f aca="false">G177+G180</f>
        <v>62.12000398918</v>
      </c>
    </row>
    <row r="193" customFormat="false" ht="17.15" hidden="false" customHeight="false" outlineLevel="0" collapsed="false">
      <c r="A193" s="5" t="s">
        <v>611</v>
      </c>
      <c r="B193" s="0" t="s">
        <v>229</v>
      </c>
      <c r="C193" s="21" t="n">
        <f aca="false">a25_gpu</f>
        <v>6.5</v>
      </c>
      <c r="D193" s="21" t="n">
        <f aca="false">a26_gpu</f>
        <v>15.153372352</v>
      </c>
      <c r="E193" s="21" t="n">
        <f aca="false">E177</f>
        <v>32.829624704</v>
      </c>
      <c r="F193" s="21" t="n">
        <f aca="false">F177</f>
        <v>24.4472261632</v>
      </c>
      <c r="G193" s="21" t="n">
        <f aca="false">G177</f>
        <v>28.27098093568</v>
      </c>
    </row>
    <row r="194" customFormat="false" ht="17.15" hidden="false" customHeight="false" outlineLevel="0" collapsed="false">
      <c r="A194" s="5" t="s">
        <v>650</v>
      </c>
      <c r="B194" s="0" t="s">
        <v>229</v>
      </c>
      <c r="C194" s="21" t="n">
        <f aca="false">a25_dcx</f>
        <v>10.135</v>
      </c>
      <c r="D194" s="21" t="n">
        <f aca="false">a26_dcx</f>
        <v>15.698097648</v>
      </c>
      <c r="E194" s="21" t="n">
        <f aca="false">E180</f>
        <v>23.547146472</v>
      </c>
      <c r="F194" s="21" t="n">
        <f aca="false">F180</f>
        <v>29.43393309</v>
      </c>
      <c r="G194" s="21" t="n">
        <f aca="false">G180</f>
        <v>33.8490230535</v>
      </c>
    </row>
    <row r="195" customFormat="false" ht="17.15" hidden="false" customHeight="false" outlineLevel="0" collapsed="false">
      <c r="A195" s="0" t="s">
        <v>613</v>
      </c>
      <c r="B195" s="0" t="s">
        <v>229</v>
      </c>
      <c r="C195" s="21" t="n">
        <f aca="false">a25_cli+a25_gam</f>
        <v>14.55</v>
      </c>
      <c r="D195" s="21" t="n">
        <f aca="false">a26_cli+a26_gam</f>
        <v>14.720398</v>
      </c>
      <c r="E195" s="21" t="n">
        <f aca="false">E181+E182</f>
        <v>14.81320954</v>
      </c>
      <c r="F195" s="21" t="n">
        <f aca="false">F181+F182</f>
        <v>14.9436854662</v>
      </c>
      <c r="G195" s="21" t="n">
        <f aca="false">G181+G182</f>
        <v>15.109467706186</v>
      </c>
    </row>
    <row r="196" customFormat="false" ht="15" hidden="false" customHeight="false" outlineLevel="0" collapsed="false">
      <c r="A196" s="0" t="s">
        <v>614</v>
      </c>
      <c r="B196" s="0" t="s">
        <v>229</v>
      </c>
      <c r="C196" s="21" t="n">
        <f aca="false">a25_emb</f>
        <v>3.454</v>
      </c>
      <c r="D196" s="21" t="n">
        <f aca="false">a26_emb</f>
        <v>4.0713072</v>
      </c>
      <c r="E196" s="21" t="n">
        <f aca="false">E183</f>
        <v>4.47843792</v>
      </c>
      <c r="F196" s="21" t="n">
        <f aca="false">F183</f>
        <v>4.926281712</v>
      </c>
      <c r="G196" s="21" t="n">
        <f aca="false">G183</f>
        <v>5.4189098832</v>
      </c>
    </row>
    <row r="197" customFormat="false" ht="15" hidden="false" customHeight="false" outlineLevel="0" collapsed="false">
      <c r="A197" s="5" t="s">
        <v>651</v>
      </c>
      <c r="B197" s="0" t="s">
        <v>40</v>
      </c>
      <c r="D197" s="17" t="n">
        <f aca="false">D191/C191-1</f>
        <v>0.433158439908774</v>
      </c>
      <c r="E197" s="17" t="n">
        <f aca="false">E191/D191-1</f>
        <v>0.524246149267261</v>
      </c>
      <c r="F197" s="17" t="n">
        <f aca="false">F191/E191-1</f>
        <v>-0.0253380768246666</v>
      </c>
      <c r="G197" s="17" t="n">
        <f aca="false">G191/F191-1</f>
        <v>0.120638905162239</v>
      </c>
    </row>
    <row r="198" customFormat="false" ht="17.15" hidden="false" customHeight="false" outlineLevel="0" collapsed="false">
      <c r="A198" s="5" t="s">
        <v>529</v>
      </c>
      <c r="B198" s="0" t="s">
        <v>229</v>
      </c>
      <c r="C198" s="21" t="n">
        <f aca="false">a25_gp</f>
        <v>18.165</v>
      </c>
      <c r="D198" s="21" t="n">
        <f aca="false">a26_gp</f>
        <v>27.697067236</v>
      </c>
      <c r="E198" s="21" t="n">
        <f aca="false">E191-E188</f>
        <v>37.6214400202508</v>
      </c>
      <c r="F198" s="21" t="n">
        <f aca="false">F191-F188</f>
        <v>40.6833763748031</v>
      </c>
      <c r="G198" s="21" t="n">
        <f aca="false">G191-G188</f>
        <v>45.2745730907621</v>
      </c>
    </row>
    <row r="199" customFormat="false" ht="15" hidden="false" customHeight="false" outlineLevel="0" collapsed="false">
      <c r="A199" s="5" t="s">
        <v>615</v>
      </c>
      <c r="B199" s="0" t="s">
        <v>40</v>
      </c>
      <c r="C199" s="17" t="n">
        <f aca="false">C198/C191</f>
        <v>0.524408903259332</v>
      </c>
      <c r="D199" s="17" t="n">
        <f aca="false">D198/D191</f>
        <v>0.557922959690137</v>
      </c>
      <c r="E199" s="17" t="n">
        <f aca="false">E198/E191</f>
        <v>0.497188136060135</v>
      </c>
      <c r="F199" s="17" t="n">
        <f aca="false">F198/F191</f>
        <v>0.551630576282044</v>
      </c>
      <c r="G199" s="17" t="n">
        <f aca="false">G198/G191</f>
        <v>0.547797455026072</v>
      </c>
    </row>
    <row r="200" customFormat="false" ht="17.15" hidden="false" customHeight="false" outlineLevel="0" collapsed="false">
      <c r="A200" s="5" t="s">
        <v>652</v>
      </c>
      <c r="B200" s="0" t="s">
        <v>229</v>
      </c>
      <c r="C200" s="21" t="n">
        <f aca="false">a25_opx</f>
        <v>10.397</v>
      </c>
      <c r="D200" s="21" t="n">
        <f aca="false">a26_opx</f>
        <v>14.0215</v>
      </c>
      <c r="E200" s="21" t="n">
        <f aca="false">D200*(1+MAX(g_opx_min,phi*E197))</f>
        <v>19.9374297020239</v>
      </c>
      <c r="F200" s="21" t="n">
        <f aca="false">E200*(1+MAX(g_opx_min,phi*F197))</f>
        <v>20.9343011871251</v>
      </c>
      <c r="G200" s="21" t="n">
        <f aca="false">F200*(1+MAX(g_opx_min,phi*G197))</f>
        <v>22.9668413435905</v>
      </c>
      <c r="H200" s="5" t="s">
        <v>653</v>
      </c>
    </row>
    <row r="201" customFormat="false" ht="15" hidden="false" customHeight="false" outlineLevel="0" collapsed="false">
      <c r="A201" s="5" t="s">
        <v>654</v>
      </c>
      <c r="B201" s="0" t="s">
        <v>229</v>
      </c>
      <c r="C201" s="21" t="n">
        <f aca="false">C200</f>
        <v>10.397</v>
      </c>
      <c r="D201" s="21" t="n">
        <f aca="false">D200</f>
        <v>14.0215</v>
      </c>
      <c r="E201" s="21" t="n">
        <f aca="false">E200+0*E191</f>
        <v>19.9374297020239</v>
      </c>
      <c r="F201" s="21" t="n">
        <f aca="false">F200+0*F191</f>
        <v>20.9343011871251</v>
      </c>
      <c r="G201" s="21" t="n">
        <f aca="false">G200+0*G191</f>
        <v>22.9668413435905</v>
      </c>
    </row>
    <row r="202" customFormat="false" ht="15" hidden="false" customHeight="false" outlineLevel="0" collapsed="false">
      <c r="A202" s="5" t="s">
        <v>616</v>
      </c>
      <c r="B202" s="0" t="s">
        <v>229</v>
      </c>
      <c r="C202" s="21" t="n">
        <f aca="false">C198-C201</f>
        <v>7.768</v>
      </c>
      <c r="D202" s="21" t="n">
        <f aca="false">D198-D201</f>
        <v>13.675567236</v>
      </c>
      <c r="E202" s="21" t="n">
        <f aca="false">E198-E201</f>
        <v>17.6840103182269</v>
      </c>
      <c r="F202" s="21" t="n">
        <f aca="false">F198-F201</f>
        <v>19.7490751876779</v>
      </c>
      <c r="G202" s="21" t="n">
        <f aca="false">G198-G201</f>
        <v>22.3077317471716</v>
      </c>
    </row>
    <row r="203" customFormat="false" ht="15" hidden="false" customHeight="false" outlineLevel="0" collapsed="false">
      <c r="A203" s="5" t="s">
        <v>617</v>
      </c>
      <c r="B203" s="0" t="s">
        <v>40</v>
      </c>
      <c r="C203" s="17" t="n">
        <f aca="false">C202/C191</f>
        <v>0.22425589653281</v>
      </c>
      <c r="D203" s="17" t="n">
        <f aca="false">D202/D191</f>
        <v>0.275477287278756</v>
      </c>
      <c r="E203" s="17" t="n">
        <f aca="false">E202/E191</f>
        <v>0.233703976335162</v>
      </c>
      <c r="F203" s="17" t="n">
        <f aca="false">F202/F191</f>
        <v>0.267779980364742</v>
      </c>
      <c r="G203" s="17" t="n">
        <f aca="false">G202/G191</f>
        <v>0.2699112955523</v>
      </c>
    </row>
    <row r="204" customFormat="false" ht="17.15" hidden="false" customHeight="false" outlineLevel="0" collapsed="false">
      <c r="A204" s="5" t="s">
        <v>655</v>
      </c>
      <c r="B204" s="0" t="s">
        <v>229</v>
      </c>
      <c r="C204" s="9" t="n">
        <f aca="false">a25_oth</f>
        <v>0.081</v>
      </c>
      <c r="D204" s="9" t="n">
        <f aca="false">a26_oth</f>
        <v>0.25</v>
      </c>
      <c r="E204" s="9" t="n">
        <f aca="false">oth_f</f>
        <v>0.2</v>
      </c>
      <c r="F204" s="9" t="n">
        <f aca="false">oth_f</f>
        <v>0.2</v>
      </c>
      <c r="G204" s="9" t="n">
        <f aca="false">oth_f</f>
        <v>0.2</v>
      </c>
    </row>
    <row r="205" customFormat="false" ht="15" hidden="false" customHeight="false" outlineLevel="0" collapsed="false">
      <c r="A205" s="5" t="s">
        <v>656</v>
      </c>
      <c r="B205" s="0" t="s">
        <v>40</v>
      </c>
      <c r="C205" s="17" t="n">
        <f aca="false">a25_etr</f>
        <v>0.129698050707096</v>
      </c>
      <c r="D205" s="17" t="n">
        <f aca="false">a26_etr</f>
        <v>0.129883667216384</v>
      </c>
      <c r="E205" s="17" t="n">
        <f aca="false">tx_f</f>
        <v>0.13</v>
      </c>
      <c r="F205" s="17" t="n">
        <f aca="false">tx_f</f>
        <v>0.13</v>
      </c>
      <c r="G205" s="17" t="n">
        <f aca="false">tx_f</f>
        <v>0.13</v>
      </c>
    </row>
    <row r="206" customFormat="false" ht="17.15" hidden="false" customHeight="false" outlineLevel="0" collapsed="false">
      <c r="A206" s="5" t="s">
        <v>547</v>
      </c>
      <c r="B206" s="0" t="s">
        <v>229</v>
      </c>
      <c r="C206" s="21" t="n">
        <f aca="false">a25_ni</f>
        <v>6.831</v>
      </c>
      <c r="D206" s="21" t="n">
        <f aca="false">a26_ni</f>
        <v>12.11686349532</v>
      </c>
      <c r="E206" s="21" t="n">
        <f aca="false">(E202+E204)*(1-E205)</f>
        <v>15.5590889768574</v>
      </c>
      <c r="F206" s="21" t="n">
        <f aca="false">(F202+F204)*(1-F205)</f>
        <v>17.3556954132798</v>
      </c>
      <c r="G206" s="21" t="n">
        <f aca="false">(G202+G204)*(1-G205)</f>
        <v>19.5817266200393</v>
      </c>
    </row>
    <row r="207" customFormat="false" ht="15" hidden="false" customHeight="false" outlineLevel="0" collapsed="false">
      <c r="A207" s="5" t="s">
        <v>657</v>
      </c>
      <c r="B207" s="5" t="s">
        <v>309</v>
      </c>
      <c r="C207" s="16" t="n">
        <f aca="false">a25_sh</f>
        <v>1.636</v>
      </c>
      <c r="D207" s="16" t="n">
        <f aca="false">a26_sh</f>
        <v>1.6585805</v>
      </c>
      <c r="E207" s="16" t="n">
        <f aca="false">D207*(1+sh_g)</f>
        <v>1.675166305</v>
      </c>
      <c r="F207" s="16" t="n">
        <f aca="false">E207*(1+sh_g)</f>
        <v>1.69191796805</v>
      </c>
      <c r="G207" s="16" t="n">
        <f aca="false">F207*(1+sh_g)</f>
        <v>1.7088371477305</v>
      </c>
    </row>
    <row r="208" customFormat="false" ht="17.15" hidden="false" customHeight="false" outlineLevel="0" collapsed="false">
      <c r="A208" s="5" t="s">
        <v>658</v>
      </c>
      <c r="B208" s="5" t="s">
        <v>309</v>
      </c>
      <c r="C208" s="16" t="n">
        <f aca="false">0</f>
        <v>0</v>
      </c>
      <c r="D208" s="16" t="n">
        <f aca="false">0</f>
        <v>0</v>
      </c>
      <c r="E208" s="16" t="n">
        <f aca="false">w_tot/w_gw*(gw_26+gw_27)/2*wf</f>
        <v>0.0266666666666667</v>
      </c>
      <c r="F208" s="16" t="n">
        <f aca="false">w_tot/w_gw*(gw_27+gw_28*um28_C)/2*wf</f>
        <v>0.0586666666666667</v>
      </c>
      <c r="G208" s="16" t="n">
        <f aca="false">w_tot/w_gw*(gw_28*um28_C+gw_29*um29_C)/2*wf</f>
        <v>0.08</v>
      </c>
      <c r="H208" s="8" t="s">
        <v>659</v>
      </c>
    </row>
    <row r="209" customFormat="false" ht="15" hidden="false" customHeight="false" outlineLevel="0" collapsed="false">
      <c r="A209" s="5" t="s">
        <v>618</v>
      </c>
      <c r="B209" s="5" t="s">
        <v>309</v>
      </c>
      <c r="C209" s="16" t="n">
        <f aca="false">C207+C208</f>
        <v>1.636</v>
      </c>
      <c r="D209" s="16" t="n">
        <f aca="false">D207+D208</f>
        <v>1.6585805</v>
      </c>
      <c r="E209" s="16" t="n">
        <f aca="false">E207+E208</f>
        <v>1.70183297166667</v>
      </c>
      <c r="F209" s="16" t="n">
        <f aca="false">F207+F208</f>
        <v>1.75058463471667</v>
      </c>
      <c r="G209" s="16" t="n">
        <f aca="false">G207+G208</f>
        <v>1.7888371477305</v>
      </c>
    </row>
    <row r="210" customFormat="false" ht="17.15" hidden="false" customHeight="false" outlineLevel="0" collapsed="false">
      <c r="A210" s="0" t="s">
        <v>619</v>
      </c>
      <c r="B210" s="0" t="s">
        <v>396</v>
      </c>
      <c r="C210" s="9" t="n">
        <f aca="false">C206/C209</f>
        <v>4.17542787286064</v>
      </c>
      <c r="D210" s="9" t="n">
        <f aca="false">D206/D209</f>
        <v>7.30556249474777</v>
      </c>
      <c r="E210" s="9" t="n">
        <f aca="false">E206/E209</f>
        <v>9.14254761536311</v>
      </c>
      <c r="F210" s="9" t="n">
        <f aca="false">F206/F209</f>
        <v>9.91422812076083</v>
      </c>
      <c r="G210" s="9" t="n">
        <f aca="false">G206/G209</f>
        <v>10.9466234223069</v>
      </c>
    </row>
    <row r="211" customFormat="false" ht="17.15" hidden="false" customHeight="false" outlineLevel="0" collapsed="false">
      <c r="A211" s="0" t="s">
        <v>660</v>
      </c>
      <c r="B211" s="0" t="s">
        <v>40</v>
      </c>
      <c r="D211" s="17" t="n">
        <f aca="false">D210/C210-1</f>
        <v>0.749656015430735</v>
      </c>
      <c r="E211" s="17" t="n">
        <f aca="false">E210/D210-1</f>
        <v>0.251450195920713</v>
      </c>
      <c r="F211" s="17" t="n">
        <f aca="false">F210/E210-1</f>
        <v>0.0844054127868026</v>
      </c>
      <c r="G211" s="17" t="n">
        <f aca="false">G210/F210-1</f>
        <v>0.104132695855985</v>
      </c>
    </row>
    <row r="214" customFormat="false" ht="17.15" hidden="false" customHeight="false" outlineLevel="0" collapsed="false">
      <c r="A214" s="3" t="s">
        <v>663</v>
      </c>
    </row>
    <row r="215" customFormat="false" ht="17.15" hidden="false" customHeight="false" outlineLevel="0" collapsed="false">
      <c r="A215" s="5" t="s">
        <v>664</v>
      </c>
    </row>
    <row r="216" customFormat="false" ht="15" hidden="false" customHeight="false" outlineLevel="0" collapsed="false">
      <c r="A216" s="6" t="s">
        <v>665</v>
      </c>
      <c r="B216" s="6" t="s">
        <v>19</v>
      </c>
      <c r="C216" s="13" t="s">
        <v>603</v>
      </c>
      <c r="D216" s="13" t="s">
        <v>604</v>
      </c>
      <c r="E216" s="13" t="s">
        <v>605</v>
      </c>
      <c r="F216" s="13" t="s">
        <v>606</v>
      </c>
      <c r="G216" s="13" t="s">
        <v>607</v>
      </c>
      <c r="H216" s="13" t="s">
        <v>666</v>
      </c>
      <c r="I216" s="13" t="s">
        <v>667</v>
      </c>
      <c r="J216" s="13" t="s">
        <v>668</v>
      </c>
      <c r="K216" s="6" t="s">
        <v>572</v>
      </c>
    </row>
    <row r="217" customFormat="false" ht="17.15" hidden="false" customHeight="false" outlineLevel="0" collapsed="false">
      <c r="A217" s="3" t="s">
        <v>608</v>
      </c>
    </row>
    <row r="218" customFormat="false" ht="15" hidden="false" customHeight="false" outlineLevel="0" collapsed="false">
      <c r="A218" s="5" t="s">
        <v>510</v>
      </c>
      <c r="B218" s="0" t="s">
        <v>229</v>
      </c>
      <c r="C218" s="21" t="n">
        <f aca="false">C95</f>
        <v>34.639</v>
      </c>
      <c r="D218" s="21" t="n">
        <f aca="false">D95</f>
        <v>49.6431752</v>
      </c>
      <c r="E218" s="21" t="n">
        <f aca="false">E95</f>
        <v>75.668418636</v>
      </c>
      <c r="F218" s="21" t="n">
        <f aca="false">F95</f>
        <v>93.8335972068667</v>
      </c>
      <c r="G218" s="21" t="n">
        <f aca="false">G95</f>
        <v>105.107835642353</v>
      </c>
      <c r="H218" s="22" t="n">
        <f aca="false">G218*(1+H219)</f>
        <v>115.629228362656</v>
      </c>
      <c r="I218" s="22" t="n">
        <f aca="false">H218*(1+I219)</f>
        <v>124.885402202928</v>
      </c>
      <c r="J218" s="22" t="n">
        <f aca="false">I218*(1+J219)</f>
        <v>132.378526335104</v>
      </c>
    </row>
    <row r="219" customFormat="false" ht="17.15" hidden="false" customHeight="false" outlineLevel="0" collapsed="false">
      <c r="A219" s="5" t="s">
        <v>609</v>
      </c>
      <c r="B219" s="0" t="s">
        <v>40</v>
      </c>
      <c r="C219" s="17"/>
      <c r="D219" s="17" t="n">
        <f aca="false">D218/C218-1</f>
        <v>0.433158439908774</v>
      </c>
      <c r="E219" s="17" t="n">
        <f aca="false">E218/D218-1</f>
        <v>0.524246149267261</v>
      </c>
      <c r="F219" s="17" t="n">
        <f aca="false">F218/E218-1</f>
        <v>0.240062880899488</v>
      </c>
      <c r="G219" s="17" t="n">
        <f aca="false">G218/F218-1</f>
        <v>0.120151403879686</v>
      </c>
      <c r="H219" s="23" t="n">
        <f aca="false">$G$219+((tp_g+tp_gd)-$G$219)*1/3</f>
        <v>0.100100935919791</v>
      </c>
      <c r="I219" s="23" t="n">
        <f aca="false">$G$219+((tp_g+tp_gd)-$G$219)*2/3</f>
        <v>0.0800504679598953</v>
      </c>
      <c r="J219" s="23" t="n">
        <f aca="false">$G$219+((tp_g+tp_gd)-$G$219)*3/3</f>
        <v>0.06</v>
      </c>
      <c r="K219" s="8" t="s">
        <v>669</v>
      </c>
    </row>
    <row r="220" customFormat="false" ht="17.15" hidden="false" customHeight="false" outlineLevel="0" collapsed="false">
      <c r="A220" s="5" t="s">
        <v>670</v>
      </c>
      <c r="B220" s="0" t="s">
        <v>40</v>
      </c>
      <c r="C220" s="17" t="n">
        <f aca="false">C221/C218</f>
        <v>0.197205462051445</v>
      </c>
      <c r="D220" s="17" t="n">
        <f aca="false">D221/D218</f>
        <v>0.244079139710628</v>
      </c>
      <c r="E220" s="17" t="n">
        <f aca="false">E221/E218</f>
        <v>0.205621965640696</v>
      </c>
      <c r="F220" s="17" t="n">
        <f aca="false">F221/F218</f>
        <v>0.197087927593085</v>
      </c>
      <c r="G220" s="17" t="n">
        <f aca="false">G221/G218</f>
        <v>0.205336710809226</v>
      </c>
      <c r="H220" s="23" t="n">
        <f aca="false">$G$220+($G$220-$G$220)*1/3</f>
        <v>0.205336710809226</v>
      </c>
      <c r="I220" s="23" t="n">
        <f aca="false">$G$220+($G$220-$G$220)*2/3</f>
        <v>0.205336710809226</v>
      </c>
      <c r="J220" s="23" t="n">
        <f aca="false">$G$220+($G$220-$G$220)*3/3</f>
        <v>0.205336710809226</v>
      </c>
      <c r="K220" s="8" t="s">
        <v>671</v>
      </c>
    </row>
    <row r="221" customFormat="false" ht="15" hidden="false" customHeight="false" outlineLevel="0" collapsed="false">
      <c r="A221" s="5" t="s">
        <v>672</v>
      </c>
      <c r="B221" s="0" t="s">
        <v>229</v>
      </c>
      <c r="C221" s="21" t="n">
        <f aca="false">C110</f>
        <v>6.831</v>
      </c>
      <c r="D221" s="21" t="n">
        <f aca="false">D110</f>
        <v>12.11686349532</v>
      </c>
      <c r="E221" s="21" t="n">
        <f aca="false">E110</f>
        <v>15.5590889768574</v>
      </c>
      <c r="F221" s="21" t="n">
        <f aca="false">F110</f>
        <v>18.4934692121056</v>
      </c>
      <c r="G221" s="21" t="n">
        <f aca="false">G110</f>
        <v>21.5824972510774</v>
      </c>
      <c r="H221" s="22" t="n">
        <f aca="false">H218*H220</f>
        <v>23.7429254253966</v>
      </c>
      <c r="I221" s="22" t="n">
        <f aca="false">I218*I220</f>
        <v>25.6435577164365</v>
      </c>
      <c r="J221" s="22" t="n">
        <f aca="false">J218*J220</f>
        <v>27.1821711794227</v>
      </c>
    </row>
    <row r="222" customFormat="false" ht="17.15" hidden="false" customHeight="false" outlineLevel="0" collapsed="false">
      <c r="A222" s="5" t="s">
        <v>618</v>
      </c>
      <c r="B222" s="5" t="s">
        <v>309</v>
      </c>
      <c r="C222" s="16" t="n">
        <f aca="false">C113</f>
        <v>1.636</v>
      </c>
      <c r="D222" s="16" t="n">
        <f aca="false">D113</f>
        <v>1.6585805</v>
      </c>
      <c r="E222" s="16" t="n">
        <f aca="false">E113</f>
        <v>1.70183297166667</v>
      </c>
      <c r="F222" s="16" t="n">
        <f aca="false">F113</f>
        <v>1.77191796805</v>
      </c>
      <c r="G222" s="16" t="n">
        <f aca="false">G113</f>
        <v>1.84217048106383</v>
      </c>
      <c r="H222" s="24" t="n">
        <f aca="false">G222*(1+$G$222/$F$222-1)</f>
        <v>1.91520834626312</v>
      </c>
      <c r="I222" s="24" t="n">
        <f aca="false">H222*(1+$G$222/$F$222-1)</f>
        <v>1.99114199652015</v>
      </c>
      <c r="J222" s="24" t="n">
        <f aca="false">I222*(1+$G$222/$F$222-1)</f>
        <v>2.07008624311914</v>
      </c>
      <c r="K222" s="8" t="s">
        <v>673</v>
      </c>
    </row>
    <row r="223" customFormat="false" ht="17.15" hidden="false" customHeight="false" outlineLevel="0" collapsed="false">
      <c r="A223" s="0" t="s">
        <v>674</v>
      </c>
      <c r="B223" s="0" t="s">
        <v>396</v>
      </c>
      <c r="C223" s="25" t="n">
        <f aca="false">C114</f>
        <v>4.17542787286064</v>
      </c>
      <c r="D223" s="25" t="n">
        <f aca="false">D114</f>
        <v>7.30556249474777</v>
      </c>
      <c r="E223" s="25" t="n">
        <f aca="false">E114</f>
        <v>9.14254761536311</v>
      </c>
      <c r="F223" s="25" t="n">
        <f aca="false">F114</f>
        <v>10.4369782041647</v>
      </c>
      <c r="G223" s="25" t="n">
        <f aca="false">G114</f>
        <v>11.7157980072581</v>
      </c>
      <c r="H223" s="26" t="n">
        <f aca="false">H221/H222</f>
        <v>12.3970457165785</v>
      </c>
      <c r="I223" s="26" t="n">
        <f aca="false">I221/I222</f>
        <v>12.8788191707336</v>
      </c>
      <c r="J223" s="26" t="n">
        <f aca="false">J221/J222</f>
        <v>13.1309365828476</v>
      </c>
    </row>
    <row r="224" customFormat="false" ht="17.15" hidden="false" customHeight="false" outlineLevel="0" collapsed="false">
      <c r="A224" s="0" t="s">
        <v>620</v>
      </c>
      <c r="B224" s="0" t="s">
        <v>40</v>
      </c>
      <c r="C224" s="17"/>
      <c r="D224" s="17" t="n">
        <f aca="false">D223/C223-1</f>
        <v>0.749656015430735</v>
      </c>
      <c r="E224" s="17" t="n">
        <f aca="false">E223/D223-1</f>
        <v>0.251450195920713</v>
      </c>
      <c r="F224" s="17" t="n">
        <f aca="false">F223/E223-1</f>
        <v>0.14158313888641</v>
      </c>
      <c r="G224" s="17" t="n">
        <f aca="false">G223/F223-1</f>
        <v>0.122527783241242</v>
      </c>
      <c r="H224" s="23" t="n">
        <f aca="false">H223/G223-1</f>
        <v>0.0581477854857417</v>
      </c>
      <c r="I224" s="23" t="n">
        <f aca="false">I223/H223-1</f>
        <v>0.038861956724968</v>
      </c>
      <c r="J224" s="23" t="n">
        <f aca="false">J223/I223-1</f>
        <v>0.0195761279641942</v>
      </c>
    </row>
    <row r="226" customFormat="false" ht="17.15" hidden="false" customHeight="false" outlineLevel="0" collapsed="false">
      <c r="A226" s="3" t="s">
        <v>621</v>
      </c>
    </row>
    <row r="227" customFormat="false" ht="15" hidden="false" customHeight="false" outlineLevel="0" collapsed="false">
      <c r="A227" s="5" t="s">
        <v>510</v>
      </c>
      <c r="B227" s="0" t="s">
        <v>229</v>
      </c>
      <c r="C227" s="21" t="n">
        <f aca="false">C143</f>
        <v>34.639</v>
      </c>
      <c r="D227" s="21" t="n">
        <f aca="false">D143</f>
        <v>49.6431752</v>
      </c>
      <c r="E227" s="21" t="n">
        <f aca="false">E143</f>
        <v>75.668418636</v>
      </c>
      <c r="F227" s="21" t="n">
        <f aca="false">F143</f>
        <v>82.8084386191333</v>
      </c>
      <c r="G227" s="21" t="n">
        <f aca="false">G143</f>
        <v>95.3157584404327</v>
      </c>
      <c r="H227" s="22" t="n">
        <f aca="false">G227*(1+H228)</f>
        <v>106.184245436695</v>
      </c>
      <c r="I227" s="22" t="n">
        <f aca="false">H227*(1+I228)</f>
        <v>114.361819595326</v>
      </c>
      <c r="J227" s="22" t="n">
        <f aca="false">I227*(1+J228)</f>
        <v>118.936292379139</v>
      </c>
    </row>
    <row r="228" customFormat="false" ht="17.15" hidden="false" customHeight="false" outlineLevel="0" collapsed="false">
      <c r="A228" s="5" t="s">
        <v>609</v>
      </c>
      <c r="B228" s="0" t="s">
        <v>40</v>
      </c>
      <c r="C228" s="17"/>
      <c r="D228" s="17" t="n">
        <f aca="false">D227/C227-1</f>
        <v>0.433158439908774</v>
      </c>
      <c r="E228" s="17" t="n">
        <f aca="false">E227/D227-1</f>
        <v>0.524246149267261</v>
      </c>
      <c r="F228" s="17" t="n">
        <f aca="false">F227/E227-1</f>
        <v>0.0943593127997047</v>
      </c>
      <c r="G228" s="17" t="n">
        <f aca="false">G227/F227-1</f>
        <v>0.151039193950089</v>
      </c>
      <c r="H228" s="23" t="n">
        <f aca="false">$G$228+(tp_g-$G$228)*1/3</f>
        <v>0.11402612930006</v>
      </c>
      <c r="I228" s="23" t="n">
        <f aca="false">$G$228+(tp_g-$G$228)*2/3</f>
        <v>0.0770130646500298</v>
      </c>
      <c r="J228" s="23" t="n">
        <f aca="false">$G$228+(tp_g-$G$228)*3/3</f>
        <v>0.04</v>
      </c>
      <c r="K228" s="8" t="s">
        <v>675</v>
      </c>
    </row>
    <row r="229" customFormat="false" ht="17.15" hidden="false" customHeight="false" outlineLevel="0" collapsed="false">
      <c r="A229" s="5" t="s">
        <v>670</v>
      </c>
      <c r="B229" s="0" t="s">
        <v>40</v>
      </c>
      <c r="C229" s="17" t="n">
        <f aca="false">C230/C227</f>
        <v>0.197205462051445</v>
      </c>
      <c r="D229" s="17" t="n">
        <f aca="false">D230/D227</f>
        <v>0.244079139710628</v>
      </c>
      <c r="E229" s="17" t="n">
        <f aca="false">E230/E227</f>
        <v>0.205621965640696</v>
      </c>
      <c r="F229" s="17" t="n">
        <f aca="false">F230/F227</f>
        <v>0.236360143405157</v>
      </c>
      <c r="G229" s="17" t="n">
        <f aca="false">G230/G227</f>
        <v>0.23890898048917</v>
      </c>
      <c r="H229" s="23" t="n">
        <f aca="false">$G$229+(($G$229+$G$229*nm10_k)/2-$G$229)*1/3</f>
        <v>0.230945347806197</v>
      </c>
      <c r="I229" s="23" t="n">
        <f aca="false">$G$229+(($G$229+$G$229*nm10_k)/2-$G$229)*2/3</f>
        <v>0.222981715123225</v>
      </c>
      <c r="J229" s="23" t="n">
        <f aca="false">$G$229+(($G$229+$G$229*nm10_k)/2-$G$229)*3/3</f>
        <v>0.215018082440253</v>
      </c>
      <c r="K229" s="8" t="s">
        <v>676</v>
      </c>
    </row>
    <row r="230" customFormat="false" ht="15" hidden="false" customHeight="false" outlineLevel="0" collapsed="false">
      <c r="A230" s="5" t="s">
        <v>672</v>
      </c>
      <c r="B230" s="0" t="s">
        <v>229</v>
      </c>
      <c r="C230" s="21" t="n">
        <f aca="false">C158</f>
        <v>6.831</v>
      </c>
      <c r="D230" s="21" t="n">
        <f aca="false">D158</f>
        <v>12.11686349532</v>
      </c>
      <c r="E230" s="21" t="n">
        <f aca="false">E158</f>
        <v>15.5590889768574</v>
      </c>
      <c r="F230" s="21" t="n">
        <f aca="false">F158</f>
        <v>19.5726144271755</v>
      </c>
      <c r="G230" s="21" t="n">
        <f aca="false">G158</f>
        <v>22.7717906735557</v>
      </c>
      <c r="H230" s="22" t="n">
        <f aca="false">H227*H229</f>
        <v>24.5227574939161</v>
      </c>
      <c r="I230" s="22" t="n">
        <f aca="false">I227*I229</f>
        <v>25.5005946779785</v>
      </c>
      <c r="J230" s="22" t="n">
        <f aca="false">J227*J229</f>
        <v>25.5734535199156</v>
      </c>
    </row>
    <row r="231" customFormat="false" ht="17.15" hidden="false" customHeight="false" outlineLevel="0" collapsed="false">
      <c r="A231" s="5" t="s">
        <v>618</v>
      </c>
      <c r="B231" s="5" t="s">
        <v>309</v>
      </c>
      <c r="C231" s="16" t="n">
        <f aca="false">C161</f>
        <v>1.636</v>
      </c>
      <c r="D231" s="16" t="n">
        <f aca="false">D161</f>
        <v>1.6585805</v>
      </c>
      <c r="E231" s="16" t="n">
        <f aca="false">E161</f>
        <v>1.70183297166667</v>
      </c>
      <c r="F231" s="16" t="n">
        <f aca="false">F161</f>
        <v>1.76125130138333</v>
      </c>
      <c r="G231" s="16" t="n">
        <f aca="false">G161</f>
        <v>1.81950381439717</v>
      </c>
      <c r="H231" s="24" t="n">
        <f aca="false">G231*(1+$G$231/$F$231-1)</f>
        <v>1.87968300037911</v>
      </c>
      <c r="I231" s="24" t="n">
        <f aca="false">H231*(1+$G$231/$F$231-1)</f>
        <v>1.94185258308174</v>
      </c>
      <c r="J231" s="24" t="n">
        <f aca="false">I231*(1+$G$231/$F$231-1)</f>
        <v>2.00607839388913</v>
      </c>
      <c r="K231" s="8" t="s">
        <v>673</v>
      </c>
    </row>
    <row r="232" customFormat="false" ht="17.15" hidden="false" customHeight="false" outlineLevel="0" collapsed="false">
      <c r="A232" s="0" t="s">
        <v>674</v>
      </c>
      <c r="B232" s="0" t="s">
        <v>396</v>
      </c>
      <c r="C232" s="25" t="n">
        <f aca="false">C162</f>
        <v>4.17542787286064</v>
      </c>
      <c r="D232" s="25" t="n">
        <f aca="false">D162</f>
        <v>7.30556249474777</v>
      </c>
      <c r="E232" s="25" t="n">
        <f aca="false">E162</f>
        <v>9.14254761536311</v>
      </c>
      <c r="F232" s="25" t="n">
        <f aca="false">F162</f>
        <v>11.1129027480648</v>
      </c>
      <c r="G232" s="25" t="n">
        <f aca="false">G162</f>
        <v>12.5153849601027</v>
      </c>
      <c r="H232" s="26" t="n">
        <f aca="false">H230/H231</f>
        <v>13.0462197556557</v>
      </c>
      <c r="I232" s="26" t="n">
        <f aca="false">I230/I231</f>
        <v>13.1320960716332</v>
      </c>
      <c r="J232" s="26" t="n">
        <f aca="false">J230/J231</f>
        <v>12.747983128584</v>
      </c>
    </row>
    <row r="233" customFormat="false" ht="17.15" hidden="false" customHeight="false" outlineLevel="0" collapsed="false">
      <c r="A233" s="0" t="s">
        <v>620</v>
      </c>
      <c r="B233" s="0" t="s">
        <v>40</v>
      </c>
      <c r="C233" s="17"/>
      <c r="D233" s="17" t="n">
        <f aca="false">D232/C232-1</f>
        <v>0.749656015430735</v>
      </c>
      <c r="E233" s="17" t="n">
        <f aca="false">E232/D232-1</f>
        <v>0.251450195920713</v>
      </c>
      <c r="F233" s="17" t="n">
        <f aca="false">F232/E232-1</f>
        <v>0.215514888803061</v>
      </c>
      <c r="G233" s="17" t="n">
        <f aca="false">G232/F232-1</f>
        <v>0.126203049179218</v>
      </c>
      <c r="H233" s="23" t="n">
        <f aca="false">H232/G232-1</f>
        <v>0.0424145799146587</v>
      </c>
      <c r="I233" s="23" t="n">
        <f aca="false">I232/H232-1</f>
        <v>0.00658246738027768</v>
      </c>
      <c r="J233" s="23" t="n">
        <f aca="false">J232/I232-1</f>
        <v>-0.0292499339750409</v>
      </c>
    </row>
    <row r="235" customFormat="false" ht="17.15" hidden="false" customHeight="false" outlineLevel="0" collapsed="false">
      <c r="A235" s="3" t="s">
        <v>622</v>
      </c>
    </row>
    <row r="236" customFormat="false" ht="15" hidden="false" customHeight="false" outlineLevel="0" collapsed="false">
      <c r="A236" s="5" t="s">
        <v>510</v>
      </c>
      <c r="B236" s="0" t="s">
        <v>229</v>
      </c>
      <c r="C236" s="21" t="n">
        <f aca="false">C191</f>
        <v>34.639</v>
      </c>
      <c r="D236" s="21" t="n">
        <f aca="false">D191</f>
        <v>49.6431752</v>
      </c>
      <c r="E236" s="21" t="n">
        <f aca="false">E191</f>
        <v>75.668418636</v>
      </c>
      <c r="F236" s="21" t="n">
        <f aca="false">F191</f>
        <v>73.7511264314</v>
      </c>
      <c r="G236" s="21" t="n">
        <f aca="false">G191</f>
        <v>82.648381578566</v>
      </c>
      <c r="H236" s="22" t="n">
        <f aca="false">G236*(1+H237)</f>
        <v>89.8464443004692</v>
      </c>
      <c r="I236" s="22" t="n">
        <f aca="false">H236*(1+I237)</f>
        <v>94.6573891155184</v>
      </c>
      <c r="J236" s="22" t="n">
        <f aca="false">I236*(1+J237)</f>
        <v>96.5505368978288</v>
      </c>
    </row>
    <row r="237" customFormat="false" ht="17.15" hidden="false" customHeight="false" outlineLevel="0" collapsed="false">
      <c r="A237" s="5" t="s">
        <v>609</v>
      </c>
      <c r="B237" s="0" t="s">
        <v>40</v>
      </c>
      <c r="C237" s="17"/>
      <c r="D237" s="17" t="n">
        <f aca="false">D236/C236-1</f>
        <v>0.433158439908774</v>
      </c>
      <c r="E237" s="17" t="n">
        <f aca="false">E236/D236-1</f>
        <v>0.524246149267261</v>
      </c>
      <c r="F237" s="17" t="n">
        <f aca="false">F236/E236-1</f>
        <v>-0.0253380768246666</v>
      </c>
      <c r="G237" s="17" t="n">
        <f aca="false">G236/F236-1</f>
        <v>0.120638905162239</v>
      </c>
      <c r="H237" s="23" t="n">
        <f aca="false">$G$237+((tp_g-tp_gd)-$G$237)*1/3</f>
        <v>0.0870926034414929</v>
      </c>
      <c r="I237" s="23" t="n">
        <f aca="false">$G$237+((tp_g-tp_gd)-$G$237)*2/3</f>
        <v>0.0535463017207465</v>
      </c>
      <c r="J237" s="23" t="n">
        <f aca="false">$G$237+((tp_g-tp_gd)-$G$237)*3/3</f>
        <v>0.02</v>
      </c>
      <c r="K237" s="8" t="s">
        <v>677</v>
      </c>
    </row>
    <row r="238" customFormat="false" ht="17.15" hidden="false" customHeight="false" outlineLevel="0" collapsed="false">
      <c r="A238" s="5" t="s">
        <v>670</v>
      </c>
      <c r="B238" s="0" t="s">
        <v>40</v>
      </c>
      <c r="C238" s="17" t="n">
        <f aca="false">C239/C236</f>
        <v>0.197205462051445</v>
      </c>
      <c r="D238" s="17" t="n">
        <f aca="false">D239/D236</f>
        <v>0.244079139710628</v>
      </c>
      <c r="E238" s="17" t="n">
        <f aca="false">E239/E236</f>
        <v>0.205621965640696</v>
      </c>
      <c r="F238" s="17" t="n">
        <f aca="false">F239/F236</f>
        <v>0.235327868916325</v>
      </c>
      <c r="G238" s="17" t="n">
        <f aca="false">G239/G236</f>
        <v>0.23692813151368</v>
      </c>
      <c r="H238" s="23" t="n">
        <f aca="false">$G$238+($G$238*nm10_k-$G$238)*1/3</f>
        <v>0.221132922746101</v>
      </c>
      <c r="I238" s="23" t="n">
        <f aca="false">$G$238+($G$238*nm10_k-$G$238)*2/3</f>
        <v>0.205337713978523</v>
      </c>
      <c r="J238" s="23" t="n">
        <f aca="false">$G$238+($G$238*nm10_k-$G$238)*3/3</f>
        <v>0.189542505210944</v>
      </c>
      <c r="K238" s="8" t="s">
        <v>678</v>
      </c>
    </row>
    <row r="239" customFormat="false" ht="15" hidden="false" customHeight="false" outlineLevel="0" collapsed="false">
      <c r="A239" s="5" t="s">
        <v>672</v>
      </c>
      <c r="B239" s="0" t="s">
        <v>229</v>
      </c>
      <c r="C239" s="21" t="n">
        <f aca="false">C206</f>
        <v>6.831</v>
      </c>
      <c r="D239" s="21" t="n">
        <f aca="false">D206</f>
        <v>12.11686349532</v>
      </c>
      <c r="E239" s="21" t="n">
        <f aca="false">E206</f>
        <v>15.5590889768574</v>
      </c>
      <c r="F239" s="21" t="n">
        <f aca="false">F206</f>
        <v>17.3556954132798</v>
      </c>
      <c r="G239" s="21" t="n">
        <f aca="false">G206</f>
        <v>19.5817266200393</v>
      </c>
      <c r="H239" s="22" t="n">
        <f aca="false">H236*H238</f>
        <v>19.8680068265076</v>
      </c>
      <c r="I239" s="22" t="n">
        <f aca="false">I236*I238</f>
        <v>19.436731892156</v>
      </c>
      <c r="J239" s="22" t="n">
        <f aca="false">J236*J238</f>
        <v>18.3004306430762</v>
      </c>
    </row>
    <row r="240" customFormat="false" ht="17.15" hidden="false" customHeight="false" outlineLevel="0" collapsed="false">
      <c r="A240" s="5" t="s">
        <v>618</v>
      </c>
      <c r="B240" s="5" t="s">
        <v>309</v>
      </c>
      <c r="C240" s="16" t="n">
        <f aca="false">C209</f>
        <v>1.636</v>
      </c>
      <c r="D240" s="16" t="n">
        <f aca="false">D209</f>
        <v>1.6585805</v>
      </c>
      <c r="E240" s="16" t="n">
        <f aca="false">E209</f>
        <v>1.70183297166667</v>
      </c>
      <c r="F240" s="16" t="n">
        <f aca="false">F209</f>
        <v>1.75058463471667</v>
      </c>
      <c r="G240" s="16" t="n">
        <f aca="false">G209</f>
        <v>1.7888371477305</v>
      </c>
      <c r="H240" s="24" t="n">
        <f aca="false">G240*(1+$G$240/$F$240-1)</f>
        <v>1.82792552707313</v>
      </c>
      <c r="I240" s="24" t="n">
        <f aca="false">H240*(1+$G$240/$F$240-1)</f>
        <v>1.8678680374928</v>
      </c>
      <c r="J240" s="24" t="n">
        <f aca="false">I240*(1+$G$240/$F$240-1)</f>
        <v>1.90868334284585</v>
      </c>
      <c r="K240" s="8" t="s">
        <v>673</v>
      </c>
    </row>
    <row r="241" customFormat="false" ht="17.15" hidden="false" customHeight="false" outlineLevel="0" collapsed="false">
      <c r="A241" s="0" t="s">
        <v>674</v>
      </c>
      <c r="B241" s="0" t="s">
        <v>396</v>
      </c>
      <c r="C241" s="25" t="n">
        <f aca="false">C210</f>
        <v>4.17542787286064</v>
      </c>
      <c r="D241" s="25" t="n">
        <f aca="false">D210</f>
        <v>7.30556249474777</v>
      </c>
      <c r="E241" s="25" t="n">
        <f aca="false">E210</f>
        <v>9.14254761536311</v>
      </c>
      <c r="F241" s="25" t="n">
        <f aca="false">F210</f>
        <v>9.91422812076083</v>
      </c>
      <c r="G241" s="25" t="n">
        <f aca="false">G210</f>
        <v>10.9466234223069</v>
      </c>
      <c r="H241" s="26" t="n">
        <f aca="false">H239/H240</f>
        <v>10.8691555165927</v>
      </c>
      <c r="I241" s="26" t="n">
        <f aca="false">I239/I240</f>
        <v>10.4058378333009</v>
      </c>
      <c r="J241" s="26" t="n">
        <f aca="false">J239/J240</f>
        <v>9.58798677196511</v>
      </c>
    </row>
    <row r="242" customFormat="false" ht="17.15" hidden="false" customHeight="false" outlineLevel="0" collapsed="false">
      <c r="A242" s="0" t="s">
        <v>620</v>
      </c>
      <c r="B242" s="0" t="s">
        <v>40</v>
      </c>
      <c r="C242" s="17"/>
      <c r="D242" s="17" t="n">
        <f aca="false">D241/C241-1</f>
        <v>0.749656015430735</v>
      </c>
      <c r="E242" s="17" t="n">
        <f aca="false">E241/D241-1</f>
        <v>0.251450195920713</v>
      </c>
      <c r="F242" s="17" t="n">
        <f aca="false">F241/E241-1</f>
        <v>0.0844054127868026</v>
      </c>
      <c r="G242" s="17" t="n">
        <f aca="false">G241/F241-1</f>
        <v>0.104132695855985</v>
      </c>
      <c r="H242" s="23" t="n">
        <f aca="false">H241/G241-1</f>
        <v>-0.00707687683457725</v>
      </c>
      <c r="I242" s="23" t="n">
        <f aca="false">I241/H241-1</f>
        <v>-0.0426268335736418</v>
      </c>
      <c r="J242" s="23" t="n">
        <f aca="false">J241/I241-1</f>
        <v>-0.0785954071587076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7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2"/>
    <col collapsed="false" customWidth="true" hidden="false" outlineLevel="0" max="4" min="2" style="0" width="18"/>
    <col collapsed="false" customWidth="true" hidden="false" outlineLevel="0" max="5" min="5" style="0" width="40"/>
    <col collapsed="false" customWidth="true" hidden="false" outlineLevel="0" max="8" min="6" style="0" width="18"/>
  </cols>
  <sheetData>
    <row r="1" customFormat="false" ht="17.15" hidden="false" customHeight="false" outlineLevel="0" collapsed="false">
      <c r="A1" s="0" t="s">
        <v>679</v>
      </c>
    </row>
    <row r="2" customFormat="false" ht="17.15" hidden="false" customHeight="false" outlineLevel="0" collapsed="false">
      <c r="A2" s="5" t="s">
        <v>680</v>
      </c>
    </row>
    <row r="3" customFormat="false" ht="17.15" hidden="false" customHeight="false" outlineLevel="0" collapsed="false">
      <c r="A3" s="1" t="s">
        <v>681</v>
      </c>
    </row>
    <row r="4" customFormat="false" ht="17.15" hidden="false" customHeight="false" outlineLevel="0" collapsed="false">
      <c r="A4" s="1" t="s">
        <v>682</v>
      </c>
    </row>
    <row r="5" customFormat="false" ht="17.15" hidden="false" customHeight="false" outlineLevel="0" collapsed="false">
      <c r="A5" s="6" t="s">
        <v>18</v>
      </c>
      <c r="B5" s="13" t="s">
        <v>683</v>
      </c>
      <c r="C5" s="13" t="s">
        <v>684</v>
      </c>
      <c r="D5" s="13" t="s">
        <v>685</v>
      </c>
      <c r="E5" s="6" t="s">
        <v>572</v>
      </c>
      <c r="F5" s="6" t="s">
        <v>686</v>
      </c>
      <c r="G5" s="6" t="s">
        <v>687</v>
      </c>
    </row>
    <row r="6" customFormat="false" ht="17.15" hidden="false" customHeight="false" outlineLevel="0" collapsed="false">
      <c r="A6" s="5" t="s">
        <v>688</v>
      </c>
      <c r="E6" s="5" t="s">
        <v>689</v>
      </c>
    </row>
    <row r="7" customFormat="false" ht="15" hidden="false" customHeight="false" outlineLevel="0" collapsed="false">
      <c r="A7" s="0" t="s">
        <v>690</v>
      </c>
      <c r="B7" s="25" t="n">
        <f aca="false">PL!E223</f>
        <v>9.14254761536311</v>
      </c>
      <c r="C7" s="25" t="n">
        <f aca="false">PL!E232</f>
        <v>9.14254761536311</v>
      </c>
      <c r="D7" s="25" t="n">
        <f aca="false">PL!E241</f>
        <v>9.14254761536311</v>
      </c>
      <c r="F7" s="16" t="n">
        <v>1</v>
      </c>
      <c r="G7" s="16" t="n">
        <v>1</v>
      </c>
    </row>
    <row r="8" customFormat="false" ht="15" hidden="false" customHeight="false" outlineLevel="0" collapsed="false">
      <c r="A8" s="0" t="s">
        <v>691</v>
      </c>
      <c r="B8" s="25" t="n">
        <f aca="false">PL!F223</f>
        <v>10.4369782041647</v>
      </c>
      <c r="C8" s="25" t="n">
        <f aca="false">PL!F232</f>
        <v>11.1129027480648</v>
      </c>
      <c r="D8" s="25" t="n">
        <f aca="false">PL!F241</f>
        <v>9.91422812076083</v>
      </c>
      <c r="F8" s="16" t="n">
        <v>2</v>
      </c>
      <c r="G8" s="16" t="n">
        <v>1</v>
      </c>
    </row>
    <row r="9" customFormat="false" ht="15" hidden="false" customHeight="false" outlineLevel="0" collapsed="false">
      <c r="A9" s="0" t="s">
        <v>692</v>
      </c>
      <c r="B9" s="25" t="n">
        <f aca="false">PL!G223</f>
        <v>11.7157980072581</v>
      </c>
      <c r="C9" s="25" t="n">
        <f aca="false">PL!G232</f>
        <v>12.5153849601027</v>
      </c>
      <c r="D9" s="25" t="n">
        <f aca="false">PL!G241</f>
        <v>10.9466234223069</v>
      </c>
      <c r="F9" s="16" t="n">
        <v>3</v>
      </c>
      <c r="G9" s="16" t="n">
        <v>1</v>
      </c>
    </row>
    <row r="10" customFormat="false" ht="15" hidden="false" customHeight="false" outlineLevel="0" collapsed="false">
      <c r="A10" s="0" t="s">
        <v>693</v>
      </c>
      <c r="B10" s="25" t="n">
        <f aca="false">PL!H223</f>
        <v>12.3970457165785</v>
      </c>
      <c r="C10" s="25" t="n">
        <f aca="false">PL!H232</f>
        <v>13.0462197556557</v>
      </c>
      <c r="D10" s="25" t="n">
        <f aca="false">PL!H241</f>
        <v>10.8691555165927</v>
      </c>
      <c r="F10" s="16" t="n">
        <v>4</v>
      </c>
      <c r="G10" s="16" t="n">
        <v>1</v>
      </c>
    </row>
    <row r="11" customFormat="false" ht="15" hidden="false" customHeight="false" outlineLevel="0" collapsed="false">
      <c r="A11" s="0" t="s">
        <v>694</v>
      </c>
      <c r="B11" s="25" t="n">
        <f aca="false">PL!I223</f>
        <v>12.8788191707336</v>
      </c>
      <c r="C11" s="25" t="n">
        <f aca="false">PL!I232</f>
        <v>13.1320960716332</v>
      </c>
      <c r="D11" s="25" t="n">
        <f aca="false">PL!I241</f>
        <v>10.4058378333009</v>
      </c>
      <c r="F11" s="16" t="n">
        <v>5</v>
      </c>
      <c r="G11" s="16" t="n">
        <v>1</v>
      </c>
    </row>
    <row r="12" customFormat="false" ht="15" hidden="false" customHeight="false" outlineLevel="0" collapsed="false">
      <c r="A12" s="0" t="s">
        <v>695</v>
      </c>
      <c r="B12" s="25" t="n">
        <f aca="false">PL!J223</f>
        <v>13.1309365828476</v>
      </c>
      <c r="C12" s="25" t="n">
        <f aca="false">PL!J232</f>
        <v>12.747983128584</v>
      </c>
      <c r="D12" s="25" t="n">
        <f aca="false">PL!J241</f>
        <v>9.58798677196511</v>
      </c>
      <c r="F12" s="16" t="n">
        <v>6</v>
      </c>
      <c r="G12" s="16" t="n">
        <v>1</v>
      </c>
    </row>
    <row r="13" customFormat="false" ht="17.15" hidden="false" customHeight="false" outlineLevel="0" collapsed="false">
      <c r="A13" s="5" t="s">
        <v>696</v>
      </c>
      <c r="B13" s="17" t="n">
        <f aca="false">1-MIN(0.8,tp_g/tp_roe)</f>
        <v>0.8</v>
      </c>
      <c r="E13" s="8" t="s">
        <v>697</v>
      </c>
    </row>
    <row r="14" customFormat="false" ht="17.15" hidden="false" customHeight="false" outlineLevel="0" collapsed="false">
      <c r="A14" s="0" t="s">
        <v>698</v>
      </c>
      <c r="B14" s="25" t="n">
        <f aca="false">B7*$B$13*$G$7</f>
        <v>7.31403809229049</v>
      </c>
      <c r="C14" s="25" t="n">
        <f aca="false">C7*$B$13*$G$7</f>
        <v>7.31403809229049</v>
      </c>
      <c r="D14" s="25" t="n">
        <f aca="false">D7*$B$13*$G$7</f>
        <v>7.31403809229049</v>
      </c>
    </row>
    <row r="15" customFormat="false" ht="17.15" hidden="false" customHeight="false" outlineLevel="0" collapsed="false">
      <c r="A15" s="0" t="s">
        <v>699</v>
      </c>
      <c r="B15" s="25" t="n">
        <f aca="false">B8*$B$13*$G$8</f>
        <v>8.34958256333174</v>
      </c>
      <c r="C15" s="25" t="n">
        <f aca="false">C8*$B$13*$G$8</f>
        <v>8.89032219845182</v>
      </c>
      <c r="D15" s="25" t="n">
        <f aca="false">D8*$B$13*$G$8</f>
        <v>7.93138249660866</v>
      </c>
    </row>
    <row r="16" customFormat="false" ht="17.15" hidden="false" customHeight="false" outlineLevel="0" collapsed="false">
      <c r="A16" s="0" t="s">
        <v>700</v>
      </c>
      <c r="B16" s="25" t="n">
        <f aca="false">B9*$B$13*$G$9</f>
        <v>9.37263840580651</v>
      </c>
      <c r="C16" s="25" t="n">
        <f aca="false">C9*$B$13*$G$9</f>
        <v>10.0123079680821</v>
      </c>
      <c r="D16" s="25" t="n">
        <f aca="false">D9*$B$13*$G$9</f>
        <v>8.75729873784549</v>
      </c>
    </row>
    <row r="17" customFormat="false" ht="17.15" hidden="false" customHeight="false" outlineLevel="0" collapsed="false">
      <c r="A17" s="0" t="s">
        <v>701</v>
      </c>
      <c r="B17" s="25" t="n">
        <f aca="false">B10*$B$13*$G$10</f>
        <v>9.91763657326277</v>
      </c>
      <c r="C17" s="25" t="n">
        <f aca="false">C10*$B$13*$G$10</f>
        <v>10.4369758045245</v>
      </c>
      <c r="D17" s="25" t="n">
        <f aca="false">D10*$B$13*$G$10</f>
        <v>8.69532441327416</v>
      </c>
    </row>
    <row r="18" customFormat="false" ht="17.15" hidden="false" customHeight="false" outlineLevel="0" collapsed="false">
      <c r="A18" s="0" t="s">
        <v>702</v>
      </c>
      <c r="B18" s="25" t="n">
        <f aca="false">B11*$B$13*$G$11</f>
        <v>10.3030553365869</v>
      </c>
      <c r="C18" s="25" t="n">
        <f aca="false">C11*$B$13*$G$11</f>
        <v>10.5056768573066</v>
      </c>
      <c r="D18" s="25" t="n">
        <f aca="false">D11*$B$13*$G$11</f>
        <v>8.3246702666407</v>
      </c>
    </row>
    <row r="19" customFormat="false" ht="17.15" hidden="false" customHeight="false" outlineLevel="0" collapsed="false">
      <c r="A19" s="0" t="s">
        <v>703</v>
      </c>
      <c r="B19" s="25" t="n">
        <f aca="false">B12*$B$13*$G$12</f>
        <v>10.5047492662781</v>
      </c>
      <c r="C19" s="25" t="n">
        <f aca="false">C12*$B$13*$G$12</f>
        <v>10.1983865028672</v>
      </c>
      <c r="D19" s="25" t="n">
        <f aca="false">D12*$B$13*$G$12</f>
        <v>7.67038941757209</v>
      </c>
    </row>
    <row r="20" customFormat="false" ht="17.15" hidden="false" customHeight="false" outlineLevel="0" collapsed="false">
      <c r="A20" s="5" t="s">
        <v>704</v>
      </c>
      <c r="B20" s="25" t="n">
        <f aca="false">B19*(1+tp_g)/(tp_r-tp_g)</f>
        <v>182.082320615486</v>
      </c>
      <c r="C20" s="25" t="n">
        <f aca="false">C19*(1+tp_g)/(tp_r-tp_g)</f>
        <v>176.772032716365</v>
      </c>
      <c r="D20" s="25" t="n">
        <f aca="false">D19*(1+tp_g)/(tp_r-tp_g)</f>
        <v>132.953416571249</v>
      </c>
    </row>
    <row r="21" customFormat="false" ht="17.15" hidden="false" customHeight="false" outlineLevel="0" collapsed="false">
      <c r="A21" s="10" t="s">
        <v>705</v>
      </c>
      <c r="B21" s="27" t="n">
        <f aca="false">MAX(0,B14/(1+tp_r)^$F$7+B15/(1+tp_r)^$F$8+B16/(1+tp_r)^$F$9+B17/(1+tp_r)^$F$10+B18/(1+tp_r)^$F$11+B19/(1+tp_r)^$F$12+B20/(1+tp_r)^$F$12)</f>
        <v>142.473055143331</v>
      </c>
      <c r="C21" s="27" t="n">
        <f aca="false">MAX(0,C14/(1+tp_r)^$F$7+C15/(1+tp_r)^$F$8+C16/(1+tp_r)^$F$9+C17/(1+tp_r)^$F$10+C18/(1+tp_r)^$F$11+C19/(1+tp_r)^$F$12+C20/(1+tp_r)^$F$12)</f>
        <v>140.710615445943</v>
      </c>
      <c r="D21" s="27" t="n">
        <f aca="false">MAX(0,D14/(1+tp_r)^$F$7+D15/(1+tp_r)^$F$8+D16/(1+tp_r)^$F$9+D17/(1+tp_r)^$F$10+D18/(1+tp_r)^$F$11+D19/(1+tp_r)^$F$12+D20/(1+tp_r)^$F$12)</f>
        <v>110.269936538205</v>
      </c>
      <c r="E21" s="11" t="s">
        <v>706</v>
      </c>
    </row>
    <row r="22" customFormat="false" ht="15" hidden="false" customHeight="false" outlineLevel="0" collapsed="false">
      <c r="A22" s="5" t="s">
        <v>707</v>
      </c>
      <c r="B22" s="17" t="n">
        <f aca="false">B20/(1+tp_r)^$F$12/B21</f>
        <v>0.721404640391376</v>
      </c>
      <c r="C22" s="17" t="n">
        <f aca="false">C20/(1+tp_r)^$F$12/C21</f>
        <v>0.70913771299178</v>
      </c>
      <c r="D22" s="17" t="n">
        <f aca="false">D20/(1+tp_r)^$F$12/D21</f>
        <v>0.680591101456269</v>
      </c>
    </row>
    <row r="23" customFormat="false" ht="17.15" hidden="false" customHeight="false" outlineLevel="0" collapsed="false">
      <c r="A23" s="10" t="s">
        <v>708</v>
      </c>
      <c r="B23" s="27" t="n">
        <f aca="false">(tp_wA*B21+tp_wB*C21+tp_wC*D21)*(1+tp_r)</f>
        <v>148.666332730973</v>
      </c>
      <c r="C23" s="10"/>
      <c r="D23" s="10"/>
      <c r="E23" s="10" t="s">
        <v>709</v>
      </c>
    </row>
    <row r="25" customFormat="false" ht="17.15" hidden="false" customHeight="false" outlineLevel="0" collapsed="false">
      <c r="A25" s="1" t="s">
        <v>710</v>
      </c>
    </row>
    <row r="26" customFormat="false" ht="17.15" hidden="false" customHeight="false" outlineLevel="0" collapsed="false">
      <c r="A26" s="6" t="s">
        <v>711</v>
      </c>
      <c r="B26" s="6" t="s">
        <v>712</v>
      </c>
      <c r="C26" s="6" t="s">
        <v>713</v>
      </c>
      <c r="D26" s="6" t="s">
        <v>714</v>
      </c>
      <c r="E26" s="6" t="s">
        <v>715</v>
      </c>
      <c r="F26" s="6" t="s">
        <v>23</v>
      </c>
    </row>
    <row r="27" customFormat="false" ht="17.15" hidden="false" customHeight="false" outlineLevel="0" collapsed="false">
      <c r="A27" s="0" t="s">
        <v>716</v>
      </c>
      <c r="B27" s="0" t="s">
        <v>717</v>
      </c>
      <c r="C27" s="28" t="n">
        <v>17.44</v>
      </c>
      <c r="D27" s="8" t="s">
        <v>718</v>
      </c>
      <c r="E27" s="8" t="s">
        <v>719</v>
      </c>
      <c r="F27" s="8" t="s">
        <v>720</v>
      </c>
    </row>
    <row r="28" customFormat="false" ht="17.15" hidden="false" customHeight="false" outlineLevel="0" collapsed="false">
      <c r="A28" s="0" t="s">
        <v>721</v>
      </c>
      <c r="B28" s="0" t="s">
        <v>722</v>
      </c>
      <c r="C28" s="28" t="n">
        <v>18.52</v>
      </c>
      <c r="D28" s="8" t="s">
        <v>718</v>
      </c>
      <c r="E28" s="5" t="s">
        <v>35</v>
      </c>
      <c r="F28" s="8" t="s">
        <v>723</v>
      </c>
    </row>
    <row r="29" customFormat="false" ht="17.15" hidden="false" customHeight="false" outlineLevel="0" collapsed="false">
      <c r="A29" s="0" t="s">
        <v>724</v>
      </c>
      <c r="B29" s="0" t="s">
        <v>725</v>
      </c>
      <c r="C29" s="28" t="n">
        <v>50.64</v>
      </c>
      <c r="D29" s="8" t="s">
        <v>718</v>
      </c>
      <c r="E29" s="5" t="s">
        <v>35</v>
      </c>
      <c r="F29" s="8" t="s">
        <v>723</v>
      </c>
    </row>
    <row r="30" customFormat="false" ht="17.15" hidden="false" customHeight="false" outlineLevel="0" collapsed="false">
      <c r="A30" s="0" t="s">
        <v>726</v>
      </c>
      <c r="B30" s="0" t="s">
        <v>727</v>
      </c>
      <c r="C30" s="28" t="n">
        <v>18.98</v>
      </c>
      <c r="D30" s="8" t="s">
        <v>718</v>
      </c>
      <c r="E30" s="5" t="s">
        <v>35</v>
      </c>
      <c r="F30" s="8" t="s">
        <v>723</v>
      </c>
    </row>
    <row r="31" customFormat="false" ht="17.15" hidden="false" customHeight="false" outlineLevel="0" collapsed="false">
      <c r="A31" s="0" t="s">
        <v>728</v>
      </c>
      <c r="B31" s="0" t="s">
        <v>729</v>
      </c>
      <c r="C31" s="28" t="n">
        <v>40.44</v>
      </c>
      <c r="D31" s="8" t="s">
        <v>718</v>
      </c>
      <c r="E31" s="5" t="s">
        <v>35</v>
      </c>
      <c r="F31" s="8" t="s">
        <v>723</v>
      </c>
    </row>
    <row r="32" customFormat="false" ht="17.15" hidden="false" customHeight="false" outlineLevel="0" collapsed="false">
      <c r="A32" s="5" t="s">
        <v>730</v>
      </c>
      <c r="E32" s="5" t="s">
        <v>731</v>
      </c>
    </row>
    <row r="33" customFormat="false" ht="17.15" hidden="false" customHeight="false" outlineLevel="0" collapsed="false">
      <c r="A33" s="11" t="s">
        <v>732</v>
      </c>
      <c r="B33" s="29" t="n">
        <f aca="false">MEDIAN(C27:C31)</f>
        <v>18.98</v>
      </c>
      <c r="C33" s="10"/>
      <c r="D33" s="10"/>
      <c r="E33" s="10"/>
    </row>
    <row r="34" customFormat="false" ht="17.15" hidden="false" customHeight="false" outlineLevel="0" collapsed="false">
      <c r="A34" s="5" t="s">
        <v>733</v>
      </c>
      <c r="B34" s="25" t="n">
        <f aca="false">2/12*PL!E223+10/12*PL!F223</f>
        <v>10.2212397726977</v>
      </c>
      <c r="C34" s="25" t="n">
        <f aca="false">2/12*PL!E232+10/12*PL!F232</f>
        <v>10.7845102259478</v>
      </c>
      <c r="D34" s="25" t="n">
        <f aca="false">2/12*PL!E241+10/12*PL!F241</f>
        <v>9.78561470319454</v>
      </c>
      <c r="E34" s="5" t="s">
        <v>734</v>
      </c>
    </row>
    <row r="35" customFormat="false" ht="17.15" hidden="false" customHeight="false" outlineLevel="0" collapsed="false">
      <c r="A35" s="0" t="s">
        <v>735</v>
      </c>
      <c r="B35" s="25" t="n">
        <f aca="false">tp_wA*B34+tp_wB*C34+tp_wC*D34</f>
        <v>10.4157499854222</v>
      </c>
    </row>
    <row r="36" customFormat="false" ht="17.15" hidden="false" customHeight="false" outlineLevel="0" collapsed="false">
      <c r="A36" s="10" t="s">
        <v>736</v>
      </c>
      <c r="B36" s="27" t="n">
        <f aca="false">B33*B35</f>
        <v>197.690934723312</v>
      </c>
      <c r="C36" s="10"/>
      <c r="D36" s="10"/>
      <c r="E36" s="11" t="s">
        <v>737</v>
      </c>
    </row>
    <row r="38" customFormat="false" ht="17.15" hidden="false" customHeight="false" outlineLevel="0" collapsed="false">
      <c r="A38" s="1" t="s">
        <v>738</v>
      </c>
    </row>
    <row r="39" customFormat="false" ht="15" hidden="false" customHeight="false" outlineLevel="0" collapsed="false">
      <c r="A39" s="6" t="s">
        <v>18</v>
      </c>
      <c r="B39" s="6" t="s">
        <v>739</v>
      </c>
      <c r="C39" s="6" t="s">
        <v>740</v>
      </c>
      <c r="D39" s="6" t="s">
        <v>740</v>
      </c>
      <c r="E39" s="6" t="s">
        <v>572</v>
      </c>
    </row>
    <row r="40" customFormat="false" ht="17.15" hidden="false" customHeight="false" outlineLevel="0" collapsed="false">
      <c r="A40" s="11" t="s">
        <v>741</v>
      </c>
      <c r="B40" s="27" t="n">
        <f aca="false">tp_w_dcf*B23+(1-tp_w_dcf)*B36</f>
        <v>173.178633727143</v>
      </c>
      <c r="C40" s="10"/>
      <c r="D40" s="10"/>
      <c r="E40" s="10" t="str">
        <f aca="false">"DCF 權重 "&amp;TEXT(tp_w_dcf,"0%")&amp;"、Comparable 權重 "&amp;TEXT(1-tp_w_dcf,"0%")&amp;"（In 頁 tp_w_dcf，Andy 可改）"</f>
        <v>DCF 權重 50%、Comparable 權重 50%（In 頁 tp_w_dcf，Andy 可改）</v>
      </c>
    </row>
    <row r="41" customFormat="false" ht="17.15" hidden="false" customHeight="false" outlineLevel="0" collapsed="false">
      <c r="A41" s="0" t="s">
        <v>742</v>
      </c>
      <c r="B41" s="25" t="n">
        <f aca="false">B36</f>
        <v>197.690934723312</v>
      </c>
    </row>
    <row r="42" customFormat="false" ht="17.15" hidden="false" customHeight="false" outlineLevel="0" collapsed="false">
      <c r="A42" s="5" t="s">
        <v>743</v>
      </c>
      <c r="B42" s="25" t="n">
        <f aca="false">cons_tp</f>
        <v>637.61</v>
      </c>
      <c r="E42" s="8" t="s">
        <v>744</v>
      </c>
    </row>
    <row r="43" customFormat="false" ht="15" hidden="false" customHeight="false" outlineLevel="0" collapsed="false">
      <c r="A43" s="5" t="s">
        <v>745</v>
      </c>
      <c r="B43" s="17" t="n">
        <f aca="false">B40/px-1</f>
        <v>-0.664895540302361</v>
      </c>
    </row>
    <row r="44" customFormat="false" ht="17.15" hidden="false" customHeight="false" outlineLevel="0" collapsed="false">
      <c r="A44" s="5" t="s">
        <v>746</v>
      </c>
      <c r="B44" s="17" t="n">
        <f aca="false">B41/px-1</f>
        <v>-0.61746369952338</v>
      </c>
    </row>
    <row r="45" customFormat="false" ht="17.15" hidden="false" customHeight="false" outlineLevel="0" collapsed="false">
      <c r="A45" s="5" t="s">
        <v>747</v>
      </c>
      <c r="B45" s="17" t="n">
        <f aca="false">B35/C45-1</f>
        <v>-0.460137353900027</v>
      </c>
      <c r="C45" s="25" t="n">
        <f aca="false">2/12*cons_eps27+10/12*cons_eps28</f>
        <v>19.2933333333333</v>
      </c>
      <c r="E45" s="8" t="s">
        <v>748</v>
      </c>
    </row>
    <row r="46" customFormat="false" ht="17.15" hidden="false" customHeight="false" outlineLevel="0" collapsed="false">
      <c r="A46" s="5" t="s">
        <v>749</v>
      </c>
      <c r="B46" s="17" t="n">
        <f aca="false">C46/B33-1</f>
        <v>0.741211969388357</v>
      </c>
      <c r="C46" s="19" t="n">
        <f aca="false">B42/C45</f>
        <v>33.048203178991</v>
      </c>
      <c r="D46" s="19" t="n">
        <f aca="false">B33</f>
        <v>18.98</v>
      </c>
      <c r="E46" s="8" t="s">
        <v>750</v>
      </c>
    </row>
    <row r="47" customFormat="false" ht="17.15" hidden="false" customHeight="false" outlineLevel="0" collapsed="false">
      <c r="A47" s="5" t="s">
        <v>751</v>
      </c>
      <c r="B47" s="25" t="n">
        <f aca="false">D21*(1+tp_r)</f>
        <v>121.296930192026</v>
      </c>
      <c r="C47" s="25" t="n">
        <f aca="false">B21*(1+tp_r)</f>
        <v>156.720360657664</v>
      </c>
      <c r="E47" s="8" t="s">
        <v>752</v>
      </c>
    </row>
    <row r="48" customFormat="false" ht="17.15" hidden="false" customHeight="false" outlineLevel="0" collapsed="false">
      <c r="A48" s="5" t="s">
        <v>753</v>
      </c>
      <c r="B48" s="19" t="n">
        <f aca="false">px/PL!F223</f>
        <v>49.5152897601899</v>
      </c>
      <c r="C48" s="19" t="n">
        <f aca="false">px/PL!F232</f>
        <v>46.5036014186298</v>
      </c>
      <c r="D48" s="19" t="n">
        <f aca="false">px/PL!F241</f>
        <v>52.126095315259</v>
      </c>
    </row>
    <row r="49" customFormat="false" ht="17.15" hidden="false" customHeight="false" outlineLevel="0" collapsed="false">
      <c r="A49" s="5" t="s">
        <v>754</v>
      </c>
      <c r="B49" s="30" t="n">
        <f aca="false">IF(B48&lt;MIN(B126:B135),0,IF(B48&gt;MAX(B126:B135),1,PERCENTRANK(B126:B135,B48)))</f>
        <v>0.354</v>
      </c>
      <c r="C49" s="30" t="n">
        <f aca="false">IF(C48&lt;MIN(B126:B135),0,IF(C48&gt;MAX(B126:B135),1,PERCENTRANK(B126:B135,C48)))</f>
        <v>0.321</v>
      </c>
      <c r="D49" s="30" t="n">
        <f aca="false">IF(D48&lt;MIN(B126:B135),0,IF(D48&gt;MAX(B126:B135),1,PERCENTRANK(B126:B135,D48)))</f>
        <v>0.517</v>
      </c>
      <c r="E49" s="5" t="s">
        <v>755</v>
      </c>
    </row>
    <row r="50" customFormat="false" ht="17.15" hidden="false" customHeight="false" outlineLevel="0" collapsed="false">
      <c r="A50" s="5" t="s">
        <v>756</v>
      </c>
      <c r="B50" s="0" t="s">
        <v>757</v>
      </c>
    </row>
    <row r="51" customFormat="false" ht="17.15" hidden="false" customHeight="false" outlineLevel="0" collapsed="false">
      <c r="A51" s="5" t="s">
        <v>758</v>
      </c>
      <c r="B51" s="16" t="n">
        <f aca="false">ROUND(tp_wA+tp_wB+tp_wC,6)</f>
        <v>1</v>
      </c>
    </row>
    <row r="55" customFormat="false" ht="15" hidden="false" customHeight="false" outlineLevel="0" collapsed="false">
      <c r="A55" s="3" t="s">
        <v>759</v>
      </c>
    </row>
    <row r="56" customFormat="false" ht="15" hidden="false" customHeight="false" outlineLevel="0" collapsed="false">
      <c r="A56" s="6" t="s">
        <v>18</v>
      </c>
      <c r="B56" s="6" t="s">
        <v>760</v>
      </c>
      <c r="C56" s="13"/>
      <c r="D56" s="13"/>
      <c r="E56" s="6" t="s">
        <v>572</v>
      </c>
    </row>
    <row r="57" customFormat="false" ht="15" hidden="false" customHeight="false" outlineLevel="0" collapsed="false">
      <c r="A57" s="11" t="s">
        <v>761</v>
      </c>
      <c r="B57" s="31" t="n">
        <f aca="false">tp_wA*B59+tp_wB*B60+tp_wC*B61</f>
        <v>471.572606000429</v>
      </c>
      <c r="C57" s="10"/>
      <c r="D57" s="10"/>
      <c r="E57" s="10"/>
    </row>
    <row r="58" customFormat="false" ht="15" hidden="false" customHeight="false" outlineLevel="0" collapsed="false">
      <c r="A58" s="5" t="s">
        <v>762</v>
      </c>
      <c r="B58" s="17" t="n">
        <f aca="false">B57/px-1</f>
        <v>-0.0874966504761525</v>
      </c>
    </row>
    <row r="59" customFormat="false" ht="17.15" hidden="false" customHeight="false" outlineLevel="0" collapsed="false">
      <c r="A59" s="5" t="s">
        <v>763</v>
      </c>
      <c r="B59" s="9" t="n">
        <f aca="false">pe_mid*PL!E17</f>
        <v>471.572606000429</v>
      </c>
      <c r="E59" s="5" t="s">
        <v>764</v>
      </c>
    </row>
    <row r="60" customFormat="false" ht="17.15" hidden="false" customHeight="false" outlineLevel="0" collapsed="false">
      <c r="A60" s="5" t="s">
        <v>765</v>
      </c>
      <c r="B60" s="9" t="n">
        <f aca="false">pe_mid*PL!E33</f>
        <v>471.572606000429</v>
      </c>
      <c r="E60" s="5" t="s">
        <v>766</v>
      </c>
    </row>
    <row r="61" customFormat="false" ht="17.15" hidden="false" customHeight="false" outlineLevel="0" collapsed="false">
      <c r="A61" s="5" t="s">
        <v>767</v>
      </c>
      <c r="B61" s="9" t="n">
        <f aca="false">pe_mid*PL!E49</f>
        <v>471.572606000429</v>
      </c>
      <c r="E61" s="5" t="s">
        <v>768</v>
      </c>
    </row>
    <row r="62" customFormat="false" ht="17.15" hidden="false" customHeight="false" outlineLevel="0" collapsed="false">
      <c r="A62" s="5" t="s">
        <v>769</v>
      </c>
      <c r="B62" s="30" t="n">
        <f aca="false">tp_wA</f>
        <v>0.3</v>
      </c>
      <c r="C62" s="30" t="n">
        <f aca="false">tp_wB</f>
        <v>0.5</v>
      </c>
      <c r="D62" s="30" t="n">
        <f aca="false">tp_wC</f>
        <v>0.2</v>
      </c>
      <c r="E62" s="8" t="s">
        <v>770</v>
      </c>
    </row>
    <row r="63" customFormat="false" ht="17.15" hidden="false" customHeight="false" outlineLevel="0" collapsed="false">
      <c r="A63" s="5" t="s">
        <v>771</v>
      </c>
      <c r="B63" s="0" t="s">
        <v>772</v>
      </c>
    </row>
    <row r="65" customFormat="false" ht="17.15" hidden="false" customHeight="false" outlineLevel="0" collapsed="false">
      <c r="A65" s="1" t="s">
        <v>773</v>
      </c>
    </row>
    <row r="66" customFormat="false" ht="15" hidden="false" customHeight="false" outlineLevel="0" collapsed="false">
      <c r="A66" s="6" t="s">
        <v>18</v>
      </c>
      <c r="B66" s="13" t="s">
        <v>683</v>
      </c>
      <c r="C66" s="13" t="s">
        <v>684</v>
      </c>
      <c r="D66" s="13" t="s">
        <v>685</v>
      </c>
      <c r="E66" s="6" t="s">
        <v>572</v>
      </c>
    </row>
    <row r="67" customFormat="false" ht="17.15" hidden="false" customHeight="false" outlineLevel="0" collapsed="false">
      <c r="A67" s="5" t="s">
        <v>774</v>
      </c>
      <c r="B67" s="9" t="n">
        <f aca="false">px</f>
        <v>516.79</v>
      </c>
    </row>
    <row r="68" customFormat="false" ht="17.15" hidden="false" customHeight="false" outlineLevel="0" collapsed="false">
      <c r="A68" s="5" t="s">
        <v>775</v>
      </c>
      <c r="B68" s="19" t="n">
        <f aca="false">px/PL!D17</f>
        <v>70.7392483975791</v>
      </c>
      <c r="C68" s="19" t="n">
        <f aca="false">px/PL!D33</f>
        <v>70.7392483975791</v>
      </c>
      <c r="D68" s="19" t="n">
        <f aca="false">px/PL!D49</f>
        <v>70.7392483975791</v>
      </c>
    </row>
    <row r="69" customFormat="false" ht="17.15" hidden="false" customHeight="false" outlineLevel="0" collapsed="false">
      <c r="A69" s="5" t="s">
        <v>776</v>
      </c>
      <c r="B69" s="19" t="n">
        <f aca="false">px/PL!E17</f>
        <v>56.5258199073076</v>
      </c>
      <c r="C69" s="19" t="n">
        <f aca="false">px/PL!E33</f>
        <v>56.5258199073076</v>
      </c>
      <c r="D69" s="19" t="n">
        <f aca="false">px/PL!E49</f>
        <v>56.5258199073076</v>
      </c>
      <c r="E69" s="8" t="s">
        <v>777</v>
      </c>
    </row>
    <row r="70" customFormat="false" ht="17.15" hidden="false" customHeight="false" outlineLevel="0" collapsed="false">
      <c r="A70" s="5" t="s">
        <v>778</v>
      </c>
      <c r="B70" s="19" t="n">
        <f aca="false">px/PL!F17</f>
        <v>49.5152897601899</v>
      </c>
      <c r="C70" s="19" t="n">
        <f aca="false">px/PL!F33</f>
        <v>46.5036014186298</v>
      </c>
      <c r="D70" s="19" t="n">
        <f aca="false">px/PL!F49</f>
        <v>52.126095315259</v>
      </c>
    </row>
    <row r="71" customFormat="false" ht="17.15" hidden="false" customHeight="false" outlineLevel="0" collapsed="false">
      <c r="A71" s="5" t="s">
        <v>779</v>
      </c>
      <c r="B71" s="19" t="n">
        <f aca="false">px/PL!G17</f>
        <v>44.1105249236834</v>
      </c>
      <c r="C71" s="19" t="n">
        <f aca="false">px/PL!G33</f>
        <v>41.292377473602</v>
      </c>
      <c r="D71" s="19" t="n">
        <f aca="false">px/PL!G49</f>
        <v>47.2099916168572</v>
      </c>
    </row>
    <row r="72" customFormat="false" ht="17.15" hidden="false" customHeight="false" outlineLevel="0" collapsed="false">
      <c r="A72" s="5" t="s">
        <v>780</v>
      </c>
      <c r="B72" s="19" t="n">
        <f aca="false">px/cons_eps27</f>
        <v>32.7912436548223</v>
      </c>
      <c r="C72" s="19" t="n">
        <f aca="false">px/cons_eps27_lo</f>
        <v>46.0186999109528</v>
      </c>
      <c r="E72" s="8" t="s">
        <v>781</v>
      </c>
    </row>
    <row r="73" customFormat="false" ht="17.15" hidden="false" customHeight="false" outlineLevel="0" collapsed="false">
      <c r="A73" s="5" t="s">
        <v>782</v>
      </c>
      <c r="B73" s="19" t="n">
        <f aca="false">px/cons_eps28</f>
        <v>25.8395</v>
      </c>
    </row>
    <row r="75" customFormat="false" ht="17.15" hidden="false" customHeight="false" outlineLevel="0" collapsed="false">
      <c r="A75" s="1" t="s">
        <v>783</v>
      </c>
    </row>
    <row r="76" customFormat="false" ht="17.15" hidden="false" customHeight="false" outlineLevel="0" collapsed="false">
      <c r="A76" s="5" t="s">
        <v>784</v>
      </c>
    </row>
    <row r="77" customFormat="false" ht="17.15" hidden="false" customHeight="false" outlineLevel="0" collapsed="false">
      <c r="A77" s="6" t="s">
        <v>785</v>
      </c>
      <c r="B77" s="6" t="s">
        <v>786</v>
      </c>
      <c r="C77" s="13" t="s">
        <v>787</v>
      </c>
      <c r="D77" s="13" t="s">
        <v>788</v>
      </c>
      <c r="E77" s="13" t="s">
        <v>789</v>
      </c>
      <c r="F77" s="13" t="s">
        <v>790</v>
      </c>
      <c r="G77" s="6" t="s">
        <v>791</v>
      </c>
    </row>
    <row r="78" customFormat="false" ht="17.15" hidden="false" customHeight="false" outlineLevel="0" collapsed="false">
      <c r="A78" s="0" t="s">
        <v>683</v>
      </c>
      <c r="B78" s="0" t="n">
        <f aca="false">pk_A</f>
        <v>2029</v>
      </c>
      <c r="C78" s="0" t="str">
        <f aca="false">IF(2027&lt;pk_A,"中段",IF(2027=pk_A,"見頂","谷底"))</f>
        <v>中段</v>
      </c>
      <c r="D78" s="19" t="n">
        <f aca="false">IF(C78="見頂",pe_peak,IF(C78="谷底",pe_trough,pe_mid))</f>
        <v>51.58</v>
      </c>
      <c r="E78" s="0" t="str">
        <f aca="false">IF(2028&lt;pk_A,"中段",IF(2028=pk_A,"見頂","谷底"))</f>
        <v>中段</v>
      </c>
      <c r="F78" s="19" t="n">
        <f aca="false">IF(E78="見頂",pe_peak,IF(E78="谷底",pe_trough,pe_mid))</f>
        <v>51.58</v>
      </c>
      <c r="G78" s="8" t="s">
        <v>792</v>
      </c>
    </row>
    <row r="79" customFormat="false" ht="17.15" hidden="false" customHeight="false" outlineLevel="0" collapsed="false">
      <c r="A79" s="0" t="s">
        <v>684</v>
      </c>
      <c r="B79" s="0" t="n">
        <f aca="false">pk_B</f>
        <v>2028</v>
      </c>
      <c r="C79" s="0" t="str">
        <f aca="false">IF(2027&lt;pk_B,"中段",IF(2027=pk_B,"見頂","谷底"))</f>
        <v>中段</v>
      </c>
      <c r="D79" s="19" t="n">
        <f aca="false">IF(C79="見頂",pe_peak,IF(C79="谷底",pe_trough,pe_mid))</f>
        <v>51.58</v>
      </c>
      <c r="E79" s="0" t="str">
        <f aca="false">IF(2028&lt;pk_B,"中段",IF(2028=pk_B,"見頂","谷底"))</f>
        <v>見頂</v>
      </c>
      <c r="F79" s="19" t="n">
        <f aca="false">IF(E79="見頂",pe_peak,IF(E79="谷底",pe_trough,pe_mid))</f>
        <v>40.13</v>
      </c>
      <c r="G79" s="8" t="s">
        <v>792</v>
      </c>
    </row>
    <row r="80" customFormat="false" ht="17.15" hidden="false" customHeight="false" outlineLevel="0" collapsed="false">
      <c r="A80" s="0" t="s">
        <v>685</v>
      </c>
      <c r="B80" s="0" t="n">
        <f aca="false">pk_C</f>
        <v>2027</v>
      </c>
      <c r="C80" s="0" t="str">
        <f aca="false">IF(2027&lt;pk_C,"中段",IF(2027=pk_C,"見頂","谷底"))</f>
        <v>見頂</v>
      </c>
      <c r="D80" s="19" t="n">
        <f aca="false">IF(C80="見頂",pe_peak,IF(C80="谷底",pe_trough,pe_mid))</f>
        <v>40.13</v>
      </c>
      <c r="E80" s="0" t="str">
        <f aca="false">IF(2028&lt;pk_C,"中段",IF(2028=pk_C,"見頂","谷底"))</f>
        <v>谷底</v>
      </c>
      <c r="F80" s="19" t="n">
        <f aca="false">IF(E80="見頂",pe_peak,IF(E80="谷底",pe_trough,pe_mid))</f>
        <v>60.47</v>
      </c>
      <c r="G80" s="8" t="s">
        <v>792</v>
      </c>
    </row>
    <row r="82" customFormat="false" ht="17.15" hidden="false" customHeight="false" outlineLevel="0" collapsed="false">
      <c r="A82" s="1" t="s">
        <v>793</v>
      </c>
    </row>
    <row r="83" customFormat="false" ht="17.15" hidden="false" customHeight="false" outlineLevel="0" collapsed="false">
      <c r="A83" s="6" t="s">
        <v>785</v>
      </c>
      <c r="B83" s="13" t="s">
        <v>794</v>
      </c>
      <c r="C83" s="13" t="s">
        <v>795</v>
      </c>
      <c r="D83" s="6" t="s">
        <v>796</v>
      </c>
      <c r="E83" s="6" t="s">
        <v>797</v>
      </c>
      <c r="F83" s="6" t="s">
        <v>798</v>
      </c>
      <c r="G83" s="6" t="s">
        <v>799</v>
      </c>
      <c r="H83" s="6" t="s">
        <v>800</v>
      </c>
    </row>
    <row r="84" customFormat="false" ht="15" hidden="false" customHeight="false" outlineLevel="0" collapsed="false">
      <c r="A84" s="10" t="s">
        <v>683</v>
      </c>
      <c r="B84" s="10" t="s">
        <v>605</v>
      </c>
      <c r="C84" s="31" t="n">
        <f aca="false">PL!E17</f>
        <v>9.14254761536311</v>
      </c>
      <c r="D84" s="10" t="str">
        <f aca="false">"規則值（不適用）："&amp;C78</f>
        <v>規則值（不適用）：中段</v>
      </c>
      <c r="E84" s="29" t="n">
        <f aca="false">D78</f>
        <v>51.58</v>
      </c>
      <c r="F84" s="32" t="n">
        <f aca="false">C84*E84</f>
        <v>471.572606000429</v>
      </c>
      <c r="G84" s="33" t="n">
        <f aca="false">F84/px-1</f>
        <v>-0.0874966504761525</v>
      </c>
      <c r="H84" s="32" t="n">
        <f aca="false">F84/(1+r_disc)^(1.19+0)</f>
        <v>421.008896651389</v>
      </c>
    </row>
    <row r="85" customFormat="false" ht="17.15" hidden="false" customHeight="false" outlineLevel="0" collapsed="false">
      <c r="A85" s="0" t="s">
        <v>683</v>
      </c>
      <c r="B85" s="0" t="s">
        <v>605</v>
      </c>
      <c r="C85" s="9" t="n">
        <f aca="false">PL!E17</f>
        <v>9.14254761536311</v>
      </c>
      <c r="D85" s="5" t="s">
        <v>801</v>
      </c>
      <c r="E85" s="19" t="n">
        <f aca="false">pe_peak</f>
        <v>40.13</v>
      </c>
      <c r="F85" s="34" t="n">
        <f aca="false">C85*E85</f>
        <v>366.890435804522</v>
      </c>
      <c r="G85" s="30" t="n">
        <f aca="false">F85/px-1</f>
        <v>-0.290058948887321</v>
      </c>
      <c r="H85" s="34" t="n">
        <f aca="false">F85/(1+r_disc)^(1.19+0)</f>
        <v>327.551124905394</v>
      </c>
    </row>
    <row r="86" customFormat="false" ht="15" hidden="false" customHeight="false" outlineLevel="0" collapsed="false">
      <c r="A86" s="0" t="s">
        <v>683</v>
      </c>
      <c r="B86" s="0" t="s">
        <v>605</v>
      </c>
      <c r="C86" s="9" t="n">
        <f aca="false">PL!E17</f>
        <v>9.14254761536311</v>
      </c>
      <c r="D86" s="5" t="s">
        <v>802</v>
      </c>
      <c r="E86" s="19" t="n">
        <f aca="false">pe_mid</f>
        <v>51.58</v>
      </c>
      <c r="F86" s="34" t="n">
        <f aca="false">C86*E86</f>
        <v>471.572606000429</v>
      </c>
      <c r="G86" s="30" t="n">
        <f aca="false">F86/px-1</f>
        <v>-0.0874966504761525</v>
      </c>
      <c r="H86" s="34" t="n">
        <f aca="false">F86/(1+r_disc)^(1.19+0)</f>
        <v>421.008896651389</v>
      </c>
    </row>
    <row r="87" customFormat="false" ht="17.15" hidden="false" customHeight="false" outlineLevel="0" collapsed="false">
      <c r="A87" s="0" t="s">
        <v>683</v>
      </c>
      <c r="B87" s="0" t="s">
        <v>605</v>
      </c>
      <c r="C87" s="9" t="n">
        <f aca="false">PL!E17</f>
        <v>9.14254761536311</v>
      </c>
      <c r="D87" s="5" t="s">
        <v>803</v>
      </c>
      <c r="E87" s="19" t="n">
        <f aca="false">pe_trough</f>
        <v>60.47</v>
      </c>
      <c r="F87" s="34" t="n">
        <f aca="false">C87*E87</f>
        <v>552.849854301007</v>
      </c>
      <c r="G87" s="30" t="n">
        <f aca="false">F87/px-1</f>
        <v>0.069776610036973</v>
      </c>
      <c r="H87" s="34" t="n">
        <f aca="false">F87/(1+r_disc)^(1.19+0)</f>
        <v>493.571306330157</v>
      </c>
    </row>
    <row r="88" customFormat="false" ht="17.15" hidden="false" customHeight="false" outlineLevel="0" collapsed="false">
      <c r="A88" s="10" t="s">
        <v>683</v>
      </c>
      <c r="B88" s="10" t="s">
        <v>606</v>
      </c>
      <c r="C88" s="31" t="n">
        <f aca="false">PL!F17</f>
        <v>10.4369782041647</v>
      </c>
      <c r="D88" s="10" t="str">
        <f aca="false">"規則值（FY2028；不適用）："&amp;E78</f>
        <v>規則值（FY2028；不適用）：中段</v>
      </c>
      <c r="E88" s="29" t="n">
        <f aca="false">F78</f>
        <v>51.58</v>
      </c>
      <c r="F88" s="32" t="n">
        <f aca="false">C88*E88</f>
        <v>538.339335770814</v>
      </c>
      <c r="G88" s="33" t="n">
        <f aca="false">F88/px-1</f>
        <v>0.0416984379937964</v>
      </c>
      <c r="H88" s="32" t="n">
        <f aca="false">F88/(1+r_disc)^(1.19+1)</f>
        <v>436.924234307633</v>
      </c>
    </row>
    <row r="89" customFormat="false" ht="15" hidden="false" customHeight="false" outlineLevel="0" collapsed="false">
      <c r="A89" s="10" t="s">
        <v>684</v>
      </c>
      <c r="B89" s="10" t="s">
        <v>605</v>
      </c>
      <c r="C89" s="31" t="n">
        <f aca="false">PL!E33</f>
        <v>9.14254761536311</v>
      </c>
      <c r="D89" s="10" t="str">
        <f aca="false">"規則值（不適用）："&amp;C79</f>
        <v>規則值（不適用）：中段</v>
      </c>
      <c r="E89" s="29" t="n">
        <f aca="false">D79</f>
        <v>51.58</v>
      </c>
      <c r="F89" s="32" t="n">
        <f aca="false">C89*E89</f>
        <v>471.572606000429</v>
      </c>
      <c r="G89" s="33" t="n">
        <f aca="false">F89/px-1</f>
        <v>-0.0874966504761525</v>
      </c>
      <c r="H89" s="32" t="n">
        <f aca="false">F89/(1+r_disc)^(1.19+0)</f>
        <v>421.008896651389</v>
      </c>
    </row>
    <row r="90" customFormat="false" ht="17.15" hidden="false" customHeight="false" outlineLevel="0" collapsed="false">
      <c r="A90" s="0" t="s">
        <v>684</v>
      </c>
      <c r="B90" s="0" t="s">
        <v>605</v>
      </c>
      <c r="C90" s="9" t="n">
        <f aca="false">PL!E33</f>
        <v>9.14254761536311</v>
      </c>
      <c r="D90" s="5" t="s">
        <v>801</v>
      </c>
      <c r="E90" s="19" t="n">
        <f aca="false">pe_peak</f>
        <v>40.13</v>
      </c>
      <c r="F90" s="34" t="n">
        <f aca="false">C90*E90</f>
        <v>366.890435804522</v>
      </c>
      <c r="G90" s="30" t="n">
        <f aca="false">F90/px-1</f>
        <v>-0.290058948887321</v>
      </c>
      <c r="H90" s="34" t="n">
        <f aca="false">F90/(1+r_disc)^(1.19+0)</f>
        <v>327.551124905394</v>
      </c>
    </row>
    <row r="91" customFormat="false" ht="15" hidden="false" customHeight="false" outlineLevel="0" collapsed="false">
      <c r="A91" s="0" t="s">
        <v>684</v>
      </c>
      <c r="B91" s="0" t="s">
        <v>605</v>
      </c>
      <c r="C91" s="9" t="n">
        <f aca="false">PL!E33</f>
        <v>9.14254761536311</v>
      </c>
      <c r="D91" s="5" t="s">
        <v>802</v>
      </c>
      <c r="E91" s="19" t="n">
        <f aca="false">pe_mid</f>
        <v>51.58</v>
      </c>
      <c r="F91" s="34" t="n">
        <f aca="false">C91*E91</f>
        <v>471.572606000429</v>
      </c>
      <c r="G91" s="30" t="n">
        <f aca="false">F91/px-1</f>
        <v>-0.0874966504761525</v>
      </c>
      <c r="H91" s="34" t="n">
        <f aca="false">F91/(1+r_disc)^(1.19+0)</f>
        <v>421.008896651389</v>
      </c>
    </row>
    <row r="92" customFormat="false" ht="17.15" hidden="false" customHeight="false" outlineLevel="0" collapsed="false">
      <c r="A92" s="0" t="s">
        <v>684</v>
      </c>
      <c r="B92" s="0" t="s">
        <v>605</v>
      </c>
      <c r="C92" s="9" t="n">
        <f aca="false">PL!E33</f>
        <v>9.14254761536311</v>
      </c>
      <c r="D92" s="5" t="s">
        <v>803</v>
      </c>
      <c r="E92" s="19" t="n">
        <f aca="false">pe_trough</f>
        <v>60.47</v>
      </c>
      <c r="F92" s="34" t="n">
        <f aca="false">C92*E92</f>
        <v>552.849854301007</v>
      </c>
      <c r="G92" s="30" t="n">
        <f aca="false">F92/px-1</f>
        <v>0.069776610036973</v>
      </c>
      <c r="H92" s="34" t="n">
        <f aca="false">F92/(1+r_disc)^(1.19+0)</f>
        <v>493.571306330157</v>
      </c>
    </row>
    <row r="93" customFormat="false" ht="17.15" hidden="false" customHeight="false" outlineLevel="0" collapsed="false">
      <c r="A93" s="10" t="s">
        <v>684</v>
      </c>
      <c r="B93" s="10" t="s">
        <v>606</v>
      </c>
      <c r="C93" s="31" t="n">
        <f aca="false">PL!F33</f>
        <v>11.1129027480648</v>
      </c>
      <c r="D93" s="10" t="str">
        <f aca="false">"規則值（FY2028；不適用）："&amp;E79</f>
        <v>規則值（FY2028；不適用）：見頂</v>
      </c>
      <c r="E93" s="29" t="n">
        <f aca="false">F79</f>
        <v>40.13</v>
      </c>
      <c r="F93" s="32" t="n">
        <f aca="false">C93*E93</f>
        <v>445.96078727984</v>
      </c>
      <c r="G93" s="33" t="n">
        <f aca="false">F93/px-1</f>
        <v>-0.137056082200044</v>
      </c>
      <c r="H93" s="32" t="n">
        <f aca="false">F93/(1+r_disc)^(1.19+1)</f>
        <v>361.94842651518</v>
      </c>
    </row>
    <row r="94" customFormat="false" ht="15" hidden="false" customHeight="false" outlineLevel="0" collapsed="false">
      <c r="A94" s="10" t="s">
        <v>685</v>
      </c>
      <c r="B94" s="10" t="s">
        <v>605</v>
      </c>
      <c r="C94" s="31" t="n">
        <f aca="false">PL!E49</f>
        <v>9.14254761536311</v>
      </c>
      <c r="D94" s="10" t="str">
        <f aca="false">"規則值（不適用）："&amp;C80</f>
        <v>規則值（不適用）：見頂</v>
      </c>
      <c r="E94" s="29" t="n">
        <f aca="false">D80</f>
        <v>40.13</v>
      </c>
      <c r="F94" s="32" t="n">
        <f aca="false">C94*E94</f>
        <v>366.890435804522</v>
      </c>
      <c r="G94" s="33" t="n">
        <f aca="false">F94/px-1</f>
        <v>-0.290058948887321</v>
      </c>
      <c r="H94" s="32" t="n">
        <f aca="false">F94/(1+r_disc)^(1.19+0)</f>
        <v>327.551124905394</v>
      </c>
    </row>
    <row r="95" customFormat="false" ht="17.15" hidden="false" customHeight="false" outlineLevel="0" collapsed="false">
      <c r="A95" s="0" t="s">
        <v>685</v>
      </c>
      <c r="B95" s="0" t="s">
        <v>605</v>
      </c>
      <c r="C95" s="9" t="n">
        <f aca="false">PL!E49</f>
        <v>9.14254761536311</v>
      </c>
      <c r="D95" s="5" t="s">
        <v>801</v>
      </c>
      <c r="E95" s="19" t="n">
        <f aca="false">pe_peak</f>
        <v>40.13</v>
      </c>
      <c r="F95" s="34" t="n">
        <f aca="false">C95*E95</f>
        <v>366.890435804522</v>
      </c>
      <c r="G95" s="30" t="n">
        <f aca="false">F95/px-1</f>
        <v>-0.290058948887321</v>
      </c>
      <c r="H95" s="34" t="n">
        <f aca="false">F95/(1+r_disc)^(1.19+0)</f>
        <v>327.551124905394</v>
      </c>
    </row>
    <row r="96" customFormat="false" ht="15" hidden="false" customHeight="false" outlineLevel="0" collapsed="false">
      <c r="A96" s="0" t="s">
        <v>685</v>
      </c>
      <c r="B96" s="0" t="s">
        <v>605</v>
      </c>
      <c r="C96" s="9" t="n">
        <f aca="false">PL!E49</f>
        <v>9.14254761536311</v>
      </c>
      <c r="D96" s="5" t="s">
        <v>802</v>
      </c>
      <c r="E96" s="19" t="n">
        <f aca="false">pe_mid</f>
        <v>51.58</v>
      </c>
      <c r="F96" s="34" t="n">
        <f aca="false">C96*E96</f>
        <v>471.572606000429</v>
      </c>
      <c r="G96" s="30" t="n">
        <f aca="false">F96/px-1</f>
        <v>-0.0874966504761525</v>
      </c>
      <c r="H96" s="34" t="n">
        <f aca="false">F96/(1+r_disc)^(1.19+0)</f>
        <v>421.008896651389</v>
      </c>
    </row>
    <row r="97" customFormat="false" ht="17.15" hidden="false" customHeight="false" outlineLevel="0" collapsed="false">
      <c r="A97" s="0" t="s">
        <v>685</v>
      </c>
      <c r="B97" s="0" t="s">
        <v>605</v>
      </c>
      <c r="C97" s="9" t="n">
        <f aca="false">PL!E49</f>
        <v>9.14254761536311</v>
      </c>
      <c r="D97" s="5" t="s">
        <v>803</v>
      </c>
      <c r="E97" s="19" t="n">
        <f aca="false">pe_trough</f>
        <v>60.47</v>
      </c>
      <c r="F97" s="34" t="n">
        <f aca="false">C97*E97</f>
        <v>552.849854301007</v>
      </c>
      <c r="G97" s="30" t="n">
        <f aca="false">F97/px-1</f>
        <v>0.069776610036973</v>
      </c>
      <c r="H97" s="34" t="n">
        <f aca="false">F97/(1+r_disc)^(1.19+0)</f>
        <v>493.571306330157</v>
      </c>
    </row>
    <row r="98" customFormat="false" ht="17.15" hidden="false" customHeight="false" outlineLevel="0" collapsed="false">
      <c r="A98" s="10" t="s">
        <v>685</v>
      </c>
      <c r="B98" s="10" t="s">
        <v>606</v>
      </c>
      <c r="C98" s="31" t="n">
        <f aca="false">PL!F49</f>
        <v>9.91422812076083</v>
      </c>
      <c r="D98" s="10" t="str">
        <f aca="false">"規則值（FY2028；不適用）："&amp;E80</f>
        <v>規則值（FY2028；不適用）：谷底</v>
      </c>
      <c r="E98" s="29" t="n">
        <f aca="false">F80</f>
        <v>60.47</v>
      </c>
      <c r="F98" s="32" t="n">
        <f aca="false">C98*E98</f>
        <v>599.513374462407</v>
      </c>
      <c r="G98" s="33" t="n">
        <f aca="false">F98/px-1</f>
        <v>0.16007154639681</v>
      </c>
      <c r="H98" s="32" t="n">
        <f aca="false">F98/(1+r_disc)^(1.19+1)</f>
        <v>486.573996527886</v>
      </c>
    </row>
    <row r="99" customFormat="false" ht="17.15" hidden="false" customHeight="false" outlineLevel="0" collapsed="false">
      <c r="A99" s="35" t="s">
        <v>804</v>
      </c>
    </row>
    <row r="101" customFormat="false" ht="17.15" hidden="false" customHeight="false" outlineLevel="0" collapsed="false">
      <c r="A101" s="1" t="s">
        <v>805</v>
      </c>
    </row>
    <row r="102" customFormat="false" ht="17.15" hidden="false" customHeight="false" outlineLevel="0" collapsed="false">
      <c r="A102" s="13" t="s">
        <v>806</v>
      </c>
      <c r="B102" s="6" t="s">
        <v>807</v>
      </c>
      <c r="C102" s="6" t="s">
        <v>808</v>
      </c>
      <c r="D102" s="6" t="s">
        <v>809</v>
      </c>
      <c r="E102" s="6" t="s">
        <v>810</v>
      </c>
      <c r="F102" s="6" t="s">
        <v>811</v>
      </c>
    </row>
    <row r="103" customFormat="false" ht="15" hidden="false" customHeight="false" outlineLevel="0" collapsed="false">
      <c r="A103" s="18" t="n">
        <v>1</v>
      </c>
      <c r="B103" s="19" t="n">
        <f aca="false">px*A103/PL!E17</f>
        <v>56.5258199073076</v>
      </c>
      <c r="C103" s="19" t="n">
        <f aca="false">px*A103/PL!F17</f>
        <v>49.5152897601899</v>
      </c>
      <c r="D103" s="19" t="n">
        <f aca="false">pe_peak</f>
        <v>40.13</v>
      </c>
      <c r="E103" s="19" t="n">
        <f aca="false">pe_mid</f>
        <v>51.58</v>
      </c>
      <c r="F103" s="19" t="n">
        <f aca="false">pe_trough</f>
        <v>60.47</v>
      </c>
    </row>
    <row r="104" customFormat="false" ht="15" hidden="false" customHeight="false" outlineLevel="0" collapsed="false">
      <c r="A104" s="18" t="n">
        <v>1.1</v>
      </c>
      <c r="B104" s="19" t="n">
        <f aca="false">px*A104/PL!E17</f>
        <v>62.1784018980384</v>
      </c>
      <c r="C104" s="19" t="n">
        <f aca="false">px*A104/PL!F17</f>
        <v>54.4668187362089</v>
      </c>
      <c r="D104" s="19" t="n">
        <f aca="false">pe_peak</f>
        <v>40.13</v>
      </c>
      <c r="E104" s="19" t="n">
        <f aca="false">pe_mid</f>
        <v>51.58</v>
      </c>
      <c r="F104" s="19" t="n">
        <f aca="false">pe_trough</f>
        <v>60.47</v>
      </c>
    </row>
    <row r="105" customFormat="false" ht="15" hidden="false" customHeight="false" outlineLevel="0" collapsed="false">
      <c r="A105" s="18" t="n">
        <v>1.21</v>
      </c>
      <c r="B105" s="19" t="n">
        <f aca="false">px*A105/PL!E17</f>
        <v>68.3962420878422</v>
      </c>
      <c r="C105" s="19" t="n">
        <f aca="false">px*A105/PL!F17</f>
        <v>59.9135006098297</v>
      </c>
      <c r="D105" s="19" t="n">
        <f aca="false">pe_peak</f>
        <v>40.13</v>
      </c>
      <c r="E105" s="19" t="n">
        <f aca="false">pe_mid</f>
        <v>51.58</v>
      </c>
      <c r="F105" s="19" t="n">
        <f aca="false">pe_trough</f>
        <v>60.47</v>
      </c>
    </row>
    <row r="106" customFormat="false" ht="15" hidden="false" customHeight="false" outlineLevel="0" collapsed="false">
      <c r="A106" s="18" t="n">
        <v>1.5</v>
      </c>
      <c r="B106" s="19" t="n">
        <f aca="false">px*A106/PL!E17</f>
        <v>84.7887298609615</v>
      </c>
      <c r="C106" s="19" t="n">
        <f aca="false">px*A106/PL!F17</f>
        <v>74.2729346402848</v>
      </c>
      <c r="D106" s="19" t="n">
        <f aca="false">pe_peak</f>
        <v>40.13</v>
      </c>
      <c r="E106" s="19" t="n">
        <f aca="false">pe_mid</f>
        <v>51.58</v>
      </c>
      <c r="F106" s="19" t="n">
        <f aca="false">pe_trough</f>
        <v>60.47</v>
      </c>
    </row>
    <row r="107" customFormat="false" ht="15" hidden="false" customHeight="false" outlineLevel="0" collapsed="false">
      <c r="A107" s="18" t="n">
        <v>2</v>
      </c>
      <c r="B107" s="19" t="n">
        <f aca="false">px*A107/PL!E17</f>
        <v>113.051639814615</v>
      </c>
      <c r="C107" s="19" t="n">
        <f aca="false">px*A107/PL!F17</f>
        <v>99.0305795203797</v>
      </c>
      <c r="D107" s="19" t="n">
        <f aca="false">pe_peak</f>
        <v>40.13</v>
      </c>
      <c r="E107" s="19" t="n">
        <f aca="false">pe_mid</f>
        <v>51.58</v>
      </c>
      <c r="F107" s="19" t="n">
        <f aca="false">pe_trough</f>
        <v>60.47</v>
      </c>
    </row>
    <row r="108" customFormat="false" ht="17.15" hidden="false" customHeight="false" outlineLevel="0" collapsed="false">
      <c r="A108" s="5" t="s">
        <v>812</v>
      </c>
    </row>
    <row r="121" customFormat="false" ht="17.15" hidden="false" customHeight="false" outlineLevel="0" collapsed="false">
      <c r="A121" s="1" t="s">
        <v>813</v>
      </c>
    </row>
    <row r="122" customFormat="false" ht="17.15" hidden="false" customHeight="false" outlineLevel="0" collapsed="false">
      <c r="A122" s="5" t="s">
        <v>814</v>
      </c>
    </row>
    <row r="124" customFormat="false" ht="17.15" hidden="false" customHeight="false" outlineLevel="0" collapsed="false">
      <c r="A124" s="1" t="s">
        <v>815</v>
      </c>
    </row>
    <row r="125" customFormat="false" ht="17.15" hidden="false" customHeight="false" outlineLevel="0" collapsed="false">
      <c r="A125" s="6" t="s">
        <v>816</v>
      </c>
      <c r="B125" s="6" t="s">
        <v>817</v>
      </c>
      <c r="C125" s="13" t="s">
        <v>818</v>
      </c>
      <c r="D125" s="6" t="s">
        <v>819</v>
      </c>
    </row>
    <row r="126" customFormat="false" ht="17.15" hidden="false" customHeight="false" outlineLevel="0" collapsed="false">
      <c r="A126" s="0" t="s">
        <v>820</v>
      </c>
      <c r="D126" s="5" t="s">
        <v>821</v>
      </c>
    </row>
    <row r="127" customFormat="false" ht="15" hidden="false" customHeight="false" outlineLevel="0" collapsed="false">
      <c r="A127" s="0" t="s">
        <v>822</v>
      </c>
      <c r="B127" s="9" t="n">
        <f aca="false">ROUND(B166/C166,2)</f>
        <v>60.47</v>
      </c>
      <c r="C127" s="18" t="n">
        <v>342.67</v>
      </c>
    </row>
    <row r="128" customFormat="false" ht="15" hidden="false" customHeight="false" outlineLevel="0" collapsed="false">
      <c r="A128" s="0" t="s">
        <v>823</v>
      </c>
      <c r="B128" s="9" t="n">
        <f aca="false">ROUND(B167/C167,2)</f>
        <v>40.13</v>
      </c>
      <c r="C128" s="18" t="n">
        <v>57.69</v>
      </c>
    </row>
    <row r="129" customFormat="false" ht="15" hidden="false" customHeight="false" outlineLevel="0" collapsed="false">
      <c r="A129" s="0" t="s">
        <v>824</v>
      </c>
      <c r="B129" s="9" t="n">
        <f aca="false">ROUND(B168/C168,2)</f>
        <v>71.66</v>
      </c>
      <c r="C129" s="18" t="n">
        <v>152.87</v>
      </c>
    </row>
    <row r="130" customFormat="false" ht="15" hidden="false" customHeight="false" outlineLevel="0" collapsed="false">
      <c r="A130" s="0" t="s">
        <v>825</v>
      </c>
      <c r="B130" s="9" t="n">
        <f aca="false">ROUND(B169/C169,2)</f>
        <v>71.09</v>
      </c>
      <c r="C130" s="18" t="n">
        <v>44.96</v>
      </c>
    </row>
    <row r="131" customFormat="false" ht="15" hidden="false" customHeight="false" outlineLevel="0" collapsed="false">
      <c r="A131" s="0" t="s">
        <v>826</v>
      </c>
      <c r="B131" s="9" t="n">
        <f aca="false">ROUND(B170/C170,2)</f>
        <v>51.58</v>
      </c>
      <c r="C131" s="18" t="n">
        <v>55.78</v>
      </c>
    </row>
    <row r="132" customFormat="false" ht="15" hidden="false" customHeight="false" outlineLevel="0" collapsed="false">
      <c r="A132" s="0" t="s">
        <v>827</v>
      </c>
      <c r="B132" s="9" t="n">
        <f aca="false">ROUND(B171/C171,2)</f>
        <v>18.51</v>
      </c>
      <c r="C132" s="18" t="n">
        <v>73.6</v>
      </c>
    </row>
    <row r="133" customFormat="false" ht="15" hidden="false" customHeight="false" outlineLevel="0" collapsed="false">
      <c r="A133" s="0" t="s">
        <v>828</v>
      </c>
      <c r="B133" s="9" t="n">
        <f aca="false">ROUND(B172/C172,2)</f>
        <v>55.63</v>
      </c>
      <c r="C133" s="18" t="n">
        <v>283.48</v>
      </c>
    </row>
    <row r="134" customFormat="false" ht="15" hidden="false" customHeight="false" outlineLevel="0" collapsed="false">
      <c r="A134" s="0" t="s">
        <v>829</v>
      </c>
      <c r="B134" s="9" t="n">
        <f aca="false">ROUND(B173/C173,2)</f>
        <v>36.49</v>
      </c>
      <c r="C134" s="18" t="n">
        <v>122.01</v>
      </c>
    </row>
    <row r="135" customFormat="false" ht="15" hidden="false" customHeight="false" outlineLevel="0" collapsed="false">
      <c r="A135" s="0" t="s">
        <v>830</v>
      </c>
      <c r="B135" s="9" t="n">
        <f aca="false">ROUND(B174/C174,2)</f>
        <v>51.36</v>
      </c>
      <c r="C135" s="9" t="n">
        <f aca="false">ROUND(B174/D174,2)</f>
        <v>80.82</v>
      </c>
    </row>
    <row r="136" customFormat="false" ht="17.15" hidden="false" customHeight="false" outlineLevel="0" collapsed="false">
      <c r="A136" s="0" t="s">
        <v>831</v>
      </c>
      <c r="B136" s="9" t="n">
        <f aca="false">PERCENTILE(B126:B135,0.25)</f>
        <v>40.13</v>
      </c>
      <c r="C136" s="9" t="n">
        <f aca="false">PERCENTILE(C126:C135,0.25)</f>
        <v>57.69</v>
      </c>
    </row>
    <row r="137" customFormat="false" ht="15" hidden="false" customHeight="false" outlineLevel="0" collapsed="false">
      <c r="A137" s="5" t="s">
        <v>832</v>
      </c>
      <c r="B137" s="9" t="n">
        <f aca="false">MEDIAN(B126:B135)</f>
        <v>51.58</v>
      </c>
      <c r="C137" s="9" t="n">
        <f aca="false">MEDIAN(C126:C135)</f>
        <v>80.82</v>
      </c>
    </row>
    <row r="138" customFormat="false" ht="17.15" hidden="false" customHeight="false" outlineLevel="0" collapsed="false">
      <c r="A138" s="0" t="s">
        <v>833</v>
      </c>
      <c r="B138" s="9" t="n">
        <f aca="false">PERCENTILE(B126:B135,0.75)</f>
        <v>60.47</v>
      </c>
      <c r="C138" s="9" t="n">
        <f aca="false">PERCENTILE(C126:C135,0.75)</f>
        <v>152.87</v>
      </c>
    </row>
    <row r="139" customFormat="false" ht="15" hidden="false" customHeight="false" outlineLevel="0" collapsed="false">
      <c r="A139" s="5" t="s">
        <v>834</v>
      </c>
      <c r="B139" s="9" t="n">
        <f aca="false">MIN(B126:B135)</f>
        <v>18.51</v>
      </c>
      <c r="C139" s="9" t="n">
        <f aca="false">MIN(C126:C135)</f>
        <v>44.96</v>
      </c>
    </row>
    <row r="140" customFormat="false" ht="15" hidden="false" customHeight="false" outlineLevel="0" collapsed="false">
      <c r="A140" s="5" t="s">
        <v>835</v>
      </c>
      <c r="B140" s="9" t="n">
        <f aca="false">MAX(B126:B135)</f>
        <v>71.66</v>
      </c>
      <c r="C140" s="9" t="n">
        <f aca="false">MAX(C126:C135)</f>
        <v>342.67</v>
      </c>
    </row>
    <row r="141" customFormat="false" ht="17.15" hidden="false" customHeight="false" outlineLevel="0" collapsed="false">
      <c r="A141" s="3" t="s">
        <v>836</v>
      </c>
      <c r="B141" s="9" t="n">
        <f aca="false">ROUND(AVERAGE(B136),2)</f>
        <v>40.13</v>
      </c>
    </row>
    <row r="142" customFormat="false" ht="17.15" hidden="false" customHeight="false" outlineLevel="0" collapsed="false">
      <c r="A142" s="3" t="s">
        <v>837</v>
      </c>
      <c r="B142" s="9" t="n">
        <f aca="false">ROUND(AVERAGE(B137),2)</f>
        <v>51.58</v>
      </c>
    </row>
    <row r="143" customFormat="false" ht="17.15" hidden="false" customHeight="false" outlineLevel="0" collapsed="false">
      <c r="A143" s="3" t="s">
        <v>838</v>
      </c>
      <c r="B143" s="9" t="n">
        <f aca="false">ROUND(AVERAGE(B138),2)</f>
        <v>60.47</v>
      </c>
    </row>
    <row r="144" customFormat="false" ht="17.15" hidden="false" customHeight="false" outlineLevel="0" collapsed="false">
      <c r="A144" s="3" t="s">
        <v>839</v>
      </c>
      <c r="B144" s="9" t="n">
        <f aca="false">ROUND(MIN(B139),2)</f>
        <v>18.51</v>
      </c>
    </row>
    <row r="145" customFormat="false" ht="17.15" hidden="false" customHeight="false" outlineLevel="0" collapsed="false">
      <c r="A145" s="3" t="s">
        <v>840</v>
      </c>
      <c r="B145" s="9" t="n">
        <f aca="false">ROUND(MAX(B140),2)</f>
        <v>71.66</v>
      </c>
    </row>
    <row r="147" customFormat="false" ht="17.15" hidden="false" customHeight="false" outlineLevel="0" collapsed="false">
      <c r="A147" s="1" t="s">
        <v>841</v>
      </c>
    </row>
    <row r="148" customFormat="false" ht="17.15" hidden="false" customHeight="false" outlineLevel="0" collapsed="false">
      <c r="A148" s="6" t="s">
        <v>842</v>
      </c>
      <c r="B148" s="6" t="s">
        <v>843</v>
      </c>
      <c r="C148" s="6" t="s">
        <v>797</v>
      </c>
      <c r="D148" s="6" t="s">
        <v>21</v>
      </c>
      <c r="E148" s="6" t="s">
        <v>844</v>
      </c>
      <c r="F148" s="6" t="s">
        <v>845</v>
      </c>
      <c r="G148" s="6" t="s">
        <v>846</v>
      </c>
      <c r="H148" s="6" t="s">
        <v>847</v>
      </c>
    </row>
    <row r="149" customFormat="false" ht="17.15" hidden="false" customHeight="false" outlineLevel="0" collapsed="false">
      <c r="A149" s="5" t="s">
        <v>848</v>
      </c>
      <c r="B149" s="0" t="s">
        <v>849</v>
      </c>
      <c r="C149" s="9" t="n">
        <f aca="false">B141</f>
        <v>40.13</v>
      </c>
      <c r="D149" s="8" t="s">
        <v>850</v>
      </c>
      <c r="E149" s="19" t="n">
        <f aca="false">PL!E17</f>
        <v>9.14254761536311</v>
      </c>
      <c r="F149" s="21" t="n">
        <f aca="false">C149*E149</f>
        <v>366.890435804522</v>
      </c>
      <c r="G149" s="17" t="n">
        <f aca="false">F149/px-1</f>
        <v>-0.290058948887321</v>
      </c>
      <c r="H149" s="9" t="n">
        <f aca="false">px/E149</f>
        <v>56.5258199073076</v>
      </c>
    </row>
    <row r="150" customFormat="false" ht="17.15" hidden="false" customHeight="false" outlineLevel="0" collapsed="false">
      <c r="A150" s="5" t="s">
        <v>851</v>
      </c>
      <c r="B150" s="5" t="s">
        <v>852</v>
      </c>
      <c r="C150" s="9" t="n">
        <f aca="false">B142</f>
        <v>51.58</v>
      </c>
      <c r="D150" s="8" t="s">
        <v>850</v>
      </c>
      <c r="E150" s="19" t="n">
        <f aca="false">PL!E17</f>
        <v>9.14254761536311</v>
      </c>
      <c r="F150" s="21" t="n">
        <f aca="false">C150*E150</f>
        <v>471.572606000429</v>
      </c>
      <c r="G150" s="17" t="n">
        <f aca="false">F150/px-1</f>
        <v>-0.0874966504761525</v>
      </c>
      <c r="H150" s="9" t="n">
        <f aca="false">px/E150</f>
        <v>56.5258199073076</v>
      </c>
    </row>
    <row r="151" customFormat="false" ht="17.15" hidden="false" customHeight="false" outlineLevel="0" collapsed="false">
      <c r="A151" s="5" t="s">
        <v>853</v>
      </c>
      <c r="B151" s="0" t="s">
        <v>854</v>
      </c>
      <c r="C151" s="9" t="n">
        <f aca="false">B143</f>
        <v>60.47</v>
      </c>
      <c r="D151" s="8" t="s">
        <v>850</v>
      </c>
      <c r="E151" s="19" t="n">
        <f aca="false">PL!E17</f>
        <v>9.14254761536311</v>
      </c>
      <c r="F151" s="21" t="n">
        <f aca="false">C151*E151</f>
        <v>552.849854301007</v>
      </c>
      <c r="G151" s="17" t="n">
        <f aca="false">F151/px-1</f>
        <v>0.069776610036973</v>
      </c>
      <c r="H151" s="9" t="n">
        <f aca="false">px/E151</f>
        <v>56.5258199073076</v>
      </c>
    </row>
    <row r="163" customFormat="false" ht="17.15" hidden="false" customHeight="false" outlineLevel="0" collapsed="false">
      <c r="A163" s="3" t="s">
        <v>855</v>
      </c>
    </row>
    <row r="164" customFormat="false" ht="17.15" hidden="false" customHeight="false" outlineLevel="0" collapsed="false">
      <c r="A164" s="6" t="s">
        <v>816</v>
      </c>
      <c r="B164" s="6" t="s">
        <v>856</v>
      </c>
      <c r="C164" s="13" t="s">
        <v>857</v>
      </c>
      <c r="D164" s="13" t="s">
        <v>858</v>
      </c>
      <c r="E164" s="6" t="s">
        <v>715</v>
      </c>
    </row>
    <row r="165" customFormat="false" ht="17.15" hidden="false" customHeight="false" outlineLevel="0" collapsed="false">
      <c r="A165" s="0" t="s">
        <v>820</v>
      </c>
      <c r="B165" s="18" t="n">
        <v>11.34</v>
      </c>
      <c r="C165" s="18" t="n">
        <v>-0.14</v>
      </c>
      <c r="D165" s="18" t="n">
        <v>-0.6</v>
      </c>
      <c r="E165" s="5" t="s">
        <v>859</v>
      </c>
    </row>
    <row r="166" customFormat="false" ht="15" hidden="false" customHeight="false" outlineLevel="0" collapsed="false">
      <c r="A166" s="0" t="s">
        <v>822</v>
      </c>
      <c r="B166" s="18" t="n">
        <v>10.28</v>
      </c>
      <c r="C166" s="18" t="n">
        <v>0.17</v>
      </c>
      <c r="D166" s="18" t="n">
        <v>0.04</v>
      </c>
      <c r="E166" s="5" t="s">
        <v>35</v>
      </c>
    </row>
    <row r="167" customFormat="false" ht="15" hidden="false" customHeight="false" outlineLevel="0" collapsed="false">
      <c r="A167" s="0" t="s">
        <v>823</v>
      </c>
      <c r="B167" s="18" t="n">
        <v>18.46</v>
      </c>
      <c r="C167" s="18" t="n">
        <v>0.46</v>
      </c>
      <c r="D167" s="18" t="n">
        <v>0.32</v>
      </c>
      <c r="E167" s="5" t="s">
        <v>35</v>
      </c>
    </row>
    <row r="168" customFormat="false" ht="15" hidden="false" customHeight="false" outlineLevel="0" collapsed="false">
      <c r="A168" s="0" t="s">
        <v>824</v>
      </c>
      <c r="B168" s="18" t="n">
        <v>45.86</v>
      </c>
      <c r="C168" s="18" t="n">
        <v>0.64</v>
      </c>
      <c r="D168" s="18" t="n">
        <v>0.3</v>
      </c>
      <c r="E168" s="5" t="s">
        <v>35</v>
      </c>
    </row>
    <row r="169" customFormat="false" ht="15" hidden="false" customHeight="false" outlineLevel="0" collapsed="false">
      <c r="A169" s="0" t="s">
        <v>825</v>
      </c>
      <c r="B169" s="18" t="n">
        <v>91.71</v>
      </c>
      <c r="C169" s="18" t="n">
        <v>1.29</v>
      </c>
      <c r="D169" s="18" t="n">
        <v>2.06</v>
      </c>
      <c r="E169" s="5" t="s">
        <v>35</v>
      </c>
    </row>
    <row r="170" customFormat="false" ht="15" hidden="false" customHeight="false" outlineLevel="0" collapsed="false">
      <c r="A170" s="0" t="s">
        <v>826</v>
      </c>
      <c r="B170" s="18" t="n">
        <v>143.9</v>
      </c>
      <c r="C170" s="18" t="n">
        <v>2.79</v>
      </c>
      <c r="D170" s="18" t="n">
        <v>2.57</v>
      </c>
      <c r="E170" s="5" t="s">
        <v>35</v>
      </c>
    </row>
    <row r="171" customFormat="false" ht="15" hidden="false" customHeight="false" outlineLevel="0" collapsed="false">
      <c r="A171" s="0" t="s">
        <v>827</v>
      </c>
      <c r="B171" s="18" t="n">
        <v>64.77</v>
      </c>
      <c r="C171" s="18" t="n">
        <v>3.5</v>
      </c>
      <c r="D171" s="18" t="n">
        <v>0.84</v>
      </c>
      <c r="E171" s="5" t="s">
        <v>35</v>
      </c>
    </row>
    <row r="172" customFormat="false" ht="15" hidden="false" customHeight="false" outlineLevel="0" collapsed="false">
      <c r="A172" s="0" t="s">
        <v>828</v>
      </c>
      <c r="B172" s="18" t="n">
        <v>147.41</v>
      </c>
      <c r="C172" s="18" t="n">
        <v>2.65</v>
      </c>
      <c r="D172" s="18" t="n">
        <v>0.53</v>
      </c>
      <c r="E172" s="5" t="s">
        <v>35</v>
      </c>
    </row>
    <row r="173" customFormat="false" ht="15" hidden="false" customHeight="false" outlineLevel="0" collapsed="false">
      <c r="A173" s="0" t="s">
        <v>829</v>
      </c>
      <c r="B173" s="18" t="n">
        <v>120.79</v>
      </c>
      <c r="C173" s="18" t="n">
        <v>3.31</v>
      </c>
      <c r="D173" s="18" t="n">
        <v>1</v>
      </c>
      <c r="E173" s="5" t="s">
        <v>35</v>
      </c>
    </row>
    <row r="174" customFormat="false" ht="15" hidden="false" customHeight="false" outlineLevel="0" collapsed="false">
      <c r="A174" s="0" t="s">
        <v>830</v>
      </c>
      <c r="B174" s="18" t="n">
        <v>214.16</v>
      </c>
      <c r="C174" s="18" t="n">
        <v>4.17</v>
      </c>
      <c r="D174" s="18" t="n">
        <v>2.65</v>
      </c>
      <c r="E174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8"/>
    <col collapsed="false" customWidth="true" hidden="false" outlineLevel="0" max="8" min="2" style="0" width="12"/>
    <col collapsed="false" customWidth="true" hidden="false" outlineLevel="0" max="9" min="9" style="0" width="46"/>
    <col collapsed="false" customWidth="true" hidden="false" outlineLevel="0" max="10" min="10" style="0" width="90"/>
  </cols>
  <sheetData>
    <row r="1" customFormat="false" ht="17.15" hidden="false" customHeight="false" outlineLevel="0" collapsed="false">
      <c r="A1" s="0" t="s">
        <v>860</v>
      </c>
    </row>
    <row r="3" customFormat="false" ht="17.15" hidden="false" customHeight="false" outlineLevel="0" collapsed="false">
      <c r="A3" s="6" t="s">
        <v>18</v>
      </c>
      <c r="B3" s="6" t="s">
        <v>861</v>
      </c>
      <c r="C3" s="6" t="s">
        <v>862</v>
      </c>
      <c r="D3" s="6" t="s">
        <v>863</v>
      </c>
      <c r="E3" s="6" t="s">
        <v>864</v>
      </c>
      <c r="F3" s="6" t="s">
        <v>865</v>
      </c>
      <c r="G3" s="6" t="s">
        <v>866</v>
      </c>
      <c r="H3" s="6" t="s">
        <v>867</v>
      </c>
      <c r="I3" s="6" t="s">
        <v>868</v>
      </c>
      <c r="J3" s="6" t="s">
        <v>572</v>
      </c>
    </row>
    <row r="4" customFormat="false" ht="17.15" hidden="false" customHeight="false" outlineLevel="0" collapsed="false">
      <c r="A4" s="1" t="s">
        <v>869</v>
      </c>
    </row>
    <row r="5" customFormat="false" ht="17.15" hidden="false" customHeight="false" outlineLevel="0" collapsed="false">
      <c r="A5" s="0" t="s">
        <v>870</v>
      </c>
      <c r="B5" s="21" t="n">
        <f aca="false">cons_rev26</f>
        <v>51</v>
      </c>
      <c r="C5" s="21" t="n">
        <f aca="false">PL!D5</f>
        <v>49.6431752</v>
      </c>
      <c r="D5" s="17" t="n">
        <f aca="false">C5/B5-1</f>
        <v>-0.0266044078431372</v>
      </c>
      <c r="E5" s="21" t="n">
        <f aca="false">PL!D21</f>
        <v>49.6431752</v>
      </c>
      <c r="F5" s="17" t="n">
        <f aca="false">E5/B5-1</f>
        <v>-0.0266044078431372</v>
      </c>
      <c r="G5" s="21" t="n">
        <f aca="false">PL!D37</f>
        <v>49.6431752</v>
      </c>
      <c r="H5" s="17" t="n">
        <f aca="false">G5/B5-1</f>
        <v>-0.0266044078431372</v>
      </c>
      <c r="I5" s="8" t="s">
        <v>871</v>
      </c>
      <c r="J5" s="5" t="s">
        <v>872</v>
      </c>
    </row>
    <row r="6" customFormat="false" ht="17.15" hidden="false" customHeight="false" outlineLevel="0" collapsed="false">
      <c r="A6" s="0" t="s">
        <v>873</v>
      </c>
      <c r="B6" s="9" t="n">
        <f aca="false">cons_eps26</f>
        <v>7.59</v>
      </c>
      <c r="C6" s="9" t="n">
        <f aca="false">PL!D17</f>
        <v>7.30556249474777</v>
      </c>
      <c r="D6" s="17" t="n">
        <f aca="false">C6/B6-1</f>
        <v>-0.0374752971346812</v>
      </c>
      <c r="E6" s="9" t="n">
        <f aca="false">PL!D33</f>
        <v>7.30556249474777</v>
      </c>
      <c r="F6" s="17" t="n">
        <f aca="false">E6/B6-1</f>
        <v>-0.0374752971346812</v>
      </c>
      <c r="G6" s="9" t="n">
        <f aca="false">PL!D49</f>
        <v>7.30556249474777</v>
      </c>
      <c r="H6" s="17" t="n">
        <f aca="false">G6/B6-1</f>
        <v>-0.0374752971346812</v>
      </c>
      <c r="I6" s="8" t="s">
        <v>871</v>
      </c>
      <c r="J6" s="8" t="s">
        <v>429</v>
      </c>
    </row>
    <row r="7" customFormat="false" ht="17.15" hidden="false" customHeight="false" outlineLevel="0" collapsed="false">
      <c r="A7" s="0" t="s">
        <v>874</v>
      </c>
      <c r="B7" s="21" t="n">
        <f aca="false">a26_dc*(1+g_dc27)</f>
        <v>61.70294</v>
      </c>
      <c r="C7" s="21" t="n">
        <f aca="false">PL!E7</f>
        <v>56.376771176</v>
      </c>
      <c r="D7" s="17" t="n">
        <f aca="false">C7/B7-1</f>
        <v>-0.0863195307063165</v>
      </c>
      <c r="E7" s="21" t="n">
        <f aca="false">PL!E23</f>
        <v>56.376771176</v>
      </c>
      <c r="F7" s="17" t="n">
        <f aca="false">E7/B7-1</f>
        <v>-0.0863195307063165</v>
      </c>
      <c r="G7" s="21" t="n">
        <f aca="false">PL!E39</f>
        <v>56.376771176</v>
      </c>
      <c r="H7" s="17" t="n">
        <f aca="false">G7/B7-1</f>
        <v>-0.0863195307063165</v>
      </c>
      <c r="I7" s="5" t="s">
        <v>875</v>
      </c>
    </row>
    <row r="8" customFormat="false" ht="17.15" hidden="false" customHeight="false" outlineLevel="0" collapsed="false">
      <c r="A8" s="0" t="s">
        <v>876</v>
      </c>
      <c r="B8" s="17" t="n">
        <f aca="false">g_srv27</f>
        <v>0.7</v>
      </c>
      <c r="C8" s="17" t="n">
        <f aca="false">PL!E84/PL!D84-1</f>
        <v>0.5</v>
      </c>
      <c r="D8" s="17" t="n">
        <f aca="false">C8-B8</f>
        <v>-0.2</v>
      </c>
      <c r="E8" s="17" t="n">
        <f aca="false">PL!E132/PL!D132-1</f>
        <v>0.5</v>
      </c>
      <c r="F8" s="17" t="n">
        <f aca="false">E8-B8</f>
        <v>-0.2</v>
      </c>
      <c r="G8" s="17" t="n">
        <f aca="false">PL!E180/PL!D180-1</f>
        <v>0.5</v>
      </c>
      <c r="H8" s="17" t="n">
        <f aca="false">G8-B8</f>
        <v>-0.2</v>
      </c>
      <c r="I8" s="5" t="s">
        <v>35</v>
      </c>
      <c r="J8" s="5" t="s">
        <v>877</v>
      </c>
    </row>
    <row r="9" customFormat="false" ht="17.15" hidden="false" customHeight="false" outlineLevel="0" collapsed="false">
      <c r="A9" s="0" t="s">
        <v>878</v>
      </c>
      <c r="B9" s="21" t="n">
        <f aca="false">cons_rev27</f>
        <v>89.17</v>
      </c>
      <c r="C9" s="21" t="n">
        <f aca="false">PL!E5</f>
        <v>75.668418636</v>
      </c>
      <c r="D9" s="17" t="n">
        <f aca="false">C9/B9-1</f>
        <v>-0.151413943747897</v>
      </c>
      <c r="E9" s="21" t="n">
        <f aca="false">PL!E21</f>
        <v>75.668418636</v>
      </c>
      <c r="F9" s="17" t="n">
        <f aca="false">E9/B9-1</f>
        <v>-0.151413943747897</v>
      </c>
      <c r="G9" s="21" t="n">
        <f aca="false">PL!E37</f>
        <v>75.668418636</v>
      </c>
      <c r="H9" s="17" t="n">
        <f aca="false">G9/B9-1</f>
        <v>-0.151413943747897</v>
      </c>
      <c r="I9" s="8" t="s">
        <v>871</v>
      </c>
      <c r="J9" s="8" t="s">
        <v>879</v>
      </c>
    </row>
    <row r="10" customFormat="false" ht="17.15" hidden="false" customHeight="false" outlineLevel="0" collapsed="false">
      <c r="A10" s="0" t="s">
        <v>880</v>
      </c>
      <c r="B10" s="9" t="n">
        <f aca="false">cons_eps27</f>
        <v>15.76</v>
      </c>
      <c r="C10" s="9" t="n">
        <f aca="false">PL!E17</f>
        <v>9.14254761536311</v>
      </c>
      <c r="D10" s="17" t="n">
        <f aca="false">C10/B10-1</f>
        <v>-0.41988911070031</v>
      </c>
      <c r="E10" s="9" t="n">
        <f aca="false">PL!E33</f>
        <v>9.14254761536311</v>
      </c>
      <c r="F10" s="17" t="n">
        <f aca="false">E10/B10-1</f>
        <v>-0.41988911070031</v>
      </c>
      <c r="G10" s="9" t="n">
        <f aca="false">PL!E49</f>
        <v>9.14254761536311</v>
      </c>
      <c r="H10" s="17" t="n">
        <f aca="false">G10/B10-1</f>
        <v>-0.41988911070031</v>
      </c>
      <c r="I10" s="8" t="s">
        <v>871</v>
      </c>
      <c r="J10" s="5" t="s">
        <v>881</v>
      </c>
    </row>
    <row r="11" customFormat="false" ht="17.15" hidden="false" customHeight="false" outlineLevel="0" collapsed="false">
      <c r="A11" s="0" t="s">
        <v>882</v>
      </c>
      <c r="B11" s="9" t="n">
        <f aca="false">cons_eps27_lo</f>
        <v>11.23</v>
      </c>
      <c r="C11" s="9" t="n">
        <f aca="false">PL!E17</f>
        <v>9.14254761536311</v>
      </c>
      <c r="D11" s="17" t="n">
        <f aca="false">C11/B11-1</f>
        <v>-0.185881779575859</v>
      </c>
      <c r="E11" s="9" t="n">
        <f aca="false">PL!E33</f>
        <v>9.14254761536311</v>
      </c>
      <c r="F11" s="17" t="n">
        <f aca="false">E11/B11-1</f>
        <v>-0.185881779575859</v>
      </c>
      <c r="G11" s="9" t="n">
        <f aca="false">PL!E49</f>
        <v>9.14254761536311</v>
      </c>
      <c r="H11" s="17" t="n">
        <f aca="false">G11/B11-1</f>
        <v>-0.185881779575859</v>
      </c>
      <c r="I11" s="8" t="s">
        <v>883</v>
      </c>
    </row>
    <row r="12" customFormat="false" ht="17.15" hidden="false" customHeight="false" outlineLevel="0" collapsed="false">
      <c r="A12" s="0" t="s">
        <v>884</v>
      </c>
      <c r="B12" s="9" t="n">
        <f aca="false">cons_eps28</f>
        <v>20</v>
      </c>
      <c r="C12" s="9" t="n">
        <f aca="false">PL!F17</f>
        <v>10.4369782041647</v>
      </c>
      <c r="D12" s="17" t="n">
        <f aca="false">C12/B12-1</f>
        <v>-0.478151089791766</v>
      </c>
      <c r="E12" s="9" t="n">
        <f aca="false">PL!F33</f>
        <v>11.1129027480648</v>
      </c>
      <c r="F12" s="17" t="n">
        <f aca="false">E12/B12-1</f>
        <v>-0.444354862596761</v>
      </c>
      <c r="G12" s="9" t="n">
        <f aca="false">PL!F49</f>
        <v>9.91422812076083</v>
      </c>
      <c r="H12" s="17" t="n">
        <f aca="false">G12/B12-1</f>
        <v>-0.504288593961959</v>
      </c>
      <c r="I12" s="8" t="s">
        <v>885</v>
      </c>
      <c r="J12" s="8" t="s">
        <v>886</v>
      </c>
    </row>
    <row r="13" customFormat="false" ht="17.15" hidden="false" customHeight="false" outlineLevel="0" collapsed="false">
      <c r="A13" s="0" t="s">
        <v>887</v>
      </c>
      <c r="B13" s="9" t="n">
        <f aca="false">lt_eps</f>
        <v>20</v>
      </c>
      <c r="C13" s="9" t="n">
        <f aca="false">PL!G17</f>
        <v>11.7157980072581</v>
      </c>
      <c r="D13" s="17" t="n">
        <f aca="false">C13/B13-1</f>
        <v>-0.414210099637093</v>
      </c>
      <c r="E13" s="9" t="n">
        <f aca="false">PL!G33</f>
        <v>12.5153849601027</v>
      </c>
      <c r="F13" s="17" t="n">
        <f aca="false">E13/B13-1</f>
        <v>-0.374230751994867</v>
      </c>
      <c r="G13" s="9" t="n">
        <f aca="false">PL!G49</f>
        <v>10.9466234223069</v>
      </c>
      <c r="H13" s="17" t="n">
        <f aca="false">G13/B13-1</f>
        <v>-0.452668828884657</v>
      </c>
      <c r="I13" s="5" t="s">
        <v>888</v>
      </c>
      <c r="J13" s="5" t="s">
        <v>889</v>
      </c>
    </row>
    <row r="14" customFormat="false" ht="17.15" hidden="false" customHeight="false" outlineLevel="0" collapsed="false">
      <c r="A14" s="0" t="s">
        <v>890</v>
      </c>
      <c r="B14" s="21" t="n">
        <v>20</v>
      </c>
      <c r="C14" s="21" t="n">
        <f aca="false">PL!E8</f>
        <v>32.829624704</v>
      </c>
      <c r="D14" s="17" t="n">
        <f aca="false">C14/B14-1</f>
        <v>0.6414812352</v>
      </c>
      <c r="E14" s="21" t="n">
        <f aca="false">PL!E24</f>
        <v>32.829624704</v>
      </c>
      <c r="F14" s="17" t="n">
        <f aca="false">E14/B14-1</f>
        <v>0.6414812352</v>
      </c>
      <c r="G14" s="21" t="n">
        <f aca="false">PL!E40</f>
        <v>32.829624704</v>
      </c>
      <c r="H14" s="17" t="n">
        <f aca="false">G14/B14-1</f>
        <v>0.6414812352</v>
      </c>
      <c r="I14" s="5" t="s">
        <v>891</v>
      </c>
    </row>
    <row r="15" customFormat="false" ht="17.15" hidden="false" customHeight="false" outlineLevel="0" collapsed="false">
      <c r="A15" s="0" t="s">
        <v>892</v>
      </c>
      <c r="B15" s="17" t="n">
        <f aca="false">a26_gp/a26_rev</f>
        <v>0.557922959690137</v>
      </c>
      <c r="C15" s="17" t="n">
        <f aca="false">PL!E12</f>
        <v>0.497188136060135</v>
      </c>
      <c r="D15" s="17" t="n">
        <f aca="false">C15-B15</f>
        <v>-0.0607348236300019</v>
      </c>
      <c r="E15" s="17" t="n">
        <f aca="false">PL!E28</f>
        <v>0.497188136060135</v>
      </c>
      <c r="F15" s="17" t="n">
        <f aca="false">E15-B15</f>
        <v>-0.0607348236300019</v>
      </c>
      <c r="G15" s="17" t="n">
        <f aca="false">PL!E44</f>
        <v>0.497188136060135</v>
      </c>
      <c r="H15" s="17" t="n">
        <f aca="false">G15-B15</f>
        <v>-0.0607348236300019</v>
      </c>
      <c r="I15" s="8" t="s">
        <v>893</v>
      </c>
      <c r="J15" s="8" t="s">
        <v>894</v>
      </c>
    </row>
    <row r="16" customFormat="false" ht="17.15" hidden="false" customHeight="false" outlineLevel="0" collapsed="false">
      <c r="A16" s="1" t="s">
        <v>895</v>
      </c>
    </row>
    <row r="17" customFormat="false" ht="17.15" hidden="false" customHeight="false" outlineLevel="0" collapsed="false">
      <c r="A17" s="0" t="s">
        <v>896</v>
      </c>
      <c r="C17" s="16" t="n">
        <f aca="false">k_rec</f>
        <v>0.673483215644445</v>
      </c>
      <c r="E17" s="16" t="n">
        <f aca="false">k_rec</f>
        <v>0.673483215644445</v>
      </c>
      <c r="G17" s="16" t="n">
        <f aca="false">k_rec</f>
        <v>0.673483215644445</v>
      </c>
      <c r="I17" s="5" t="s">
        <v>897</v>
      </c>
      <c r="J17" s="8" t="s">
        <v>898</v>
      </c>
    </row>
    <row r="18" customFormat="false" ht="17.15" hidden="false" customHeight="false" outlineLevel="0" collapsed="false">
      <c r="A18" s="0" t="s">
        <v>899</v>
      </c>
      <c r="B18" s="19" t="n">
        <f aca="false">p355</f>
        <v>23</v>
      </c>
      <c r="C18" s="19" t="n">
        <f aca="false">p_real26</f>
        <v>20.2044964693333</v>
      </c>
      <c r="D18" s="17" t="n">
        <f aca="false">C18/B18-1</f>
        <v>-0.121543631768116</v>
      </c>
      <c r="E18" s="19" t="n">
        <f aca="false">p_real26</f>
        <v>20.2044964693333</v>
      </c>
      <c r="F18" s="17" t="n">
        <f aca="false">E18/B18-1</f>
        <v>-0.121543631768116</v>
      </c>
      <c r="G18" s="19" t="n">
        <f aca="false">p_real26</f>
        <v>20.2044964693333</v>
      </c>
      <c r="H18" s="17" t="n">
        <f aca="false">G18/B18-1</f>
        <v>-0.121543631768116</v>
      </c>
      <c r="I18" s="8" t="s">
        <v>900</v>
      </c>
      <c r="J18" s="5" t="s">
        <v>901</v>
      </c>
    </row>
    <row r="19" customFormat="false" ht="17.15" hidden="false" customHeight="false" outlineLevel="0" collapsed="false">
      <c r="A19" s="0" t="s">
        <v>902</v>
      </c>
      <c r="B19" s="9" t="n">
        <f aca="false">u_amd_26</f>
        <v>0.75</v>
      </c>
      <c r="C19" s="9" t="n">
        <f aca="false">PL!D77</f>
        <v>0.505112411733333</v>
      </c>
      <c r="D19" s="17" t="n">
        <f aca="false">C19/B19-1</f>
        <v>-0.326516784355556</v>
      </c>
      <c r="E19" s="9" t="n">
        <f aca="false">PL!D125</f>
        <v>0.505112411733333</v>
      </c>
      <c r="F19" s="17" t="n">
        <f aca="false">E19/B19-1</f>
        <v>-0.326516784355556</v>
      </c>
      <c r="G19" s="9" t="n">
        <f aca="false">PL!D173</f>
        <v>0.505112411733333</v>
      </c>
      <c r="H19" s="17" t="n">
        <f aca="false">G19/B19-1</f>
        <v>-0.326516784355556</v>
      </c>
      <c r="I19" s="8" t="s">
        <v>903</v>
      </c>
    </row>
    <row r="20" customFormat="false" ht="17.15" hidden="false" customHeight="false" outlineLevel="0" collapsed="false">
      <c r="A20" s="0" t="s">
        <v>904</v>
      </c>
      <c r="C20" s="17" t="n">
        <f aca="false">PL!D97/PL!C97-1</f>
        <v>1.33128805415385</v>
      </c>
      <c r="E20" s="17" t="n">
        <f aca="false">PL!D145/PL!C145-1</f>
        <v>1.33128805415385</v>
      </c>
      <c r="G20" s="17" t="n">
        <f aca="false">PL!D193/PL!C193-1</f>
        <v>1.33128805415385</v>
      </c>
      <c r="I20" s="8" t="s">
        <v>905</v>
      </c>
    </row>
    <row r="21" customFormat="false" ht="17.15" hidden="false" customHeight="false" outlineLevel="0" collapsed="false">
      <c r="A21" s="1" t="s">
        <v>906</v>
      </c>
    </row>
    <row r="22" customFormat="false" ht="17.15" hidden="false" customHeight="false" outlineLevel="0" collapsed="false">
      <c r="A22" s="0" t="s">
        <v>907</v>
      </c>
      <c r="B22" s="9" t="n">
        <f aca="false">gw_27-gw_26</f>
        <v>2</v>
      </c>
      <c r="C22" s="9" t="n">
        <f aca="false">PL!E77*1000000/gpw</f>
        <v>3.46270985338744</v>
      </c>
      <c r="D22" s="17" t="n">
        <f aca="false">C22/B22-1</f>
        <v>0.731354926693722</v>
      </c>
      <c r="E22" s="9" t="n">
        <f aca="false">PL!E125*1000000/gpw</f>
        <v>3.46270985338744</v>
      </c>
      <c r="F22" s="17" t="n">
        <f aca="false">E22/B22-1</f>
        <v>0.731354926693722</v>
      </c>
      <c r="G22" s="9" t="n">
        <f aca="false">PL!E173*1000000/gpw</f>
        <v>3.46270985338744</v>
      </c>
      <c r="H22" s="17" t="n">
        <f aca="false">G22/B22-1</f>
        <v>0.731354926693722</v>
      </c>
      <c r="I22" s="5" t="s">
        <v>908</v>
      </c>
      <c r="J22" s="5" t="s">
        <v>909</v>
      </c>
    </row>
    <row r="23" customFormat="false" ht="17.15" hidden="false" customHeight="false" outlineLevel="0" collapsed="false">
      <c r="A23" s="0" t="s">
        <v>910</v>
      </c>
      <c r="B23" s="9" t="n">
        <f aca="false">gw_28-gw_27</f>
        <v>2</v>
      </c>
      <c r="C23" s="9" t="n">
        <f aca="false">PL!F77*1000000/gpw</f>
        <v>4.61694647118326</v>
      </c>
      <c r="D23" s="17" t="n">
        <f aca="false">C23/B23-1</f>
        <v>1.30847323559163</v>
      </c>
      <c r="E23" s="9" t="n">
        <f aca="false">PL!F125*1000000/gpw</f>
        <v>3.69355717694661</v>
      </c>
      <c r="F23" s="17" t="n">
        <f aca="false">E23/B23-1</f>
        <v>0.846778588473304</v>
      </c>
      <c r="G23" s="9" t="n">
        <f aca="false">PL!F173*1000000/gpw</f>
        <v>2.77016788270996</v>
      </c>
      <c r="H23" s="17" t="n">
        <f aca="false">G23/B23-1</f>
        <v>0.385083941354978</v>
      </c>
      <c r="I23" s="5" t="s">
        <v>35</v>
      </c>
    </row>
    <row r="24" customFormat="false" ht="17.15" hidden="false" customHeight="false" outlineLevel="0" collapsed="false">
      <c r="A24" s="5" t="s">
        <v>911</v>
      </c>
      <c r="B24" s="19" t="n">
        <f aca="false">openai_gw+meta_gw+anth_gw+orcl_u*1000000/gpw</f>
        <v>14.1713831304157</v>
      </c>
      <c r="C24" s="19" t="n">
        <f aca="false">SUM(PL!E77:G77)*1000000/gpw</f>
        <v>13.3891447664315</v>
      </c>
      <c r="D24" s="17" t="n">
        <f aca="false">C24/B24-1</f>
        <v>-0.0551984486472146</v>
      </c>
      <c r="E24" s="19" t="n">
        <f aca="false">SUM(PL!E125:G125)*1000000/gpw</f>
        <v>11.6693322059157</v>
      </c>
      <c r="F24" s="17" t="n">
        <f aca="false">E24/B24-1</f>
        <v>-0.176556578950288</v>
      </c>
      <c r="G24" s="19" t="n">
        <f aca="false">SUM(PL!E173:G173)*1000000/gpw</f>
        <v>9.41857080121385</v>
      </c>
      <c r="H24" s="17" t="n">
        <f aca="false">G24/B24-1</f>
        <v>-0.335380977669075</v>
      </c>
      <c r="I24" s="5" t="s">
        <v>912</v>
      </c>
      <c r="J24" s="5" t="s">
        <v>913</v>
      </c>
    </row>
    <row r="25" customFormat="false" ht="17.15" hidden="false" customHeight="false" outlineLevel="0" collapsed="false">
      <c r="A25" s="5" t="s">
        <v>914</v>
      </c>
      <c r="C25" s="17" t="n">
        <f aca="false">PL!G112/PL!G113</f>
        <v>0.0723783898959964</v>
      </c>
      <c r="E25" s="17" t="n">
        <f aca="false">PL!G160/PL!G161</f>
        <v>0.0608224427951158</v>
      </c>
      <c r="G25" s="17" t="n">
        <f aca="false">PL!G208/PL!G209</f>
        <v>0.0447217904108801</v>
      </c>
      <c r="I25" s="8" t="s">
        <v>915</v>
      </c>
      <c r="J25" s="5" t="s">
        <v>916</v>
      </c>
    </row>
    <row r="26" customFormat="false" ht="17.15" hidden="false" customHeight="false" outlineLevel="0" collapsed="false">
      <c r="A26" s="1" t="s">
        <v>917</v>
      </c>
    </row>
    <row r="27" customFormat="false" ht="17.15" hidden="false" customHeight="false" outlineLevel="0" collapsed="false">
      <c r="A27" s="0" t="s">
        <v>918</v>
      </c>
      <c r="C27" s="17" t="n">
        <f aca="false">Units!D33</f>
        <v>0.0670181395764454</v>
      </c>
      <c r="E27" s="17" t="n">
        <f aca="false">Units!D67</f>
        <v>0.0670181395764454</v>
      </c>
      <c r="G27" s="17" t="n">
        <f aca="false">Units!D101</f>
        <v>0.0670181395764454</v>
      </c>
      <c r="I27" s="8" t="s">
        <v>919</v>
      </c>
    </row>
    <row r="28" customFormat="false" ht="17.15" hidden="false" customHeight="false" outlineLevel="0" collapsed="false">
      <c r="A28" s="0" t="s">
        <v>920</v>
      </c>
      <c r="C28" s="17" t="n">
        <f aca="false">Units!D27</f>
        <v>0.0632911392405063</v>
      </c>
      <c r="E28" s="17" t="n">
        <f aca="false">Units!D61</f>
        <v>0.0632911392405063</v>
      </c>
      <c r="G28" s="17" t="n">
        <f aca="false">Units!D95</f>
        <v>0.0632911392405063</v>
      </c>
      <c r="I28" s="5" t="s">
        <v>35</v>
      </c>
      <c r="J28" s="5" t="s">
        <v>921</v>
      </c>
    </row>
    <row r="29" customFormat="false" ht="17.15" hidden="false" customHeight="false" outlineLevel="0" collapsed="false">
      <c r="A29" s="0" t="s">
        <v>922</v>
      </c>
      <c r="C29" s="17" t="n">
        <f aca="false">Units!D32</f>
        <v>0.751288237571858</v>
      </c>
      <c r="E29" s="17" t="n">
        <f aca="false">Units!D66</f>
        <v>0.751288237571858</v>
      </c>
      <c r="G29" s="17" t="n">
        <f aca="false">Units!D100</f>
        <v>0.751288237571858</v>
      </c>
      <c r="I29" s="5" t="s">
        <v>35</v>
      </c>
      <c r="J29" s="5" t="s">
        <v>923</v>
      </c>
    </row>
    <row r="30" customFormat="false" ht="17.15" hidden="false" customHeight="false" outlineLevel="0" collapsed="false">
      <c r="A30" s="1" t="s">
        <v>924</v>
      </c>
    </row>
    <row r="31" customFormat="false" ht="17.15" hidden="false" customHeight="false" outlineLevel="0" collapsed="false">
      <c r="A31" s="0" t="s">
        <v>925</v>
      </c>
      <c r="J31" s="5" t="s">
        <v>926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N70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6"/>
    <col collapsed="false" customWidth="true" hidden="false" outlineLevel="0" max="2" min="2" style="0" width="56"/>
    <col collapsed="false" customWidth="true" hidden="false" outlineLevel="0" max="14" min="3" style="0" width="15"/>
  </cols>
  <sheetData>
    <row r="1" customFormat="false" ht="17.15" hidden="false" customHeight="false" outlineLevel="0" collapsed="false">
      <c r="A1" s="0" t="s">
        <v>927</v>
      </c>
    </row>
    <row r="3" customFormat="false" ht="17.15" hidden="false" customHeight="false" outlineLevel="0" collapsed="false">
      <c r="A3" s="6" t="s">
        <v>928</v>
      </c>
      <c r="B3" s="6" t="s">
        <v>929</v>
      </c>
      <c r="C3" s="13" t="s">
        <v>930</v>
      </c>
      <c r="D3" s="13" t="s">
        <v>931</v>
      </c>
      <c r="E3" s="13" t="s">
        <v>932</v>
      </c>
      <c r="F3" s="13" t="s">
        <v>933</v>
      </c>
      <c r="G3" s="6" t="s">
        <v>934</v>
      </c>
      <c r="H3" s="13" t="s">
        <v>935</v>
      </c>
      <c r="I3" s="13" t="s">
        <v>936</v>
      </c>
      <c r="J3" s="13" t="s">
        <v>937</v>
      </c>
      <c r="K3" s="13" t="s">
        <v>938</v>
      </c>
      <c r="L3" s="6" t="s">
        <v>934</v>
      </c>
      <c r="M3" s="13" t="s">
        <v>939</v>
      </c>
      <c r="N3" s="13" t="s">
        <v>940</v>
      </c>
    </row>
    <row r="4" customFormat="false" ht="17.15" hidden="false" customHeight="false" outlineLevel="0" collapsed="false">
      <c r="A4" s="5" t="s">
        <v>941</v>
      </c>
      <c r="B4" s="0" t="s">
        <v>942</v>
      </c>
      <c r="C4" s="21" t="n">
        <f aca="false">PL!E95</f>
        <v>75.668418636</v>
      </c>
      <c r="D4" s="9" t="n">
        <f aca="false">PL!E114</f>
        <v>9.14254761536311</v>
      </c>
      <c r="E4" s="17" t="n">
        <f aca="false">D4/D$4-1</f>
        <v>0</v>
      </c>
      <c r="F4" s="34" t="n">
        <f aca="false">D4*pe_mid</f>
        <v>471.572606000429</v>
      </c>
      <c r="G4" s="17" t="n">
        <f aca="false">F4/F$4-1</f>
        <v>0</v>
      </c>
      <c r="H4" s="21" t="n">
        <f aca="false">PL!F95</f>
        <v>93.8335972068667</v>
      </c>
      <c r="I4" s="9" t="n">
        <f aca="false">PL!F114</f>
        <v>10.4369782041647</v>
      </c>
      <c r="J4" s="17" t="n">
        <f aca="false">I4/I$4-1</f>
        <v>0</v>
      </c>
      <c r="K4" s="34" t="n">
        <f aca="false">I4*pe_mid</f>
        <v>538.339335770814</v>
      </c>
      <c r="L4" s="17" t="n">
        <f aca="false">K4/K$4-1</f>
        <v>0</v>
      </c>
      <c r="M4" s="9" t="n">
        <f aca="false">PL!G114</f>
        <v>11.7157980072581</v>
      </c>
      <c r="N4" s="17" t="n">
        <f aca="false">M4/I4-1</f>
        <v>0.122527783241242</v>
      </c>
    </row>
    <row r="5" customFormat="false" ht="17.15" hidden="false" customHeight="false" outlineLevel="0" collapsed="false">
      <c r="A5" s="0" t="s">
        <v>943</v>
      </c>
      <c r="B5" s="0" t="s">
        <v>944</v>
      </c>
      <c r="C5" s="21" t="n">
        <f aca="false">E65</f>
        <v>69.1024936952</v>
      </c>
      <c r="D5" s="9" t="n">
        <f aca="false">E84</f>
        <v>8.6141752963374</v>
      </c>
      <c r="E5" s="17" t="n">
        <f aca="false">D5/D$4-1</f>
        <v>-0.0577926789397124</v>
      </c>
      <c r="F5" s="34" t="n">
        <f aca="false">D5*pe_mid</f>
        <v>444.319161785083</v>
      </c>
      <c r="G5" s="17" t="n">
        <f aca="false">F5/F$4-1</f>
        <v>-0.0577926789397124</v>
      </c>
      <c r="H5" s="21" t="n">
        <f aca="false">F65</f>
        <v>84.9276578191333</v>
      </c>
      <c r="I5" s="9" t="n">
        <f aca="false">F84</f>
        <v>9.81254045356603</v>
      </c>
      <c r="J5" s="17" t="n">
        <f aca="false">I5/I$4-1</f>
        <v>-0.0598293623291726</v>
      </c>
      <c r="K5" s="34" t="n">
        <f aca="false">I5*pe_mid</f>
        <v>506.130836594936</v>
      </c>
      <c r="L5" s="17" t="n">
        <f aca="false">K5/K$4-1</f>
        <v>-0.0598293623291725</v>
      </c>
      <c r="M5" s="9" t="n">
        <f aca="false">G84</f>
        <v>10.9475319312127</v>
      </c>
      <c r="N5" s="17" t="n">
        <f aca="false">M5/I5-1</f>
        <v>0.115667444431705</v>
      </c>
    </row>
    <row r="6" customFormat="false" ht="17.15" hidden="false" customHeight="false" outlineLevel="0" collapsed="false">
      <c r="A6" s="0" t="s">
        <v>945</v>
      </c>
      <c r="B6" s="0" t="s">
        <v>946</v>
      </c>
      <c r="C6" s="21" t="n">
        <f aca="false">E113</f>
        <v>82.2343435768</v>
      </c>
      <c r="D6" s="9" t="n">
        <f aca="false">E132</f>
        <v>9.67091993438881</v>
      </c>
      <c r="E6" s="17" t="n">
        <f aca="false">D6/D$4-1</f>
        <v>0.057792678939711</v>
      </c>
      <c r="F6" s="34" t="n">
        <f aca="false">D6*pe_mid</f>
        <v>498.826050215775</v>
      </c>
      <c r="G6" s="17" t="n">
        <f aca="false">F6/F$4-1</f>
        <v>0.057792678939711</v>
      </c>
      <c r="H6" s="21" t="n">
        <f aca="false">F113</f>
        <v>102.7395365946</v>
      </c>
      <c r="I6" s="9" t="n">
        <f aca="false">F132</f>
        <v>11.063324789447</v>
      </c>
      <c r="J6" s="17" t="n">
        <f aca="false">I6/I$4-1</f>
        <v>0.0600122538372605</v>
      </c>
      <c r="K6" s="34" t="n">
        <f aca="false">I6*pe_mid</f>
        <v>570.646292639674</v>
      </c>
      <c r="L6" s="17" t="n">
        <f aca="false">K6/K$4-1</f>
        <v>0.0600122538372607</v>
      </c>
      <c r="M6" s="9" t="n">
        <f aca="false">G132</f>
        <v>12.4865152258395</v>
      </c>
      <c r="N6" s="17" t="n">
        <f aca="false">M6/I6-1</f>
        <v>0.128640391878408</v>
      </c>
    </row>
    <row r="7" customFormat="false" ht="17.15" hidden="false" customHeight="false" outlineLevel="0" collapsed="false">
      <c r="A7" s="5" t="s">
        <v>947</v>
      </c>
      <c r="B7" s="0" t="s">
        <v>948</v>
      </c>
      <c r="C7" s="21" t="n">
        <f aca="false">E161</f>
        <v>83.875824812</v>
      </c>
      <c r="D7" s="9" t="n">
        <f aca="false">E180</f>
        <v>9.80301301414523</v>
      </c>
      <c r="E7" s="17" t="n">
        <f aca="false">D7/D$4-1</f>
        <v>0.0722408486746387</v>
      </c>
      <c r="F7" s="34" t="n">
        <f aca="false">D7*pe_mid</f>
        <v>505.639411269611</v>
      </c>
      <c r="G7" s="17" t="n">
        <f aca="false">F7/F$4-1</f>
        <v>0.0722408486746387</v>
      </c>
      <c r="H7" s="21" t="n">
        <f aca="false">F161</f>
        <v>116.0984456762</v>
      </c>
      <c r="I7" s="9" t="n">
        <f aca="false">F180</f>
        <v>12.050905877307</v>
      </c>
      <c r="J7" s="17" t="n">
        <f aca="false">I7/I$4-1</f>
        <v>0.154635531623352</v>
      </c>
      <c r="K7" s="34" t="n">
        <f aca="false">I7*pe_mid</f>
        <v>621.585725151496</v>
      </c>
      <c r="L7" s="17" t="n">
        <f aca="false">K7/K$4-1</f>
        <v>0.154635531623352</v>
      </c>
      <c r="M7" s="9" t="n">
        <f aca="false">G180</f>
        <v>13.6940301280912</v>
      </c>
      <c r="N7" s="17" t="n">
        <f aca="false">M7/I7-1</f>
        <v>0.136348608769597</v>
      </c>
    </row>
    <row r="8" customFormat="false" ht="17.15" hidden="false" customHeight="false" outlineLevel="0" collapsed="false">
      <c r="A8" s="5" t="s">
        <v>949</v>
      </c>
      <c r="B8" s="5" t="s">
        <v>950</v>
      </c>
      <c r="C8" s="21" t="n">
        <f aca="false">E209</f>
        <v>91.5848115630198</v>
      </c>
      <c r="D8" s="9" t="n">
        <f aca="false">E228</f>
        <v>10.4233696651426</v>
      </c>
      <c r="E8" s="17" t="n">
        <f aca="false">D8/D$4-1</f>
        <v>0.140094654538873</v>
      </c>
      <c r="F8" s="34" t="n">
        <f aca="false">D8*pe_mid</f>
        <v>537.637407328055</v>
      </c>
      <c r="G8" s="17" t="n">
        <f aca="false">F8/F$4-1</f>
        <v>0.140094654538873</v>
      </c>
      <c r="H8" s="21" t="n">
        <f aca="false">F209</f>
        <v>115.422395732199</v>
      </c>
      <c r="I8" s="9" t="n">
        <f aca="false">F228</f>
        <v>11.9577846556556</v>
      </c>
      <c r="J8" s="17" t="n">
        <f aca="false">I8/I$4-1</f>
        <v>0.145713291887885</v>
      </c>
      <c r="K8" s="34" t="n">
        <f aca="false">I8*pe_mid</f>
        <v>616.782532538716</v>
      </c>
      <c r="L8" s="17" t="n">
        <f aca="false">K8/K$4-1</f>
        <v>0.145713291887885</v>
      </c>
      <c r="M8" s="9" t="n">
        <f aca="false">G228</f>
        <v>13.5872746325686</v>
      </c>
      <c r="N8" s="17" t="n">
        <f aca="false">M8/I8-1</f>
        <v>0.136270222607022</v>
      </c>
    </row>
    <row r="9" customFormat="false" ht="17.15" hidden="false" customHeight="false" outlineLevel="0" collapsed="false">
      <c r="A9" s="0" t="s">
        <v>951</v>
      </c>
      <c r="B9" s="5" t="s">
        <v>952</v>
      </c>
      <c r="C9" s="21" t="n">
        <f aca="false">E257</f>
        <v>78.191298636</v>
      </c>
      <c r="D9" s="9" t="n">
        <f aca="false">E276</f>
        <v>10.1391028214718</v>
      </c>
      <c r="E9" s="17" t="n">
        <f aca="false">D9/D$4-1</f>
        <v>0.109001915881093</v>
      </c>
      <c r="F9" s="34" t="n">
        <f aca="false">D9*pe_mid</f>
        <v>522.974923531516</v>
      </c>
      <c r="G9" s="17" t="n">
        <f aca="false">F9/F$4-1</f>
        <v>0.109001915881093</v>
      </c>
      <c r="H9" s="21" t="n">
        <f aca="false">F257</f>
        <v>97.9543012068667</v>
      </c>
      <c r="I9" s="9" t="n">
        <f aca="false">F276</f>
        <v>12.0213899310125</v>
      </c>
      <c r="J9" s="17" t="n">
        <f aca="false">I9/I$4-1</f>
        <v>0.151807515149893</v>
      </c>
      <c r="K9" s="34" t="n">
        <f aca="false">I9*pe_mid</f>
        <v>620.063292641625</v>
      </c>
      <c r="L9" s="17" t="n">
        <f aca="false">K9/K$4-1</f>
        <v>0.151807515149893</v>
      </c>
      <c r="M9" s="9" t="n">
        <f aca="false">G276</f>
        <v>13.2988700078263</v>
      </c>
      <c r="N9" s="17" t="n">
        <f aca="false">M9/I9-1</f>
        <v>0.106267252301514</v>
      </c>
    </row>
    <row r="10" customFormat="false" ht="17.15" hidden="false" customHeight="false" outlineLevel="0" collapsed="false">
      <c r="A10" s="0" t="s">
        <v>953</v>
      </c>
      <c r="B10" s="5" t="s">
        <v>954</v>
      </c>
      <c r="C10" s="21" t="n">
        <f aca="false">E305</f>
        <v>73.145538636</v>
      </c>
      <c r="D10" s="9" t="n">
        <f aca="false">E324</f>
        <v>8.1459924092544</v>
      </c>
      <c r="E10" s="17" t="n">
        <f aca="false">D10/D$4-1</f>
        <v>-0.109001915881094</v>
      </c>
      <c r="F10" s="34" t="n">
        <f aca="false">D10*pe_mid</f>
        <v>420.170288469342</v>
      </c>
      <c r="G10" s="17" t="n">
        <f aca="false">F10/F$4-1</f>
        <v>-0.109001915881094</v>
      </c>
      <c r="H10" s="21" t="n">
        <f aca="false">F305</f>
        <v>89.7128932068667</v>
      </c>
      <c r="I10" s="9" t="n">
        <f aca="false">F324</f>
        <v>8.85351312754159</v>
      </c>
      <c r="J10" s="17" t="n">
        <f aca="false">I10/I$4-1</f>
        <v>-0.151716813587983</v>
      </c>
      <c r="K10" s="34" t="n">
        <f aca="false">I10*pe_mid</f>
        <v>456.664207118595</v>
      </c>
      <c r="L10" s="17" t="n">
        <f aca="false">K10/K$4-1</f>
        <v>-0.151716813587983</v>
      </c>
      <c r="M10" s="9" t="n">
        <f aca="false">G324</f>
        <v>10.1332916329085</v>
      </c>
      <c r="N10" s="17" t="n">
        <f aca="false">M10/I10-1</f>
        <v>0.144550359493536</v>
      </c>
    </row>
    <row r="11" customFormat="false" ht="17.15" hidden="false" customHeight="false" outlineLevel="0" collapsed="false">
      <c r="A11" s="0" t="s">
        <v>955</v>
      </c>
      <c r="B11" s="0" t="s">
        <v>956</v>
      </c>
      <c r="C11" s="21" t="n">
        <f aca="false">E353</f>
        <v>75.668418636</v>
      </c>
      <c r="D11" s="9" t="n">
        <f aca="false">E372</f>
        <v>8.55540990889007</v>
      </c>
      <c r="E11" s="17" t="n">
        <f aca="false">D11/D$4-1</f>
        <v>-0.0642203607981666</v>
      </c>
      <c r="F11" s="34" t="n">
        <f aca="false">D11*pe_mid</f>
        <v>441.28804310055</v>
      </c>
      <c r="G11" s="17" t="n">
        <f aca="false">F11/F$4-1</f>
        <v>-0.0642203607981666</v>
      </c>
      <c r="H11" s="21" t="n">
        <f aca="false">F353</f>
        <v>93.8335972068667</v>
      </c>
      <c r="I11" s="9" t="n">
        <f aca="false">F372</f>
        <v>9.51651645605126</v>
      </c>
      <c r="J11" s="17" t="n">
        <f aca="false">I11/I$4-1</f>
        <v>-0.0881923608641935</v>
      </c>
      <c r="K11" s="34" t="n">
        <f aca="false">I11*pe_mid</f>
        <v>490.861918803124</v>
      </c>
      <c r="L11" s="17" t="n">
        <f aca="false">K11/K$4-1</f>
        <v>-0.0881923608641934</v>
      </c>
      <c r="M11" s="9" t="n">
        <f aca="false">G372</f>
        <v>10.6494527099538</v>
      </c>
      <c r="N11" s="17" t="n">
        <f aca="false">M11/I11-1</f>
        <v>0.119049471425246</v>
      </c>
    </row>
    <row r="12" customFormat="false" ht="17.15" hidden="false" customHeight="false" outlineLevel="0" collapsed="false">
      <c r="A12" s="0" t="s">
        <v>957</v>
      </c>
      <c r="B12" s="0" t="s">
        <v>958</v>
      </c>
      <c r="C12" s="21" t="n">
        <f aca="false">E401</f>
        <v>75.668418636</v>
      </c>
      <c r="D12" s="9" t="n">
        <f aca="false">E420</f>
        <v>9.43611646859963</v>
      </c>
      <c r="E12" s="17" t="n">
        <f aca="false">D12/D$4-1</f>
        <v>0.0321101803990835</v>
      </c>
      <c r="F12" s="34" t="n">
        <f aca="false">D12*pe_mid</f>
        <v>486.714887450369</v>
      </c>
      <c r="G12" s="17" t="n">
        <f aca="false">F12/F$4-1</f>
        <v>0.0321101803990835</v>
      </c>
      <c r="H12" s="21" t="n">
        <f aca="false">F401</f>
        <v>93.8335972068667</v>
      </c>
      <c r="I12" s="9" t="n">
        <f aca="false">F420</f>
        <v>10.8972090782214</v>
      </c>
      <c r="J12" s="17" t="n">
        <f aca="false">I12/I$4-1</f>
        <v>0.044096180432097</v>
      </c>
      <c r="K12" s="34" t="n">
        <f aca="false">I12*pe_mid</f>
        <v>562.078044254659</v>
      </c>
      <c r="L12" s="17" t="n">
        <f aca="false">K12/K$4-1</f>
        <v>0.0440961804320972</v>
      </c>
      <c r="M12" s="9" t="n">
        <f aca="false">G420</f>
        <v>12.2489706559103</v>
      </c>
      <c r="N12" s="17" t="n">
        <f aca="false">M12/I12-1</f>
        <v>0.124046585505134</v>
      </c>
    </row>
    <row r="13" customFormat="false" ht="17.15" hidden="false" customHeight="false" outlineLevel="0" collapsed="false">
      <c r="A13" s="5" t="s">
        <v>959</v>
      </c>
      <c r="B13" s="0" t="s">
        <v>960</v>
      </c>
      <c r="C13" s="21" t="n">
        <f aca="false">E449</f>
        <v>72.5287991064</v>
      </c>
      <c r="D13" s="9" t="n">
        <f aca="false">E468</f>
        <v>8.57107075422098</v>
      </c>
      <c r="E13" s="17" t="n">
        <f aca="false">D13/D$4-1</f>
        <v>-0.0625073978484755</v>
      </c>
      <c r="F13" s="34" t="n">
        <f aca="false">D13*pe_mid</f>
        <v>442.095829502718</v>
      </c>
      <c r="G13" s="17" t="n">
        <f aca="false">F13/F$4-1</f>
        <v>-0.0625073978484755</v>
      </c>
      <c r="H13" s="21" t="n">
        <f aca="false">F449</f>
        <v>86.8479437535067</v>
      </c>
      <c r="I13" s="9" t="n">
        <f aca="false">F468</f>
        <v>9.17805895757094</v>
      </c>
      <c r="J13" s="17" t="n">
        <f aca="false">I13/I$4-1</f>
        <v>-0.120621047775245</v>
      </c>
      <c r="K13" s="34" t="n">
        <f aca="false">I13*pe_mid</f>
        <v>473.404281031509</v>
      </c>
      <c r="L13" s="17" t="n">
        <f aca="false">K13/K$4-1</f>
        <v>-0.120621047775245</v>
      </c>
      <c r="M13" s="9" t="n">
        <f aca="false">G468</f>
        <v>9.90594256391759</v>
      </c>
      <c r="N13" s="17" t="n">
        <f aca="false">M13/I13-1</f>
        <v>0.0793069220530802</v>
      </c>
    </row>
    <row r="14" customFormat="false" ht="17.15" hidden="false" customHeight="false" outlineLevel="0" collapsed="false">
      <c r="A14" s="5" t="s">
        <v>961</v>
      </c>
      <c r="B14" s="0" t="s">
        <v>962</v>
      </c>
      <c r="C14" s="21" t="n">
        <f aca="false">E497</f>
        <v>78.8080381656</v>
      </c>
      <c r="D14" s="9" t="n">
        <f aca="false">E516</f>
        <v>9.71402447650524</v>
      </c>
      <c r="E14" s="17" t="n">
        <f aca="false">D14/D$4-1</f>
        <v>0.0625073978484754</v>
      </c>
      <c r="F14" s="34" t="n">
        <f aca="false">D14*pe_mid</f>
        <v>501.04938249814</v>
      </c>
      <c r="G14" s="17" t="n">
        <f aca="false">F14/F$4-1</f>
        <v>0.0625073978484754</v>
      </c>
      <c r="H14" s="21" t="n">
        <f aca="false">F497</f>
        <v>101.761136519107</v>
      </c>
      <c r="I14" s="9" t="n">
        <f aca="false">F516</f>
        <v>11.8718269675224</v>
      </c>
      <c r="J14" s="17" t="n">
        <f aca="false">I14/I$4-1</f>
        <v>0.137477413029869</v>
      </c>
      <c r="K14" s="34" t="n">
        <f aca="false">I14*pe_mid</f>
        <v>612.348834984804</v>
      </c>
      <c r="L14" s="17" t="n">
        <f aca="false">K14/K$4-1</f>
        <v>0.137477413029869</v>
      </c>
      <c r="M14" s="9" t="n">
        <f aca="false">G516</f>
        <v>13.9968758743782</v>
      </c>
      <c r="N14" s="17" t="n">
        <f aca="false">M14/I14-1</f>
        <v>0.178999315999912</v>
      </c>
    </row>
    <row r="15" customFormat="false" ht="17.15" hidden="false" customHeight="false" outlineLevel="0" collapsed="false">
      <c r="A15" s="5" t="s">
        <v>963</v>
      </c>
      <c r="B15" s="5" t="s">
        <v>964</v>
      </c>
      <c r="C15" s="21" t="n">
        <f aca="false">E545</f>
        <v>75.668418636</v>
      </c>
      <c r="D15" s="9" t="n">
        <f aca="false">E564</f>
        <v>9.91620196698668</v>
      </c>
      <c r="E15" s="17" t="n">
        <f aca="false">D15/D$4-1</f>
        <v>0.0846213095268467</v>
      </c>
      <c r="F15" s="34" t="n">
        <f aca="false">D15*pe_mid</f>
        <v>511.477697457173</v>
      </c>
      <c r="G15" s="17" t="n">
        <f aca="false">F15/F$4-1</f>
        <v>0.0846213095268467</v>
      </c>
      <c r="H15" s="21" t="n">
        <f aca="false">F545</f>
        <v>93.8335972068667</v>
      </c>
      <c r="I15" s="9" t="n">
        <f aca="false">F564</f>
        <v>11.3584117134124</v>
      </c>
      <c r="J15" s="17" t="n">
        <f aca="false">I15/I$4-1</f>
        <v>0.0882854683820347</v>
      </c>
      <c r="K15" s="34" t="n">
        <f aca="false">I15*pe_mid</f>
        <v>585.866876177814</v>
      </c>
      <c r="L15" s="17" t="n">
        <f aca="false">K15/K$4-1</f>
        <v>0.0882854683820347</v>
      </c>
      <c r="M15" s="9" t="n">
        <f aca="false">G564</f>
        <v>12.7085814434148</v>
      </c>
      <c r="N15" s="17" t="n">
        <f aca="false">M15/I15-1</f>
        <v>0.118869588818306</v>
      </c>
    </row>
    <row r="16" customFormat="false" ht="17.15" hidden="false" customHeight="false" outlineLevel="0" collapsed="false">
      <c r="A16" s="5" t="s">
        <v>965</v>
      </c>
      <c r="B16" s="0" t="s">
        <v>966</v>
      </c>
      <c r="C16" s="21" t="n">
        <f aca="false">E593</f>
        <v>75.668418636</v>
      </c>
      <c r="D16" s="9" t="n">
        <f aca="false">E612</f>
        <v>8.36889326373953</v>
      </c>
      <c r="E16" s="17" t="n">
        <f aca="false">D16/D$4-1</f>
        <v>-0.0846213095268469</v>
      </c>
      <c r="F16" s="34" t="n">
        <f aca="false">D16*pe_mid</f>
        <v>431.667514543685</v>
      </c>
      <c r="G16" s="17" t="n">
        <f aca="false">F16/F$4-1</f>
        <v>-0.0846213095268469</v>
      </c>
      <c r="H16" s="21" t="n">
        <f aca="false">F593</f>
        <v>93.8335972068667</v>
      </c>
      <c r="I16" s="9" t="n">
        <f aca="false">F612</f>
        <v>9.51554469491691</v>
      </c>
      <c r="J16" s="17" t="n">
        <f aca="false">I16/I$4-1</f>
        <v>-0.0882854683820344</v>
      </c>
      <c r="K16" s="34" t="n">
        <f aca="false">I16*pe_mid</f>
        <v>490.811795363814</v>
      </c>
      <c r="L16" s="17" t="n">
        <f aca="false">K16/K$4-1</f>
        <v>-0.0882854683820343</v>
      </c>
      <c r="M16" s="9" t="n">
        <f aca="false">G612</f>
        <v>10.7230145711015</v>
      </c>
      <c r="N16" s="17" t="n">
        <f aca="false">M16/I16-1</f>
        <v>0.126894456901618</v>
      </c>
    </row>
    <row r="17" customFormat="false" ht="17.15" hidden="false" customHeight="false" outlineLevel="0" collapsed="false">
      <c r="A17" s="5" t="s">
        <v>967</v>
      </c>
      <c r="B17" s="0" t="s">
        <v>968</v>
      </c>
      <c r="C17" s="21" t="n">
        <f aca="false">E641</f>
        <v>75.668418636</v>
      </c>
      <c r="D17" s="9" t="n">
        <f aca="false">E660</f>
        <v>9.28808616220191</v>
      </c>
      <c r="E17" s="17" t="n">
        <f aca="false">D17/D$4-1</f>
        <v>0.0159188174852087</v>
      </c>
      <c r="F17" s="34" t="n">
        <f aca="false">D17*pe_mid</f>
        <v>479.079484246374</v>
      </c>
      <c r="G17" s="17" t="n">
        <f aca="false">F17/F$4-1</f>
        <v>0.0159188174852087</v>
      </c>
      <c r="H17" s="21" t="n">
        <f aca="false">F641</f>
        <v>93.8335972068667</v>
      </c>
      <c r="I17" s="9" t="n">
        <f aca="false">F660</f>
        <v>10.9304762768257</v>
      </c>
      <c r="J17" s="17" t="n">
        <f aca="false">I17/I$4-1</f>
        <v>0.0472836162926995</v>
      </c>
      <c r="K17" s="34" t="n">
        <f aca="false">I17*pe_mid</f>
        <v>563.793966358668</v>
      </c>
      <c r="L17" s="17" t="n">
        <f aca="false">K17/K$4-1</f>
        <v>0.0472836162926995</v>
      </c>
      <c r="M17" s="9" t="n">
        <f aca="false">G660</f>
        <v>12.6299321616112</v>
      </c>
      <c r="N17" s="17" t="n">
        <f aca="false">M17/I17-1</f>
        <v>0.1554786673284</v>
      </c>
    </row>
    <row r="18" customFormat="false" ht="17.15" hidden="false" customHeight="false" outlineLevel="0" collapsed="false">
      <c r="A18" s="5" t="s">
        <v>969</v>
      </c>
      <c r="B18" s="5" t="s">
        <v>970</v>
      </c>
      <c r="C18" s="21" t="n">
        <f aca="false">E689</f>
        <v>75.668418636</v>
      </c>
      <c r="D18" s="9" t="n">
        <f aca="false">E708</f>
        <v>9.07147541990536</v>
      </c>
      <c r="E18" s="17" t="n">
        <f aca="false">D18/D$4-1</f>
        <v>-0.00777378455632227</v>
      </c>
      <c r="F18" s="34" t="n">
        <f aca="false">D18*pe_mid</f>
        <v>467.906702158718</v>
      </c>
      <c r="G18" s="17" t="n">
        <f aca="false">F18/F$4-1</f>
        <v>-0.00777378455632227</v>
      </c>
      <c r="H18" s="21" t="n">
        <f aca="false">F689</f>
        <v>93.8335972068667</v>
      </c>
      <c r="I18" s="9" t="n">
        <f aca="false">F708</f>
        <v>10.2065709034325</v>
      </c>
      <c r="J18" s="17" t="n">
        <f aca="false">I18/I$4-1</f>
        <v>-0.0220760546036464</v>
      </c>
      <c r="K18" s="34" t="n">
        <f aca="false">I18*pe_mid</f>
        <v>526.454927199047</v>
      </c>
      <c r="L18" s="17" t="n">
        <f aca="false">K18/K$4-1</f>
        <v>-0.0220760546036463</v>
      </c>
      <c r="M18" s="9" t="n">
        <f aca="false">G708</f>
        <v>11.3066205132993</v>
      </c>
      <c r="N18" s="17" t="n">
        <f aca="false">M18/I18-1</f>
        <v>0.107778569342706</v>
      </c>
    </row>
    <row r="19" customFormat="false" ht="17.15" hidden="false" customHeight="false" outlineLevel="0" collapsed="false">
      <c r="A19" s="5" t="s">
        <v>971</v>
      </c>
      <c r="B19" s="0" t="s">
        <v>972</v>
      </c>
      <c r="C19" s="21" t="n">
        <f aca="false">PL!E143</f>
        <v>75.668418636</v>
      </c>
      <c r="D19" s="9" t="n">
        <f aca="false">PL!E162</f>
        <v>9.14254761536311</v>
      </c>
      <c r="E19" s="17" t="n">
        <f aca="false">D19/D$4-1</f>
        <v>0</v>
      </c>
      <c r="F19" s="34" t="n">
        <f aca="false">D19*pe_mid</f>
        <v>471.572606000429</v>
      </c>
      <c r="G19" s="17" t="n">
        <f aca="false">F19/F$4-1</f>
        <v>0</v>
      </c>
      <c r="H19" s="21" t="n">
        <f aca="false">PL!F143</f>
        <v>82.8084386191333</v>
      </c>
      <c r="I19" s="9" t="n">
        <f aca="false">PL!F162</f>
        <v>11.1129027480648</v>
      </c>
      <c r="J19" s="17" t="n">
        <f aca="false">I19/I$4-1</f>
        <v>0.0647624753715004</v>
      </c>
      <c r="K19" s="34" t="n">
        <f aca="false">I19*pe_mid</f>
        <v>573.203523745181</v>
      </c>
      <c r="L19" s="17" t="n">
        <f aca="false">K19/K$4-1</f>
        <v>0.0647624753715006</v>
      </c>
      <c r="M19" s="9" t="n">
        <f aca="false">PL!G162</f>
        <v>12.5153849601027</v>
      </c>
      <c r="N19" s="17" t="n">
        <f aca="false">M19/I19-1</f>
        <v>0.126203049179218</v>
      </c>
    </row>
    <row r="20" customFormat="false" ht="17.15" hidden="false" customHeight="false" outlineLevel="0" collapsed="false">
      <c r="A20" s="5" t="s">
        <v>973</v>
      </c>
      <c r="B20" s="0" t="s">
        <v>974</v>
      </c>
      <c r="C20" s="21" t="n">
        <f aca="false">PL!E191</f>
        <v>75.668418636</v>
      </c>
      <c r="D20" s="9" t="n">
        <f aca="false">PL!E210</f>
        <v>9.14254761536311</v>
      </c>
      <c r="E20" s="17" t="n">
        <f aca="false">D20/D$4-1</f>
        <v>0</v>
      </c>
      <c r="F20" s="34" t="n">
        <f aca="false">D20*pe_mid</f>
        <v>471.572606000429</v>
      </c>
      <c r="G20" s="17" t="n">
        <f aca="false">F20/F$4-1</f>
        <v>0</v>
      </c>
      <c r="H20" s="21" t="n">
        <f aca="false">PL!F191</f>
        <v>73.7511264314</v>
      </c>
      <c r="I20" s="9" t="n">
        <f aca="false">PL!F210</f>
        <v>9.91422812076083</v>
      </c>
      <c r="J20" s="17" t="n">
        <f aca="false">I20/I$4-1</f>
        <v>-0.0500863442634435</v>
      </c>
      <c r="K20" s="34" t="n">
        <f aca="false">I20*pe_mid</f>
        <v>511.375886468844</v>
      </c>
      <c r="L20" s="17" t="n">
        <f aca="false">K20/K$4-1</f>
        <v>-0.0500863442634434</v>
      </c>
      <c r="M20" s="9" t="n">
        <f aca="false">PL!G210</f>
        <v>10.9466234223069</v>
      </c>
      <c r="N20" s="17" t="n">
        <f aca="false">M20/I20-1</f>
        <v>0.104132695855985</v>
      </c>
    </row>
    <row r="22" customFormat="false" ht="17.15" hidden="false" customHeight="false" outlineLevel="0" collapsed="false">
      <c r="A22" s="5" t="s">
        <v>975</v>
      </c>
    </row>
    <row r="24" customFormat="false" ht="17.15" hidden="false" customHeight="false" outlineLevel="0" collapsed="false">
      <c r="A24" s="3" t="s">
        <v>976</v>
      </c>
    </row>
    <row r="25" customFormat="false" ht="15" hidden="false" customHeight="false" outlineLevel="0" collapsed="false">
      <c r="A25" s="6" t="s">
        <v>977</v>
      </c>
      <c r="B25" s="6" t="s">
        <v>978</v>
      </c>
      <c r="C25" s="6" t="s">
        <v>979</v>
      </c>
      <c r="D25" s="6" t="s">
        <v>980</v>
      </c>
      <c r="E25" s="6" t="s">
        <v>981</v>
      </c>
      <c r="F25" s="6" t="s">
        <v>982</v>
      </c>
      <c r="G25" s="6" t="s">
        <v>983</v>
      </c>
    </row>
    <row r="26" customFormat="false" ht="17.15" hidden="false" customHeight="false" outlineLevel="0" collapsed="false">
      <c r="A26" s="0" t="s">
        <v>984</v>
      </c>
      <c r="B26" s="5" t="s">
        <v>985</v>
      </c>
      <c r="C26" s="25" t="n">
        <f aca="false">tp_w_dcf*(tp_wA*(MAX(0,Val!B7*Val!$G$7*(1-MIN(0.8,tp_g/tp_roe))/(1+(tp_r-0.01))^Val!$F$7+Val!B8*Val!$G$8*(1-MIN(0.8,tp_g/tp_roe))/(1+(tp_r-0.01))^Val!$F$8+Val!B9*Val!$G$9*(1-MIN(0.8,tp_g/tp_roe))/(1+(tp_r-0.01))^Val!$F$9+Val!B10*Val!$G$10*(1-MIN(0.8,tp_g/tp_roe))/(1+(tp_r-0.01))^Val!$F$10+Val!B11*Val!$G$11*(1-MIN(0.8,tp_g/tp_roe))/(1+(tp_r-0.01))^Val!$F$11+Val!B12*Val!$G$12*(1-MIN(0.8,tp_g/tp_roe))/(1+(tp_r-0.01))^Val!$F$12+Val!B12*(1-MIN(0.8,tp_g/tp_roe))*(1+tp_g)/((tp_r-0.01)-tp_g)/(1+(tp_r-0.01))^Val!$F$12))+tp_wB*(MAX(0,Val!C7*Val!$G$7*(1-MIN(0.8,tp_g/tp_roe))/(1+(tp_r-0.01))^Val!$F$7+Val!C8*Val!$G$8*(1-MIN(0.8,tp_g/tp_roe))/(1+(tp_r-0.01))^Val!$F$8+Val!C9*Val!$G$9*(1-MIN(0.8,tp_g/tp_roe))/(1+(tp_r-0.01))^Val!$F$9+Val!C10*Val!$G$10*(1-MIN(0.8,tp_g/tp_roe))/(1+(tp_r-0.01))^Val!$F$10+Val!C11*Val!$G$11*(1-MIN(0.8,tp_g/tp_roe))/(1+(tp_r-0.01))^Val!$F$11+Val!C12*Val!$G$12*(1-MIN(0.8,tp_g/tp_roe))/(1+(tp_r-0.01))^Val!$F$12+Val!C12*(1-MIN(0.8,tp_g/tp_roe))*(1+tp_g)/((tp_r-0.01)-tp_g)/(1+(tp_r-0.01))^Val!$F$12))+tp_wC*(MAX(0,Val!D7*Val!$G$7*(1-MIN(0.8,tp_g/tp_roe))/(1+(tp_r-0.01))^Val!$F$7+Val!D8*Val!$G$8*(1-MIN(0.8,tp_g/tp_roe))/(1+(tp_r-0.01))^Val!$F$8+Val!D9*Val!$G$9*(1-MIN(0.8,tp_g/tp_roe))/(1+(tp_r-0.01))^Val!$F$9+Val!D10*Val!$G$10*(1-MIN(0.8,tp_g/tp_roe))/(1+(tp_r-0.01))^Val!$F$10+Val!D11*Val!$G$11*(1-MIN(0.8,tp_g/tp_roe))/(1+(tp_r-0.01))^Val!$F$11+Val!D12*Val!$G$12*(1-MIN(0.8,tp_g/tp_roe))/(1+(tp_r-0.01))^Val!$F$12+Val!D12*(1-MIN(0.8,tp_g/tp_roe))*(1+tp_g)/((tp_r-0.01)-tp_g)/(1+(tp_r-0.01))^Val!$F$12)))*(1+(tp_r-0.01))+(1-tp_w_dcf)*Val!$B$36</f>
        <v>187.142859954869</v>
      </c>
      <c r="D26" s="17" t="n">
        <f aca="false">C26/G26-1</f>
        <v>0.0806348100062295</v>
      </c>
      <c r="E26" s="25" t="n">
        <f aca="false">tp_w_dcf*(tp_wA*(MAX(0,Val!B7*Val!$G$7*(1-MIN(0.8,tp_g/tp_roe))/(1+(tp_r+0.01))^Val!$F$7+Val!B8*Val!$G$8*(1-MIN(0.8,tp_g/tp_roe))/(1+(tp_r+0.01))^Val!$F$8+Val!B9*Val!$G$9*(1-MIN(0.8,tp_g/tp_roe))/(1+(tp_r+0.01))^Val!$F$9+Val!B10*Val!$G$10*(1-MIN(0.8,tp_g/tp_roe))/(1+(tp_r+0.01))^Val!$F$10+Val!B11*Val!$G$11*(1-MIN(0.8,tp_g/tp_roe))/(1+(tp_r+0.01))^Val!$F$11+Val!B12*Val!$G$12*(1-MIN(0.8,tp_g/tp_roe))/(1+(tp_r+0.01))^Val!$F$12+Val!B12*(1-MIN(0.8,tp_g/tp_roe))*(1+tp_g)/((tp_r+0.01)-tp_g)/(1+(tp_r+0.01))^Val!$F$12))+tp_wB*(MAX(0,Val!C7*Val!$G$7*(1-MIN(0.8,tp_g/tp_roe))/(1+(tp_r+0.01))^Val!$F$7+Val!C8*Val!$G$8*(1-MIN(0.8,tp_g/tp_roe))/(1+(tp_r+0.01))^Val!$F$8+Val!C9*Val!$G$9*(1-MIN(0.8,tp_g/tp_roe))/(1+(tp_r+0.01))^Val!$F$9+Val!C10*Val!$G$10*(1-MIN(0.8,tp_g/tp_roe))/(1+(tp_r+0.01))^Val!$F$10+Val!C11*Val!$G$11*(1-MIN(0.8,tp_g/tp_roe))/(1+(tp_r+0.01))^Val!$F$11+Val!C12*Val!$G$12*(1-MIN(0.8,tp_g/tp_roe))/(1+(tp_r+0.01))^Val!$F$12+Val!C12*(1-MIN(0.8,tp_g/tp_roe))*(1+tp_g)/((tp_r+0.01)-tp_g)/(1+(tp_r+0.01))^Val!$F$12))+tp_wC*(MAX(0,Val!D7*Val!$G$7*(1-MIN(0.8,tp_g/tp_roe))/(1+(tp_r+0.01))^Val!$F$7+Val!D8*Val!$G$8*(1-MIN(0.8,tp_g/tp_roe))/(1+(tp_r+0.01))^Val!$F$8+Val!D9*Val!$G$9*(1-MIN(0.8,tp_g/tp_roe))/(1+(tp_r+0.01))^Val!$F$9+Val!D10*Val!$G$10*(1-MIN(0.8,tp_g/tp_roe))/(1+(tp_r+0.01))^Val!$F$10+Val!D11*Val!$G$11*(1-MIN(0.8,tp_g/tp_roe))/(1+(tp_r+0.01))^Val!$F$11+Val!D12*Val!$G$12*(1-MIN(0.8,tp_g/tp_roe))/(1+(tp_r+0.01))^Val!$F$12+Val!D12*(1-MIN(0.8,tp_g/tp_roe))*(1+tp_g)/((tp_r+0.01)-tp_g)/(1+(tp_r+0.01))^Val!$F$12)))*(1+(tp_r+0.01))+(1-tp_w_dcf)*Val!$B$36</f>
        <v>163.198124858849</v>
      </c>
      <c r="F26" s="17" t="n">
        <f aca="false">E26/G26-1</f>
        <v>-0.0576312946550859</v>
      </c>
      <c r="G26" s="25" t="n">
        <f aca="false">Val!$B$40</f>
        <v>173.178633727143</v>
      </c>
    </row>
    <row r="27" customFormat="false" ht="17.15" hidden="false" customHeight="false" outlineLevel="0" collapsed="false">
      <c r="A27" s="0" t="s">
        <v>986</v>
      </c>
      <c r="B27" s="5" t="s">
        <v>987</v>
      </c>
      <c r="C27" s="25" t="n">
        <f aca="false">tp_w_dcf*(tp_wA*(MAX(0,Val!B7*Val!$G$7*(1-MIN(0.8,(tp_g-0.01)/tp_roe))/(1+tp_r)^Val!$F$7+Val!B8*Val!$G$8*(1-MIN(0.8,(tp_g-0.01)/tp_roe))/(1+tp_r)^Val!$F$8+Val!B9*Val!$G$9*(1-MIN(0.8,(tp_g-0.01)/tp_roe))/(1+tp_r)^Val!$F$9+Val!B10*Val!$G$10*(1-MIN(0.8,(tp_g-0.01)/tp_roe))/(1+tp_r)^Val!$F$10+Val!B11*Val!$G$11*(1-MIN(0.8,(tp_g-0.01)/tp_roe))/(1+tp_r)^Val!$F$11+Val!B12*Val!$G$12*(1-MIN(0.8,(tp_g-0.01)/tp_roe))/(1+tp_r)^Val!$F$12+Val!B12*(1-MIN(0.8,(tp_g-0.01)/tp_roe))*(1+(tp_g-0.01))/(tp_r-(tp_g-0.01))/(1+tp_r)^Val!$F$12))+tp_wB*(MAX(0,Val!C7*Val!$G$7*(1-MIN(0.8,(tp_g-0.01)/tp_roe))/(1+tp_r)^Val!$F$7+Val!C8*Val!$G$8*(1-MIN(0.8,(tp_g-0.01)/tp_roe))/(1+tp_r)^Val!$F$8+Val!C9*Val!$G$9*(1-MIN(0.8,(tp_g-0.01)/tp_roe))/(1+tp_r)^Val!$F$9+Val!C10*Val!$G$10*(1-MIN(0.8,(tp_g-0.01)/tp_roe))/(1+tp_r)^Val!$F$10+Val!C11*Val!$G$11*(1-MIN(0.8,(tp_g-0.01)/tp_roe))/(1+tp_r)^Val!$F$11+Val!C12*Val!$G$12*(1-MIN(0.8,(tp_g-0.01)/tp_roe))/(1+tp_r)^Val!$F$12+Val!C12*(1-MIN(0.8,(tp_g-0.01)/tp_roe))*(1+(tp_g-0.01))/(tp_r-(tp_g-0.01))/(1+tp_r)^Val!$F$12))+tp_wC*(MAX(0,Val!D7*Val!$G$7*(1-MIN(0.8,(tp_g-0.01)/tp_roe))/(1+tp_r)^Val!$F$7+Val!D8*Val!$G$8*(1-MIN(0.8,(tp_g-0.01)/tp_roe))/(1+tp_r)^Val!$F$8+Val!D9*Val!$G$9*(1-MIN(0.8,(tp_g-0.01)/tp_roe))/(1+tp_r)^Val!$F$9+Val!D10*Val!$G$10*(1-MIN(0.8,(tp_g-0.01)/tp_roe))/(1+tp_r)^Val!$F$10+Val!D11*Val!$G$11*(1-MIN(0.8,(tp_g-0.01)/tp_roe))/(1+tp_r)^Val!$F$11+Val!D12*Val!$G$12*(1-MIN(0.8,(tp_g-0.01)/tp_roe))/(1+tp_r)^Val!$F$12+Val!D12*(1-MIN(0.8,(tp_g-0.01)/tp_roe))*(1+(tp_g-0.01))/(tp_r-(tp_g-0.01))/(1+tp_r)^Val!$F$12)))*(1+tp_r)+(1-tp_w_dcf)*Val!$B$36</f>
        <v>169.37115733702</v>
      </c>
      <c r="D27" s="17" t="n">
        <f aca="false">C27/G27-1</f>
        <v>-0.0219858322483445</v>
      </c>
      <c r="E27" s="25" t="n">
        <f aca="false">tp_w_dcf*(tp_wA*(MAX(0,Val!B7*Val!$G$7*(1-MIN(0.8,(tp_g+0.01)/tp_roe))/(1+tp_r)^Val!$F$7+Val!B8*Val!$G$8*(1-MIN(0.8,(tp_g+0.01)/tp_roe))/(1+tp_r)^Val!$F$8+Val!B9*Val!$G$9*(1-MIN(0.8,(tp_g+0.01)/tp_roe))/(1+tp_r)^Val!$F$9+Val!B10*Val!$G$10*(1-MIN(0.8,(tp_g+0.01)/tp_roe))/(1+tp_r)^Val!$F$10+Val!B11*Val!$G$11*(1-MIN(0.8,(tp_g+0.01)/tp_roe))/(1+tp_r)^Val!$F$11+Val!B12*Val!$G$12*(1-MIN(0.8,(tp_g+0.01)/tp_roe))/(1+tp_r)^Val!$F$12+Val!B12*(1-MIN(0.8,(tp_g+0.01)/tp_roe))*(1+(tp_g+0.01))/(tp_r-(tp_g+0.01))/(1+tp_r)^Val!$F$12))+tp_wB*(MAX(0,Val!C7*Val!$G$7*(1-MIN(0.8,(tp_g+0.01)/tp_roe))/(1+tp_r)^Val!$F$7+Val!C8*Val!$G$8*(1-MIN(0.8,(tp_g+0.01)/tp_roe))/(1+tp_r)^Val!$F$8+Val!C9*Val!$G$9*(1-MIN(0.8,(tp_g+0.01)/tp_roe))/(1+tp_r)^Val!$F$9+Val!C10*Val!$G$10*(1-MIN(0.8,(tp_g+0.01)/tp_roe))/(1+tp_r)^Val!$F$10+Val!C11*Val!$G$11*(1-MIN(0.8,(tp_g+0.01)/tp_roe))/(1+tp_r)^Val!$F$11+Val!C12*Val!$G$12*(1-MIN(0.8,(tp_g+0.01)/tp_roe))/(1+tp_r)^Val!$F$12+Val!C12*(1-MIN(0.8,(tp_g+0.01)/tp_roe))*(1+(tp_g+0.01))/(tp_r-(tp_g+0.01))/(1+tp_r)^Val!$F$12))+tp_wC*(MAX(0,Val!D7*Val!$G$7*(1-MIN(0.8,(tp_g+0.01)/tp_roe))/(1+tp_r)^Val!$F$7+Val!D8*Val!$G$8*(1-MIN(0.8,(tp_g+0.01)/tp_roe))/(1+tp_r)^Val!$F$8+Val!D9*Val!$G$9*(1-MIN(0.8,(tp_g+0.01)/tp_roe))/(1+tp_r)^Val!$F$9+Val!D10*Val!$G$10*(1-MIN(0.8,(tp_g+0.01)/tp_roe))/(1+tp_r)^Val!$F$10+Val!D11*Val!$G$11*(1-MIN(0.8,(tp_g+0.01)/tp_roe))/(1+tp_r)^Val!$F$11+Val!D12*Val!$G$12*(1-MIN(0.8,(tp_g+0.01)/tp_roe))/(1+tp_r)^Val!$F$12+Val!D12*(1-MIN(0.8,(tp_g+0.01)/tp_roe))*(1+(tp_g+0.01))/(tp_r-(tp_g+0.01))/(1+tp_r)^Val!$F$12)))*(1+tp_r)+(1-tp_w_dcf)*Val!$B$36</f>
        <v>178.975121714433</v>
      </c>
      <c r="F27" s="17" t="n">
        <f aca="false">E27/G27-1</f>
        <v>0.0334711497748823</v>
      </c>
      <c r="G27" s="25" t="n">
        <f aca="false">Val!$B$40</f>
        <v>173.178633727143</v>
      </c>
    </row>
    <row r="28" customFormat="false" ht="17.15" hidden="false" customHeight="false" outlineLevel="0" collapsed="false">
      <c r="A28" s="0" t="s">
        <v>988</v>
      </c>
      <c r="B28" s="0" t="s">
        <v>989</v>
      </c>
      <c r="C28" s="25" t="n">
        <f aca="false">0.3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-0.3)*Val!$B$36</f>
        <v>182.983554125611</v>
      </c>
      <c r="D28" s="17" t="n">
        <f aca="false">C28/G28-1</f>
        <v>0.0566173793351223</v>
      </c>
      <c r="E28" s="25" t="n">
        <f aca="false">0.7*(tp_wA*(MAX(0,Val!B7*Val!$G$7*(1-MIN(0.8,tp_g/tp_roe))/(1+tp_r)^Val!$F$7+Val!B8*Val!$G$8*(1-MIN(0.8,tp_g/tp_roe))/(1+tp_r)^Val!$F$8+Val!B9*Val!$G$9*(1-MIN(0.8,tp_g/tp_roe))/(1+tp_r)^Val!$F$9+Val!B10*Val!$G$10*(1-MIN(0.8,tp_g/tp_roe))/(1+tp_r)^Val!$F$10+Val!B11*Val!$G$11*(1-MIN(0.8,tp_g/tp_roe))/(1+tp_r)^Val!$F$11+Val!B12*Val!$G$12*(1-MIN(0.8,tp_g/tp_roe))/(1+tp_r)^Val!$F$12+Val!B12*(1-MIN(0.8,tp_g/tp_roe))*(1+tp_g)/(tp_r-tp_g)/(1+tp_r)^Val!$F$12))+tp_wB*(MAX(0,Val!C7*Val!$G$7*(1-MIN(0.8,tp_g/tp_roe))/(1+tp_r)^Val!$F$7+Val!C8*Val!$G$8*(1-MIN(0.8,tp_g/tp_roe))/(1+tp_r)^Val!$F$8+Val!C9*Val!$G$9*(1-MIN(0.8,tp_g/tp_roe))/(1+tp_r)^Val!$F$9+Val!C10*Val!$G$10*(1-MIN(0.8,tp_g/tp_roe))/(1+tp_r)^Val!$F$10+Val!C11*Val!$G$11*(1-MIN(0.8,tp_g/tp_roe))/(1+tp_r)^Val!$F$11+Val!C12*Val!$G$12*(1-MIN(0.8,tp_g/tp_roe))/(1+tp_r)^Val!$F$12+Val!C12*(1-MIN(0.8,tp_g/tp_roe))*(1+tp_g)/(tp_r-tp_g)/(1+tp_r)^Val!$F$12))+tp_wC*(MAX(0,Val!D7*Val!$G$7*(1-MIN(0.8,tp_g/tp_roe))/(1+tp_r)^Val!$F$7+Val!D8*Val!$G$8*(1-MIN(0.8,tp_g/tp_roe))/(1+tp_r)^Val!$F$8+Val!D9*Val!$G$9*(1-MIN(0.8,tp_g/tp_roe))/(1+tp_r)^Val!$F$9+Val!D10*Val!$G$10*(1-MIN(0.8,tp_g/tp_roe))/(1+tp_r)^Val!$F$10+Val!D11*Val!$G$11*(1-MIN(0.8,tp_g/tp_roe))/(1+tp_r)^Val!$F$11+Val!D12*Val!$G$12*(1-MIN(0.8,tp_g/tp_roe))/(1+tp_r)^Val!$F$12+Val!D12*(1-MIN(0.8,tp_g/tp_roe))*(1+tp_g)/(tp_r-tp_g)/(1+tp_r)^Val!$F$12)))*(1+tp_r)+(1-0.7)*Val!$B$36</f>
        <v>163.373713328675</v>
      </c>
      <c r="F28" s="17" t="n">
        <f aca="false">E28/G28-1</f>
        <v>-0.0566173793351223</v>
      </c>
      <c r="G28" s="25" t="n">
        <f aca="false">Val!$B$40</f>
        <v>173.178633727143</v>
      </c>
    </row>
    <row r="40" customFormat="false" ht="17.15" hidden="false" customHeight="false" outlineLevel="0" collapsed="false">
      <c r="A40" s="3" t="s">
        <v>990</v>
      </c>
    </row>
    <row r="41" customFormat="false" ht="15" hidden="false" customHeight="false" outlineLevel="0" collapsed="false">
      <c r="A41" s="6" t="s">
        <v>18</v>
      </c>
      <c r="B41" s="6" t="s">
        <v>19</v>
      </c>
      <c r="C41" s="13" t="s">
        <v>603</v>
      </c>
      <c r="D41" s="13" t="s">
        <v>604</v>
      </c>
      <c r="E41" s="13" t="s">
        <v>605</v>
      </c>
      <c r="F41" s="13" t="s">
        <v>606</v>
      </c>
      <c r="G41" s="13" t="s">
        <v>607</v>
      </c>
      <c r="H41" s="6" t="s">
        <v>572</v>
      </c>
    </row>
    <row r="42" customFormat="false" ht="17.15" hidden="false" customHeight="false" outlineLevel="0" collapsed="false">
      <c r="A42" s="1" t="s">
        <v>627</v>
      </c>
    </row>
    <row r="43" customFormat="false" ht="17.15" hidden="false" customHeight="false" outlineLevel="0" collapsed="false">
      <c r="A43" s="0" t="s">
        <v>628</v>
      </c>
      <c r="B43" s="0" t="s">
        <v>125</v>
      </c>
      <c r="D43" s="16" t="n">
        <f aca="false">k_rec</f>
        <v>0.673483215644445</v>
      </c>
      <c r="E43" s="16" t="n">
        <f aca="false">k_rec*uf_lo</f>
        <v>0.538786572515556</v>
      </c>
      <c r="F43" s="16" t="n">
        <f aca="false">k_rec*uf_lo</f>
        <v>0.538786572515556</v>
      </c>
      <c r="G43" s="16" t="n">
        <f aca="false">k_rec*uf_lo</f>
        <v>0.538786572515556</v>
      </c>
    </row>
    <row r="44" customFormat="false" ht="17.15" hidden="false" customHeight="false" outlineLevel="0" collapsed="false">
      <c r="A44" s="5" t="s">
        <v>629</v>
      </c>
      <c r="B44" s="0" t="s">
        <v>229</v>
      </c>
      <c r="D44" s="21" t="n">
        <f aca="false">Units!C24</f>
        <v>419.36</v>
      </c>
      <c r="E44" s="21" t="n">
        <f aca="false">Units!D24</f>
        <v>671.46</v>
      </c>
      <c r="F44" s="21" t="n">
        <f aca="false">Units!E24</f>
        <v>763.2</v>
      </c>
      <c r="G44" s="21" t="n">
        <f aca="false">Units!F24</f>
        <v>864.55</v>
      </c>
    </row>
    <row r="45" customFormat="false" ht="17.15" hidden="false" customHeight="false" outlineLevel="0" collapsed="false">
      <c r="A45" s="0" t="s">
        <v>630</v>
      </c>
      <c r="B45" s="0" t="s">
        <v>40</v>
      </c>
      <c r="D45" s="17" t="n">
        <f aca="false">Units!C33</f>
        <v>0.0536531858069439</v>
      </c>
      <c r="E45" s="17" t="n">
        <f aca="false">Units!D33</f>
        <v>0.0670181395764454</v>
      </c>
      <c r="F45" s="17" t="n">
        <f aca="false">Units!E33</f>
        <v>0.0786163522012579</v>
      </c>
      <c r="G45" s="17" t="n">
        <f aca="false">Units!F33</f>
        <v>0.0798103059395061</v>
      </c>
    </row>
    <row r="46" customFormat="false" ht="17.15" hidden="false" customHeight="false" outlineLevel="0" collapsed="false">
      <c r="A46" s="0" t="s">
        <v>631</v>
      </c>
      <c r="B46" s="5" t="s">
        <v>29</v>
      </c>
      <c r="D46" s="9" t="n">
        <f aca="false">Units!C10</f>
        <v>0.75</v>
      </c>
      <c r="E46" s="9" t="n">
        <f aca="false">Units!D10</f>
        <v>1.5</v>
      </c>
      <c r="F46" s="9" t="n">
        <f aca="false">Units!E10</f>
        <v>2</v>
      </c>
      <c r="G46" s="9" t="n">
        <f aca="false">Units!F10</f>
        <v>2.3</v>
      </c>
    </row>
    <row r="47" customFormat="false" ht="17.15" hidden="false" customHeight="false" outlineLevel="0" collapsed="false">
      <c r="A47" s="0" t="s">
        <v>632</v>
      </c>
      <c r="B47" s="5" t="s">
        <v>29</v>
      </c>
      <c r="D47" s="9" t="n">
        <f aca="false">D46*D43</f>
        <v>0.505112411733333</v>
      </c>
      <c r="E47" s="9" t="n">
        <f aca="false">E46*E43</f>
        <v>0.808179858773333</v>
      </c>
      <c r="F47" s="9" t="n">
        <f aca="false">F46*F43</f>
        <v>1.07757314503111</v>
      </c>
      <c r="G47" s="9" t="n">
        <f aca="false">G46*G43</f>
        <v>1.23920911678578</v>
      </c>
    </row>
    <row r="48" customFormat="false" ht="17.15" hidden="false" customHeight="false" outlineLevel="0" collapsed="false">
      <c r="A48" s="5" t="s">
        <v>633</v>
      </c>
      <c r="B48" s="0" t="s">
        <v>125</v>
      </c>
      <c r="D48" s="16" t="n">
        <f aca="false">1</f>
        <v>1</v>
      </c>
      <c r="E48" s="16" t="n">
        <f aca="false">pg_27</f>
        <v>1</v>
      </c>
      <c r="F48" s="16" t="n">
        <f aca="false">pg_28</f>
        <v>1</v>
      </c>
      <c r="G48" s="16" t="n">
        <f aca="false">pg_29</f>
        <v>1</v>
      </c>
    </row>
    <row r="49" customFormat="false" ht="17.15" hidden="false" customHeight="false" outlineLevel="0" collapsed="false">
      <c r="A49" s="0" t="s">
        <v>634</v>
      </c>
      <c r="B49" s="0" t="s">
        <v>229</v>
      </c>
      <c r="D49" s="21" t="n">
        <f aca="false">D44*D45*D43*D48</f>
        <v>15.153372352</v>
      </c>
      <c r="E49" s="21" t="n">
        <f aca="false">E44*E45*E43*E48</f>
        <v>24.2453957632</v>
      </c>
      <c r="F49" s="21" t="n">
        <f aca="false">F44*F45*F43*F48</f>
        <v>32.3271943509333</v>
      </c>
      <c r="G49" s="21" t="n">
        <f aca="false">G44*G45*G43*G48</f>
        <v>37.1762735035733</v>
      </c>
    </row>
    <row r="50" customFormat="false" ht="17.15" hidden="false" customHeight="false" outlineLevel="0" collapsed="false">
      <c r="A50" s="0" t="s">
        <v>635</v>
      </c>
      <c r="B50" s="0" t="s">
        <v>125</v>
      </c>
      <c r="D50" s="16" t="n">
        <f aca="false">hbm_A_26/hbm_A_26</f>
        <v>1</v>
      </c>
      <c r="E50" s="16" t="n">
        <f aca="false">hbm_A_27/hbm_A_26</f>
        <v>1.8</v>
      </c>
      <c r="F50" s="16" t="n">
        <f aca="false">hbm_A_28/hbm_A_26</f>
        <v>1.98</v>
      </c>
      <c r="G50" s="16" t="n">
        <f aca="false">hbm_A_29/hbm_A_26</f>
        <v>1.881</v>
      </c>
    </row>
    <row r="51" customFormat="false" ht="17.15" hidden="false" customHeight="false" outlineLevel="0" collapsed="false">
      <c r="A51" s="5" t="s">
        <v>636</v>
      </c>
      <c r="B51" s="0" t="s">
        <v>229</v>
      </c>
      <c r="D51" s="21" t="n">
        <f aca="false">D49*(1+(1-abs_mem)*hs_26*(D50-1))</f>
        <v>15.153372352</v>
      </c>
      <c r="E51" s="21" t="n">
        <f aca="false">E49*(1+(1-abs_mem)*hs_26*(E50-1))</f>
        <v>26.2636997632</v>
      </c>
      <c r="F51" s="21" t="n">
        <f aca="false">F49*(1+(1-abs_mem)*hs_26*(F50-1))</f>
        <v>35.6237575509333</v>
      </c>
      <c r="G51" s="21" t="n">
        <f aca="false">G49*(1+(1-abs_mem)*hs_26*(G50-1))</f>
        <v>40.5843479995733</v>
      </c>
    </row>
    <row r="52" customFormat="false" ht="17.15" hidden="false" customHeight="false" outlineLevel="0" collapsed="false">
      <c r="A52" s="5" t="s">
        <v>637</v>
      </c>
      <c r="B52" s="0" t="s">
        <v>229</v>
      </c>
      <c r="D52" s="21" t="n">
        <f aca="false">D49*((1-gm_gpu)+hs_26*(D50-1))</f>
        <v>7.576686176</v>
      </c>
      <c r="E52" s="21" t="n">
        <f aca="false">E49*((1-gm_gpu)+hs_26*(E50-1))</f>
        <v>16.1593058816</v>
      </c>
      <c r="F52" s="21" t="n">
        <f aca="false">F49*((1-gm_gpu)+hs_26*(F50-1))</f>
        <v>22.7567235754667</v>
      </c>
      <c r="G52" s="21" t="n">
        <f aca="false">G49*((1-gm_gpu)+hs_26*(G50-1))</f>
        <v>25.4042857437867</v>
      </c>
      <c r="H52" s="5" t="s">
        <v>638</v>
      </c>
    </row>
    <row r="53" customFormat="false" ht="17.15" hidden="false" customHeight="false" outlineLevel="0" collapsed="false">
      <c r="A53" s="5" t="s">
        <v>639</v>
      </c>
      <c r="B53" s="0" t="s">
        <v>40</v>
      </c>
      <c r="D53" s="17" t="n">
        <f aca="false">1-D52/D51</f>
        <v>0.5</v>
      </c>
      <c r="E53" s="17" t="n">
        <f aca="false">1-E52/E51</f>
        <v>0.38472850256071</v>
      </c>
      <c r="F53" s="17" t="n">
        <f aca="false">1-F52/F51</f>
        <v>0.361192497929785</v>
      </c>
      <c r="G53" s="17" t="n">
        <f aca="false">1-G52/G51</f>
        <v>0.374037356863445</v>
      </c>
    </row>
    <row r="54" customFormat="false" ht="17.15" hidden="false" customHeight="false" outlineLevel="0" collapsed="false">
      <c r="A54" s="5" t="s">
        <v>640</v>
      </c>
      <c r="B54" s="0" t="s">
        <v>229</v>
      </c>
      <c r="D54" s="21" t="n">
        <f aca="false">a26_dcx</f>
        <v>15.698097648</v>
      </c>
      <c r="E54" s="21" t="n">
        <f aca="false">D54*(1+g_cpu27)</f>
        <v>23.547146472</v>
      </c>
      <c r="F54" s="21" t="n">
        <f aca="false">E54*(1+g_cpu28)</f>
        <v>29.43393309</v>
      </c>
      <c r="G54" s="21" t="n">
        <f aca="false">F54*(1+g_cpu29)</f>
        <v>33.8490230535</v>
      </c>
    </row>
    <row r="55" customFormat="false" ht="15" hidden="false" customHeight="false" outlineLevel="0" collapsed="false">
      <c r="A55" s="0" t="s">
        <v>524</v>
      </c>
      <c r="B55" s="0" t="s">
        <v>229</v>
      </c>
      <c r="D55" s="21" t="n">
        <f aca="false">a26_cli</f>
        <v>12.037318</v>
      </c>
      <c r="E55" s="21" t="n">
        <f aca="false">D55*(1+g_cli)</f>
        <v>12.39843754</v>
      </c>
      <c r="F55" s="21" t="n">
        <f aca="false">E55*(1+g_cli)</f>
        <v>12.7703906662</v>
      </c>
      <c r="G55" s="21" t="n">
        <f aca="false">F55*(1+g_cli)</f>
        <v>13.153502386186</v>
      </c>
    </row>
    <row r="56" customFormat="false" ht="15" hidden="false" customHeight="false" outlineLevel="0" collapsed="false">
      <c r="A56" s="0" t="s">
        <v>526</v>
      </c>
      <c r="B56" s="0" t="s">
        <v>229</v>
      </c>
      <c r="D56" s="21" t="n">
        <f aca="false">a26_gam</f>
        <v>2.68308</v>
      </c>
      <c r="E56" s="21" t="n">
        <f aca="false">D56*(1+g_gam)</f>
        <v>2.414772</v>
      </c>
      <c r="F56" s="21" t="n">
        <f aca="false">E56*(1+g_gam)</f>
        <v>2.1732948</v>
      </c>
      <c r="G56" s="21" t="n">
        <f aca="false">F56*(1+g_gam)</f>
        <v>1.95596532</v>
      </c>
    </row>
    <row r="57" customFormat="false" ht="15" hidden="false" customHeight="false" outlineLevel="0" collapsed="false">
      <c r="A57" s="0" t="s">
        <v>527</v>
      </c>
      <c r="B57" s="0" t="s">
        <v>229</v>
      </c>
      <c r="D57" s="21" t="n">
        <f aca="false">a26_emb</f>
        <v>4.0713072</v>
      </c>
      <c r="E57" s="21" t="n">
        <f aca="false">D57*(1+g_emb)</f>
        <v>4.47843792</v>
      </c>
      <c r="F57" s="21" t="n">
        <f aca="false">E57*(1+g_emb)</f>
        <v>4.926281712</v>
      </c>
      <c r="G57" s="21" t="n">
        <f aca="false">F57*(1+g_emb)</f>
        <v>5.4189098832</v>
      </c>
    </row>
    <row r="58" customFormat="false" ht="17.15" hidden="false" customHeight="false" outlineLevel="0" collapsed="false">
      <c r="A58" s="5" t="s">
        <v>641</v>
      </c>
      <c r="B58" s="0" t="s">
        <v>229</v>
      </c>
      <c r="D58" s="21" t="n">
        <f aca="false">D54+D55+D56+D57</f>
        <v>34.489802848</v>
      </c>
      <c r="E58" s="21" t="n">
        <f aca="false">E54+E55+E56+E57</f>
        <v>42.838793932</v>
      </c>
      <c r="F58" s="21" t="n">
        <f aca="false">F54+F55+F56+F57</f>
        <v>49.3039002682</v>
      </c>
      <c r="G58" s="21" t="n">
        <f aca="false">G54+G55+G56+G57</f>
        <v>54.377400642886</v>
      </c>
    </row>
    <row r="59" customFormat="false" ht="17.15" hidden="false" customHeight="false" outlineLevel="0" collapsed="false">
      <c r="A59" s="5" t="s">
        <v>642</v>
      </c>
      <c r="B59" s="0" t="s">
        <v>40</v>
      </c>
      <c r="D59" s="17" t="n">
        <f aca="false">(a26_gp-(D51-D52))/D58</f>
        <v>0.583371878020658</v>
      </c>
      <c r="E59" s="17" t="n">
        <f aca="false">$D59</f>
        <v>0.583371878020658</v>
      </c>
      <c r="F59" s="17" t="n">
        <f aca="false">$D59</f>
        <v>0.583371878020658</v>
      </c>
      <c r="G59" s="17" t="n">
        <f aca="false">$D59</f>
        <v>0.583371878020658</v>
      </c>
      <c r="H59" s="8" t="s">
        <v>643</v>
      </c>
    </row>
    <row r="60" customFormat="false" ht="17.15" hidden="false" customHeight="false" outlineLevel="0" collapsed="false">
      <c r="A60" s="5" t="s">
        <v>644</v>
      </c>
      <c r="B60" s="0" t="s">
        <v>229</v>
      </c>
      <c r="D60" s="21" t="n">
        <f aca="false">(1-D59)*D58</f>
        <v>14.369421788</v>
      </c>
      <c r="E60" s="21" t="n">
        <f aca="false">(1-E59)*E58</f>
        <v>17.8478462637492</v>
      </c>
      <c r="F60" s="21" t="n">
        <f aca="false">(1-F59)*F58</f>
        <v>20.5413913749969</v>
      </c>
      <c r="G60" s="21" t="n">
        <f aca="false">(1-G59)*G58</f>
        <v>22.6551543079639</v>
      </c>
    </row>
    <row r="61" customFormat="false" ht="15" hidden="false" customHeight="false" outlineLevel="0" collapsed="false">
      <c r="A61" s="5" t="s">
        <v>645</v>
      </c>
      <c r="B61" s="0" t="s">
        <v>229</v>
      </c>
      <c r="D61" s="21" t="n">
        <f aca="false">D51+D58</f>
        <v>49.6431752</v>
      </c>
      <c r="E61" s="21" t="n">
        <f aca="false">E51+E58</f>
        <v>69.1024936952</v>
      </c>
      <c r="F61" s="21" t="n">
        <f aca="false">F51+F58</f>
        <v>84.9276578191333</v>
      </c>
      <c r="G61" s="21" t="n">
        <f aca="false">G51+G58</f>
        <v>94.9617486424593</v>
      </c>
    </row>
    <row r="62" customFormat="false" ht="15" hidden="false" customHeight="false" outlineLevel="0" collapsed="false">
      <c r="A62" s="5" t="s">
        <v>646</v>
      </c>
      <c r="B62" s="0" t="s">
        <v>229</v>
      </c>
      <c r="D62" s="21" t="n">
        <f aca="false">D52+D60</f>
        <v>21.946107964</v>
      </c>
      <c r="E62" s="21" t="n">
        <f aca="false">E52+E60</f>
        <v>34.0071521453492</v>
      </c>
      <c r="F62" s="21" t="n">
        <f aca="false">F52+F60</f>
        <v>43.2981149504636</v>
      </c>
      <c r="G62" s="21" t="n">
        <f aca="false">G52+G60</f>
        <v>48.0594400517505</v>
      </c>
    </row>
    <row r="63" customFormat="false" ht="17.15" hidden="false" customHeight="false" outlineLevel="0" collapsed="false">
      <c r="A63" s="5" t="s">
        <v>647</v>
      </c>
      <c r="B63" s="0" t="s">
        <v>40</v>
      </c>
      <c r="D63" s="17" t="n">
        <f aca="false">1-D62/D61</f>
        <v>0.557922959690137</v>
      </c>
      <c r="E63" s="17" t="n">
        <f aca="false">1-E62/E61</f>
        <v>0.507873734696909</v>
      </c>
      <c r="F63" s="17" t="n">
        <f aca="false">1-F62/F61</f>
        <v>0.490176509486772</v>
      </c>
      <c r="G63" s="17" t="n">
        <f aca="false">1-G62/G61</f>
        <v>0.493907381247799</v>
      </c>
      <c r="H63" s="8" t="s">
        <v>648</v>
      </c>
    </row>
    <row r="64" customFormat="false" ht="17.15" hidden="false" customHeight="false" outlineLevel="0" collapsed="false">
      <c r="A64" s="1" t="s">
        <v>649</v>
      </c>
    </row>
    <row r="65" customFormat="false" ht="15" hidden="false" customHeight="false" outlineLevel="0" collapsed="false">
      <c r="A65" s="5" t="s">
        <v>510</v>
      </c>
      <c r="B65" s="0" t="s">
        <v>229</v>
      </c>
      <c r="C65" s="21" t="n">
        <f aca="false">a25_rev</f>
        <v>34.639</v>
      </c>
      <c r="D65" s="21" t="n">
        <f aca="false">a26_rev</f>
        <v>49.6431752</v>
      </c>
      <c r="E65" s="21" t="n">
        <f aca="false">E61</f>
        <v>69.1024936952</v>
      </c>
      <c r="F65" s="21" t="n">
        <f aca="false">F61</f>
        <v>84.9276578191333</v>
      </c>
      <c r="G65" s="21" t="n">
        <f aca="false">G61</f>
        <v>94.9617486424593</v>
      </c>
    </row>
    <row r="66" customFormat="false" ht="15" hidden="false" customHeight="false" outlineLevel="0" collapsed="false">
      <c r="A66" s="0" t="s">
        <v>610</v>
      </c>
      <c r="B66" s="0" t="s">
        <v>229</v>
      </c>
      <c r="C66" s="21" t="n">
        <f aca="false">a25_dc</f>
        <v>16.635</v>
      </c>
      <c r="D66" s="21" t="n">
        <f aca="false">a26_dc</f>
        <v>30.85147</v>
      </c>
      <c r="E66" s="21" t="n">
        <f aca="false">E51+E54</f>
        <v>49.8108462352</v>
      </c>
      <c r="F66" s="21" t="n">
        <f aca="false">F51+F54</f>
        <v>65.0576906409333</v>
      </c>
      <c r="G66" s="21" t="n">
        <f aca="false">G51+G54</f>
        <v>74.4333710530733</v>
      </c>
    </row>
    <row r="67" customFormat="false" ht="17.15" hidden="false" customHeight="false" outlineLevel="0" collapsed="false">
      <c r="A67" s="5" t="s">
        <v>611</v>
      </c>
      <c r="B67" s="0" t="s">
        <v>229</v>
      </c>
      <c r="C67" s="21" t="n">
        <f aca="false">a25_gpu</f>
        <v>6.5</v>
      </c>
      <c r="D67" s="21" t="n">
        <f aca="false">a26_gpu</f>
        <v>15.153372352</v>
      </c>
      <c r="E67" s="21" t="n">
        <f aca="false">E51</f>
        <v>26.2636997632</v>
      </c>
      <c r="F67" s="21" t="n">
        <f aca="false">F51</f>
        <v>35.6237575509333</v>
      </c>
      <c r="G67" s="21" t="n">
        <f aca="false">G51</f>
        <v>40.5843479995733</v>
      </c>
    </row>
    <row r="68" customFormat="false" ht="17.15" hidden="false" customHeight="false" outlineLevel="0" collapsed="false">
      <c r="A68" s="5" t="s">
        <v>650</v>
      </c>
      <c r="B68" s="0" t="s">
        <v>229</v>
      </c>
      <c r="C68" s="21" t="n">
        <f aca="false">a25_dcx</f>
        <v>10.135</v>
      </c>
      <c r="D68" s="21" t="n">
        <f aca="false">a26_dcx</f>
        <v>15.698097648</v>
      </c>
      <c r="E68" s="21" t="n">
        <f aca="false">E54</f>
        <v>23.547146472</v>
      </c>
      <c r="F68" s="21" t="n">
        <f aca="false">F54</f>
        <v>29.43393309</v>
      </c>
      <c r="G68" s="21" t="n">
        <f aca="false">G54</f>
        <v>33.8490230535</v>
      </c>
    </row>
    <row r="69" customFormat="false" ht="17.15" hidden="false" customHeight="false" outlineLevel="0" collapsed="false">
      <c r="A69" s="0" t="s">
        <v>613</v>
      </c>
      <c r="B69" s="0" t="s">
        <v>229</v>
      </c>
      <c r="C69" s="21" t="n">
        <f aca="false">a25_cli+a25_gam</f>
        <v>14.55</v>
      </c>
      <c r="D69" s="21" t="n">
        <f aca="false">a26_cli+a26_gam</f>
        <v>14.720398</v>
      </c>
      <c r="E69" s="21" t="n">
        <f aca="false">E55+E56</f>
        <v>14.81320954</v>
      </c>
      <c r="F69" s="21" t="n">
        <f aca="false">F55+F56</f>
        <v>14.9436854662</v>
      </c>
      <c r="G69" s="21" t="n">
        <f aca="false">G55+G56</f>
        <v>15.109467706186</v>
      </c>
    </row>
    <row r="70" customFormat="false" ht="15" hidden="false" customHeight="false" outlineLevel="0" collapsed="false">
      <c r="A70" s="0" t="s">
        <v>614</v>
      </c>
      <c r="B70" s="0" t="s">
        <v>229</v>
      </c>
      <c r="C70" s="21" t="n">
        <f aca="false">a25_emb</f>
        <v>3.454</v>
      </c>
      <c r="D70" s="21" t="n">
        <f aca="false">a26_emb</f>
        <v>4.0713072</v>
      </c>
      <c r="E70" s="21" t="n">
        <f aca="false">E57</f>
        <v>4.47843792</v>
      </c>
      <c r="F70" s="21" t="n">
        <f aca="false">F57</f>
        <v>4.926281712</v>
      </c>
      <c r="G70" s="21" t="n">
        <f aca="false">G57</f>
        <v>5.4189098832</v>
      </c>
    </row>
    <row r="71" customFormat="false" ht="15" hidden="false" customHeight="false" outlineLevel="0" collapsed="false">
      <c r="A71" s="5" t="s">
        <v>651</v>
      </c>
      <c r="B71" s="0" t="s">
        <v>40</v>
      </c>
      <c r="D71" s="17" t="n">
        <f aca="false">D65/C65-1</f>
        <v>0.433158439908774</v>
      </c>
      <c r="E71" s="17" t="n">
        <f aca="false">E65/D65-1</f>
        <v>0.391983760442463</v>
      </c>
      <c r="F71" s="17" t="n">
        <f aca="false">F65/E65-1</f>
        <v>0.229010029561822</v>
      </c>
      <c r="G71" s="17" t="n">
        <f aca="false">G65/F65-1</f>
        <v>0.118148681842788</v>
      </c>
    </row>
    <row r="72" customFormat="false" ht="17.15" hidden="false" customHeight="false" outlineLevel="0" collapsed="false">
      <c r="A72" s="5" t="s">
        <v>529</v>
      </c>
      <c r="B72" s="0" t="s">
        <v>229</v>
      </c>
      <c r="C72" s="21" t="n">
        <f aca="false">a25_gp</f>
        <v>18.165</v>
      </c>
      <c r="D72" s="21" t="n">
        <f aca="false">a26_gp</f>
        <v>27.697067236</v>
      </c>
      <c r="E72" s="21" t="n">
        <f aca="false">E65-E62</f>
        <v>35.0953415498508</v>
      </c>
      <c r="F72" s="21" t="n">
        <f aca="false">F65-F62</f>
        <v>41.6295428686697</v>
      </c>
      <c r="G72" s="21" t="n">
        <f aca="false">G65-G62</f>
        <v>46.9023085907088</v>
      </c>
    </row>
    <row r="73" customFormat="false" ht="15" hidden="false" customHeight="false" outlineLevel="0" collapsed="false">
      <c r="A73" s="5" t="s">
        <v>615</v>
      </c>
      <c r="B73" s="0" t="s">
        <v>40</v>
      </c>
      <c r="C73" s="17" t="n">
        <f aca="false">C72/C65</f>
        <v>0.524408903259332</v>
      </c>
      <c r="D73" s="17" t="n">
        <f aca="false">D72/D65</f>
        <v>0.557922959690137</v>
      </c>
      <c r="E73" s="17" t="n">
        <f aca="false">E72/E65</f>
        <v>0.507873734696909</v>
      </c>
      <c r="F73" s="17" t="n">
        <f aca="false">F72/F65</f>
        <v>0.490176509486772</v>
      </c>
      <c r="G73" s="17" t="n">
        <f aca="false">G72/G65</f>
        <v>0.493907381247799</v>
      </c>
    </row>
    <row r="74" customFormat="false" ht="17.15" hidden="false" customHeight="false" outlineLevel="0" collapsed="false">
      <c r="A74" s="5" t="s">
        <v>652</v>
      </c>
      <c r="B74" s="0" t="s">
        <v>229</v>
      </c>
      <c r="C74" s="21" t="n">
        <f aca="false">a25_opx</f>
        <v>10.397</v>
      </c>
      <c r="D74" s="21" t="n">
        <f aca="false">a26_opx</f>
        <v>14.0215</v>
      </c>
      <c r="E74" s="21" t="n">
        <f aca="false">D74*(1+MAX(g_opx_min,phi*E71))</f>
        <v>18.4448960980997</v>
      </c>
      <c r="F74" s="21" t="n">
        <f aca="false">E74*(1+MAX(g_opx_min,phi*F71))</f>
        <v>21.8444661538523</v>
      </c>
      <c r="G74" s="21" t="n">
        <f aca="false">F74*(1+MAX(g_opx_min,phi*G71))</f>
        <v>23.9215957583136</v>
      </c>
      <c r="H74" s="5" t="s">
        <v>653</v>
      </c>
    </row>
    <row r="75" customFormat="false" ht="15" hidden="false" customHeight="false" outlineLevel="0" collapsed="false">
      <c r="A75" s="5" t="s">
        <v>654</v>
      </c>
      <c r="B75" s="0" t="s">
        <v>229</v>
      </c>
      <c r="C75" s="21" t="n">
        <f aca="false">C74</f>
        <v>10.397</v>
      </c>
      <c r="D75" s="21" t="n">
        <f aca="false">D74</f>
        <v>14.0215</v>
      </c>
      <c r="E75" s="21" t="n">
        <f aca="false">E74+0*E65</f>
        <v>18.4448960980997</v>
      </c>
      <c r="F75" s="21" t="n">
        <f aca="false">F74+0*F65</f>
        <v>21.8444661538523</v>
      </c>
      <c r="G75" s="21" t="n">
        <f aca="false">G74+0*G65</f>
        <v>23.9215957583136</v>
      </c>
    </row>
    <row r="76" customFormat="false" ht="15" hidden="false" customHeight="false" outlineLevel="0" collapsed="false">
      <c r="A76" s="5" t="s">
        <v>616</v>
      </c>
      <c r="B76" s="0" t="s">
        <v>229</v>
      </c>
      <c r="C76" s="21" t="n">
        <f aca="false">C72-C75</f>
        <v>7.768</v>
      </c>
      <c r="D76" s="21" t="n">
        <f aca="false">D72-D75</f>
        <v>13.675567236</v>
      </c>
      <c r="E76" s="21" t="n">
        <f aca="false">E72-E75</f>
        <v>16.6504454517511</v>
      </c>
      <c r="F76" s="21" t="n">
        <f aca="false">F72-F75</f>
        <v>19.7850767148174</v>
      </c>
      <c r="G76" s="21" t="n">
        <f aca="false">G72-G75</f>
        <v>22.9807128323952</v>
      </c>
    </row>
    <row r="77" customFormat="false" ht="15" hidden="false" customHeight="false" outlineLevel="0" collapsed="false">
      <c r="A77" s="5" t="s">
        <v>617</v>
      </c>
      <c r="B77" s="0" t="s">
        <v>40</v>
      </c>
      <c r="C77" s="17" t="n">
        <f aca="false">C76/C65</f>
        <v>0.22425589653281</v>
      </c>
      <c r="D77" s="17" t="n">
        <f aca="false">D76/D65</f>
        <v>0.275477287278756</v>
      </c>
      <c r="E77" s="17" t="n">
        <f aca="false">E76/E65</f>
        <v>0.240952888403616</v>
      </c>
      <c r="F77" s="17" t="n">
        <f aca="false">F76/F65</f>
        <v>0.232963880352768</v>
      </c>
      <c r="G77" s="17" t="n">
        <f aca="false">G76/G65</f>
        <v>0.241999680512624</v>
      </c>
    </row>
    <row r="78" customFormat="false" ht="17.15" hidden="false" customHeight="false" outlineLevel="0" collapsed="false">
      <c r="A78" s="5" t="s">
        <v>655</v>
      </c>
      <c r="B78" s="0" t="s">
        <v>229</v>
      </c>
      <c r="C78" s="9" t="n">
        <f aca="false">a25_oth</f>
        <v>0.081</v>
      </c>
      <c r="D78" s="9" t="n">
        <f aca="false">a26_oth</f>
        <v>0.25</v>
      </c>
      <c r="E78" s="9" t="n">
        <f aca="false">oth_f</f>
        <v>0.2</v>
      </c>
      <c r="F78" s="9" t="n">
        <f aca="false">oth_f</f>
        <v>0.2</v>
      </c>
      <c r="G78" s="9" t="n">
        <f aca="false">oth_f</f>
        <v>0.2</v>
      </c>
    </row>
    <row r="79" customFormat="false" ht="15" hidden="false" customHeight="false" outlineLevel="0" collapsed="false">
      <c r="A79" s="5" t="s">
        <v>656</v>
      </c>
      <c r="B79" s="0" t="s">
        <v>40</v>
      </c>
      <c r="C79" s="17" t="n">
        <f aca="false">a25_etr</f>
        <v>0.129698050707096</v>
      </c>
      <c r="D79" s="17" t="n">
        <f aca="false">a26_etr</f>
        <v>0.129883667216384</v>
      </c>
      <c r="E79" s="17" t="n">
        <f aca="false">tx_f</f>
        <v>0.13</v>
      </c>
      <c r="F79" s="17" t="n">
        <f aca="false">tx_f</f>
        <v>0.13</v>
      </c>
      <c r="G79" s="17" t="n">
        <f aca="false">tx_f</f>
        <v>0.13</v>
      </c>
    </row>
    <row r="80" customFormat="false" ht="17.15" hidden="false" customHeight="false" outlineLevel="0" collapsed="false">
      <c r="A80" s="5" t="s">
        <v>547</v>
      </c>
      <c r="B80" s="0" t="s">
        <v>229</v>
      </c>
      <c r="C80" s="21" t="n">
        <f aca="false">a25_ni</f>
        <v>6.831</v>
      </c>
      <c r="D80" s="21" t="n">
        <f aca="false">a26_ni</f>
        <v>12.11686349532</v>
      </c>
      <c r="E80" s="21" t="n">
        <f aca="false">(E76+E78)*(1-E79)</f>
        <v>14.6598875430235</v>
      </c>
      <c r="F80" s="21" t="n">
        <f aca="false">(F76+F78)*(1-F79)</f>
        <v>17.3870167418912</v>
      </c>
      <c r="G80" s="21" t="n">
        <f aca="false">(G76+G78)*(1-G79)</f>
        <v>20.1672201641838</v>
      </c>
    </row>
    <row r="81" customFormat="false" ht="15" hidden="false" customHeight="false" outlineLevel="0" collapsed="false">
      <c r="A81" s="5" t="s">
        <v>657</v>
      </c>
      <c r="B81" s="5" t="s">
        <v>309</v>
      </c>
      <c r="C81" s="16" t="n">
        <f aca="false">a25_sh</f>
        <v>1.636</v>
      </c>
      <c r="D81" s="16" t="n">
        <f aca="false">a26_sh</f>
        <v>1.6585805</v>
      </c>
      <c r="E81" s="16" t="n">
        <f aca="false">D81*(1+sh_g)</f>
        <v>1.675166305</v>
      </c>
      <c r="F81" s="16" t="n">
        <f aca="false">E81*(1+sh_g)</f>
        <v>1.69191796805</v>
      </c>
      <c r="G81" s="16" t="n">
        <f aca="false">F81*(1+sh_g)</f>
        <v>1.7088371477305</v>
      </c>
    </row>
    <row r="82" customFormat="false" ht="17.15" hidden="false" customHeight="false" outlineLevel="0" collapsed="false">
      <c r="A82" s="5" t="s">
        <v>658</v>
      </c>
      <c r="B82" s="5" t="s">
        <v>309</v>
      </c>
      <c r="C82" s="16" t="n">
        <f aca="false">0</f>
        <v>0</v>
      </c>
      <c r="D82" s="16" t="n">
        <f aca="false">0</f>
        <v>0</v>
      </c>
      <c r="E82" s="16" t="n">
        <f aca="false">w_tot/w_gw*(gw_26+gw_27)/2*wf</f>
        <v>0.0266666666666667</v>
      </c>
      <c r="F82" s="16" t="n">
        <f aca="false">w_tot/w_gw*(gw_27+gw_28*um28_A)/2*wf</f>
        <v>0.08</v>
      </c>
      <c r="G82" s="16" t="n">
        <f aca="false">w_tot/w_gw*(gw_28*um28_A+gw_29*um29_A)/2*wf</f>
        <v>0.133333333333333</v>
      </c>
      <c r="H82" s="8" t="s">
        <v>659</v>
      </c>
    </row>
    <row r="83" customFormat="false" ht="15" hidden="false" customHeight="false" outlineLevel="0" collapsed="false">
      <c r="A83" s="5" t="s">
        <v>618</v>
      </c>
      <c r="B83" s="5" t="s">
        <v>309</v>
      </c>
      <c r="C83" s="16" t="n">
        <f aca="false">C81+C82</f>
        <v>1.636</v>
      </c>
      <c r="D83" s="16" t="n">
        <f aca="false">D81+D82</f>
        <v>1.6585805</v>
      </c>
      <c r="E83" s="16" t="n">
        <f aca="false">E81+E82</f>
        <v>1.70183297166667</v>
      </c>
      <c r="F83" s="16" t="n">
        <f aca="false">F81+F82</f>
        <v>1.77191796805</v>
      </c>
      <c r="G83" s="16" t="n">
        <f aca="false">G81+G82</f>
        <v>1.84217048106383</v>
      </c>
    </row>
    <row r="84" customFormat="false" ht="17.15" hidden="false" customHeight="false" outlineLevel="0" collapsed="false">
      <c r="A84" s="0" t="s">
        <v>619</v>
      </c>
      <c r="B84" s="0" t="s">
        <v>396</v>
      </c>
      <c r="C84" s="9" t="n">
        <f aca="false">C80/C83</f>
        <v>4.17542787286064</v>
      </c>
      <c r="D84" s="9" t="n">
        <f aca="false">D80/D83</f>
        <v>7.30556249474777</v>
      </c>
      <c r="E84" s="9" t="n">
        <f aca="false">E80/E83</f>
        <v>8.6141752963374</v>
      </c>
      <c r="F84" s="9" t="n">
        <f aca="false">F80/F83</f>
        <v>9.81254045356603</v>
      </c>
      <c r="G84" s="9" t="n">
        <f aca="false">G80/G83</f>
        <v>10.9475319312127</v>
      </c>
    </row>
    <row r="85" customFormat="false" ht="17.15" hidden="false" customHeight="false" outlineLevel="0" collapsed="false">
      <c r="A85" s="0" t="s">
        <v>660</v>
      </c>
      <c r="B85" s="0" t="s">
        <v>40</v>
      </c>
      <c r="D85" s="17" t="n">
        <f aca="false">D84/C84-1</f>
        <v>0.749656015430735</v>
      </c>
      <c r="E85" s="17" t="n">
        <f aca="false">E84/D84-1</f>
        <v>0.179125536538827</v>
      </c>
      <c r="F85" s="17" t="n">
        <f aca="false">F84/E84-1</f>
        <v>0.139115483026931</v>
      </c>
      <c r="G85" s="17" t="n">
        <f aca="false">G84/F84-1</f>
        <v>0.115667444431705</v>
      </c>
    </row>
    <row r="88" customFormat="false" ht="17.15" hidden="false" customHeight="false" outlineLevel="0" collapsed="false">
      <c r="A88" s="3" t="s">
        <v>991</v>
      </c>
    </row>
    <row r="89" customFormat="false" ht="15" hidden="false" customHeight="false" outlineLevel="0" collapsed="false">
      <c r="A89" s="6" t="s">
        <v>18</v>
      </c>
      <c r="B89" s="6" t="s">
        <v>19</v>
      </c>
      <c r="C89" s="13" t="s">
        <v>603</v>
      </c>
      <c r="D89" s="13" t="s">
        <v>604</v>
      </c>
      <c r="E89" s="13" t="s">
        <v>605</v>
      </c>
      <c r="F89" s="13" t="s">
        <v>606</v>
      </c>
      <c r="G89" s="13" t="s">
        <v>607</v>
      </c>
      <c r="H89" s="6" t="s">
        <v>572</v>
      </c>
    </row>
    <row r="90" customFormat="false" ht="17.15" hidden="false" customHeight="false" outlineLevel="0" collapsed="false">
      <c r="A90" s="1" t="s">
        <v>627</v>
      </c>
    </row>
    <row r="91" customFormat="false" ht="17.15" hidden="false" customHeight="false" outlineLevel="0" collapsed="false">
      <c r="A91" s="0" t="s">
        <v>628</v>
      </c>
      <c r="B91" s="0" t="s">
        <v>125</v>
      </c>
      <c r="D91" s="16" t="n">
        <f aca="false">k_rec</f>
        <v>0.673483215644445</v>
      </c>
      <c r="E91" s="16" t="n">
        <f aca="false">k_rec*uf_hi</f>
        <v>0.808179858773333</v>
      </c>
      <c r="F91" s="16" t="n">
        <f aca="false">k_rec*uf_hi</f>
        <v>0.808179858773333</v>
      </c>
      <c r="G91" s="16" t="n">
        <f aca="false">k_rec*uf_hi</f>
        <v>0.808179858773333</v>
      </c>
    </row>
    <row r="92" customFormat="false" ht="17.15" hidden="false" customHeight="false" outlineLevel="0" collapsed="false">
      <c r="A92" s="5" t="s">
        <v>629</v>
      </c>
      <c r="B92" s="0" t="s">
        <v>229</v>
      </c>
      <c r="D92" s="21" t="n">
        <f aca="false">Units!C24</f>
        <v>419.36</v>
      </c>
      <c r="E92" s="21" t="n">
        <f aca="false">Units!D24</f>
        <v>671.46</v>
      </c>
      <c r="F92" s="21" t="n">
        <f aca="false">Units!E24</f>
        <v>763.2</v>
      </c>
      <c r="G92" s="21" t="n">
        <f aca="false">Units!F24</f>
        <v>864.55</v>
      </c>
    </row>
    <row r="93" customFormat="false" ht="17.15" hidden="false" customHeight="false" outlineLevel="0" collapsed="false">
      <c r="A93" s="0" t="s">
        <v>630</v>
      </c>
      <c r="B93" s="0" t="s">
        <v>40</v>
      </c>
      <c r="D93" s="17" t="n">
        <f aca="false">Units!C33</f>
        <v>0.0536531858069439</v>
      </c>
      <c r="E93" s="17" t="n">
        <f aca="false">Units!D33</f>
        <v>0.0670181395764454</v>
      </c>
      <c r="F93" s="17" t="n">
        <f aca="false">Units!E33</f>
        <v>0.0786163522012579</v>
      </c>
      <c r="G93" s="17" t="n">
        <f aca="false">Units!F33</f>
        <v>0.0798103059395061</v>
      </c>
    </row>
    <row r="94" customFormat="false" ht="17.15" hidden="false" customHeight="false" outlineLevel="0" collapsed="false">
      <c r="A94" s="0" t="s">
        <v>631</v>
      </c>
      <c r="B94" s="5" t="s">
        <v>29</v>
      </c>
      <c r="D94" s="9" t="n">
        <f aca="false">Units!C10</f>
        <v>0.75</v>
      </c>
      <c r="E94" s="9" t="n">
        <f aca="false">Units!D10</f>
        <v>1.5</v>
      </c>
      <c r="F94" s="9" t="n">
        <f aca="false">Units!E10</f>
        <v>2</v>
      </c>
      <c r="G94" s="9" t="n">
        <f aca="false">Units!F10</f>
        <v>2.3</v>
      </c>
    </row>
    <row r="95" customFormat="false" ht="17.15" hidden="false" customHeight="false" outlineLevel="0" collapsed="false">
      <c r="A95" s="0" t="s">
        <v>632</v>
      </c>
      <c r="B95" s="5" t="s">
        <v>29</v>
      </c>
      <c r="D95" s="9" t="n">
        <f aca="false">D94*D91</f>
        <v>0.505112411733333</v>
      </c>
      <c r="E95" s="9" t="n">
        <f aca="false">E94*E91</f>
        <v>1.21226978816</v>
      </c>
      <c r="F95" s="9" t="n">
        <f aca="false">F94*F91</f>
        <v>1.61635971754667</v>
      </c>
      <c r="G95" s="9" t="n">
        <f aca="false">G94*G91</f>
        <v>1.85881367517867</v>
      </c>
    </row>
    <row r="96" customFormat="false" ht="17.15" hidden="false" customHeight="false" outlineLevel="0" collapsed="false">
      <c r="A96" s="5" t="s">
        <v>633</v>
      </c>
      <c r="B96" s="0" t="s">
        <v>125</v>
      </c>
      <c r="D96" s="16" t="n">
        <f aca="false">1</f>
        <v>1</v>
      </c>
      <c r="E96" s="16" t="n">
        <f aca="false">pg_27</f>
        <v>1</v>
      </c>
      <c r="F96" s="16" t="n">
        <f aca="false">pg_28</f>
        <v>1</v>
      </c>
      <c r="G96" s="16" t="n">
        <f aca="false">pg_29</f>
        <v>1</v>
      </c>
    </row>
    <row r="97" customFormat="false" ht="17.15" hidden="false" customHeight="false" outlineLevel="0" collapsed="false">
      <c r="A97" s="0" t="s">
        <v>634</v>
      </c>
      <c r="B97" s="0" t="s">
        <v>229</v>
      </c>
      <c r="D97" s="21" t="n">
        <f aca="false">D92*D93*D91*D96</f>
        <v>15.153372352</v>
      </c>
      <c r="E97" s="21" t="n">
        <f aca="false">E92*E93*E91*E96</f>
        <v>36.3680936448</v>
      </c>
      <c r="F97" s="21" t="n">
        <f aca="false">F92*F93*F91*F96</f>
        <v>48.4907915264</v>
      </c>
      <c r="G97" s="21" t="n">
        <f aca="false">G92*G93*G91*G96</f>
        <v>55.76441025536</v>
      </c>
    </row>
    <row r="98" customFormat="false" ht="17.15" hidden="false" customHeight="false" outlineLevel="0" collapsed="false">
      <c r="A98" s="0" t="s">
        <v>635</v>
      </c>
      <c r="B98" s="0" t="s">
        <v>125</v>
      </c>
      <c r="D98" s="16" t="n">
        <f aca="false">hbm_A_26/hbm_A_26</f>
        <v>1</v>
      </c>
      <c r="E98" s="16" t="n">
        <f aca="false">hbm_A_27/hbm_A_26</f>
        <v>1.8</v>
      </c>
      <c r="F98" s="16" t="n">
        <f aca="false">hbm_A_28/hbm_A_26</f>
        <v>1.98</v>
      </c>
      <c r="G98" s="16" t="n">
        <f aca="false">hbm_A_29/hbm_A_26</f>
        <v>1.881</v>
      </c>
    </row>
    <row r="99" customFormat="false" ht="17.15" hidden="false" customHeight="false" outlineLevel="0" collapsed="false">
      <c r="A99" s="5" t="s">
        <v>636</v>
      </c>
      <c r="B99" s="0" t="s">
        <v>229</v>
      </c>
      <c r="D99" s="21" t="n">
        <f aca="false">D97*(1+(1-abs_mem)*hs_26*(D98-1))</f>
        <v>15.153372352</v>
      </c>
      <c r="E99" s="21" t="n">
        <f aca="false">E97*(1+(1-abs_mem)*hs_26*(E98-1))</f>
        <v>39.3955496448</v>
      </c>
      <c r="F99" s="21" t="n">
        <f aca="false">F97*(1+(1-abs_mem)*hs_26*(F98-1))</f>
        <v>53.4356363264</v>
      </c>
      <c r="G99" s="21" t="n">
        <f aca="false">G97*(1+(1-abs_mem)*hs_26*(G98-1))</f>
        <v>60.87652199936</v>
      </c>
    </row>
    <row r="100" customFormat="false" ht="17.15" hidden="false" customHeight="false" outlineLevel="0" collapsed="false">
      <c r="A100" s="5" t="s">
        <v>637</v>
      </c>
      <c r="B100" s="0" t="s">
        <v>229</v>
      </c>
      <c r="D100" s="21" t="n">
        <f aca="false">D97*((1-gm_gpu)+hs_26*(D98-1))</f>
        <v>7.576686176</v>
      </c>
      <c r="E100" s="21" t="n">
        <f aca="false">E97*((1-gm_gpu)+hs_26*(E98-1))</f>
        <v>24.2389588224</v>
      </c>
      <c r="F100" s="21" t="n">
        <f aca="false">F97*((1-gm_gpu)+hs_26*(F98-1))</f>
        <v>34.1350853632</v>
      </c>
      <c r="G100" s="21" t="n">
        <f aca="false">G97*((1-gm_gpu)+hs_26*(G98-1))</f>
        <v>38.10642861568</v>
      </c>
      <c r="H100" s="5" t="s">
        <v>638</v>
      </c>
    </row>
    <row r="101" customFormat="false" ht="17.15" hidden="false" customHeight="false" outlineLevel="0" collapsed="false">
      <c r="A101" s="5" t="s">
        <v>639</v>
      </c>
      <c r="B101" s="0" t="s">
        <v>40</v>
      </c>
      <c r="D101" s="17" t="n">
        <f aca="false">1-D100/D99</f>
        <v>0.5</v>
      </c>
      <c r="E101" s="17" t="n">
        <f aca="false">1-E100/E99</f>
        <v>0.38472850256071</v>
      </c>
      <c r="F101" s="17" t="n">
        <f aca="false">1-F100/F99</f>
        <v>0.361192497929785</v>
      </c>
      <c r="G101" s="17" t="n">
        <f aca="false">1-G100/G99</f>
        <v>0.374037356863445</v>
      </c>
    </row>
    <row r="102" customFormat="false" ht="17.15" hidden="false" customHeight="false" outlineLevel="0" collapsed="false">
      <c r="A102" s="5" t="s">
        <v>640</v>
      </c>
      <c r="B102" s="0" t="s">
        <v>229</v>
      </c>
      <c r="D102" s="21" t="n">
        <f aca="false">a26_dcx</f>
        <v>15.698097648</v>
      </c>
      <c r="E102" s="21" t="n">
        <f aca="false">D102*(1+g_cpu27)</f>
        <v>23.547146472</v>
      </c>
      <c r="F102" s="21" t="n">
        <f aca="false">E102*(1+g_cpu28)</f>
        <v>29.43393309</v>
      </c>
      <c r="G102" s="21" t="n">
        <f aca="false">F102*(1+g_cpu29)</f>
        <v>33.8490230535</v>
      </c>
    </row>
    <row r="103" customFormat="false" ht="15" hidden="false" customHeight="false" outlineLevel="0" collapsed="false">
      <c r="A103" s="0" t="s">
        <v>524</v>
      </c>
      <c r="B103" s="0" t="s">
        <v>229</v>
      </c>
      <c r="D103" s="21" t="n">
        <f aca="false">a26_cli</f>
        <v>12.037318</v>
      </c>
      <c r="E103" s="21" t="n">
        <f aca="false">D103*(1+g_cli)</f>
        <v>12.39843754</v>
      </c>
      <c r="F103" s="21" t="n">
        <f aca="false">E103*(1+g_cli)</f>
        <v>12.7703906662</v>
      </c>
      <c r="G103" s="21" t="n">
        <f aca="false">F103*(1+g_cli)</f>
        <v>13.153502386186</v>
      </c>
    </row>
    <row r="104" customFormat="false" ht="15" hidden="false" customHeight="false" outlineLevel="0" collapsed="false">
      <c r="A104" s="0" t="s">
        <v>526</v>
      </c>
      <c r="B104" s="0" t="s">
        <v>229</v>
      </c>
      <c r="D104" s="21" t="n">
        <f aca="false">a26_gam</f>
        <v>2.68308</v>
      </c>
      <c r="E104" s="21" t="n">
        <f aca="false">D104*(1+g_gam)</f>
        <v>2.414772</v>
      </c>
      <c r="F104" s="21" t="n">
        <f aca="false">E104*(1+g_gam)</f>
        <v>2.1732948</v>
      </c>
      <c r="G104" s="21" t="n">
        <f aca="false">F104*(1+g_gam)</f>
        <v>1.95596532</v>
      </c>
    </row>
    <row r="105" customFormat="false" ht="15" hidden="false" customHeight="false" outlineLevel="0" collapsed="false">
      <c r="A105" s="0" t="s">
        <v>527</v>
      </c>
      <c r="B105" s="0" t="s">
        <v>229</v>
      </c>
      <c r="D105" s="21" t="n">
        <f aca="false">a26_emb</f>
        <v>4.0713072</v>
      </c>
      <c r="E105" s="21" t="n">
        <f aca="false">D105*(1+g_emb)</f>
        <v>4.47843792</v>
      </c>
      <c r="F105" s="21" t="n">
        <f aca="false">E105*(1+g_emb)</f>
        <v>4.926281712</v>
      </c>
      <c r="G105" s="21" t="n">
        <f aca="false">F105*(1+g_emb)</f>
        <v>5.4189098832</v>
      </c>
    </row>
    <row r="106" customFormat="false" ht="17.15" hidden="false" customHeight="false" outlineLevel="0" collapsed="false">
      <c r="A106" s="5" t="s">
        <v>641</v>
      </c>
      <c r="B106" s="0" t="s">
        <v>229</v>
      </c>
      <c r="D106" s="21" t="n">
        <f aca="false">D102+D103+D104+D105</f>
        <v>34.489802848</v>
      </c>
      <c r="E106" s="21" t="n">
        <f aca="false">E102+E103+E104+E105</f>
        <v>42.838793932</v>
      </c>
      <c r="F106" s="21" t="n">
        <f aca="false">F102+F103+F104+F105</f>
        <v>49.3039002682</v>
      </c>
      <c r="G106" s="21" t="n">
        <f aca="false">G102+G103+G104+G105</f>
        <v>54.377400642886</v>
      </c>
    </row>
    <row r="107" customFormat="false" ht="17.15" hidden="false" customHeight="false" outlineLevel="0" collapsed="false">
      <c r="A107" s="5" t="s">
        <v>642</v>
      </c>
      <c r="B107" s="0" t="s">
        <v>40</v>
      </c>
      <c r="D107" s="17" t="n">
        <f aca="false">(a26_gp-(D99-D100))/D106</f>
        <v>0.583371878020658</v>
      </c>
      <c r="E107" s="17" t="n">
        <f aca="false">$D107</f>
        <v>0.583371878020658</v>
      </c>
      <c r="F107" s="17" t="n">
        <f aca="false">$D107</f>
        <v>0.583371878020658</v>
      </c>
      <c r="G107" s="17" t="n">
        <f aca="false">$D107</f>
        <v>0.583371878020658</v>
      </c>
      <c r="H107" s="8" t="s">
        <v>643</v>
      </c>
    </row>
    <row r="108" customFormat="false" ht="17.15" hidden="false" customHeight="false" outlineLevel="0" collapsed="false">
      <c r="A108" s="5" t="s">
        <v>644</v>
      </c>
      <c r="B108" s="0" t="s">
        <v>229</v>
      </c>
      <c r="D108" s="21" t="n">
        <f aca="false">(1-D107)*D106</f>
        <v>14.369421788</v>
      </c>
      <c r="E108" s="21" t="n">
        <f aca="false">(1-E107)*E106</f>
        <v>17.8478462637492</v>
      </c>
      <c r="F108" s="21" t="n">
        <f aca="false">(1-F107)*F106</f>
        <v>20.5413913749969</v>
      </c>
      <c r="G108" s="21" t="n">
        <f aca="false">(1-G107)*G106</f>
        <v>22.6551543079639</v>
      </c>
    </row>
    <row r="109" customFormat="false" ht="15" hidden="false" customHeight="false" outlineLevel="0" collapsed="false">
      <c r="A109" s="5" t="s">
        <v>645</v>
      </c>
      <c r="B109" s="0" t="s">
        <v>229</v>
      </c>
      <c r="D109" s="21" t="n">
        <f aca="false">D99+D106</f>
        <v>49.6431752</v>
      </c>
      <c r="E109" s="21" t="n">
        <f aca="false">E99+E106</f>
        <v>82.2343435768</v>
      </c>
      <c r="F109" s="21" t="n">
        <f aca="false">F99+F106</f>
        <v>102.7395365946</v>
      </c>
      <c r="G109" s="21" t="n">
        <f aca="false">G99+G106</f>
        <v>115.253922642246</v>
      </c>
    </row>
    <row r="110" customFormat="false" ht="15" hidden="false" customHeight="false" outlineLevel="0" collapsed="false">
      <c r="A110" s="5" t="s">
        <v>646</v>
      </c>
      <c r="B110" s="0" t="s">
        <v>229</v>
      </c>
      <c r="D110" s="21" t="n">
        <f aca="false">D100+D108</f>
        <v>21.946107964</v>
      </c>
      <c r="E110" s="21" t="n">
        <f aca="false">E100+E108</f>
        <v>42.0868050861492</v>
      </c>
      <c r="F110" s="21" t="n">
        <f aca="false">F100+F108</f>
        <v>54.676476738197</v>
      </c>
      <c r="G110" s="21" t="n">
        <f aca="false">G100+G108</f>
        <v>60.7615829236439</v>
      </c>
    </row>
    <row r="111" customFormat="false" ht="17.15" hidden="false" customHeight="false" outlineLevel="0" collapsed="false">
      <c r="A111" s="5" t="s">
        <v>647</v>
      </c>
      <c r="B111" s="0" t="s">
        <v>40</v>
      </c>
      <c r="D111" s="17" t="n">
        <f aca="false">1-D110/D109</f>
        <v>0.557922959690137</v>
      </c>
      <c r="E111" s="17" t="n">
        <f aca="false">1-E110/E109</f>
        <v>0.488208900860945</v>
      </c>
      <c r="F111" s="17" t="n">
        <f aca="false">1-F110/F109</f>
        <v>0.467814645164842</v>
      </c>
      <c r="G111" s="17" t="n">
        <f aca="false">1-G110/G109</f>
        <v>0.472802473610804</v>
      </c>
      <c r="H111" s="8" t="s">
        <v>648</v>
      </c>
    </row>
    <row r="112" customFormat="false" ht="17.15" hidden="false" customHeight="false" outlineLevel="0" collapsed="false">
      <c r="A112" s="1" t="s">
        <v>649</v>
      </c>
    </row>
    <row r="113" customFormat="false" ht="15" hidden="false" customHeight="false" outlineLevel="0" collapsed="false">
      <c r="A113" s="5" t="s">
        <v>510</v>
      </c>
      <c r="B113" s="0" t="s">
        <v>229</v>
      </c>
      <c r="C113" s="21" t="n">
        <f aca="false">a25_rev</f>
        <v>34.639</v>
      </c>
      <c r="D113" s="21" t="n">
        <f aca="false">a26_rev</f>
        <v>49.6431752</v>
      </c>
      <c r="E113" s="21" t="n">
        <f aca="false">E109</f>
        <v>82.2343435768</v>
      </c>
      <c r="F113" s="21" t="n">
        <f aca="false">F109</f>
        <v>102.7395365946</v>
      </c>
      <c r="G113" s="21" t="n">
        <f aca="false">G109</f>
        <v>115.253922642246</v>
      </c>
    </row>
    <row r="114" customFormat="false" ht="15" hidden="false" customHeight="false" outlineLevel="0" collapsed="false">
      <c r="A114" s="0" t="s">
        <v>610</v>
      </c>
      <c r="B114" s="0" t="s">
        <v>229</v>
      </c>
      <c r="C114" s="21" t="n">
        <f aca="false">a25_dc</f>
        <v>16.635</v>
      </c>
      <c r="D114" s="21" t="n">
        <f aca="false">a26_dc</f>
        <v>30.85147</v>
      </c>
      <c r="E114" s="21" t="n">
        <f aca="false">E99+E102</f>
        <v>62.9426961168</v>
      </c>
      <c r="F114" s="21" t="n">
        <f aca="false">F99+F102</f>
        <v>82.8695694164</v>
      </c>
      <c r="G114" s="21" t="n">
        <f aca="false">G99+G102</f>
        <v>94.72554505286</v>
      </c>
    </row>
    <row r="115" customFormat="false" ht="17.15" hidden="false" customHeight="false" outlineLevel="0" collapsed="false">
      <c r="A115" s="5" t="s">
        <v>611</v>
      </c>
      <c r="B115" s="0" t="s">
        <v>229</v>
      </c>
      <c r="C115" s="21" t="n">
        <f aca="false">a25_gpu</f>
        <v>6.5</v>
      </c>
      <c r="D115" s="21" t="n">
        <f aca="false">a26_gpu</f>
        <v>15.153372352</v>
      </c>
      <c r="E115" s="21" t="n">
        <f aca="false">E99</f>
        <v>39.3955496448</v>
      </c>
      <c r="F115" s="21" t="n">
        <f aca="false">F99</f>
        <v>53.4356363264</v>
      </c>
      <c r="G115" s="21" t="n">
        <f aca="false">G99</f>
        <v>60.87652199936</v>
      </c>
    </row>
    <row r="116" customFormat="false" ht="17.15" hidden="false" customHeight="false" outlineLevel="0" collapsed="false">
      <c r="A116" s="5" t="s">
        <v>650</v>
      </c>
      <c r="B116" s="0" t="s">
        <v>229</v>
      </c>
      <c r="C116" s="21" t="n">
        <f aca="false">a25_dcx</f>
        <v>10.135</v>
      </c>
      <c r="D116" s="21" t="n">
        <f aca="false">a26_dcx</f>
        <v>15.698097648</v>
      </c>
      <c r="E116" s="21" t="n">
        <f aca="false">E102</f>
        <v>23.547146472</v>
      </c>
      <c r="F116" s="21" t="n">
        <f aca="false">F102</f>
        <v>29.43393309</v>
      </c>
      <c r="G116" s="21" t="n">
        <f aca="false">G102</f>
        <v>33.8490230535</v>
      </c>
    </row>
    <row r="117" customFormat="false" ht="17.15" hidden="false" customHeight="false" outlineLevel="0" collapsed="false">
      <c r="A117" s="0" t="s">
        <v>613</v>
      </c>
      <c r="B117" s="0" t="s">
        <v>229</v>
      </c>
      <c r="C117" s="21" t="n">
        <f aca="false">a25_cli+a25_gam</f>
        <v>14.55</v>
      </c>
      <c r="D117" s="21" t="n">
        <f aca="false">a26_cli+a26_gam</f>
        <v>14.720398</v>
      </c>
      <c r="E117" s="21" t="n">
        <f aca="false">E103+E104</f>
        <v>14.81320954</v>
      </c>
      <c r="F117" s="21" t="n">
        <f aca="false">F103+F104</f>
        <v>14.9436854662</v>
      </c>
      <c r="G117" s="21" t="n">
        <f aca="false">G103+G104</f>
        <v>15.109467706186</v>
      </c>
    </row>
    <row r="118" customFormat="false" ht="15" hidden="false" customHeight="false" outlineLevel="0" collapsed="false">
      <c r="A118" s="0" t="s">
        <v>614</v>
      </c>
      <c r="B118" s="0" t="s">
        <v>229</v>
      </c>
      <c r="C118" s="21" t="n">
        <f aca="false">a25_emb</f>
        <v>3.454</v>
      </c>
      <c r="D118" s="21" t="n">
        <f aca="false">a26_emb</f>
        <v>4.0713072</v>
      </c>
      <c r="E118" s="21" t="n">
        <f aca="false">E105</f>
        <v>4.47843792</v>
      </c>
      <c r="F118" s="21" t="n">
        <f aca="false">F105</f>
        <v>4.926281712</v>
      </c>
      <c r="G118" s="21" t="n">
        <f aca="false">G105</f>
        <v>5.4189098832</v>
      </c>
    </row>
    <row r="119" customFormat="false" ht="15" hidden="false" customHeight="false" outlineLevel="0" collapsed="false">
      <c r="A119" s="5" t="s">
        <v>651</v>
      </c>
      <c r="B119" s="0" t="s">
        <v>40</v>
      </c>
      <c r="D119" s="17" t="n">
        <f aca="false">D113/C113-1</f>
        <v>0.433158439908774</v>
      </c>
      <c r="E119" s="17" t="n">
        <f aca="false">E113/D113-1</f>
        <v>0.65650853809206</v>
      </c>
      <c r="F119" s="17" t="n">
        <f aca="false">F113/E113-1</f>
        <v>0.24935072289657</v>
      </c>
      <c r="G119" s="17" t="n">
        <f aca="false">G113/F113-1</f>
        <v>0.121806915452875</v>
      </c>
    </row>
    <row r="120" customFormat="false" ht="17.15" hidden="false" customHeight="false" outlineLevel="0" collapsed="false">
      <c r="A120" s="5" t="s">
        <v>529</v>
      </c>
      <c r="B120" s="0" t="s">
        <v>229</v>
      </c>
      <c r="C120" s="21" t="n">
        <f aca="false">a25_gp</f>
        <v>18.165</v>
      </c>
      <c r="D120" s="21" t="n">
        <f aca="false">a26_gp</f>
        <v>27.697067236</v>
      </c>
      <c r="E120" s="21" t="n">
        <f aca="false">E113-E110</f>
        <v>40.1475384906508</v>
      </c>
      <c r="F120" s="21" t="n">
        <f aca="false">F113-F110</f>
        <v>48.0630598564031</v>
      </c>
      <c r="G120" s="21" t="n">
        <f aca="false">G113-G110</f>
        <v>54.4923397186022</v>
      </c>
    </row>
    <row r="121" customFormat="false" ht="15" hidden="false" customHeight="false" outlineLevel="0" collapsed="false">
      <c r="A121" s="5" t="s">
        <v>615</v>
      </c>
      <c r="B121" s="0" t="s">
        <v>40</v>
      </c>
      <c r="C121" s="17" t="n">
        <f aca="false">C120/C113</f>
        <v>0.524408903259332</v>
      </c>
      <c r="D121" s="17" t="n">
        <f aca="false">D120/D113</f>
        <v>0.557922959690137</v>
      </c>
      <c r="E121" s="17" t="n">
        <f aca="false">E120/E113</f>
        <v>0.488208900860945</v>
      </c>
      <c r="F121" s="17" t="n">
        <f aca="false">F120/F113</f>
        <v>0.467814645164842</v>
      </c>
      <c r="G121" s="17" t="n">
        <f aca="false">G120/G113</f>
        <v>0.472802473610804</v>
      </c>
    </row>
    <row r="122" customFormat="false" ht="17.15" hidden="false" customHeight="false" outlineLevel="0" collapsed="false">
      <c r="A122" s="5" t="s">
        <v>652</v>
      </c>
      <c r="B122" s="0" t="s">
        <v>229</v>
      </c>
      <c r="C122" s="21" t="n">
        <f aca="false">a25_opx</f>
        <v>10.397</v>
      </c>
      <c r="D122" s="21" t="n">
        <f aca="false">a26_opx</f>
        <v>14.0215</v>
      </c>
      <c r="E122" s="21" t="n">
        <f aca="false">D122*(1+MAX(g_opx_min,phi*E119))</f>
        <v>21.4299633059482</v>
      </c>
      <c r="F122" s="21" t="n">
        <f aca="false">E122*(1+MAX(g_opx_min,phi*F119))</f>
        <v>25.7305265451455</v>
      </c>
      <c r="G122" s="21" t="n">
        <f aca="false">F122*(1+MAX(g_opx_min,phi*G119))</f>
        <v>28.252926200906</v>
      </c>
      <c r="H122" s="5" t="s">
        <v>653</v>
      </c>
    </row>
    <row r="123" customFormat="false" ht="15" hidden="false" customHeight="false" outlineLevel="0" collapsed="false">
      <c r="A123" s="5" t="s">
        <v>654</v>
      </c>
      <c r="B123" s="0" t="s">
        <v>229</v>
      </c>
      <c r="C123" s="21" t="n">
        <f aca="false">C122</f>
        <v>10.397</v>
      </c>
      <c r="D123" s="21" t="n">
        <f aca="false">D122</f>
        <v>14.0215</v>
      </c>
      <c r="E123" s="21" t="n">
        <f aca="false">E122+0*E113</f>
        <v>21.4299633059482</v>
      </c>
      <c r="F123" s="21" t="n">
        <f aca="false">F122+0*F113</f>
        <v>25.7305265451455</v>
      </c>
      <c r="G123" s="21" t="n">
        <f aca="false">G122+0*G113</f>
        <v>28.252926200906</v>
      </c>
    </row>
    <row r="124" customFormat="false" ht="15" hidden="false" customHeight="false" outlineLevel="0" collapsed="false">
      <c r="A124" s="5" t="s">
        <v>616</v>
      </c>
      <c r="B124" s="0" t="s">
        <v>229</v>
      </c>
      <c r="C124" s="21" t="n">
        <f aca="false">C120-C123</f>
        <v>7.768</v>
      </c>
      <c r="D124" s="21" t="n">
        <f aca="false">D120-D123</f>
        <v>13.675567236</v>
      </c>
      <c r="E124" s="21" t="n">
        <f aca="false">E120-E123</f>
        <v>18.7175751847027</v>
      </c>
      <c r="F124" s="21" t="n">
        <f aca="false">F120-F123</f>
        <v>22.3325333112575</v>
      </c>
      <c r="G124" s="21" t="n">
        <f aca="false">G120-G123</f>
        <v>26.2394135176962</v>
      </c>
    </row>
    <row r="125" customFormat="false" ht="15" hidden="false" customHeight="false" outlineLevel="0" collapsed="false">
      <c r="A125" s="5" t="s">
        <v>617</v>
      </c>
      <c r="B125" s="0" t="s">
        <v>40</v>
      </c>
      <c r="C125" s="17" t="n">
        <f aca="false">C124/C113</f>
        <v>0.22425589653281</v>
      </c>
      <c r="D125" s="17" t="n">
        <f aca="false">D124/D113</f>
        <v>0.275477287278756</v>
      </c>
      <c r="E125" s="17" t="n">
        <f aca="false">E124/E113</f>
        <v>0.227612629597049</v>
      </c>
      <c r="F125" s="17" t="n">
        <f aca="false">F124/F113</f>
        <v>0.217370391686498</v>
      </c>
      <c r="G125" s="17" t="n">
        <f aca="false">G124/G113</f>
        <v>0.227666121170944</v>
      </c>
    </row>
    <row r="126" customFormat="false" ht="17.15" hidden="false" customHeight="false" outlineLevel="0" collapsed="false">
      <c r="A126" s="5" t="s">
        <v>655</v>
      </c>
      <c r="B126" s="0" t="s">
        <v>229</v>
      </c>
      <c r="C126" s="9" t="n">
        <f aca="false">a25_oth</f>
        <v>0.081</v>
      </c>
      <c r="D126" s="9" t="n">
        <f aca="false">a26_oth</f>
        <v>0.25</v>
      </c>
      <c r="E126" s="9" t="n">
        <f aca="false">oth_f</f>
        <v>0.2</v>
      </c>
      <c r="F126" s="9" t="n">
        <f aca="false">oth_f</f>
        <v>0.2</v>
      </c>
      <c r="G126" s="9" t="n">
        <f aca="false">oth_f</f>
        <v>0.2</v>
      </c>
    </row>
    <row r="127" customFormat="false" ht="15" hidden="false" customHeight="false" outlineLevel="0" collapsed="false">
      <c r="A127" s="5" t="s">
        <v>656</v>
      </c>
      <c r="B127" s="0" t="s">
        <v>40</v>
      </c>
      <c r="C127" s="17" t="n">
        <f aca="false">a25_etr</f>
        <v>0.129698050707096</v>
      </c>
      <c r="D127" s="17" t="n">
        <f aca="false">a26_etr</f>
        <v>0.129883667216384</v>
      </c>
      <c r="E127" s="17" t="n">
        <f aca="false">tx_f</f>
        <v>0.13</v>
      </c>
      <c r="F127" s="17" t="n">
        <f aca="false">tx_f</f>
        <v>0.13</v>
      </c>
      <c r="G127" s="17" t="n">
        <f aca="false">tx_f</f>
        <v>0.13</v>
      </c>
    </row>
    <row r="128" customFormat="false" ht="17.15" hidden="false" customHeight="false" outlineLevel="0" collapsed="false">
      <c r="A128" s="5" t="s">
        <v>547</v>
      </c>
      <c r="B128" s="0" t="s">
        <v>229</v>
      </c>
      <c r="C128" s="21" t="n">
        <f aca="false">a25_ni</f>
        <v>6.831</v>
      </c>
      <c r="D128" s="21" t="n">
        <f aca="false">a26_ni</f>
        <v>12.11686349532</v>
      </c>
      <c r="E128" s="21" t="n">
        <f aca="false">(E124+E126)*(1-E127)</f>
        <v>16.4582904106913</v>
      </c>
      <c r="F128" s="21" t="n">
        <f aca="false">(F124+F126)*(1-F127)</f>
        <v>19.6033039807941</v>
      </c>
      <c r="G128" s="21" t="n">
        <f aca="false">(G124+G126)*(1-G127)</f>
        <v>23.0022897603957</v>
      </c>
    </row>
    <row r="129" customFormat="false" ht="15" hidden="false" customHeight="false" outlineLevel="0" collapsed="false">
      <c r="A129" s="5" t="s">
        <v>657</v>
      </c>
      <c r="B129" s="5" t="s">
        <v>309</v>
      </c>
      <c r="C129" s="16" t="n">
        <f aca="false">a25_sh</f>
        <v>1.636</v>
      </c>
      <c r="D129" s="16" t="n">
        <f aca="false">a26_sh</f>
        <v>1.6585805</v>
      </c>
      <c r="E129" s="16" t="n">
        <f aca="false">D129*(1+sh_g)</f>
        <v>1.675166305</v>
      </c>
      <c r="F129" s="16" t="n">
        <f aca="false">E129*(1+sh_g)</f>
        <v>1.69191796805</v>
      </c>
      <c r="G129" s="16" t="n">
        <f aca="false">F129*(1+sh_g)</f>
        <v>1.7088371477305</v>
      </c>
    </row>
    <row r="130" customFormat="false" ht="17.15" hidden="false" customHeight="false" outlineLevel="0" collapsed="false">
      <c r="A130" s="5" t="s">
        <v>658</v>
      </c>
      <c r="B130" s="5" t="s">
        <v>309</v>
      </c>
      <c r="C130" s="16" t="n">
        <f aca="false">0</f>
        <v>0</v>
      </c>
      <c r="D130" s="16" t="n">
        <f aca="false">0</f>
        <v>0</v>
      </c>
      <c r="E130" s="16" t="n">
        <f aca="false">w_tot/w_gw*(gw_26+gw_27)/2*wf</f>
        <v>0.0266666666666667</v>
      </c>
      <c r="F130" s="16" t="n">
        <f aca="false">w_tot/w_gw*(gw_27+gw_28*um28_A)/2*wf</f>
        <v>0.08</v>
      </c>
      <c r="G130" s="16" t="n">
        <f aca="false">w_tot/w_gw*(gw_28*um28_A+gw_29*um29_A)/2*wf</f>
        <v>0.133333333333333</v>
      </c>
      <c r="H130" s="8" t="s">
        <v>659</v>
      </c>
    </row>
    <row r="131" customFormat="false" ht="15" hidden="false" customHeight="false" outlineLevel="0" collapsed="false">
      <c r="A131" s="5" t="s">
        <v>618</v>
      </c>
      <c r="B131" s="5" t="s">
        <v>309</v>
      </c>
      <c r="C131" s="16" t="n">
        <f aca="false">C129+C130</f>
        <v>1.636</v>
      </c>
      <c r="D131" s="16" t="n">
        <f aca="false">D129+D130</f>
        <v>1.6585805</v>
      </c>
      <c r="E131" s="16" t="n">
        <f aca="false">E129+E130</f>
        <v>1.70183297166667</v>
      </c>
      <c r="F131" s="16" t="n">
        <f aca="false">F129+F130</f>
        <v>1.77191796805</v>
      </c>
      <c r="G131" s="16" t="n">
        <f aca="false">G129+G130</f>
        <v>1.84217048106383</v>
      </c>
    </row>
    <row r="132" customFormat="false" ht="17.15" hidden="false" customHeight="false" outlineLevel="0" collapsed="false">
      <c r="A132" s="0" t="s">
        <v>619</v>
      </c>
      <c r="B132" s="0" t="s">
        <v>396</v>
      </c>
      <c r="C132" s="9" t="n">
        <f aca="false">C128/C131</f>
        <v>4.17542787286064</v>
      </c>
      <c r="D132" s="9" t="n">
        <f aca="false">D128/D131</f>
        <v>7.30556249474777</v>
      </c>
      <c r="E132" s="9" t="n">
        <f aca="false">E128/E131</f>
        <v>9.67091993438881</v>
      </c>
      <c r="F132" s="9" t="n">
        <f aca="false">F128/F131</f>
        <v>11.063324789447</v>
      </c>
      <c r="G132" s="9" t="n">
        <f aca="false">G128/G131</f>
        <v>12.4865152258395</v>
      </c>
    </row>
    <row r="133" customFormat="false" ht="17.15" hidden="false" customHeight="false" outlineLevel="0" collapsed="false">
      <c r="A133" s="0" t="s">
        <v>660</v>
      </c>
      <c r="B133" s="0" t="s">
        <v>40</v>
      </c>
      <c r="D133" s="17" t="n">
        <f aca="false">D132/C132-1</f>
        <v>0.749656015430735</v>
      </c>
      <c r="E133" s="17" t="n">
        <f aca="false">E132/D132-1</f>
        <v>0.323774855302597</v>
      </c>
      <c r="F133" s="17" t="n">
        <f aca="false">F132/E132-1</f>
        <v>0.143978531980903</v>
      </c>
      <c r="G133" s="17" t="n">
        <f aca="false">G132/F132-1</f>
        <v>0.128640391878408</v>
      </c>
    </row>
    <row r="136" customFormat="false" ht="17.15" hidden="false" customHeight="false" outlineLevel="0" collapsed="false">
      <c r="A136" s="3" t="s">
        <v>992</v>
      </c>
    </row>
    <row r="137" customFormat="false" ht="15" hidden="false" customHeight="false" outlineLevel="0" collapsed="false">
      <c r="A137" s="6" t="s">
        <v>18</v>
      </c>
      <c r="B137" s="6" t="s">
        <v>19</v>
      </c>
      <c r="C137" s="13" t="s">
        <v>603</v>
      </c>
      <c r="D137" s="13" t="s">
        <v>604</v>
      </c>
      <c r="E137" s="13" t="s">
        <v>605</v>
      </c>
      <c r="F137" s="13" t="s">
        <v>606</v>
      </c>
      <c r="G137" s="13" t="s">
        <v>607</v>
      </c>
      <c r="H137" s="6" t="s">
        <v>572</v>
      </c>
    </row>
    <row r="138" customFormat="false" ht="17.15" hidden="false" customHeight="false" outlineLevel="0" collapsed="false">
      <c r="A138" s="1" t="s">
        <v>627</v>
      </c>
    </row>
    <row r="139" customFormat="false" ht="17.15" hidden="false" customHeight="false" outlineLevel="0" collapsed="false">
      <c r="A139" s="0" t="s">
        <v>628</v>
      </c>
      <c r="B139" s="0" t="s">
        <v>125</v>
      </c>
      <c r="D139" s="16" t="n">
        <f aca="false">k_rec</f>
        <v>0.673483215644445</v>
      </c>
      <c r="E139" s="16" t="n">
        <f aca="false">k_rec*1</f>
        <v>0.673483215644445</v>
      </c>
      <c r="F139" s="16" t="n">
        <f aca="false">k_rec*1</f>
        <v>0.673483215644445</v>
      </c>
      <c r="G139" s="16" t="n">
        <f aca="false">k_rec*1</f>
        <v>0.673483215644445</v>
      </c>
    </row>
    <row r="140" customFormat="false" ht="17.15" hidden="false" customHeight="false" outlineLevel="0" collapsed="false">
      <c r="A140" s="5" t="s">
        <v>629</v>
      </c>
      <c r="B140" s="0" t="s">
        <v>229</v>
      </c>
      <c r="D140" s="21" t="n">
        <f aca="false">Units!C24</f>
        <v>419.36</v>
      </c>
      <c r="E140" s="21" t="n">
        <f aca="false">Units!D24</f>
        <v>671.46</v>
      </c>
      <c r="F140" s="21" t="n">
        <f aca="false">Units!E24</f>
        <v>763.2</v>
      </c>
      <c r="G140" s="21" t="n">
        <f aca="false">Units!F24</f>
        <v>864.55</v>
      </c>
    </row>
    <row r="141" customFormat="false" ht="17.15" hidden="false" customHeight="false" outlineLevel="0" collapsed="false">
      <c r="A141" s="0" t="s">
        <v>630</v>
      </c>
      <c r="B141" s="0" t="s">
        <v>40</v>
      </c>
      <c r="D141" s="17" t="n">
        <f aca="false">Units!C33</f>
        <v>0.0536531858069439</v>
      </c>
      <c r="E141" s="17" t="n">
        <f aca="false">Units!D33</f>
        <v>0.0670181395764454</v>
      </c>
      <c r="F141" s="17" t="n">
        <f aca="false">Units!E33</f>
        <v>0.0786163522012579</v>
      </c>
      <c r="G141" s="17" t="n">
        <f aca="false">Units!F33</f>
        <v>0.0798103059395061</v>
      </c>
    </row>
    <row r="142" customFormat="false" ht="17.15" hidden="false" customHeight="false" outlineLevel="0" collapsed="false">
      <c r="A142" s="0" t="s">
        <v>631</v>
      </c>
      <c r="B142" s="5" t="s">
        <v>29</v>
      </c>
      <c r="D142" s="9" t="n">
        <f aca="false">Units!C10</f>
        <v>0.75</v>
      </c>
      <c r="E142" s="9" t="n">
        <f aca="false">Units!D10</f>
        <v>1.5</v>
      </c>
      <c r="F142" s="9" t="n">
        <f aca="false">Units!E10</f>
        <v>2</v>
      </c>
      <c r="G142" s="9" t="n">
        <f aca="false">Units!F10</f>
        <v>2.3</v>
      </c>
    </row>
    <row r="143" customFormat="false" ht="17.15" hidden="false" customHeight="false" outlineLevel="0" collapsed="false">
      <c r="A143" s="0" t="s">
        <v>632</v>
      </c>
      <c r="B143" s="5" t="s">
        <v>29</v>
      </c>
      <c r="D143" s="9" t="n">
        <f aca="false">D142*D139</f>
        <v>0.505112411733333</v>
      </c>
      <c r="E143" s="9" t="n">
        <f aca="false">E142*E139</f>
        <v>1.01022482346667</v>
      </c>
      <c r="F143" s="9" t="n">
        <f aca="false">F142*F139</f>
        <v>1.34696643128889</v>
      </c>
      <c r="G143" s="9" t="n">
        <f aca="false">G142*G139</f>
        <v>1.54901139598222</v>
      </c>
    </row>
    <row r="144" customFormat="false" ht="17.15" hidden="false" customHeight="false" outlineLevel="0" collapsed="false">
      <c r="A144" s="5" t="s">
        <v>633</v>
      </c>
      <c r="B144" s="0" t="s">
        <v>125</v>
      </c>
      <c r="D144" s="16" t="n">
        <f aca="false">1</f>
        <v>1</v>
      </c>
      <c r="E144" s="16" t="n">
        <f aca="false">pg_27_hi</f>
        <v>1.25</v>
      </c>
      <c r="F144" s="16" t="n">
        <f aca="false">pg_28_hi</f>
        <v>1.5</v>
      </c>
      <c r="G144" s="16" t="n">
        <f aca="false">pg_29_hi</f>
        <v>1.5</v>
      </c>
    </row>
    <row r="145" customFormat="false" ht="17.15" hidden="false" customHeight="false" outlineLevel="0" collapsed="false">
      <c r="A145" s="0" t="s">
        <v>634</v>
      </c>
      <c r="B145" s="0" t="s">
        <v>229</v>
      </c>
      <c r="D145" s="21" t="n">
        <f aca="false">D140*D141*D139*D144</f>
        <v>15.153372352</v>
      </c>
      <c r="E145" s="21" t="n">
        <f aca="false">E140*E141*E139*E144</f>
        <v>37.88343088</v>
      </c>
      <c r="F145" s="21" t="n">
        <f aca="false">F140*F141*F139*F144</f>
        <v>60.613489408</v>
      </c>
      <c r="G145" s="21" t="n">
        <f aca="false">G140*G141*G139*G144</f>
        <v>69.7055128192</v>
      </c>
    </row>
    <row r="146" customFormat="false" ht="17.15" hidden="false" customHeight="false" outlineLevel="0" collapsed="false">
      <c r="A146" s="0" t="s">
        <v>635</v>
      </c>
      <c r="B146" s="0" t="s">
        <v>125</v>
      </c>
      <c r="D146" s="16" t="n">
        <f aca="false">hbm_A_26/hbm_A_26</f>
        <v>1</v>
      </c>
      <c r="E146" s="16" t="n">
        <f aca="false">hbm_A_27/hbm_A_26</f>
        <v>1.8</v>
      </c>
      <c r="F146" s="16" t="n">
        <f aca="false">hbm_A_28/hbm_A_26</f>
        <v>1.98</v>
      </c>
      <c r="G146" s="16" t="n">
        <f aca="false">hbm_A_29/hbm_A_26</f>
        <v>1.881</v>
      </c>
    </row>
    <row r="147" customFormat="false" ht="17.15" hidden="false" customHeight="false" outlineLevel="0" collapsed="false">
      <c r="A147" s="5" t="s">
        <v>636</v>
      </c>
      <c r="B147" s="0" t="s">
        <v>229</v>
      </c>
      <c r="D147" s="21" t="n">
        <f aca="false">D145*(1+(1-abs_mem)*hs_26*(D146-1))</f>
        <v>15.153372352</v>
      </c>
      <c r="E147" s="21" t="n">
        <f aca="false">E145*(1+(1-abs_mem)*hs_26*(E146-1))</f>
        <v>41.03703088</v>
      </c>
      <c r="F147" s="21" t="n">
        <f aca="false">F145*(1+(1-abs_mem)*hs_26*(F146-1))</f>
        <v>66.794545408</v>
      </c>
      <c r="G147" s="21" t="n">
        <f aca="false">G145*(1+(1-abs_mem)*hs_26*(G146-1))</f>
        <v>76.0956524992</v>
      </c>
    </row>
    <row r="148" customFormat="false" ht="17.15" hidden="false" customHeight="false" outlineLevel="0" collapsed="false">
      <c r="A148" s="5" t="s">
        <v>637</v>
      </c>
      <c r="B148" s="0" t="s">
        <v>229</v>
      </c>
      <c r="D148" s="21" t="n">
        <f aca="false">D145*((1-gm_gpu)+hs_26*(D146-1))</f>
        <v>7.576686176</v>
      </c>
      <c r="E148" s="21" t="n">
        <f aca="false">E145*((1-gm_gpu)+hs_26*(E146-1))</f>
        <v>25.24891544</v>
      </c>
      <c r="F148" s="21" t="n">
        <f aca="false">F145*((1-gm_gpu)+hs_26*(F146-1))</f>
        <v>42.668856704</v>
      </c>
      <c r="G148" s="21" t="n">
        <f aca="false">G145*((1-gm_gpu)+hs_26*(G146-1))</f>
        <v>47.6330357696</v>
      </c>
      <c r="H148" s="5" t="s">
        <v>638</v>
      </c>
    </row>
    <row r="149" customFormat="false" ht="17.15" hidden="false" customHeight="false" outlineLevel="0" collapsed="false">
      <c r="A149" s="5" t="s">
        <v>639</v>
      </c>
      <c r="B149" s="0" t="s">
        <v>40</v>
      </c>
      <c r="D149" s="17" t="n">
        <f aca="false">1-D148/D147</f>
        <v>0.5</v>
      </c>
      <c r="E149" s="17" t="n">
        <f aca="false">1-E148/E147</f>
        <v>0.38472850256071</v>
      </c>
      <c r="F149" s="17" t="n">
        <f aca="false">1-F148/F147</f>
        <v>0.361192497929785</v>
      </c>
      <c r="G149" s="17" t="n">
        <f aca="false">1-G148/G147</f>
        <v>0.374037356863445</v>
      </c>
    </row>
    <row r="150" customFormat="false" ht="17.15" hidden="false" customHeight="false" outlineLevel="0" collapsed="false">
      <c r="A150" s="5" t="s">
        <v>640</v>
      </c>
      <c r="B150" s="0" t="s">
        <v>229</v>
      </c>
      <c r="D150" s="21" t="n">
        <f aca="false">a26_dcx</f>
        <v>15.698097648</v>
      </c>
      <c r="E150" s="21" t="n">
        <f aca="false">D150*(1+g_cpu27)</f>
        <v>23.547146472</v>
      </c>
      <c r="F150" s="21" t="n">
        <f aca="false">E150*(1+g_cpu28)</f>
        <v>29.43393309</v>
      </c>
      <c r="G150" s="21" t="n">
        <f aca="false">F150*(1+g_cpu29)</f>
        <v>33.8490230535</v>
      </c>
    </row>
    <row r="151" customFormat="false" ht="15" hidden="false" customHeight="false" outlineLevel="0" collapsed="false">
      <c r="A151" s="0" t="s">
        <v>524</v>
      </c>
      <c r="B151" s="0" t="s">
        <v>229</v>
      </c>
      <c r="D151" s="21" t="n">
        <f aca="false">a26_cli</f>
        <v>12.037318</v>
      </c>
      <c r="E151" s="21" t="n">
        <f aca="false">D151*(1+g_cli)</f>
        <v>12.39843754</v>
      </c>
      <c r="F151" s="21" t="n">
        <f aca="false">E151*(1+g_cli)</f>
        <v>12.7703906662</v>
      </c>
      <c r="G151" s="21" t="n">
        <f aca="false">F151*(1+g_cli)</f>
        <v>13.153502386186</v>
      </c>
    </row>
    <row r="152" customFormat="false" ht="15" hidden="false" customHeight="false" outlineLevel="0" collapsed="false">
      <c r="A152" s="0" t="s">
        <v>526</v>
      </c>
      <c r="B152" s="0" t="s">
        <v>229</v>
      </c>
      <c r="D152" s="21" t="n">
        <f aca="false">a26_gam</f>
        <v>2.68308</v>
      </c>
      <c r="E152" s="21" t="n">
        <f aca="false">D152*(1+g_gam)</f>
        <v>2.414772</v>
      </c>
      <c r="F152" s="21" t="n">
        <f aca="false">E152*(1+g_gam)</f>
        <v>2.1732948</v>
      </c>
      <c r="G152" s="21" t="n">
        <f aca="false">F152*(1+g_gam)</f>
        <v>1.95596532</v>
      </c>
    </row>
    <row r="153" customFormat="false" ht="15" hidden="false" customHeight="false" outlineLevel="0" collapsed="false">
      <c r="A153" s="0" t="s">
        <v>527</v>
      </c>
      <c r="B153" s="0" t="s">
        <v>229</v>
      </c>
      <c r="D153" s="21" t="n">
        <f aca="false">a26_emb</f>
        <v>4.0713072</v>
      </c>
      <c r="E153" s="21" t="n">
        <f aca="false">D153*(1+g_emb)</f>
        <v>4.47843792</v>
      </c>
      <c r="F153" s="21" t="n">
        <f aca="false">E153*(1+g_emb)</f>
        <v>4.926281712</v>
      </c>
      <c r="G153" s="21" t="n">
        <f aca="false">F153*(1+g_emb)</f>
        <v>5.4189098832</v>
      </c>
    </row>
    <row r="154" customFormat="false" ht="17.15" hidden="false" customHeight="false" outlineLevel="0" collapsed="false">
      <c r="A154" s="5" t="s">
        <v>641</v>
      </c>
      <c r="B154" s="0" t="s">
        <v>229</v>
      </c>
      <c r="D154" s="21" t="n">
        <f aca="false">D150+D151+D152+D153</f>
        <v>34.489802848</v>
      </c>
      <c r="E154" s="21" t="n">
        <f aca="false">E150+E151+E152+E153</f>
        <v>42.838793932</v>
      </c>
      <c r="F154" s="21" t="n">
        <f aca="false">F150+F151+F152+F153</f>
        <v>49.3039002682</v>
      </c>
      <c r="G154" s="21" t="n">
        <f aca="false">G150+G151+G152+G153</f>
        <v>54.377400642886</v>
      </c>
    </row>
    <row r="155" customFormat="false" ht="17.15" hidden="false" customHeight="false" outlineLevel="0" collapsed="false">
      <c r="A155" s="5" t="s">
        <v>642</v>
      </c>
      <c r="B155" s="0" t="s">
        <v>40</v>
      </c>
      <c r="D155" s="17" t="n">
        <f aca="false">(a26_gp-(D147-D148))/D154</f>
        <v>0.583371878020658</v>
      </c>
      <c r="E155" s="17" t="n">
        <f aca="false">$D155</f>
        <v>0.583371878020658</v>
      </c>
      <c r="F155" s="17" t="n">
        <f aca="false">$D155</f>
        <v>0.583371878020658</v>
      </c>
      <c r="G155" s="17" t="n">
        <f aca="false">$D155</f>
        <v>0.583371878020658</v>
      </c>
      <c r="H155" s="8" t="s">
        <v>643</v>
      </c>
    </row>
    <row r="156" customFormat="false" ht="17.15" hidden="false" customHeight="false" outlineLevel="0" collapsed="false">
      <c r="A156" s="5" t="s">
        <v>644</v>
      </c>
      <c r="B156" s="0" t="s">
        <v>229</v>
      </c>
      <c r="D156" s="21" t="n">
        <f aca="false">(1-D155)*D154</f>
        <v>14.369421788</v>
      </c>
      <c r="E156" s="21" t="n">
        <f aca="false">(1-E155)*E154</f>
        <v>17.8478462637492</v>
      </c>
      <c r="F156" s="21" t="n">
        <f aca="false">(1-F155)*F154</f>
        <v>20.5413913749969</v>
      </c>
      <c r="G156" s="21" t="n">
        <f aca="false">(1-G155)*G154</f>
        <v>22.6551543079639</v>
      </c>
    </row>
    <row r="157" customFormat="false" ht="15" hidden="false" customHeight="false" outlineLevel="0" collapsed="false">
      <c r="A157" s="5" t="s">
        <v>645</v>
      </c>
      <c r="B157" s="0" t="s">
        <v>229</v>
      </c>
      <c r="D157" s="21" t="n">
        <f aca="false">D147+D154</f>
        <v>49.6431752</v>
      </c>
      <c r="E157" s="21" t="n">
        <f aca="false">E147+E154</f>
        <v>83.875824812</v>
      </c>
      <c r="F157" s="21" t="n">
        <f aca="false">F147+F154</f>
        <v>116.0984456762</v>
      </c>
      <c r="G157" s="21" t="n">
        <f aca="false">G147+G154</f>
        <v>130.473053142086</v>
      </c>
    </row>
    <row r="158" customFormat="false" ht="15" hidden="false" customHeight="false" outlineLevel="0" collapsed="false">
      <c r="A158" s="5" t="s">
        <v>646</v>
      </c>
      <c r="B158" s="0" t="s">
        <v>229</v>
      </c>
      <c r="D158" s="21" t="n">
        <f aca="false">D148+D156</f>
        <v>21.946107964</v>
      </c>
      <c r="E158" s="21" t="n">
        <f aca="false">E148+E156</f>
        <v>43.0967617037492</v>
      </c>
      <c r="F158" s="21" t="n">
        <f aca="false">F148+F156</f>
        <v>63.210248078997</v>
      </c>
      <c r="G158" s="21" t="n">
        <f aca="false">G148+G156</f>
        <v>70.2881900775639</v>
      </c>
    </row>
    <row r="159" customFormat="false" ht="17.15" hidden="false" customHeight="false" outlineLevel="0" collapsed="false">
      <c r="A159" s="5" t="s">
        <v>647</v>
      </c>
      <c r="B159" s="0" t="s">
        <v>40</v>
      </c>
      <c r="D159" s="17" t="n">
        <f aca="false">1-D158/D157</f>
        <v>0.557922959690137</v>
      </c>
      <c r="E159" s="17" t="n">
        <f aca="false">1-E158/E157</f>
        <v>0.48618375079653</v>
      </c>
      <c r="F159" s="17" t="n">
        <f aca="false">1-F158/F157</f>
        <v>0.455546129745</v>
      </c>
      <c r="G159" s="17" t="n">
        <f aca="false">1-G158/G157</f>
        <v>0.46128193994955</v>
      </c>
      <c r="H159" s="8" t="s">
        <v>648</v>
      </c>
    </row>
    <row r="160" customFormat="false" ht="17.15" hidden="false" customHeight="false" outlineLevel="0" collapsed="false">
      <c r="A160" s="1" t="s">
        <v>649</v>
      </c>
    </row>
    <row r="161" customFormat="false" ht="15" hidden="false" customHeight="false" outlineLevel="0" collapsed="false">
      <c r="A161" s="5" t="s">
        <v>510</v>
      </c>
      <c r="B161" s="0" t="s">
        <v>229</v>
      </c>
      <c r="C161" s="21" t="n">
        <f aca="false">a25_rev</f>
        <v>34.639</v>
      </c>
      <c r="D161" s="21" t="n">
        <f aca="false">a26_rev</f>
        <v>49.6431752</v>
      </c>
      <c r="E161" s="21" t="n">
        <f aca="false">E157</f>
        <v>83.875824812</v>
      </c>
      <c r="F161" s="21" t="n">
        <f aca="false">F157</f>
        <v>116.0984456762</v>
      </c>
      <c r="G161" s="21" t="n">
        <f aca="false">G157</f>
        <v>130.473053142086</v>
      </c>
    </row>
    <row r="162" customFormat="false" ht="15" hidden="false" customHeight="false" outlineLevel="0" collapsed="false">
      <c r="A162" s="0" t="s">
        <v>610</v>
      </c>
      <c r="B162" s="0" t="s">
        <v>229</v>
      </c>
      <c r="C162" s="21" t="n">
        <f aca="false">a25_dc</f>
        <v>16.635</v>
      </c>
      <c r="D162" s="21" t="n">
        <f aca="false">a26_dc</f>
        <v>30.85147</v>
      </c>
      <c r="E162" s="21" t="n">
        <f aca="false">E147+E150</f>
        <v>64.584177352</v>
      </c>
      <c r="F162" s="21" t="n">
        <f aca="false">F147+F150</f>
        <v>96.228478498</v>
      </c>
      <c r="G162" s="21" t="n">
        <f aca="false">G147+G150</f>
        <v>109.9446755527</v>
      </c>
    </row>
    <row r="163" customFormat="false" ht="17.15" hidden="false" customHeight="false" outlineLevel="0" collapsed="false">
      <c r="A163" s="5" t="s">
        <v>611</v>
      </c>
      <c r="B163" s="0" t="s">
        <v>229</v>
      </c>
      <c r="C163" s="21" t="n">
        <f aca="false">a25_gpu</f>
        <v>6.5</v>
      </c>
      <c r="D163" s="21" t="n">
        <f aca="false">a26_gpu</f>
        <v>15.153372352</v>
      </c>
      <c r="E163" s="21" t="n">
        <f aca="false">E147</f>
        <v>41.03703088</v>
      </c>
      <c r="F163" s="21" t="n">
        <f aca="false">F147</f>
        <v>66.794545408</v>
      </c>
      <c r="G163" s="21" t="n">
        <f aca="false">G147</f>
        <v>76.0956524992</v>
      </c>
    </row>
    <row r="164" customFormat="false" ht="17.15" hidden="false" customHeight="false" outlineLevel="0" collapsed="false">
      <c r="A164" s="5" t="s">
        <v>650</v>
      </c>
      <c r="B164" s="0" t="s">
        <v>229</v>
      </c>
      <c r="C164" s="21" t="n">
        <f aca="false">a25_dcx</f>
        <v>10.135</v>
      </c>
      <c r="D164" s="21" t="n">
        <f aca="false">a26_dcx</f>
        <v>15.698097648</v>
      </c>
      <c r="E164" s="21" t="n">
        <f aca="false">E150</f>
        <v>23.547146472</v>
      </c>
      <c r="F164" s="21" t="n">
        <f aca="false">F150</f>
        <v>29.43393309</v>
      </c>
      <c r="G164" s="21" t="n">
        <f aca="false">G150</f>
        <v>33.8490230535</v>
      </c>
    </row>
    <row r="165" customFormat="false" ht="17.15" hidden="false" customHeight="false" outlineLevel="0" collapsed="false">
      <c r="A165" s="0" t="s">
        <v>613</v>
      </c>
      <c r="B165" s="0" t="s">
        <v>229</v>
      </c>
      <c r="C165" s="21" t="n">
        <f aca="false">a25_cli+a25_gam</f>
        <v>14.55</v>
      </c>
      <c r="D165" s="21" t="n">
        <f aca="false">a26_cli+a26_gam</f>
        <v>14.720398</v>
      </c>
      <c r="E165" s="21" t="n">
        <f aca="false">E151+E152</f>
        <v>14.81320954</v>
      </c>
      <c r="F165" s="21" t="n">
        <f aca="false">F151+F152</f>
        <v>14.9436854662</v>
      </c>
      <c r="G165" s="21" t="n">
        <f aca="false">G151+G152</f>
        <v>15.109467706186</v>
      </c>
    </row>
    <row r="166" customFormat="false" ht="15" hidden="false" customHeight="false" outlineLevel="0" collapsed="false">
      <c r="A166" s="0" t="s">
        <v>614</v>
      </c>
      <c r="B166" s="0" t="s">
        <v>229</v>
      </c>
      <c r="C166" s="21" t="n">
        <f aca="false">a25_emb</f>
        <v>3.454</v>
      </c>
      <c r="D166" s="21" t="n">
        <f aca="false">a26_emb</f>
        <v>4.0713072</v>
      </c>
      <c r="E166" s="21" t="n">
        <f aca="false">E153</f>
        <v>4.47843792</v>
      </c>
      <c r="F166" s="21" t="n">
        <f aca="false">F153</f>
        <v>4.926281712</v>
      </c>
      <c r="G166" s="21" t="n">
        <f aca="false">G153</f>
        <v>5.4189098832</v>
      </c>
    </row>
    <row r="167" customFormat="false" ht="15" hidden="false" customHeight="false" outlineLevel="0" collapsed="false">
      <c r="A167" s="5" t="s">
        <v>651</v>
      </c>
      <c r="B167" s="0" t="s">
        <v>40</v>
      </c>
      <c r="D167" s="17" t="n">
        <f aca="false">D161/C161-1</f>
        <v>0.433158439908774</v>
      </c>
      <c r="E167" s="17" t="n">
        <f aca="false">E161/D161-1</f>
        <v>0.68957413529826</v>
      </c>
      <c r="F167" s="17" t="n">
        <f aca="false">F161/E161-1</f>
        <v>0.384170539442373</v>
      </c>
      <c r="G167" s="17" t="n">
        <f aca="false">G161/F161-1</f>
        <v>0.123813952737808</v>
      </c>
    </row>
    <row r="168" customFormat="false" ht="17.15" hidden="false" customHeight="false" outlineLevel="0" collapsed="false">
      <c r="A168" s="5" t="s">
        <v>529</v>
      </c>
      <c r="B168" s="0" t="s">
        <v>229</v>
      </c>
      <c r="C168" s="21" t="n">
        <f aca="false">a25_gp</f>
        <v>18.165</v>
      </c>
      <c r="D168" s="21" t="n">
        <f aca="false">a26_gp</f>
        <v>27.697067236</v>
      </c>
      <c r="E168" s="21" t="n">
        <f aca="false">E161-E158</f>
        <v>40.7790631082508</v>
      </c>
      <c r="F168" s="21" t="n">
        <f aca="false">F161-F158</f>
        <v>52.8881975972031</v>
      </c>
      <c r="G168" s="21" t="n">
        <f aca="false">G161-G158</f>
        <v>60.1848630645222</v>
      </c>
    </row>
    <row r="169" customFormat="false" ht="15" hidden="false" customHeight="false" outlineLevel="0" collapsed="false">
      <c r="A169" s="5" t="s">
        <v>615</v>
      </c>
      <c r="B169" s="0" t="s">
        <v>40</v>
      </c>
      <c r="C169" s="17" t="n">
        <f aca="false">C168/C161</f>
        <v>0.524408903259332</v>
      </c>
      <c r="D169" s="17" t="n">
        <f aca="false">D168/D161</f>
        <v>0.557922959690137</v>
      </c>
      <c r="E169" s="17" t="n">
        <f aca="false">E168/E161</f>
        <v>0.48618375079653</v>
      </c>
      <c r="F169" s="17" t="n">
        <f aca="false">F168/F161</f>
        <v>0.455546129745</v>
      </c>
      <c r="G169" s="17" t="n">
        <f aca="false">G168/G161</f>
        <v>0.46128193994955</v>
      </c>
    </row>
    <row r="170" customFormat="false" ht="17.15" hidden="false" customHeight="false" outlineLevel="0" collapsed="false">
      <c r="A170" s="5" t="s">
        <v>652</v>
      </c>
      <c r="B170" s="0" t="s">
        <v>229</v>
      </c>
      <c r="C170" s="21" t="n">
        <f aca="false">a25_opx</f>
        <v>10.397</v>
      </c>
      <c r="D170" s="21" t="n">
        <f aca="false">a26_opx</f>
        <v>14.0215</v>
      </c>
      <c r="E170" s="21" t="n">
        <f aca="false">D170*(1+MAX(g_opx_min,phi*E167))</f>
        <v>21.8030967069292</v>
      </c>
      <c r="F170" s="21" t="n">
        <f aca="false">E170*(1+MAX(g_opx_min,phi*F167))</f>
        <v>28.5442704072265</v>
      </c>
      <c r="G170" s="21" t="n">
        <f aca="false">F170*(1+MAX(g_opx_min,phi*G167))</f>
        <v>31.3886124107654</v>
      </c>
      <c r="H170" s="5" t="s">
        <v>653</v>
      </c>
    </row>
    <row r="171" customFormat="false" ht="15" hidden="false" customHeight="false" outlineLevel="0" collapsed="false">
      <c r="A171" s="5" t="s">
        <v>654</v>
      </c>
      <c r="B171" s="0" t="s">
        <v>229</v>
      </c>
      <c r="C171" s="21" t="n">
        <f aca="false">C170</f>
        <v>10.397</v>
      </c>
      <c r="D171" s="21" t="n">
        <f aca="false">D170</f>
        <v>14.0215</v>
      </c>
      <c r="E171" s="21" t="n">
        <f aca="false">E170+0*E161</f>
        <v>21.8030967069292</v>
      </c>
      <c r="F171" s="21" t="n">
        <f aca="false">F170+0*F161</f>
        <v>28.5442704072265</v>
      </c>
      <c r="G171" s="21" t="n">
        <f aca="false">G170+0*G161</f>
        <v>31.3886124107654</v>
      </c>
    </row>
    <row r="172" customFormat="false" ht="15" hidden="false" customHeight="false" outlineLevel="0" collapsed="false">
      <c r="A172" s="5" t="s">
        <v>616</v>
      </c>
      <c r="B172" s="0" t="s">
        <v>229</v>
      </c>
      <c r="C172" s="21" t="n">
        <f aca="false">C168-C171</f>
        <v>7.768</v>
      </c>
      <c r="D172" s="21" t="n">
        <f aca="false">D168-D171</f>
        <v>13.675567236</v>
      </c>
      <c r="E172" s="21" t="n">
        <f aca="false">E168-E171</f>
        <v>18.9759664013216</v>
      </c>
      <c r="F172" s="21" t="n">
        <f aca="false">F168-F171</f>
        <v>24.3439271899766</v>
      </c>
      <c r="G172" s="21" t="n">
        <f aca="false">G168-G171</f>
        <v>28.7962506537567</v>
      </c>
    </row>
    <row r="173" customFormat="false" ht="15" hidden="false" customHeight="false" outlineLevel="0" collapsed="false">
      <c r="A173" s="5" t="s">
        <v>617</v>
      </c>
      <c r="B173" s="0" t="s">
        <v>40</v>
      </c>
      <c r="C173" s="17" t="n">
        <f aca="false">C172/C161</f>
        <v>0.22425589653281</v>
      </c>
      <c r="D173" s="17" t="n">
        <f aca="false">D172/D161</f>
        <v>0.275477287278756</v>
      </c>
      <c r="E173" s="17" t="n">
        <f aca="false">E172/E161</f>
        <v>0.226238805327453</v>
      </c>
      <c r="F173" s="17" t="n">
        <f aca="false">F172/F161</f>
        <v>0.209683489285224</v>
      </c>
      <c r="G173" s="17" t="n">
        <f aca="false">G172/G161</f>
        <v>0.220706498087367</v>
      </c>
    </row>
    <row r="174" customFormat="false" ht="17.15" hidden="false" customHeight="false" outlineLevel="0" collapsed="false">
      <c r="A174" s="5" t="s">
        <v>655</v>
      </c>
      <c r="B174" s="0" t="s">
        <v>229</v>
      </c>
      <c r="C174" s="9" t="n">
        <f aca="false">a25_oth</f>
        <v>0.081</v>
      </c>
      <c r="D174" s="9" t="n">
        <f aca="false">a26_oth</f>
        <v>0.25</v>
      </c>
      <c r="E174" s="9" t="n">
        <f aca="false">oth_f</f>
        <v>0.2</v>
      </c>
      <c r="F174" s="9" t="n">
        <f aca="false">oth_f</f>
        <v>0.2</v>
      </c>
      <c r="G174" s="9" t="n">
        <f aca="false">oth_f</f>
        <v>0.2</v>
      </c>
    </row>
    <row r="175" customFormat="false" ht="15" hidden="false" customHeight="false" outlineLevel="0" collapsed="false">
      <c r="A175" s="5" t="s">
        <v>656</v>
      </c>
      <c r="B175" s="0" t="s">
        <v>40</v>
      </c>
      <c r="C175" s="17" t="n">
        <f aca="false">a25_etr</f>
        <v>0.129698050707096</v>
      </c>
      <c r="D175" s="17" t="n">
        <f aca="false">a26_etr</f>
        <v>0.129883667216384</v>
      </c>
      <c r="E175" s="17" t="n">
        <f aca="false">tx_f</f>
        <v>0.13</v>
      </c>
      <c r="F175" s="17" t="n">
        <f aca="false">tx_f</f>
        <v>0.13</v>
      </c>
      <c r="G175" s="17" t="n">
        <f aca="false">tx_f</f>
        <v>0.13</v>
      </c>
    </row>
    <row r="176" customFormat="false" ht="17.15" hidden="false" customHeight="false" outlineLevel="0" collapsed="false">
      <c r="A176" s="5" t="s">
        <v>547</v>
      </c>
      <c r="B176" s="0" t="s">
        <v>229</v>
      </c>
      <c r="C176" s="21" t="n">
        <f aca="false">a25_ni</f>
        <v>6.831</v>
      </c>
      <c r="D176" s="21" t="n">
        <f aca="false">a26_ni</f>
        <v>12.11686349532</v>
      </c>
      <c r="E176" s="21" t="n">
        <f aca="false">(E172+E174)*(1-E175)</f>
        <v>16.6830907691498</v>
      </c>
      <c r="F176" s="21" t="n">
        <f aca="false">(F172+F174)*(1-F175)</f>
        <v>21.3532166552797</v>
      </c>
      <c r="G176" s="21" t="n">
        <f aca="false">(G172+G174)*(1-G175)</f>
        <v>25.2267380687684</v>
      </c>
    </row>
    <row r="177" customFormat="false" ht="15" hidden="false" customHeight="false" outlineLevel="0" collapsed="false">
      <c r="A177" s="5" t="s">
        <v>657</v>
      </c>
      <c r="B177" s="5" t="s">
        <v>309</v>
      </c>
      <c r="C177" s="16" t="n">
        <f aca="false">a25_sh</f>
        <v>1.636</v>
      </c>
      <c r="D177" s="16" t="n">
        <f aca="false">a26_sh</f>
        <v>1.6585805</v>
      </c>
      <c r="E177" s="16" t="n">
        <f aca="false">D177*(1+sh_g)</f>
        <v>1.675166305</v>
      </c>
      <c r="F177" s="16" t="n">
        <f aca="false">E177*(1+sh_g)</f>
        <v>1.69191796805</v>
      </c>
      <c r="G177" s="16" t="n">
        <f aca="false">F177*(1+sh_g)</f>
        <v>1.7088371477305</v>
      </c>
    </row>
    <row r="178" customFormat="false" ht="17.15" hidden="false" customHeight="false" outlineLevel="0" collapsed="false">
      <c r="A178" s="5" t="s">
        <v>658</v>
      </c>
      <c r="B178" s="5" t="s">
        <v>309</v>
      </c>
      <c r="C178" s="16" t="n">
        <f aca="false">0</f>
        <v>0</v>
      </c>
      <c r="D178" s="16" t="n">
        <f aca="false">0</f>
        <v>0</v>
      </c>
      <c r="E178" s="16" t="n">
        <f aca="false">w_tot/w_gw*(gw_26+gw_27)/2*wf</f>
        <v>0.0266666666666667</v>
      </c>
      <c r="F178" s="16" t="n">
        <f aca="false">w_tot/w_gw*(gw_27+gw_28*um28_A)/2*wf</f>
        <v>0.08</v>
      </c>
      <c r="G178" s="16" t="n">
        <f aca="false">w_tot/w_gw*(gw_28*um28_A+gw_29*um29_A)/2*wf</f>
        <v>0.133333333333333</v>
      </c>
      <c r="H178" s="8" t="s">
        <v>659</v>
      </c>
    </row>
    <row r="179" customFormat="false" ht="15" hidden="false" customHeight="false" outlineLevel="0" collapsed="false">
      <c r="A179" s="5" t="s">
        <v>618</v>
      </c>
      <c r="B179" s="5" t="s">
        <v>309</v>
      </c>
      <c r="C179" s="16" t="n">
        <f aca="false">C177+C178</f>
        <v>1.636</v>
      </c>
      <c r="D179" s="16" t="n">
        <f aca="false">D177+D178</f>
        <v>1.6585805</v>
      </c>
      <c r="E179" s="16" t="n">
        <f aca="false">E177+E178</f>
        <v>1.70183297166667</v>
      </c>
      <c r="F179" s="16" t="n">
        <f aca="false">F177+F178</f>
        <v>1.77191796805</v>
      </c>
      <c r="G179" s="16" t="n">
        <f aca="false">G177+G178</f>
        <v>1.84217048106383</v>
      </c>
    </row>
    <row r="180" customFormat="false" ht="17.15" hidden="false" customHeight="false" outlineLevel="0" collapsed="false">
      <c r="A180" s="0" t="s">
        <v>619</v>
      </c>
      <c r="B180" s="0" t="s">
        <v>396</v>
      </c>
      <c r="C180" s="9" t="n">
        <f aca="false">C176/C179</f>
        <v>4.17542787286064</v>
      </c>
      <c r="D180" s="9" t="n">
        <f aca="false">D176/D179</f>
        <v>7.30556249474777</v>
      </c>
      <c r="E180" s="9" t="n">
        <f aca="false">E176/E179</f>
        <v>9.80301301414523</v>
      </c>
      <c r="F180" s="9" t="n">
        <f aca="false">F176/F179</f>
        <v>12.050905877307</v>
      </c>
      <c r="G180" s="9" t="n">
        <f aca="false">G176/G179</f>
        <v>13.6940301280912</v>
      </c>
    </row>
    <row r="181" customFormat="false" ht="17.15" hidden="false" customHeight="false" outlineLevel="0" collapsed="false">
      <c r="A181" s="0" t="s">
        <v>660</v>
      </c>
      <c r="B181" s="0" t="s">
        <v>40</v>
      </c>
      <c r="D181" s="17" t="n">
        <f aca="false">D180/C180-1</f>
        <v>0.749656015430735</v>
      </c>
      <c r="E181" s="17" t="n">
        <f aca="false">E180/D180-1</f>
        <v>0.341856020148068</v>
      </c>
      <c r="F181" s="17" t="n">
        <f aca="false">F180/E180-1</f>
        <v>0.229306322445782</v>
      </c>
      <c r="G181" s="17" t="n">
        <f aca="false">G180/F180-1</f>
        <v>0.136348608769597</v>
      </c>
    </row>
    <row r="184" customFormat="false" ht="17.15" hidden="false" customHeight="false" outlineLevel="0" collapsed="false">
      <c r="A184" s="3" t="s">
        <v>993</v>
      </c>
    </row>
    <row r="185" customFormat="false" ht="15" hidden="false" customHeight="false" outlineLevel="0" collapsed="false">
      <c r="A185" s="6" t="s">
        <v>18</v>
      </c>
      <c r="B185" s="6" t="s">
        <v>19</v>
      </c>
      <c r="C185" s="13" t="s">
        <v>603</v>
      </c>
      <c r="D185" s="13" t="s">
        <v>604</v>
      </c>
      <c r="E185" s="13" t="s">
        <v>605</v>
      </c>
      <c r="F185" s="13" t="s">
        <v>606</v>
      </c>
      <c r="G185" s="13" t="s">
        <v>607</v>
      </c>
      <c r="H185" s="6" t="s">
        <v>572</v>
      </c>
    </row>
    <row r="186" customFormat="false" ht="17.15" hidden="false" customHeight="false" outlineLevel="0" collapsed="false">
      <c r="A186" s="1" t="s">
        <v>627</v>
      </c>
    </row>
    <row r="187" customFormat="false" ht="17.15" hidden="false" customHeight="false" outlineLevel="0" collapsed="false">
      <c r="A187" s="0" t="s">
        <v>628</v>
      </c>
      <c r="B187" s="0" t="s">
        <v>125</v>
      </c>
      <c r="D187" s="16" t="n">
        <f aca="false">k_rec</f>
        <v>0.673483215644445</v>
      </c>
      <c r="E187" s="16" t="n">
        <f aca="false">k_rec*1</f>
        <v>0.673483215644445</v>
      </c>
      <c r="F187" s="16" t="n">
        <f aca="false">k_rec*1</f>
        <v>0.673483215644445</v>
      </c>
      <c r="G187" s="16" t="n">
        <f aca="false">k_rec*1</f>
        <v>0.673483215644445</v>
      </c>
    </row>
    <row r="188" customFormat="false" ht="17.15" hidden="false" customHeight="false" outlineLevel="0" collapsed="false">
      <c r="A188" s="5" t="s">
        <v>629</v>
      </c>
      <c r="B188" s="0" t="s">
        <v>229</v>
      </c>
      <c r="D188" s="21" t="n">
        <f aca="false">Units!C24</f>
        <v>419.36</v>
      </c>
      <c r="E188" s="21" t="n">
        <f aca="false">Units!D24</f>
        <v>671.46</v>
      </c>
      <c r="F188" s="21" t="n">
        <f aca="false">Units!E24</f>
        <v>763.2</v>
      </c>
      <c r="G188" s="21" t="n">
        <f aca="false">Units!F24</f>
        <v>864.55</v>
      </c>
    </row>
    <row r="189" customFormat="false" ht="17.15" hidden="false" customHeight="false" outlineLevel="0" collapsed="false">
      <c r="A189" s="0" t="s">
        <v>630</v>
      </c>
      <c r="B189" s="0" t="s">
        <v>40</v>
      </c>
      <c r="D189" s="17" t="n">
        <f aca="false">Units!C33</f>
        <v>0.0536531858069439</v>
      </c>
      <c r="E189" s="17" t="n">
        <f aca="false">Units!D33</f>
        <v>0.0670181395764454</v>
      </c>
      <c r="F189" s="17" t="n">
        <f aca="false">Units!E33</f>
        <v>0.0786163522012579</v>
      </c>
      <c r="G189" s="17" t="n">
        <f aca="false">Units!F33</f>
        <v>0.0798103059395061</v>
      </c>
    </row>
    <row r="190" customFormat="false" ht="17.15" hidden="false" customHeight="false" outlineLevel="0" collapsed="false">
      <c r="A190" s="0" t="s">
        <v>631</v>
      </c>
      <c r="B190" s="5" t="s">
        <v>29</v>
      </c>
      <c r="D190" s="9" t="n">
        <f aca="false">Units!C10</f>
        <v>0.75</v>
      </c>
      <c r="E190" s="9" t="n">
        <f aca="false">Units!D10</f>
        <v>1.5</v>
      </c>
      <c r="F190" s="9" t="n">
        <f aca="false">Units!E10</f>
        <v>2</v>
      </c>
      <c r="G190" s="9" t="n">
        <f aca="false">Units!F10</f>
        <v>2.3</v>
      </c>
    </row>
    <row r="191" customFormat="false" ht="17.15" hidden="false" customHeight="false" outlineLevel="0" collapsed="false">
      <c r="A191" s="0" t="s">
        <v>632</v>
      </c>
      <c r="B191" s="5" t="s">
        <v>29</v>
      </c>
      <c r="D191" s="9" t="n">
        <f aca="false">D190*D187</f>
        <v>0.505112411733333</v>
      </c>
      <c r="E191" s="9" t="n">
        <f aca="false">E190*E187</f>
        <v>1.01022482346667</v>
      </c>
      <c r="F191" s="9" t="n">
        <f aca="false">F190*F187</f>
        <v>1.34696643128889</v>
      </c>
      <c r="G191" s="9" t="n">
        <f aca="false">G190*G187</f>
        <v>1.54901139598222</v>
      </c>
    </row>
    <row r="192" customFormat="false" ht="17.15" hidden="false" customHeight="false" outlineLevel="0" collapsed="false">
      <c r="A192" s="5" t="s">
        <v>633</v>
      </c>
      <c r="B192" s="0" t="s">
        <v>125</v>
      </c>
      <c r="D192" s="16" t="n">
        <f aca="false">1</f>
        <v>1</v>
      </c>
      <c r="E192" s="16" t="n">
        <f aca="false">1/k_rec</f>
        <v>1.48481799808941</v>
      </c>
      <c r="F192" s="16" t="n">
        <f aca="false">1/k_rec</f>
        <v>1.48481799808941</v>
      </c>
      <c r="G192" s="16" t="n">
        <f aca="false">1/k_rec</f>
        <v>1.48481799808941</v>
      </c>
    </row>
    <row r="193" customFormat="false" ht="17.15" hidden="false" customHeight="false" outlineLevel="0" collapsed="false">
      <c r="A193" s="0" t="s">
        <v>634</v>
      </c>
      <c r="B193" s="0" t="s">
        <v>229</v>
      </c>
      <c r="D193" s="21" t="n">
        <f aca="false">D188*D189*D187*D192</f>
        <v>15.153372352</v>
      </c>
      <c r="E193" s="21" t="n">
        <f aca="false">E188*E189*E187*E192</f>
        <v>45</v>
      </c>
      <c r="F193" s="21" t="n">
        <f aca="false">F188*F189*F187*F192</f>
        <v>60</v>
      </c>
      <c r="G193" s="21" t="n">
        <f aca="false">G188*G189*G187*G192</f>
        <v>69</v>
      </c>
    </row>
    <row r="194" customFormat="false" ht="17.15" hidden="false" customHeight="false" outlineLevel="0" collapsed="false">
      <c r="A194" s="0" t="s">
        <v>635</v>
      </c>
      <c r="B194" s="0" t="s">
        <v>125</v>
      </c>
      <c r="D194" s="16" t="n">
        <f aca="false">hbm_A_26/hbm_A_26</f>
        <v>1</v>
      </c>
      <c r="E194" s="16" t="n">
        <f aca="false">hbm_A_27/hbm_A_26</f>
        <v>1.8</v>
      </c>
      <c r="F194" s="16" t="n">
        <f aca="false">hbm_A_28/hbm_A_26</f>
        <v>1.98</v>
      </c>
      <c r="G194" s="16" t="n">
        <f aca="false">hbm_A_29/hbm_A_26</f>
        <v>1.881</v>
      </c>
    </row>
    <row r="195" customFormat="false" ht="17.15" hidden="false" customHeight="false" outlineLevel="0" collapsed="false">
      <c r="A195" s="5" t="s">
        <v>636</v>
      </c>
      <c r="B195" s="0" t="s">
        <v>229</v>
      </c>
      <c r="D195" s="21" t="n">
        <f aca="false">D193*(1+(1-abs_mem)*hs_26*(D194-1))</f>
        <v>15.153372352</v>
      </c>
      <c r="E195" s="21" t="n">
        <f aca="false">E193*(1+(1-abs_mem)*hs_26*(E194-1))</f>
        <v>48.7460176310198</v>
      </c>
      <c r="F195" s="21" t="n">
        <f aca="false">F193*(1+(1-abs_mem)*hs_26*(F194-1))</f>
        <v>66.118495463999</v>
      </c>
      <c r="G195" s="21" t="n">
        <f aca="false">G193*(1+(1-abs_mem)*hs_26*(G194-1))</f>
        <v>75.3254629381129</v>
      </c>
    </row>
    <row r="196" customFormat="false" ht="17.15" hidden="false" customHeight="false" outlineLevel="0" collapsed="false">
      <c r="A196" s="5" t="s">
        <v>637</v>
      </c>
      <c r="B196" s="0" t="s">
        <v>229</v>
      </c>
      <c r="D196" s="21" t="n">
        <f aca="false">D193*((1-gm_gpu)+hs_26*(D194-1))</f>
        <v>7.576686176</v>
      </c>
      <c r="E196" s="21" t="n">
        <f aca="false">E193*((1-gm_gpu)+hs_26*(E194-1))</f>
        <v>29.9920352620396</v>
      </c>
      <c r="F196" s="21" t="n">
        <f aca="false">F193*((1-gm_gpu)+hs_26*(F194-1))</f>
        <v>42.236990927998</v>
      </c>
      <c r="G196" s="21" t="n">
        <f aca="false">G193*((1-gm_gpu)+hs_26*(G194-1))</f>
        <v>47.1509258762257</v>
      </c>
      <c r="H196" s="5" t="s">
        <v>638</v>
      </c>
    </row>
    <row r="197" customFormat="false" ht="17.15" hidden="false" customHeight="false" outlineLevel="0" collapsed="false">
      <c r="A197" s="5" t="s">
        <v>639</v>
      </c>
      <c r="B197" s="0" t="s">
        <v>40</v>
      </c>
      <c r="D197" s="17" t="n">
        <f aca="false">1-D196/D195</f>
        <v>0.5</v>
      </c>
      <c r="E197" s="17" t="n">
        <f aca="false">1-E196/E195</f>
        <v>0.38472850256071</v>
      </c>
      <c r="F197" s="17" t="n">
        <f aca="false">1-F196/F195</f>
        <v>0.361192497929785</v>
      </c>
      <c r="G197" s="17" t="n">
        <f aca="false">1-G196/G195</f>
        <v>0.374037356863445</v>
      </c>
    </row>
    <row r="198" customFormat="false" ht="17.15" hidden="false" customHeight="false" outlineLevel="0" collapsed="false">
      <c r="A198" s="5" t="s">
        <v>640</v>
      </c>
      <c r="B198" s="0" t="s">
        <v>229</v>
      </c>
      <c r="D198" s="21" t="n">
        <f aca="false">a26_dcx</f>
        <v>15.698097648</v>
      </c>
      <c r="E198" s="21" t="n">
        <f aca="false">D198*(1+g_cpu27)</f>
        <v>23.547146472</v>
      </c>
      <c r="F198" s="21" t="n">
        <f aca="false">E198*(1+g_cpu28)</f>
        <v>29.43393309</v>
      </c>
      <c r="G198" s="21" t="n">
        <f aca="false">F198*(1+g_cpu29)</f>
        <v>33.8490230535</v>
      </c>
    </row>
    <row r="199" customFormat="false" ht="15" hidden="false" customHeight="false" outlineLevel="0" collapsed="false">
      <c r="A199" s="0" t="s">
        <v>524</v>
      </c>
      <c r="B199" s="0" t="s">
        <v>229</v>
      </c>
      <c r="D199" s="21" t="n">
        <f aca="false">a26_cli</f>
        <v>12.037318</v>
      </c>
      <c r="E199" s="21" t="n">
        <f aca="false">D199*(1+g_cli)</f>
        <v>12.39843754</v>
      </c>
      <c r="F199" s="21" t="n">
        <f aca="false">E199*(1+g_cli)</f>
        <v>12.7703906662</v>
      </c>
      <c r="G199" s="21" t="n">
        <f aca="false">F199*(1+g_cli)</f>
        <v>13.153502386186</v>
      </c>
    </row>
    <row r="200" customFormat="false" ht="15" hidden="false" customHeight="false" outlineLevel="0" collapsed="false">
      <c r="A200" s="0" t="s">
        <v>526</v>
      </c>
      <c r="B200" s="0" t="s">
        <v>229</v>
      </c>
      <c r="D200" s="21" t="n">
        <f aca="false">a26_gam</f>
        <v>2.68308</v>
      </c>
      <c r="E200" s="21" t="n">
        <f aca="false">D200*(1+g_gam)</f>
        <v>2.414772</v>
      </c>
      <c r="F200" s="21" t="n">
        <f aca="false">E200*(1+g_gam)</f>
        <v>2.1732948</v>
      </c>
      <c r="G200" s="21" t="n">
        <f aca="false">F200*(1+g_gam)</f>
        <v>1.95596532</v>
      </c>
    </row>
    <row r="201" customFormat="false" ht="15" hidden="false" customHeight="false" outlineLevel="0" collapsed="false">
      <c r="A201" s="0" t="s">
        <v>527</v>
      </c>
      <c r="B201" s="0" t="s">
        <v>229</v>
      </c>
      <c r="D201" s="21" t="n">
        <f aca="false">a26_emb</f>
        <v>4.0713072</v>
      </c>
      <c r="E201" s="21" t="n">
        <f aca="false">D201*(1+g_emb)</f>
        <v>4.47843792</v>
      </c>
      <c r="F201" s="21" t="n">
        <f aca="false">E201*(1+g_emb)</f>
        <v>4.926281712</v>
      </c>
      <c r="G201" s="21" t="n">
        <f aca="false">F201*(1+g_emb)</f>
        <v>5.4189098832</v>
      </c>
    </row>
    <row r="202" customFormat="false" ht="17.15" hidden="false" customHeight="false" outlineLevel="0" collapsed="false">
      <c r="A202" s="5" t="s">
        <v>641</v>
      </c>
      <c r="B202" s="0" t="s">
        <v>229</v>
      </c>
      <c r="D202" s="21" t="n">
        <f aca="false">D198+D199+D200+D201</f>
        <v>34.489802848</v>
      </c>
      <c r="E202" s="21" t="n">
        <f aca="false">E198+E199+E200+E201</f>
        <v>42.838793932</v>
      </c>
      <c r="F202" s="21" t="n">
        <f aca="false">F198+F199+F200+F201</f>
        <v>49.3039002682</v>
      </c>
      <c r="G202" s="21" t="n">
        <f aca="false">G198+G199+G200+G201</f>
        <v>54.377400642886</v>
      </c>
    </row>
    <row r="203" customFormat="false" ht="17.15" hidden="false" customHeight="false" outlineLevel="0" collapsed="false">
      <c r="A203" s="5" t="s">
        <v>642</v>
      </c>
      <c r="B203" s="0" t="s">
        <v>40</v>
      </c>
      <c r="D203" s="17" t="n">
        <f aca="false">(a26_gp-(D195-D196))/D202</f>
        <v>0.583371878020658</v>
      </c>
      <c r="E203" s="17" t="n">
        <f aca="false">$D203</f>
        <v>0.583371878020658</v>
      </c>
      <c r="F203" s="17" t="n">
        <f aca="false">$D203</f>
        <v>0.583371878020658</v>
      </c>
      <c r="G203" s="17" t="n">
        <f aca="false">$D203</f>
        <v>0.583371878020658</v>
      </c>
      <c r="H203" s="8" t="s">
        <v>643</v>
      </c>
    </row>
    <row r="204" customFormat="false" ht="17.15" hidden="false" customHeight="false" outlineLevel="0" collapsed="false">
      <c r="A204" s="5" t="s">
        <v>644</v>
      </c>
      <c r="B204" s="0" t="s">
        <v>229</v>
      </c>
      <c r="D204" s="21" t="n">
        <f aca="false">(1-D203)*D202</f>
        <v>14.369421788</v>
      </c>
      <c r="E204" s="21" t="n">
        <f aca="false">(1-E203)*E202</f>
        <v>17.8478462637492</v>
      </c>
      <c r="F204" s="21" t="n">
        <f aca="false">(1-F203)*F202</f>
        <v>20.5413913749969</v>
      </c>
      <c r="G204" s="21" t="n">
        <f aca="false">(1-G203)*G202</f>
        <v>22.6551543079639</v>
      </c>
    </row>
    <row r="205" customFormat="false" ht="15" hidden="false" customHeight="false" outlineLevel="0" collapsed="false">
      <c r="A205" s="5" t="s">
        <v>645</v>
      </c>
      <c r="B205" s="0" t="s">
        <v>229</v>
      </c>
      <c r="D205" s="21" t="n">
        <f aca="false">D195+D202</f>
        <v>49.6431752</v>
      </c>
      <c r="E205" s="21" t="n">
        <f aca="false">E195+E202</f>
        <v>91.5848115630198</v>
      </c>
      <c r="F205" s="21" t="n">
        <f aca="false">F195+F202</f>
        <v>115.422395732199</v>
      </c>
      <c r="G205" s="21" t="n">
        <f aca="false">G195+G202</f>
        <v>129.702863580999</v>
      </c>
    </row>
    <row r="206" customFormat="false" ht="15" hidden="false" customHeight="false" outlineLevel="0" collapsed="false">
      <c r="A206" s="5" t="s">
        <v>646</v>
      </c>
      <c r="B206" s="0" t="s">
        <v>229</v>
      </c>
      <c r="D206" s="21" t="n">
        <f aca="false">D196+D204</f>
        <v>21.946107964</v>
      </c>
      <c r="E206" s="21" t="n">
        <f aca="false">E196+E204</f>
        <v>47.8398815257888</v>
      </c>
      <c r="F206" s="21" t="n">
        <f aca="false">F196+F204</f>
        <v>62.778382302995</v>
      </c>
      <c r="G206" s="21" t="n">
        <f aca="false">G196+G204</f>
        <v>69.8060801841896</v>
      </c>
    </row>
    <row r="207" customFormat="false" ht="17.15" hidden="false" customHeight="false" outlineLevel="0" collapsed="false">
      <c r="A207" s="5" t="s">
        <v>647</v>
      </c>
      <c r="B207" s="0" t="s">
        <v>40</v>
      </c>
      <c r="D207" s="17" t="n">
        <f aca="false">1-D206/D205</f>
        <v>0.557922959690137</v>
      </c>
      <c r="E207" s="17" t="n">
        <f aca="false">1-E206/E205</f>
        <v>0.477643937795624</v>
      </c>
      <c r="F207" s="17" t="n">
        <f aca="false">1-F206/F205</f>
        <v>0.456098776110554</v>
      </c>
      <c r="G207" s="17" t="n">
        <f aca="false">1-G206/G205</f>
        <v>0.461800007672182</v>
      </c>
      <c r="H207" s="8" t="s">
        <v>648</v>
      </c>
    </row>
    <row r="208" customFormat="false" ht="17.15" hidden="false" customHeight="false" outlineLevel="0" collapsed="false">
      <c r="A208" s="1" t="s">
        <v>649</v>
      </c>
    </row>
    <row r="209" customFormat="false" ht="15" hidden="false" customHeight="false" outlineLevel="0" collapsed="false">
      <c r="A209" s="5" t="s">
        <v>510</v>
      </c>
      <c r="B209" s="0" t="s">
        <v>229</v>
      </c>
      <c r="C209" s="21" t="n">
        <f aca="false">a25_rev</f>
        <v>34.639</v>
      </c>
      <c r="D209" s="21" t="n">
        <f aca="false">a26_rev</f>
        <v>49.6431752</v>
      </c>
      <c r="E209" s="21" t="n">
        <f aca="false">E205</f>
        <v>91.5848115630198</v>
      </c>
      <c r="F209" s="21" t="n">
        <f aca="false">F205</f>
        <v>115.422395732199</v>
      </c>
      <c r="G209" s="21" t="n">
        <f aca="false">G205</f>
        <v>129.702863580999</v>
      </c>
    </row>
    <row r="210" customFormat="false" ht="15" hidden="false" customHeight="false" outlineLevel="0" collapsed="false">
      <c r="A210" s="0" t="s">
        <v>610</v>
      </c>
      <c r="B210" s="0" t="s">
        <v>229</v>
      </c>
      <c r="C210" s="21" t="n">
        <f aca="false">a25_dc</f>
        <v>16.635</v>
      </c>
      <c r="D210" s="21" t="n">
        <f aca="false">a26_dc</f>
        <v>30.85147</v>
      </c>
      <c r="E210" s="21" t="n">
        <f aca="false">E195+E198</f>
        <v>72.2931641030198</v>
      </c>
      <c r="F210" s="21" t="n">
        <f aca="false">F195+F198</f>
        <v>95.552428553999</v>
      </c>
      <c r="G210" s="21" t="n">
        <f aca="false">G195+G198</f>
        <v>109.174485991613</v>
      </c>
    </row>
    <row r="211" customFormat="false" ht="17.15" hidden="false" customHeight="false" outlineLevel="0" collapsed="false">
      <c r="A211" s="5" t="s">
        <v>611</v>
      </c>
      <c r="B211" s="0" t="s">
        <v>229</v>
      </c>
      <c r="C211" s="21" t="n">
        <f aca="false">a25_gpu</f>
        <v>6.5</v>
      </c>
      <c r="D211" s="21" t="n">
        <f aca="false">a26_gpu</f>
        <v>15.153372352</v>
      </c>
      <c r="E211" s="21" t="n">
        <f aca="false">E195</f>
        <v>48.7460176310198</v>
      </c>
      <c r="F211" s="21" t="n">
        <f aca="false">F195</f>
        <v>66.118495463999</v>
      </c>
      <c r="G211" s="21" t="n">
        <f aca="false">G195</f>
        <v>75.3254629381129</v>
      </c>
    </row>
    <row r="212" customFormat="false" ht="17.15" hidden="false" customHeight="false" outlineLevel="0" collapsed="false">
      <c r="A212" s="5" t="s">
        <v>650</v>
      </c>
      <c r="B212" s="0" t="s">
        <v>229</v>
      </c>
      <c r="C212" s="21" t="n">
        <f aca="false">a25_dcx</f>
        <v>10.135</v>
      </c>
      <c r="D212" s="21" t="n">
        <f aca="false">a26_dcx</f>
        <v>15.698097648</v>
      </c>
      <c r="E212" s="21" t="n">
        <f aca="false">E198</f>
        <v>23.547146472</v>
      </c>
      <c r="F212" s="21" t="n">
        <f aca="false">F198</f>
        <v>29.43393309</v>
      </c>
      <c r="G212" s="21" t="n">
        <f aca="false">G198</f>
        <v>33.8490230535</v>
      </c>
    </row>
    <row r="213" customFormat="false" ht="17.15" hidden="false" customHeight="false" outlineLevel="0" collapsed="false">
      <c r="A213" s="0" t="s">
        <v>613</v>
      </c>
      <c r="B213" s="0" t="s">
        <v>229</v>
      </c>
      <c r="C213" s="21" t="n">
        <f aca="false">a25_cli+a25_gam</f>
        <v>14.55</v>
      </c>
      <c r="D213" s="21" t="n">
        <f aca="false">a26_cli+a26_gam</f>
        <v>14.720398</v>
      </c>
      <c r="E213" s="21" t="n">
        <f aca="false">E199+E200</f>
        <v>14.81320954</v>
      </c>
      <c r="F213" s="21" t="n">
        <f aca="false">F199+F200</f>
        <v>14.9436854662</v>
      </c>
      <c r="G213" s="21" t="n">
        <f aca="false">G199+G200</f>
        <v>15.109467706186</v>
      </c>
    </row>
    <row r="214" customFormat="false" ht="15" hidden="false" customHeight="false" outlineLevel="0" collapsed="false">
      <c r="A214" s="0" t="s">
        <v>614</v>
      </c>
      <c r="B214" s="0" t="s">
        <v>229</v>
      </c>
      <c r="C214" s="21" t="n">
        <f aca="false">a25_emb</f>
        <v>3.454</v>
      </c>
      <c r="D214" s="21" t="n">
        <f aca="false">a26_emb</f>
        <v>4.0713072</v>
      </c>
      <c r="E214" s="21" t="n">
        <f aca="false">E201</f>
        <v>4.47843792</v>
      </c>
      <c r="F214" s="21" t="n">
        <f aca="false">F201</f>
        <v>4.926281712</v>
      </c>
      <c r="G214" s="21" t="n">
        <f aca="false">G201</f>
        <v>5.4189098832</v>
      </c>
    </row>
    <row r="215" customFormat="false" ht="15" hidden="false" customHeight="false" outlineLevel="0" collapsed="false">
      <c r="A215" s="5" t="s">
        <v>651</v>
      </c>
      <c r="B215" s="0" t="s">
        <v>40</v>
      </c>
      <c r="D215" s="17" t="n">
        <f aca="false">D209/C209-1</f>
        <v>0.433158439908774</v>
      </c>
      <c r="E215" s="17" t="n">
        <f aca="false">E209/D209-1</f>
        <v>0.844862082130069</v>
      </c>
      <c r="F215" s="17" t="n">
        <f aca="false">F209/E209-1</f>
        <v>0.260278792546038</v>
      </c>
      <c r="G215" s="17" t="n">
        <f aca="false">G209/F209-1</f>
        <v>0.123723543929318</v>
      </c>
    </row>
    <row r="216" customFormat="false" ht="17.15" hidden="false" customHeight="false" outlineLevel="0" collapsed="false">
      <c r="A216" s="5" t="s">
        <v>529</v>
      </c>
      <c r="B216" s="0" t="s">
        <v>229</v>
      </c>
      <c r="C216" s="21" t="n">
        <f aca="false">a25_gp</f>
        <v>18.165</v>
      </c>
      <c r="D216" s="21" t="n">
        <f aca="false">a26_gp</f>
        <v>27.697067236</v>
      </c>
      <c r="E216" s="21" t="n">
        <f aca="false">E209-E206</f>
        <v>43.744930037231</v>
      </c>
      <c r="F216" s="21" t="n">
        <f aca="false">F209-F206</f>
        <v>52.6440134292041</v>
      </c>
      <c r="G216" s="21" t="n">
        <f aca="false">G209-G206</f>
        <v>59.8967833968093</v>
      </c>
    </row>
    <row r="217" customFormat="false" ht="15" hidden="false" customHeight="false" outlineLevel="0" collapsed="false">
      <c r="A217" s="5" t="s">
        <v>615</v>
      </c>
      <c r="B217" s="0" t="s">
        <v>40</v>
      </c>
      <c r="C217" s="17" t="n">
        <f aca="false">C216/C209</f>
        <v>0.524408903259332</v>
      </c>
      <c r="D217" s="17" t="n">
        <f aca="false">D216/D209</f>
        <v>0.557922959690137</v>
      </c>
      <c r="E217" s="17" t="n">
        <f aca="false">E216/E209</f>
        <v>0.477643937795624</v>
      </c>
      <c r="F217" s="17" t="n">
        <f aca="false">F216/F209</f>
        <v>0.456098776110554</v>
      </c>
      <c r="G217" s="17" t="n">
        <f aca="false">G216/G209</f>
        <v>0.461800007672182</v>
      </c>
    </row>
    <row r="218" customFormat="false" ht="17.15" hidden="false" customHeight="false" outlineLevel="0" collapsed="false">
      <c r="A218" s="5" t="s">
        <v>652</v>
      </c>
      <c r="B218" s="0" t="s">
        <v>229</v>
      </c>
      <c r="C218" s="21" t="n">
        <f aca="false">a25_opx</f>
        <v>10.397</v>
      </c>
      <c r="D218" s="21" t="n">
        <f aca="false">a26_opx</f>
        <v>14.0215</v>
      </c>
      <c r="E218" s="21" t="n">
        <f aca="false">D218*(1+MAX(g_opx_min,phi*E215))</f>
        <v>23.5554654717025</v>
      </c>
      <c r="F218" s="21" t="n">
        <f aca="false">E218*(1+MAX(g_opx_min,phi*F215))</f>
        <v>28.4897450505503</v>
      </c>
      <c r="G218" s="21" t="n">
        <f aca="false">F218*(1+MAX(g_opx_min,phi*G215))</f>
        <v>31.326580814941</v>
      </c>
      <c r="H218" s="5" t="s">
        <v>653</v>
      </c>
    </row>
    <row r="219" customFormat="false" ht="15" hidden="false" customHeight="false" outlineLevel="0" collapsed="false">
      <c r="A219" s="5" t="s">
        <v>654</v>
      </c>
      <c r="B219" s="0" t="s">
        <v>229</v>
      </c>
      <c r="C219" s="21" t="n">
        <f aca="false">C218</f>
        <v>10.397</v>
      </c>
      <c r="D219" s="21" t="n">
        <f aca="false">D218</f>
        <v>14.0215</v>
      </c>
      <c r="E219" s="21" t="n">
        <f aca="false">E218+0*E209</f>
        <v>23.5554654717025</v>
      </c>
      <c r="F219" s="21" t="n">
        <f aca="false">F218+0*F209</f>
        <v>28.4897450505503</v>
      </c>
      <c r="G219" s="21" t="n">
        <f aca="false">G218+0*G209</f>
        <v>31.326580814941</v>
      </c>
    </row>
    <row r="220" customFormat="false" ht="15" hidden="false" customHeight="false" outlineLevel="0" collapsed="false">
      <c r="A220" s="5" t="s">
        <v>616</v>
      </c>
      <c r="B220" s="0" t="s">
        <v>229</v>
      </c>
      <c r="C220" s="21" t="n">
        <f aca="false">C216-C219</f>
        <v>7.768</v>
      </c>
      <c r="D220" s="21" t="n">
        <f aca="false">D216-D219</f>
        <v>13.675567236</v>
      </c>
      <c r="E220" s="21" t="n">
        <f aca="false">E216-E219</f>
        <v>20.1894645655285</v>
      </c>
      <c r="F220" s="21" t="n">
        <f aca="false">F216-F219</f>
        <v>24.1542683786538</v>
      </c>
      <c r="G220" s="21" t="n">
        <f aca="false">G216-G219</f>
        <v>28.5702025818683</v>
      </c>
    </row>
    <row r="221" customFormat="false" ht="15" hidden="false" customHeight="false" outlineLevel="0" collapsed="false">
      <c r="A221" s="5" t="s">
        <v>617</v>
      </c>
      <c r="B221" s="0" t="s">
        <v>40</v>
      </c>
      <c r="C221" s="17" t="n">
        <f aca="false">C220/C209</f>
        <v>0.22425589653281</v>
      </c>
      <c r="D221" s="17" t="n">
        <f aca="false">D220/D209</f>
        <v>0.275477287278756</v>
      </c>
      <c r="E221" s="17" t="n">
        <f aca="false">E220/E209</f>
        <v>0.220445554464411</v>
      </c>
      <c r="F221" s="17" t="n">
        <f aca="false">F220/F209</f>
        <v>0.209268471906406</v>
      </c>
      <c r="G221" s="17" t="n">
        <f aca="false">G220/G209</f>
        <v>0.220274262210304</v>
      </c>
    </row>
    <row r="222" customFormat="false" ht="17.15" hidden="false" customHeight="false" outlineLevel="0" collapsed="false">
      <c r="A222" s="5" t="s">
        <v>655</v>
      </c>
      <c r="B222" s="0" t="s">
        <v>229</v>
      </c>
      <c r="C222" s="9" t="n">
        <f aca="false">a25_oth</f>
        <v>0.081</v>
      </c>
      <c r="D222" s="9" t="n">
        <f aca="false">a26_oth</f>
        <v>0.25</v>
      </c>
      <c r="E222" s="9" t="n">
        <f aca="false">oth_f</f>
        <v>0.2</v>
      </c>
      <c r="F222" s="9" t="n">
        <f aca="false">oth_f</f>
        <v>0.2</v>
      </c>
      <c r="G222" s="9" t="n">
        <f aca="false">oth_f</f>
        <v>0.2</v>
      </c>
    </row>
    <row r="223" customFormat="false" ht="15" hidden="false" customHeight="false" outlineLevel="0" collapsed="false">
      <c r="A223" s="5" t="s">
        <v>656</v>
      </c>
      <c r="B223" s="0" t="s">
        <v>40</v>
      </c>
      <c r="C223" s="17" t="n">
        <f aca="false">a25_etr</f>
        <v>0.129698050707096</v>
      </c>
      <c r="D223" s="17" t="n">
        <f aca="false">a26_etr</f>
        <v>0.129883667216384</v>
      </c>
      <c r="E223" s="17" t="n">
        <f aca="false">tx_f</f>
        <v>0.13</v>
      </c>
      <c r="F223" s="17" t="n">
        <f aca="false">tx_f</f>
        <v>0.13</v>
      </c>
      <c r="G223" s="17" t="n">
        <f aca="false">tx_f</f>
        <v>0.13</v>
      </c>
    </row>
    <row r="224" customFormat="false" ht="17.15" hidden="false" customHeight="false" outlineLevel="0" collapsed="false">
      <c r="A224" s="5" t="s">
        <v>547</v>
      </c>
      <c r="B224" s="0" t="s">
        <v>229</v>
      </c>
      <c r="C224" s="21" t="n">
        <f aca="false">a25_ni</f>
        <v>6.831</v>
      </c>
      <c r="D224" s="21" t="n">
        <f aca="false">a26_ni</f>
        <v>12.11686349532</v>
      </c>
      <c r="E224" s="21" t="n">
        <f aca="false">(E220+E222)*(1-E223)</f>
        <v>17.7388341720098</v>
      </c>
      <c r="F224" s="21" t="n">
        <f aca="false">(F220+F222)*(1-F223)</f>
        <v>21.1882134894288</v>
      </c>
      <c r="G224" s="21" t="n">
        <f aca="false">(G220+G222)*(1-G223)</f>
        <v>25.0300762462254</v>
      </c>
    </row>
    <row r="225" customFormat="false" ht="15" hidden="false" customHeight="false" outlineLevel="0" collapsed="false">
      <c r="A225" s="5" t="s">
        <v>657</v>
      </c>
      <c r="B225" s="5" t="s">
        <v>309</v>
      </c>
      <c r="C225" s="16" t="n">
        <f aca="false">a25_sh</f>
        <v>1.636</v>
      </c>
      <c r="D225" s="16" t="n">
        <f aca="false">a26_sh</f>
        <v>1.6585805</v>
      </c>
      <c r="E225" s="16" t="n">
        <f aca="false">D225*(1+sh_g)</f>
        <v>1.675166305</v>
      </c>
      <c r="F225" s="16" t="n">
        <f aca="false">E225*(1+sh_g)</f>
        <v>1.69191796805</v>
      </c>
      <c r="G225" s="16" t="n">
        <f aca="false">F225*(1+sh_g)</f>
        <v>1.7088371477305</v>
      </c>
    </row>
    <row r="226" customFormat="false" ht="17.15" hidden="false" customHeight="false" outlineLevel="0" collapsed="false">
      <c r="A226" s="5" t="s">
        <v>658</v>
      </c>
      <c r="B226" s="5" t="s">
        <v>309</v>
      </c>
      <c r="C226" s="16" t="n">
        <f aca="false">0</f>
        <v>0</v>
      </c>
      <c r="D226" s="16" t="n">
        <f aca="false">0</f>
        <v>0</v>
      </c>
      <c r="E226" s="16" t="n">
        <f aca="false">w_tot/w_gw*(gw_26+gw_27)/2*wf</f>
        <v>0.0266666666666667</v>
      </c>
      <c r="F226" s="16" t="n">
        <f aca="false">w_tot/w_gw*(gw_27+gw_28*um28_A)/2*wf</f>
        <v>0.08</v>
      </c>
      <c r="G226" s="16" t="n">
        <f aca="false">w_tot/w_gw*(gw_28*um28_A+gw_29*um29_A)/2*wf</f>
        <v>0.133333333333333</v>
      </c>
      <c r="H226" s="8" t="s">
        <v>659</v>
      </c>
    </row>
    <row r="227" customFormat="false" ht="15" hidden="false" customHeight="false" outlineLevel="0" collapsed="false">
      <c r="A227" s="5" t="s">
        <v>618</v>
      </c>
      <c r="B227" s="5" t="s">
        <v>309</v>
      </c>
      <c r="C227" s="16" t="n">
        <f aca="false">C225+C226</f>
        <v>1.636</v>
      </c>
      <c r="D227" s="16" t="n">
        <f aca="false">D225+D226</f>
        <v>1.6585805</v>
      </c>
      <c r="E227" s="16" t="n">
        <f aca="false">E225+E226</f>
        <v>1.70183297166667</v>
      </c>
      <c r="F227" s="16" t="n">
        <f aca="false">F225+F226</f>
        <v>1.77191796805</v>
      </c>
      <c r="G227" s="16" t="n">
        <f aca="false">G225+G226</f>
        <v>1.84217048106383</v>
      </c>
    </row>
    <row r="228" customFormat="false" ht="17.15" hidden="false" customHeight="false" outlineLevel="0" collapsed="false">
      <c r="A228" s="0" t="s">
        <v>619</v>
      </c>
      <c r="B228" s="0" t="s">
        <v>396</v>
      </c>
      <c r="C228" s="9" t="n">
        <f aca="false">C224/C227</f>
        <v>4.17542787286064</v>
      </c>
      <c r="D228" s="9" t="n">
        <f aca="false">D224/D227</f>
        <v>7.30556249474777</v>
      </c>
      <c r="E228" s="9" t="n">
        <f aca="false">E224/E227</f>
        <v>10.4233696651426</v>
      </c>
      <c r="F228" s="9" t="n">
        <f aca="false">F224/F227</f>
        <v>11.9577846556556</v>
      </c>
      <c r="G228" s="9" t="n">
        <f aca="false">G224/G227</f>
        <v>13.5872746325686</v>
      </c>
    </row>
    <row r="229" customFormat="false" ht="17.15" hidden="false" customHeight="false" outlineLevel="0" collapsed="false">
      <c r="A229" s="0" t="s">
        <v>660</v>
      </c>
      <c r="B229" s="0" t="s">
        <v>40</v>
      </c>
      <c r="D229" s="17" t="n">
        <f aca="false">D228/C228-1</f>
        <v>0.749656015430735</v>
      </c>
      <c r="E229" s="17" t="n">
        <f aca="false">E228/D228-1</f>
        <v>0.42677167879083</v>
      </c>
      <c r="F229" s="17" t="n">
        <f aca="false">F228/E228-1</f>
        <v>0.147209111813845</v>
      </c>
      <c r="G229" s="17" t="n">
        <f aca="false">G228/F228-1</f>
        <v>0.136270222607022</v>
      </c>
    </row>
    <row r="232" customFormat="false" ht="17.15" hidden="false" customHeight="false" outlineLevel="0" collapsed="false">
      <c r="A232" s="3" t="s">
        <v>994</v>
      </c>
    </row>
    <row r="233" customFormat="false" ht="15" hidden="false" customHeight="false" outlineLevel="0" collapsed="false">
      <c r="A233" s="6" t="s">
        <v>18</v>
      </c>
      <c r="B233" s="6" t="s">
        <v>19</v>
      </c>
      <c r="C233" s="13" t="s">
        <v>603</v>
      </c>
      <c r="D233" s="13" t="s">
        <v>604</v>
      </c>
      <c r="E233" s="13" t="s">
        <v>605</v>
      </c>
      <c r="F233" s="13" t="s">
        <v>606</v>
      </c>
      <c r="G233" s="13" t="s">
        <v>607</v>
      </c>
      <c r="H233" s="6" t="s">
        <v>572</v>
      </c>
    </row>
    <row r="234" customFormat="false" ht="17.15" hidden="false" customHeight="false" outlineLevel="0" collapsed="false">
      <c r="A234" s="1" t="s">
        <v>627</v>
      </c>
    </row>
    <row r="235" customFormat="false" ht="17.15" hidden="false" customHeight="false" outlineLevel="0" collapsed="false">
      <c r="A235" s="0" t="s">
        <v>628</v>
      </c>
      <c r="B235" s="0" t="s">
        <v>125</v>
      </c>
      <c r="D235" s="16" t="n">
        <f aca="false">k_rec</f>
        <v>0.673483215644445</v>
      </c>
      <c r="E235" s="16" t="n">
        <f aca="false">k_rec*1</f>
        <v>0.673483215644445</v>
      </c>
      <c r="F235" s="16" t="n">
        <f aca="false">k_rec*1</f>
        <v>0.673483215644445</v>
      </c>
      <c r="G235" s="16" t="n">
        <f aca="false">k_rec*1</f>
        <v>0.673483215644445</v>
      </c>
    </row>
    <row r="236" customFormat="false" ht="17.15" hidden="false" customHeight="false" outlineLevel="0" collapsed="false">
      <c r="A236" s="5" t="s">
        <v>629</v>
      </c>
      <c r="B236" s="0" t="s">
        <v>229</v>
      </c>
      <c r="D236" s="21" t="n">
        <f aca="false">Units!C24</f>
        <v>419.36</v>
      </c>
      <c r="E236" s="21" t="n">
        <f aca="false">Units!D24</f>
        <v>671.46</v>
      </c>
      <c r="F236" s="21" t="n">
        <f aca="false">Units!E24</f>
        <v>763.2</v>
      </c>
      <c r="G236" s="21" t="n">
        <f aca="false">Units!F24</f>
        <v>864.55</v>
      </c>
    </row>
    <row r="237" customFormat="false" ht="17.15" hidden="false" customHeight="false" outlineLevel="0" collapsed="false">
      <c r="A237" s="0" t="s">
        <v>630</v>
      </c>
      <c r="B237" s="0" t="s">
        <v>40</v>
      </c>
      <c r="D237" s="17" t="n">
        <f aca="false">Units!C33</f>
        <v>0.0536531858069439</v>
      </c>
      <c r="E237" s="17" t="n">
        <f aca="false">Units!D33</f>
        <v>0.0670181395764454</v>
      </c>
      <c r="F237" s="17" t="n">
        <f aca="false">Units!E33</f>
        <v>0.0786163522012579</v>
      </c>
      <c r="G237" s="17" t="n">
        <f aca="false">Units!F33</f>
        <v>0.0798103059395061</v>
      </c>
    </row>
    <row r="238" customFormat="false" ht="17.15" hidden="false" customHeight="false" outlineLevel="0" collapsed="false">
      <c r="A238" s="0" t="s">
        <v>631</v>
      </c>
      <c r="B238" s="5" t="s">
        <v>29</v>
      </c>
      <c r="D238" s="9" t="n">
        <f aca="false">Units!C10</f>
        <v>0.75</v>
      </c>
      <c r="E238" s="9" t="n">
        <f aca="false">Units!D10</f>
        <v>1.5</v>
      </c>
      <c r="F238" s="9" t="n">
        <f aca="false">Units!E10</f>
        <v>2</v>
      </c>
      <c r="G238" s="9" t="n">
        <f aca="false">Units!F10</f>
        <v>2.3</v>
      </c>
    </row>
    <row r="239" customFormat="false" ht="17.15" hidden="false" customHeight="false" outlineLevel="0" collapsed="false">
      <c r="A239" s="0" t="s">
        <v>632</v>
      </c>
      <c r="B239" s="5" t="s">
        <v>29</v>
      </c>
      <c r="D239" s="9" t="n">
        <f aca="false">D238*D235</f>
        <v>0.505112411733333</v>
      </c>
      <c r="E239" s="9" t="n">
        <f aca="false">E238*E235</f>
        <v>1.01022482346667</v>
      </c>
      <c r="F239" s="9" t="n">
        <f aca="false">F238*F235</f>
        <v>1.34696643128889</v>
      </c>
      <c r="G239" s="9" t="n">
        <f aca="false">G238*G235</f>
        <v>1.54901139598222</v>
      </c>
    </row>
    <row r="240" customFormat="false" ht="17.15" hidden="false" customHeight="false" outlineLevel="0" collapsed="false">
      <c r="A240" s="5" t="s">
        <v>633</v>
      </c>
      <c r="B240" s="0" t="s">
        <v>125</v>
      </c>
      <c r="D240" s="16" t="n">
        <f aca="false">1</f>
        <v>1</v>
      </c>
      <c r="E240" s="16" t="n">
        <f aca="false">pg_27</f>
        <v>1</v>
      </c>
      <c r="F240" s="16" t="n">
        <f aca="false">pg_28</f>
        <v>1</v>
      </c>
      <c r="G240" s="16" t="n">
        <f aca="false">pg_29</f>
        <v>1</v>
      </c>
    </row>
    <row r="241" customFormat="false" ht="17.15" hidden="false" customHeight="false" outlineLevel="0" collapsed="false">
      <c r="A241" s="0" t="s">
        <v>634</v>
      </c>
      <c r="B241" s="0" t="s">
        <v>229</v>
      </c>
      <c r="D241" s="21" t="n">
        <f aca="false">D236*D237*D235*D240</f>
        <v>15.153372352</v>
      </c>
      <c r="E241" s="21" t="n">
        <f aca="false">E236*E237*E235*E240</f>
        <v>30.306744704</v>
      </c>
      <c r="F241" s="21" t="n">
        <f aca="false">F236*F237*F235*F240</f>
        <v>40.4089929386667</v>
      </c>
      <c r="G241" s="21" t="n">
        <f aca="false">G236*G237*G235*G240</f>
        <v>46.4703418794667</v>
      </c>
    </row>
    <row r="242" customFormat="false" ht="17.15" hidden="false" customHeight="false" outlineLevel="0" collapsed="false">
      <c r="A242" s="0" t="s">
        <v>635</v>
      </c>
      <c r="B242" s="0" t="s">
        <v>125</v>
      </c>
      <c r="D242" s="16" t="n">
        <f aca="false">hbm_A_26/hbm_A_26</f>
        <v>1</v>
      </c>
      <c r="E242" s="16" t="n">
        <f aca="false">hbm_A_27/hbm_A_26</f>
        <v>1.8</v>
      </c>
      <c r="F242" s="16" t="n">
        <f aca="false">hbm_A_28/hbm_A_26</f>
        <v>1.98</v>
      </c>
      <c r="G242" s="16" t="n">
        <f aca="false">hbm_A_29/hbm_A_26</f>
        <v>1.881</v>
      </c>
    </row>
    <row r="243" customFormat="false" ht="17.15" hidden="false" customHeight="false" outlineLevel="0" collapsed="false">
      <c r="A243" s="5" t="s">
        <v>636</v>
      </c>
      <c r="B243" s="0" t="s">
        <v>229</v>
      </c>
      <c r="D243" s="21" t="n">
        <f aca="false">D241*(1+(1-abs_mem_lo)*hs_26*(D242-1))</f>
        <v>15.153372352</v>
      </c>
      <c r="E243" s="21" t="n">
        <f aca="false">E241*(1+(1-abs_mem_lo)*hs_26*(E242-1))</f>
        <v>35.352504704</v>
      </c>
      <c r="F243" s="21" t="n">
        <f aca="false">F241*(1+(1-abs_mem_lo)*hs_26*(F242-1))</f>
        <v>48.6504009386667</v>
      </c>
      <c r="G243" s="21" t="n">
        <f aca="false">G241*(1+(1-abs_mem_lo)*hs_26*(G242-1))</f>
        <v>54.9905281194667</v>
      </c>
    </row>
    <row r="244" customFormat="false" ht="17.15" hidden="false" customHeight="false" outlineLevel="0" collapsed="false">
      <c r="A244" s="5" t="s">
        <v>637</v>
      </c>
      <c r="B244" s="0" t="s">
        <v>229</v>
      </c>
      <c r="D244" s="21" t="n">
        <f aca="false">D241*((1-gm_gpu)+hs_26*(D242-1))</f>
        <v>7.576686176</v>
      </c>
      <c r="E244" s="21" t="n">
        <f aca="false">E241*((1-gm_gpu)+hs_26*(E242-1))</f>
        <v>20.199132352</v>
      </c>
      <c r="F244" s="21" t="n">
        <f aca="false">F241*((1-gm_gpu)+hs_26*(F242-1))</f>
        <v>28.4459044693333</v>
      </c>
      <c r="G244" s="21" t="n">
        <f aca="false">G241*((1-gm_gpu)+hs_26*(G242-1))</f>
        <v>31.7553571797333</v>
      </c>
      <c r="H244" s="5" t="s">
        <v>638</v>
      </c>
    </row>
    <row r="245" customFormat="false" ht="17.15" hidden="false" customHeight="false" outlineLevel="0" collapsed="false">
      <c r="A245" s="5" t="s">
        <v>639</v>
      </c>
      <c r="B245" s="0" t="s">
        <v>40</v>
      </c>
      <c r="D245" s="17" t="n">
        <f aca="false">1-D244/D243</f>
        <v>0.5</v>
      </c>
      <c r="E245" s="17" t="n">
        <f aca="false">1-E244/E243</f>
        <v>0.428636456705866</v>
      </c>
      <c r="F245" s="17" t="n">
        <f aca="false">1-F244/F243</f>
        <v>0.415299690845406</v>
      </c>
      <c r="G245" s="17" t="n">
        <f aca="false">1-G244/G243</f>
        <v>0.422530419952597</v>
      </c>
    </row>
    <row r="246" customFormat="false" ht="17.15" hidden="false" customHeight="false" outlineLevel="0" collapsed="false">
      <c r="A246" s="5" t="s">
        <v>640</v>
      </c>
      <c r="B246" s="0" t="s">
        <v>229</v>
      </c>
      <c r="D246" s="21" t="n">
        <f aca="false">a26_dcx</f>
        <v>15.698097648</v>
      </c>
      <c r="E246" s="21" t="n">
        <f aca="false">D246*(1+g_cpu27)</f>
        <v>23.547146472</v>
      </c>
      <c r="F246" s="21" t="n">
        <f aca="false">E246*(1+g_cpu28)</f>
        <v>29.43393309</v>
      </c>
      <c r="G246" s="21" t="n">
        <f aca="false">F246*(1+g_cpu29)</f>
        <v>33.8490230535</v>
      </c>
    </row>
    <row r="247" customFormat="false" ht="15" hidden="false" customHeight="false" outlineLevel="0" collapsed="false">
      <c r="A247" s="0" t="s">
        <v>524</v>
      </c>
      <c r="B247" s="0" t="s">
        <v>229</v>
      </c>
      <c r="D247" s="21" t="n">
        <f aca="false">a26_cli</f>
        <v>12.037318</v>
      </c>
      <c r="E247" s="21" t="n">
        <f aca="false">D247*(1+g_cli)</f>
        <v>12.39843754</v>
      </c>
      <c r="F247" s="21" t="n">
        <f aca="false">E247*(1+g_cli)</f>
        <v>12.7703906662</v>
      </c>
      <c r="G247" s="21" t="n">
        <f aca="false">F247*(1+g_cli)</f>
        <v>13.153502386186</v>
      </c>
    </row>
    <row r="248" customFormat="false" ht="15" hidden="false" customHeight="false" outlineLevel="0" collapsed="false">
      <c r="A248" s="0" t="s">
        <v>526</v>
      </c>
      <c r="B248" s="0" t="s">
        <v>229</v>
      </c>
      <c r="D248" s="21" t="n">
        <f aca="false">a26_gam</f>
        <v>2.68308</v>
      </c>
      <c r="E248" s="21" t="n">
        <f aca="false">D248*(1+g_gam)</f>
        <v>2.414772</v>
      </c>
      <c r="F248" s="21" t="n">
        <f aca="false">E248*(1+g_gam)</f>
        <v>2.1732948</v>
      </c>
      <c r="G248" s="21" t="n">
        <f aca="false">F248*(1+g_gam)</f>
        <v>1.95596532</v>
      </c>
    </row>
    <row r="249" customFormat="false" ht="15" hidden="false" customHeight="false" outlineLevel="0" collapsed="false">
      <c r="A249" s="0" t="s">
        <v>527</v>
      </c>
      <c r="B249" s="0" t="s">
        <v>229</v>
      </c>
      <c r="D249" s="21" t="n">
        <f aca="false">a26_emb</f>
        <v>4.0713072</v>
      </c>
      <c r="E249" s="21" t="n">
        <f aca="false">D249*(1+g_emb)</f>
        <v>4.47843792</v>
      </c>
      <c r="F249" s="21" t="n">
        <f aca="false">E249*(1+g_emb)</f>
        <v>4.926281712</v>
      </c>
      <c r="G249" s="21" t="n">
        <f aca="false">F249*(1+g_emb)</f>
        <v>5.4189098832</v>
      </c>
    </row>
    <row r="250" customFormat="false" ht="17.15" hidden="false" customHeight="false" outlineLevel="0" collapsed="false">
      <c r="A250" s="5" t="s">
        <v>641</v>
      </c>
      <c r="B250" s="0" t="s">
        <v>229</v>
      </c>
      <c r="D250" s="21" t="n">
        <f aca="false">D246+D247+D248+D249</f>
        <v>34.489802848</v>
      </c>
      <c r="E250" s="21" t="n">
        <f aca="false">E246+E247+E248+E249</f>
        <v>42.838793932</v>
      </c>
      <c r="F250" s="21" t="n">
        <f aca="false">F246+F247+F248+F249</f>
        <v>49.3039002682</v>
      </c>
      <c r="G250" s="21" t="n">
        <f aca="false">G246+G247+G248+G249</f>
        <v>54.377400642886</v>
      </c>
    </row>
    <row r="251" customFormat="false" ht="17.15" hidden="false" customHeight="false" outlineLevel="0" collapsed="false">
      <c r="A251" s="5" t="s">
        <v>642</v>
      </c>
      <c r="B251" s="0" t="s">
        <v>40</v>
      </c>
      <c r="D251" s="17" t="n">
        <f aca="false">(a26_gp-(D243-D244))/D250</f>
        <v>0.583371878020658</v>
      </c>
      <c r="E251" s="17" t="n">
        <f aca="false">$D251</f>
        <v>0.583371878020658</v>
      </c>
      <c r="F251" s="17" t="n">
        <f aca="false">$D251</f>
        <v>0.583371878020658</v>
      </c>
      <c r="G251" s="17" t="n">
        <f aca="false">$D251</f>
        <v>0.583371878020658</v>
      </c>
      <c r="H251" s="8" t="s">
        <v>643</v>
      </c>
    </row>
    <row r="252" customFormat="false" ht="17.15" hidden="false" customHeight="false" outlineLevel="0" collapsed="false">
      <c r="A252" s="5" t="s">
        <v>644</v>
      </c>
      <c r="B252" s="0" t="s">
        <v>229</v>
      </c>
      <c r="D252" s="21" t="n">
        <f aca="false">(1-D251)*D250</f>
        <v>14.369421788</v>
      </c>
      <c r="E252" s="21" t="n">
        <f aca="false">(1-E251)*E250</f>
        <v>17.8478462637492</v>
      </c>
      <c r="F252" s="21" t="n">
        <f aca="false">(1-F251)*F250</f>
        <v>20.5413913749969</v>
      </c>
      <c r="G252" s="21" t="n">
        <f aca="false">(1-G251)*G250</f>
        <v>22.6551543079639</v>
      </c>
    </row>
    <row r="253" customFormat="false" ht="15" hidden="false" customHeight="false" outlineLevel="0" collapsed="false">
      <c r="A253" s="5" t="s">
        <v>645</v>
      </c>
      <c r="B253" s="0" t="s">
        <v>229</v>
      </c>
      <c r="D253" s="21" t="n">
        <f aca="false">D243+D250</f>
        <v>49.6431752</v>
      </c>
      <c r="E253" s="21" t="n">
        <f aca="false">E243+E250</f>
        <v>78.191298636</v>
      </c>
      <c r="F253" s="21" t="n">
        <f aca="false">F243+F250</f>
        <v>97.9543012068667</v>
      </c>
      <c r="G253" s="21" t="n">
        <f aca="false">G243+G250</f>
        <v>109.367928762353</v>
      </c>
    </row>
    <row r="254" customFormat="false" ht="15" hidden="false" customHeight="false" outlineLevel="0" collapsed="false">
      <c r="A254" s="5" t="s">
        <v>646</v>
      </c>
      <c r="B254" s="0" t="s">
        <v>229</v>
      </c>
      <c r="D254" s="21" t="n">
        <f aca="false">D244+D252</f>
        <v>21.946107964</v>
      </c>
      <c r="E254" s="21" t="n">
        <f aca="false">E244+E252</f>
        <v>38.0469786157492</v>
      </c>
      <c r="F254" s="21" t="n">
        <f aca="false">F244+F252</f>
        <v>48.9872958443303</v>
      </c>
      <c r="G254" s="21" t="n">
        <f aca="false">G244+G252</f>
        <v>54.4105114876972</v>
      </c>
    </row>
    <row r="255" customFormat="false" ht="17.15" hidden="false" customHeight="false" outlineLevel="0" collapsed="false">
      <c r="A255" s="5" t="s">
        <v>647</v>
      </c>
      <c r="B255" s="0" t="s">
        <v>40</v>
      </c>
      <c r="D255" s="17" t="n">
        <f aca="false">1-D254/D253</f>
        <v>0.557922959690137</v>
      </c>
      <c r="E255" s="17" t="n">
        <f aca="false">1-E254/E253</f>
        <v>0.513411603599687</v>
      </c>
      <c r="F255" s="17" t="n">
        <f aca="false">1-F254/F253</f>
        <v>0.499896428836999</v>
      </c>
      <c r="G255" s="17" t="n">
        <f aca="false">1-G254/G253</f>
        <v>0.50250030238822</v>
      </c>
      <c r="H255" s="8" t="s">
        <v>648</v>
      </c>
    </row>
    <row r="256" customFormat="false" ht="17.15" hidden="false" customHeight="false" outlineLevel="0" collapsed="false">
      <c r="A256" s="1" t="s">
        <v>649</v>
      </c>
    </row>
    <row r="257" customFormat="false" ht="15" hidden="false" customHeight="false" outlineLevel="0" collapsed="false">
      <c r="A257" s="5" t="s">
        <v>510</v>
      </c>
      <c r="B257" s="0" t="s">
        <v>229</v>
      </c>
      <c r="C257" s="21" t="n">
        <f aca="false">a25_rev</f>
        <v>34.639</v>
      </c>
      <c r="D257" s="21" t="n">
        <f aca="false">a26_rev</f>
        <v>49.6431752</v>
      </c>
      <c r="E257" s="21" t="n">
        <f aca="false">E253</f>
        <v>78.191298636</v>
      </c>
      <c r="F257" s="21" t="n">
        <f aca="false">F253</f>
        <v>97.9543012068667</v>
      </c>
      <c r="G257" s="21" t="n">
        <f aca="false">G253</f>
        <v>109.367928762353</v>
      </c>
    </row>
    <row r="258" customFormat="false" ht="15" hidden="false" customHeight="false" outlineLevel="0" collapsed="false">
      <c r="A258" s="0" t="s">
        <v>610</v>
      </c>
      <c r="B258" s="0" t="s">
        <v>229</v>
      </c>
      <c r="C258" s="21" t="n">
        <f aca="false">a25_dc</f>
        <v>16.635</v>
      </c>
      <c r="D258" s="21" t="n">
        <f aca="false">a26_dc</f>
        <v>30.85147</v>
      </c>
      <c r="E258" s="21" t="n">
        <f aca="false">E243+E246</f>
        <v>58.899651176</v>
      </c>
      <c r="F258" s="21" t="n">
        <f aca="false">F243+F246</f>
        <v>78.0843340286667</v>
      </c>
      <c r="G258" s="21" t="n">
        <f aca="false">G243+G246</f>
        <v>88.8395511729667</v>
      </c>
    </row>
    <row r="259" customFormat="false" ht="17.15" hidden="false" customHeight="false" outlineLevel="0" collapsed="false">
      <c r="A259" s="5" t="s">
        <v>611</v>
      </c>
      <c r="B259" s="0" t="s">
        <v>229</v>
      </c>
      <c r="C259" s="21" t="n">
        <f aca="false">a25_gpu</f>
        <v>6.5</v>
      </c>
      <c r="D259" s="21" t="n">
        <f aca="false">a26_gpu</f>
        <v>15.153372352</v>
      </c>
      <c r="E259" s="21" t="n">
        <f aca="false">E243</f>
        <v>35.352504704</v>
      </c>
      <c r="F259" s="21" t="n">
        <f aca="false">F243</f>
        <v>48.6504009386667</v>
      </c>
      <c r="G259" s="21" t="n">
        <f aca="false">G243</f>
        <v>54.9905281194667</v>
      </c>
    </row>
    <row r="260" customFormat="false" ht="17.15" hidden="false" customHeight="false" outlineLevel="0" collapsed="false">
      <c r="A260" s="5" t="s">
        <v>650</v>
      </c>
      <c r="B260" s="0" t="s">
        <v>229</v>
      </c>
      <c r="C260" s="21" t="n">
        <f aca="false">a25_dcx</f>
        <v>10.135</v>
      </c>
      <c r="D260" s="21" t="n">
        <f aca="false">a26_dcx</f>
        <v>15.698097648</v>
      </c>
      <c r="E260" s="21" t="n">
        <f aca="false">E246</f>
        <v>23.547146472</v>
      </c>
      <c r="F260" s="21" t="n">
        <f aca="false">F246</f>
        <v>29.43393309</v>
      </c>
      <c r="G260" s="21" t="n">
        <f aca="false">G246</f>
        <v>33.8490230535</v>
      </c>
    </row>
    <row r="261" customFormat="false" ht="17.15" hidden="false" customHeight="false" outlineLevel="0" collapsed="false">
      <c r="A261" s="0" t="s">
        <v>613</v>
      </c>
      <c r="B261" s="0" t="s">
        <v>229</v>
      </c>
      <c r="C261" s="21" t="n">
        <f aca="false">a25_cli+a25_gam</f>
        <v>14.55</v>
      </c>
      <c r="D261" s="21" t="n">
        <f aca="false">a26_cli+a26_gam</f>
        <v>14.720398</v>
      </c>
      <c r="E261" s="21" t="n">
        <f aca="false">E247+E248</f>
        <v>14.81320954</v>
      </c>
      <c r="F261" s="21" t="n">
        <f aca="false">F247+F248</f>
        <v>14.9436854662</v>
      </c>
      <c r="G261" s="21" t="n">
        <f aca="false">G247+G248</f>
        <v>15.109467706186</v>
      </c>
    </row>
    <row r="262" customFormat="false" ht="15" hidden="false" customHeight="false" outlineLevel="0" collapsed="false">
      <c r="A262" s="0" t="s">
        <v>614</v>
      </c>
      <c r="B262" s="0" t="s">
        <v>229</v>
      </c>
      <c r="C262" s="21" t="n">
        <f aca="false">a25_emb</f>
        <v>3.454</v>
      </c>
      <c r="D262" s="21" t="n">
        <f aca="false">a26_emb</f>
        <v>4.0713072</v>
      </c>
      <c r="E262" s="21" t="n">
        <f aca="false">E249</f>
        <v>4.47843792</v>
      </c>
      <c r="F262" s="21" t="n">
        <f aca="false">F249</f>
        <v>4.926281712</v>
      </c>
      <c r="G262" s="21" t="n">
        <f aca="false">G249</f>
        <v>5.4189098832</v>
      </c>
    </row>
    <row r="263" customFormat="false" ht="15" hidden="false" customHeight="false" outlineLevel="0" collapsed="false">
      <c r="A263" s="5" t="s">
        <v>651</v>
      </c>
      <c r="B263" s="0" t="s">
        <v>40</v>
      </c>
      <c r="D263" s="17" t="n">
        <f aca="false">D257/C257-1</f>
        <v>0.433158439908774</v>
      </c>
      <c r="E263" s="17" t="n">
        <f aca="false">E257/D257-1</f>
        <v>0.575066427983035</v>
      </c>
      <c r="F263" s="17" t="n">
        <f aca="false">F257/E257-1</f>
        <v>0.252751941911956</v>
      </c>
      <c r="G263" s="17" t="n">
        <f aca="false">G257/F257-1</f>
        <v>0.116519922197004</v>
      </c>
    </row>
    <row r="264" customFormat="false" ht="17.15" hidden="false" customHeight="false" outlineLevel="0" collapsed="false">
      <c r="A264" s="5" t="s">
        <v>529</v>
      </c>
      <c r="B264" s="0" t="s">
        <v>229</v>
      </c>
      <c r="C264" s="21" t="n">
        <f aca="false">a25_gp</f>
        <v>18.165</v>
      </c>
      <c r="D264" s="21" t="n">
        <f aca="false">a26_gp</f>
        <v>27.697067236</v>
      </c>
      <c r="E264" s="21" t="n">
        <f aca="false">E257-E254</f>
        <v>40.1443200202508</v>
      </c>
      <c r="F264" s="21" t="n">
        <f aca="false">F257-F254</f>
        <v>48.9670053625364</v>
      </c>
      <c r="G264" s="21" t="n">
        <f aca="false">G257-G254</f>
        <v>54.9574172746555</v>
      </c>
    </row>
    <row r="265" customFormat="false" ht="15" hidden="false" customHeight="false" outlineLevel="0" collapsed="false">
      <c r="A265" s="5" t="s">
        <v>615</v>
      </c>
      <c r="B265" s="0" t="s">
        <v>40</v>
      </c>
      <c r="C265" s="17" t="n">
        <f aca="false">C264/C257</f>
        <v>0.524408903259332</v>
      </c>
      <c r="D265" s="17" t="n">
        <f aca="false">D264/D257</f>
        <v>0.557922959690137</v>
      </c>
      <c r="E265" s="17" t="n">
        <f aca="false">E264/E257</f>
        <v>0.513411603599687</v>
      </c>
      <c r="F265" s="17" t="n">
        <f aca="false">F264/F257</f>
        <v>0.499896428836999</v>
      </c>
      <c r="G265" s="17" t="n">
        <f aca="false">G264/G257</f>
        <v>0.50250030238822</v>
      </c>
    </row>
    <row r="266" customFormat="false" ht="17.15" hidden="false" customHeight="false" outlineLevel="0" collapsed="false">
      <c r="A266" s="5" t="s">
        <v>652</v>
      </c>
      <c r="B266" s="0" t="s">
        <v>229</v>
      </c>
      <c r="C266" s="21" t="n">
        <f aca="false">a25_opx</f>
        <v>10.397</v>
      </c>
      <c r="D266" s="21" t="n">
        <f aca="false">a26_opx</f>
        <v>14.0215</v>
      </c>
      <c r="E266" s="21" t="n">
        <f aca="false">D266*(1+MAX(g_opx_min,phi*E263))</f>
        <v>20.5109183136999</v>
      </c>
      <c r="F266" s="21" t="n">
        <f aca="false">E266*(1+MAX(g_opx_min,phi*F263))</f>
        <v>24.6831929261038</v>
      </c>
      <c r="G266" s="21" t="n">
        <f aca="false">F266*(1+MAX(g_opx_min,phi*G263))</f>
        <v>26.9978934126753</v>
      </c>
      <c r="H266" s="5" t="s">
        <v>653</v>
      </c>
    </row>
    <row r="267" customFormat="false" ht="15" hidden="false" customHeight="false" outlineLevel="0" collapsed="false">
      <c r="A267" s="5" t="s">
        <v>654</v>
      </c>
      <c r="B267" s="0" t="s">
        <v>229</v>
      </c>
      <c r="C267" s="21" t="n">
        <f aca="false">C266</f>
        <v>10.397</v>
      </c>
      <c r="D267" s="21" t="n">
        <f aca="false">D266</f>
        <v>14.0215</v>
      </c>
      <c r="E267" s="21" t="n">
        <f aca="false">E266+0*E257</f>
        <v>20.5109183136999</v>
      </c>
      <c r="F267" s="21" t="n">
        <f aca="false">F266+0*F257</f>
        <v>24.6831929261038</v>
      </c>
      <c r="G267" s="21" t="n">
        <f aca="false">G266+0*G257</f>
        <v>26.9978934126753</v>
      </c>
    </row>
    <row r="268" customFormat="false" ht="15" hidden="false" customHeight="false" outlineLevel="0" collapsed="false">
      <c r="A268" s="5" t="s">
        <v>616</v>
      </c>
      <c r="B268" s="0" t="s">
        <v>229</v>
      </c>
      <c r="C268" s="21" t="n">
        <f aca="false">C264-C267</f>
        <v>7.768</v>
      </c>
      <c r="D268" s="21" t="n">
        <f aca="false">D264-D267</f>
        <v>13.675567236</v>
      </c>
      <c r="E268" s="21" t="n">
        <f aca="false">E264-E267</f>
        <v>19.6334017065509</v>
      </c>
      <c r="F268" s="21" t="n">
        <f aca="false">F264-F267</f>
        <v>24.2838124364327</v>
      </c>
      <c r="G268" s="21" t="n">
        <f aca="false">G264-G267</f>
        <v>27.9595238619802</v>
      </c>
    </row>
    <row r="269" customFormat="false" ht="15" hidden="false" customHeight="false" outlineLevel="0" collapsed="false">
      <c r="A269" s="5" t="s">
        <v>617</v>
      </c>
      <c r="B269" s="0" t="s">
        <v>40</v>
      </c>
      <c r="C269" s="17" t="n">
        <f aca="false">C268/C257</f>
        <v>0.22425589653281</v>
      </c>
      <c r="D269" s="17" t="n">
        <f aca="false">D268/D257</f>
        <v>0.275477287278756</v>
      </c>
      <c r="E269" s="17" t="n">
        <f aca="false">E268/E257</f>
        <v>0.251094457427408</v>
      </c>
      <c r="F269" s="17" t="n">
        <f aca="false">F268/F257</f>
        <v>0.247909608227906</v>
      </c>
      <c r="G269" s="17" t="n">
        <f aca="false">G268/G257</f>
        <v>0.255646460332387</v>
      </c>
    </row>
    <row r="270" customFormat="false" ht="17.15" hidden="false" customHeight="false" outlineLevel="0" collapsed="false">
      <c r="A270" s="5" t="s">
        <v>655</v>
      </c>
      <c r="B270" s="0" t="s">
        <v>229</v>
      </c>
      <c r="C270" s="9" t="n">
        <f aca="false">a25_oth</f>
        <v>0.081</v>
      </c>
      <c r="D270" s="9" t="n">
        <f aca="false">a26_oth</f>
        <v>0.25</v>
      </c>
      <c r="E270" s="9" t="n">
        <f aca="false">oth_f</f>
        <v>0.2</v>
      </c>
      <c r="F270" s="9" t="n">
        <f aca="false">oth_f</f>
        <v>0.2</v>
      </c>
      <c r="G270" s="9" t="n">
        <f aca="false">oth_f</f>
        <v>0.2</v>
      </c>
    </row>
    <row r="271" customFormat="false" ht="15" hidden="false" customHeight="false" outlineLevel="0" collapsed="false">
      <c r="A271" s="5" t="s">
        <v>656</v>
      </c>
      <c r="B271" s="0" t="s">
        <v>40</v>
      </c>
      <c r="C271" s="17" t="n">
        <f aca="false">a25_etr</f>
        <v>0.129698050707096</v>
      </c>
      <c r="D271" s="17" t="n">
        <f aca="false">a26_etr</f>
        <v>0.129883667216384</v>
      </c>
      <c r="E271" s="17" t="n">
        <f aca="false">tx_f</f>
        <v>0.13</v>
      </c>
      <c r="F271" s="17" t="n">
        <f aca="false">tx_f</f>
        <v>0.13</v>
      </c>
      <c r="G271" s="17" t="n">
        <f aca="false">tx_f</f>
        <v>0.13</v>
      </c>
    </row>
    <row r="272" customFormat="false" ht="17.15" hidden="false" customHeight="false" outlineLevel="0" collapsed="false">
      <c r="A272" s="5" t="s">
        <v>547</v>
      </c>
      <c r="B272" s="0" t="s">
        <v>229</v>
      </c>
      <c r="C272" s="21" t="n">
        <f aca="false">a25_ni</f>
        <v>6.831</v>
      </c>
      <c r="D272" s="21" t="n">
        <f aca="false">a26_ni</f>
        <v>12.11686349532</v>
      </c>
      <c r="E272" s="21" t="n">
        <f aca="false">(E268+E270)*(1-E271)</f>
        <v>17.2550594846993</v>
      </c>
      <c r="F272" s="21" t="n">
        <f aca="false">(F268+F270)*(1-F271)</f>
        <v>21.3009168196964</v>
      </c>
      <c r="G272" s="21" t="n">
        <f aca="false">(G268+G270)*(1-G271)</f>
        <v>24.4987857599227</v>
      </c>
    </row>
    <row r="273" customFormat="false" ht="15" hidden="false" customHeight="false" outlineLevel="0" collapsed="false">
      <c r="A273" s="5" t="s">
        <v>657</v>
      </c>
      <c r="B273" s="5" t="s">
        <v>309</v>
      </c>
      <c r="C273" s="16" t="n">
        <f aca="false">a25_sh</f>
        <v>1.636</v>
      </c>
      <c r="D273" s="16" t="n">
        <f aca="false">a26_sh</f>
        <v>1.6585805</v>
      </c>
      <c r="E273" s="16" t="n">
        <f aca="false">D273*(1+sh_g)</f>
        <v>1.675166305</v>
      </c>
      <c r="F273" s="16" t="n">
        <f aca="false">E273*(1+sh_g)</f>
        <v>1.69191796805</v>
      </c>
      <c r="G273" s="16" t="n">
        <f aca="false">F273*(1+sh_g)</f>
        <v>1.7088371477305</v>
      </c>
    </row>
    <row r="274" customFormat="false" ht="17.15" hidden="false" customHeight="false" outlineLevel="0" collapsed="false">
      <c r="A274" s="5" t="s">
        <v>658</v>
      </c>
      <c r="B274" s="5" t="s">
        <v>309</v>
      </c>
      <c r="C274" s="16" t="n">
        <f aca="false">0</f>
        <v>0</v>
      </c>
      <c r="D274" s="16" t="n">
        <f aca="false">0</f>
        <v>0</v>
      </c>
      <c r="E274" s="16" t="n">
        <f aca="false">w_tot/w_gw*(gw_26+gw_27)/2*wf</f>
        <v>0.0266666666666667</v>
      </c>
      <c r="F274" s="16" t="n">
        <f aca="false">w_tot/w_gw*(gw_27+gw_28*um28_A)/2*wf</f>
        <v>0.08</v>
      </c>
      <c r="G274" s="16" t="n">
        <f aca="false">w_tot/w_gw*(gw_28*um28_A+gw_29*um29_A)/2*wf</f>
        <v>0.133333333333333</v>
      </c>
      <c r="H274" s="8" t="s">
        <v>659</v>
      </c>
    </row>
    <row r="275" customFormat="false" ht="15" hidden="false" customHeight="false" outlineLevel="0" collapsed="false">
      <c r="A275" s="5" t="s">
        <v>618</v>
      </c>
      <c r="B275" s="5" t="s">
        <v>309</v>
      </c>
      <c r="C275" s="16" t="n">
        <f aca="false">C273+C274</f>
        <v>1.636</v>
      </c>
      <c r="D275" s="16" t="n">
        <f aca="false">D273+D274</f>
        <v>1.6585805</v>
      </c>
      <c r="E275" s="16" t="n">
        <f aca="false">E273+E274</f>
        <v>1.70183297166667</v>
      </c>
      <c r="F275" s="16" t="n">
        <f aca="false">F273+F274</f>
        <v>1.77191796805</v>
      </c>
      <c r="G275" s="16" t="n">
        <f aca="false">G273+G274</f>
        <v>1.84217048106383</v>
      </c>
    </row>
    <row r="276" customFormat="false" ht="17.15" hidden="false" customHeight="false" outlineLevel="0" collapsed="false">
      <c r="A276" s="0" t="s">
        <v>619</v>
      </c>
      <c r="B276" s="0" t="s">
        <v>396</v>
      </c>
      <c r="C276" s="9" t="n">
        <f aca="false">C272/C275</f>
        <v>4.17542787286064</v>
      </c>
      <c r="D276" s="9" t="n">
        <f aca="false">D272/D275</f>
        <v>7.30556249474777</v>
      </c>
      <c r="E276" s="9" t="n">
        <f aca="false">E272/E275</f>
        <v>10.1391028214718</v>
      </c>
      <c r="F276" s="9" t="n">
        <f aca="false">F272/F275</f>
        <v>12.0213899310125</v>
      </c>
      <c r="G276" s="9" t="n">
        <f aca="false">G272/G275</f>
        <v>13.2988700078263</v>
      </c>
    </row>
    <row r="277" customFormat="false" ht="17.15" hidden="false" customHeight="false" outlineLevel="0" collapsed="false">
      <c r="A277" s="0" t="s">
        <v>660</v>
      </c>
      <c r="B277" s="0" t="s">
        <v>40</v>
      </c>
      <c r="D277" s="17" t="n">
        <f aca="false">D276/C276-1</f>
        <v>0.749656015430735</v>
      </c>
      <c r="E277" s="17" t="n">
        <f aca="false">E276/D276-1</f>
        <v>0.38786066490584</v>
      </c>
      <c r="F277" s="17" t="n">
        <f aca="false">F276/E276-1</f>
        <v>0.185646318287111</v>
      </c>
      <c r="G277" s="17" t="n">
        <f aca="false">G276/F276-1</f>
        <v>0.106267252301514</v>
      </c>
    </row>
    <row r="280" customFormat="false" ht="17.15" hidden="false" customHeight="false" outlineLevel="0" collapsed="false">
      <c r="A280" s="3" t="s">
        <v>995</v>
      </c>
    </row>
    <row r="281" customFormat="false" ht="15" hidden="false" customHeight="false" outlineLevel="0" collapsed="false">
      <c r="A281" s="6" t="s">
        <v>18</v>
      </c>
      <c r="B281" s="6" t="s">
        <v>19</v>
      </c>
      <c r="C281" s="13" t="s">
        <v>603</v>
      </c>
      <c r="D281" s="13" t="s">
        <v>604</v>
      </c>
      <c r="E281" s="13" t="s">
        <v>605</v>
      </c>
      <c r="F281" s="13" t="s">
        <v>606</v>
      </c>
      <c r="G281" s="13" t="s">
        <v>607</v>
      </c>
      <c r="H281" s="6" t="s">
        <v>572</v>
      </c>
    </row>
    <row r="282" customFormat="false" ht="17.15" hidden="false" customHeight="false" outlineLevel="0" collapsed="false">
      <c r="A282" s="1" t="s">
        <v>627</v>
      </c>
    </row>
    <row r="283" customFormat="false" ht="17.15" hidden="false" customHeight="false" outlineLevel="0" collapsed="false">
      <c r="A283" s="0" t="s">
        <v>628</v>
      </c>
      <c r="B283" s="0" t="s">
        <v>125</v>
      </c>
      <c r="D283" s="16" t="n">
        <f aca="false">k_rec</f>
        <v>0.673483215644445</v>
      </c>
      <c r="E283" s="16" t="n">
        <f aca="false">k_rec*1</f>
        <v>0.673483215644445</v>
      </c>
      <c r="F283" s="16" t="n">
        <f aca="false">k_rec*1</f>
        <v>0.673483215644445</v>
      </c>
      <c r="G283" s="16" t="n">
        <f aca="false">k_rec*1</f>
        <v>0.673483215644445</v>
      </c>
    </row>
    <row r="284" customFormat="false" ht="17.15" hidden="false" customHeight="false" outlineLevel="0" collapsed="false">
      <c r="A284" s="5" t="s">
        <v>629</v>
      </c>
      <c r="B284" s="0" t="s">
        <v>229</v>
      </c>
      <c r="D284" s="21" t="n">
        <f aca="false">Units!C24</f>
        <v>419.36</v>
      </c>
      <c r="E284" s="21" t="n">
        <f aca="false">Units!D24</f>
        <v>671.46</v>
      </c>
      <c r="F284" s="21" t="n">
        <f aca="false">Units!E24</f>
        <v>763.2</v>
      </c>
      <c r="G284" s="21" t="n">
        <f aca="false">Units!F24</f>
        <v>864.55</v>
      </c>
    </row>
    <row r="285" customFormat="false" ht="17.15" hidden="false" customHeight="false" outlineLevel="0" collapsed="false">
      <c r="A285" s="0" t="s">
        <v>630</v>
      </c>
      <c r="B285" s="0" t="s">
        <v>40</v>
      </c>
      <c r="D285" s="17" t="n">
        <f aca="false">Units!C33</f>
        <v>0.0536531858069439</v>
      </c>
      <c r="E285" s="17" t="n">
        <f aca="false">Units!D33</f>
        <v>0.0670181395764454</v>
      </c>
      <c r="F285" s="17" t="n">
        <f aca="false">Units!E33</f>
        <v>0.0786163522012579</v>
      </c>
      <c r="G285" s="17" t="n">
        <f aca="false">Units!F33</f>
        <v>0.0798103059395061</v>
      </c>
    </row>
    <row r="286" customFormat="false" ht="17.15" hidden="false" customHeight="false" outlineLevel="0" collapsed="false">
      <c r="A286" s="0" t="s">
        <v>631</v>
      </c>
      <c r="B286" s="5" t="s">
        <v>29</v>
      </c>
      <c r="D286" s="9" t="n">
        <f aca="false">Units!C10</f>
        <v>0.75</v>
      </c>
      <c r="E286" s="9" t="n">
        <f aca="false">Units!D10</f>
        <v>1.5</v>
      </c>
      <c r="F286" s="9" t="n">
        <f aca="false">Units!E10</f>
        <v>2</v>
      </c>
      <c r="G286" s="9" t="n">
        <f aca="false">Units!F10</f>
        <v>2.3</v>
      </c>
    </row>
    <row r="287" customFormat="false" ht="17.15" hidden="false" customHeight="false" outlineLevel="0" collapsed="false">
      <c r="A287" s="0" t="s">
        <v>632</v>
      </c>
      <c r="B287" s="5" t="s">
        <v>29</v>
      </c>
      <c r="D287" s="9" t="n">
        <f aca="false">D286*D283</f>
        <v>0.505112411733333</v>
      </c>
      <c r="E287" s="9" t="n">
        <f aca="false">E286*E283</f>
        <v>1.01022482346667</v>
      </c>
      <c r="F287" s="9" t="n">
        <f aca="false">F286*F283</f>
        <v>1.34696643128889</v>
      </c>
      <c r="G287" s="9" t="n">
        <f aca="false">G286*G283</f>
        <v>1.54901139598222</v>
      </c>
    </row>
    <row r="288" customFormat="false" ht="17.15" hidden="false" customHeight="false" outlineLevel="0" collapsed="false">
      <c r="A288" s="5" t="s">
        <v>633</v>
      </c>
      <c r="B288" s="0" t="s">
        <v>125</v>
      </c>
      <c r="D288" s="16" t="n">
        <f aca="false">1</f>
        <v>1</v>
      </c>
      <c r="E288" s="16" t="n">
        <f aca="false">pg_27</f>
        <v>1</v>
      </c>
      <c r="F288" s="16" t="n">
        <f aca="false">pg_28</f>
        <v>1</v>
      </c>
      <c r="G288" s="16" t="n">
        <f aca="false">pg_29</f>
        <v>1</v>
      </c>
    </row>
    <row r="289" customFormat="false" ht="17.15" hidden="false" customHeight="false" outlineLevel="0" collapsed="false">
      <c r="A289" s="0" t="s">
        <v>634</v>
      </c>
      <c r="B289" s="0" t="s">
        <v>229</v>
      </c>
      <c r="D289" s="21" t="n">
        <f aca="false">D284*D285*D283*D288</f>
        <v>15.153372352</v>
      </c>
      <c r="E289" s="21" t="n">
        <f aca="false">E284*E285*E283*E288</f>
        <v>30.306744704</v>
      </c>
      <c r="F289" s="21" t="n">
        <f aca="false">F284*F285*F283*F288</f>
        <v>40.4089929386667</v>
      </c>
      <c r="G289" s="21" t="n">
        <f aca="false">G284*G285*G283*G288</f>
        <v>46.4703418794667</v>
      </c>
    </row>
    <row r="290" customFormat="false" ht="17.15" hidden="false" customHeight="false" outlineLevel="0" collapsed="false">
      <c r="A290" s="0" t="s">
        <v>635</v>
      </c>
      <c r="B290" s="0" t="s">
        <v>125</v>
      </c>
      <c r="D290" s="16" t="n">
        <f aca="false">hbm_A_26/hbm_A_26</f>
        <v>1</v>
      </c>
      <c r="E290" s="16" t="n">
        <f aca="false">hbm_A_27/hbm_A_26</f>
        <v>1.8</v>
      </c>
      <c r="F290" s="16" t="n">
        <f aca="false">hbm_A_28/hbm_A_26</f>
        <v>1.98</v>
      </c>
      <c r="G290" s="16" t="n">
        <f aca="false">hbm_A_29/hbm_A_26</f>
        <v>1.881</v>
      </c>
    </row>
    <row r="291" customFormat="false" ht="17.15" hidden="false" customHeight="false" outlineLevel="0" collapsed="false">
      <c r="A291" s="5" t="s">
        <v>636</v>
      </c>
      <c r="B291" s="0" t="s">
        <v>229</v>
      </c>
      <c r="D291" s="21" t="n">
        <f aca="false">D289*(1+(1-abs_mem_hi)*hs_26*(D290-1))</f>
        <v>15.153372352</v>
      </c>
      <c r="E291" s="21" t="n">
        <f aca="false">E289*(1+(1-abs_mem_hi)*hs_26*(E290-1))</f>
        <v>30.306744704</v>
      </c>
      <c r="F291" s="21" t="n">
        <f aca="false">F289*(1+(1-abs_mem_hi)*hs_26*(F290-1))</f>
        <v>40.4089929386667</v>
      </c>
      <c r="G291" s="21" t="n">
        <f aca="false">G289*(1+(1-abs_mem_hi)*hs_26*(G290-1))</f>
        <v>46.4703418794667</v>
      </c>
    </row>
    <row r="292" customFormat="false" ht="17.15" hidden="false" customHeight="false" outlineLevel="0" collapsed="false">
      <c r="A292" s="5" t="s">
        <v>637</v>
      </c>
      <c r="B292" s="0" t="s">
        <v>229</v>
      </c>
      <c r="D292" s="21" t="n">
        <f aca="false">D289*((1-gm_gpu)+hs_26*(D290-1))</f>
        <v>7.576686176</v>
      </c>
      <c r="E292" s="21" t="n">
        <f aca="false">E289*((1-gm_gpu)+hs_26*(E290-1))</f>
        <v>20.199132352</v>
      </c>
      <c r="F292" s="21" t="n">
        <f aca="false">F289*((1-gm_gpu)+hs_26*(F290-1))</f>
        <v>28.4459044693333</v>
      </c>
      <c r="G292" s="21" t="n">
        <f aca="false">G289*((1-gm_gpu)+hs_26*(G290-1))</f>
        <v>31.7553571797333</v>
      </c>
      <c r="H292" s="5" t="s">
        <v>638</v>
      </c>
    </row>
    <row r="293" customFormat="false" ht="17.15" hidden="false" customHeight="false" outlineLevel="0" collapsed="false">
      <c r="A293" s="5" t="s">
        <v>639</v>
      </c>
      <c r="B293" s="0" t="s">
        <v>40</v>
      </c>
      <c r="D293" s="17" t="n">
        <f aca="false">1-D292/D291</f>
        <v>0.5</v>
      </c>
      <c r="E293" s="17" t="n">
        <f aca="false">1-E292/E291</f>
        <v>0.333510327510231</v>
      </c>
      <c r="F293" s="17" t="n">
        <f aca="false">1-F292/F291</f>
        <v>0.296050151200033</v>
      </c>
      <c r="G293" s="17" t="n">
        <f aca="false">1-G292/G291</f>
        <v>0.316653248170642</v>
      </c>
    </row>
    <row r="294" customFormat="false" ht="17.15" hidden="false" customHeight="false" outlineLevel="0" collapsed="false">
      <c r="A294" s="5" t="s">
        <v>640</v>
      </c>
      <c r="B294" s="0" t="s">
        <v>229</v>
      </c>
      <c r="D294" s="21" t="n">
        <f aca="false">a26_dcx</f>
        <v>15.698097648</v>
      </c>
      <c r="E294" s="21" t="n">
        <f aca="false">D294*(1+g_cpu27)</f>
        <v>23.547146472</v>
      </c>
      <c r="F294" s="21" t="n">
        <f aca="false">E294*(1+g_cpu28)</f>
        <v>29.43393309</v>
      </c>
      <c r="G294" s="21" t="n">
        <f aca="false">F294*(1+g_cpu29)</f>
        <v>33.8490230535</v>
      </c>
    </row>
    <row r="295" customFormat="false" ht="15" hidden="false" customHeight="false" outlineLevel="0" collapsed="false">
      <c r="A295" s="0" t="s">
        <v>524</v>
      </c>
      <c r="B295" s="0" t="s">
        <v>229</v>
      </c>
      <c r="D295" s="21" t="n">
        <f aca="false">a26_cli</f>
        <v>12.037318</v>
      </c>
      <c r="E295" s="21" t="n">
        <f aca="false">D295*(1+g_cli)</f>
        <v>12.39843754</v>
      </c>
      <c r="F295" s="21" t="n">
        <f aca="false">E295*(1+g_cli)</f>
        <v>12.7703906662</v>
      </c>
      <c r="G295" s="21" t="n">
        <f aca="false">F295*(1+g_cli)</f>
        <v>13.153502386186</v>
      </c>
    </row>
    <row r="296" customFormat="false" ht="15" hidden="false" customHeight="false" outlineLevel="0" collapsed="false">
      <c r="A296" s="0" t="s">
        <v>526</v>
      </c>
      <c r="B296" s="0" t="s">
        <v>229</v>
      </c>
      <c r="D296" s="21" t="n">
        <f aca="false">a26_gam</f>
        <v>2.68308</v>
      </c>
      <c r="E296" s="21" t="n">
        <f aca="false">D296*(1+g_gam)</f>
        <v>2.414772</v>
      </c>
      <c r="F296" s="21" t="n">
        <f aca="false">E296*(1+g_gam)</f>
        <v>2.1732948</v>
      </c>
      <c r="G296" s="21" t="n">
        <f aca="false">F296*(1+g_gam)</f>
        <v>1.95596532</v>
      </c>
    </row>
    <row r="297" customFormat="false" ht="15" hidden="false" customHeight="false" outlineLevel="0" collapsed="false">
      <c r="A297" s="0" t="s">
        <v>527</v>
      </c>
      <c r="B297" s="0" t="s">
        <v>229</v>
      </c>
      <c r="D297" s="21" t="n">
        <f aca="false">a26_emb</f>
        <v>4.0713072</v>
      </c>
      <c r="E297" s="21" t="n">
        <f aca="false">D297*(1+g_emb)</f>
        <v>4.47843792</v>
      </c>
      <c r="F297" s="21" t="n">
        <f aca="false">E297*(1+g_emb)</f>
        <v>4.926281712</v>
      </c>
      <c r="G297" s="21" t="n">
        <f aca="false">F297*(1+g_emb)</f>
        <v>5.4189098832</v>
      </c>
    </row>
    <row r="298" customFormat="false" ht="17.15" hidden="false" customHeight="false" outlineLevel="0" collapsed="false">
      <c r="A298" s="5" t="s">
        <v>641</v>
      </c>
      <c r="B298" s="0" t="s">
        <v>229</v>
      </c>
      <c r="D298" s="21" t="n">
        <f aca="false">D294+D295+D296+D297</f>
        <v>34.489802848</v>
      </c>
      <c r="E298" s="21" t="n">
        <f aca="false">E294+E295+E296+E297</f>
        <v>42.838793932</v>
      </c>
      <c r="F298" s="21" t="n">
        <f aca="false">F294+F295+F296+F297</f>
        <v>49.3039002682</v>
      </c>
      <c r="G298" s="21" t="n">
        <f aca="false">G294+G295+G296+G297</f>
        <v>54.377400642886</v>
      </c>
    </row>
    <row r="299" customFormat="false" ht="17.15" hidden="false" customHeight="false" outlineLevel="0" collapsed="false">
      <c r="A299" s="5" t="s">
        <v>642</v>
      </c>
      <c r="B299" s="0" t="s">
        <v>40</v>
      </c>
      <c r="D299" s="17" t="n">
        <f aca="false">(a26_gp-(D291-D292))/D298</f>
        <v>0.583371878020658</v>
      </c>
      <c r="E299" s="17" t="n">
        <f aca="false">$D299</f>
        <v>0.583371878020658</v>
      </c>
      <c r="F299" s="17" t="n">
        <f aca="false">$D299</f>
        <v>0.583371878020658</v>
      </c>
      <c r="G299" s="17" t="n">
        <f aca="false">$D299</f>
        <v>0.583371878020658</v>
      </c>
      <c r="H299" s="8" t="s">
        <v>643</v>
      </c>
    </row>
    <row r="300" customFormat="false" ht="17.15" hidden="false" customHeight="false" outlineLevel="0" collapsed="false">
      <c r="A300" s="5" t="s">
        <v>644</v>
      </c>
      <c r="B300" s="0" t="s">
        <v>229</v>
      </c>
      <c r="D300" s="21" t="n">
        <f aca="false">(1-D299)*D298</f>
        <v>14.369421788</v>
      </c>
      <c r="E300" s="21" t="n">
        <f aca="false">(1-E299)*E298</f>
        <v>17.8478462637492</v>
      </c>
      <c r="F300" s="21" t="n">
        <f aca="false">(1-F299)*F298</f>
        <v>20.5413913749969</v>
      </c>
      <c r="G300" s="21" t="n">
        <f aca="false">(1-G299)*G298</f>
        <v>22.6551543079639</v>
      </c>
    </row>
    <row r="301" customFormat="false" ht="15" hidden="false" customHeight="false" outlineLevel="0" collapsed="false">
      <c r="A301" s="5" t="s">
        <v>645</v>
      </c>
      <c r="B301" s="0" t="s">
        <v>229</v>
      </c>
      <c r="D301" s="21" t="n">
        <f aca="false">D291+D298</f>
        <v>49.6431752</v>
      </c>
      <c r="E301" s="21" t="n">
        <f aca="false">E291+E298</f>
        <v>73.145538636</v>
      </c>
      <c r="F301" s="21" t="n">
        <f aca="false">F291+F298</f>
        <v>89.7128932068667</v>
      </c>
      <c r="G301" s="21" t="n">
        <f aca="false">G291+G298</f>
        <v>100.847742522353</v>
      </c>
    </row>
    <row r="302" customFormat="false" ht="15" hidden="false" customHeight="false" outlineLevel="0" collapsed="false">
      <c r="A302" s="5" t="s">
        <v>646</v>
      </c>
      <c r="B302" s="0" t="s">
        <v>229</v>
      </c>
      <c r="D302" s="21" t="n">
        <f aca="false">D292+D300</f>
        <v>21.946107964</v>
      </c>
      <c r="E302" s="21" t="n">
        <f aca="false">E292+E300</f>
        <v>38.0469786157492</v>
      </c>
      <c r="F302" s="21" t="n">
        <f aca="false">F292+F300</f>
        <v>48.9872958443303</v>
      </c>
      <c r="G302" s="21" t="n">
        <f aca="false">G292+G300</f>
        <v>54.4105114876972</v>
      </c>
    </row>
    <row r="303" customFormat="false" ht="17.15" hidden="false" customHeight="false" outlineLevel="0" collapsed="false">
      <c r="A303" s="5" t="s">
        <v>647</v>
      </c>
      <c r="B303" s="0" t="s">
        <v>40</v>
      </c>
      <c r="D303" s="17" t="n">
        <f aca="false">1-D302/D301</f>
        <v>0.557922959690137</v>
      </c>
      <c r="E303" s="17" t="n">
        <f aca="false">1-E302/E301</f>
        <v>0.479845533641014</v>
      </c>
      <c r="F303" s="17" t="n">
        <f aca="false">1-F302/F301</f>
        <v>0.453954787397485</v>
      </c>
      <c r="G303" s="17" t="n">
        <f aca="false">1-G302/G301</f>
        <v>0.460468721194852</v>
      </c>
      <c r="H303" s="8" t="s">
        <v>648</v>
      </c>
    </row>
    <row r="304" customFormat="false" ht="17.15" hidden="false" customHeight="false" outlineLevel="0" collapsed="false">
      <c r="A304" s="1" t="s">
        <v>649</v>
      </c>
    </row>
    <row r="305" customFormat="false" ht="15" hidden="false" customHeight="false" outlineLevel="0" collapsed="false">
      <c r="A305" s="5" t="s">
        <v>510</v>
      </c>
      <c r="B305" s="0" t="s">
        <v>229</v>
      </c>
      <c r="C305" s="21" t="n">
        <f aca="false">a25_rev</f>
        <v>34.639</v>
      </c>
      <c r="D305" s="21" t="n">
        <f aca="false">a26_rev</f>
        <v>49.6431752</v>
      </c>
      <c r="E305" s="21" t="n">
        <f aca="false">E301</f>
        <v>73.145538636</v>
      </c>
      <c r="F305" s="21" t="n">
        <f aca="false">F301</f>
        <v>89.7128932068667</v>
      </c>
      <c r="G305" s="21" t="n">
        <f aca="false">G301</f>
        <v>100.847742522353</v>
      </c>
    </row>
    <row r="306" customFormat="false" ht="15" hidden="false" customHeight="false" outlineLevel="0" collapsed="false">
      <c r="A306" s="0" t="s">
        <v>610</v>
      </c>
      <c r="B306" s="0" t="s">
        <v>229</v>
      </c>
      <c r="C306" s="21" t="n">
        <f aca="false">a25_dc</f>
        <v>16.635</v>
      </c>
      <c r="D306" s="21" t="n">
        <f aca="false">a26_dc</f>
        <v>30.85147</v>
      </c>
      <c r="E306" s="21" t="n">
        <f aca="false">E291+E294</f>
        <v>53.853891176</v>
      </c>
      <c r="F306" s="21" t="n">
        <f aca="false">F291+F294</f>
        <v>69.8429260286667</v>
      </c>
      <c r="G306" s="21" t="n">
        <f aca="false">G291+G294</f>
        <v>80.3193649329667</v>
      </c>
    </row>
    <row r="307" customFormat="false" ht="17.15" hidden="false" customHeight="false" outlineLevel="0" collapsed="false">
      <c r="A307" s="5" t="s">
        <v>611</v>
      </c>
      <c r="B307" s="0" t="s">
        <v>229</v>
      </c>
      <c r="C307" s="21" t="n">
        <f aca="false">a25_gpu</f>
        <v>6.5</v>
      </c>
      <c r="D307" s="21" t="n">
        <f aca="false">a26_gpu</f>
        <v>15.153372352</v>
      </c>
      <c r="E307" s="21" t="n">
        <f aca="false">E291</f>
        <v>30.306744704</v>
      </c>
      <c r="F307" s="21" t="n">
        <f aca="false">F291</f>
        <v>40.4089929386667</v>
      </c>
      <c r="G307" s="21" t="n">
        <f aca="false">G291</f>
        <v>46.4703418794667</v>
      </c>
    </row>
    <row r="308" customFormat="false" ht="17.15" hidden="false" customHeight="false" outlineLevel="0" collapsed="false">
      <c r="A308" s="5" t="s">
        <v>650</v>
      </c>
      <c r="B308" s="0" t="s">
        <v>229</v>
      </c>
      <c r="C308" s="21" t="n">
        <f aca="false">a25_dcx</f>
        <v>10.135</v>
      </c>
      <c r="D308" s="21" t="n">
        <f aca="false">a26_dcx</f>
        <v>15.698097648</v>
      </c>
      <c r="E308" s="21" t="n">
        <f aca="false">E294</f>
        <v>23.547146472</v>
      </c>
      <c r="F308" s="21" t="n">
        <f aca="false">F294</f>
        <v>29.43393309</v>
      </c>
      <c r="G308" s="21" t="n">
        <f aca="false">G294</f>
        <v>33.8490230535</v>
      </c>
    </row>
    <row r="309" customFormat="false" ht="17.15" hidden="false" customHeight="false" outlineLevel="0" collapsed="false">
      <c r="A309" s="0" t="s">
        <v>613</v>
      </c>
      <c r="B309" s="0" t="s">
        <v>229</v>
      </c>
      <c r="C309" s="21" t="n">
        <f aca="false">a25_cli+a25_gam</f>
        <v>14.55</v>
      </c>
      <c r="D309" s="21" t="n">
        <f aca="false">a26_cli+a26_gam</f>
        <v>14.720398</v>
      </c>
      <c r="E309" s="21" t="n">
        <f aca="false">E295+E296</f>
        <v>14.81320954</v>
      </c>
      <c r="F309" s="21" t="n">
        <f aca="false">F295+F296</f>
        <v>14.9436854662</v>
      </c>
      <c r="G309" s="21" t="n">
        <f aca="false">G295+G296</f>
        <v>15.109467706186</v>
      </c>
    </row>
    <row r="310" customFormat="false" ht="15" hidden="false" customHeight="false" outlineLevel="0" collapsed="false">
      <c r="A310" s="0" t="s">
        <v>614</v>
      </c>
      <c r="B310" s="0" t="s">
        <v>229</v>
      </c>
      <c r="C310" s="21" t="n">
        <f aca="false">a25_emb</f>
        <v>3.454</v>
      </c>
      <c r="D310" s="21" t="n">
        <f aca="false">a26_emb</f>
        <v>4.0713072</v>
      </c>
      <c r="E310" s="21" t="n">
        <f aca="false">E297</f>
        <v>4.47843792</v>
      </c>
      <c r="F310" s="21" t="n">
        <f aca="false">F297</f>
        <v>4.926281712</v>
      </c>
      <c r="G310" s="21" t="n">
        <f aca="false">G297</f>
        <v>5.4189098832</v>
      </c>
    </row>
    <row r="311" customFormat="false" ht="15" hidden="false" customHeight="false" outlineLevel="0" collapsed="false">
      <c r="A311" s="5" t="s">
        <v>651</v>
      </c>
      <c r="B311" s="0" t="s">
        <v>40</v>
      </c>
      <c r="D311" s="17" t="n">
        <f aca="false">D305/C305-1</f>
        <v>0.433158439908774</v>
      </c>
      <c r="E311" s="17" t="n">
        <f aca="false">E305/D305-1</f>
        <v>0.473425870551487</v>
      </c>
      <c r="F311" s="17" t="n">
        <f aca="false">F305/E305-1</f>
        <v>0.226498497103318</v>
      </c>
      <c r="G311" s="17" t="n">
        <f aca="false">G305/F305-1</f>
        <v>0.124116488917712</v>
      </c>
    </row>
    <row r="312" customFormat="false" ht="17.15" hidden="false" customHeight="false" outlineLevel="0" collapsed="false">
      <c r="A312" s="5" t="s">
        <v>529</v>
      </c>
      <c r="B312" s="0" t="s">
        <v>229</v>
      </c>
      <c r="C312" s="21" t="n">
        <f aca="false">a25_gp</f>
        <v>18.165</v>
      </c>
      <c r="D312" s="21" t="n">
        <f aca="false">a26_gp</f>
        <v>27.697067236</v>
      </c>
      <c r="E312" s="21" t="n">
        <f aca="false">E305-E302</f>
        <v>35.0985600202508</v>
      </c>
      <c r="F312" s="21" t="n">
        <f aca="false">F305-F302</f>
        <v>40.7255973625364</v>
      </c>
      <c r="G312" s="21" t="n">
        <f aca="false">G305-G302</f>
        <v>46.4372310346555</v>
      </c>
    </row>
    <row r="313" customFormat="false" ht="15" hidden="false" customHeight="false" outlineLevel="0" collapsed="false">
      <c r="A313" s="5" t="s">
        <v>615</v>
      </c>
      <c r="B313" s="0" t="s">
        <v>40</v>
      </c>
      <c r="C313" s="17" t="n">
        <f aca="false">C312/C305</f>
        <v>0.524408903259332</v>
      </c>
      <c r="D313" s="17" t="n">
        <f aca="false">D312/D305</f>
        <v>0.557922959690137</v>
      </c>
      <c r="E313" s="17" t="n">
        <f aca="false">E312/E305</f>
        <v>0.479845533641014</v>
      </c>
      <c r="F313" s="17" t="n">
        <f aca="false">F312/F305</f>
        <v>0.453954787397485</v>
      </c>
      <c r="G313" s="17" t="n">
        <f aca="false">G312/G305</f>
        <v>0.460468721194852</v>
      </c>
    </row>
    <row r="314" customFormat="false" ht="17.15" hidden="false" customHeight="false" outlineLevel="0" collapsed="false">
      <c r="A314" s="5" t="s">
        <v>652</v>
      </c>
      <c r="B314" s="0" t="s">
        <v>229</v>
      </c>
      <c r="C314" s="21" t="n">
        <f aca="false">a25_opx</f>
        <v>10.397</v>
      </c>
      <c r="D314" s="21" t="n">
        <f aca="false">a26_opx</f>
        <v>14.0215</v>
      </c>
      <c r="E314" s="21" t="n">
        <f aca="false">D314*(1+MAX(g_opx_min,phi*E311))</f>
        <v>19.3639410903479</v>
      </c>
      <c r="F314" s="21" t="n">
        <f aca="false">E314*(1+MAX(g_opx_min,phi*F311))</f>
        <v>22.8937594417807</v>
      </c>
      <c r="G314" s="21" t="n">
        <f aca="false">F314*(1+MAX(g_opx_min,phi*G311))</f>
        <v>25.1806210091898</v>
      </c>
      <c r="H314" s="5" t="s">
        <v>653</v>
      </c>
    </row>
    <row r="315" customFormat="false" ht="15" hidden="false" customHeight="false" outlineLevel="0" collapsed="false">
      <c r="A315" s="5" t="s">
        <v>654</v>
      </c>
      <c r="B315" s="0" t="s">
        <v>229</v>
      </c>
      <c r="C315" s="21" t="n">
        <f aca="false">C314</f>
        <v>10.397</v>
      </c>
      <c r="D315" s="21" t="n">
        <f aca="false">D314</f>
        <v>14.0215</v>
      </c>
      <c r="E315" s="21" t="n">
        <f aca="false">E314+0*E305</f>
        <v>19.3639410903479</v>
      </c>
      <c r="F315" s="21" t="n">
        <f aca="false">F314+0*F305</f>
        <v>22.8937594417807</v>
      </c>
      <c r="G315" s="21" t="n">
        <f aca="false">G314+0*G305</f>
        <v>25.1806210091898</v>
      </c>
    </row>
    <row r="316" customFormat="false" ht="15" hidden="false" customHeight="false" outlineLevel="0" collapsed="false">
      <c r="A316" s="5" t="s">
        <v>616</v>
      </c>
      <c r="B316" s="0" t="s">
        <v>229</v>
      </c>
      <c r="C316" s="21" t="n">
        <f aca="false">C312-C315</f>
        <v>7.768</v>
      </c>
      <c r="D316" s="21" t="n">
        <f aca="false">D312-D315</f>
        <v>13.675567236</v>
      </c>
      <c r="E316" s="21" t="n">
        <f aca="false">E312-E315</f>
        <v>15.7346189299029</v>
      </c>
      <c r="F316" s="21" t="n">
        <f aca="false">F312-F315</f>
        <v>17.8318379207557</v>
      </c>
      <c r="G316" s="21" t="n">
        <f aca="false">G312-G315</f>
        <v>21.2566100254656</v>
      </c>
    </row>
    <row r="317" customFormat="false" ht="15" hidden="false" customHeight="false" outlineLevel="0" collapsed="false">
      <c r="A317" s="5" t="s">
        <v>617</v>
      </c>
      <c r="B317" s="0" t="s">
        <v>40</v>
      </c>
      <c r="C317" s="17" t="n">
        <f aca="false">C316/C305</f>
        <v>0.22425589653281</v>
      </c>
      <c r="D317" s="17" t="n">
        <f aca="false">D316/D305</f>
        <v>0.275477287278756</v>
      </c>
      <c r="E317" s="17" t="n">
        <f aca="false">E316/E305</f>
        <v>0.215113856884756</v>
      </c>
      <c r="F317" s="17" t="n">
        <f aca="false">F316/F305</f>
        <v>0.198765609750627</v>
      </c>
      <c r="G317" s="17" t="n">
        <f aca="false">G316/G305</f>
        <v>0.210779235050841</v>
      </c>
    </row>
    <row r="318" customFormat="false" ht="17.15" hidden="false" customHeight="false" outlineLevel="0" collapsed="false">
      <c r="A318" s="5" t="s">
        <v>655</v>
      </c>
      <c r="B318" s="0" t="s">
        <v>229</v>
      </c>
      <c r="C318" s="9" t="n">
        <f aca="false">a25_oth</f>
        <v>0.081</v>
      </c>
      <c r="D318" s="9" t="n">
        <f aca="false">a26_oth</f>
        <v>0.25</v>
      </c>
      <c r="E318" s="9" t="n">
        <f aca="false">oth_f</f>
        <v>0.2</v>
      </c>
      <c r="F318" s="9" t="n">
        <f aca="false">oth_f</f>
        <v>0.2</v>
      </c>
      <c r="G318" s="9" t="n">
        <f aca="false">oth_f</f>
        <v>0.2</v>
      </c>
    </row>
    <row r="319" customFormat="false" ht="15" hidden="false" customHeight="false" outlineLevel="0" collapsed="false">
      <c r="A319" s="5" t="s">
        <v>656</v>
      </c>
      <c r="B319" s="0" t="s">
        <v>40</v>
      </c>
      <c r="C319" s="17" t="n">
        <f aca="false">a25_etr</f>
        <v>0.129698050707096</v>
      </c>
      <c r="D319" s="17" t="n">
        <f aca="false">a26_etr</f>
        <v>0.129883667216384</v>
      </c>
      <c r="E319" s="17" t="n">
        <f aca="false">tx_f</f>
        <v>0.13</v>
      </c>
      <c r="F319" s="17" t="n">
        <f aca="false">tx_f</f>
        <v>0.13</v>
      </c>
      <c r="G319" s="17" t="n">
        <f aca="false">tx_f</f>
        <v>0.13</v>
      </c>
    </row>
    <row r="320" customFormat="false" ht="17.15" hidden="false" customHeight="false" outlineLevel="0" collapsed="false">
      <c r="A320" s="5" t="s">
        <v>547</v>
      </c>
      <c r="B320" s="0" t="s">
        <v>229</v>
      </c>
      <c r="C320" s="21" t="n">
        <f aca="false">a25_ni</f>
        <v>6.831</v>
      </c>
      <c r="D320" s="21" t="n">
        <f aca="false">a26_ni</f>
        <v>12.11686349532</v>
      </c>
      <c r="E320" s="21" t="n">
        <f aca="false">(E316+E318)*(1-E319)</f>
        <v>13.8631184690155</v>
      </c>
      <c r="F320" s="21" t="n">
        <f aca="false">(F316+F318)*(1-F319)</f>
        <v>15.6876989910575</v>
      </c>
      <c r="G320" s="21" t="n">
        <f aca="false">(G316+G318)*(1-G319)</f>
        <v>18.6672507221551</v>
      </c>
    </row>
    <row r="321" customFormat="false" ht="15" hidden="false" customHeight="false" outlineLevel="0" collapsed="false">
      <c r="A321" s="5" t="s">
        <v>657</v>
      </c>
      <c r="B321" s="5" t="s">
        <v>309</v>
      </c>
      <c r="C321" s="16" t="n">
        <f aca="false">a25_sh</f>
        <v>1.636</v>
      </c>
      <c r="D321" s="16" t="n">
        <f aca="false">a26_sh</f>
        <v>1.6585805</v>
      </c>
      <c r="E321" s="16" t="n">
        <f aca="false">D321*(1+sh_g)</f>
        <v>1.675166305</v>
      </c>
      <c r="F321" s="16" t="n">
        <f aca="false">E321*(1+sh_g)</f>
        <v>1.69191796805</v>
      </c>
      <c r="G321" s="16" t="n">
        <f aca="false">F321*(1+sh_g)</f>
        <v>1.7088371477305</v>
      </c>
    </row>
    <row r="322" customFormat="false" ht="17.15" hidden="false" customHeight="false" outlineLevel="0" collapsed="false">
      <c r="A322" s="5" t="s">
        <v>658</v>
      </c>
      <c r="B322" s="5" t="s">
        <v>309</v>
      </c>
      <c r="C322" s="16" t="n">
        <f aca="false">0</f>
        <v>0</v>
      </c>
      <c r="D322" s="16" t="n">
        <f aca="false">0</f>
        <v>0</v>
      </c>
      <c r="E322" s="16" t="n">
        <f aca="false">w_tot/w_gw*(gw_26+gw_27)/2*wf</f>
        <v>0.0266666666666667</v>
      </c>
      <c r="F322" s="16" t="n">
        <f aca="false">w_tot/w_gw*(gw_27+gw_28*um28_A)/2*wf</f>
        <v>0.08</v>
      </c>
      <c r="G322" s="16" t="n">
        <f aca="false">w_tot/w_gw*(gw_28*um28_A+gw_29*um29_A)/2*wf</f>
        <v>0.133333333333333</v>
      </c>
      <c r="H322" s="8" t="s">
        <v>659</v>
      </c>
    </row>
    <row r="323" customFormat="false" ht="15" hidden="false" customHeight="false" outlineLevel="0" collapsed="false">
      <c r="A323" s="5" t="s">
        <v>618</v>
      </c>
      <c r="B323" s="5" t="s">
        <v>309</v>
      </c>
      <c r="C323" s="16" t="n">
        <f aca="false">C321+C322</f>
        <v>1.636</v>
      </c>
      <c r="D323" s="16" t="n">
        <f aca="false">D321+D322</f>
        <v>1.6585805</v>
      </c>
      <c r="E323" s="16" t="n">
        <f aca="false">E321+E322</f>
        <v>1.70183297166667</v>
      </c>
      <c r="F323" s="16" t="n">
        <f aca="false">F321+F322</f>
        <v>1.77191796805</v>
      </c>
      <c r="G323" s="16" t="n">
        <f aca="false">G321+G322</f>
        <v>1.84217048106383</v>
      </c>
    </row>
    <row r="324" customFormat="false" ht="17.15" hidden="false" customHeight="false" outlineLevel="0" collapsed="false">
      <c r="A324" s="0" t="s">
        <v>619</v>
      </c>
      <c r="B324" s="0" t="s">
        <v>396</v>
      </c>
      <c r="C324" s="9" t="n">
        <f aca="false">C320/C323</f>
        <v>4.17542787286064</v>
      </c>
      <c r="D324" s="9" t="n">
        <f aca="false">D320/D323</f>
        <v>7.30556249474777</v>
      </c>
      <c r="E324" s="9" t="n">
        <f aca="false">E320/E323</f>
        <v>8.1459924092544</v>
      </c>
      <c r="F324" s="9" t="n">
        <f aca="false">F320/F323</f>
        <v>8.85351312754159</v>
      </c>
      <c r="G324" s="9" t="n">
        <f aca="false">G320/G323</f>
        <v>10.1332916329085</v>
      </c>
    </row>
    <row r="325" customFormat="false" ht="17.15" hidden="false" customHeight="false" outlineLevel="0" collapsed="false">
      <c r="A325" s="0" t="s">
        <v>660</v>
      </c>
      <c r="B325" s="0" t="s">
        <v>40</v>
      </c>
      <c r="D325" s="17" t="n">
        <f aca="false">D324/C324-1</f>
        <v>0.749656015430735</v>
      </c>
      <c r="E325" s="17" t="n">
        <f aca="false">E324/D324-1</f>
        <v>0.115039726935584</v>
      </c>
      <c r="F325" s="17" t="n">
        <f aca="false">F324/E324-1</f>
        <v>0.0868550672209558</v>
      </c>
      <c r="G325" s="17" t="n">
        <f aca="false">G324/F324-1</f>
        <v>0.144550359493536</v>
      </c>
    </row>
    <row r="328" customFormat="false" ht="17.15" hidden="false" customHeight="false" outlineLevel="0" collapsed="false">
      <c r="A328" s="3" t="s">
        <v>996</v>
      </c>
    </row>
    <row r="329" customFormat="false" ht="15" hidden="false" customHeight="false" outlineLevel="0" collapsed="false">
      <c r="A329" s="6" t="s">
        <v>18</v>
      </c>
      <c r="B329" s="6" t="s">
        <v>19</v>
      </c>
      <c r="C329" s="13" t="s">
        <v>603</v>
      </c>
      <c r="D329" s="13" t="s">
        <v>604</v>
      </c>
      <c r="E329" s="13" t="s">
        <v>605</v>
      </c>
      <c r="F329" s="13" t="s">
        <v>606</v>
      </c>
      <c r="G329" s="13" t="s">
        <v>607</v>
      </c>
      <c r="H329" s="6" t="s">
        <v>572</v>
      </c>
    </row>
    <row r="330" customFormat="false" ht="17.15" hidden="false" customHeight="false" outlineLevel="0" collapsed="false">
      <c r="A330" s="1" t="s">
        <v>627</v>
      </c>
    </row>
    <row r="331" customFormat="false" ht="17.15" hidden="false" customHeight="false" outlineLevel="0" collapsed="false">
      <c r="A331" s="0" t="s">
        <v>628</v>
      </c>
      <c r="B331" s="0" t="s">
        <v>125</v>
      </c>
      <c r="D331" s="16" t="n">
        <f aca="false">k_rec</f>
        <v>0.673483215644445</v>
      </c>
      <c r="E331" s="16" t="n">
        <f aca="false">k_rec*1</f>
        <v>0.673483215644445</v>
      </c>
      <c r="F331" s="16" t="n">
        <f aca="false">k_rec*1</f>
        <v>0.673483215644445</v>
      </c>
      <c r="G331" s="16" t="n">
        <f aca="false">k_rec*1</f>
        <v>0.673483215644445</v>
      </c>
    </row>
    <row r="332" customFormat="false" ht="17.15" hidden="false" customHeight="false" outlineLevel="0" collapsed="false">
      <c r="A332" s="5" t="s">
        <v>629</v>
      </c>
      <c r="B332" s="0" t="s">
        <v>229</v>
      </c>
      <c r="D332" s="21" t="n">
        <f aca="false">Units!C24</f>
        <v>419.36</v>
      </c>
      <c r="E332" s="21" t="n">
        <f aca="false">Units!D24</f>
        <v>671.46</v>
      </c>
      <c r="F332" s="21" t="n">
        <f aca="false">Units!E24</f>
        <v>763.2</v>
      </c>
      <c r="G332" s="21" t="n">
        <f aca="false">Units!F24</f>
        <v>864.55</v>
      </c>
    </row>
    <row r="333" customFormat="false" ht="17.15" hidden="false" customHeight="false" outlineLevel="0" collapsed="false">
      <c r="A333" s="0" t="s">
        <v>630</v>
      </c>
      <c r="B333" s="0" t="s">
        <v>40</v>
      </c>
      <c r="D333" s="17" t="n">
        <f aca="false">Units!C33</f>
        <v>0.0536531858069439</v>
      </c>
      <c r="E333" s="17" t="n">
        <f aca="false">Units!D33</f>
        <v>0.0670181395764454</v>
      </c>
      <c r="F333" s="17" t="n">
        <f aca="false">Units!E33</f>
        <v>0.0786163522012579</v>
      </c>
      <c r="G333" s="17" t="n">
        <f aca="false">Units!F33</f>
        <v>0.0798103059395061</v>
      </c>
    </row>
    <row r="334" customFormat="false" ht="17.15" hidden="false" customHeight="false" outlineLevel="0" collapsed="false">
      <c r="A334" s="0" t="s">
        <v>631</v>
      </c>
      <c r="B334" s="5" t="s">
        <v>29</v>
      </c>
      <c r="D334" s="9" t="n">
        <f aca="false">Units!C10</f>
        <v>0.75</v>
      </c>
      <c r="E334" s="9" t="n">
        <f aca="false">Units!D10</f>
        <v>1.5</v>
      </c>
      <c r="F334" s="9" t="n">
        <f aca="false">Units!E10</f>
        <v>2</v>
      </c>
      <c r="G334" s="9" t="n">
        <f aca="false">Units!F10</f>
        <v>2.3</v>
      </c>
    </row>
    <row r="335" customFormat="false" ht="17.15" hidden="false" customHeight="false" outlineLevel="0" collapsed="false">
      <c r="A335" s="0" t="s">
        <v>632</v>
      </c>
      <c r="B335" s="5" t="s">
        <v>29</v>
      </c>
      <c r="D335" s="9" t="n">
        <f aca="false">D334*D331</f>
        <v>0.505112411733333</v>
      </c>
      <c r="E335" s="9" t="n">
        <f aca="false">E334*E331</f>
        <v>1.01022482346667</v>
      </c>
      <c r="F335" s="9" t="n">
        <f aca="false">F334*F331</f>
        <v>1.34696643128889</v>
      </c>
      <c r="G335" s="9" t="n">
        <f aca="false">G334*G331</f>
        <v>1.54901139598222</v>
      </c>
    </row>
    <row r="336" customFormat="false" ht="17.15" hidden="false" customHeight="false" outlineLevel="0" collapsed="false">
      <c r="A336" s="5" t="s">
        <v>633</v>
      </c>
      <c r="B336" s="0" t="s">
        <v>125</v>
      </c>
      <c r="D336" s="16" t="n">
        <f aca="false">1</f>
        <v>1</v>
      </c>
      <c r="E336" s="16" t="n">
        <f aca="false">pg_27</f>
        <v>1</v>
      </c>
      <c r="F336" s="16" t="n">
        <f aca="false">pg_28</f>
        <v>1</v>
      </c>
      <c r="G336" s="16" t="n">
        <f aca="false">pg_29</f>
        <v>1</v>
      </c>
    </row>
    <row r="337" customFormat="false" ht="17.15" hidden="false" customHeight="false" outlineLevel="0" collapsed="false">
      <c r="A337" s="0" t="s">
        <v>634</v>
      </c>
      <c r="B337" s="0" t="s">
        <v>229</v>
      </c>
      <c r="D337" s="21" t="n">
        <f aca="false">D332*D333*D331*D336</f>
        <v>15.153372352</v>
      </c>
      <c r="E337" s="21" t="n">
        <f aca="false">E332*E333*E331*E336</f>
        <v>30.306744704</v>
      </c>
      <c r="F337" s="21" t="n">
        <f aca="false">F332*F333*F331*F336</f>
        <v>40.4089929386667</v>
      </c>
      <c r="G337" s="21" t="n">
        <f aca="false">G332*G333*G331*G336</f>
        <v>46.4703418794667</v>
      </c>
    </row>
    <row r="338" customFormat="false" ht="17.15" hidden="false" customHeight="false" outlineLevel="0" collapsed="false">
      <c r="A338" s="0" t="s">
        <v>635</v>
      </c>
      <c r="B338" s="0" t="s">
        <v>125</v>
      </c>
      <c r="D338" s="16" t="n">
        <f aca="false">hbm_A_26/hbm_A_26</f>
        <v>1</v>
      </c>
      <c r="E338" s="16" t="n">
        <f aca="false">hbm_A_27/hbm_A_26</f>
        <v>1.8</v>
      </c>
      <c r="F338" s="16" t="n">
        <f aca="false">hbm_A_28/hbm_A_26</f>
        <v>1.98</v>
      </c>
      <c r="G338" s="16" t="n">
        <f aca="false">hbm_A_29/hbm_A_26</f>
        <v>1.881</v>
      </c>
    </row>
    <row r="339" customFormat="false" ht="17.15" hidden="false" customHeight="false" outlineLevel="0" collapsed="false">
      <c r="A339" s="5" t="s">
        <v>636</v>
      </c>
      <c r="B339" s="0" t="s">
        <v>229</v>
      </c>
      <c r="D339" s="21" t="n">
        <f aca="false">D337*(1+(1-abs_mem)*hs_26*(D338-1))</f>
        <v>15.153372352</v>
      </c>
      <c r="E339" s="21" t="n">
        <f aca="false">E337*(1+(1-abs_mem)*hs_26*(E338-1))</f>
        <v>32.829624704</v>
      </c>
      <c r="F339" s="21" t="n">
        <f aca="false">F337*(1+(1-abs_mem)*hs_26*(F338-1))</f>
        <v>44.5296969386667</v>
      </c>
      <c r="G339" s="21" t="n">
        <f aca="false">G337*(1+(1-abs_mem)*hs_26*(G338-1))</f>
        <v>50.7304349994667</v>
      </c>
    </row>
    <row r="340" customFormat="false" ht="17.15" hidden="false" customHeight="false" outlineLevel="0" collapsed="false">
      <c r="A340" s="5" t="s">
        <v>637</v>
      </c>
      <c r="B340" s="0" t="s">
        <v>229</v>
      </c>
      <c r="D340" s="21" t="n">
        <f aca="false">D337*((1-gm_gpu_lo)+hs_26*(D338-1))</f>
        <v>9.0920234112</v>
      </c>
      <c r="E340" s="21" t="n">
        <f aca="false">E337*((1-gm_gpu_lo)+hs_26*(E338-1))</f>
        <v>23.2298068224</v>
      </c>
      <c r="F340" s="21" t="n">
        <f aca="false">F337*((1-gm_gpu_lo)+hs_26*(F338-1))</f>
        <v>32.4868037632</v>
      </c>
      <c r="G340" s="21" t="n">
        <f aca="false">G337*((1-gm_gpu_lo)+hs_26*(G338-1))</f>
        <v>36.40239136768</v>
      </c>
      <c r="H340" s="5" t="s">
        <v>638</v>
      </c>
    </row>
    <row r="341" customFormat="false" ht="17.15" hidden="false" customHeight="false" outlineLevel="0" collapsed="false">
      <c r="A341" s="5" t="s">
        <v>639</v>
      </c>
      <c r="B341" s="0" t="s">
        <v>40</v>
      </c>
      <c r="D341" s="17" t="n">
        <f aca="false">1-D340/D339</f>
        <v>0.4</v>
      </c>
      <c r="E341" s="17" t="n">
        <f aca="false">1-E340/E339</f>
        <v>0.292413269056662</v>
      </c>
      <c r="F341" s="17" t="n">
        <f aca="false">1-F340/F339</f>
        <v>0.270446331401133</v>
      </c>
      <c r="G341" s="17" t="n">
        <f aca="false">1-G340/G339</f>
        <v>0.282434866405882</v>
      </c>
    </row>
    <row r="342" customFormat="false" ht="17.15" hidden="false" customHeight="false" outlineLevel="0" collapsed="false">
      <c r="A342" s="5" t="s">
        <v>640</v>
      </c>
      <c r="B342" s="0" t="s">
        <v>229</v>
      </c>
      <c r="D342" s="21" t="n">
        <f aca="false">a26_dcx</f>
        <v>15.698097648</v>
      </c>
      <c r="E342" s="21" t="n">
        <f aca="false">D342*(1+g_cpu27)</f>
        <v>23.547146472</v>
      </c>
      <c r="F342" s="21" t="n">
        <f aca="false">E342*(1+g_cpu28)</f>
        <v>29.43393309</v>
      </c>
      <c r="G342" s="21" t="n">
        <f aca="false">F342*(1+g_cpu29)</f>
        <v>33.8490230535</v>
      </c>
    </row>
    <row r="343" customFormat="false" ht="15" hidden="false" customHeight="false" outlineLevel="0" collapsed="false">
      <c r="A343" s="0" t="s">
        <v>524</v>
      </c>
      <c r="B343" s="0" t="s">
        <v>229</v>
      </c>
      <c r="D343" s="21" t="n">
        <f aca="false">a26_cli</f>
        <v>12.037318</v>
      </c>
      <c r="E343" s="21" t="n">
        <f aca="false">D343*(1+g_cli)</f>
        <v>12.39843754</v>
      </c>
      <c r="F343" s="21" t="n">
        <f aca="false">E343*(1+g_cli)</f>
        <v>12.7703906662</v>
      </c>
      <c r="G343" s="21" t="n">
        <f aca="false">F343*(1+g_cli)</f>
        <v>13.153502386186</v>
      </c>
    </row>
    <row r="344" customFormat="false" ht="15" hidden="false" customHeight="false" outlineLevel="0" collapsed="false">
      <c r="A344" s="0" t="s">
        <v>526</v>
      </c>
      <c r="B344" s="0" t="s">
        <v>229</v>
      </c>
      <c r="D344" s="21" t="n">
        <f aca="false">a26_gam</f>
        <v>2.68308</v>
      </c>
      <c r="E344" s="21" t="n">
        <f aca="false">D344*(1+g_gam)</f>
        <v>2.414772</v>
      </c>
      <c r="F344" s="21" t="n">
        <f aca="false">E344*(1+g_gam)</f>
        <v>2.1732948</v>
      </c>
      <c r="G344" s="21" t="n">
        <f aca="false">F344*(1+g_gam)</f>
        <v>1.95596532</v>
      </c>
    </row>
    <row r="345" customFormat="false" ht="15" hidden="false" customHeight="false" outlineLevel="0" collapsed="false">
      <c r="A345" s="0" t="s">
        <v>527</v>
      </c>
      <c r="B345" s="0" t="s">
        <v>229</v>
      </c>
      <c r="D345" s="21" t="n">
        <f aca="false">a26_emb</f>
        <v>4.0713072</v>
      </c>
      <c r="E345" s="21" t="n">
        <f aca="false">D345*(1+g_emb)</f>
        <v>4.47843792</v>
      </c>
      <c r="F345" s="21" t="n">
        <f aca="false">E345*(1+g_emb)</f>
        <v>4.926281712</v>
      </c>
      <c r="G345" s="21" t="n">
        <f aca="false">F345*(1+g_emb)</f>
        <v>5.4189098832</v>
      </c>
    </row>
    <row r="346" customFormat="false" ht="17.15" hidden="false" customHeight="false" outlineLevel="0" collapsed="false">
      <c r="A346" s="5" t="s">
        <v>641</v>
      </c>
      <c r="B346" s="0" t="s">
        <v>229</v>
      </c>
      <c r="D346" s="21" t="n">
        <f aca="false">D342+D343+D344+D345</f>
        <v>34.489802848</v>
      </c>
      <c r="E346" s="21" t="n">
        <f aca="false">E342+E343+E344+E345</f>
        <v>42.838793932</v>
      </c>
      <c r="F346" s="21" t="n">
        <f aca="false">F342+F343+F344+F345</f>
        <v>49.3039002682</v>
      </c>
      <c r="G346" s="21" t="n">
        <f aca="false">G342+G343+G344+G345</f>
        <v>54.377400642886</v>
      </c>
    </row>
    <row r="347" customFormat="false" ht="17.15" hidden="false" customHeight="false" outlineLevel="0" collapsed="false">
      <c r="A347" s="5" t="s">
        <v>642</v>
      </c>
      <c r="B347" s="0" t="s">
        <v>40</v>
      </c>
      <c r="D347" s="17" t="n">
        <f aca="false">(a26_gp-(D339-D340))/D346</f>
        <v>0.627307682521433</v>
      </c>
      <c r="E347" s="17" t="n">
        <f aca="false">$D347</f>
        <v>0.627307682521433</v>
      </c>
      <c r="F347" s="17" t="n">
        <f aca="false">$D347</f>
        <v>0.627307682521433</v>
      </c>
      <c r="G347" s="17" t="n">
        <f aca="false">$D347</f>
        <v>0.627307682521433</v>
      </c>
      <c r="H347" s="8" t="s">
        <v>643</v>
      </c>
    </row>
    <row r="348" customFormat="false" ht="17.15" hidden="false" customHeight="false" outlineLevel="0" collapsed="false">
      <c r="A348" s="5" t="s">
        <v>644</v>
      </c>
      <c r="B348" s="0" t="s">
        <v>229</v>
      </c>
      <c r="D348" s="21" t="n">
        <f aca="false">(1-D347)*D346</f>
        <v>12.8540845528</v>
      </c>
      <c r="E348" s="21" t="n">
        <f aca="false">(1-E347)*E346</f>
        <v>15.9656893885039</v>
      </c>
      <c r="F348" s="21" t="n">
        <f aca="false">(1-F347)*F346</f>
        <v>18.3751848516876</v>
      </c>
      <c r="G348" s="21" t="n">
        <f aca="false">(1-G347)*G346</f>
        <v>20.2660394640577</v>
      </c>
    </row>
    <row r="349" customFormat="false" ht="15" hidden="false" customHeight="false" outlineLevel="0" collapsed="false">
      <c r="A349" s="5" t="s">
        <v>645</v>
      </c>
      <c r="B349" s="0" t="s">
        <v>229</v>
      </c>
      <c r="D349" s="21" t="n">
        <f aca="false">D339+D346</f>
        <v>49.6431752</v>
      </c>
      <c r="E349" s="21" t="n">
        <f aca="false">E339+E346</f>
        <v>75.668418636</v>
      </c>
      <c r="F349" s="21" t="n">
        <f aca="false">F339+F346</f>
        <v>93.8335972068667</v>
      </c>
      <c r="G349" s="21" t="n">
        <f aca="false">G339+G346</f>
        <v>105.107835642353</v>
      </c>
    </row>
    <row r="350" customFormat="false" ht="15" hidden="false" customHeight="false" outlineLevel="0" collapsed="false">
      <c r="A350" s="5" t="s">
        <v>646</v>
      </c>
      <c r="B350" s="0" t="s">
        <v>229</v>
      </c>
      <c r="D350" s="21" t="n">
        <f aca="false">D340+D348</f>
        <v>21.946107964</v>
      </c>
      <c r="E350" s="21" t="n">
        <f aca="false">E340+E348</f>
        <v>39.1954962109039</v>
      </c>
      <c r="F350" s="21" t="n">
        <f aca="false">F340+F348</f>
        <v>50.8619886148876</v>
      </c>
      <c r="G350" s="21" t="n">
        <f aca="false">G340+G348</f>
        <v>56.6684308317377</v>
      </c>
    </row>
    <row r="351" customFormat="false" ht="17.15" hidden="false" customHeight="false" outlineLevel="0" collapsed="false">
      <c r="A351" s="5" t="s">
        <v>647</v>
      </c>
      <c r="B351" s="0" t="s">
        <v>40</v>
      </c>
      <c r="D351" s="17" t="n">
        <f aca="false">1-D350/D349</f>
        <v>0.557922959690137</v>
      </c>
      <c r="E351" s="17" t="n">
        <f aca="false">1-E350/E349</f>
        <v>0.482009840863039</v>
      </c>
      <c r="F351" s="17" t="n">
        <f aca="false">1-F350/F349</f>
        <v>0.457955464472318</v>
      </c>
      <c r="G351" s="17" t="n">
        <f aca="false">1-G350/G349</f>
        <v>0.460854364611201</v>
      </c>
      <c r="H351" s="8" t="s">
        <v>648</v>
      </c>
    </row>
    <row r="352" customFormat="false" ht="17.15" hidden="false" customHeight="false" outlineLevel="0" collapsed="false">
      <c r="A352" s="1" t="s">
        <v>649</v>
      </c>
    </row>
    <row r="353" customFormat="false" ht="15" hidden="false" customHeight="false" outlineLevel="0" collapsed="false">
      <c r="A353" s="5" t="s">
        <v>510</v>
      </c>
      <c r="B353" s="0" t="s">
        <v>229</v>
      </c>
      <c r="C353" s="21" t="n">
        <f aca="false">a25_rev</f>
        <v>34.639</v>
      </c>
      <c r="D353" s="21" t="n">
        <f aca="false">a26_rev</f>
        <v>49.6431752</v>
      </c>
      <c r="E353" s="21" t="n">
        <f aca="false">E349</f>
        <v>75.668418636</v>
      </c>
      <c r="F353" s="21" t="n">
        <f aca="false">F349</f>
        <v>93.8335972068667</v>
      </c>
      <c r="G353" s="21" t="n">
        <f aca="false">G349</f>
        <v>105.107835642353</v>
      </c>
    </row>
    <row r="354" customFormat="false" ht="15" hidden="false" customHeight="false" outlineLevel="0" collapsed="false">
      <c r="A354" s="0" t="s">
        <v>610</v>
      </c>
      <c r="B354" s="0" t="s">
        <v>229</v>
      </c>
      <c r="C354" s="21" t="n">
        <f aca="false">a25_dc</f>
        <v>16.635</v>
      </c>
      <c r="D354" s="21" t="n">
        <f aca="false">a26_dc</f>
        <v>30.85147</v>
      </c>
      <c r="E354" s="21" t="n">
        <f aca="false">E339+E342</f>
        <v>56.376771176</v>
      </c>
      <c r="F354" s="21" t="n">
        <f aca="false">F339+F342</f>
        <v>73.9636300286667</v>
      </c>
      <c r="G354" s="21" t="n">
        <f aca="false">G339+G342</f>
        <v>84.5794580529667</v>
      </c>
    </row>
    <row r="355" customFormat="false" ht="17.15" hidden="false" customHeight="false" outlineLevel="0" collapsed="false">
      <c r="A355" s="5" t="s">
        <v>611</v>
      </c>
      <c r="B355" s="0" t="s">
        <v>229</v>
      </c>
      <c r="C355" s="21" t="n">
        <f aca="false">a25_gpu</f>
        <v>6.5</v>
      </c>
      <c r="D355" s="21" t="n">
        <f aca="false">a26_gpu</f>
        <v>15.153372352</v>
      </c>
      <c r="E355" s="21" t="n">
        <f aca="false">E339</f>
        <v>32.829624704</v>
      </c>
      <c r="F355" s="21" t="n">
        <f aca="false">F339</f>
        <v>44.5296969386667</v>
      </c>
      <c r="G355" s="21" t="n">
        <f aca="false">G339</f>
        <v>50.7304349994667</v>
      </c>
    </row>
    <row r="356" customFormat="false" ht="17.15" hidden="false" customHeight="false" outlineLevel="0" collapsed="false">
      <c r="A356" s="5" t="s">
        <v>650</v>
      </c>
      <c r="B356" s="0" t="s">
        <v>229</v>
      </c>
      <c r="C356" s="21" t="n">
        <f aca="false">a25_dcx</f>
        <v>10.135</v>
      </c>
      <c r="D356" s="21" t="n">
        <f aca="false">a26_dcx</f>
        <v>15.698097648</v>
      </c>
      <c r="E356" s="21" t="n">
        <f aca="false">E342</f>
        <v>23.547146472</v>
      </c>
      <c r="F356" s="21" t="n">
        <f aca="false">F342</f>
        <v>29.43393309</v>
      </c>
      <c r="G356" s="21" t="n">
        <f aca="false">G342</f>
        <v>33.8490230535</v>
      </c>
    </row>
    <row r="357" customFormat="false" ht="17.15" hidden="false" customHeight="false" outlineLevel="0" collapsed="false">
      <c r="A357" s="0" t="s">
        <v>613</v>
      </c>
      <c r="B357" s="0" t="s">
        <v>229</v>
      </c>
      <c r="C357" s="21" t="n">
        <f aca="false">a25_cli+a25_gam</f>
        <v>14.55</v>
      </c>
      <c r="D357" s="21" t="n">
        <f aca="false">a26_cli+a26_gam</f>
        <v>14.720398</v>
      </c>
      <c r="E357" s="21" t="n">
        <f aca="false">E343+E344</f>
        <v>14.81320954</v>
      </c>
      <c r="F357" s="21" t="n">
        <f aca="false">F343+F344</f>
        <v>14.9436854662</v>
      </c>
      <c r="G357" s="21" t="n">
        <f aca="false">G343+G344</f>
        <v>15.109467706186</v>
      </c>
    </row>
    <row r="358" customFormat="false" ht="15" hidden="false" customHeight="false" outlineLevel="0" collapsed="false">
      <c r="A358" s="0" t="s">
        <v>614</v>
      </c>
      <c r="B358" s="0" t="s">
        <v>229</v>
      </c>
      <c r="C358" s="21" t="n">
        <f aca="false">a25_emb</f>
        <v>3.454</v>
      </c>
      <c r="D358" s="21" t="n">
        <f aca="false">a26_emb</f>
        <v>4.0713072</v>
      </c>
      <c r="E358" s="21" t="n">
        <f aca="false">E345</f>
        <v>4.47843792</v>
      </c>
      <c r="F358" s="21" t="n">
        <f aca="false">F345</f>
        <v>4.926281712</v>
      </c>
      <c r="G358" s="21" t="n">
        <f aca="false">G345</f>
        <v>5.4189098832</v>
      </c>
    </row>
    <row r="359" customFormat="false" ht="15" hidden="false" customHeight="false" outlineLevel="0" collapsed="false">
      <c r="A359" s="5" t="s">
        <v>651</v>
      </c>
      <c r="B359" s="0" t="s">
        <v>40</v>
      </c>
      <c r="D359" s="17" t="n">
        <f aca="false">D353/C353-1</f>
        <v>0.433158439908774</v>
      </c>
      <c r="E359" s="17" t="n">
        <f aca="false">E353/D353-1</f>
        <v>0.524246149267261</v>
      </c>
      <c r="F359" s="17" t="n">
        <f aca="false">F353/E353-1</f>
        <v>0.240062880899488</v>
      </c>
      <c r="G359" s="17" t="n">
        <f aca="false">G353/F353-1</f>
        <v>0.120151403879686</v>
      </c>
    </row>
    <row r="360" customFormat="false" ht="17.15" hidden="false" customHeight="false" outlineLevel="0" collapsed="false">
      <c r="A360" s="5" t="s">
        <v>529</v>
      </c>
      <c r="B360" s="0" t="s">
        <v>229</v>
      </c>
      <c r="C360" s="21" t="n">
        <f aca="false">a25_gp</f>
        <v>18.165</v>
      </c>
      <c r="D360" s="21" t="n">
        <f aca="false">a26_gp</f>
        <v>27.697067236</v>
      </c>
      <c r="E360" s="21" t="n">
        <f aca="false">E353-E350</f>
        <v>36.4729224250962</v>
      </c>
      <c r="F360" s="21" t="n">
        <f aca="false">F353-F350</f>
        <v>42.9716085919791</v>
      </c>
      <c r="G360" s="21" t="n">
        <f aca="false">G353-G350</f>
        <v>48.439404810615</v>
      </c>
    </row>
    <row r="361" customFormat="false" ht="15" hidden="false" customHeight="false" outlineLevel="0" collapsed="false">
      <c r="A361" s="5" t="s">
        <v>615</v>
      </c>
      <c r="B361" s="0" t="s">
        <v>40</v>
      </c>
      <c r="C361" s="17" t="n">
        <f aca="false">C360/C353</f>
        <v>0.524408903259332</v>
      </c>
      <c r="D361" s="17" t="n">
        <f aca="false">D360/D353</f>
        <v>0.557922959690137</v>
      </c>
      <c r="E361" s="17" t="n">
        <f aca="false">E360/E353</f>
        <v>0.482009840863039</v>
      </c>
      <c r="F361" s="17" t="n">
        <f aca="false">F360/F353</f>
        <v>0.457955464472318</v>
      </c>
      <c r="G361" s="17" t="n">
        <f aca="false">G360/G353</f>
        <v>0.460854364611201</v>
      </c>
    </row>
    <row r="362" customFormat="false" ht="17.15" hidden="false" customHeight="false" outlineLevel="0" collapsed="false">
      <c r="A362" s="5" t="s">
        <v>652</v>
      </c>
      <c r="B362" s="0" t="s">
        <v>229</v>
      </c>
      <c r="C362" s="21" t="n">
        <f aca="false">a25_opx</f>
        <v>10.397</v>
      </c>
      <c r="D362" s="21" t="n">
        <f aca="false">a26_opx</f>
        <v>14.0215</v>
      </c>
      <c r="E362" s="21" t="n">
        <f aca="false">D362*(1+MAX(g_opx_min,phi*E359))</f>
        <v>19.9374297020239</v>
      </c>
      <c r="F362" s="21" t="n">
        <f aca="false">E362*(1+MAX(g_opx_min,phi*F359))</f>
        <v>23.7894401991966</v>
      </c>
      <c r="G362" s="21" t="n">
        <f aca="false">F362*(1+MAX(g_opx_min,phi*G359))</f>
        <v>26.0898560499688</v>
      </c>
      <c r="H362" s="5" t="s">
        <v>653</v>
      </c>
    </row>
    <row r="363" customFormat="false" ht="15" hidden="false" customHeight="false" outlineLevel="0" collapsed="false">
      <c r="A363" s="5" t="s">
        <v>654</v>
      </c>
      <c r="B363" s="0" t="s">
        <v>229</v>
      </c>
      <c r="C363" s="21" t="n">
        <f aca="false">C362</f>
        <v>10.397</v>
      </c>
      <c r="D363" s="21" t="n">
        <f aca="false">D362</f>
        <v>14.0215</v>
      </c>
      <c r="E363" s="21" t="n">
        <f aca="false">E362+0*E353</f>
        <v>19.9374297020239</v>
      </c>
      <c r="F363" s="21" t="n">
        <f aca="false">F362+0*F353</f>
        <v>23.7894401991966</v>
      </c>
      <c r="G363" s="21" t="n">
        <f aca="false">G362+0*G353</f>
        <v>26.0898560499688</v>
      </c>
    </row>
    <row r="364" customFormat="false" ht="15" hidden="false" customHeight="false" outlineLevel="0" collapsed="false">
      <c r="A364" s="5" t="s">
        <v>616</v>
      </c>
      <c r="B364" s="0" t="s">
        <v>229</v>
      </c>
      <c r="C364" s="21" t="n">
        <f aca="false">C360-C363</f>
        <v>7.768</v>
      </c>
      <c r="D364" s="21" t="n">
        <f aca="false">D360-D363</f>
        <v>13.675567236</v>
      </c>
      <c r="E364" s="21" t="n">
        <f aca="false">E360-E363</f>
        <v>16.5354927230722</v>
      </c>
      <c r="F364" s="21" t="n">
        <f aca="false">F360-F363</f>
        <v>19.1821683927825</v>
      </c>
      <c r="G364" s="21" t="n">
        <f aca="false">G360-G363</f>
        <v>22.3495487606462</v>
      </c>
    </row>
    <row r="365" customFormat="false" ht="15" hidden="false" customHeight="false" outlineLevel="0" collapsed="false">
      <c r="A365" s="5" t="s">
        <v>617</v>
      </c>
      <c r="B365" s="0" t="s">
        <v>40</v>
      </c>
      <c r="C365" s="17" t="n">
        <f aca="false">C364/C353</f>
        <v>0.22425589653281</v>
      </c>
      <c r="D365" s="17" t="n">
        <f aca="false">D364/D353</f>
        <v>0.275477287278756</v>
      </c>
      <c r="E365" s="17" t="n">
        <f aca="false">E364/E353</f>
        <v>0.218525681138066</v>
      </c>
      <c r="F365" s="17" t="n">
        <f aca="false">F364/F353</f>
        <v>0.204427507457624</v>
      </c>
      <c r="G365" s="17" t="n">
        <f aca="false">G364/G353</f>
        <v>0.212634468439578</v>
      </c>
    </row>
    <row r="366" customFormat="false" ht="17.15" hidden="false" customHeight="false" outlineLevel="0" collapsed="false">
      <c r="A366" s="5" t="s">
        <v>655</v>
      </c>
      <c r="B366" s="0" t="s">
        <v>229</v>
      </c>
      <c r="C366" s="9" t="n">
        <f aca="false">a25_oth</f>
        <v>0.081</v>
      </c>
      <c r="D366" s="9" t="n">
        <f aca="false">a26_oth</f>
        <v>0.25</v>
      </c>
      <c r="E366" s="9" t="n">
        <f aca="false">oth_f</f>
        <v>0.2</v>
      </c>
      <c r="F366" s="9" t="n">
        <f aca="false">oth_f</f>
        <v>0.2</v>
      </c>
      <c r="G366" s="9" t="n">
        <f aca="false">oth_f</f>
        <v>0.2</v>
      </c>
    </row>
    <row r="367" customFormat="false" ht="15" hidden="false" customHeight="false" outlineLevel="0" collapsed="false">
      <c r="A367" s="5" t="s">
        <v>656</v>
      </c>
      <c r="B367" s="0" t="s">
        <v>40</v>
      </c>
      <c r="C367" s="17" t="n">
        <f aca="false">a25_etr</f>
        <v>0.129698050707096</v>
      </c>
      <c r="D367" s="17" t="n">
        <f aca="false">a26_etr</f>
        <v>0.129883667216384</v>
      </c>
      <c r="E367" s="17" t="n">
        <f aca="false">tx_f</f>
        <v>0.13</v>
      </c>
      <c r="F367" s="17" t="n">
        <f aca="false">tx_f</f>
        <v>0.13</v>
      </c>
      <c r="G367" s="17" t="n">
        <f aca="false">tx_f</f>
        <v>0.13</v>
      </c>
    </row>
    <row r="368" customFormat="false" ht="17.15" hidden="false" customHeight="false" outlineLevel="0" collapsed="false">
      <c r="A368" s="5" t="s">
        <v>547</v>
      </c>
      <c r="B368" s="0" t="s">
        <v>229</v>
      </c>
      <c r="C368" s="21" t="n">
        <f aca="false">a25_ni</f>
        <v>6.831</v>
      </c>
      <c r="D368" s="21" t="n">
        <f aca="false">a26_ni</f>
        <v>12.11686349532</v>
      </c>
      <c r="E368" s="21" t="n">
        <f aca="false">(E364+E366)*(1-E367)</f>
        <v>14.5598786690728</v>
      </c>
      <c r="F368" s="21" t="n">
        <f aca="false">(F364+F366)*(1-F367)</f>
        <v>16.8624865017207</v>
      </c>
      <c r="G368" s="21" t="n">
        <f aca="false">(G364+G366)*(1-G367)</f>
        <v>19.6181074217622</v>
      </c>
    </row>
    <row r="369" customFormat="false" ht="15" hidden="false" customHeight="false" outlineLevel="0" collapsed="false">
      <c r="A369" s="5" t="s">
        <v>657</v>
      </c>
      <c r="B369" s="5" t="s">
        <v>309</v>
      </c>
      <c r="C369" s="16" t="n">
        <f aca="false">a25_sh</f>
        <v>1.636</v>
      </c>
      <c r="D369" s="16" t="n">
        <f aca="false">a26_sh</f>
        <v>1.6585805</v>
      </c>
      <c r="E369" s="16" t="n">
        <f aca="false">D369*(1+sh_g)</f>
        <v>1.675166305</v>
      </c>
      <c r="F369" s="16" t="n">
        <f aca="false">E369*(1+sh_g)</f>
        <v>1.69191796805</v>
      </c>
      <c r="G369" s="16" t="n">
        <f aca="false">F369*(1+sh_g)</f>
        <v>1.7088371477305</v>
      </c>
    </row>
    <row r="370" customFormat="false" ht="17.15" hidden="false" customHeight="false" outlineLevel="0" collapsed="false">
      <c r="A370" s="5" t="s">
        <v>658</v>
      </c>
      <c r="B370" s="5" t="s">
        <v>309</v>
      </c>
      <c r="C370" s="16" t="n">
        <f aca="false">0</f>
        <v>0</v>
      </c>
      <c r="D370" s="16" t="n">
        <f aca="false">0</f>
        <v>0</v>
      </c>
      <c r="E370" s="16" t="n">
        <f aca="false">w_tot/w_gw*(gw_26+gw_27)/2*wf</f>
        <v>0.0266666666666667</v>
      </c>
      <c r="F370" s="16" t="n">
        <f aca="false">w_tot/w_gw*(gw_27+gw_28*um28_A)/2*wf</f>
        <v>0.08</v>
      </c>
      <c r="G370" s="16" t="n">
        <f aca="false">w_tot/w_gw*(gw_28*um28_A+gw_29*um29_A)/2*wf</f>
        <v>0.133333333333333</v>
      </c>
      <c r="H370" s="8" t="s">
        <v>659</v>
      </c>
    </row>
    <row r="371" customFormat="false" ht="15" hidden="false" customHeight="false" outlineLevel="0" collapsed="false">
      <c r="A371" s="5" t="s">
        <v>618</v>
      </c>
      <c r="B371" s="5" t="s">
        <v>309</v>
      </c>
      <c r="C371" s="16" t="n">
        <f aca="false">C369+C370</f>
        <v>1.636</v>
      </c>
      <c r="D371" s="16" t="n">
        <f aca="false">D369+D370</f>
        <v>1.6585805</v>
      </c>
      <c r="E371" s="16" t="n">
        <f aca="false">E369+E370</f>
        <v>1.70183297166667</v>
      </c>
      <c r="F371" s="16" t="n">
        <f aca="false">F369+F370</f>
        <v>1.77191796805</v>
      </c>
      <c r="G371" s="16" t="n">
        <f aca="false">G369+G370</f>
        <v>1.84217048106383</v>
      </c>
    </row>
    <row r="372" customFormat="false" ht="17.15" hidden="false" customHeight="false" outlineLevel="0" collapsed="false">
      <c r="A372" s="0" t="s">
        <v>619</v>
      </c>
      <c r="B372" s="0" t="s">
        <v>396</v>
      </c>
      <c r="C372" s="9" t="n">
        <f aca="false">C368/C371</f>
        <v>4.17542787286064</v>
      </c>
      <c r="D372" s="9" t="n">
        <f aca="false">D368/D371</f>
        <v>7.30556249474777</v>
      </c>
      <c r="E372" s="9" t="n">
        <f aca="false">E368/E371</f>
        <v>8.55540990889007</v>
      </c>
      <c r="F372" s="9" t="n">
        <f aca="false">F368/F371</f>
        <v>9.51651645605126</v>
      </c>
      <c r="G372" s="9" t="n">
        <f aca="false">G368/G371</f>
        <v>10.6494527099538</v>
      </c>
    </row>
    <row r="373" customFormat="false" ht="17.15" hidden="false" customHeight="false" outlineLevel="0" collapsed="false">
      <c r="A373" s="0" t="s">
        <v>660</v>
      </c>
      <c r="B373" s="0" t="s">
        <v>40</v>
      </c>
      <c r="D373" s="17" t="n">
        <f aca="false">D372/C372-1</f>
        <v>0.749656015430735</v>
      </c>
      <c r="E373" s="17" t="n">
        <f aca="false">E372/D372-1</f>
        <v>0.171081612817749</v>
      </c>
      <c r="F373" s="17" t="n">
        <f aca="false">F372/E372-1</f>
        <v>0.112339041307944</v>
      </c>
      <c r="G373" s="17" t="n">
        <f aca="false">G372/F372-1</f>
        <v>0.119049471425246</v>
      </c>
    </row>
    <row r="376" customFormat="false" ht="17.15" hidden="false" customHeight="false" outlineLevel="0" collapsed="false">
      <c r="A376" s="3" t="s">
        <v>997</v>
      </c>
    </row>
    <row r="377" customFormat="false" ht="15" hidden="false" customHeight="false" outlineLevel="0" collapsed="false">
      <c r="A377" s="6" t="s">
        <v>18</v>
      </c>
      <c r="B377" s="6" t="s">
        <v>19</v>
      </c>
      <c r="C377" s="13" t="s">
        <v>603</v>
      </c>
      <c r="D377" s="13" t="s">
        <v>604</v>
      </c>
      <c r="E377" s="13" t="s">
        <v>605</v>
      </c>
      <c r="F377" s="13" t="s">
        <v>606</v>
      </c>
      <c r="G377" s="13" t="s">
        <v>607</v>
      </c>
      <c r="H377" s="6" t="s">
        <v>572</v>
      </c>
    </row>
    <row r="378" customFormat="false" ht="17.15" hidden="false" customHeight="false" outlineLevel="0" collapsed="false">
      <c r="A378" s="1" t="s">
        <v>627</v>
      </c>
    </row>
    <row r="379" customFormat="false" ht="17.15" hidden="false" customHeight="false" outlineLevel="0" collapsed="false">
      <c r="A379" s="0" t="s">
        <v>628</v>
      </c>
      <c r="B379" s="0" t="s">
        <v>125</v>
      </c>
      <c r="D379" s="16" t="n">
        <f aca="false">k_rec</f>
        <v>0.673483215644445</v>
      </c>
      <c r="E379" s="16" t="n">
        <f aca="false">k_rec*1</f>
        <v>0.673483215644445</v>
      </c>
      <c r="F379" s="16" t="n">
        <f aca="false">k_rec*1</f>
        <v>0.673483215644445</v>
      </c>
      <c r="G379" s="16" t="n">
        <f aca="false">k_rec*1</f>
        <v>0.673483215644445</v>
      </c>
    </row>
    <row r="380" customFormat="false" ht="17.15" hidden="false" customHeight="false" outlineLevel="0" collapsed="false">
      <c r="A380" s="5" t="s">
        <v>629</v>
      </c>
      <c r="B380" s="0" t="s">
        <v>229</v>
      </c>
      <c r="D380" s="21" t="n">
        <f aca="false">Units!C24</f>
        <v>419.36</v>
      </c>
      <c r="E380" s="21" t="n">
        <f aca="false">Units!D24</f>
        <v>671.46</v>
      </c>
      <c r="F380" s="21" t="n">
        <f aca="false">Units!E24</f>
        <v>763.2</v>
      </c>
      <c r="G380" s="21" t="n">
        <f aca="false">Units!F24</f>
        <v>864.55</v>
      </c>
    </row>
    <row r="381" customFormat="false" ht="17.15" hidden="false" customHeight="false" outlineLevel="0" collapsed="false">
      <c r="A381" s="0" t="s">
        <v>630</v>
      </c>
      <c r="B381" s="0" t="s">
        <v>40</v>
      </c>
      <c r="D381" s="17" t="n">
        <f aca="false">Units!C33</f>
        <v>0.0536531858069439</v>
      </c>
      <c r="E381" s="17" t="n">
        <f aca="false">Units!D33</f>
        <v>0.0670181395764454</v>
      </c>
      <c r="F381" s="17" t="n">
        <f aca="false">Units!E33</f>
        <v>0.0786163522012579</v>
      </c>
      <c r="G381" s="17" t="n">
        <f aca="false">Units!F33</f>
        <v>0.0798103059395061</v>
      </c>
    </row>
    <row r="382" customFormat="false" ht="17.15" hidden="false" customHeight="false" outlineLevel="0" collapsed="false">
      <c r="A382" s="0" t="s">
        <v>631</v>
      </c>
      <c r="B382" s="5" t="s">
        <v>29</v>
      </c>
      <c r="D382" s="9" t="n">
        <f aca="false">Units!C10</f>
        <v>0.75</v>
      </c>
      <c r="E382" s="9" t="n">
        <f aca="false">Units!D10</f>
        <v>1.5</v>
      </c>
      <c r="F382" s="9" t="n">
        <f aca="false">Units!E10</f>
        <v>2</v>
      </c>
      <c r="G382" s="9" t="n">
        <f aca="false">Units!F10</f>
        <v>2.3</v>
      </c>
    </row>
    <row r="383" customFormat="false" ht="17.15" hidden="false" customHeight="false" outlineLevel="0" collapsed="false">
      <c r="A383" s="0" t="s">
        <v>632</v>
      </c>
      <c r="B383" s="5" t="s">
        <v>29</v>
      </c>
      <c r="D383" s="9" t="n">
        <f aca="false">D382*D379</f>
        <v>0.505112411733333</v>
      </c>
      <c r="E383" s="9" t="n">
        <f aca="false">E382*E379</f>
        <v>1.01022482346667</v>
      </c>
      <c r="F383" s="9" t="n">
        <f aca="false">F382*F379</f>
        <v>1.34696643128889</v>
      </c>
      <c r="G383" s="9" t="n">
        <f aca="false">G382*G379</f>
        <v>1.54901139598222</v>
      </c>
    </row>
    <row r="384" customFormat="false" ht="17.15" hidden="false" customHeight="false" outlineLevel="0" collapsed="false">
      <c r="A384" s="5" t="s">
        <v>633</v>
      </c>
      <c r="B384" s="0" t="s">
        <v>125</v>
      </c>
      <c r="D384" s="16" t="n">
        <f aca="false">1</f>
        <v>1</v>
      </c>
      <c r="E384" s="16" t="n">
        <f aca="false">pg_27</f>
        <v>1</v>
      </c>
      <c r="F384" s="16" t="n">
        <f aca="false">pg_28</f>
        <v>1</v>
      </c>
      <c r="G384" s="16" t="n">
        <f aca="false">pg_29</f>
        <v>1</v>
      </c>
    </row>
    <row r="385" customFormat="false" ht="17.15" hidden="false" customHeight="false" outlineLevel="0" collapsed="false">
      <c r="A385" s="0" t="s">
        <v>634</v>
      </c>
      <c r="B385" s="0" t="s">
        <v>229</v>
      </c>
      <c r="D385" s="21" t="n">
        <f aca="false">D380*D381*D379*D384</f>
        <v>15.153372352</v>
      </c>
      <c r="E385" s="21" t="n">
        <f aca="false">E380*E381*E379*E384</f>
        <v>30.306744704</v>
      </c>
      <c r="F385" s="21" t="n">
        <f aca="false">F380*F381*F379*F384</f>
        <v>40.4089929386667</v>
      </c>
      <c r="G385" s="21" t="n">
        <f aca="false">G380*G381*G379*G384</f>
        <v>46.4703418794667</v>
      </c>
    </row>
    <row r="386" customFormat="false" ht="17.15" hidden="false" customHeight="false" outlineLevel="0" collapsed="false">
      <c r="A386" s="0" t="s">
        <v>635</v>
      </c>
      <c r="B386" s="0" t="s">
        <v>125</v>
      </c>
      <c r="D386" s="16" t="n">
        <f aca="false">hbm_A_26/hbm_A_26</f>
        <v>1</v>
      </c>
      <c r="E386" s="16" t="n">
        <f aca="false">hbm_A_27/hbm_A_26</f>
        <v>1.8</v>
      </c>
      <c r="F386" s="16" t="n">
        <f aca="false">hbm_A_28/hbm_A_26</f>
        <v>1.98</v>
      </c>
      <c r="G386" s="16" t="n">
        <f aca="false">hbm_A_29/hbm_A_26</f>
        <v>1.881</v>
      </c>
    </row>
    <row r="387" customFormat="false" ht="17.15" hidden="false" customHeight="false" outlineLevel="0" collapsed="false">
      <c r="A387" s="5" t="s">
        <v>636</v>
      </c>
      <c r="B387" s="0" t="s">
        <v>229</v>
      </c>
      <c r="D387" s="21" t="n">
        <f aca="false">D385*(1+(1-abs_mem)*hs_26*(D386-1))</f>
        <v>15.153372352</v>
      </c>
      <c r="E387" s="21" t="n">
        <f aca="false">E385*(1+(1-abs_mem)*hs_26*(E386-1))</f>
        <v>32.829624704</v>
      </c>
      <c r="F387" s="21" t="n">
        <f aca="false">F385*(1+(1-abs_mem)*hs_26*(F386-1))</f>
        <v>44.5296969386667</v>
      </c>
      <c r="G387" s="21" t="n">
        <f aca="false">G385*(1+(1-abs_mem)*hs_26*(G386-1))</f>
        <v>50.7304349994667</v>
      </c>
    </row>
    <row r="388" customFormat="false" ht="17.15" hidden="false" customHeight="false" outlineLevel="0" collapsed="false">
      <c r="A388" s="5" t="s">
        <v>637</v>
      </c>
      <c r="B388" s="0" t="s">
        <v>229</v>
      </c>
      <c r="D388" s="21" t="n">
        <f aca="false">D385*((1-gm_gpu_hi)+hs_26*(D386-1))</f>
        <v>6.8190175584</v>
      </c>
      <c r="E388" s="21" t="n">
        <f aca="false">E385*((1-gm_gpu_hi)+hs_26*(E386-1))</f>
        <v>18.6837951168</v>
      </c>
      <c r="F388" s="21" t="n">
        <f aca="false">F385*((1-gm_gpu_hi)+hs_26*(F386-1))</f>
        <v>26.4254548224</v>
      </c>
      <c r="G388" s="21" t="n">
        <f aca="false">G385*((1-gm_gpu_hi)+hs_26*(G386-1))</f>
        <v>29.43184008576</v>
      </c>
      <c r="H388" s="5" t="s">
        <v>638</v>
      </c>
    </row>
    <row r="389" customFormat="false" ht="17.15" hidden="false" customHeight="false" outlineLevel="0" collapsed="false">
      <c r="A389" s="5" t="s">
        <v>639</v>
      </c>
      <c r="B389" s="0" t="s">
        <v>40</v>
      </c>
      <c r="D389" s="17" t="n">
        <f aca="false">1-D388/D387</f>
        <v>0.55</v>
      </c>
      <c r="E389" s="17" t="n">
        <f aca="false">1-E388/E387</f>
        <v>0.430886119312733</v>
      </c>
      <c r="F389" s="17" t="n">
        <f aca="false">1-F388/F387</f>
        <v>0.406565581194112</v>
      </c>
      <c r="G389" s="17" t="n">
        <f aca="false">1-G388/G387</f>
        <v>0.419838602092227</v>
      </c>
    </row>
    <row r="390" customFormat="false" ht="17.15" hidden="false" customHeight="false" outlineLevel="0" collapsed="false">
      <c r="A390" s="5" t="s">
        <v>640</v>
      </c>
      <c r="B390" s="0" t="s">
        <v>229</v>
      </c>
      <c r="D390" s="21" t="n">
        <f aca="false">a26_dcx</f>
        <v>15.698097648</v>
      </c>
      <c r="E390" s="21" t="n">
        <f aca="false">D390*(1+g_cpu27)</f>
        <v>23.547146472</v>
      </c>
      <c r="F390" s="21" t="n">
        <f aca="false">E390*(1+g_cpu28)</f>
        <v>29.43393309</v>
      </c>
      <c r="G390" s="21" t="n">
        <f aca="false">F390*(1+g_cpu29)</f>
        <v>33.8490230535</v>
      </c>
    </row>
    <row r="391" customFormat="false" ht="15" hidden="false" customHeight="false" outlineLevel="0" collapsed="false">
      <c r="A391" s="0" t="s">
        <v>524</v>
      </c>
      <c r="B391" s="0" t="s">
        <v>229</v>
      </c>
      <c r="D391" s="21" t="n">
        <f aca="false">a26_cli</f>
        <v>12.037318</v>
      </c>
      <c r="E391" s="21" t="n">
        <f aca="false">D391*(1+g_cli)</f>
        <v>12.39843754</v>
      </c>
      <c r="F391" s="21" t="n">
        <f aca="false">E391*(1+g_cli)</f>
        <v>12.7703906662</v>
      </c>
      <c r="G391" s="21" t="n">
        <f aca="false">F391*(1+g_cli)</f>
        <v>13.153502386186</v>
      </c>
    </row>
    <row r="392" customFormat="false" ht="15" hidden="false" customHeight="false" outlineLevel="0" collapsed="false">
      <c r="A392" s="0" t="s">
        <v>526</v>
      </c>
      <c r="B392" s="0" t="s">
        <v>229</v>
      </c>
      <c r="D392" s="21" t="n">
        <f aca="false">a26_gam</f>
        <v>2.68308</v>
      </c>
      <c r="E392" s="21" t="n">
        <f aca="false">D392*(1+g_gam)</f>
        <v>2.414772</v>
      </c>
      <c r="F392" s="21" t="n">
        <f aca="false">E392*(1+g_gam)</f>
        <v>2.1732948</v>
      </c>
      <c r="G392" s="21" t="n">
        <f aca="false">F392*(1+g_gam)</f>
        <v>1.95596532</v>
      </c>
    </row>
    <row r="393" customFormat="false" ht="15" hidden="false" customHeight="false" outlineLevel="0" collapsed="false">
      <c r="A393" s="0" t="s">
        <v>527</v>
      </c>
      <c r="B393" s="0" t="s">
        <v>229</v>
      </c>
      <c r="D393" s="21" t="n">
        <f aca="false">a26_emb</f>
        <v>4.0713072</v>
      </c>
      <c r="E393" s="21" t="n">
        <f aca="false">D393*(1+g_emb)</f>
        <v>4.47843792</v>
      </c>
      <c r="F393" s="21" t="n">
        <f aca="false">E393*(1+g_emb)</f>
        <v>4.926281712</v>
      </c>
      <c r="G393" s="21" t="n">
        <f aca="false">F393*(1+g_emb)</f>
        <v>5.4189098832</v>
      </c>
    </row>
    <row r="394" customFormat="false" ht="17.15" hidden="false" customHeight="false" outlineLevel="0" collapsed="false">
      <c r="A394" s="5" t="s">
        <v>641</v>
      </c>
      <c r="B394" s="0" t="s">
        <v>229</v>
      </c>
      <c r="D394" s="21" t="n">
        <f aca="false">D390+D391+D392+D393</f>
        <v>34.489802848</v>
      </c>
      <c r="E394" s="21" t="n">
        <f aca="false">E390+E391+E392+E393</f>
        <v>42.838793932</v>
      </c>
      <c r="F394" s="21" t="n">
        <f aca="false">F390+F391+F392+F393</f>
        <v>49.3039002682</v>
      </c>
      <c r="G394" s="21" t="n">
        <f aca="false">G390+G391+G392+G393</f>
        <v>54.377400642886</v>
      </c>
    </row>
    <row r="395" customFormat="false" ht="17.15" hidden="false" customHeight="false" outlineLevel="0" collapsed="false">
      <c r="A395" s="5" t="s">
        <v>642</v>
      </c>
      <c r="B395" s="0" t="s">
        <v>40</v>
      </c>
      <c r="D395" s="17" t="n">
        <f aca="false">(a26_gp-(D387-D388))/D394</f>
        <v>0.561403975770271</v>
      </c>
      <c r="E395" s="17" t="n">
        <f aca="false">$D395</f>
        <v>0.561403975770271</v>
      </c>
      <c r="F395" s="17" t="n">
        <f aca="false">$D395</f>
        <v>0.561403975770271</v>
      </c>
      <c r="G395" s="17" t="n">
        <f aca="false">$D395</f>
        <v>0.561403975770271</v>
      </c>
      <c r="H395" s="8" t="s">
        <v>643</v>
      </c>
    </row>
    <row r="396" customFormat="false" ht="17.15" hidden="false" customHeight="false" outlineLevel="0" collapsed="false">
      <c r="A396" s="5" t="s">
        <v>644</v>
      </c>
      <c r="B396" s="0" t="s">
        <v>229</v>
      </c>
      <c r="D396" s="21" t="n">
        <f aca="false">(1-D395)*D394</f>
        <v>15.1270904056</v>
      </c>
      <c r="E396" s="21" t="n">
        <f aca="false">(1-E395)*E394</f>
        <v>18.7889247013719</v>
      </c>
      <c r="F396" s="21" t="n">
        <f aca="false">(1-F395)*F394</f>
        <v>21.6244946366516</v>
      </c>
      <c r="G396" s="21" t="n">
        <f aca="false">(1-G395)*G394</f>
        <v>23.8497117299169</v>
      </c>
    </row>
    <row r="397" customFormat="false" ht="15" hidden="false" customHeight="false" outlineLevel="0" collapsed="false">
      <c r="A397" s="5" t="s">
        <v>645</v>
      </c>
      <c r="B397" s="0" t="s">
        <v>229</v>
      </c>
      <c r="D397" s="21" t="n">
        <f aca="false">D387+D394</f>
        <v>49.6431752</v>
      </c>
      <c r="E397" s="21" t="n">
        <f aca="false">E387+E394</f>
        <v>75.668418636</v>
      </c>
      <c r="F397" s="21" t="n">
        <f aca="false">F387+F394</f>
        <v>93.8335972068667</v>
      </c>
      <c r="G397" s="21" t="n">
        <f aca="false">G387+G394</f>
        <v>105.107835642353</v>
      </c>
    </row>
    <row r="398" customFormat="false" ht="15" hidden="false" customHeight="false" outlineLevel="0" collapsed="false">
      <c r="A398" s="5" t="s">
        <v>646</v>
      </c>
      <c r="B398" s="0" t="s">
        <v>229</v>
      </c>
      <c r="D398" s="21" t="n">
        <f aca="false">D388+D396</f>
        <v>21.946107964</v>
      </c>
      <c r="E398" s="21" t="n">
        <f aca="false">E388+E396</f>
        <v>37.4727198181719</v>
      </c>
      <c r="F398" s="21" t="n">
        <f aca="false">F388+F396</f>
        <v>48.0499494590516</v>
      </c>
      <c r="G398" s="21" t="n">
        <f aca="false">G388+G396</f>
        <v>53.2815518156769</v>
      </c>
    </row>
    <row r="399" customFormat="false" ht="17.15" hidden="false" customHeight="false" outlineLevel="0" collapsed="false">
      <c r="A399" s="5" t="s">
        <v>647</v>
      </c>
      <c r="B399" s="0" t="s">
        <v>40</v>
      </c>
      <c r="D399" s="17" t="n">
        <f aca="false">1-D398/D397</f>
        <v>0.557922959690137</v>
      </c>
      <c r="E399" s="17" t="n">
        <f aca="false">1-E398/E397</f>
        <v>0.504777283658683</v>
      </c>
      <c r="F399" s="17" t="n">
        <f aca="false">1-F398/F397</f>
        <v>0.487923825907259</v>
      </c>
      <c r="G399" s="17" t="n">
        <f aca="false">1-G398/G397</f>
        <v>0.493077262127474</v>
      </c>
      <c r="H399" s="8" t="s">
        <v>648</v>
      </c>
    </row>
    <row r="400" customFormat="false" ht="17.15" hidden="false" customHeight="false" outlineLevel="0" collapsed="false">
      <c r="A400" s="1" t="s">
        <v>649</v>
      </c>
    </row>
    <row r="401" customFormat="false" ht="15" hidden="false" customHeight="false" outlineLevel="0" collapsed="false">
      <c r="A401" s="5" t="s">
        <v>510</v>
      </c>
      <c r="B401" s="0" t="s">
        <v>229</v>
      </c>
      <c r="C401" s="21" t="n">
        <f aca="false">a25_rev</f>
        <v>34.639</v>
      </c>
      <c r="D401" s="21" t="n">
        <f aca="false">a26_rev</f>
        <v>49.6431752</v>
      </c>
      <c r="E401" s="21" t="n">
        <f aca="false">E397</f>
        <v>75.668418636</v>
      </c>
      <c r="F401" s="21" t="n">
        <f aca="false">F397</f>
        <v>93.8335972068667</v>
      </c>
      <c r="G401" s="21" t="n">
        <f aca="false">G397</f>
        <v>105.107835642353</v>
      </c>
    </row>
    <row r="402" customFormat="false" ht="15" hidden="false" customHeight="false" outlineLevel="0" collapsed="false">
      <c r="A402" s="0" t="s">
        <v>610</v>
      </c>
      <c r="B402" s="0" t="s">
        <v>229</v>
      </c>
      <c r="C402" s="21" t="n">
        <f aca="false">a25_dc</f>
        <v>16.635</v>
      </c>
      <c r="D402" s="21" t="n">
        <f aca="false">a26_dc</f>
        <v>30.85147</v>
      </c>
      <c r="E402" s="21" t="n">
        <f aca="false">E387+E390</f>
        <v>56.376771176</v>
      </c>
      <c r="F402" s="21" t="n">
        <f aca="false">F387+F390</f>
        <v>73.9636300286667</v>
      </c>
      <c r="G402" s="21" t="n">
        <f aca="false">G387+G390</f>
        <v>84.5794580529667</v>
      </c>
    </row>
    <row r="403" customFormat="false" ht="17.15" hidden="false" customHeight="false" outlineLevel="0" collapsed="false">
      <c r="A403" s="5" t="s">
        <v>611</v>
      </c>
      <c r="B403" s="0" t="s">
        <v>229</v>
      </c>
      <c r="C403" s="21" t="n">
        <f aca="false">a25_gpu</f>
        <v>6.5</v>
      </c>
      <c r="D403" s="21" t="n">
        <f aca="false">a26_gpu</f>
        <v>15.153372352</v>
      </c>
      <c r="E403" s="21" t="n">
        <f aca="false">E387</f>
        <v>32.829624704</v>
      </c>
      <c r="F403" s="21" t="n">
        <f aca="false">F387</f>
        <v>44.5296969386667</v>
      </c>
      <c r="G403" s="21" t="n">
        <f aca="false">G387</f>
        <v>50.7304349994667</v>
      </c>
    </row>
    <row r="404" customFormat="false" ht="17.15" hidden="false" customHeight="false" outlineLevel="0" collapsed="false">
      <c r="A404" s="5" t="s">
        <v>650</v>
      </c>
      <c r="B404" s="0" t="s">
        <v>229</v>
      </c>
      <c r="C404" s="21" t="n">
        <f aca="false">a25_dcx</f>
        <v>10.135</v>
      </c>
      <c r="D404" s="21" t="n">
        <f aca="false">a26_dcx</f>
        <v>15.698097648</v>
      </c>
      <c r="E404" s="21" t="n">
        <f aca="false">E390</f>
        <v>23.547146472</v>
      </c>
      <c r="F404" s="21" t="n">
        <f aca="false">F390</f>
        <v>29.43393309</v>
      </c>
      <c r="G404" s="21" t="n">
        <f aca="false">G390</f>
        <v>33.8490230535</v>
      </c>
    </row>
    <row r="405" customFormat="false" ht="17.15" hidden="false" customHeight="false" outlineLevel="0" collapsed="false">
      <c r="A405" s="0" t="s">
        <v>613</v>
      </c>
      <c r="B405" s="0" t="s">
        <v>229</v>
      </c>
      <c r="C405" s="21" t="n">
        <f aca="false">a25_cli+a25_gam</f>
        <v>14.55</v>
      </c>
      <c r="D405" s="21" t="n">
        <f aca="false">a26_cli+a26_gam</f>
        <v>14.720398</v>
      </c>
      <c r="E405" s="21" t="n">
        <f aca="false">E391+E392</f>
        <v>14.81320954</v>
      </c>
      <c r="F405" s="21" t="n">
        <f aca="false">F391+F392</f>
        <v>14.9436854662</v>
      </c>
      <c r="G405" s="21" t="n">
        <f aca="false">G391+G392</f>
        <v>15.109467706186</v>
      </c>
    </row>
    <row r="406" customFormat="false" ht="15" hidden="false" customHeight="false" outlineLevel="0" collapsed="false">
      <c r="A406" s="0" t="s">
        <v>614</v>
      </c>
      <c r="B406" s="0" t="s">
        <v>229</v>
      </c>
      <c r="C406" s="21" t="n">
        <f aca="false">a25_emb</f>
        <v>3.454</v>
      </c>
      <c r="D406" s="21" t="n">
        <f aca="false">a26_emb</f>
        <v>4.0713072</v>
      </c>
      <c r="E406" s="21" t="n">
        <f aca="false">E393</f>
        <v>4.47843792</v>
      </c>
      <c r="F406" s="21" t="n">
        <f aca="false">F393</f>
        <v>4.926281712</v>
      </c>
      <c r="G406" s="21" t="n">
        <f aca="false">G393</f>
        <v>5.4189098832</v>
      </c>
    </row>
    <row r="407" customFormat="false" ht="15" hidden="false" customHeight="false" outlineLevel="0" collapsed="false">
      <c r="A407" s="5" t="s">
        <v>651</v>
      </c>
      <c r="B407" s="0" t="s">
        <v>40</v>
      </c>
      <c r="D407" s="17" t="n">
        <f aca="false">D401/C401-1</f>
        <v>0.433158439908774</v>
      </c>
      <c r="E407" s="17" t="n">
        <f aca="false">E401/D401-1</f>
        <v>0.524246149267261</v>
      </c>
      <c r="F407" s="17" t="n">
        <f aca="false">F401/E401-1</f>
        <v>0.240062880899488</v>
      </c>
      <c r="G407" s="17" t="n">
        <f aca="false">G401/F401-1</f>
        <v>0.120151403879686</v>
      </c>
    </row>
    <row r="408" customFormat="false" ht="17.15" hidden="false" customHeight="false" outlineLevel="0" collapsed="false">
      <c r="A408" s="5" t="s">
        <v>529</v>
      </c>
      <c r="B408" s="0" t="s">
        <v>229</v>
      </c>
      <c r="C408" s="21" t="n">
        <f aca="false">a25_gp</f>
        <v>18.165</v>
      </c>
      <c r="D408" s="21" t="n">
        <f aca="false">a26_gp</f>
        <v>27.697067236</v>
      </c>
      <c r="E408" s="21" t="n">
        <f aca="false">E401-E398</f>
        <v>38.1956988178282</v>
      </c>
      <c r="F408" s="21" t="n">
        <f aca="false">F401-F398</f>
        <v>45.7836477478151</v>
      </c>
      <c r="G408" s="21" t="n">
        <f aca="false">G401-G398</f>
        <v>51.8262838266757</v>
      </c>
    </row>
    <row r="409" customFormat="false" ht="15" hidden="false" customHeight="false" outlineLevel="0" collapsed="false">
      <c r="A409" s="5" t="s">
        <v>615</v>
      </c>
      <c r="B409" s="0" t="s">
        <v>40</v>
      </c>
      <c r="C409" s="17" t="n">
        <f aca="false">C408/C401</f>
        <v>0.524408903259332</v>
      </c>
      <c r="D409" s="17" t="n">
        <f aca="false">D408/D401</f>
        <v>0.557922959690137</v>
      </c>
      <c r="E409" s="17" t="n">
        <f aca="false">E408/E401</f>
        <v>0.504777283658683</v>
      </c>
      <c r="F409" s="17" t="n">
        <f aca="false">F408/F401</f>
        <v>0.487923825907259</v>
      </c>
      <c r="G409" s="17" t="n">
        <f aca="false">G408/G401</f>
        <v>0.493077262127474</v>
      </c>
    </row>
    <row r="410" customFormat="false" ht="17.15" hidden="false" customHeight="false" outlineLevel="0" collapsed="false">
      <c r="A410" s="5" t="s">
        <v>652</v>
      </c>
      <c r="B410" s="0" t="s">
        <v>229</v>
      </c>
      <c r="C410" s="21" t="n">
        <f aca="false">a25_opx</f>
        <v>10.397</v>
      </c>
      <c r="D410" s="21" t="n">
        <f aca="false">a26_opx</f>
        <v>14.0215</v>
      </c>
      <c r="E410" s="21" t="n">
        <f aca="false">D410*(1+MAX(g_opx_min,phi*E407))</f>
        <v>19.9374297020239</v>
      </c>
      <c r="F410" s="21" t="n">
        <f aca="false">E410*(1+MAX(g_opx_min,phi*F407))</f>
        <v>23.7894401991966</v>
      </c>
      <c r="G410" s="21" t="n">
        <f aca="false">F410*(1+MAX(g_opx_min,phi*G407))</f>
        <v>26.0898560499688</v>
      </c>
      <c r="H410" s="5" t="s">
        <v>653</v>
      </c>
    </row>
    <row r="411" customFormat="false" ht="15" hidden="false" customHeight="false" outlineLevel="0" collapsed="false">
      <c r="A411" s="5" t="s">
        <v>654</v>
      </c>
      <c r="B411" s="0" t="s">
        <v>229</v>
      </c>
      <c r="C411" s="21" t="n">
        <f aca="false">C410</f>
        <v>10.397</v>
      </c>
      <c r="D411" s="21" t="n">
        <f aca="false">D410</f>
        <v>14.0215</v>
      </c>
      <c r="E411" s="21" t="n">
        <f aca="false">E410+0*E401</f>
        <v>19.9374297020239</v>
      </c>
      <c r="F411" s="21" t="n">
        <f aca="false">F410+0*F401</f>
        <v>23.7894401991966</v>
      </c>
      <c r="G411" s="21" t="n">
        <f aca="false">G410+0*G401</f>
        <v>26.0898560499688</v>
      </c>
    </row>
    <row r="412" customFormat="false" ht="15" hidden="false" customHeight="false" outlineLevel="0" collapsed="false">
      <c r="A412" s="5" t="s">
        <v>616</v>
      </c>
      <c r="B412" s="0" t="s">
        <v>229</v>
      </c>
      <c r="C412" s="21" t="n">
        <f aca="false">C408-C411</f>
        <v>7.768</v>
      </c>
      <c r="D412" s="21" t="n">
        <f aca="false">D408-D411</f>
        <v>13.675567236</v>
      </c>
      <c r="E412" s="21" t="n">
        <f aca="false">E408-E411</f>
        <v>18.2582691158042</v>
      </c>
      <c r="F412" s="21" t="n">
        <f aca="false">F408-F411</f>
        <v>21.9942075486185</v>
      </c>
      <c r="G412" s="21" t="n">
        <f aca="false">G408-G411</f>
        <v>25.736427776707</v>
      </c>
    </row>
    <row r="413" customFormat="false" ht="15" hidden="false" customHeight="false" outlineLevel="0" collapsed="false">
      <c r="A413" s="5" t="s">
        <v>617</v>
      </c>
      <c r="B413" s="0" t="s">
        <v>40</v>
      </c>
      <c r="C413" s="17" t="n">
        <f aca="false">C412/C401</f>
        <v>0.22425589653281</v>
      </c>
      <c r="D413" s="17" t="n">
        <f aca="false">D412/D401</f>
        <v>0.275477287278756</v>
      </c>
      <c r="E413" s="17" t="n">
        <f aca="false">E412/E401</f>
        <v>0.24129312393371</v>
      </c>
      <c r="F413" s="17" t="n">
        <f aca="false">F412/F401</f>
        <v>0.234395868892565</v>
      </c>
      <c r="G413" s="17" t="n">
        <f aca="false">G412/G401</f>
        <v>0.244857365955851</v>
      </c>
    </row>
    <row r="414" customFormat="false" ht="17.15" hidden="false" customHeight="false" outlineLevel="0" collapsed="false">
      <c r="A414" s="5" t="s">
        <v>655</v>
      </c>
      <c r="B414" s="0" t="s">
        <v>229</v>
      </c>
      <c r="C414" s="9" t="n">
        <f aca="false">a25_oth</f>
        <v>0.081</v>
      </c>
      <c r="D414" s="9" t="n">
        <f aca="false">a26_oth</f>
        <v>0.25</v>
      </c>
      <c r="E414" s="9" t="n">
        <f aca="false">oth_f</f>
        <v>0.2</v>
      </c>
      <c r="F414" s="9" t="n">
        <f aca="false">oth_f</f>
        <v>0.2</v>
      </c>
      <c r="G414" s="9" t="n">
        <f aca="false">oth_f</f>
        <v>0.2</v>
      </c>
    </row>
    <row r="415" customFormat="false" ht="15" hidden="false" customHeight="false" outlineLevel="0" collapsed="false">
      <c r="A415" s="5" t="s">
        <v>656</v>
      </c>
      <c r="B415" s="0" t="s">
        <v>40</v>
      </c>
      <c r="C415" s="17" t="n">
        <f aca="false">a25_etr</f>
        <v>0.129698050707096</v>
      </c>
      <c r="D415" s="17" t="n">
        <f aca="false">a26_etr</f>
        <v>0.129883667216384</v>
      </c>
      <c r="E415" s="17" t="n">
        <f aca="false">tx_f</f>
        <v>0.13</v>
      </c>
      <c r="F415" s="17" t="n">
        <f aca="false">tx_f</f>
        <v>0.13</v>
      </c>
      <c r="G415" s="17" t="n">
        <f aca="false">tx_f</f>
        <v>0.13</v>
      </c>
    </row>
    <row r="416" customFormat="false" ht="17.15" hidden="false" customHeight="false" outlineLevel="0" collapsed="false">
      <c r="A416" s="5" t="s">
        <v>547</v>
      </c>
      <c r="B416" s="0" t="s">
        <v>229</v>
      </c>
      <c r="C416" s="21" t="n">
        <f aca="false">a25_ni</f>
        <v>6.831</v>
      </c>
      <c r="D416" s="21" t="n">
        <f aca="false">a26_ni</f>
        <v>12.11686349532</v>
      </c>
      <c r="E416" s="21" t="n">
        <f aca="false">(E412+E414)*(1-E415)</f>
        <v>16.0586941307497</v>
      </c>
      <c r="F416" s="21" t="n">
        <f aca="false">(F412+F414)*(1-F415)</f>
        <v>19.3089605672981</v>
      </c>
      <c r="G416" s="21" t="n">
        <f aca="false">(G412+G414)*(1-G415)</f>
        <v>22.564692165735</v>
      </c>
    </row>
    <row r="417" customFormat="false" ht="15" hidden="false" customHeight="false" outlineLevel="0" collapsed="false">
      <c r="A417" s="5" t="s">
        <v>657</v>
      </c>
      <c r="B417" s="5" t="s">
        <v>309</v>
      </c>
      <c r="C417" s="16" t="n">
        <f aca="false">a25_sh</f>
        <v>1.636</v>
      </c>
      <c r="D417" s="16" t="n">
        <f aca="false">a26_sh</f>
        <v>1.6585805</v>
      </c>
      <c r="E417" s="16" t="n">
        <f aca="false">D417*(1+sh_g)</f>
        <v>1.675166305</v>
      </c>
      <c r="F417" s="16" t="n">
        <f aca="false">E417*(1+sh_g)</f>
        <v>1.69191796805</v>
      </c>
      <c r="G417" s="16" t="n">
        <f aca="false">F417*(1+sh_g)</f>
        <v>1.7088371477305</v>
      </c>
    </row>
    <row r="418" customFormat="false" ht="17.15" hidden="false" customHeight="false" outlineLevel="0" collapsed="false">
      <c r="A418" s="5" t="s">
        <v>658</v>
      </c>
      <c r="B418" s="5" t="s">
        <v>309</v>
      </c>
      <c r="C418" s="16" t="n">
        <f aca="false">0</f>
        <v>0</v>
      </c>
      <c r="D418" s="16" t="n">
        <f aca="false">0</f>
        <v>0</v>
      </c>
      <c r="E418" s="16" t="n">
        <f aca="false">w_tot/w_gw*(gw_26+gw_27)/2*wf</f>
        <v>0.0266666666666667</v>
      </c>
      <c r="F418" s="16" t="n">
        <f aca="false">w_tot/w_gw*(gw_27+gw_28*um28_A)/2*wf</f>
        <v>0.08</v>
      </c>
      <c r="G418" s="16" t="n">
        <f aca="false">w_tot/w_gw*(gw_28*um28_A+gw_29*um29_A)/2*wf</f>
        <v>0.133333333333333</v>
      </c>
      <c r="H418" s="8" t="s">
        <v>659</v>
      </c>
    </row>
    <row r="419" customFormat="false" ht="15" hidden="false" customHeight="false" outlineLevel="0" collapsed="false">
      <c r="A419" s="5" t="s">
        <v>618</v>
      </c>
      <c r="B419" s="5" t="s">
        <v>309</v>
      </c>
      <c r="C419" s="16" t="n">
        <f aca="false">C417+C418</f>
        <v>1.636</v>
      </c>
      <c r="D419" s="16" t="n">
        <f aca="false">D417+D418</f>
        <v>1.6585805</v>
      </c>
      <c r="E419" s="16" t="n">
        <f aca="false">E417+E418</f>
        <v>1.70183297166667</v>
      </c>
      <c r="F419" s="16" t="n">
        <f aca="false">F417+F418</f>
        <v>1.77191796805</v>
      </c>
      <c r="G419" s="16" t="n">
        <f aca="false">G417+G418</f>
        <v>1.84217048106383</v>
      </c>
    </row>
    <row r="420" customFormat="false" ht="17.15" hidden="false" customHeight="false" outlineLevel="0" collapsed="false">
      <c r="A420" s="0" t="s">
        <v>619</v>
      </c>
      <c r="B420" s="0" t="s">
        <v>396</v>
      </c>
      <c r="C420" s="9" t="n">
        <f aca="false">C416/C419</f>
        <v>4.17542787286064</v>
      </c>
      <c r="D420" s="9" t="n">
        <f aca="false">D416/D419</f>
        <v>7.30556249474777</v>
      </c>
      <c r="E420" s="9" t="n">
        <f aca="false">E416/E419</f>
        <v>9.43611646859963</v>
      </c>
      <c r="F420" s="9" t="n">
        <f aca="false">F416/F419</f>
        <v>10.8972090782214</v>
      </c>
      <c r="G420" s="9" t="n">
        <f aca="false">G416/G419</f>
        <v>12.2489706559103</v>
      </c>
    </row>
    <row r="421" customFormat="false" ht="17.15" hidden="false" customHeight="false" outlineLevel="0" collapsed="false">
      <c r="A421" s="0" t="s">
        <v>660</v>
      </c>
      <c r="B421" s="0" t="s">
        <v>40</v>
      </c>
      <c r="D421" s="17" t="n">
        <f aca="false">D420/C420-1</f>
        <v>0.749656015430735</v>
      </c>
      <c r="E421" s="17" t="n">
        <f aca="false">E420/D420-1</f>
        <v>0.291634487472195</v>
      </c>
      <c r="F421" s="17" t="n">
        <f aca="false">F420/E420-1</f>
        <v>0.154840459471203</v>
      </c>
      <c r="G421" s="17" t="n">
        <f aca="false">G420/F420-1</f>
        <v>0.124046585505134</v>
      </c>
    </row>
    <row r="424" customFormat="false" ht="17.15" hidden="false" customHeight="false" outlineLevel="0" collapsed="false">
      <c r="A424" s="3" t="s">
        <v>998</v>
      </c>
    </row>
    <row r="425" customFormat="false" ht="15" hidden="false" customHeight="false" outlineLevel="0" collapsed="false">
      <c r="A425" s="6" t="s">
        <v>18</v>
      </c>
      <c r="B425" s="6" t="s">
        <v>19</v>
      </c>
      <c r="C425" s="13" t="s">
        <v>603</v>
      </c>
      <c r="D425" s="13" t="s">
        <v>604</v>
      </c>
      <c r="E425" s="13" t="s">
        <v>605</v>
      </c>
      <c r="F425" s="13" t="s">
        <v>606</v>
      </c>
      <c r="G425" s="13" t="s">
        <v>607</v>
      </c>
      <c r="H425" s="6" t="s">
        <v>572</v>
      </c>
    </row>
    <row r="426" customFormat="false" ht="17.15" hidden="false" customHeight="false" outlineLevel="0" collapsed="false">
      <c r="A426" s="1" t="s">
        <v>627</v>
      </c>
    </row>
    <row r="427" customFormat="false" ht="17.15" hidden="false" customHeight="false" outlineLevel="0" collapsed="false">
      <c r="A427" s="0" t="s">
        <v>628</v>
      </c>
      <c r="B427" s="0" t="s">
        <v>125</v>
      </c>
      <c r="D427" s="16" t="n">
        <f aca="false">k_rec</f>
        <v>0.673483215644445</v>
      </c>
      <c r="E427" s="16" t="n">
        <f aca="false">k_rec*1</f>
        <v>0.673483215644445</v>
      </c>
      <c r="F427" s="16" t="n">
        <f aca="false">k_rec*1</f>
        <v>0.673483215644445</v>
      </c>
      <c r="G427" s="16" t="n">
        <f aca="false">k_rec*1</f>
        <v>0.673483215644445</v>
      </c>
    </row>
    <row r="428" customFormat="false" ht="17.15" hidden="false" customHeight="false" outlineLevel="0" collapsed="false">
      <c r="A428" s="5" t="s">
        <v>629</v>
      </c>
      <c r="B428" s="0" t="s">
        <v>229</v>
      </c>
      <c r="D428" s="21" t="n">
        <f aca="false">Units!C24</f>
        <v>419.36</v>
      </c>
      <c r="E428" s="21" t="n">
        <f aca="false">Units!D24</f>
        <v>671.46</v>
      </c>
      <c r="F428" s="21" t="n">
        <f aca="false">Units!E24</f>
        <v>763.2</v>
      </c>
      <c r="G428" s="21" t="n">
        <f aca="false">Units!F24</f>
        <v>864.55</v>
      </c>
    </row>
    <row r="429" customFormat="false" ht="17.15" hidden="false" customHeight="false" outlineLevel="0" collapsed="false">
      <c r="A429" s="0" t="s">
        <v>630</v>
      </c>
      <c r="B429" s="0" t="s">
        <v>40</v>
      </c>
      <c r="D429" s="17" t="n">
        <f aca="false">Units!C33</f>
        <v>0.0536531858069439</v>
      </c>
      <c r="E429" s="17" t="n">
        <f aca="false">Units!D33</f>
        <v>0.0670181395764454</v>
      </c>
      <c r="F429" s="17" t="n">
        <f aca="false">Units!E33</f>
        <v>0.0786163522012579</v>
      </c>
      <c r="G429" s="17" t="n">
        <f aca="false">Units!F33</f>
        <v>0.0798103059395061</v>
      </c>
    </row>
    <row r="430" customFormat="false" ht="17.15" hidden="false" customHeight="false" outlineLevel="0" collapsed="false">
      <c r="A430" s="0" t="s">
        <v>631</v>
      </c>
      <c r="B430" s="5" t="s">
        <v>29</v>
      </c>
      <c r="D430" s="9" t="n">
        <f aca="false">Units!C10</f>
        <v>0.75</v>
      </c>
      <c r="E430" s="9" t="n">
        <f aca="false">Units!D10</f>
        <v>1.5</v>
      </c>
      <c r="F430" s="9" t="n">
        <f aca="false">Units!E10</f>
        <v>2</v>
      </c>
      <c r="G430" s="9" t="n">
        <f aca="false">Units!F10</f>
        <v>2.3</v>
      </c>
    </row>
    <row r="431" customFormat="false" ht="17.15" hidden="false" customHeight="false" outlineLevel="0" collapsed="false">
      <c r="A431" s="0" t="s">
        <v>632</v>
      </c>
      <c r="B431" s="5" t="s">
        <v>29</v>
      </c>
      <c r="D431" s="9" t="n">
        <f aca="false">D430*D427</f>
        <v>0.505112411733333</v>
      </c>
      <c r="E431" s="9" t="n">
        <f aca="false">E430*E427</f>
        <v>1.01022482346667</v>
      </c>
      <c r="F431" s="9" t="n">
        <f aca="false">F430*F427</f>
        <v>1.34696643128889</v>
      </c>
      <c r="G431" s="9" t="n">
        <f aca="false">G430*G427</f>
        <v>1.54901139598222</v>
      </c>
    </row>
    <row r="432" customFormat="false" ht="17.15" hidden="false" customHeight="false" outlineLevel="0" collapsed="false">
      <c r="A432" s="5" t="s">
        <v>633</v>
      </c>
      <c r="B432" s="0" t="s">
        <v>125</v>
      </c>
      <c r="D432" s="16" t="n">
        <f aca="false">1</f>
        <v>1</v>
      </c>
      <c r="E432" s="16" t="n">
        <f aca="false">pg_27</f>
        <v>1</v>
      </c>
      <c r="F432" s="16" t="n">
        <f aca="false">pg_28</f>
        <v>1</v>
      </c>
      <c r="G432" s="16" t="n">
        <f aca="false">pg_29</f>
        <v>1</v>
      </c>
    </row>
    <row r="433" customFormat="false" ht="17.15" hidden="false" customHeight="false" outlineLevel="0" collapsed="false">
      <c r="A433" s="0" t="s">
        <v>634</v>
      </c>
      <c r="B433" s="0" t="s">
        <v>229</v>
      </c>
      <c r="D433" s="21" t="n">
        <f aca="false">D428*D429*D427*D432</f>
        <v>15.153372352</v>
      </c>
      <c r="E433" s="21" t="n">
        <f aca="false">E428*E429*E427*E432</f>
        <v>30.306744704</v>
      </c>
      <c r="F433" s="21" t="n">
        <f aca="false">F428*F429*F427*F432</f>
        <v>40.4089929386667</v>
      </c>
      <c r="G433" s="21" t="n">
        <f aca="false">G428*G429*G427*G432</f>
        <v>46.4703418794667</v>
      </c>
    </row>
    <row r="434" customFormat="false" ht="17.15" hidden="false" customHeight="false" outlineLevel="0" collapsed="false">
      <c r="A434" s="0" t="s">
        <v>635</v>
      </c>
      <c r="B434" s="0" t="s">
        <v>125</v>
      </c>
      <c r="D434" s="16" t="n">
        <f aca="false">hbm_A_26/hbm_A_26</f>
        <v>1</v>
      </c>
      <c r="E434" s="16" t="n">
        <f aca="false">hbm_A_27/hbm_A_26</f>
        <v>1.8</v>
      </c>
      <c r="F434" s="16" t="n">
        <f aca="false">hbm_A_28/hbm_A_26</f>
        <v>1.98</v>
      </c>
      <c r="G434" s="16" t="n">
        <f aca="false">hbm_A_29/hbm_A_26</f>
        <v>1.881</v>
      </c>
    </row>
    <row r="435" customFormat="false" ht="17.15" hidden="false" customHeight="false" outlineLevel="0" collapsed="false">
      <c r="A435" s="5" t="s">
        <v>636</v>
      </c>
      <c r="B435" s="0" t="s">
        <v>229</v>
      </c>
      <c r="D435" s="21" t="n">
        <f aca="false">D433*(1+(1-abs_mem)*hs_26*(D434-1))</f>
        <v>15.153372352</v>
      </c>
      <c r="E435" s="21" t="n">
        <f aca="false">E433*(1+(1-abs_mem)*hs_26*(E434-1))</f>
        <v>32.829624704</v>
      </c>
      <c r="F435" s="21" t="n">
        <f aca="false">F433*(1+(1-abs_mem)*hs_26*(F434-1))</f>
        <v>44.5296969386667</v>
      </c>
      <c r="G435" s="21" t="n">
        <f aca="false">G433*(1+(1-abs_mem)*hs_26*(G434-1))</f>
        <v>50.7304349994667</v>
      </c>
    </row>
    <row r="436" customFormat="false" ht="17.15" hidden="false" customHeight="false" outlineLevel="0" collapsed="false">
      <c r="A436" s="5" t="s">
        <v>637</v>
      </c>
      <c r="B436" s="0" t="s">
        <v>229</v>
      </c>
      <c r="D436" s="21" t="n">
        <f aca="false">D433*((1-gm_gpu)+hs_26*(D434-1))</f>
        <v>7.576686176</v>
      </c>
      <c r="E436" s="21" t="n">
        <f aca="false">E433*((1-gm_gpu)+hs_26*(E434-1))</f>
        <v>20.199132352</v>
      </c>
      <c r="F436" s="21" t="n">
        <f aca="false">F433*((1-gm_gpu)+hs_26*(F434-1))</f>
        <v>28.4459044693333</v>
      </c>
      <c r="G436" s="21" t="n">
        <f aca="false">G433*((1-gm_gpu)+hs_26*(G434-1))</f>
        <v>31.7553571797333</v>
      </c>
      <c r="H436" s="5" t="s">
        <v>638</v>
      </c>
    </row>
    <row r="437" customFormat="false" ht="17.15" hidden="false" customHeight="false" outlineLevel="0" collapsed="false">
      <c r="A437" s="5" t="s">
        <v>639</v>
      </c>
      <c r="B437" s="0" t="s">
        <v>40</v>
      </c>
      <c r="D437" s="17" t="n">
        <f aca="false">1-D436/D435</f>
        <v>0.5</v>
      </c>
      <c r="E437" s="17" t="n">
        <f aca="false">1-E436/E435</f>
        <v>0.38472850256071</v>
      </c>
      <c r="F437" s="17" t="n">
        <f aca="false">1-F436/F435</f>
        <v>0.361192497929785</v>
      </c>
      <c r="G437" s="17" t="n">
        <f aca="false">1-G436/G435</f>
        <v>0.374037356863445</v>
      </c>
    </row>
    <row r="438" customFormat="false" ht="17.15" hidden="false" customHeight="false" outlineLevel="0" collapsed="false">
      <c r="A438" s="5" t="s">
        <v>640</v>
      </c>
      <c r="B438" s="0" t="s">
        <v>229</v>
      </c>
      <c r="D438" s="21" t="n">
        <f aca="false">a26_dcx</f>
        <v>15.698097648</v>
      </c>
      <c r="E438" s="21" t="n">
        <f aca="false">D438*(1+g_cpu27_lo)</f>
        <v>20.4075269424</v>
      </c>
      <c r="F438" s="21" t="n">
        <f aca="false">E438*(1+g_cpu28_lo)</f>
        <v>22.44827963664</v>
      </c>
      <c r="G438" s="21" t="n">
        <f aca="false">F438*(1+g_cpu29_lo)</f>
        <v>23.570693618472</v>
      </c>
    </row>
    <row r="439" customFormat="false" ht="15" hidden="false" customHeight="false" outlineLevel="0" collapsed="false">
      <c r="A439" s="0" t="s">
        <v>524</v>
      </c>
      <c r="B439" s="0" t="s">
        <v>229</v>
      </c>
      <c r="D439" s="21" t="n">
        <f aca="false">a26_cli</f>
        <v>12.037318</v>
      </c>
      <c r="E439" s="21" t="n">
        <f aca="false">D439*(1+g_cli)</f>
        <v>12.39843754</v>
      </c>
      <c r="F439" s="21" t="n">
        <f aca="false">E439*(1+g_cli)</f>
        <v>12.7703906662</v>
      </c>
      <c r="G439" s="21" t="n">
        <f aca="false">F439*(1+g_cli)</f>
        <v>13.153502386186</v>
      </c>
    </row>
    <row r="440" customFormat="false" ht="15" hidden="false" customHeight="false" outlineLevel="0" collapsed="false">
      <c r="A440" s="0" t="s">
        <v>526</v>
      </c>
      <c r="B440" s="0" t="s">
        <v>229</v>
      </c>
      <c r="D440" s="21" t="n">
        <f aca="false">a26_gam</f>
        <v>2.68308</v>
      </c>
      <c r="E440" s="21" t="n">
        <f aca="false">D440*(1+g_gam)</f>
        <v>2.414772</v>
      </c>
      <c r="F440" s="21" t="n">
        <f aca="false">E440*(1+g_gam)</f>
        <v>2.1732948</v>
      </c>
      <c r="G440" s="21" t="n">
        <f aca="false">F440*(1+g_gam)</f>
        <v>1.95596532</v>
      </c>
    </row>
    <row r="441" customFormat="false" ht="15" hidden="false" customHeight="false" outlineLevel="0" collapsed="false">
      <c r="A441" s="0" t="s">
        <v>527</v>
      </c>
      <c r="B441" s="0" t="s">
        <v>229</v>
      </c>
      <c r="D441" s="21" t="n">
        <f aca="false">a26_emb</f>
        <v>4.0713072</v>
      </c>
      <c r="E441" s="21" t="n">
        <f aca="false">D441*(1+g_emb)</f>
        <v>4.47843792</v>
      </c>
      <c r="F441" s="21" t="n">
        <f aca="false">E441*(1+g_emb)</f>
        <v>4.926281712</v>
      </c>
      <c r="G441" s="21" t="n">
        <f aca="false">F441*(1+g_emb)</f>
        <v>5.4189098832</v>
      </c>
    </row>
    <row r="442" customFormat="false" ht="17.15" hidden="false" customHeight="false" outlineLevel="0" collapsed="false">
      <c r="A442" s="5" t="s">
        <v>641</v>
      </c>
      <c r="B442" s="0" t="s">
        <v>229</v>
      </c>
      <c r="D442" s="21" t="n">
        <f aca="false">D438+D439+D440+D441</f>
        <v>34.489802848</v>
      </c>
      <c r="E442" s="21" t="n">
        <f aca="false">E438+E439+E440+E441</f>
        <v>39.6991744024</v>
      </c>
      <c r="F442" s="21" t="n">
        <f aca="false">F438+F439+F440+F441</f>
        <v>42.31824681484</v>
      </c>
      <c r="G442" s="21" t="n">
        <f aca="false">G438+G439+G440+G441</f>
        <v>44.099071207858</v>
      </c>
    </row>
    <row r="443" customFormat="false" ht="17.15" hidden="false" customHeight="false" outlineLevel="0" collapsed="false">
      <c r="A443" s="5" t="s">
        <v>642</v>
      </c>
      <c r="B443" s="0" t="s">
        <v>40</v>
      </c>
      <c r="D443" s="17" t="n">
        <f aca="false">(a26_gp-(D435-D436))/D442</f>
        <v>0.583371878020658</v>
      </c>
      <c r="E443" s="17" t="n">
        <f aca="false">$D443</f>
        <v>0.583371878020658</v>
      </c>
      <c r="F443" s="17" t="n">
        <f aca="false">$D443</f>
        <v>0.583371878020658</v>
      </c>
      <c r="G443" s="17" t="n">
        <f aca="false">$D443</f>
        <v>0.583371878020658</v>
      </c>
      <c r="H443" s="8" t="s">
        <v>643</v>
      </c>
    </row>
    <row r="444" customFormat="false" ht="17.15" hidden="false" customHeight="false" outlineLevel="0" collapsed="false">
      <c r="A444" s="5" t="s">
        <v>644</v>
      </c>
      <c r="B444" s="0" t="s">
        <v>229</v>
      </c>
      <c r="D444" s="21" t="n">
        <f aca="false">(1-D443)*D442</f>
        <v>14.369421788</v>
      </c>
      <c r="E444" s="21" t="n">
        <f aca="false">(1-E443)*E442</f>
        <v>16.5397924754023</v>
      </c>
      <c r="F444" s="21" t="n">
        <f aca="false">(1-F443)*F442</f>
        <v>17.6309716959251</v>
      </c>
      <c r="G444" s="21" t="n">
        <f aca="false">(1-G443)*G442</f>
        <v>18.3729132183632</v>
      </c>
    </row>
    <row r="445" customFormat="false" ht="15" hidden="false" customHeight="false" outlineLevel="0" collapsed="false">
      <c r="A445" s="5" t="s">
        <v>645</v>
      </c>
      <c r="B445" s="0" t="s">
        <v>229</v>
      </c>
      <c r="D445" s="21" t="n">
        <f aca="false">D435+D442</f>
        <v>49.6431752</v>
      </c>
      <c r="E445" s="21" t="n">
        <f aca="false">E435+E442</f>
        <v>72.5287991064</v>
      </c>
      <c r="F445" s="21" t="n">
        <f aca="false">F435+F442</f>
        <v>86.8479437535067</v>
      </c>
      <c r="G445" s="21" t="n">
        <f aca="false">G435+G442</f>
        <v>94.8295062073247</v>
      </c>
    </row>
    <row r="446" customFormat="false" ht="15" hidden="false" customHeight="false" outlineLevel="0" collapsed="false">
      <c r="A446" s="5" t="s">
        <v>646</v>
      </c>
      <c r="B446" s="0" t="s">
        <v>229</v>
      </c>
      <c r="D446" s="21" t="n">
        <f aca="false">D436+D444</f>
        <v>21.946107964</v>
      </c>
      <c r="E446" s="21" t="n">
        <f aca="false">E436+E444</f>
        <v>36.7389248274023</v>
      </c>
      <c r="F446" s="21" t="n">
        <f aca="false">F436+F444</f>
        <v>46.0768761652584</v>
      </c>
      <c r="G446" s="21" t="n">
        <f aca="false">G436+G444</f>
        <v>50.1282703980965</v>
      </c>
    </row>
    <row r="447" customFormat="false" ht="17.15" hidden="false" customHeight="false" outlineLevel="0" collapsed="false">
      <c r="A447" s="5" t="s">
        <v>647</v>
      </c>
      <c r="B447" s="0" t="s">
        <v>40</v>
      </c>
      <c r="D447" s="17" t="n">
        <f aca="false">1-D446/D445</f>
        <v>0.557922959690137</v>
      </c>
      <c r="E447" s="17" t="n">
        <f aca="false">1-E446/E445</f>
        <v>0.493457422705895</v>
      </c>
      <c r="F447" s="17" t="n">
        <f aca="false">1-F446/F445</f>
        <v>0.469453458840263</v>
      </c>
      <c r="G447" s="17" t="n">
        <f aca="false">1-G446/G445</f>
        <v>0.471385306082881</v>
      </c>
      <c r="H447" s="8" t="s">
        <v>648</v>
      </c>
    </row>
    <row r="448" customFormat="false" ht="17.15" hidden="false" customHeight="false" outlineLevel="0" collapsed="false">
      <c r="A448" s="1" t="s">
        <v>649</v>
      </c>
    </row>
    <row r="449" customFormat="false" ht="15" hidden="false" customHeight="false" outlineLevel="0" collapsed="false">
      <c r="A449" s="5" t="s">
        <v>510</v>
      </c>
      <c r="B449" s="0" t="s">
        <v>229</v>
      </c>
      <c r="C449" s="21" t="n">
        <f aca="false">a25_rev</f>
        <v>34.639</v>
      </c>
      <c r="D449" s="21" t="n">
        <f aca="false">a26_rev</f>
        <v>49.6431752</v>
      </c>
      <c r="E449" s="21" t="n">
        <f aca="false">E445</f>
        <v>72.5287991064</v>
      </c>
      <c r="F449" s="21" t="n">
        <f aca="false">F445</f>
        <v>86.8479437535067</v>
      </c>
      <c r="G449" s="21" t="n">
        <f aca="false">G445</f>
        <v>94.8295062073247</v>
      </c>
    </row>
    <row r="450" customFormat="false" ht="15" hidden="false" customHeight="false" outlineLevel="0" collapsed="false">
      <c r="A450" s="0" t="s">
        <v>610</v>
      </c>
      <c r="B450" s="0" t="s">
        <v>229</v>
      </c>
      <c r="C450" s="21" t="n">
        <f aca="false">a25_dc</f>
        <v>16.635</v>
      </c>
      <c r="D450" s="21" t="n">
        <f aca="false">a26_dc</f>
        <v>30.85147</v>
      </c>
      <c r="E450" s="21" t="n">
        <f aca="false">E435+E438</f>
        <v>53.2371516464</v>
      </c>
      <c r="F450" s="21" t="n">
        <f aca="false">F435+F438</f>
        <v>66.9779765753067</v>
      </c>
      <c r="G450" s="21" t="n">
        <f aca="false">G435+G438</f>
        <v>74.3011286179387</v>
      </c>
    </row>
    <row r="451" customFormat="false" ht="17.15" hidden="false" customHeight="false" outlineLevel="0" collapsed="false">
      <c r="A451" s="5" t="s">
        <v>611</v>
      </c>
      <c r="B451" s="0" t="s">
        <v>229</v>
      </c>
      <c r="C451" s="21" t="n">
        <f aca="false">a25_gpu</f>
        <v>6.5</v>
      </c>
      <c r="D451" s="21" t="n">
        <f aca="false">a26_gpu</f>
        <v>15.153372352</v>
      </c>
      <c r="E451" s="21" t="n">
        <f aca="false">E435</f>
        <v>32.829624704</v>
      </c>
      <c r="F451" s="21" t="n">
        <f aca="false">F435</f>
        <v>44.5296969386667</v>
      </c>
      <c r="G451" s="21" t="n">
        <f aca="false">G435</f>
        <v>50.7304349994667</v>
      </c>
    </row>
    <row r="452" customFormat="false" ht="17.15" hidden="false" customHeight="false" outlineLevel="0" collapsed="false">
      <c r="A452" s="5" t="s">
        <v>650</v>
      </c>
      <c r="B452" s="0" t="s">
        <v>229</v>
      </c>
      <c r="C452" s="21" t="n">
        <f aca="false">a25_dcx</f>
        <v>10.135</v>
      </c>
      <c r="D452" s="21" t="n">
        <f aca="false">a26_dcx</f>
        <v>15.698097648</v>
      </c>
      <c r="E452" s="21" t="n">
        <f aca="false">E438</f>
        <v>20.4075269424</v>
      </c>
      <c r="F452" s="21" t="n">
        <f aca="false">F438</f>
        <v>22.44827963664</v>
      </c>
      <c r="G452" s="21" t="n">
        <f aca="false">G438</f>
        <v>23.570693618472</v>
      </c>
    </row>
    <row r="453" customFormat="false" ht="17.15" hidden="false" customHeight="false" outlineLevel="0" collapsed="false">
      <c r="A453" s="0" t="s">
        <v>613</v>
      </c>
      <c r="B453" s="0" t="s">
        <v>229</v>
      </c>
      <c r="C453" s="21" t="n">
        <f aca="false">a25_cli+a25_gam</f>
        <v>14.55</v>
      </c>
      <c r="D453" s="21" t="n">
        <f aca="false">a26_cli+a26_gam</f>
        <v>14.720398</v>
      </c>
      <c r="E453" s="21" t="n">
        <f aca="false">E439+E440</f>
        <v>14.81320954</v>
      </c>
      <c r="F453" s="21" t="n">
        <f aca="false">F439+F440</f>
        <v>14.9436854662</v>
      </c>
      <c r="G453" s="21" t="n">
        <f aca="false">G439+G440</f>
        <v>15.109467706186</v>
      </c>
    </row>
    <row r="454" customFormat="false" ht="15" hidden="false" customHeight="false" outlineLevel="0" collapsed="false">
      <c r="A454" s="0" t="s">
        <v>614</v>
      </c>
      <c r="B454" s="0" t="s">
        <v>229</v>
      </c>
      <c r="C454" s="21" t="n">
        <f aca="false">a25_emb</f>
        <v>3.454</v>
      </c>
      <c r="D454" s="21" t="n">
        <f aca="false">a26_emb</f>
        <v>4.0713072</v>
      </c>
      <c r="E454" s="21" t="n">
        <f aca="false">E441</f>
        <v>4.47843792</v>
      </c>
      <c r="F454" s="21" t="n">
        <f aca="false">F441</f>
        <v>4.926281712</v>
      </c>
      <c r="G454" s="21" t="n">
        <f aca="false">G441</f>
        <v>5.4189098832</v>
      </c>
    </row>
    <row r="455" customFormat="false" ht="15" hidden="false" customHeight="false" outlineLevel="0" collapsed="false">
      <c r="A455" s="5" t="s">
        <v>651</v>
      </c>
      <c r="B455" s="0" t="s">
        <v>40</v>
      </c>
      <c r="D455" s="17" t="n">
        <f aca="false">D449/C449-1</f>
        <v>0.433158439908774</v>
      </c>
      <c r="E455" s="17" t="n">
        <f aca="false">E449/D449-1</f>
        <v>0.461002420054711</v>
      </c>
      <c r="F455" s="17" t="n">
        <f aca="false">F449/E449-1</f>
        <v>0.197427019660155</v>
      </c>
      <c r="G455" s="17" t="n">
        <f aca="false">G449/F449-1</f>
        <v>0.0919027222621573</v>
      </c>
    </row>
    <row r="456" customFormat="false" ht="17.15" hidden="false" customHeight="false" outlineLevel="0" collapsed="false">
      <c r="A456" s="5" t="s">
        <v>529</v>
      </c>
      <c r="B456" s="0" t="s">
        <v>229</v>
      </c>
      <c r="C456" s="21" t="n">
        <f aca="false">a25_gp</f>
        <v>18.165</v>
      </c>
      <c r="D456" s="21" t="n">
        <f aca="false">a26_gp</f>
        <v>27.697067236</v>
      </c>
      <c r="E456" s="21" t="n">
        <f aca="false">E449-E446</f>
        <v>35.7898742789977</v>
      </c>
      <c r="F456" s="21" t="n">
        <f aca="false">F449-F446</f>
        <v>40.7710675882483</v>
      </c>
      <c r="G456" s="21" t="n">
        <f aca="false">G449-G446</f>
        <v>44.7012358092282</v>
      </c>
    </row>
    <row r="457" customFormat="false" ht="15" hidden="false" customHeight="false" outlineLevel="0" collapsed="false">
      <c r="A457" s="5" t="s">
        <v>615</v>
      </c>
      <c r="B457" s="0" t="s">
        <v>40</v>
      </c>
      <c r="C457" s="17" t="n">
        <f aca="false">C456/C449</f>
        <v>0.524408903259332</v>
      </c>
      <c r="D457" s="17" t="n">
        <f aca="false">D456/D449</f>
        <v>0.557922959690137</v>
      </c>
      <c r="E457" s="17" t="n">
        <f aca="false">E456/E449</f>
        <v>0.493457422705895</v>
      </c>
      <c r="F457" s="17" t="n">
        <f aca="false">F456/F449</f>
        <v>0.469453458840263</v>
      </c>
      <c r="G457" s="17" t="n">
        <f aca="false">G456/G449</f>
        <v>0.471385306082881</v>
      </c>
    </row>
    <row r="458" customFormat="false" ht="17.15" hidden="false" customHeight="false" outlineLevel="0" collapsed="false">
      <c r="A458" s="5" t="s">
        <v>652</v>
      </c>
      <c r="B458" s="0" t="s">
        <v>229</v>
      </c>
      <c r="C458" s="21" t="n">
        <f aca="false">a25_opx</f>
        <v>10.397</v>
      </c>
      <c r="D458" s="21" t="n">
        <f aca="false">a26_opx</f>
        <v>14.0215</v>
      </c>
      <c r="E458" s="21" t="n">
        <f aca="false">D458*(1+MAX(g_opx_min,phi*E455))</f>
        <v>19.2237469088585</v>
      </c>
      <c r="F458" s="21" t="n">
        <f aca="false">E458*(1+MAX(g_opx_min,phi*F455))</f>
        <v>22.2782312908435</v>
      </c>
      <c r="G458" s="21" t="n">
        <f aca="false">F458*(1+MAX(g_opx_min,phi*G455))</f>
        <v>23.9260231904204</v>
      </c>
      <c r="H458" s="5" t="s">
        <v>653</v>
      </c>
    </row>
    <row r="459" customFormat="false" ht="15" hidden="false" customHeight="false" outlineLevel="0" collapsed="false">
      <c r="A459" s="5" t="s">
        <v>654</v>
      </c>
      <c r="B459" s="0" t="s">
        <v>229</v>
      </c>
      <c r="C459" s="21" t="n">
        <f aca="false">C458</f>
        <v>10.397</v>
      </c>
      <c r="D459" s="21" t="n">
        <f aca="false">D458</f>
        <v>14.0215</v>
      </c>
      <c r="E459" s="21" t="n">
        <f aca="false">E458+0*E449</f>
        <v>19.2237469088585</v>
      </c>
      <c r="F459" s="21" t="n">
        <f aca="false">F458+0*F449</f>
        <v>22.2782312908435</v>
      </c>
      <c r="G459" s="21" t="n">
        <f aca="false">G458+0*G449</f>
        <v>23.9260231904204</v>
      </c>
    </row>
    <row r="460" customFormat="false" ht="15" hidden="false" customHeight="false" outlineLevel="0" collapsed="false">
      <c r="A460" s="5" t="s">
        <v>616</v>
      </c>
      <c r="B460" s="0" t="s">
        <v>229</v>
      </c>
      <c r="C460" s="21" t="n">
        <f aca="false">C456-C459</f>
        <v>7.768</v>
      </c>
      <c r="D460" s="21" t="n">
        <f aca="false">D456-D459</f>
        <v>13.675567236</v>
      </c>
      <c r="E460" s="21" t="n">
        <f aca="false">E456-E459</f>
        <v>16.5661273701392</v>
      </c>
      <c r="F460" s="21" t="n">
        <f aca="false">F456-F459</f>
        <v>18.4928362974048</v>
      </c>
      <c r="G460" s="21" t="n">
        <f aca="false">G456-G459</f>
        <v>20.7752126188078</v>
      </c>
    </row>
    <row r="461" customFormat="false" ht="15" hidden="false" customHeight="false" outlineLevel="0" collapsed="false">
      <c r="A461" s="5" t="s">
        <v>617</v>
      </c>
      <c r="B461" s="0" t="s">
        <v>40</v>
      </c>
      <c r="C461" s="17" t="n">
        <f aca="false">C460/C449</f>
        <v>0.22425589653281</v>
      </c>
      <c r="D461" s="17" t="n">
        <f aca="false">D460/D449</f>
        <v>0.275477287278756</v>
      </c>
      <c r="E461" s="17" t="n">
        <f aca="false">E460/E449</f>
        <v>0.228407578427387</v>
      </c>
      <c r="F461" s="17" t="n">
        <f aca="false">F460/F449</f>
        <v>0.212933496156127</v>
      </c>
      <c r="G461" s="17" t="n">
        <f aca="false">G460/G449</f>
        <v>0.219079624577894</v>
      </c>
    </row>
    <row r="462" customFormat="false" ht="17.15" hidden="false" customHeight="false" outlineLevel="0" collapsed="false">
      <c r="A462" s="5" t="s">
        <v>655</v>
      </c>
      <c r="B462" s="0" t="s">
        <v>229</v>
      </c>
      <c r="C462" s="9" t="n">
        <f aca="false">a25_oth</f>
        <v>0.081</v>
      </c>
      <c r="D462" s="9" t="n">
        <f aca="false">a26_oth</f>
        <v>0.25</v>
      </c>
      <c r="E462" s="9" t="n">
        <f aca="false">oth_f</f>
        <v>0.2</v>
      </c>
      <c r="F462" s="9" t="n">
        <f aca="false">oth_f</f>
        <v>0.2</v>
      </c>
      <c r="G462" s="9" t="n">
        <f aca="false">oth_f</f>
        <v>0.2</v>
      </c>
    </row>
    <row r="463" customFormat="false" ht="15" hidden="false" customHeight="false" outlineLevel="0" collapsed="false">
      <c r="A463" s="5" t="s">
        <v>656</v>
      </c>
      <c r="B463" s="0" t="s">
        <v>40</v>
      </c>
      <c r="C463" s="17" t="n">
        <f aca="false">a25_etr</f>
        <v>0.129698050707096</v>
      </c>
      <c r="D463" s="17" t="n">
        <f aca="false">a26_etr</f>
        <v>0.129883667216384</v>
      </c>
      <c r="E463" s="17" t="n">
        <f aca="false">tx_f</f>
        <v>0.13</v>
      </c>
      <c r="F463" s="17" t="n">
        <f aca="false">tx_f</f>
        <v>0.13</v>
      </c>
      <c r="G463" s="17" t="n">
        <f aca="false">tx_f</f>
        <v>0.13</v>
      </c>
    </row>
    <row r="464" customFormat="false" ht="17.15" hidden="false" customHeight="false" outlineLevel="0" collapsed="false">
      <c r="A464" s="5" t="s">
        <v>547</v>
      </c>
      <c r="B464" s="0" t="s">
        <v>229</v>
      </c>
      <c r="C464" s="21" t="n">
        <f aca="false">a25_ni</f>
        <v>6.831</v>
      </c>
      <c r="D464" s="21" t="n">
        <f aca="false">a26_ni</f>
        <v>12.11686349532</v>
      </c>
      <c r="E464" s="21" t="n">
        <f aca="false">(E460+E462)*(1-E463)</f>
        <v>14.5865308120211</v>
      </c>
      <c r="F464" s="21" t="n">
        <f aca="false">(F460+F462)*(1-F463)</f>
        <v>16.2627675787422</v>
      </c>
      <c r="G464" s="21" t="n">
        <f aca="false">(G460+G462)*(1-G463)</f>
        <v>18.2484349783628</v>
      </c>
    </row>
    <row r="465" customFormat="false" ht="15" hidden="false" customHeight="false" outlineLevel="0" collapsed="false">
      <c r="A465" s="5" t="s">
        <v>657</v>
      </c>
      <c r="B465" s="5" t="s">
        <v>309</v>
      </c>
      <c r="C465" s="16" t="n">
        <f aca="false">a25_sh</f>
        <v>1.636</v>
      </c>
      <c r="D465" s="16" t="n">
        <f aca="false">a26_sh</f>
        <v>1.6585805</v>
      </c>
      <c r="E465" s="16" t="n">
        <f aca="false">D465*(1+sh_g)</f>
        <v>1.675166305</v>
      </c>
      <c r="F465" s="16" t="n">
        <f aca="false">E465*(1+sh_g)</f>
        <v>1.69191796805</v>
      </c>
      <c r="G465" s="16" t="n">
        <f aca="false">F465*(1+sh_g)</f>
        <v>1.7088371477305</v>
      </c>
    </row>
    <row r="466" customFormat="false" ht="17.15" hidden="false" customHeight="false" outlineLevel="0" collapsed="false">
      <c r="A466" s="5" t="s">
        <v>658</v>
      </c>
      <c r="B466" s="5" t="s">
        <v>309</v>
      </c>
      <c r="C466" s="16" t="n">
        <f aca="false">0</f>
        <v>0</v>
      </c>
      <c r="D466" s="16" t="n">
        <f aca="false">0</f>
        <v>0</v>
      </c>
      <c r="E466" s="16" t="n">
        <f aca="false">w_tot/w_gw*(gw_26+gw_27)/2*wf</f>
        <v>0.0266666666666667</v>
      </c>
      <c r="F466" s="16" t="n">
        <f aca="false">w_tot/w_gw*(gw_27+gw_28*um28_A)/2*wf</f>
        <v>0.08</v>
      </c>
      <c r="G466" s="16" t="n">
        <f aca="false">w_tot/w_gw*(gw_28*um28_A+gw_29*um29_A)/2*wf</f>
        <v>0.133333333333333</v>
      </c>
      <c r="H466" s="8" t="s">
        <v>659</v>
      </c>
    </row>
    <row r="467" customFormat="false" ht="15" hidden="false" customHeight="false" outlineLevel="0" collapsed="false">
      <c r="A467" s="5" t="s">
        <v>618</v>
      </c>
      <c r="B467" s="5" t="s">
        <v>309</v>
      </c>
      <c r="C467" s="16" t="n">
        <f aca="false">C465+C466</f>
        <v>1.636</v>
      </c>
      <c r="D467" s="16" t="n">
        <f aca="false">D465+D466</f>
        <v>1.6585805</v>
      </c>
      <c r="E467" s="16" t="n">
        <f aca="false">E465+E466</f>
        <v>1.70183297166667</v>
      </c>
      <c r="F467" s="16" t="n">
        <f aca="false">F465+F466</f>
        <v>1.77191796805</v>
      </c>
      <c r="G467" s="16" t="n">
        <f aca="false">G465+G466</f>
        <v>1.84217048106383</v>
      </c>
    </row>
    <row r="468" customFormat="false" ht="17.15" hidden="false" customHeight="false" outlineLevel="0" collapsed="false">
      <c r="A468" s="0" t="s">
        <v>619</v>
      </c>
      <c r="B468" s="0" t="s">
        <v>396</v>
      </c>
      <c r="C468" s="9" t="n">
        <f aca="false">C464/C467</f>
        <v>4.17542787286064</v>
      </c>
      <c r="D468" s="9" t="n">
        <f aca="false">D464/D467</f>
        <v>7.30556249474777</v>
      </c>
      <c r="E468" s="9" t="n">
        <f aca="false">E464/E467</f>
        <v>8.57107075422098</v>
      </c>
      <c r="F468" s="9" t="n">
        <f aca="false">F464/F467</f>
        <v>9.17805895757094</v>
      </c>
      <c r="G468" s="9" t="n">
        <f aca="false">G464/G467</f>
        <v>9.90594256391759</v>
      </c>
    </row>
    <row r="469" customFormat="false" ht="17.15" hidden="false" customHeight="false" outlineLevel="0" collapsed="false">
      <c r="A469" s="0" t="s">
        <v>660</v>
      </c>
      <c r="B469" s="0" t="s">
        <v>40</v>
      </c>
      <c r="D469" s="17" t="n">
        <f aca="false">D468/C468-1</f>
        <v>0.749656015430735</v>
      </c>
      <c r="E469" s="17" t="n">
        <f aca="false">E468/D468-1</f>
        <v>0.173225300636744</v>
      </c>
      <c r="F469" s="17" t="n">
        <f aca="false">F468/E468-1</f>
        <v>0.0708182467226795</v>
      </c>
      <c r="G469" s="17" t="n">
        <f aca="false">G468/F468-1</f>
        <v>0.0793069220530802</v>
      </c>
    </row>
    <row r="472" customFormat="false" ht="17.15" hidden="false" customHeight="false" outlineLevel="0" collapsed="false">
      <c r="A472" s="3" t="s">
        <v>999</v>
      </c>
    </row>
    <row r="473" customFormat="false" ht="15" hidden="false" customHeight="false" outlineLevel="0" collapsed="false">
      <c r="A473" s="6" t="s">
        <v>18</v>
      </c>
      <c r="B473" s="6" t="s">
        <v>19</v>
      </c>
      <c r="C473" s="13" t="s">
        <v>603</v>
      </c>
      <c r="D473" s="13" t="s">
        <v>604</v>
      </c>
      <c r="E473" s="13" t="s">
        <v>605</v>
      </c>
      <c r="F473" s="13" t="s">
        <v>606</v>
      </c>
      <c r="G473" s="13" t="s">
        <v>607</v>
      </c>
      <c r="H473" s="6" t="s">
        <v>572</v>
      </c>
    </row>
    <row r="474" customFormat="false" ht="17.15" hidden="false" customHeight="false" outlineLevel="0" collapsed="false">
      <c r="A474" s="1" t="s">
        <v>627</v>
      </c>
    </row>
    <row r="475" customFormat="false" ht="17.15" hidden="false" customHeight="false" outlineLevel="0" collapsed="false">
      <c r="A475" s="0" t="s">
        <v>628</v>
      </c>
      <c r="B475" s="0" t="s">
        <v>125</v>
      </c>
      <c r="D475" s="16" t="n">
        <f aca="false">k_rec</f>
        <v>0.673483215644445</v>
      </c>
      <c r="E475" s="16" t="n">
        <f aca="false">k_rec*1</f>
        <v>0.673483215644445</v>
      </c>
      <c r="F475" s="16" t="n">
        <f aca="false">k_rec*1</f>
        <v>0.673483215644445</v>
      </c>
      <c r="G475" s="16" t="n">
        <f aca="false">k_rec*1</f>
        <v>0.673483215644445</v>
      </c>
    </row>
    <row r="476" customFormat="false" ht="17.15" hidden="false" customHeight="false" outlineLevel="0" collapsed="false">
      <c r="A476" s="5" t="s">
        <v>629</v>
      </c>
      <c r="B476" s="0" t="s">
        <v>229</v>
      </c>
      <c r="D476" s="21" t="n">
        <f aca="false">Units!C24</f>
        <v>419.36</v>
      </c>
      <c r="E476" s="21" t="n">
        <f aca="false">Units!D24</f>
        <v>671.46</v>
      </c>
      <c r="F476" s="21" t="n">
        <f aca="false">Units!E24</f>
        <v>763.2</v>
      </c>
      <c r="G476" s="21" t="n">
        <f aca="false">Units!F24</f>
        <v>864.55</v>
      </c>
    </row>
    <row r="477" customFormat="false" ht="17.15" hidden="false" customHeight="false" outlineLevel="0" collapsed="false">
      <c r="A477" s="0" t="s">
        <v>630</v>
      </c>
      <c r="B477" s="0" t="s">
        <v>40</v>
      </c>
      <c r="D477" s="17" t="n">
        <f aca="false">Units!C33</f>
        <v>0.0536531858069439</v>
      </c>
      <c r="E477" s="17" t="n">
        <f aca="false">Units!D33</f>
        <v>0.0670181395764454</v>
      </c>
      <c r="F477" s="17" t="n">
        <f aca="false">Units!E33</f>
        <v>0.0786163522012579</v>
      </c>
      <c r="G477" s="17" t="n">
        <f aca="false">Units!F33</f>
        <v>0.0798103059395061</v>
      </c>
    </row>
    <row r="478" customFormat="false" ht="17.15" hidden="false" customHeight="false" outlineLevel="0" collapsed="false">
      <c r="A478" s="0" t="s">
        <v>631</v>
      </c>
      <c r="B478" s="5" t="s">
        <v>29</v>
      </c>
      <c r="D478" s="9" t="n">
        <f aca="false">Units!C10</f>
        <v>0.75</v>
      </c>
      <c r="E478" s="9" t="n">
        <f aca="false">Units!D10</f>
        <v>1.5</v>
      </c>
      <c r="F478" s="9" t="n">
        <f aca="false">Units!E10</f>
        <v>2</v>
      </c>
      <c r="G478" s="9" t="n">
        <f aca="false">Units!F10</f>
        <v>2.3</v>
      </c>
    </row>
    <row r="479" customFormat="false" ht="17.15" hidden="false" customHeight="false" outlineLevel="0" collapsed="false">
      <c r="A479" s="0" t="s">
        <v>632</v>
      </c>
      <c r="B479" s="5" t="s">
        <v>29</v>
      </c>
      <c r="D479" s="9" t="n">
        <f aca="false">D478*D475</f>
        <v>0.505112411733333</v>
      </c>
      <c r="E479" s="9" t="n">
        <f aca="false">E478*E475</f>
        <v>1.01022482346667</v>
      </c>
      <c r="F479" s="9" t="n">
        <f aca="false">F478*F475</f>
        <v>1.34696643128889</v>
      </c>
      <c r="G479" s="9" t="n">
        <f aca="false">G478*G475</f>
        <v>1.54901139598222</v>
      </c>
    </row>
    <row r="480" customFormat="false" ht="17.15" hidden="false" customHeight="false" outlineLevel="0" collapsed="false">
      <c r="A480" s="5" t="s">
        <v>633</v>
      </c>
      <c r="B480" s="0" t="s">
        <v>125</v>
      </c>
      <c r="D480" s="16" t="n">
        <f aca="false">1</f>
        <v>1</v>
      </c>
      <c r="E480" s="16" t="n">
        <f aca="false">pg_27</f>
        <v>1</v>
      </c>
      <c r="F480" s="16" t="n">
        <f aca="false">pg_28</f>
        <v>1</v>
      </c>
      <c r="G480" s="16" t="n">
        <f aca="false">pg_29</f>
        <v>1</v>
      </c>
    </row>
    <row r="481" customFormat="false" ht="17.15" hidden="false" customHeight="false" outlineLevel="0" collapsed="false">
      <c r="A481" s="0" t="s">
        <v>634</v>
      </c>
      <c r="B481" s="0" t="s">
        <v>229</v>
      </c>
      <c r="D481" s="21" t="n">
        <f aca="false">D476*D477*D475*D480</f>
        <v>15.153372352</v>
      </c>
      <c r="E481" s="21" t="n">
        <f aca="false">E476*E477*E475*E480</f>
        <v>30.306744704</v>
      </c>
      <c r="F481" s="21" t="n">
        <f aca="false">F476*F477*F475*F480</f>
        <v>40.4089929386667</v>
      </c>
      <c r="G481" s="21" t="n">
        <f aca="false">G476*G477*G475*G480</f>
        <v>46.4703418794667</v>
      </c>
    </row>
    <row r="482" customFormat="false" ht="17.15" hidden="false" customHeight="false" outlineLevel="0" collapsed="false">
      <c r="A482" s="0" t="s">
        <v>635</v>
      </c>
      <c r="B482" s="0" t="s">
        <v>125</v>
      </c>
      <c r="D482" s="16" t="n">
        <f aca="false">hbm_A_26/hbm_A_26</f>
        <v>1</v>
      </c>
      <c r="E482" s="16" t="n">
        <f aca="false">hbm_A_27/hbm_A_26</f>
        <v>1.8</v>
      </c>
      <c r="F482" s="16" t="n">
        <f aca="false">hbm_A_28/hbm_A_26</f>
        <v>1.98</v>
      </c>
      <c r="G482" s="16" t="n">
        <f aca="false">hbm_A_29/hbm_A_26</f>
        <v>1.881</v>
      </c>
    </row>
    <row r="483" customFormat="false" ht="17.15" hidden="false" customHeight="false" outlineLevel="0" collapsed="false">
      <c r="A483" s="5" t="s">
        <v>636</v>
      </c>
      <c r="B483" s="0" t="s">
        <v>229</v>
      </c>
      <c r="D483" s="21" t="n">
        <f aca="false">D481*(1+(1-abs_mem)*hs_26*(D482-1))</f>
        <v>15.153372352</v>
      </c>
      <c r="E483" s="21" t="n">
        <f aca="false">E481*(1+(1-abs_mem)*hs_26*(E482-1))</f>
        <v>32.829624704</v>
      </c>
      <c r="F483" s="21" t="n">
        <f aca="false">F481*(1+(1-abs_mem)*hs_26*(F482-1))</f>
        <v>44.5296969386667</v>
      </c>
      <c r="G483" s="21" t="n">
        <f aca="false">G481*(1+(1-abs_mem)*hs_26*(G482-1))</f>
        <v>50.7304349994667</v>
      </c>
    </row>
    <row r="484" customFormat="false" ht="17.15" hidden="false" customHeight="false" outlineLevel="0" collapsed="false">
      <c r="A484" s="5" t="s">
        <v>637</v>
      </c>
      <c r="B484" s="0" t="s">
        <v>229</v>
      </c>
      <c r="D484" s="21" t="n">
        <f aca="false">D481*((1-gm_gpu)+hs_26*(D482-1))</f>
        <v>7.576686176</v>
      </c>
      <c r="E484" s="21" t="n">
        <f aca="false">E481*((1-gm_gpu)+hs_26*(E482-1))</f>
        <v>20.199132352</v>
      </c>
      <c r="F484" s="21" t="n">
        <f aca="false">F481*((1-gm_gpu)+hs_26*(F482-1))</f>
        <v>28.4459044693333</v>
      </c>
      <c r="G484" s="21" t="n">
        <f aca="false">G481*((1-gm_gpu)+hs_26*(G482-1))</f>
        <v>31.7553571797333</v>
      </c>
      <c r="H484" s="5" t="s">
        <v>638</v>
      </c>
    </row>
    <row r="485" customFormat="false" ht="17.15" hidden="false" customHeight="false" outlineLevel="0" collapsed="false">
      <c r="A485" s="5" t="s">
        <v>639</v>
      </c>
      <c r="B485" s="0" t="s">
        <v>40</v>
      </c>
      <c r="D485" s="17" t="n">
        <f aca="false">1-D484/D483</f>
        <v>0.5</v>
      </c>
      <c r="E485" s="17" t="n">
        <f aca="false">1-E484/E483</f>
        <v>0.38472850256071</v>
      </c>
      <c r="F485" s="17" t="n">
        <f aca="false">1-F484/F483</f>
        <v>0.361192497929785</v>
      </c>
      <c r="G485" s="17" t="n">
        <f aca="false">1-G484/G483</f>
        <v>0.374037356863445</v>
      </c>
    </row>
    <row r="486" customFormat="false" ht="17.15" hidden="false" customHeight="false" outlineLevel="0" collapsed="false">
      <c r="A486" s="5" t="s">
        <v>640</v>
      </c>
      <c r="B486" s="0" t="s">
        <v>229</v>
      </c>
      <c r="D486" s="21" t="n">
        <f aca="false">a26_dcx</f>
        <v>15.698097648</v>
      </c>
      <c r="E486" s="21" t="n">
        <f aca="false">D486*(1+g_cpu27_hi)</f>
        <v>26.6867660016</v>
      </c>
      <c r="F486" s="21" t="n">
        <f aca="false">E486*(1+g_cpu28_hi)</f>
        <v>37.36147240224</v>
      </c>
      <c r="G486" s="21" t="n">
        <f aca="false">F486*(1+g_cpu29_hi)</f>
        <v>46.7018405028</v>
      </c>
    </row>
    <row r="487" customFormat="false" ht="15" hidden="false" customHeight="false" outlineLevel="0" collapsed="false">
      <c r="A487" s="0" t="s">
        <v>524</v>
      </c>
      <c r="B487" s="0" t="s">
        <v>229</v>
      </c>
      <c r="D487" s="21" t="n">
        <f aca="false">a26_cli</f>
        <v>12.037318</v>
      </c>
      <c r="E487" s="21" t="n">
        <f aca="false">D487*(1+g_cli)</f>
        <v>12.39843754</v>
      </c>
      <c r="F487" s="21" t="n">
        <f aca="false">E487*(1+g_cli)</f>
        <v>12.7703906662</v>
      </c>
      <c r="G487" s="21" t="n">
        <f aca="false">F487*(1+g_cli)</f>
        <v>13.153502386186</v>
      </c>
    </row>
    <row r="488" customFormat="false" ht="15" hidden="false" customHeight="false" outlineLevel="0" collapsed="false">
      <c r="A488" s="0" t="s">
        <v>526</v>
      </c>
      <c r="B488" s="0" t="s">
        <v>229</v>
      </c>
      <c r="D488" s="21" t="n">
        <f aca="false">a26_gam</f>
        <v>2.68308</v>
      </c>
      <c r="E488" s="21" t="n">
        <f aca="false">D488*(1+g_gam)</f>
        <v>2.414772</v>
      </c>
      <c r="F488" s="21" t="n">
        <f aca="false">E488*(1+g_gam)</f>
        <v>2.1732948</v>
      </c>
      <c r="G488" s="21" t="n">
        <f aca="false">F488*(1+g_gam)</f>
        <v>1.95596532</v>
      </c>
    </row>
    <row r="489" customFormat="false" ht="15" hidden="false" customHeight="false" outlineLevel="0" collapsed="false">
      <c r="A489" s="0" t="s">
        <v>527</v>
      </c>
      <c r="B489" s="0" t="s">
        <v>229</v>
      </c>
      <c r="D489" s="21" t="n">
        <f aca="false">a26_emb</f>
        <v>4.0713072</v>
      </c>
      <c r="E489" s="21" t="n">
        <f aca="false">D489*(1+g_emb)</f>
        <v>4.47843792</v>
      </c>
      <c r="F489" s="21" t="n">
        <f aca="false">E489*(1+g_emb)</f>
        <v>4.926281712</v>
      </c>
      <c r="G489" s="21" t="n">
        <f aca="false">F489*(1+g_emb)</f>
        <v>5.4189098832</v>
      </c>
    </row>
    <row r="490" customFormat="false" ht="17.15" hidden="false" customHeight="false" outlineLevel="0" collapsed="false">
      <c r="A490" s="5" t="s">
        <v>641</v>
      </c>
      <c r="B490" s="0" t="s">
        <v>229</v>
      </c>
      <c r="D490" s="21" t="n">
        <f aca="false">D486+D487+D488+D489</f>
        <v>34.489802848</v>
      </c>
      <c r="E490" s="21" t="n">
        <f aca="false">E486+E487+E488+E489</f>
        <v>45.9784134616</v>
      </c>
      <c r="F490" s="21" t="n">
        <f aca="false">F486+F487+F488+F489</f>
        <v>57.23143958044</v>
      </c>
      <c r="G490" s="21" t="n">
        <f aca="false">G486+G487+G488+G489</f>
        <v>67.230218092186</v>
      </c>
    </row>
    <row r="491" customFormat="false" ht="17.15" hidden="false" customHeight="false" outlineLevel="0" collapsed="false">
      <c r="A491" s="5" t="s">
        <v>642</v>
      </c>
      <c r="B491" s="0" t="s">
        <v>40</v>
      </c>
      <c r="D491" s="17" t="n">
        <f aca="false">(a26_gp-(D483-D484))/D490</f>
        <v>0.583371878020658</v>
      </c>
      <c r="E491" s="17" t="n">
        <f aca="false">$D491</f>
        <v>0.583371878020658</v>
      </c>
      <c r="F491" s="17" t="n">
        <f aca="false">$D491</f>
        <v>0.583371878020658</v>
      </c>
      <c r="G491" s="17" t="n">
        <f aca="false">$D491</f>
        <v>0.583371878020658</v>
      </c>
      <c r="H491" s="8" t="s">
        <v>643</v>
      </c>
    </row>
    <row r="492" customFormat="false" ht="17.15" hidden="false" customHeight="false" outlineLevel="0" collapsed="false">
      <c r="A492" s="5" t="s">
        <v>644</v>
      </c>
      <c r="B492" s="0" t="s">
        <v>229</v>
      </c>
      <c r="D492" s="21" t="n">
        <f aca="false">(1-D491)*D490</f>
        <v>14.369421788</v>
      </c>
      <c r="E492" s="21" t="n">
        <f aca="false">(1-E491)*E490</f>
        <v>19.1559000520961</v>
      </c>
      <c r="F492" s="21" t="n">
        <f aca="false">(1-F491)*F490</f>
        <v>23.8442271905729</v>
      </c>
      <c r="G492" s="21" t="n">
        <f aca="false">(1-G491)*G490</f>
        <v>28.009999504009</v>
      </c>
    </row>
    <row r="493" customFormat="false" ht="15" hidden="false" customHeight="false" outlineLevel="0" collapsed="false">
      <c r="A493" s="5" t="s">
        <v>645</v>
      </c>
      <c r="B493" s="0" t="s">
        <v>229</v>
      </c>
      <c r="D493" s="21" t="n">
        <f aca="false">D483+D490</f>
        <v>49.6431752</v>
      </c>
      <c r="E493" s="21" t="n">
        <f aca="false">E483+E490</f>
        <v>78.8080381656</v>
      </c>
      <c r="F493" s="21" t="n">
        <f aca="false">F483+F490</f>
        <v>101.761136519107</v>
      </c>
      <c r="G493" s="21" t="n">
        <f aca="false">G483+G490</f>
        <v>117.960653091653</v>
      </c>
    </row>
    <row r="494" customFormat="false" ht="15" hidden="false" customHeight="false" outlineLevel="0" collapsed="false">
      <c r="A494" s="5" t="s">
        <v>646</v>
      </c>
      <c r="B494" s="0" t="s">
        <v>229</v>
      </c>
      <c r="D494" s="21" t="n">
        <f aca="false">D484+D492</f>
        <v>21.946107964</v>
      </c>
      <c r="E494" s="21" t="n">
        <f aca="false">E484+E492</f>
        <v>39.3550324040961</v>
      </c>
      <c r="F494" s="21" t="n">
        <f aca="false">F484+F492</f>
        <v>52.2901316599062</v>
      </c>
      <c r="G494" s="21" t="n">
        <f aca="false">G484+G492</f>
        <v>59.7653566837424</v>
      </c>
    </row>
    <row r="495" customFormat="false" ht="17.15" hidden="false" customHeight="false" outlineLevel="0" collapsed="false">
      <c r="A495" s="5" t="s">
        <v>647</v>
      </c>
      <c r="B495" s="0" t="s">
        <v>40</v>
      </c>
      <c r="D495" s="17" t="n">
        <f aca="false">1-D494/D493</f>
        <v>0.557922959690137</v>
      </c>
      <c r="E495" s="17" t="n">
        <f aca="false">1-E494/E493</f>
        <v>0.50062159495204</v>
      </c>
      <c r="F495" s="17" t="n">
        <f aca="false">1-F494/F493</f>
        <v>0.486148313112755</v>
      </c>
      <c r="G495" s="17" t="n">
        <f aca="false">1-G494/G493</f>
        <v>0.49334498311648</v>
      </c>
      <c r="H495" s="8" t="s">
        <v>648</v>
      </c>
    </row>
    <row r="496" customFormat="false" ht="17.15" hidden="false" customHeight="false" outlineLevel="0" collapsed="false">
      <c r="A496" s="1" t="s">
        <v>649</v>
      </c>
    </row>
    <row r="497" customFormat="false" ht="15" hidden="false" customHeight="false" outlineLevel="0" collapsed="false">
      <c r="A497" s="5" t="s">
        <v>510</v>
      </c>
      <c r="B497" s="0" t="s">
        <v>229</v>
      </c>
      <c r="C497" s="21" t="n">
        <f aca="false">a25_rev</f>
        <v>34.639</v>
      </c>
      <c r="D497" s="21" t="n">
        <f aca="false">a26_rev</f>
        <v>49.6431752</v>
      </c>
      <c r="E497" s="21" t="n">
        <f aca="false">E493</f>
        <v>78.8080381656</v>
      </c>
      <c r="F497" s="21" t="n">
        <f aca="false">F493</f>
        <v>101.761136519107</v>
      </c>
      <c r="G497" s="21" t="n">
        <f aca="false">G493</f>
        <v>117.960653091653</v>
      </c>
    </row>
    <row r="498" customFormat="false" ht="15" hidden="false" customHeight="false" outlineLevel="0" collapsed="false">
      <c r="A498" s="0" t="s">
        <v>610</v>
      </c>
      <c r="B498" s="0" t="s">
        <v>229</v>
      </c>
      <c r="C498" s="21" t="n">
        <f aca="false">a25_dc</f>
        <v>16.635</v>
      </c>
      <c r="D498" s="21" t="n">
        <f aca="false">a26_dc</f>
        <v>30.85147</v>
      </c>
      <c r="E498" s="21" t="n">
        <f aca="false">E483+E486</f>
        <v>59.5163907056</v>
      </c>
      <c r="F498" s="21" t="n">
        <f aca="false">F483+F486</f>
        <v>81.8911693409067</v>
      </c>
      <c r="G498" s="21" t="n">
        <f aca="false">G483+G486</f>
        <v>97.4322755022667</v>
      </c>
    </row>
    <row r="499" customFormat="false" ht="17.15" hidden="false" customHeight="false" outlineLevel="0" collapsed="false">
      <c r="A499" s="5" t="s">
        <v>611</v>
      </c>
      <c r="B499" s="0" t="s">
        <v>229</v>
      </c>
      <c r="C499" s="21" t="n">
        <f aca="false">a25_gpu</f>
        <v>6.5</v>
      </c>
      <c r="D499" s="21" t="n">
        <f aca="false">a26_gpu</f>
        <v>15.153372352</v>
      </c>
      <c r="E499" s="21" t="n">
        <f aca="false">E483</f>
        <v>32.829624704</v>
      </c>
      <c r="F499" s="21" t="n">
        <f aca="false">F483</f>
        <v>44.5296969386667</v>
      </c>
      <c r="G499" s="21" t="n">
        <f aca="false">G483</f>
        <v>50.7304349994667</v>
      </c>
    </row>
    <row r="500" customFormat="false" ht="17.15" hidden="false" customHeight="false" outlineLevel="0" collapsed="false">
      <c r="A500" s="5" t="s">
        <v>650</v>
      </c>
      <c r="B500" s="0" t="s">
        <v>229</v>
      </c>
      <c r="C500" s="21" t="n">
        <f aca="false">a25_dcx</f>
        <v>10.135</v>
      </c>
      <c r="D500" s="21" t="n">
        <f aca="false">a26_dcx</f>
        <v>15.698097648</v>
      </c>
      <c r="E500" s="21" t="n">
        <f aca="false">E486</f>
        <v>26.6867660016</v>
      </c>
      <c r="F500" s="21" t="n">
        <f aca="false">F486</f>
        <v>37.36147240224</v>
      </c>
      <c r="G500" s="21" t="n">
        <f aca="false">G486</f>
        <v>46.7018405028</v>
      </c>
    </row>
    <row r="501" customFormat="false" ht="17.15" hidden="false" customHeight="false" outlineLevel="0" collapsed="false">
      <c r="A501" s="0" t="s">
        <v>613</v>
      </c>
      <c r="B501" s="0" t="s">
        <v>229</v>
      </c>
      <c r="C501" s="21" t="n">
        <f aca="false">a25_cli+a25_gam</f>
        <v>14.55</v>
      </c>
      <c r="D501" s="21" t="n">
        <f aca="false">a26_cli+a26_gam</f>
        <v>14.720398</v>
      </c>
      <c r="E501" s="21" t="n">
        <f aca="false">E487+E488</f>
        <v>14.81320954</v>
      </c>
      <c r="F501" s="21" t="n">
        <f aca="false">F487+F488</f>
        <v>14.9436854662</v>
      </c>
      <c r="G501" s="21" t="n">
        <f aca="false">G487+G488</f>
        <v>15.109467706186</v>
      </c>
    </row>
    <row r="502" customFormat="false" ht="15" hidden="false" customHeight="false" outlineLevel="0" collapsed="false">
      <c r="A502" s="0" t="s">
        <v>614</v>
      </c>
      <c r="B502" s="0" t="s">
        <v>229</v>
      </c>
      <c r="C502" s="21" t="n">
        <f aca="false">a25_emb</f>
        <v>3.454</v>
      </c>
      <c r="D502" s="21" t="n">
        <f aca="false">a26_emb</f>
        <v>4.0713072</v>
      </c>
      <c r="E502" s="21" t="n">
        <f aca="false">E489</f>
        <v>4.47843792</v>
      </c>
      <c r="F502" s="21" t="n">
        <f aca="false">F489</f>
        <v>4.926281712</v>
      </c>
      <c r="G502" s="21" t="n">
        <f aca="false">G489</f>
        <v>5.4189098832</v>
      </c>
    </row>
    <row r="503" customFormat="false" ht="15" hidden="false" customHeight="false" outlineLevel="0" collapsed="false">
      <c r="A503" s="5" t="s">
        <v>651</v>
      </c>
      <c r="B503" s="0" t="s">
        <v>40</v>
      </c>
      <c r="D503" s="17" t="n">
        <f aca="false">D497/C497-1</f>
        <v>0.433158439908774</v>
      </c>
      <c r="E503" s="17" t="n">
        <f aca="false">E497/D497-1</f>
        <v>0.587489878479812</v>
      </c>
      <c r="F503" s="17" t="n">
        <f aca="false">F497/E497-1</f>
        <v>0.291253264105815</v>
      </c>
      <c r="G503" s="17" t="n">
        <f aca="false">G497/F497-1</f>
        <v>0.159191584593833</v>
      </c>
    </row>
    <row r="504" customFormat="false" ht="17.15" hidden="false" customHeight="false" outlineLevel="0" collapsed="false">
      <c r="A504" s="5" t="s">
        <v>529</v>
      </c>
      <c r="B504" s="0" t="s">
        <v>229</v>
      </c>
      <c r="C504" s="21" t="n">
        <f aca="false">a25_gp</f>
        <v>18.165</v>
      </c>
      <c r="D504" s="21" t="n">
        <f aca="false">a26_gp</f>
        <v>27.697067236</v>
      </c>
      <c r="E504" s="21" t="n">
        <f aca="false">E497-E494</f>
        <v>39.4530057615039</v>
      </c>
      <c r="F504" s="21" t="n">
        <f aca="false">F497-F494</f>
        <v>49.4710048592005</v>
      </c>
      <c r="G504" s="21" t="n">
        <f aca="false">G497-G494</f>
        <v>58.1952964079103</v>
      </c>
    </row>
    <row r="505" customFormat="false" ht="15" hidden="false" customHeight="false" outlineLevel="0" collapsed="false">
      <c r="A505" s="5" t="s">
        <v>615</v>
      </c>
      <c r="B505" s="0" t="s">
        <v>40</v>
      </c>
      <c r="C505" s="17" t="n">
        <f aca="false">C504/C497</f>
        <v>0.524408903259332</v>
      </c>
      <c r="D505" s="17" t="n">
        <f aca="false">D504/D497</f>
        <v>0.557922959690137</v>
      </c>
      <c r="E505" s="17" t="n">
        <f aca="false">E504/E497</f>
        <v>0.50062159495204</v>
      </c>
      <c r="F505" s="17" t="n">
        <f aca="false">F504/F497</f>
        <v>0.486148313112755</v>
      </c>
      <c r="G505" s="17" t="n">
        <f aca="false">G504/G497</f>
        <v>0.49334498311648</v>
      </c>
    </row>
    <row r="506" customFormat="false" ht="17.15" hidden="false" customHeight="false" outlineLevel="0" collapsed="false">
      <c r="A506" s="5" t="s">
        <v>652</v>
      </c>
      <c r="B506" s="0" t="s">
        <v>229</v>
      </c>
      <c r="C506" s="21" t="n">
        <f aca="false">a25_opx</f>
        <v>10.397</v>
      </c>
      <c r="D506" s="21" t="n">
        <f aca="false">a26_opx</f>
        <v>14.0215</v>
      </c>
      <c r="E506" s="21" t="n">
        <f aca="false">D506*(1+MAX(g_opx_min,phi*E503))</f>
        <v>20.6511124951894</v>
      </c>
      <c r="F506" s="21" t="n">
        <f aca="false">E506*(1+MAX(g_opx_min,phi*F503))</f>
        <v>25.4918054139896</v>
      </c>
      <c r="G506" s="21" t="n">
        <f aca="false">F506*(1+MAX(g_opx_min,phi*G503))</f>
        <v>28.757788864354</v>
      </c>
      <c r="H506" s="5" t="s">
        <v>653</v>
      </c>
    </row>
    <row r="507" customFormat="false" ht="15" hidden="false" customHeight="false" outlineLevel="0" collapsed="false">
      <c r="A507" s="5" t="s">
        <v>654</v>
      </c>
      <c r="B507" s="0" t="s">
        <v>229</v>
      </c>
      <c r="C507" s="21" t="n">
        <f aca="false">C506</f>
        <v>10.397</v>
      </c>
      <c r="D507" s="21" t="n">
        <f aca="false">D506</f>
        <v>14.0215</v>
      </c>
      <c r="E507" s="21" t="n">
        <f aca="false">E506+0*E497</f>
        <v>20.6511124951894</v>
      </c>
      <c r="F507" s="21" t="n">
        <f aca="false">F506+0*F497</f>
        <v>25.4918054139896</v>
      </c>
      <c r="G507" s="21" t="n">
        <f aca="false">G506+0*G497</f>
        <v>28.757788864354</v>
      </c>
    </row>
    <row r="508" customFormat="false" ht="15" hidden="false" customHeight="false" outlineLevel="0" collapsed="false">
      <c r="A508" s="5" t="s">
        <v>616</v>
      </c>
      <c r="B508" s="0" t="s">
        <v>229</v>
      </c>
      <c r="C508" s="21" t="n">
        <f aca="false">C504-C507</f>
        <v>7.768</v>
      </c>
      <c r="D508" s="21" t="n">
        <f aca="false">D504-D507</f>
        <v>13.675567236</v>
      </c>
      <c r="E508" s="21" t="n">
        <f aca="false">E504-E507</f>
        <v>18.8018932663145</v>
      </c>
      <c r="F508" s="21" t="n">
        <f aca="false">F504-F507</f>
        <v>23.9791994452108</v>
      </c>
      <c r="G508" s="21" t="n">
        <f aca="false">G504-G507</f>
        <v>29.4375075435563</v>
      </c>
    </row>
    <row r="509" customFormat="false" ht="15" hidden="false" customHeight="false" outlineLevel="0" collapsed="false">
      <c r="A509" s="5" t="s">
        <v>617</v>
      </c>
      <c r="B509" s="0" t="s">
        <v>40</v>
      </c>
      <c r="C509" s="17" t="n">
        <f aca="false">C508/C497</f>
        <v>0.22425589653281</v>
      </c>
      <c r="D509" s="17" t="n">
        <f aca="false">D508/D497</f>
        <v>0.275477287278756</v>
      </c>
      <c r="E509" s="17" t="n">
        <f aca="false">E508/E497</f>
        <v>0.238578369719164</v>
      </c>
      <c r="F509" s="17" t="n">
        <f aca="false">F508/F497</f>
        <v>0.235642016839194</v>
      </c>
      <c r="G509" s="17" t="n">
        <f aca="false">G508/G497</f>
        <v>0.249553616159484</v>
      </c>
    </row>
    <row r="510" customFormat="false" ht="17.15" hidden="false" customHeight="false" outlineLevel="0" collapsed="false">
      <c r="A510" s="5" t="s">
        <v>655</v>
      </c>
      <c r="B510" s="0" t="s">
        <v>229</v>
      </c>
      <c r="C510" s="9" t="n">
        <f aca="false">a25_oth</f>
        <v>0.081</v>
      </c>
      <c r="D510" s="9" t="n">
        <f aca="false">a26_oth</f>
        <v>0.25</v>
      </c>
      <c r="E510" s="9" t="n">
        <f aca="false">oth_f</f>
        <v>0.2</v>
      </c>
      <c r="F510" s="9" t="n">
        <f aca="false">oth_f</f>
        <v>0.2</v>
      </c>
      <c r="G510" s="9" t="n">
        <f aca="false">oth_f</f>
        <v>0.2</v>
      </c>
    </row>
    <row r="511" customFormat="false" ht="15" hidden="false" customHeight="false" outlineLevel="0" collapsed="false">
      <c r="A511" s="5" t="s">
        <v>656</v>
      </c>
      <c r="B511" s="0" t="s">
        <v>40</v>
      </c>
      <c r="C511" s="17" t="n">
        <f aca="false">a25_etr</f>
        <v>0.129698050707096</v>
      </c>
      <c r="D511" s="17" t="n">
        <f aca="false">a26_etr</f>
        <v>0.129883667216384</v>
      </c>
      <c r="E511" s="17" t="n">
        <f aca="false">tx_f</f>
        <v>0.13</v>
      </c>
      <c r="F511" s="17" t="n">
        <f aca="false">tx_f</f>
        <v>0.13</v>
      </c>
      <c r="G511" s="17" t="n">
        <f aca="false">tx_f</f>
        <v>0.13</v>
      </c>
    </row>
    <row r="512" customFormat="false" ht="17.15" hidden="false" customHeight="false" outlineLevel="0" collapsed="false">
      <c r="A512" s="5" t="s">
        <v>547</v>
      </c>
      <c r="B512" s="0" t="s">
        <v>229</v>
      </c>
      <c r="C512" s="21" t="n">
        <f aca="false">a25_ni</f>
        <v>6.831</v>
      </c>
      <c r="D512" s="21" t="n">
        <f aca="false">a26_ni</f>
        <v>12.11686349532</v>
      </c>
      <c r="E512" s="21" t="n">
        <f aca="false">(E508+E510)*(1-E511)</f>
        <v>16.5316471416936</v>
      </c>
      <c r="F512" s="21" t="n">
        <f aca="false">(F508+F510)*(1-F511)</f>
        <v>21.0359035173334</v>
      </c>
      <c r="G512" s="21" t="n">
        <f aca="false">(G508+G510)*(1-G511)</f>
        <v>25.784631562894</v>
      </c>
    </row>
    <row r="513" customFormat="false" ht="15" hidden="false" customHeight="false" outlineLevel="0" collapsed="false">
      <c r="A513" s="5" t="s">
        <v>657</v>
      </c>
      <c r="B513" s="5" t="s">
        <v>309</v>
      </c>
      <c r="C513" s="16" t="n">
        <f aca="false">a25_sh</f>
        <v>1.636</v>
      </c>
      <c r="D513" s="16" t="n">
        <f aca="false">a26_sh</f>
        <v>1.6585805</v>
      </c>
      <c r="E513" s="16" t="n">
        <f aca="false">D513*(1+sh_g)</f>
        <v>1.675166305</v>
      </c>
      <c r="F513" s="16" t="n">
        <f aca="false">E513*(1+sh_g)</f>
        <v>1.69191796805</v>
      </c>
      <c r="G513" s="16" t="n">
        <f aca="false">F513*(1+sh_g)</f>
        <v>1.7088371477305</v>
      </c>
    </row>
    <row r="514" customFormat="false" ht="17.15" hidden="false" customHeight="false" outlineLevel="0" collapsed="false">
      <c r="A514" s="5" t="s">
        <v>658</v>
      </c>
      <c r="B514" s="5" t="s">
        <v>309</v>
      </c>
      <c r="C514" s="16" t="n">
        <f aca="false">0</f>
        <v>0</v>
      </c>
      <c r="D514" s="16" t="n">
        <f aca="false">0</f>
        <v>0</v>
      </c>
      <c r="E514" s="16" t="n">
        <f aca="false">w_tot/w_gw*(gw_26+gw_27)/2*wf</f>
        <v>0.0266666666666667</v>
      </c>
      <c r="F514" s="16" t="n">
        <f aca="false">w_tot/w_gw*(gw_27+gw_28*um28_A)/2*wf</f>
        <v>0.08</v>
      </c>
      <c r="G514" s="16" t="n">
        <f aca="false">w_tot/w_gw*(gw_28*um28_A+gw_29*um29_A)/2*wf</f>
        <v>0.133333333333333</v>
      </c>
      <c r="H514" s="8" t="s">
        <v>659</v>
      </c>
    </row>
    <row r="515" customFormat="false" ht="15" hidden="false" customHeight="false" outlineLevel="0" collapsed="false">
      <c r="A515" s="5" t="s">
        <v>618</v>
      </c>
      <c r="B515" s="5" t="s">
        <v>309</v>
      </c>
      <c r="C515" s="16" t="n">
        <f aca="false">C513+C514</f>
        <v>1.636</v>
      </c>
      <c r="D515" s="16" t="n">
        <f aca="false">D513+D514</f>
        <v>1.6585805</v>
      </c>
      <c r="E515" s="16" t="n">
        <f aca="false">E513+E514</f>
        <v>1.70183297166667</v>
      </c>
      <c r="F515" s="16" t="n">
        <f aca="false">F513+F514</f>
        <v>1.77191796805</v>
      </c>
      <c r="G515" s="16" t="n">
        <f aca="false">G513+G514</f>
        <v>1.84217048106383</v>
      </c>
    </row>
    <row r="516" customFormat="false" ht="17.15" hidden="false" customHeight="false" outlineLevel="0" collapsed="false">
      <c r="A516" s="0" t="s">
        <v>619</v>
      </c>
      <c r="B516" s="0" t="s">
        <v>396</v>
      </c>
      <c r="C516" s="9" t="n">
        <f aca="false">C512/C515</f>
        <v>4.17542787286064</v>
      </c>
      <c r="D516" s="9" t="n">
        <f aca="false">D512/D515</f>
        <v>7.30556249474777</v>
      </c>
      <c r="E516" s="9" t="n">
        <f aca="false">E512/E515</f>
        <v>9.71402447650524</v>
      </c>
      <c r="F516" s="9" t="n">
        <f aca="false">F512/F515</f>
        <v>11.8718269675224</v>
      </c>
      <c r="G516" s="9" t="n">
        <f aca="false">G512/G515</f>
        <v>13.9968758743782</v>
      </c>
    </row>
    <row r="517" customFormat="false" ht="17.15" hidden="false" customHeight="false" outlineLevel="0" collapsed="false">
      <c r="A517" s="0" t="s">
        <v>660</v>
      </c>
      <c r="B517" s="0" t="s">
        <v>40</v>
      </c>
      <c r="D517" s="17" t="n">
        <f aca="false">D516/C516-1</f>
        <v>0.749656015430735</v>
      </c>
      <c r="E517" s="17" t="n">
        <f aca="false">E516/D516-1</f>
        <v>0.329675091204681</v>
      </c>
      <c r="F517" s="17" t="n">
        <f aca="false">F516/E516-1</f>
        <v>0.222132700636701</v>
      </c>
      <c r="G517" s="17" t="n">
        <f aca="false">G516/F516-1</f>
        <v>0.178999315999912</v>
      </c>
    </row>
    <row r="520" customFormat="false" ht="17.15" hidden="false" customHeight="false" outlineLevel="0" collapsed="false">
      <c r="A520" s="3" t="s">
        <v>1000</v>
      </c>
    </row>
    <row r="521" customFormat="false" ht="15" hidden="false" customHeight="false" outlineLevel="0" collapsed="false">
      <c r="A521" s="6" t="s">
        <v>18</v>
      </c>
      <c r="B521" s="6" t="s">
        <v>19</v>
      </c>
      <c r="C521" s="13" t="s">
        <v>603</v>
      </c>
      <c r="D521" s="13" t="s">
        <v>604</v>
      </c>
      <c r="E521" s="13" t="s">
        <v>605</v>
      </c>
      <c r="F521" s="13" t="s">
        <v>606</v>
      </c>
      <c r="G521" s="13" t="s">
        <v>607</v>
      </c>
      <c r="H521" s="6" t="s">
        <v>572</v>
      </c>
    </row>
    <row r="522" customFormat="false" ht="17.15" hidden="false" customHeight="false" outlineLevel="0" collapsed="false">
      <c r="A522" s="1" t="s">
        <v>627</v>
      </c>
    </row>
    <row r="523" customFormat="false" ht="17.15" hidden="false" customHeight="false" outlineLevel="0" collapsed="false">
      <c r="A523" s="0" t="s">
        <v>628</v>
      </c>
      <c r="B523" s="0" t="s">
        <v>125</v>
      </c>
      <c r="D523" s="16" t="n">
        <f aca="false">k_rec</f>
        <v>0.673483215644445</v>
      </c>
      <c r="E523" s="16" t="n">
        <f aca="false">k_rec*1</f>
        <v>0.673483215644445</v>
      </c>
      <c r="F523" s="16" t="n">
        <f aca="false">k_rec*1</f>
        <v>0.673483215644445</v>
      </c>
      <c r="G523" s="16" t="n">
        <f aca="false">k_rec*1</f>
        <v>0.673483215644445</v>
      </c>
    </row>
    <row r="524" customFormat="false" ht="17.15" hidden="false" customHeight="false" outlineLevel="0" collapsed="false">
      <c r="A524" s="5" t="s">
        <v>629</v>
      </c>
      <c r="B524" s="0" t="s">
        <v>229</v>
      </c>
      <c r="D524" s="21" t="n">
        <f aca="false">Units!C24</f>
        <v>419.36</v>
      </c>
      <c r="E524" s="21" t="n">
        <f aca="false">Units!D24</f>
        <v>671.46</v>
      </c>
      <c r="F524" s="21" t="n">
        <f aca="false">Units!E24</f>
        <v>763.2</v>
      </c>
      <c r="G524" s="21" t="n">
        <f aca="false">Units!F24</f>
        <v>864.55</v>
      </c>
    </row>
    <row r="525" customFormat="false" ht="17.15" hidden="false" customHeight="false" outlineLevel="0" collapsed="false">
      <c r="A525" s="0" t="s">
        <v>630</v>
      </c>
      <c r="B525" s="0" t="s">
        <v>40</v>
      </c>
      <c r="D525" s="17" t="n">
        <f aca="false">Units!C33</f>
        <v>0.0536531858069439</v>
      </c>
      <c r="E525" s="17" t="n">
        <f aca="false">Units!D33</f>
        <v>0.0670181395764454</v>
      </c>
      <c r="F525" s="17" t="n">
        <f aca="false">Units!E33</f>
        <v>0.0786163522012579</v>
      </c>
      <c r="G525" s="17" t="n">
        <f aca="false">Units!F33</f>
        <v>0.0798103059395061</v>
      </c>
    </row>
    <row r="526" customFormat="false" ht="17.15" hidden="false" customHeight="false" outlineLevel="0" collapsed="false">
      <c r="A526" s="0" t="s">
        <v>631</v>
      </c>
      <c r="B526" s="5" t="s">
        <v>29</v>
      </c>
      <c r="D526" s="9" t="n">
        <f aca="false">Units!C10</f>
        <v>0.75</v>
      </c>
      <c r="E526" s="9" t="n">
        <f aca="false">Units!D10</f>
        <v>1.5</v>
      </c>
      <c r="F526" s="9" t="n">
        <f aca="false">Units!E10</f>
        <v>2</v>
      </c>
      <c r="G526" s="9" t="n">
        <f aca="false">Units!F10</f>
        <v>2.3</v>
      </c>
    </row>
    <row r="527" customFormat="false" ht="17.15" hidden="false" customHeight="false" outlineLevel="0" collapsed="false">
      <c r="A527" s="0" t="s">
        <v>632</v>
      </c>
      <c r="B527" s="5" t="s">
        <v>29</v>
      </c>
      <c r="D527" s="9" t="n">
        <f aca="false">D526*D523</f>
        <v>0.505112411733333</v>
      </c>
      <c r="E527" s="9" t="n">
        <f aca="false">E526*E523</f>
        <v>1.01022482346667</v>
      </c>
      <c r="F527" s="9" t="n">
        <f aca="false">F526*F523</f>
        <v>1.34696643128889</v>
      </c>
      <c r="G527" s="9" t="n">
        <f aca="false">G526*G523</f>
        <v>1.54901139598222</v>
      </c>
    </row>
    <row r="528" customFormat="false" ht="17.15" hidden="false" customHeight="false" outlineLevel="0" collapsed="false">
      <c r="A528" s="5" t="s">
        <v>633</v>
      </c>
      <c r="B528" s="0" t="s">
        <v>125</v>
      </c>
      <c r="D528" s="16" t="n">
        <f aca="false">1</f>
        <v>1</v>
      </c>
      <c r="E528" s="16" t="n">
        <f aca="false">pg_27</f>
        <v>1</v>
      </c>
      <c r="F528" s="16" t="n">
        <f aca="false">pg_28</f>
        <v>1</v>
      </c>
      <c r="G528" s="16" t="n">
        <f aca="false">pg_29</f>
        <v>1</v>
      </c>
    </row>
    <row r="529" customFormat="false" ht="17.15" hidden="false" customHeight="false" outlineLevel="0" collapsed="false">
      <c r="A529" s="0" t="s">
        <v>634</v>
      </c>
      <c r="B529" s="0" t="s">
        <v>229</v>
      </c>
      <c r="D529" s="21" t="n">
        <f aca="false">D524*D525*D523*D528</f>
        <v>15.153372352</v>
      </c>
      <c r="E529" s="21" t="n">
        <f aca="false">E524*E525*E523*E528</f>
        <v>30.306744704</v>
      </c>
      <c r="F529" s="21" t="n">
        <f aca="false">F524*F525*F523*F528</f>
        <v>40.4089929386667</v>
      </c>
      <c r="G529" s="21" t="n">
        <f aca="false">G524*G525*G523*G528</f>
        <v>46.4703418794667</v>
      </c>
    </row>
    <row r="530" customFormat="false" ht="17.15" hidden="false" customHeight="false" outlineLevel="0" collapsed="false">
      <c r="A530" s="0" t="s">
        <v>635</v>
      </c>
      <c r="B530" s="0" t="s">
        <v>125</v>
      </c>
      <c r="D530" s="16" t="n">
        <f aca="false">hbm_A_26/hbm_A_26</f>
        <v>1</v>
      </c>
      <c r="E530" s="16" t="n">
        <f aca="false">hbm_A_27/hbm_A_26</f>
        <v>1.8</v>
      </c>
      <c r="F530" s="16" t="n">
        <f aca="false">hbm_A_28/hbm_A_26</f>
        <v>1.98</v>
      </c>
      <c r="G530" s="16" t="n">
        <f aca="false">hbm_A_29/hbm_A_26</f>
        <v>1.881</v>
      </c>
    </row>
    <row r="531" customFormat="false" ht="17.15" hidden="false" customHeight="false" outlineLevel="0" collapsed="false">
      <c r="A531" s="5" t="s">
        <v>636</v>
      </c>
      <c r="B531" s="0" t="s">
        <v>229</v>
      </c>
      <c r="D531" s="21" t="n">
        <f aca="false">D529*(1+(1-abs_mem)*hs_26*(D530-1))</f>
        <v>15.153372352</v>
      </c>
      <c r="E531" s="21" t="n">
        <f aca="false">E529*(1+(1-abs_mem)*hs_26*(E530-1))</f>
        <v>32.829624704</v>
      </c>
      <c r="F531" s="21" t="n">
        <f aca="false">F529*(1+(1-abs_mem)*hs_26*(F530-1))</f>
        <v>44.5296969386667</v>
      </c>
      <c r="G531" s="21" t="n">
        <f aca="false">G529*(1+(1-abs_mem)*hs_26*(G530-1))</f>
        <v>50.7304349994667</v>
      </c>
    </row>
    <row r="532" customFormat="false" ht="17.15" hidden="false" customHeight="false" outlineLevel="0" collapsed="false">
      <c r="A532" s="5" t="s">
        <v>637</v>
      </c>
      <c r="B532" s="0" t="s">
        <v>229</v>
      </c>
      <c r="D532" s="21" t="n">
        <f aca="false">D529*((1-gm_gpu)+hs_26*(D530-1))</f>
        <v>7.576686176</v>
      </c>
      <c r="E532" s="21" t="n">
        <f aca="false">E529*((1-gm_gpu)+hs_26*(E530-1))</f>
        <v>20.199132352</v>
      </c>
      <c r="F532" s="21" t="n">
        <f aca="false">F529*((1-gm_gpu)+hs_26*(F530-1))</f>
        <v>28.4459044693333</v>
      </c>
      <c r="G532" s="21" t="n">
        <f aca="false">G529*((1-gm_gpu)+hs_26*(G530-1))</f>
        <v>31.7553571797333</v>
      </c>
      <c r="H532" s="5" t="s">
        <v>638</v>
      </c>
    </row>
    <row r="533" customFormat="false" ht="17.15" hidden="false" customHeight="false" outlineLevel="0" collapsed="false">
      <c r="A533" s="5" t="s">
        <v>639</v>
      </c>
      <c r="B533" s="0" t="s">
        <v>40</v>
      </c>
      <c r="D533" s="17" t="n">
        <f aca="false">1-D532/D531</f>
        <v>0.5</v>
      </c>
      <c r="E533" s="17" t="n">
        <f aca="false">1-E532/E531</f>
        <v>0.38472850256071</v>
      </c>
      <c r="F533" s="17" t="n">
        <f aca="false">1-F532/F531</f>
        <v>0.361192497929785</v>
      </c>
      <c r="G533" s="17" t="n">
        <f aca="false">1-G532/G531</f>
        <v>0.374037356863445</v>
      </c>
    </row>
    <row r="534" customFormat="false" ht="17.15" hidden="false" customHeight="false" outlineLevel="0" collapsed="false">
      <c r="A534" s="5" t="s">
        <v>640</v>
      </c>
      <c r="B534" s="0" t="s">
        <v>229</v>
      </c>
      <c r="D534" s="21" t="n">
        <f aca="false">a26_dcx</f>
        <v>15.698097648</v>
      </c>
      <c r="E534" s="21" t="n">
        <f aca="false">D534*(1+g_cpu27)</f>
        <v>23.547146472</v>
      </c>
      <c r="F534" s="21" t="n">
        <f aca="false">E534*(1+g_cpu28)</f>
        <v>29.43393309</v>
      </c>
      <c r="G534" s="21" t="n">
        <f aca="false">F534*(1+g_cpu29)</f>
        <v>33.8490230535</v>
      </c>
    </row>
    <row r="535" customFormat="false" ht="15" hidden="false" customHeight="false" outlineLevel="0" collapsed="false">
      <c r="A535" s="0" t="s">
        <v>524</v>
      </c>
      <c r="B535" s="0" t="s">
        <v>229</v>
      </c>
      <c r="D535" s="21" t="n">
        <f aca="false">a26_cli</f>
        <v>12.037318</v>
      </c>
      <c r="E535" s="21" t="n">
        <f aca="false">D535*(1+g_cli)</f>
        <v>12.39843754</v>
      </c>
      <c r="F535" s="21" t="n">
        <f aca="false">E535*(1+g_cli)</f>
        <v>12.7703906662</v>
      </c>
      <c r="G535" s="21" t="n">
        <f aca="false">F535*(1+g_cli)</f>
        <v>13.153502386186</v>
      </c>
    </row>
    <row r="536" customFormat="false" ht="15" hidden="false" customHeight="false" outlineLevel="0" collapsed="false">
      <c r="A536" s="0" t="s">
        <v>526</v>
      </c>
      <c r="B536" s="0" t="s">
        <v>229</v>
      </c>
      <c r="D536" s="21" t="n">
        <f aca="false">a26_gam</f>
        <v>2.68308</v>
      </c>
      <c r="E536" s="21" t="n">
        <f aca="false">D536*(1+g_gam)</f>
        <v>2.414772</v>
      </c>
      <c r="F536" s="21" t="n">
        <f aca="false">E536*(1+g_gam)</f>
        <v>2.1732948</v>
      </c>
      <c r="G536" s="21" t="n">
        <f aca="false">F536*(1+g_gam)</f>
        <v>1.95596532</v>
      </c>
    </row>
    <row r="537" customFormat="false" ht="15" hidden="false" customHeight="false" outlineLevel="0" collapsed="false">
      <c r="A537" s="0" t="s">
        <v>527</v>
      </c>
      <c r="B537" s="0" t="s">
        <v>229</v>
      </c>
      <c r="D537" s="21" t="n">
        <f aca="false">a26_emb</f>
        <v>4.0713072</v>
      </c>
      <c r="E537" s="21" t="n">
        <f aca="false">D537*(1+g_emb)</f>
        <v>4.47843792</v>
      </c>
      <c r="F537" s="21" t="n">
        <f aca="false">E537*(1+g_emb)</f>
        <v>4.926281712</v>
      </c>
      <c r="G537" s="21" t="n">
        <f aca="false">F537*(1+g_emb)</f>
        <v>5.4189098832</v>
      </c>
    </row>
    <row r="538" customFormat="false" ht="17.15" hidden="false" customHeight="false" outlineLevel="0" collapsed="false">
      <c r="A538" s="5" t="s">
        <v>641</v>
      </c>
      <c r="B538" s="0" t="s">
        <v>229</v>
      </c>
      <c r="D538" s="21" t="n">
        <f aca="false">D534+D535+D536+D537</f>
        <v>34.489802848</v>
      </c>
      <c r="E538" s="21" t="n">
        <f aca="false">E534+E535+E536+E537</f>
        <v>42.838793932</v>
      </c>
      <c r="F538" s="21" t="n">
        <f aca="false">F534+F535+F536+F537</f>
        <v>49.3039002682</v>
      </c>
      <c r="G538" s="21" t="n">
        <f aca="false">G534+G535+G536+G537</f>
        <v>54.377400642886</v>
      </c>
    </row>
    <row r="539" customFormat="false" ht="17.15" hidden="false" customHeight="false" outlineLevel="0" collapsed="false">
      <c r="A539" s="5" t="s">
        <v>642</v>
      </c>
      <c r="B539" s="0" t="s">
        <v>40</v>
      </c>
      <c r="D539" s="17" t="n">
        <f aca="false">(a26_gp-(D531-D532))/D538</f>
        <v>0.583371878020658</v>
      </c>
      <c r="E539" s="17" t="n">
        <f aca="false">$D539</f>
        <v>0.583371878020658</v>
      </c>
      <c r="F539" s="17" t="n">
        <f aca="false">$D539</f>
        <v>0.583371878020658</v>
      </c>
      <c r="G539" s="17" t="n">
        <f aca="false">$D539</f>
        <v>0.583371878020658</v>
      </c>
      <c r="H539" s="8" t="s">
        <v>643</v>
      </c>
    </row>
    <row r="540" customFormat="false" ht="17.15" hidden="false" customHeight="false" outlineLevel="0" collapsed="false">
      <c r="A540" s="5" t="s">
        <v>644</v>
      </c>
      <c r="B540" s="0" t="s">
        <v>229</v>
      </c>
      <c r="D540" s="21" t="n">
        <f aca="false">(1-D539)*D538</f>
        <v>14.369421788</v>
      </c>
      <c r="E540" s="21" t="n">
        <f aca="false">(1-E539)*E538</f>
        <v>17.8478462637492</v>
      </c>
      <c r="F540" s="21" t="n">
        <f aca="false">(1-F539)*F538</f>
        <v>20.5413913749969</v>
      </c>
      <c r="G540" s="21" t="n">
        <f aca="false">(1-G539)*G538</f>
        <v>22.6551543079639</v>
      </c>
    </row>
    <row r="541" customFormat="false" ht="15" hidden="false" customHeight="false" outlineLevel="0" collapsed="false">
      <c r="A541" s="5" t="s">
        <v>645</v>
      </c>
      <c r="B541" s="0" t="s">
        <v>229</v>
      </c>
      <c r="D541" s="21" t="n">
        <f aca="false">D531+D538</f>
        <v>49.6431752</v>
      </c>
      <c r="E541" s="21" t="n">
        <f aca="false">E531+E538</f>
        <v>75.668418636</v>
      </c>
      <c r="F541" s="21" t="n">
        <f aca="false">F531+F538</f>
        <v>93.8335972068667</v>
      </c>
      <c r="G541" s="21" t="n">
        <f aca="false">G531+G538</f>
        <v>105.107835642353</v>
      </c>
    </row>
    <row r="542" customFormat="false" ht="15" hidden="false" customHeight="false" outlineLevel="0" collapsed="false">
      <c r="A542" s="5" t="s">
        <v>646</v>
      </c>
      <c r="B542" s="0" t="s">
        <v>229</v>
      </c>
      <c r="D542" s="21" t="n">
        <f aca="false">D532+D540</f>
        <v>21.946107964</v>
      </c>
      <c r="E542" s="21" t="n">
        <f aca="false">E532+E540</f>
        <v>38.0469786157492</v>
      </c>
      <c r="F542" s="21" t="n">
        <f aca="false">F532+F540</f>
        <v>48.9872958443303</v>
      </c>
      <c r="G542" s="21" t="n">
        <f aca="false">G532+G540</f>
        <v>54.4105114876972</v>
      </c>
    </row>
    <row r="543" customFormat="false" ht="17.15" hidden="false" customHeight="false" outlineLevel="0" collapsed="false">
      <c r="A543" s="5" t="s">
        <v>647</v>
      </c>
      <c r="B543" s="0" t="s">
        <v>40</v>
      </c>
      <c r="D543" s="17" t="n">
        <f aca="false">1-D542/D541</f>
        <v>0.557922959690137</v>
      </c>
      <c r="E543" s="17" t="n">
        <f aca="false">1-E542/E541</f>
        <v>0.497188136060135</v>
      </c>
      <c r="F543" s="17" t="n">
        <f aca="false">1-F542/F541</f>
        <v>0.477934372095612</v>
      </c>
      <c r="G543" s="17" t="n">
        <f aca="false">1-G542/G541</f>
        <v>0.482336296288716</v>
      </c>
      <c r="H543" s="8" t="s">
        <v>648</v>
      </c>
    </row>
    <row r="544" customFormat="false" ht="17.15" hidden="false" customHeight="false" outlineLevel="0" collapsed="false">
      <c r="A544" s="1" t="s">
        <v>649</v>
      </c>
    </row>
    <row r="545" customFormat="false" ht="15" hidden="false" customHeight="false" outlineLevel="0" collapsed="false">
      <c r="A545" s="5" t="s">
        <v>510</v>
      </c>
      <c r="B545" s="0" t="s">
        <v>229</v>
      </c>
      <c r="C545" s="21" t="n">
        <f aca="false">a25_rev</f>
        <v>34.639</v>
      </c>
      <c r="D545" s="21" t="n">
        <f aca="false">a26_rev</f>
        <v>49.6431752</v>
      </c>
      <c r="E545" s="21" t="n">
        <f aca="false">E541</f>
        <v>75.668418636</v>
      </c>
      <c r="F545" s="21" t="n">
        <f aca="false">F541</f>
        <v>93.8335972068667</v>
      </c>
      <c r="G545" s="21" t="n">
        <f aca="false">G541</f>
        <v>105.107835642353</v>
      </c>
    </row>
    <row r="546" customFormat="false" ht="15" hidden="false" customHeight="false" outlineLevel="0" collapsed="false">
      <c r="A546" s="0" t="s">
        <v>610</v>
      </c>
      <c r="B546" s="0" t="s">
        <v>229</v>
      </c>
      <c r="C546" s="21" t="n">
        <f aca="false">a25_dc</f>
        <v>16.635</v>
      </c>
      <c r="D546" s="21" t="n">
        <f aca="false">a26_dc</f>
        <v>30.85147</v>
      </c>
      <c r="E546" s="21" t="n">
        <f aca="false">E531+E534</f>
        <v>56.376771176</v>
      </c>
      <c r="F546" s="21" t="n">
        <f aca="false">F531+F534</f>
        <v>73.9636300286667</v>
      </c>
      <c r="G546" s="21" t="n">
        <f aca="false">G531+G534</f>
        <v>84.5794580529667</v>
      </c>
    </row>
    <row r="547" customFormat="false" ht="17.15" hidden="false" customHeight="false" outlineLevel="0" collapsed="false">
      <c r="A547" s="5" t="s">
        <v>611</v>
      </c>
      <c r="B547" s="0" t="s">
        <v>229</v>
      </c>
      <c r="C547" s="21" t="n">
        <f aca="false">a25_gpu</f>
        <v>6.5</v>
      </c>
      <c r="D547" s="21" t="n">
        <f aca="false">a26_gpu</f>
        <v>15.153372352</v>
      </c>
      <c r="E547" s="21" t="n">
        <f aca="false">E531</f>
        <v>32.829624704</v>
      </c>
      <c r="F547" s="21" t="n">
        <f aca="false">F531</f>
        <v>44.5296969386667</v>
      </c>
      <c r="G547" s="21" t="n">
        <f aca="false">G531</f>
        <v>50.7304349994667</v>
      </c>
    </row>
    <row r="548" customFormat="false" ht="17.15" hidden="false" customHeight="false" outlineLevel="0" collapsed="false">
      <c r="A548" s="5" t="s">
        <v>650</v>
      </c>
      <c r="B548" s="0" t="s">
        <v>229</v>
      </c>
      <c r="C548" s="21" t="n">
        <f aca="false">a25_dcx</f>
        <v>10.135</v>
      </c>
      <c r="D548" s="21" t="n">
        <f aca="false">a26_dcx</f>
        <v>15.698097648</v>
      </c>
      <c r="E548" s="21" t="n">
        <f aca="false">E534</f>
        <v>23.547146472</v>
      </c>
      <c r="F548" s="21" t="n">
        <f aca="false">F534</f>
        <v>29.43393309</v>
      </c>
      <c r="G548" s="21" t="n">
        <f aca="false">G534</f>
        <v>33.8490230535</v>
      </c>
    </row>
    <row r="549" customFormat="false" ht="17.15" hidden="false" customHeight="false" outlineLevel="0" collapsed="false">
      <c r="A549" s="0" t="s">
        <v>613</v>
      </c>
      <c r="B549" s="0" t="s">
        <v>229</v>
      </c>
      <c r="C549" s="21" t="n">
        <f aca="false">a25_cli+a25_gam</f>
        <v>14.55</v>
      </c>
      <c r="D549" s="21" t="n">
        <f aca="false">a26_cli+a26_gam</f>
        <v>14.720398</v>
      </c>
      <c r="E549" s="21" t="n">
        <f aca="false">E535+E536</f>
        <v>14.81320954</v>
      </c>
      <c r="F549" s="21" t="n">
        <f aca="false">F535+F536</f>
        <v>14.9436854662</v>
      </c>
      <c r="G549" s="21" t="n">
        <f aca="false">G535+G536</f>
        <v>15.109467706186</v>
      </c>
    </row>
    <row r="550" customFormat="false" ht="15" hidden="false" customHeight="false" outlineLevel="0" collapsed="false">
      <c r="A550" s="0" t="s">
        <v>614</v>
      </c>
      <c r="B550" s="0" t="s">
        <v>229</v>
      </c>
      <c r="C550" s="21" t="n">
        <f aca="false">a25_emb</f>
        <v>3.454</v>
      </c>
      <c r="D550" s="21" t="n">
        <f aca="false">a26_emb</f>
        <v>4.0713072</v>
      </c>
      <c r="E550" s="21" t="n">
        <f aca="false">E537</f>
        <v>4.47843792</v>
      </c>
      <c r="F550" s="21" t="n">
        <f aca="false">F537</f>
        <v>4.926281712</v>
      </c>
      <c r="G550" s="21" t="n">
        <f aca="false">G537</f>
        <v>5.4189098832</v>
      </c>
    </row>
    <row r="551" customFormat="false" ht="15" hidden="false" customHeight="false" outlineLevel="0" collapsed="false">
      <c r="A551" s="5" t="s">
        <v>651</v>
      </c>
      <c r="B551" s="0" t="s">
        <v>40</v>
      </c>
      <c r="D551" s="17" t="n">
        <f aca="false">D545/C545-1</f>
        <v>0.433158439908774</v>
      </c>
      <c r="E551" s="17" t="n">
        <f aca="false">E545/D545-1</f>
        <v>0.524246149267261</v>
      </c>
      <c r="F551" s="17" t="n">
        <f aca="false">F545/E545-1</f>
        <v>0.240062880899488</v>
      </c>
      <c r="G551" s="17" t="n">
        <f aca="false">G545/F545-1</f>
        <v>0.120151403879686</v>
      </c>
    </row>
    <row r="552" customFormat="false" ht="17.15" hidden="false" customHeight="false" outlineLevel="0" collapsed="false">
      <c r="A552" s="5" t="s">
        <v>529</v>
      </c>
      <c r="B552" s="0" t="s">
        <v>229</v>
      </c>
      <c r="C552" s="21" t="n">
        <f aca="false">a25_gp</f>
        <v>18.165</v>
      </c>
      <c r="D552" s="21" t="n">
        <f aca="false">a26_gp</f>
        <v>27.697067236</v>
      </c>
      <c r="E552" s="21" t="n">
        <f aca="false">E545-E542</f>
        <v>37.6214400202508</v>
      </c>
      <c r="F552" s="21" t="n">
        <f aca="false">F545-F542</f>
        <v>44.8463013625364</v>
      </c>
      <c r="G552" s="21" t="n">
        <f aca="false">G545-G542</f>
        <v>50.6973241546555</v>
      </c>
    </row>
    <row r="553" customFormat="false" ht="15" hidden="false" customHeight="false" outlineLevel="0" collapsed="false">
      <c r="A553" s="5" t="s">
        <v>615</v>
      </c>
      <c r="B553" s="0" t="s">
        <v>40</v>
      </c>
      <c r="C553" s="17" t="n">
        <f aca="false">C552/C545</f>
        <v>0.524408903259332</v>
      </c>
      <c r="D553" s="17" t="n">
        <f aca="false">D552/D545</f>
        <v>0.557922959690137</v>
      </c>
      <c r="E553" s="17" t="n">
        <f aca="false">E552/E545</f>
        <v>0.497188136060135</v>
      </c>
      <c r="F553" s="17" t="n">
        <f aca="false">F552/F545</f>
        <v>0.477934372095612</v>
      </c>
      <c r="G553" s="17" t="n">
        <f aca="false">G552/G545</f>
        <v>0.482336296288716</v>
      </c>
    </row>
    <row r="554" customFormat="false" ht="17.15" hidden="false" customHeight="false" outlineLevel="0" collapsed="false">
      <c r="A554" s="5" t="s">
        <v>652</v>
      </c>
      <c r="B554" s="0" t="s">
        <v>229</v>
      </c>
      <c r="C554" s="21" t="n">
        <f aca="false">a25_opx</f>
        <v>10.397</v>
      </c>
      <c r="D554" s="21" t="n">
        <f aca="false">a26_opx</f>
        <v>14.0215</v>
      </c>
      <c r="E554" s="21" t="n">
        <f aca="false">D554*(1+MAX(g_opx_min,phi*E551))</f>
        <v>19.9374297020239</v>
      </c>
      <c r="F554" s="21" t="n">
        <f aca="false">E554*(1+MAX(g_opx_min,phi*F551))</f>
        <v>23.7894401991966</v>
      </c>
      <c r="G554" s="21" t="n">
        <f aca="false">F554*(1+MAX(g_opx_min,phi*G551))</f>
        <v>26.0898560499688</v>
      </c>
      <c r="H554" s="5" t="s">
        <v>653</v>
      </c>
    </row>
    <row r="555" customFormat="false" ht="15" hidden="false" customHeight="false" outlineLevel="0" collapsed="false">
      <c r="A555" s="5" t="s">
        <v>654</v>
      </c>
      <c r="B555" s="0" t="s">
        <v>229</v>
      </c>
      <c r="C555" s="21" t="n">
        <f aca="false">C554</f>
        <v>10.397</v>
      </c>
      <c r="D555" s="21" t="n">
        <f aca="false">D554</f>
        <v>14.0215</v>
      </c>
      <c r="E555" s="21" t="n">
        <f aca="false">E554+opx_adj_lo*E545</f>
        <v>18.4240613293039</v>
      </c>
      <c r="F555" s="21" t="n">
        <f aca="false">F554+opx_adj_lo*F545</f>
        <v>21.9127682550593</v>
      </c>
      <c r="G555" s="21" t="n">
        <f aca="false">G554+opx_adj_lo*G545</f>
        <v>23.9876993371217</v>
      </c>
    </row>
    <row r="556" customFormat="false" ht="15" hidden="false" customHeight="false" outlineLevel="0" collapsed="false">
      <c r="A556" s="5" t="s">
        <v>616</v>
      </c>
      <c r="B556" s="0" t="s">
        <v>229</v>
      </c>
      <c r="C556" s="21" t="n">
        <f aca="false">C552-C555</f>
        <v>7.768</v>
      </c>
      <c r="D556" s="21" t="n">
        <f aca="false">D552-D555</f>
        <v>13.675567236</v>
      </c>
      <c r="E556" s="21" t="n">
        <f aca="false">E552-E555</f>
        <v>19.1973786909469</v>
      </c>
      <c r="F556" s="21" t="n">
        <f aca="false">F552-F555</f>
        <v>22.9335331074771</v>
      </c>
      <c r="G556" s="21" t="n">
        <f aca="false">G552-G555</f>
        <v>26.7096248175337</v>
      </c>
    </row>
    <row r="557" customFormat="false" ht="15" hidden="false" customHeight="false" outlineLevel="0" collapsed="false">
      <c r="A557" s="5" t="s">
        <v>617</v>
      </c>
      <c r="B557" s="0" t="s">
        <v>40</v>
      </c>
      <c r="C557" s="17" t="n">
        <f aca="false">C556/C545</f>
        <v>0.22425589653281</v>
      </c>
      <c r="D557" s="17" t="n">
        <f aca="false">D556/D545</f>
        <v>0.275477287278756</v>
      </c>
      <c r="E557" s="17" t="n">
        <f aca="false">E556/E545</f>
        <v>0.253703976335162</v>
      </c>
      <c r="F557" s="17" t="n">
        <f aca="false">F556/F545</f>
        <v>0.244406415080918</v>
      </c>
      <c r="G557" s="17" t="n">
        <f aca="false">G556/G545</f>
        <v>0.254116400117093</v>
      </c>
    </row>
    <row r="558" customFormat="false" ht="17.15" hidden="false" customHeight="false" outlineLevel="0" collapsed="false">
      <c r="A558" s="5" t="s">
        <v>655</v>
      </c>
      <c r="B558" s="0" t="s">
        <v>229</v>
      </c>
      <c r="C558" s="9" t="n">
        <f aca="false">a25_oth</f>
        <v>0.081</v>
      </c>
      <c r="D558" s="9" t="n">
        <f aca="false">a26_oth</f>
        <v>0.25</v>
      </c>
      <c r="E558" s="9" t="n">
        <f aca="false">oth_f</f>
        <v>0.2</v>
      </c>
      <c r="F558" s="9" t="n">
        <f aca="false">oth_f</f>
        <v>0.2</v>
      </c>
      <c r="G558" s="9" t="n">
        <f aca="false">oth_f</f>
        <v>0.2</v>
      </c>
    </row>
    <row r="559" customFormat="false" ht="15" hidden="false" customHeight="false" outlineLevel="0" collapsed="false">
      <c r="A559" s="5" t="s">
        <v>656</v>
      </c>
      <c r="B559" s="0" t="s">
        <v>40</v>
      </c>
      <c r="C559" s="17" t="n">
        <f aca="false">a25_etr</f>
        <v>0.129698050707096</v>
      </c>
      <c r="D559" s="17" t="n">
        <f aca="false">a26_etr</f>
        <v>0.129883667216384</v>
      </c>
      <c r="E559" s="17" t="n">
        <f aca="false">tx_f</f>
        <v>0.13</v>
      </c>
      <c r="F559" s="17" t="n">
        <f aca="false">tx_f</f>
        <v>0.13</v>
      </c>
      <c r="G559" s="17" t="n">
        <f aca="false">tx_f</f>
        <v>0.13</v>
      </c>
    </row>
    <row r="560" customFormat="false" ht="17.15" hidden="false" customHeight="false" outlineLevel="0" collapsed="false">
      <c r="A560" s="5" t="s">
        <v>547</v>
      </c>
      <c r="B560" s="0" t="s">
        <v>229</v>
      </c>
      <c r="C560" s="21" t="n">
        <f aca="false">a25_ni</f>
        <v>6.831</v>
      </c>
      <c r="D560" s="21" t="n">
        <f aca="false">a26_ni</f>
        <v>12.11686349532</v>
      </c>
      <c r="E560" s="21" t="n">
        <f aca="false">(E556+E558)*(1-E559)</f>
        <v>16.8757194611238</v>
      </c>
      <c r="F560" s="21" t="n">
        <f aca="false">(F556+F558)*(1-F559)</f>
        <v>20.1261738035051</v>
      </c>
      <c r="G560" s="21" t="n">
        <f aca="false">(G556+G558)*(1-G559)</f>
        <v>23.4113735912544</v>
      </c>
    </row>
    <row r="561" customFormat="false" ht="15" hidden="false" customHeight="false" outlineLevel="0" collapsed="false">
      <c r="A561" s="5" t="s">
        <v>657</v>
      </c>
      <c r="B561" s="5" t="s">
        <v>309</v>
      </c>
      <c r="C561" s="16" t="n">
        <f aca="false">a25_sh</f>
        <v>1.636</v>
      </c>
      <c r="D561" s="16" t="n">
        <f aca="false">a26_sh</f>
        <v>1.6585805</v>
      </c>
      <c r="E561" s="16" t="n">
        <f aca="false">D561*(1+sh_g)</f>
        <v>1.675166305</v>
      </c>
      <c r="F561" s="16" t="n">
        <f aca="false">E561*(1+sh_g)</f>
        <v>1.69191796805</v>
      </c>
      <c r="G561" s="16" t="n">
        <f aca="false">F561*(1+sh_g)</f>
        <v>1.7088371477305</v>
      </c>
    </row>
    <row r="562" customFormat="false" ht="17.15" hidden="false" customHeight="false" outlineLevel="0" collapsed="false">
      <c r="A562" s="5" t="s">
        <v>658</v>
      </c>
      <c r="B562" s="5" t="s">
        <v>309</v>
      </c>
      <c r="C562" s="16" t="n">
        <f aca="false">0</f>
        <v>0</v>
      </c>
      <c r="D562" s="16" t="n">
        <f aca="false">0</f>
        <v>0</v>
      </c>
      <c r="E562" s="16" t="n">
        <f aca="false">w_tot/w_gw*(gw_26+gw_27)/2*wf</f>
        <v>0.0266666666666667</v>
      </c>
      <c r="F562" s="16" t="n">
        <f aca="false">w_tot/w_gw*(gw_27+gw_28*um28_A)/2*wf</f>
        <v>0.08</v>
      </c>
      <c r="G562" s="16" t="n">
        <f aca="false">w_tot/w_gw*(gw_28*um28_A+gw_29*um29_A)/2*wf</f>
        <v>0.133333333333333</v>
      </c>
      <c r="H562" s="8" t="s">
        <v>659</v>
      </c>
    </row>
    <row r="563" customFormat="false" ht="15" hidden="false" customHeight="false" outlineLevel="0" collapsed="false">
      <c r="A563" s="5" t="s">
        <v>618</v>
      </c>
      <c r="B563" s="5" t="s">
        <v>309</v>
      </c>
      <c r="C563" s="16" t="n">
        <f aca="false">C561+C562</f>
        <v>1.636</v>
      </c>
      <c r="D563" s="16" t="n">
        <f aca="false">D561+D562</f>
        <v>1.6585805</v>
      </c>
      <c r="E563" s="16" t="n">
        <f aca="false">E561+E562</f>
        <v>1.70183297166667</v>
      </c>
      <c r="F563" s="16" t="n">
        <f aca="false">F561+F562</f>
        <v>1.77191796805</v>
      </c>
      <c r="G563" s="16" t="n">
        <f aca="false">G561+G562</f>
        <v>1.84217048106383</v>
      </c>
    </row>
    <row r="564" customFormat="false" ht="17.15" hidden="false" customHeight="false" outlineLevel="0" collapsed="false">
      <c r="A564" s="0" t="s">
        <v>619</v>
      </c>
      <c r="B564" s="0" t="s">
        <v>396</v>
      </c>
      <c r="C564" s="9" t="n">
        <f aca="false">C560/C563</f>
        <v>4.17542787286064</v>
      </c>
      <c r="D564" s="9" t="n">
        <f aca="false">D560/D563</f>
        <v>7.30556249474777</v>
      </c>
      <c r="E564" s="9" t="n">
        <f aca="false">E560/E563</f>
        <v>9.91620196698668</v>
      </c>
      <c r="F564" s="9" t="n">
        <f aca="false">F560/F563</f>
        <v>11.3584117134124</v>
      </c>
      <c r="G564" s="9" t="n">
        <f aca="false">G560/G563</f>
        <v>12.7085814434148</v>
      </c>
    </row>
    <row r="565" customFormat="false" ht="17.15" hidden="false" customHeight="false" outlineLevel="0" collapsed="false">
      <c r="A565" s="0" t="s">
        <v>660</v>
      </c>
      <c r="B565" s="0" t="s">
        <v>40</v>
      </c>
      <c r="D565" s="17" t="n">
        <f aca="false">D564/C564-1</f>
        <v>0.749656015430735</v>
      </c>
      <c r="E565" s="17" t="n">
        <f aca="false">E564/D564-1</f>
        <v>0.357349550307152</v>
      </c>
      <c r="F565" s="17" t="n">
        <f aca="false">F564/E564-1</f>
        <v>0.14543973098039</v>
      </c>
      <c r="G565" s="17" t="n">
        <f aca="false">G564/F564-1</f>
        <v>0.118869588818306</v>
      </c>
    </row>
    <row r="568" customFormat="false" ht="17.15" hidden="false" customHeight="false" outlineLevel="0" collapsed="false">
      <c r="A568" s="3" t="s">
        <v>1001</v>
      </c>
    </row>
    <row r="569" customFormat="false" ht="15" hidden="false" customHeight="false" outlineLevel="0" collapsed="false">
      <c r="A569" s="6" t="s">
        <v>18</v>
      </c>
      <c r="B569" s="6" t="s">
        <v>19</v>
      </c>
      <c r="C569" s="13" t="s">
        <v>603</v>
      </c>
      <c r="D569" s="13" t="s">
        <v>604</v>
      </c>
      <c r="E569" s="13" t="s">
        <v>605</v>
      </c>
      <c r="F569" s="13" t="s">
        <v>606</v>
      </c>
      <c r="G569" s="13" t="s">
        <v>607</v>
      </c>
      <c r="H569" s="6" t="s">
        <v>572</v>
      </c>
    </row>
    <row r="570" customFormat="false" ht="17.15" hidden="false" customHeight="false" outlineLevel="0" collapsed="false">
      <c r="A570" s="1" t="s">
        <v>627</v>
      </c>
    </row>
    <row r="571" customFormat="false" ht="17.15" hidden="false" customHeight="false" outlineLevel="0" collapsed="false">
      <c r="A571" s="0" t="s">
        <v>628</v>
      </c>
      <c r="B571" s="0" t="s">
        <v>125</v>
      </c>
      <c r="D571" s="16" t="n">
        <f aca="false">k_rec</f>
        <v>0.673483215644445</v>
      </c>
      <c r="E571" s="16" t="n">
        <f aca="false">k_rec*1</f>
        <v>0.673483215644445</v>
      </c>
      <c r="F571" s="16" t="n">
        <f aca="false">k_rec*1</f>
        <v>0.673483215644445</v>
      </c>
      <c r="G571" s="16" t="n">
        <f aca="false">k_rec*1</f>
        <v>0.673483215644445</v>
      </c>
    </row>
    <row r="572" customFormat="false" ht="17.15" hidden="false" customHeight="false" outlineLevel="0" collapsed="false">
      <c r="A572" s="5" t="s">
        <v>629</v>
      </c>
      <c r="B572" s="0" t="s">
        <v>229</v>
      </c>
      <c r="D572" s="21" t="n">
        <f aca="false">Units!C24</f>
        <v>419.36</v>
      </c>
      <c r="E572" s="21" t="n">
        <f aca="false">Units!D24</f>
        <v>671.46</v>
      </c>
      <c r="F572" s="21" t="n">
        <f aca="false">Units!E24</f>
        <v>763.2</v>
      </c>
      <c r="G572" s="21" t="n">
        <f aca="false">Units!F24</f>
        <v>864.55</v>
      </c>
    </row>
    <row r="573" customFormat="false" ht="17.15" hidden="false" customHeight="false" outlineLevel="0" collapsed="false">
      <c r="A573" s="0" t="s">
        <v>630</v>
      </c>
      <c r="B573" s="0" t="s">
        <v>40</v>
      </c>
      <c r="D573" s="17" t="n">
        <f aca="false">Units!C33</f>
        <v>0.0536531858069439</v>
      </c>
      <c r="E573" s="17" t="n">
        <f aca="false">Units!D33</f>
        <v>0.0670181395764454</v>
      </c>
      <c r="F573" s="17" t="n">
        <f aca="false">Units!E33</f>
        <v>0.0786163522012579</v>
      </c>
      <c r="G573" s="17" t="n">
        <f aca="false">Units!F33</f>
        <v>0.0798103059395061</v>
      </c>
    </row>
    <row r="574" customFormat="false" ht="17.15" hidden="false" customHeight="false" outlineLevel="0" collapsed="false">
      <c r="A574" s="0" t="s">
        <v>631</v>
      </c>
      <c r="B574" s="5" t="s">
        <v>29</v>
      </c>
      <c r="D574" s="9" t="n">
        <f aca="false">Units!C10</f>
        <v>0.75</v>
      </c>
      <c r="E574" s="9" t="n">
        <f aca="false">Units!D10</f>
        <v>1.5</v>
      </c>
      <c r="F574" s="9" t="n">
        <f aca="false">Units!E10</f>
        <v>2</v>
      </c>
      <c r="G574" s="9" t="n">
        <f aca="false">Units!F10</f>
        <v>2.3</v>
      </c>
    </row>
    <row r="575" customFormat="false" ht="17.15" hidden="false" customHeight="false" outlineLevel="0" collapsed="false">
      <c r="A575" s="0" t="s">
        <v>632</v>
      </c>
      <c r="B575" s="5" t="s">
        <v>29</v>
      </c>
      <c r="D575" s="9" t="n">
        <f aca="false">D574*D571</f>
        <v>0.505112411733333</v>
      </c>
      <c r="E575" s="9" t="n">
        <f aca="false">E574*E571</f>
        <v>1.01022482346667</v>
      </c>
      <c r="F575" s="9" t="n">
        <f aca="false">F574*F571</f>
        <v>1.34696643128889</v>
      </c>
      <c r="G575" s="9" t="n">
        <f aca="false">G574*G571</f>
        <v>1.54901139598222</v>
      </c>
    </row>
    <row r="576" customFormat="false" ht="17.15" hidden="false" customHeight="false" outlineLevel="0" collapsed="false">
      <c r="A576" s="5" t="s">
        <v>633</v>
      </c>
      <c r="B576" s="0" t="s">
        <v>125</v>
      </c>
      <c r="D576" s="16" t="n">
        <f aca="false">1</f>
        <v>1</v>
      </c>
      <c r="E576" s="16" t="n">
        <f aca="false">pg_27</f>
        <v>1</v>
      </c>
      <c r="F576" s="16" t="n">
        <f aca="false">pg_28</f>
        <v>1</v>
      </c>
      <c r="G576" s="16" t="n">
        <f aca="false">pg_29</f>
        <v>1</v>
      </c>
    </row>
    <row r="577" customFormat="false" ht="17.15" hidden="false" customHeight="false" outlineLevel="0" collapsed="false">
      <c r="A577" s="0" t="s">
        <v>634</v>
      </c>
      <c r="B577" s="0" t="s">
        <v>229</v>
      </c>
      <c r="D577" s="21" t="n">
        <f aca="false">D572*D573*D571*D576</f>
        <v>15.153372352</v>
      </c>
      <c r="E577" s="21" t="n">
        <f aca="false">E572*E573*E571*E576</f>
        <v>30.306744704</v>
      </c>
      <c r="F577" s="21" t="n">
        <f aca="false">F572*F573*F571*F576</f>
        <v>40.4089929386667</v>
      </c>
      <c r="G577" s="21" t="n">
        <f aca="false">G572*G573*G571*G576</f>
        <v>46.4703418794667</v>
      </c>
    </row>
    <row r="578" customFormat="false" ht="17.15" hidden="false" customHeight="false" outlineLevel="0" collapsed="false">
      <c r="A578" s="0" t="s">
        <v>635</v>
      </c>
      <c r="B578" s="0" t="s">
        <v>125</v>
      </c>
      <c r="D578" s="16" t="n">
        <f aca="false">hbm_A_26/hbm_A_26</f>
        <v>1</v>
      </c>
      <c r="E578" s="16" t="n">
        <f aca="false">hbm_A_27/hbm_A_26</f>
        <v>1.8</v>
      </c>
      <c r="F578" s="16" t="n">
        <f aca="false">hbm_A_28/hbm_A_26</f>
        <v>1.98</v>
      </c>
      <c r="G578" s="16" t="n">
        <f aca="false">hbm_A_29/hbm_A_26</f>
        <v>1.881</v>
      </c>
    </row>
    <row r="579" customFormat="false" ht="17.15" hidden="false" customHeight="false" outlineLevel="0" collapsed="false">
      <c r="A579" s="5" t="s">
        <v>636</v>
      </c>
      <c r="B579" s="0" t="s">
        <v>229</v>
      </c>
      <c r="D579" s="21" t="n">
        <f aca="false">D577*(1+(1-abs_mem)*hs_26*(D578-1))</f>
        <v>15.153372352</v>
      </c>
      <c r="E579" s="21" t="n">
        <f aca="false">E577*(1+(1-abs_mem)*hs_26*(E578-1))</f>
        <v>32.829624704</v>
      </c>
      <c r="F579" s="21" t="n">
        <f aca="false">F577*(1+(1-abs_mem)*hs_26*(F578-1))</f>
        <v>44.5296969386667</v>
      </c>
      <c r="G579" s="21" t="n">
        <f aca="false">G577*(1+(1-abs_mem)*hs_26*(G578-1))</f>
        <v>50.7304349994667</v>
      </c>
    </row>
    <row r="580" customFormat="false" ht="17.15" hidden="false" customHeight="false" outlineLevel="0" collapsed="false">
      <c r="A580" s="5" t="s">
        <v>637</v>
      </c>
      <c r="B580" s="0" t="s">
        <v>229</v>
      </c>
      <c r="D580" s="21" t="n">
        <f aca="false">D577*((1-gm_gpu)+hs_26*(D578-1))</f>
        <v>7.576686176</v>
      </c>
      <c r="E580" s="21" t="n">
        <f aca="false">E577*((1-gm_gpu)+hs_26*(E578-1))</f>
        <v>20.199132352</v>
      </c>
      <c r="F580" s="21" t="n">
        <f aca="false">F577*((1-gm_gpu)+hs_26*(F578-1))</f>
        <v>28.4459044693333</v>
      </c>
      <c r="G580" s="21" t="n">
        <f aca="false">G577*((1-gm_gpu)+hs_26*(G578-1))</f>
        <v>31.7553571797333</v>
      </c>
      <c r="H580" s="5" t="s">
        <v>638</v>
      </c>
    </row>
    <row r="581" customFormat="false" ht="17.15" hidden="false" customHeight="false" outlineLevel="0" collapsed="false">
      <c r="A581" s="5" t="s">
        <v>639</v>
      </c>
      <c r="B581" s="0" t="s">
        <v>40</v>
      </c>
      <c r="D581" s="17" t="n">
        <f aca="false">1-D580/D579</f>
        <v>0.5</v>
      </c>
      <c r="E581" s="17" t="n">
        <f aca="false">1-E580/E579</f>
        <v>0.38472850256071</v>
      </c>
      <c r="F581" s="17" t="n">
        <f aca="false">1-F580/F579</f>
        <v>0.361192497929785</v>
      </c>
      <c r="G581" s="17" t="n">
        <f aca="false">1-G580/G579</f>
        <v>0.374037356863445</v>
      </c>
    </row>
    <row r="582" customFormat="false" ht="17.15" hidden="false" customHeight="false" outlineLevel="0" collapsed="false">
      <c r="A582" s="5" t="s">
        <v>640</v>
      </c>
      <c r="B582" s="0" t="s">
        <v>229</v>
      </c>
      <c r="D582" s="21" t="n">
        <f aca="false">a26_dcx</f>
        <v>15.698097648</v>
      </c>
      <c r="E582" s="21" t="n">
        <f aca="false">D582*(1+g_cpu27)</f>
        <v>23.547146472</v>
      </c>
      <c r="F582" s="21" t="n">
        <f aca="false">E582*(1+g_cpu28)</f>
        <v>29.43393309</v>
      </c>
      <c r="G582" s="21" t="n">
        <f aca="false">F582*(1+g_cpu29)</f>
        <v>33.8490230535</v>
      </c>
    </row>
    <row r="583" customFormat="false" ht="15" hidden="false" customHeight="false" outlineLevel="0" collapsed="false">
      <c r="A583" s="0" t="s">
        <v>524</v>
      </c>
      <c r="B583" s="0" t="s">
        <v>229</v>
      </c>
      <c r="D583" s="21" t="n">
        <f aca="false">a26_cli</f>
        <v>12.037318</v>
      </c>
      <c r="E583" s="21" t="n">
        <f aca="false">D583*(1+g_cli)</f>
        <v>12.39843754</v>
      </c>
      <c r="F583" s="21" t="n">
        <f aca="false">E583*(1+g_cli)</f>
        <v>12.7703906662</v>
      </c>
      <c r="G583" s="21" t="n">
        <f aca="false">F583*(1+g_cli)</f>
        <v>13.153502386186</v>
      </c>
    </row>
    <row r="584" customFormat="false" ht="15" hidden="false" customHeight="false" outlineLevel="0" collapsed="false">
      <c r="A584" s="0" t="s">
        <v>526</v>
      </c>
      <c r="B584" s="0" t="s">
        <v>229</v>
      </c>
      <c r="D584" s="21" t="n">
        <f aca="false">a26_gam</f>
        <v>2.68308</v>
      </c>
      <c r="E584" s="21" t="n">
        <f aca="false">D584*(1+g_gam)</f>
        <v>2.414772</v>
      </c>
      <c r="F584" s="21" t="n">
        <f aca="false">E584*(1+g_gam)</f>
        <v>2.1732948</v>
      </c>
      <c r="G584" s="21" t="n">
        <f aca="false">F584*(1+g_gam)</f>
        <v>1.95596532</v>
      </c>
    </row>
    <row r="585" customFormat="false" ht="15" hidden="false" customHeight="false" outlineLevel="0" collapsed="false">
      <c r="A585" s="0" t="s">
        <v>527</v>
      </c>
      <c r="B585" s="0" t="s">
        <v>229</v>
      </c>
      <c r="D585" s="21" t="n">
        <f aca="false">a26_emb</f>
        <v>4.0713072</v>
      </c>
      <c r="E585" s="21" t="n">
        <f aca="false">D585*(1+g_emb)</f>
        <v>4.47843792</v>
      </c>
      <c r="F585" s="21" t="n">
        <f aca="false">E585*(1+g_emb)</f>
        <v>4.926281712</v>
      </c>
      <c r="G585" s="21" t="n">
        <f aca="false">F585*(1+g_emb)</f>
        <v>5.4189098832</v>
      </c>
    </row>
    <row r="586" customFormat="false" ht="17.15" hidden="false" customHeight="false" outlineLevel="0" collapsed="false">
      <c r="A586" s="5" t="s">
        <v>641</v>
      </c>
      <c r="B586" s="0" t="s">
        <v>229</v>
      </c>
      <c r="D586" s="21" t="n">
        <f aca="false">D582+D583+D584+D585</f>
        <v>34.489802848</v>
      </c>
      <c r="E586" s="21" t="n">
        <f aca="false">E582+E583+E584+E585</f>
        <v>42.838793932</v>
      </c>
      <c r="F586" s="21" t="n">
        <f aca="false">F582+F583+F584+F585</f>
        <v>49.3039002682</v>
      </c>
      <c r="G586" s="21" t="n">
        <f aca="false">G582+G583+G584+G585</f>
        <v>54.377400642886</v>
      </c>
    </row>
    <row r="587" customFormat="false" ht="17.15" hidden="false" customHeight="false" outlineLevel="0" collapsed="false">
      <c r="A587" s="5" t="s">
        <v>642</v>
      </c>
      <c r="B587" s="0" t="s">
        <v>40</v>
      </c>
      <c r="D587" s="17" t="n">
        <f aca="false">(a26_gp-(D579-D580))/D586</f>
        <v>0.583371878020658</v>
      </c>
      <c r="E587" s="17" t="n">
        <f aca="false">$D587</f>
        <v>0.583371878020658</v>
      </c>
      <c r="F587" s="17" t="n">
        <f aca="false">$D587</f>
        <v>0.583371878020658</v>
      </c>
      <c r="G587" s="17" t="n">
        <f aca="false">$D587</f>
        <v>0.583371878020658</v>
      </c>
      <c r="H587" s="8" t="s">
        <v>643</v>
      </c>
    </row>
    <row r="588" customFormat="false" ht="17.15" hidden="false" customHeight="false" outlineLevel="0" collapsed="false">
      <c r="A588" s="5" t="s">
        <v>644</v>
      </c>
      <c r="B588" s="0" t="s">
        <v>229</v>
      </c>
      <c r="D588" s="21" t="n">
        <f aca="false">(1-D587)*D586</f>
        <v>14.369421788</v>
      </c>
      <c r="E588" s="21" t="n">
        <f aca="false">(1-E587)*E586</f>
        <v>17.8478462637492</v>
      </c>
      <c r="F588" s="21" t="n">
        <f aca="false">(1-F587)*F586</f>
        <v>20.5413913749969</v>
      </c>
      <c r="G588" s="21" t="n">
        <f aca="false">(1-G587)*G586</f>
        <v>22.6551543079639</v>
      </c>
    </row>
    <row r="589" customFormat="false" ht="15" hidden="false" customHeight="false" outlineLevel="0" collapsed="false">
      <c r="A589" s="5" t="s">
        <v>645</v>
      </c>
      <c r="B589" s="0" t="s">
        <v>229</v>
      </c>
      <c r="D589" s="21" t="n">
        <f aca="false">D579+D586</f>
        <v>49.6431752</v>
      </c>
      <c r="E589" s="21" t="n">
        <f aca="false">E579+E586</f>
        <v>75.668418636</v>
      </c>
      <c r="F589" s="21" t="n">
        <f aca="false">F579+F586</f>
        <v>93.8335972068667</v>
      </c>
      <c r="G589" s="21" t="n">
        <f aca="false">G579+G586</f>
        <v>105.107835642353</v>
      </c>
    </row>
    <row r="590" customFormat="false" ht="15" hidden="false" customHeight="false" outlineLevel="0" collapsed="false">
      <c r="A590" s="5" t="s">
        <v>646</v>
      </c>
      <c r="B590" s="0" t="s">
        <v>229</v>
      </c>
      <c r="D590" s="21" t="n">
        <f aca="false">D580+D588</f>
        <v>21.946107964</v>
      </c>
      <c r="E590" s="21" t="n">
        <f aca="false">E580+E588</f>
        <v>38.0469786157492</v>
      </c>
      <c r="F590" s="21" t="n">
        <f aca="false">F580+F588</f>
        <v>48.9872958443303</v>
      </c>
      <c r="G590" s="21" t="n">
        <f aca="false">G580+G588</f>
        <v>54.4105114876972</v>
      </c>
    </row>
    <row r="591" customFormat="false" ht="17.15" hidden="false" customHeight="false" outlineLevel="0" collapsed="false">
      <c r="A591" s="5" t="s">
        <v>647</v>
      </c>
      <c r="B591" s="0" t="s">
        <v>40</v>
      </c>
      <c r="D591" s="17" t="n">
        <f aca="false">1-D590/D589</f>
        <v>0.557922959690137</v>
      </c>
      <c r="E591" s="17" t="n">
        <f aca="false">1-E590/E589</f>
        <v>0.497188136060135</v>
      </c>
      <c r="F591" s="17" t="n">
        <f aca="false">1-F590/F589</f>
        <v>0.477934372095612</v>
      </c>
      <c r="G591" s="17" t="n">
        <f aca="false">1-G590/G589</f>
        <v>0.482336296288716</v>
      </c>
      <c r="H591" s="8" t="s">
        <v>648</v>
      </c>
    </row>
    <row r="592" customFormat="false" ht="17.15" hidden="false" customHeight="false" outlineLevel="0" collapsed="false">
      <c r="A592" s="1" t="s">
        <v>649</v>
      </c>
    </row>
    <row r="593" customFormat="false" ht="15" hidden="false" customHeight="false" outlineLevel="0" collapsed="false">
      <c r="A593" s="5" t="s">
        <v>510</v>
      </c>
      <c r="B593" s="0" t="s">
        <v>229</v>
      </c>
      <c r="C593" s="21" t="n">
        <f aca="false">a25_rev</f>
        <v>34.639</v>
      </c>
      <c r="D593" s="21" t="n">
        <f aca="false">a26_rev</f>
        <v>49.6431752</v>
      </c>
      <c r="E593" s="21" t="n">
        <f aca="false">E589</f>
        <v>75.668418636</v>
      </c>
      <c r="F593" s="21" t="n">
        <f aca="false">F589</f>
        <v>93.8335972068667</v>
      </c>
      <c r="G593" s="21" t="n">
        <f aca="false">G589</f>
        <v>105.107835642353</v>
      </c>
    </row>
    <row r="594" customFormat="false" ht="15" hidden="false" customHeight="false" outlineLevel="0" collapsed="false">
      <c r="A594" s="0" t="s">
        <v>610</v>
      </c>
      <c r="B594" s="0" t="s">
        <v>229</v>
      </c>
      <c r="C594" s="21" t="n">
        <f aca="false">a25_dc</f>
        <v>16.635</v>
      </c>
      <c r="D594" s="21" t="n">
        <f aca="false">a26_dc</f>
        <v>30.85147</v>
      </c>
      <c r="E594" s="21" t="n">
        <f aca="false">E579+E582</f>
        <v>56.376771176</v>
      </c>
      <c r="F594" s="21" t="n">
        <f aca="false">F579+F582</f>
        <v>73.9636300286667</v>
      </c>
      <c r="G594" s="21" t="n">
        <f aca="false">G579+G582</f>
        <v>84.5794580529667</v>
      </c>
    </row>
    <row r="595" customFormat="false" ht="17.15" hidden="false" customHeight="false" outlineLevel="0" collapsed="false">
      <c r="A595" s="5" t="s">
        <v>611</v>
      </c>
      <c r="B595" s="0" t="s">
        <v>229</v>
      </c>
      <c r="C595" s="21" t="n">
        <f aca="false">a25_gpu</f>
        <v>6.5</v>
      </c>
      <c r="D595" s="21" t="n">
        <f aca="false">a26_gpu</f>
        <v>15.153372352</v>
      </c>
      <c r="E595" s="21" t="n">
        <f aca="false">E579</f>
        <v>32.829624704</v>
      </c>
      <c r="F595" s="21" t="n">
        <f aca="false">F579</f>
        <v>44.5296969386667</v>
      </c>
      <c r="G595" s="21" t="n">
        <f aca="false">G579</f>
        <v>50.7304349994667</v>
      </c>
    </row>
    <row r="596" customFormat="false" ht="17.15" hidden="false" customHeight="false" outlineLevel="0" collapsed="false">
      <c r="A596" s="5" t="s">
        <v>650</v>
      </c>
      <c r="B596" s="0" t="s">
        <v>229</v>
      </c>
      <c r="C596" s="21" t="n">
        <f aca="false">a25_dcx</f>
        <v>10.135</v>
      </c>
      <c r="D596" s="21" t="n">
        <f aca="false">a26_dcx</f>
        <v>15.698097648</v>
      </c>
      <c r="E596" s="21" t="n">
        <f aca="false">E582</f>
        <v>23.547146472</v>
      </c>
      <c r="F596" s="21" t="n">
        <f aca="false">F582</f>
        <v>29.43393309</v>
      </c>
      <c r="G596" s="21" t="n">
        <f aca="false">G582</f>
        <v>33.8490230535</v>
      </c>
    </row>
    <row r="597" customFormat="false" ht="17.15" hidden="false" customHeight="false" outlineLevel="0" collapsed="false">
      <c r="A597" s="0" t="s">
        <v>613</v>
      </c>
      <c r="B597" s="0" t="s">
        <v>229</v>
      </c>
      <c r="C597" s="21" t="n">
        <f aca="false">a25_cli+a25_gam</f>
        <v>14.55</v>
      </c>
      <c r="D597" s="21" t="n">
        <f aca="false">a26_cli+a26_gam</f>
        <v>14.720398</v>
      </c>
      <c r="E597" s="21" t="n">
        <f aca="false">E583+E584</f>
        <v>14.81320954</v>
      </c>
      <c r="F597" s="21" t="n">
        <f aca="false">F583+F584</f>
        <v>14.9436854662</v>
      </c>
      <c r="G597" s="21" t="n">
        <f aca="false">G583+G584</f>
        <v>15.109467706186</v>
      </c>
    </row>
    <row r="598" customFormat="false" ht="15" hidden="false" customHeight="false" outlineLevel="0" collapsed="false">
      <c r="A598" s="0" t="s">
        <v>614</v>
      </c>
      <c r="B598" s="0" t="s">
        <v>229</v>
      </c>
      <c r="C598" s="21" t="n">
        <f aca="false">a25_emb</f>
        <v>3.454</v>
      </c>
      <c r="D598" s="21" t="n">
        <f aca="false">a26_emb</f>
        <v>4.0713072</v>
      </c>
      <c r="E598" s="21" t="n">
        <f aca="false">E585</f>
        <v>4.47843792</v>
      </c>
      <c r="F598" s="21" t="n">
        <f aca="false">F585</f>
        <v>4.926281712</v>
      </c>
      <c r="G598" s="21" t="n">
        <f aca="false">G585</f>
        <v>5.4189098832</v>
      </c>
    </row>
    <row r="599" customFormat="false" ht="15" hidden="false" customHeight="false" outlineLevel="0" collapsed="false">
      <c r="A599" s="5" t="s">
        <v>651</v>
      </c>
      <c r="B599" s="0" t="s">
        <v>40</v>
      </c>
      <c r="D599" s="17" t="n">
        <f aca="false">D593/C593-1</f>
        <v>0.433158439908774</v>
      </c>
      <c r="E599" s="17" t="n">
        <f aca="false">E593/D593-1</f>
        <v>0.524246149267261</v>
      </c>
      <c r="F599" s="17" t="n">
        <f aca="false">F593/E593-1</f>
        <v>0.240062880899488</v>
      </c>
      <c r="G599" s="17" t="n">
        <f aca="false">G593/F593-1</f>
        <v>0.120151403879686</v>
      </c>
    </row>
    <row r="600" customFormat="false" ht="17.15" hidden="false" customHeight="false" outlineLevel="0" collapsed="false">
      <c r="A600" s="5" t="s">
        <v>529</v>
      </c>
      <c r="B600" s="0" t="s">
        <v>229</v>
      </c>
      <c r="C600" s="21" t="n">
        <f aca="false">a25_gp</f>
        <v>18.165</v>
      </c>
      <c r="D600" s="21" t="n">
        <f aca="false">a26_gp</f>
        <v>27.697067236</v>
      </c>
      <c r="E600" s="21" t="n">
        <f aca="false">E593-E590</f>
        <v>37.6214400202508</v>
      </c>
      <c r="F600" s="21" t="n">
        <f aca="false">F593-F590</f>
        <v>44.8463013625364</v>
      </c>
      <c r="G600" s="21" t="n">
        <f aca="false">G593-G590</f>
        <v>50.6973241546555</v>
      </c>
    </row>
    <row r="601" customFormat="false" ht="15" hidden="false" customHeight="false" outlineLevel="0" collapsed="false">
      <c r="A601" s="5" t="s">
        <v>615</v>
      </c>
      <c r="B601" s="0" t="s">
        <v>40</v>
      </c>
      <c r="C601" s="17" t="n">
        <f aca="false">C600/C593</f>
        <v>0.524408903259332</v>
      </c>
      <c r="D601" s="17" t="n">
        <f aca="false">D600/D593</f>
        <v>0.557922959690137</v>
      </c>
      <c r="E601" s="17" t="n">
        <f aca="false">E600/E593</f>
        <v>0.497188136060135</v>
      </c>
      <c r="F601" s="17" t="n">
        <f aca="false">F600/F593</f>
        <v>0.477934372095612</v>
      </c>
      <c r="G601" s="17" t="n">
        <f aca="false">G600/G593</f>
        <v>0.482336296288716</v>
      </c>
    </row>
    <row r="602" customFormat="false" ht="17.15" hidden="false" customHeight="false" outlineLevel="0" collapsed="false">
      <c r="A602" s="5" t="s">
        <v>652</v>
      </c>
      <c r="B602" s="0" t="s">
        <v>229</v>
      </c>
      <c r="C602" s="21" t="n">
        <f aca="false">a25_opx</f>
        <v>10.397</v>
      </c>
      <c r="D602" s="21" t="n">
        <f aca="false">a26_opx</f>
        <v>14.0215</v>
      </c>
      <c r="E602" s="21" t="n">
        <f aca="false">D602*(1+MAX(g_opx_min,phi*E599))</f>
        <v>19.9374297020239</v>
      </c>
      <c r="F602" s="21" t="n">
        <f aca="false">E602*(1+MAX(g_opx_min,phi*F599))</f>
        <v>23.7894401991966</v>
      </c>
      <c r="G602" s="21" t="n">
        <f aca="false">F602*(1+MAX(g_opx_min,phi*G599))</f>
        <v>26.0898560499688</v>
      </c>
      <c r="H602" s="5" t="s">
        <v>653</v>
      </c>
    </row>
    <row r="603" customFormat="false" ht="15" hidden="false" customHeight="false" outlineLevel="0" collapsed="false">
      <c r="A603" s="5" t="s">
        <v>654</v>
      </c>
      <c r="B603" s="0" t="s">
        <v>229</v>
      </c>
      <c r="C603" s="21" t="n">
        <f aca="false">C602</f>
        <v>10.397</v>
      </c>
      <c r="D603" s="21" t="n">
        <f aca="false">D602</f>
        <v>14.0215</v>
      </c>
      <c r="E603" s="21" t="n">
        <f aca="false">E602+opx_adj_hi*E593</f>
        <v>21.4507980747439</v>
      </c>
      <c r="F603" s="21" t="n">
        <f aca="false">F602+opx_adj_hi*F593</f>
        <v>25.6661121433339</v>
      </c>
      <c r="G603" s="21" t="n">
        <f aca="false">G602+opx_adj_hi*G593</f>
        <v>28.1920127628158</v>
      </c>
    </row>
    <row r="604" customFormat="false" ht="15" hidden="false" customHeight="false" outlineLevel="0" collapsed="false">
      <c r="A604" s="5" t="s">
        <v>616</v>
      </c>
      <c r="B604" s="0" t="s">
        <v>229</v>
      </c>
      <c r="C604" s="21" t="n">
        <f aca="false">C600-C603</f>
        <v>7.768</v>
      </c>
      <c r="D604" s="21" t="n">
        <f aca="false">D600-D603</f>
        <v>13.675567236</v>
      </c>
      <c r="E604" s="21" t="n">
        <f aca="false">E600-E603</f>
        <v>16.1706419455069</v>
      </c>
      <c r="F604" s="21" t="n">
        <f aca="false">F600-F603</f>
        <v>19.1801892192025</v>
      </c>
      <c r="G604" s="21" t="n">
        <f aca="false">G600-G603</f>
        <v>22.5053113918396</v>
      </c>
    </row>
    <row r="605" customFormat="false" ht="15" hidden="false" customHeight="false" outlineLevel="0" collapsed="false">
      <c r="A605" s="5" t="s">
        <v>617</v>
      </c>
      <c r="B605" s="0" t="s">
        <v>40</v>
      </c>
      <c r="C605" s="17" t="n">
        <f aca="false">C604/C593</f>
        <v>0.22425589653281</v>
      </c>
      <c r="D605" s="17" t="n">
        <f aca="false">D604/D593</f>
        <v>0.275477287278756</v>
      </c>
      <c r="E605" s="17" t="n">
        <f aca="false">E604/E593</f>
        <v>0.213703976335162</v>
      </c>
      <c r="F605" s="17" t="n">
        <f aca="false">F604/F593</f>
        <v>0.204406415080918</v>
      </c>
      <c r="G605" s="17" t="n">
        <f aca="false">G604/G593</f>
        <v>0.214116400117093</v>
      </c>
    </row>
    <row r="606" customFormat="false" ht="17.15" hidden="false" customHeight="false" outlineLevel="0" collapsed="false">
      <c r="A606" s="5" t="s">
        <v>655</v>
      </c>
      <c r="B606" s="0" t="s">
        <v>229</v>
      </c>
      <c r="C606" s="9" t="n">
        <f aca="false">a25_oth</f>
        <v>0.081</v>
      </c>
      <c r="D606" s="9" t="n">
        <f aca="false">a26_oth</f>
        <v>0.25</v>
      </c>
      <c r="E606" s="9" t="n">
        <f aca="false">oth_f</f>
        <v>0.2</v>
      </c>
      <c r="F606" s="9" t="n">
        <f aca="false">oth_f</f>
        <v>0.2</v>
      </c>
      <c r="G606" s="9" t="n">
        <f aca="false">oth_f</f>
        <v>0.2</v>
      </c>
    </row>
    <row r="607" customFormat="false" ht="15" hidden="false" customHeight="false" outlineLevel="0" collapsed="false">
      <c r="A607" s="5" t="s">
        <v>656</v>
      </c>
      <c r="B607" s="0" t="s">
        <v>40</v>
      </c>
      <c r="C607" s="17" t="n">
        <f aca="false">a25_etr</f>
        <v>0.129698050707096</v>
      </c>
      <c r="D607" s="17" t="n">
        <f aca="false">a26_etr</f>
        <v>0.129883667216384</v>
      </c>
      <c r="E607" s="17" t="n">
        <f aca="false">tx_f</f>
        <v>0.13</v>
      </c>
      <c r="F607" s="17" t="n">
        <f aca="false">tx_f</f>
        <v>0.13</v>
      </c>
      <c r="G607" s="17" t="n">
        <f aca="false">tx_f</f>
        <v>0.13</v>
      </c>
    </row>
    <row r="608" customFormat="false" ht="17.15" hidden="false" customHeight="false" outlineLevel="0" collapsed="false">
      <c r="A608" s="5" t="s">
        <v>547</v>
      </c>
      <c r="B608" s="0" t="s">
        <v>229</v>
      </c>
      <c r="C608" s="21" t="n">
        <f aca="false">a25_ni</f>
        <v>6.831</v>
      </c>
      <c r="D608" s="21" t="n">
        <f aca="false">a26_ni</f>
        <v>12.11686349532</v>
      </c>
      <c r="E608" s="21" t="n">
        <f aca="false">(E604+E606)*(1-E607)</f>
        <v>14.242458492591</v>
      </c>
      <c r="F608" s="21" t="n">
        <f aca="false">(F604+F606)*(1-F607)</f>
        <v>16.8607646207061</v>
      </c>
      <c r="G608" s="21" t="n">
        <f aca="false">(G604+G606)*(1-G607)</f>
        <v>19.7536209109005</v>
      </c>
    </row>
    <row r="609" customFormat="false" ht="15" hidden="false" customHeight="false" outlineLevel="0" collapsed="false">
      <c r="A609" s="5" t="s">
        <v>657</v>
      </c>
      <c r="B609" s="5" t="s">
        <v>309</v>
      </c>
      <c r="C609" s="16" t="n">
        <f aca="false">a25_sh</f>
        <v>1.636</v>
      </c>
      <c r="D609" s="16" t="n">
        <f aca="false">a26_sh</f>
        <v>1.6585805</v>
      </c>
      <c r="E609" s="16" t="n">
        <f aca="false">D609*(1+sh_g)</f>
        <v>1.675166305</v>
      </c>
      <c r="F609" s="16" t="n">
        <f aca="false">E609*(1+sh_g)</f>
        <v>1.69191796805</v>
      </c>
      <c r="G609" s="16" t="n">
        <f aca="false">F609*(1+sh_g)</f>
        <v>1.7088371477305</v>
      </c>
    </row>
    <row r="610" customFormat="false" ht="17.15" hidden="false" customHeight="false" outlineLevel="0" collapsed="false">
      <c r="A610" s="5" t="s">
        <v>658</v>
      </c>
      <c r="B610" s="5" t="s">
        <v>309</v>
      </c>
      <c r="C610" s="16" t="n">
        <f aca="false">0</f>
        <v>0</v>
      </c>
      <c r="D610" s="16" t="n">
        <f aca="false">0</f>
        <v>0</v>
      </c>
      <c r="E610" s="16" t="n">
        <f aca="false">w_tot/w_gw*(gw_26+gw_27)/2*wf</f>
        <v>0.0266666666666667</v>
      </c>
      <c r="F610" s="16" t="n">
        <f aca="false">w_tot/w_gw*(gw_27+gw_28*um28_A)/2*wf</f>
        <v>0.08</v>
      </c>
      <c r="G610" s="16" t="n">
        <f aca="false">w_tot/w_gw*(gw_28*um28_A+gw_29*um29_A)/2*wf</f>
        <v>0.133333333333333</v>
      </c>
      <c r="H610" s="8" t="s">
        <v>659</v>
      </c>
    </row>
    <row r="611" customFormat="false" ht="15" hidden="false" customHeight="false" outlineLevel="0" collapsed="false">
      <c r="A611" s="5" t="s">
        <v>618</v>
      </c>
      <c r="B611" s="5" t="s">
        <v>309</v>
      </c>
      <c r="C611" s="16" t="n">
        <f aca="false">C609+C610</f>
        <v>1.636</v>
      </c>
      <c r="D611" s="16" t="n">
        <f aca="false">D609+D610</f>
        <v>1.6585805</v>
      </c>
      <c r="E611" s="16" t="n">
        <f aca="false">E609+E610</f>
        <v>1.70183297166667</v>
      </c>
      <c r="F611" s="16" t="n">
        <f aca="false">F609+F610</f>
        <v>1.77191796805</v>
      </c>
      <c r="G611" s="16" t="n">
        <f aca="false">G609+G610</f>
        <v>1.84217048106383</v>
      </c>
    </row>
    <row r="612" customFormat="false" ht="17.15" hidden="false" customHeight="false" outlineLevel="0" collapsed="false">
      <c r="A612" s="0" t="s">
        <v>619</v>
      </c>
      <c r="B612" s="0" t="s">
        <v>396</v>
      </c>
      <c r="C612" s="9" t="n">
        <f aca="false">C608/C611</f>
        <v>4.17542787286064</v>
      </c>
      <c r="D612" s="9" t="n">
        <f aca="false">D608/D611</f>
        <v>7.30556249474777</v>
      </c>
      <c r="E612" s="9" t="n">
        <f aca="false">E608/E611</f>
        <v>8.36889326373953</v>
      </c>
      <c r="F612" s="9" t="n">
        <f aca="false">F608/F611</f>
        <v>9.51554469491691</v>
      </c>
      <c r="G612" s="9" t="n">
        <f aca="false">G608/G611</f>
        <v>10.7230145711015</v>
      </c>
    </row>
    <row r="613" customFormat="false" ht="17.15" hidden="false" customHeight="false" outlineLevel="0" collapsed="false">
      <c r="A613" s="0" t="s">
        <v>660</v>
      </c>
      <c r="B613" s="0" t="s">
        <v>40</v>
      </c>
      <c r="D613" s="17" t="n">
        <f aca="false">D612/C612-1</f>
        <v>0.749656015430735</v>
      </c>
      <c r="E613" s="17" t="n">
        <f aca="false">E612/D612-1</f>
        <v>0.145550841534273</v>
      </c>
      <c r="F613" s="17" t="n">
        <f aca="false">F612/E612-1</f>
        <v>0.137013508840596</v>
      </c>
      <c r="G613" s="17" t="n">
        <f aca="false">G612/F612-1</f>
        <v>0.126894456901618</v>
      </c>
    </row>
    <row r="616" customFormat="false" ht="17.15" hidden="false" customHeight="false" outlineLevel="0" collapsed="false">
      <c r="A616" s="3" t="s">
        <v>1002</v>
      </c>
    </row>
    <row r="617" customFormat="false" ht="15" hidden="false" customHeight="false" outlineLevel="0" collapsed="false">
      <c r="A617" s="6" t="s">
        <v>18</v>
      </c>
      <c r="B617" s="6" t="s">
        <v>19</v>
      </c>
      <c r="C617" s="13" t="s">
        <v>603</v>
      </c>
      <c r="D617" s="13" t="s">
        <v>604</v>
      </c>
      <c r="E617" s="13" t="s">
        <v>605</v>
      </c>
      <c r="F617" s="13" t="s">
        <v>606</v>
      </c>
      <c r="G617" s="13" t="s">
        <v>607</v>
      </c>
      <c r="H617" s="6" t="s">
        <v>572</v>
      </c>
    </row>
    <row r="618" customFormat="false" ht="17.15" hidden="false" customHeight="false" outlineLevel="0" collapsed="false">
      <c r="A618" s="1" t="s">
        <v>627</v>
      </c>
    </row>
    <row r="619" customFormat="false" ht="17.15" hidden="false" customHeight="false" outlineLevel="0" collapsed="false">
      <c r="A619" s="0" t="s">
        <v>628</v>
      </c>
      <c r="B619" s="0" t="s">
        <v>125</v>
      </c>
      <c r="D619" s="16" t="n">
        <f aca="false">k_rec</f>
        <v>0.673483215644445</v>
      </c>
      <c r="E619" s="16" t="n">
        <f aca="false">k_rec*1</f>
        <v>0.673483215644445</v>
      </c>
      <c r="F619" s="16" t="n">
        <f aca="false">k_rec*1</f>
        <v>0.673483215644445</v>
      </c>
      <c r="G619" s="16" t="n">
        <f aca="false">k_rec*1</f>
        <v>0.673483215644445</v>
      </c>
    </row>
    <row r="620" customFormat="false" ht="17.15" hidden="false" customHeight="false" outlineLevel="0" collapsed="false">
      <c r="A620" s="5" t="s">
        <v>629</v>
      </c>
      <c r="B620" s="0" t="s">
        <v>229</v>
      </c>
      <c r="D620" s="21" t="n">
        <f aca="false">Units!C24</f>
        <v>419.36</v>
      </c>
      <c r="E620" s="21" t="n">
        <f aca="false">Units!D24</f>
        <v>671.46</v>
      </c>
      <c r="F620" s="21" t="n">
        <f aca="false">Units!E24</f>
        <v>763.2</v>
      </c>
      <c r="G620" s="21" t="n">
        <f aca="false">Units!F24</f>
        <v>864.55</v>
      </c>
    </row>
    <row r="621" customFormat="false" ht="17.15" hidden="false" customHeight="false" outlineLevel="0" collapsed="false">
      <c r="A621" s="0" t="s">
        <v>630</v>
      </c>
      <c r="B621" s="0" t="s">
        <v>40</v>
      </c>
      <c r="D621" s="17" t="n">
        <f aca="false">Units!C33</f>
        <v>0.0536531858069439</v>
      </c>
      <c r="E621" s="17" t="n">
        <f aca="false">Units!D33</f>
        <v>0.0670181395764454</v>
      </c>
      <c r="F621" s="17" t="n">
        <f aca="false">Units!E33</f>
        <v>0.0786163522012579</v>
      </c>
      <c r="G621" s="17" t="n">
        <f aca="false">Units!F33</f>
        <v>0.0798103059395061</v>
      </c>
    </row>
    <row r="622" customFormat="false" ht="17.15" hidden="false" customHeight="false" outlineLevel="0" collapsed="false">
      <c r="A622" s="0" t="s">
        <v>631</v>
      </c>
      <c r="B622" s="5" t="s">
        <v>29</v>
      </c>
      <c r="D622" s="9" t="n">
        <f aca="false">Units!C10</f>
        <v>0.75</v>
      </c>
      <c r="E622" s="9" t="n">
        <f aca="false">Units!D10</f>
        <v>1.5</v>
      </c>
      <c r="F622" s="9" t="n">
        <f aca="false">Units!E10</f>
        <v>2</v>
      </c>
      <c r="G622" s="9" t="n">
        <f aca="false">Units!F10</f>
        <v>2.3</v>
      </c>
    </row>
    <row r="623" customFormat="false" ht="17.15" hidden="false" customHeight="false" outlineLevel="0" collapsed="false">
      <c r="A623" s="0" t="s">
        <v>632</v>
      </c>
      <c r="B623" s="5" t="s">
        <v>29</v>
      </c>
      <c r="D623" s="9" t="n">
        <f aca="false">D622*D619</f>
        <v>0.505112411733333</v>
      </c>
      <c r="E623" s="9" t="n">
        <f aca="false">E622*E619</f>
        <v>1.01022482346667</v>
      </c>
      <c r="F623" s="9" t="n">
        <f aca="false">F622*F619</f>
        <v>1.34696643128889</v>
      </c>
      <c r="G623" s="9" t="n">
        <f aca="false">G622*G619</f>
        <v>1.54901139598222</v>
      </c>
    </row>
    <row r="624" customFormat="false" ht="17.15" hidden="false" customHeight="false" outlineLevel="0" collapsed="false">
      <c r="A624" s="5" t="s">
        <v>633</v>
      </c>
      <c r="B624" s="0" t="s">
        <v>125</v>
      </c>
      <c r="D624" s="16" t="n">
        <f aca="false">1</f>
        <v>1</v>
      </c>
      <c r="E624" s="16" t="n">
        <f aca="false">pg_27</f>
        <v>1</v>
      </c>
      <c r="F624" s="16" t="n">
        <f aca="false">pg_28</f>
        <v>1</v>
      </c>
      <c r="G624" s="16" t="n">
        <f aca="false">pg_29</f>
        <v>1</v>
      </c>
    </row>
    <row r="625" customFormat="false" ht="17.15" hidden="false" customHeight="false" outlineLevel="0" collapsed="false">
      <c r="A625" s="0" t="s">
        <v>634</v>
      </c>
      <c r="B625" s="0" t="s">
        <v>229</v>
      </c>
      <c r="D625" s="21" t="n">
        <f aca="false">D620*D621*D619*D624</f>
        <v>15.153372352</v>
      </c>
      <c r="E625" s="21" t="n">
        <f aca="false">E620*E621*E619*E624</f>
        <v>30.306744704</v>
      </c>
      <c r="F625" s="21" t="n">
        <f aca="false">F620*F621*F619*F624</f>
        <v>40.4089929386667</v>
      </c>
      <c r="G625" s="21" t="n">
        <f aca="false">G620*G621*G619*G624</f>
        <v>46.4703418794667</v>
      </c>
    </row>
    <row r="626" customFormat="false" ht="17.15" hidden="false" customHeight="false" outlineLevel="0" collapsed="false">
      <c r="A626" s="0" t="s">
        <v>635</v>
      </c>
      <c r="B626" s="0" t="s">
        <v>125</v>
      </c>
      <c r="D626" s="16" t="n">
        <f aca="false">hbm_A_26/hbm_A_26</f>
        <v>1</v>
      </c>
      <c r="E626" s="16" t="n">
        <f aca="false">hbm_A_27/hbm_A_26</f>
        <v>1.8</v>
      </c>
      <c r="F626" s="16" t="n">
        <f aca="false">hbm_A_28/hbm_A_26</f>
        <v>1.98</v>
      </c>
      <c r="G626" s="16" t="n">
        <f aca="false">hbm_A_29/hbm_A_26</f>
        <v>1.881</v>
      </c>
    </row>
    <row r="627" customFormat="false" ht="17.15" hidden="false" customHeight="false" outlineLevel="0" collapsed="false">
      <c r="A627" s="5" t="s">
        <v>636</v>
      </c>
      <c r="B627" s="0" t="s">
        <v>229</v>
      </c>
      <c r="D627" s="21" t="n">
        <f aca="false">D625*(1+(1-abs_mem)*hs_26*(D626-1))</f>
        <v>15.153372352</v>
      </c>
      <c r="E627" s="21" t="n">
        <f aca="false">E625*(1+(1-abs_mem)*hs_26*(E626-1))</f>
        <v>32.829624704</v>
      </c>
      <c r="F627" s="21" t="n">
        <f aca="false">F625*(1+(1-abs_mem)*hs_26*(F626-1))</f>
        <v>44.5296969386667</v>
      </c>
      <c r="G627" s="21" t="n">
        <f aca="false">G625*(1+(1-abs_mem)*hs_26*(G626-1))</f>
        <v>50.7304349994667</v>
      </c>
    </row>
    <row r="628" customFormat="false" ht="17.15" hidden="false" customHeight="false" outlineLevel="0" collapsed="false">
      <c r="A628" s="5" t="s">
        <v>637</v>
      </c>
      <c r="B628" s="0" t="s">
        <v>229</v>
      </c>
      <c r="D628" s="21" t="n">
        <f aca="false">D625*((1-gm_gpu)+hs_26*(D626-1))</f>
        <v>7.576686176</v>
      </c>
      <c r="E628" s="21" t="n">
        <f aca="false">E625*((1-gm_gpu)+hs_26*(E626-1))</f>
        <v>20.199132352</v>
      </c>
      <c r="F628" s="21" t="n">
        <f aca="false">F625*((1-gm_gpu)+hs_26*(F626-1))</f>
        <v>28.4459044693333</v>
      </c>
      <c r="G628" s="21" t="n">
        <f aca="false">G625*((1-gm_gpu)+hs_26*(G626-1))</f>
        <v>31.7553571797333</v>
      </c>
      <c r="H628" s="5" t="s">
        <v>638</v>
      </c>
    </row>
    <row r="629" customFormat="false" ht="17.15" hidden="false" customHeight="false" outlineLevel="0" collapsed="false">
      <c r="A629" s="5" t="s">
        <v>639</v>
      </c>
      <c r="B629" s="0" t="s">
        <v>40</v>
      </c>
      <c r="D629" s="17" t="n">
        <f aca="false">1-D628/D627</f>
        <v>0.5</v>
      </c>
      <c r="E629" s="17" t="n">
        <f aca="false">1-E628/E627</f>
        <v>0.38472850256071</v>
      </c>
      <c r="F629" s="17" t="n">
        <f aca="false">1-F628/F627</f>
        <v>0.361192497929785</v>
      </c>
      <c r="G629" s="17" t="n">
        <f aca="false">1-G628/G627</f>
        <v>0.374037356863445</v>
      </c>
    </row>
    <row r="630" customFormat="false" ht="17.15" hidden="false" customHeight="false" outlineLevel="0" collapsed="false">
      <c r="A630" s="5" t="s">
        <v>640</v>
      </c>
      <c r="B630" s="0" t="s">
        <v>229</v>
      </c>
      <c r="D630" s="21" t="n">
        <f aca="false">a26_dcx</f>
        <v>15.698097648</v>
      </c>
      <c r="E630" s="21" t="n">
        <f aca="false">D630*(1+g_cpu27)</f>
        <v>23.547146472</v>
      </c>
      <c r="F630" s="21" t="n">
        <f aca="false">E630*(1+g_cpu28)</f>
        <v>29.43393309</v>
      </c>
      <c r="G630" s="21" t="n">
        <f aca="false">F630*(1+g_cpu29)</f>
        <v>33.8490230535</v>
      </c>
    </row>
    <row r="631" customFormat="false" ht="15" hidden="false" customHeight="false" outlineLevel="0" collapsed="false">
      <c r="A631" s="0" t="s">
        <v>524</v>
      </c>
      <c r="B631" s="0" t="s">
        <v>229</v>
      </c>
      <c r="D631" s="21" t="n">
        <f aca="false">a26_cli</f>
        <v>12.037318</v>
      </c>
      <c r="E631" s="21" t="n">
        <f aca="false">D631*(1+g_cli)</f>
        <v>12.39843754</v>
      </c>
      <c r="F631" s="21" t="n">
        <f aca="false">E631*(1+g_cli)</f>
        <v>12.7703906662</v>
      </c>
      <c r="G631" s="21" t="n">
        <f aca="false">F631*(1+g_cli)</f>
        <v>13.153502386186</v>
      </c>
    </row>
    <row r="632" customFormat="false" ht="15" hidden="false" customHeight="false" outlineLevel="0" collapsed="false">
      <c r="A632" s="0" t="s">
        <v>526</v>
      </c>
      <c r="B632" s="0" t="s">
        <v>229</v>
      </c>
      <c r="D632" s="21" t="n">
        <f aca="false">a26_gam</f>
        <v>2.68308</v>
      </c>
      <c r="E632" s="21" t="n">
        <f aca="false">D632*(1+g_gam)</f>
        <v>2.414772</v>
      </c>
      <c r="F632" s="21" t="n">
        <f aca="false">E632*(1+g_gam)</f>
        <v>2.1732948</v>
      </c>
      <c r="G632" s="21" t="n">
        <f aca="false">F632*(1+g_gam)</f>
        <v>1.95596532</v>
      </c>
    </row>
    <row r="633" customFormat="false" ht="15" hidden="false" customHeight="false" outlineLevel="0" collapsed="false">
      <c r="A633" s="0" t="s">
        <v>527</v>
      </c>
      <c r="B633" s="0" t="s">
        <v>229</v>
      </c>
      <c r="D633" s="21" t="n">
        <f aca="false">a26_emb</f>
        <v>4.0713072</v>
      </c>
      <c r="E633" s="21" t="n">
        <f aca="false">D633*(1+g_emb)</f>
        <v>4.47843792</v>
      </c>
      <c r="F633" s="21" t="n">
        <f aca="false">E633*(1+g_emb)</f>
        <v>4.926281712</v>
      </c>
      <c r="G633" s="21" t="n">
        <f aca="false">F633*(1+g_emb)</f>
        <v>5.4189098832</v>
      </c>
    </row>
    <row r="634" customFormat="false" ht="17.15" hidden="false" customHeight="false" outlineLevel="0" collapsed="false">
      <c r="A634" s="5" t="s">
        <v>641</v>
      </c>
      <c r="B634" s="0" t="s">
        <v>229</v>
      </c>
      <c r="D634" s="21" t="n">
        <f aca="false">D630+D631+D632+D633</f>
        <v>34.489802848</v>
      </c>
      <c r="E634" s="21" t="n">
        <f aca="false">E630+E631+E632+E633</f>
        <v>42.838793932</v>
      </c>
      <c r="F634" s="21" t="n">
        <f aca="false">F630+F631+F632+F633</f>
        <v>49.3039002682</v>
      </c>
      <c r="G634" s="21" t="n">
        <f aca="false">G630+G631+G632+G633</f>
        <v>54.377400642886</v>
      </c>
    </row>
    <row r="635" customFormat="false" ht="17.15" hidden="false" customHeight="false" outlineLevel="0" collapsed="false">
      <c r="A635" s="5" t="s">
        <v>642</v>
      </c>
      <c r="B635" s="0" t="s">
        <v>40</v>
      </c>
      <c r="D635" s="17" t="n">
        <f aca="false">(a26_gp-(D627-D628))/D634</f>
        <v>0.583371878020658</v>
      </c>
      <c r="E635" s="17" t="n">
        <f aca="false">$D635</f>
        <v>0.583371878020658</v>
      </c>
      <c r="F635" s="17" t="n">
        <f aca="false">$D635</f>
        <v>0.583371878020658</v>
      </c>
      <c r="G635" s="17" t="n">
        <f aca="false">$D635</f>
        <v>0.583371878020658</v>
      </c>
      <c r="H635" s="8" t="s">
        <v>643</v>
      </c>
    </row>
    <row r="636" customFormat="false" ht="17.15" hidden="false" customHeight="false" outlineLevel="0" collapsed="false">
      <c r="A636" s="5" t="s">
        <v>644</v>
      </c>
      <c r="B636" s="0" t="s">
        <v>229</v>
      </c>
      <c r="D636" s="21" t="n">
        <f aca="false">(1-D635)*D634</f>
        <v>14.369421788</v>
      </c>
      <c r="E636" s="21" t="n">
        <f aca="false">(1-E635)*E634</f>
        <v>17.8478462637492</v>
      </c>
      <c r="F636" s="21" t="n">
        <f aca="false">(1-F635)*F634</f>
        <v>20.5413913749969</v>
      </c>
      <c r="G636" s="21" t="n">
        <f aca="false">(1-G635)*G634</f>
        <v>22.6551543079639</v>
      </c>
    </row>
    <row r="637" customFormat="false" ht="15" hidden="false" customHeight="false" outlineLevel="0" collapsed="false">
      <c r="A637" s="5" t="s">
        <v>645</v>
      </c>
      <c r="B637" s="0" t="s">
        <v>229</v>
      </c>
      <c r="D637" s="21" t="n">
        <f aca="false">D627+D634</f>
        <v>49.6431752</v>
      </c>
      <c r="E637" s="21" t="n">
        <f aca="false">E627+E634</f>
        <v>75.668418636</v>
      </c>
      <c r="F637" s="21" t="n">
        <f aca="false">F627+F634</f>
        <v>93.8335972068667</v>
      </c>
      <c r="G637" s="21" t="n">
        <f aca="false">G627+G634</f>
        <v>105.107835642353</v>
      </c>
    </row>
    <row r="638" customFormat="false" ht="15" hidden="false" customHeight="false" outlineLevel="0" collapsed="false">
      <c r="A638" s="5" t="s">
        <v>646</v>
      </c>
      <c r="B638" s="0" t="s">
        <v>229</v>
      </c>
      <c r="D638" s="21" t="n">
        <f aca="false">D628+D636</f>
        <v>21.946107964</v>
      </c>
      <c r="E638" s="21" t="n">
        <f aca="false">E628+E636</f>
        <v>38.0469786157492</v>
      </c>
      <c r="F638" s="21" t="n">
        <f aca="false">F628+F636</f>
        <v>48.9872958443303</v>
      </c>
      <c r="G638" s="21" t="n">
        <f aca="false">G628+G636</f>
        <v>54.4105114876972</v>
      </c>
    </row>
    <row r="639" customFormat="false" ht="17.15" hidden="false" customHeight="false" outlineLevel="0" collapsed="false">
      <c r="A639" s="5" t="s">
        <v>647</v>
      </c>
      <c r="B639" s="0" t="s">
        <v>40</v>
      </c>
      <c r="D639" s="17" t="n">
        <f aca="false">1-D638/D637</f>
        <v>0.557922959690137</v>
      </c>
      <c r="E639" s="17" t="n">
        <f aca="false">1-E638/E637</f>
        <v>0.497188136060135</v>
      </c>
      <c r="F639" s="17" t="n">
        <f aca="false">1-F638/F637</f>
        <v>0.477934372095612</v>
      </c>
      <c r="G639" s="17" t="n">
        <f aca="false">1-G638/G637</f>
        <v>0.482336296288716</v>
      </c>
      <c r="H639" s="8" t="s">
        <v>648</v>
      </c>
    </row>
    <row r="640" customFormat="false" ht="17.15" hidden="false" customHeight="false" outlineLevel="0" collapsed="false">
      <c r="A640" s="1" t="s">
        <v>649</v>
      </c>
    </row>
    <row r="641" customFormat="false" ht="15" hidden="false" customHeight="false" outlineLevel="0" collapsed="false">
      <c r="A641" s="5" t="s">
        <v>510</v>
      </c>
      <c r="B641" s="0" t="s">
        <v>229</v>
      </c>
      <c r="C641" s="21" t="n">
        <f aca="false">a25_rev</f>
        <v>34.639</v>
      </c>
      <c r="D641" s="21" t="n">
        <f aca="false">a26_rev</f>
        <v>49.6431752</v>
      </c>
      <c r="E641" s="21" t="n">
        <f aca="false">E637</f>
        <v>75.668418636</v>
      </c>
      <c r="F641" s="21" t="n">
        <f aca="false">F637</f>
        <v>93.8335972068667</v>
      </c>
      <c r="G641" s="21" t="n">
        <f aca="false">G637</f>
        <v>105.107835642353</v>
      </c>
    </row>
    <row r="642" customFormat="false" ht="15" hidden="false" customHeight="false" outlineLevel="0" collapsed="false">
      <c r="A642" s="0" t="s">
        <v>610</v>
      </c>
      <c r="B642" s="0" t="s">
        <v>229</v>
      </c>
      <c r="C642" s="21" t="n">
        <f aca="false">a25_dc</f>
        <v>16.635</v>
      </c>
      <c r="D642" s="21" t="n">
        <f aca="false">a26_dc</f>
        <v>30.85147</v>
      </c>
      <c r="E642" s="21" t="n">
        <f aca="false">E627+E630</f>
        <v>56.376771176</v>
      </c>
      <c r="F642" s="21" t="n">
        <f aca="false">F627+F630</f>
        <v>73.9636300286667</v>
      </c>
      <c r="G642" s="21" t="n">
        <f aca="false">G627+G630</f>
        <v>84.5794580529667</v>
      </c>
    </row>
    <row r="643" customFormat="false" ht="17.15" hidden="false" customHeight="false" outlineLevel="0" collapsed="false">
      <c r="A643" s="5" t="s">
        <v>611</v>
      </c>
      <c r="B643" s="0" t="s">
        <v>229</v>
      </c>
      <c r="C643" s="21" t="n">
        <f aca="false">a25_gpu</f>
        <v>6.5</v>
      </c>
      <c r="D643" s="21" t="n">
        <f aca="false">a26_gpu</f>
        <v>15.153372352</v>
      </c>
      <c r="E643" s="21" t="n">
        <f aca="false">E627</f>
        <v>32.829624704</v>
      </c>
      <c r="F643" s="21" t="n">
        <f aca="false">F627</f>
        <v>44.5296969386667</v>
      </c>
      <c r="G643" s="21" t="n">
        <f aca="false">G627</f>
        <v>50.7304349994667</v>
      </c>
    </row>
    <row r="644" customFormat="false" ht="17.15" hidden="false" customHeight="false" outlineLevel="0" collapsed="false">
      <c r="A644" s="5" t="s">
        <v>650</v>
      </c>
      <c r="B644" s="0" t="s">
        <v>229</v>
      </c>
      <c r="C644" s="21" t="n">
        <f aca="false">a25_dcx</f>
        <v>10.135</v>
      </c>
      <c r="D644" s="21" t="n">
        <f aca="false">a26_dcx</f>
        <v>15.698097648</v>
      </c>
      <c r="E644" s="21" t="n">
        <f aca="false">E630</f>
        <v>23.547146472</v>
      </c>
      <c r="F644" s="21" t="n">
        <f aca="false">F630</f>
        <v>29.43393309</v>
      </c>
      <c r="G644" s="21" t="n">
        <f aca="false">G630</f>
        <v>33.8490230535</v>
      </c>
    </row>
    <row r="645" customFormat="false" ht="17.15" hidden="false" customHeight="false" outlineLevel="0" collapsed="false">
      <c r="A645" s="0" t="s">
        <v>613</v>
      </c>
      <c r="B645" s="0" t="s">
        <v>229</v>
      </c>
      <c r="C645" s="21" t="n">
        <f aca="false">a25_cli+a25_gam</f>
        <v>14.55</v>
      </c>
      <c r="D645" s="21" t="n">
        <f aca="false">a26_cli+a26_gam</f>
        <v>14.720398</v>
      </c>
      <c r="E645" s="21" t="n">
        <f aca="false">E631+E632</f>
        <v>14.81320954</v>
      </c>
      <c r="F645" s="21" t="n">
        <f aca="false">F631+F632</f>
        <v>14.9436854662</v>
      </c>
      <c r="G645" s="21" t="n">
        <f aca="false">G631+G632</f>
        <v>15.109467706186</v>
      </c>
    </row>
    <row r="646" customFormat="false" ht="15" hidden="false" customHeight="false" outlineLevel="0" collapsed="false">
      <c r="A646" s="0" t="s">
        <v>614</v>
      </c>
      <c r="B646" s="0" t="s">
        <v>229</v>
      </c>
      <c r="C646" s="21" t="n">
        <f aca="false">a25_emb</f>
        <v>3.454</v>
      </c>
      <c r="D646" s="21" t="n">
        <f aca="false">a26_emb</f>
        <v>4.0713072</v>
      </c>
      <c r="E646" s="21" t="n">
        <f aca="false">E633</f>
        <v>4.47843792</v>
      </c>
      <c r="F646" s="21" t="n">
        <f aca="false">F633</f>
        <v>4.926281712</v>
      </c>
      <c r="G646" s="21" t="n">
        <f aca="false">G633</f>
        <v>5.4189098832</v>
      </c>
    </row>
    <row r="647" customFormat="false" ht="15" hidden="false" customHeight="false" outlineLevel="0" collapsed="false">
      <c r="A647" s="5" t="s">
        <v>651</v>
      </c>
      <c r="B647" s="0" t="s">
        <v>40</v>
      </c>
      <c r="D647" s="17" t="n">
        <f aca="false">D641/C641-1</f>
        <v>0.433158439908774</v>
      </c>
      <c r="E647" s="17" t="n">
        <f aca="false">E641/D641-1</f>
        <v>0.524246149267261</v>
      </c>
      <c r="F647" s="17" t="n">
        <f aca="false">F641/E641-1</f>
        <v>0.240062880899488</v>
      </c>
      <c r="G647" s="17" t="n">
        <f aca="false">G641/F641-1</f>
        <v>0.120151403879686</v>
      </c>
    </row>
    <row r="648" customFormat="false" ht="17.15" hidden="false" customHeight="false" outlineLevel="0" collapsed="false">
      <c r="A648" s="5" t="s">
        <v>529</v>
      </c>
      <c r="B648" s="0" t="s">
        <v>229</v>
      </c>
      <c r="C648" s="21" t="n">
        <f aca="false">a25_gp</f>
        <v>18.165</v>
      </c>
      <c r="D648" s="21" t="n">
        <f aca="false">a26_gp</f>
        <v>27.697067236</v>
      </c>
      <c r="E648" s="21" t="n">
        <f aca="false">E641-E638</f>
        <v>37.6214400202508</v>
      </c>
      <c r="F648" s="21" t="n">
        <f aca="false">F641-F638</f>
        <v>44.8463013625364</v>
      </c>
      <c r="G648" s="21" t="n">
        <f aca="false">G641-G638</f>
        <v>50.6973241546555</v>
      </c>
    </row>
    <row r="649" customFormat="false" ht="15" hidden="false" customHeight="false" outlineLevel="0" collapsed="false">
      <c r="A649" s="5" t="s">
        <v>615</v>
      </c>
      <c r="B649" s="0" t="s">
        <v>40</v>
      </c>
      <c r="C649" s="17" t="n">
        <f aca="false">C648/C641</f>
        <v>0.524408903259332</v>
      </c>
      <c r="D649" s="17" t="n">
        <f aca="false">D648/D641</f>
        <v>0.557922959690137</v>
      </c>
      <c r="E649" s="17" t="n">
        <f aca="false">E648/E641</f>
        <v>0.497188136060135</v>
      </c>
      <c r="F649" s="17" t="n">
        <f aca="false">F648/F641</f>
        <v>0.477934372095612</v>
      </c>
      <c r="G649" s="17" t="n">
        <f aca="false">G648/G641</f>
        <v>0.482336296288716</v>
      </c>
    </row>
    <row r="650" customFormat="false" ht="17.15" hidden="false" customHeight="false" outlineLevel="0" collapsed="false">
      <c r="A650" s="5" t="s">
        <v>652</v>
      </c>
      <c r="B650" s="0" t="s">
        <v>229</v>
      </c>
      <c r="C650" s="21" t="n">
        <f aca="false">a25_opx</f>
        <v>10.397</v>
      </c>
      <c r="D650" s="21" t="n">
        <f aca="false">a26_opx</f>
        <v>14.0215</v>
      </c>
      <c r="E650" s="21" t="n">
        <f aca="false">D650*(1+MAX(g_opx_min,phi*E647))</f>
        <v>19.9374297020239</v>
      </c>
      <c r="F650" s="21" t="n">
        <f aca="false">E650*(1+MAX(g_opx_min,phi*F647))</f>
        <v>23.7894401991966</v>
      </c>
      <c r="G650" s="21" t="n">
        <f aca="false">F650*(1+MAX(g_opx_min,phi*G647))</f>
        <v>26.0898560499688</v>
      </c>
      <c r="H650" s="5" t="s">
        <v>653</v>
      </c>
    </row>
    <row r="651" customFormat="false" ht="15" hidden="false" customHeight="false" outlineLevel="0" collapsed="false">
      <c r="A651" s="5" t="s">
        <v>654</v>
      </c>
      <c r="B651" s="0" t="s">
        <v>229</v>
      </c>
      <c r="C651" s="21" t="n">
        <f aca="false">C650</f>
        <v>10.397</v>
      </c>
      <c r="D651" s="21" t="n">
        <f aca="false">D650</f>
        <v>14.0215</v>
      </c>
      <c r="E651" s="21" t="n">
        <f aca="false">E650+0*E641</f>
        <v>19.9374297020239</v>
      </c>
      <c r="F651" s="21" t="n">
        <f aca="false">F650+0*F641</f>
        <v>23.7894401991966</v>
      </c>
      <c r="G651" s="21" t="n">
        <f aca="false">G650+0*G641</f>
        <v>26.0898560499688</v>
      </c>
    </row>
    <row r="652" customFormat="false" ht="15" hidden="false" customHeight="false" outlineLevel="0" collapsed="false">
      <c r="A652" s="5" t="s">
        <v>616</v>
      </c>
      <c r="B652" s="0" t="s">
        <v>229</v>
      </c>
      <c r="C652" s="21" t="n">
        <f aca="false">C648-C651</f>
        <v>7.768</v>
      </c>
      <c r="D652" s="21" t="n">
        <f aca="false">D648-D651</f>
        <v>13.675567236</v>
      </c>
      <c r="E652" s="21" t="n">
        <f aca="false">E648-E651</f>
        <v>17.6840103182269</v>
      </c>
      <c r="F652" s="21" t="n">
        <f aca="false">F648-F651</f>
        <v>21.0568611633398</v>
      </c>
      <c r="G652" s="21" t="n">
        <f aca="false">G648-G651</f>
        <v>24.6074681046867</v>
      </c>
    </row>
    <row r="653" customFormat="false" ht="15" hidden="false" customHeight="false" outlineLevel="0" collapsed="false">
      <c r="A653" s="5" t="s">
        <v>617</v>
      </c>
      <c r="B653" s="0" t="s">
        <v>40</v>
      </c>
      <c r="C653" s="17" t="n">
        <f aca="false">C652/C641</f>
        <v>0.22425589653281</v>
      </c>
      <c r="D653" s="17" t="n">
        <f aca="false">D652/D641</f>
        <v>0.275477287278756</v>
      </c>
      <c r="E653" s="17" t="n">
        <f aca="false">E652/E641</f>
        <v>0.233703976335162</v>
      </c>
      <c r="F653" s="17" t="n">
        <f aca="false">F652/F641</f>
        <v>0.224406415080918</v>
      </c>
      <c r="G653" s="17" t="n">
        <f aca="false">G652/G641</f>
        <v>0.234116400117093</v>
      </c>
    </row>
    <row r="654" customFormat="false" ht="17.15" hidden="false" customHeight="false" outlineLevel="0" collapsed="false">
      <c r="A654" s="5" t="s">
        <v>655</v>
      </c>
      <c r="B654" s="0" t="s">
        <v>229</v>
      </c>
      <c r="C654" s="9" t="n">
        <f aca="false">a25_oth</f>
        <v>0.081</v>
      </c>
      <c r="D654" s="9" t="n">
        <f aca="false">a26_oth</f>
        <v>0.25</v>
      </c>
      <c r="E654" s="9" t="n">
        <f aca="false">oth_f</f>
        <v>0.2</v>
      </c>
      <c r="F654" s="9" t="n">
        <f aca="false">oth_f</f>
        <v>0.2</v>
      </c>
      <c r="G654" s="9" t="n">
        <f aca="false">oth_f</f>
        <v>0.2</v>
      </c>
    </row>
    <row r="655" customFormat="false" ht="15" hidden="false" customHeight="false" outlineLevel="0" collapsed="false">
      <c r="A655" s="5" t="s">
        <v>656</v>
      </c>
      <c r="B655" s="0" t="s">
        <v>40</v>
      </c>
      <c r="C655" s="17" t="n">
        <f aca="false">a25_etr</f>
        <v>0.129698050707096</v>
      </c>
      <c r="D655" s="17" t="n">
        <f aca="false">a26_etr</f>
        <v>0.129883667216384</v>
      </c>
      <c r="E655" s="17" t="n">
        <f aca="false">tx_f</f>
        <v>0.13</v>
      </c>
      <c r="F655" s="17" t="n">
        <f aca="false">tx_f</f>
        <v>0.13</v>
      </c>
      <c r="G655" s="17" t="n">
        <f aca="false">tx_f</f>
        <v>0.13</v>
      </c>
    </row>
    <row r="656" customFormat="false" ht="17.15" hidden="false" customHeight="false" outlineLevel="0" collapsed="false">
      <c r="A656" s="5" t="s">
        <v>547</v>
      </c>
      <c r="B656" s="0" t="s">
        <v>229</v>
      </c>
      <c r="C656" s="21" t="n">
        <f aca="false">a25_ni</f>
        <v>6.831</v>
      </c>
      <c r="D656" s="21" t="n">
        <f aca="false">a26_ni</f>
        <v>12.11686349532</v>
      </c>
      <c r="E656" s="21" t="n">
        <f aca="false">(E652+E654)*(1-E655)</f>
        <v>15.5590889768574</v>
      </c>
      <c r="F656" s="21" t="n">
        <f aca="false">(F652+F654)*(1-F655)</f>
        <v>18.4934692121056</v>
      </c>
      <c r="G656" s="21" t="n">
        <f aca="false">(G652+G654)*(1-G655)</f>
        <v>21.5824972510774</v>
      </c>
    </row>
    <row r="657" customFormat="false" ht="15" hidden="false" customHeight="false" outlineLevel="0" collapsed="false">
      <c r="A657" s="5" t="s">
        <v>657</v>
      </c>
      <c r="B657" s="5" t="s">
        <v>309</v>
      </c>
      <c r="C657" s="16" t="n">
        <f aca="false">a25_sh</f>
        <v>1.636</v>
      </c>
      <c r="D657" s="16" t="n">
        <f aca="false">a26_sh</f>
        <v>1.6585805</v>
      </c>
      <c r="E657" s="16" t="n">
        <f aca="false">D657*(1+sh_g)</f>
        <v>1.675166305</v>
      </c>
      <c r="F657" s="16" t="n">
        <f aca="false">E657*(1+sh_g)</f>
        <v>1.69191796805</v>
      </c>
      <c r="G657" s="16" t="n">
        <f aca="false">F657*(1+sh_g)</f>
        <v>1.7088371477305</v>
      </c>
    </row>
    <row r="658" customFormat="false" ht="17.15" hidden="false" customHeight="false" outlineLevel="0" collapsed="false">
      <c r="A658" s="5" t="s">
        <v>658</v>
      </c>
      <c r="B658" s="5" t="s">
        <v>309</v>
      </c>
      <c r="C658" s="16" t="n">
        <f aca="false">0</f>
        <v>0</v>
      </c>
      <c r="D658" s="16" t="n">
        <f aca="false">0</f>
        <v>0</v>
      </c>
      <c r="E658" s="16" t="n">
        <f aca="false">w_tot/w_gw*(gw_26+gw_27)/2*wf_lo</f>
        <v>0</v>
      </c>
      <c r="F658" s="16" t="n">
        <f aca="false">w_tot/w_gw*(gw_27+gw_28*um28_A)/2*wf_lo</f>
        <v>0</v>
      </c>
      <c r="G658" s="16" t="n">
        <f aca="false">w_tot/w_gw*(gw_28*um28_A+gw_29*um29_A)/2*wf_lo</f>
        <v>0</v>
      </c>
      <c r="H658" s="8" t="s">
        <v>659</v>
      </c>
    </row>
    <row r="659" customFormat="false" ht="15" hidden="false" customHeight="false" outlineLevel="0" collapsed="false">
      <c r="A659" s="5" t="s">
        <v>618</v>
      </c>
      <c r="B659" s="5" t="s">
        <v>309</v>
      </c>
      <c r="C659" s="16" t="n">
        <f aca="false">C657+C658</f>
        <v>1.636</v>
      </c>
      <c r="D659" s="16" t="n">
        <f aca="false">D657+D658</f>
        <v>1.6585805</v>
      </c>
      <c r="E659" s="16" t="n">
        <f aca="false">E657+E658</f>
        <v>1.675166305</v>
      </c>
      <c r="F659" s="16" t="n">
        <f aca="false">F657+F658</f>
        <v>1.69191796805</v>
      </c>
      <c r="G659" s="16" t="n">
        <f aca="false">G657+G658</f>
        <v>1.7088371477305</v>
      </c>
    </row>
    <row r="660" customFormat="false" ht="17.15" hidden="false" customHeight="false" outlineLevel="0" collapsed="false">
      <c r="A660" s="0" t="s">
        <v>619</v>
      </c>
      <c r="B660" s="0" t="s">
        <v>396</v>
      </c>
      <c r="C660" s="9" t="n">
        <f aca="false">C656/C659</f>
        <v>4.17542787286064</v>
      </c>
      <c r="D660" s="9" t="n">
        <f aca="false">D656/D659</f>
        <v>7.30556249474777</v>
      </c>
      <c r="E660" s="9" t="n">
        <f aca="false">E656/E659</f>
        <v>9.28808616220191</v>
      </c>
      <c r="F660" s="9" t="n">
        <f aca="false">F656/F659</f>
        <v>10.9304762768257</v>
      </c>
      <c r="G660" s="9" t="n">
        <f aca="false">G656/G659</f>
        <v>12.6299321616112</v>
      </c>
    </row>
    <row r="661" customFormat="false" ht="17.15" hidden="false" customHeight="false" outlineLevel="0" collapsed="false">
      <c r="A661" s="0" t="s">
        <v>660</v>
      </c>
      <c r="B661" s="0" t="s">
        <v>40</v>
      </c>
      <c r="D661" s="17" t="n">
        <f aca="false">D660/C660-1</f>
        <v>0.749656015430735</v>
      </c>
      <c r="E661" s="17" t="n">
        <f aca="false">E660/D660-1</f>
        <v>0.271371803181404</v>
      </c>
      <c r="F661" s="17" t="n">
        <f aca="false">F660/E660-1</f>
        <v>0.176827613993021</v>
      </c>
      <c r="G661" s="17" t="n">
        <f aca="false">G660/F660-1</f>
        <v>0.1554786673284</v>
      </c>
    </row>
    <row r="664" customFormat="false" ht="17.15" hidden="false" customHeight="false" outlineLevel="0" collapsed="false">
      <c r="A664" s="3" t="s">
        <v>1003</v>
      </c>
    </row>
    <row r="665" customFormat="false" ht="15" hidden="false" customHeight="false" outlineLevel="0" collapsed="false">
      <c r="A665" s="6" t="s">
        <v>18</v>
      </c>
      <c r="B665" s="6" t="s">
        <v>19</v>
      </c>
      <c r="C665" s="13" t="s">
        <v>603</v>
      </c>
      <c r="D665" s="13" t="s">
        <v>604</v>
      </c>
      <c r="E665" s="13" t="s">
        <v>605</v>
      </c>
      <c r="F665" s="13" t="s">
        <v>606</v>
      </c>
      <c r="G665" s="13" t="s">
        <v>607</v>
      </c>
      <c r="H665" s="6" t="s">
        <v>572</v>
      </c>
    </row>
    <row r="666" customFormat="false" ht="17.15" hidden="false" customHeight="false" outlineLevel="0" collapsed="false">
      <c r="A666" s="1" t="s">
        <v>627</v>
      </c>
    </row>
    <row r="667" customFormat="false" ht="17.15" hidden="false" customHeight="false" outlineLevel="0" collapsed="false">
      <c r="A667" s="0" t="s">
        <v>628</v>
      </c>
      <c r="B667" s="0" t="s">
        <v>125</v>
      </c>
      <c r="D667" s="16" t="n">
        <f aca="false">k_rec</f>
        <v>0.673483215644445</v>
      </c>
      <c r="E667" s="16" t="n">
        <f aca="false">k_rec*1</f>
        <v>0.673483215644445</v>
      </c>
      <c r="F667" s="16" t="n">
        <f aca="false">k_rec*1</f>
        <v>0.673483215644445</v>
      </c>
      <c r="G667" s="16" t="n">
        <f aca="false">k_rec*1</f>
        <v>0.673483215644445</v>
      </c>
    </row>
    <row r="668" customFormat="false" ht="17.15" hidden="false" customHeight="false" outlineLevel="0" collapsed="false">
      <c r="A668" s="5" t="s">
        <v>629</v>
      </c>
      <c r="B668" s="0" t="s">
        <v>229</v>
      </c>
      <c r="D668" s="21" t="n">
        <f aca="false">Units!C24</f>
        <v>419.36</v>
      </c>
      <c r="E668" s="21" t="n">
        <f aca="false">Units!D24</f>
        <v>671.46</v>
      </c>
      <c r="F668" s="21" t="n">
        <f aca="false">Units!E24</f>
        <v>763.2</v>
      </c>
      <c r="G668" s="21" t="n">
        <f aca="false">Units!F24</f>
        <v>864.55</v>
      </c>
    </row>
    <row r="669" customFormat="false" ht="17.15" hidden="false" customHeight="false" outlineLevel="0" collapsed="false">
      <c r="A669" s="0" t="s">
        <v>630</v>
      </c>
      <c r="B669" s="0" t="s">
        <v>40</v>
      </c>
      <c r="D669" s="17" t="n">
        <f aca="false">Units!C33</f>
        <v>0.0536531858069439</v>
      </c>
      <c r="E669" s="17" t="n">
        <f aca="false">Units!D33</f>
        <v>0.0670181395764454</v>
      </c>
      <c r="F669" s="17" t="n">
        <f aca="false">Units!E33</f>
        <v>0.0786163522012579</v>
      </c>
      <c r="G669" s="17" t="n">
        <f aca="false">Units!F33</f>
        <v>0.0798103059395061</v>
      </c>
    </row>
    <row r="670" customFormat="false" ht="17.15" hidden="false" customHeight="false" outlineLevel="0" collapsed="false">
      <c r="A670" s="0" t="s">
        <v>631</v>
      </c>
      <c r="B670" s="5" t="s">
        <v>29</v>
      </c>
      <c r="D670" s="9" t="n">
        <f aca="false">Units!C10</f>
        <v>0.75</v>
      </c>
      <c r="E670" s="9" t="n">
        <f aca="false">Units!D10</f>
        <v>1.5</v>
      </c>
      <c r="F670" s="9" t="n">
        <f aca="false">Units!E10</f>
        <v>2</v>
      </c>
      <c r="G670" s="9" t="n">
        <f aca="false">Units!F10</f>
        <v>2.3</v>
      </c>
    </row>
    <row r="671" customFormat="false" ht="17.15" hidden="false" customHeight="false" outlineLevel="0" collapsed="false">
      <c r="A671" s="0" t="s">
        <v>632</v>
      </c>
      <c r="B671" s="5" t="s">
        <v>29</v>
      </c>
      <c r="D671" s="9" t="n">
        <f aca="false">D670*D667</f>
        <v>0.505112411733333</v>
      </c>
      <c r="E671" s="9" t="n">
        <f aca="false">E670*E667</f>
        <v>1.01022482346667</v>
      </c>
      <c r="F671" s="9" t="n">
        <f aca="false">F670*F667</f>
        <v>1.34696643128889</v>
      </c>
      <c r="G671" s="9" t="n">
        <f aca="false">G670*G667</f>
        <v>1.54901139598222</v>
      </c>
    </row>
    <row r="672" customFormat="false" ht="17.15" hidden="false" customHeight="false" outlineLevel="0" collapsed="false">
      <c r="A672" s="5" t="s">
        <v>633</v>
      </c>
      <c r="B672" s="0" t="s">
        <v>125</v>
      </c>
      <c r="D672" s="16" t="n">
        <f aca="false">1</f>
        <v>1</v>
      </c>
      <c r="E672" s="16" t="n">
        <f aca="false">pg_27</f>
        <v>1</v>
      </c>
      <c r="F672" s="16" t="n">
        <f aca="false">pg_28</f>
        <v>1</v>
      </c>
      <c r="G672" s="16" t="n">
        <f aca="false">pg_29</f>
        <v>1</v>
      </c>
    </row>
    <row r="673" customFormat="false" ht="17.15" hidden="false" customHeight="false" outlineLevel="0" collapsed="false">
      <c r="A673" s="0" t="s">
        <v>634</v>
      </c>
      <c r="B673" s="0" t="s">
        <v>229</v>
      </c>
      <c r="D673" s="21" t="n">
        <f aca="false">D668*D669*D667*D672</f>
        <v>15.153372352</v>
      </c>
      <c r="E673" s="21" t="n">
        <f aca="false">E668*E669*E667*E672</f>
        <v>30.306744704</v>
      </c>
      <c r="F673" s="21" t="n">
        <f aca="false">F668*F669*F667*F672</f>
        <v>40.4089929386667</v>
      </c>
      <c r="G673" s="21" t="n">
        <f aca="false">G668*G669*G667*G672</f>
        <v>46.4703418794667</v>
      </c>
    </row>
    <row r="674" customFormat="false" ht="17.15" hidden="false" customHeight="false" outlineLevel="0" collapsed="false">
      <c r="A674" s="0" t="s">
        <v>635</v>
      </c>
      <c r="B674" s="0" t="s">
        <v>125</v>
      </c>
      <c r="D674" s="16" t="n">
        <f aca="false">hbm_A_26/hbm_A_26</f>
        <v>1</v>
      </c>
      <c r="E674" s="16" t="n">
        <f aca="false">hbm_A_27/hbm_A_26</f>
        <v>1.8</v>
      </c>
      <c r="F674" s="16" t="n">
        <f aca="false">hbm_A_28/hbm_A_26</f>
        <v>1.98</v>
      </c>
      <c r="G674" s="16" t="n">
        <f aca="false">hbm_A_29/hbm_A_26</f>
        <v>1.881</v>
      </c>
    </row>
    <row r="675" customFormat="false" ht="17.15" hidden="false" customHeight="false" outlineLevel="0" collapsed="false">
      <c r="A675" s="5" t="s">
        <v>636</v>
      </c>
      <c r="B675" s="0" t="s">
        <v>229</v>
      </c>
      <c r="D675" s="21" t="n">
        <f aca="false">D673*(1+(1-abs_mem)*hs_26*(D674-1))</f>
        <v>15.153372352</v>
      </c>
      <c r="E675" s="21" t="n">
        <f aca="false">E673*(1+(1-abs_mem)*hs_26*(E674-1))</f>
        <v>32.829624704</v>
      </c>
      <c r="F675" s="21" t="n">
        <f aca="false">F673*(1+(1-abs_mem)*hs_26*(F674-1))</f>
        <v>44.5296969386667</v>
      </c>
      <c r="G675" s="21" t="n">
        <f aca="false">G673*(1+(1-abs_mem)*hs_26*(G674-1))</f>
        <v>50.7304349994667</v>
      </c>
    </row>
    <row r="676" customFormat="false" ht="17.15" hidden="false" customHeight="false" outlineLevel="0" collapsed="false">
      <c r="A676" s="5" t="s">
        <v>637</v>
      </c>
      <c r="B676" s="0" t="s">
        <v>229</v>
      </c>
      <c r="D676" s="21" t="n">
        <f aca="false">D673*((1-gm_gpu)+hs_26*(D674-1))</f>
        <v>7.576686176</v>
      </c>
      <c r="E676" s="21" t="n">
        <f aca="false">E673*((1-gm_gpu)+hs_26*(E674-1))</f>
        <v>20.199132352</v>
      </c>
      <c r="F676" s="21" t="n">
        <f aca="false">F673*((1-gm_gpu)+hs_26*(F674-1))</f>
        <v>28.4459044693333</v>
      </c>
      <c r="G676" s="21" t="n">
        <f aca="false">G673*((1-gm_gpu)+hs_26*(G674-1))</f>
        <v>31.7553571797333</v>
      </c>
      <c r="H676" s="5" t="s">
        <v>638</v>
      </c>
    </row>
    <row r="677" customFormat="false" ht="17.15" hidden="false" customHeight="false" outlineLevel="0" collapsed="false">
      <c r="A677" s="5" t="s">
        <v>639</v>
      </c>
      <c r="B677" s="0" t="s">
        <v>40</v>
      </c>
      <c r="D677" s="17" t="n">
        <f aca="false">1-D676/D675</f>
        <v>0.5</v>
      </c>
      <c r="E677" s="17" t="n">
        <f aca="false">1-E676/E675</f>
        <v>0.38472850256071</v>
      </c>
      <c r="F677" s="17" t="n">
        <f aca="false">1-F676/F675</f>
        <v>0.361192497929785</v>
      </c>
      <c r="G677" s="17" t="n">
        <f aca="false">1-G676/G675</f>
        <v>0.374037356863445</v>
      </c>
    </row>
    <row r="678" customFormat="false" ht="17.15" hidden="false" customHeight="false" outlineLevel="0" collapsed="false">
      <c r="A678" s="5" t="s">
        <v>640</v>
      </c>
      <c r="B678" s="0" t="s">
        <v>229</v>
      </c>
      <c r="D678" s="21" t="n">
        <f aca="false">a26_dcx</f>
        <v>15.698097648</v>
      </c>
      <c r="E678" s="21" t="n">
        <f aca="false">D678*(1+g_cpu27)</f>
        <v>23.547146472</v>
      </c>
      <c r="F678" s="21" t="n">
        <f aca="false">E678*(1+g_cpu28)</f>
        <v>29.43393309</v>
      </c>
      <c r="G678" s="21" t="n">
        <f aca="false">F678*(1+g_cpu29)</f>
        <v>33.8490230535</v>
      </c>
    </row>
    <row r="679" customFormat="false" ht="15" hidden="false" customHeight="false" outlineLevel="0" collapsed="false">
      <c r="A679" s="0" t="s">
        <v>524</v>
      </c>
      <c r="B679" s="0" t="s">
        <v>229</v>
      </c>
      <c r="D679" s="21" t="n">
        <f aca="false">a26_cli</f>
        <v>12.037318</v>
      </c>
      <c r="E679" s="21" t="n">
        <f aca="false">D679*(1+g_cli)</f>
        <v>12.39843754</v>
      </c>
      <c r="F679" s="21" t="n">
        <f aca="false">E679*(1+g_cli)</f>
        <v>12.7703906662</v>
      </c>
      <c r="G679" s="21" t="n">
        <f aca="false">F679*(1+g_cli)</f>
        <v>13.153502386186</v>
      </c>
    </row>
    <row r="680" customFormat="false" ht="15" hidden="false" customHeight="false" outlineLevel="0" collapsed="false">
      <c r="A680" s="0" t="s">
        <v>526</v>
      </c>
      <c r="B680" s="0" t="s">
        <v>229</v>
      </c>
      <c r="D680" s="21" t="n">
        <f aca="false">a26_gam</f>
        <v>2.68308</v>
      </c>
      <c r="E680" s="21" t="n">
        <f aca="false">D680*(1+g_gam)</f>
        <v>2.414772</v>
      </c>
      <c r="F680" s="21" t="n">
        <f aca="false">E680*(1+g_gam)</f>
        <v>2.1732948</v>
      </c>
      <c r="G680" s="21" t="n">
        <f aca="false">F680*(1+g_gam)</f>
        <v>1.95596532</v>
      </c>
    </row>
    <row r="681" customFormat="false" ht="15" hidden="false" customHeight="false" outlineLevel="0" collapsed="false">
      <c r="A681" s="0" t="s">
        <v>527</v>
      </c>
      <c r="B681" s="0" t="s">
        <v>229</v>
      </c>
      <c r="D681" s="21" t="n">
        <f aca="false">a26_emb</f>
        <v>4.0713072</v>
      </c>
      <c r="E681" s="21" t="n">
        <f aca="false">D681*(1+g_emb)</f>
        <v>4.47843792</v>
      </c>
      <c r="F681" s="21" t="n">
        <f aca="false">E681*(1+g_emb)</f>
        <v>4.926281712</v>
      </c>
      <c r="G681" s="21" t="n">
        <f aca="false">F681*(1+g_emb)</f>
        <v>5.4189098832</v>
      </c>
    </row>
    <row r="682" customFormat="false" ht="17.15" hidden="false" customHeight="false" outlineLevel="0" collapsed="false">
      <c r="A682" s="5" t="s">
        <v>641</v>
      </c>
      <c r="B682" s="0" t="s">
        <v>229</v>
      </c>
      <c r="D682" s="21" t="n">
        <f aca="false">D678+D679+D680+D681</f>
        <v>34.489802848</v>
      </c>
      <c r="E682" s="21" t="n">
        <f aca="false">E678+E679+E680+E681</f>
        <v>42.838793932</v>
      </c>
      <c r="F682" s="21" t="n">
        <f aca="false">F678+F679+F680+F681</f>
        <v>49.3039002682</v>
      </c>
      <c r="G682" s="21" t="n">
        <f aca="false">G678+G679+G680+G681</f>
        <v>54.377400642886</v>
      </c>
    </row>
    <row r="683" customFormat="false" ht="17.15" hidden="false" customHeight="false" outlineLevel="0" collapsed="false">
      <c r="A683" s="5" t="s">
        <v>642</v>
      </c>
      <c r="B683" s="0" t="s">
        <v>40</v>
      </c>
      <c r="D683" s="17" t="n">
        <f aca="false">(a26_gp-(D675-D676))/D682</f>
        <v>0.583371878020658</v>
      </c>
      <c r="E683" s="17" t="n">
        <f aca="false">$D683</f>
        <v>0.583371878020658</v>
      </c>
      <c r="F683" s="17" t="n">
        <f aca="false">$D683</f>
        <v>0.583371878020658</v>
      </c>
      <c r="G683" s="17" t="n">
        <f aca="false">$D683</f>
        <v>0.583371878020658</v>
      </c>
      <c r="H683" s="8" t="s">
        <v>643</v>
      </c>
    </row>
    <row r="684" customFormat="false" ht="17.15" hidden="false" customHeight="false" outlineLevel="0" collapsed="false">
      <c r="A684" s="5" t="s">
        <v>644</v>
      </c>
      <c r="B684" s="0" t="s">
        <v>229</v>
      </c>
      <c r="D684" s="21" t="n">
        <f aca="false">(1-D683)*D682</f>
        <v>14.369421788</v>
      </c>
      <c r="E684" s="21" t="n">
        <f aca="false">(1-E683)*E682</f>
        <v>17.8478462637492</v>
      </c>
      <c r="F684" s="21" t="n">
        <f aca="false">(1-F683)*F682</f>
        <v>20.5413913749969</v>
      </c>
      <c r="G684" s="21" t="n">
        <f aca="false">(1-G683)*G682</f>
        <v>22.6551543079639</v>
      </c>
    </row>
    <row r="685" customFormat="false" ht="15" hidden="false" customHeight="false" outlineLevel="0" collapsed="false">
      <c r="A685" s="5" t="s">
        <v>645</v>
      </c>
      <c r="B685" s="0" t="s">
        <v>229</v>
      </c>
      <c r="D685" s="21" t="n">
        <f aca="false">D675+D682</f>
        <v>49.6431752</v>
      </c>
      <c r="E685" s="21" t="n">
        <f aca="false">E675+E682</f>
        <v>75.668418636</v>
      </c>
      <c r="F685" s="21" t="n">
        <f aca="false">F675+F682</f>
        <v>93.8335972068667</v>
      </c>
      <c r="G685" s="21" t="n">
        <f aca="false">G675+G682</f>
        <v>105.107835642353</v>
      </c>
    </row>
    <row r="686" customFormat="false" ht="15" hidden="false" customHeight="false" outlineLevel="0" collapsed="false">
      <c r="A686" s="5" t="s">
        <v>646</v>
      </c>
      <c r="B686" s="0" t="s">
        <v>229</v>
      </c>
      <c r="D686" s="21" t="n">
        <f aca="false">D676+D684</f>
        <v>21.946107964</v>
      </c>
      <c r="E686" s="21" t="n">
        <f aca="false">E676+E684</f>
        <v>38.0469786157492</v>
      </c>
      <c r="F686" s="21" t="n">
        <f aca="false">F676+F684</f>
        <v>48.9872958443303</v>
      </c>
      <c r="G686" s="21" t="n">
        <f aca="false">G676+G684</f>
        <v>54.4105114876972</v>
      </c>
    </row>
    <row r="687" customFormat="false" ht="17.15" hidden="false" customHeight="false" outlineLevel="0" collapsed="false">
      <c r="A687" s="5" t="s">
        <v>647</v>
      </c>
      <c r="B687" s="0" t="s">
        <v>40</v>
      </c>
      <c r="D687" s="17" t="n">
        <f aca="false">1-D686/D685</f>
        <v>0.557922959690137</v>
      </c>
      <c r="E687" s="17" t="n">
        <f aca="false">1-E686/E685</f>
        <v>0.497188136060135</v>
      </c>
      <c r="F687" s="17" t="n">
        <f aca="false">1-F686/F685</f>
        <v>0.477934372095612</v>
      </c>
      <c r="G687" s="17" t="n">
        <f aca="false">1-G686/G685</f>
        <v>0.482336296288716</v>
      </c>
      <c r="H687" s="8" t="s">
        <v>648</v>
      </c>
    </row>
    <row r="688" customFormat="false" ht="17.15" hidden="false" customHeight="false" outlineLevel="0" collapsed="false">
      <c r="A688" s="1" t="s">
        <v>649</v>
      </c>
    </row>
    <row r="689" customFormat="false" ht="15" hidden="false" customHeight="false" outlineLevel="0" collapsed="false">
      <c r="A689" s="5" t="s">
        <v>510</v>
      </c>
      <c r="B689" s="0" t="s">
        <v>229</v>
      </c>
      <c r="C689" s="21" t="n">
        <f aca="false">a25_rev</f>
        <v>34.639</v>
      </c>
      <c r="D689" s="21" t="n">
        <f aca="false">a26_rev</f>
        <v>49.6431752</v>
      </c>
      <c r="E689" s="21" t="n">
        <f aca="false">E685</f>
        <v>75.668418636</v>
      </c>
      <c r="F689" s="21" t="n">
        <f aca="false">F685</f>
        <v>93.8335972068667</v>
      </c>
      <c r="G689" s="21" t="n">
        <f aca="false">G685</f>
        <v>105.107835642353</v>
      </c>
    </row>
    <row r="690" customFormat="false" ht="15" hidden="false" customHeight="false" outlineLevel="0" collapsed="false">
      <c r="A690" s="0" t="s">
        <v>610</v>
      </c>
      <c r="B690" s="0" t="s">
        <v>229</v>
      </c>
      <c r="C690" s="21" t="n">
        <f aca="false">a25_dc</f>
        <v>16.635</v>
      </c>
      <c r="D690" s="21" t="n">
        <f aca="false">a26_dc</f>
        <v>30.85147</v>
      </c>
      <c r="E690" s="21" t="n">
        <f aca="false">E675+E678</f>
        <v>56.376771176</v>
      </c>
      <c r="F690" s="21" t="n">
        <f aca="false">F675+F678</f>
        <v>73.9636300286667</v>
      </c>
      <c r="G690" s="21" t="n">
        <f aca="false">G675+G678</f>
        <v>84.5794580529667</v>
      </c>
    </row>
    <row r="691" customFormat="false" ht="17.15" hidden="false" customHeight="false" outlineLevel="0" collapsed="false">
      <c r="A691" s="5" t="s">
        <v>611</v>
      </c>
      <c r="B691" s="0" t="s">
        <v>229</v>
      </c>
      <c r="C691" s="21" t="n">
        <f aca="false">a25_gpu</f>
        <v>6.5</v>
      </c>
      <c r="D691" s="21" t="n">
        <f aca="false">a26_gpu</f>
        <v>15.153372352</v>
      </c>
      <c r="E691" s="21" t="n">
        <f aca="false">E675</f>
        <v>32.829624704</v>
      </c>
      <c r="F691" s="21" t="n">
        <f aca="false">F675</f>
        <v>44.5296969386667</v>
      </c>
      <c r="G691" s="21" t="n">
        <f aca="false">G675</f>
        <v>50.7304349994667</v>
      </c>
    </row>
    <row r="692" customFormat="false" ht="17.15" hidden="false" customHeight="false" outlineLevel="0" collapsed="false">
      <c r="A692" s="5" t="s">
        <v>650</v>
      </c>
      <c r="B692" s="0" t="s">
        <v>229</v>
      </c>
      <c r="C692" s="21" t="n">
        <f aca="false">a25_dcx</f>
        <v>10.135</v>
      </c>
      <c r="D692" s="21" t="n">
        <f aca="false">a26_dcx</f>
        <v>15.698097648</v>
      </c>
      <c r="E692" s="21" t="n">
        <f aca="false">E678</f>
        <v>23.547146472</v>
      </c>
      <c r="F692" s="21" t="n">
        <f aca="false">F678</f>
        <v>29.43393309</v>
      </c>
      <c r="G692" s="21" t="n">
        <f aca="false">G678</f>
        <v>33.8490230535</v>
      </c>
    </row>
    <row r="693" customFormat="false" ht="17.15" hidden="false" customHeight="false" outlineLevel="0" collapsed="false">
      <c r="A693" s="0" t="s">
        <v>613</v>
      </c>
      <c r="B693" s="0" t="s">
        <v>229</v>
      </c>
      <c r="C693" s="21" t="n">
        <f aca="false">a25_cli+a25_gam</f>
        <v>14.55</v>
      </c>
      <c r="D693" s="21" t="n">
        <f aca="false">a26_cli+a26_gam</f>
        <v>14.720398</v>
      </c>
      <c r="E693" s="21" t="n">
        <f aca="false">E679+E680</f>
        <v>14.81320954</v>
      </c>
      <c r="F693" s="21" t="n">
        <f aca="false">F679+F680</f>
        <v>14.9436854662</v>
      </c>
      <c r="G693" s="21" t="n">
        <f aca="false">G679+G680</f>
        <v>15.109467706186</v>
      </c>
    </row>
    <row r="694" customFormat="false" ht="15" hidden="false" customHeight="false" outlineLevel="0" collapsed="false">
      <c r="A694" s="0" t="s">
        <v>614</v>
      </c>
      <c r="B694" s="0" t="s">
        <v>229</v>
      </c>
      <c r="C694" s="21" t="n">
        <f aca="false">a25_emb</f>
        <v>3.454</v>
      </c>
      <c r="D694" s="21" t="n">
        <f aca="false">a26_emb</f>
        <v>4.0713072</v>
      </c>
      <c r="E694" s="21" t="n">
        <f aca="false">E681</f>
        <v>4.47843792</v>
      </c>
      <c r="F694" s="21" t="n">
        <f aca="false">F681</f>
        <v>4.926281712</v>
      </c>
      <c r="G694" s="21" t="n">
        <f aca="false">G681</f>
        <v>5.4189098832</v>
      </c>
    </row>
    <row r="695" customFormat="false" ht="15" hidden="false" customHeight="false" outlineLevel="0" collapsed="false">
      <c r="A695" s="5" t="s">
        <v>651</v>
      </c>
      <c r="B695" s="0" t="s">
        <v>40</v>
      </c>
      <c r="D695" s="17" t="n">
        <f aca="false">D689/C689-1</f>
        <v>0.433158439908774</v>
      </c>
      <c r="E695" s="17" t="n">
        <f aca="false">E689/D689-1</f>
        <v>0.524246149267261</v>
      </c>
      <c r="F695" s="17" t="n">
        <f aca="false">F689/E689-1</f>
        <v>0.240062880899488</v>
      </c>
      <c r="G695" s="17" t="n">
        <f aca="false">G689/F689-1</f>
        <v>0.120151403879686</v>
      </c>
    </row>
    <row r="696" customFormat="false" ht="17.15" hidden="false" customHeight="false" outlineLevel="0" collapsed="false">
      <c r="A696" s="5" t="s">
        <v>529</v>
      </c>
      <c r="B696" s="0" t="s">
        <v>229</v>
      </c>
      <c r="C696" s="21" t="n">
        <f aca="false">a25_gp</f>
        <v>18.165</v>
      </c>
      <c r="D696" s="21" t="n">
        <f aca="false">a26_gp</f>
        <v>27.697067236</v>
      </c>
      <c r="E696" s="21" t="n">
        <f aca="false">E689-E686</f>
        <v>37.6214400202508</v>
      </c>
      <c r="F696" s="21" t="n">
        <f aca="false">F689-F686</f>
        <v>44.8463013625364</v>
      </c>
      <c r="G696" s="21" t="n">
        <f aca="false">G689-G686</f>
        <v>50.6973241546555</v>
      </c>
    </row>
    <row r="697" customFormat="false" ht="15" hidden="false" customHeight="false" outlineLevel="0" collapsed="false">
      <c r="A697" s="5" t="s">
        <v>615</v>
      </c>
      <c r="B697" s="0" t="s">
        <v>40</v>
      </c>
      <c r="C697" s="17" t="n">
        <f aca="false">C696/C689</f>
        <v>0.524408903259332</v>
      </c>
      <c r="D697" s="17" t="n">
        <f aca="false">D696/D689</f>
        <v>0.557922959690137</v>
      </c>
      <c r="E697" s="17" t="n">
        <f aca="false">E696/E689</f>
        <v>0.497188136060135</v>
      </c>
      <c r="F697" s="17" t="n">
        <f aca="false">F696/F689</f>
        <v>0.477934372095612</v>
      </c>
      <c r="G697" s="17" t="n">
        <f aca="false">G696/G689</f>
        <v>0.482336296288716</v>
      </c>
    </row>
    <row r="698" customFormat="false" ht="17.15" hidden="false" customHeight="false" outlineLevel="0" collapsed="false">
      <c r="A698" s="5" t="s">
        <v>652</v>
      </c>
      <c r="B698" s="0" t="s">
        <v>229</v>
      </c>
      <c r="C698" s="21" t="n">
        <f aca="false">a25_opx</f>
        <v>10.397</v>
      </c>
      <c r="D698" s="21" t="n">
        <f aca="false">a26_opx</f>
        <v>14.0215</v>
      </c>
      <c r="E698" s="21" t="n">
        <f aca="false">D698*(1+MAX(g_opx_min,phi*E695))</f>
        <v>19.9374297020239</v>
      </c>
      <c r="F698" s="21" t="n">
        <f aca="false">E698*(1+MAX(g_opx_min,phi*F695))</f>
        <v>23.7894401991966</v>
      </c>
      <c r="G698" s="21" t="n">
        <f aca="false">F698*(1+MAX(g_opx_min,phi*G695))</f>
        <v>26.0898560499688</v>
      </c>
      <c r="H698" s="5" t="s">
        <v>653</v>
      </c>
    </row>
    <row r="699" customFormat="false" ht="15" hidden="false" customHeight="false" outlineLevel="0" collapsed="false">
      <c r="A699" s="5" t="s">
        <v>654</v>
      </c>
      <c r="B699" s="0" t="s">
        <v>229</v>
      </c>
      <c r="C699" s="21" t="n">
        <f aca="false">C698</f>
        <v>10.397</v>
      </c>
      <c r="D699" s="21" t="n">
        <f aca="false">D698</f>
        <v>14.0215</v>
      </c>
      <c r="E699" s="21" t="n">
        <f aca="false">E698+0*E689</f>
        <v>19.9374297020239</v>
      </c>
      <c r="F699" s="21" t="n">
        <f aca="false">F698+0*F689</f>
        <v>23.7894401991966</v>
      </c>
      <c r="G699" s="21" t="n">
        <f aca="false">G698+0*G689</f>
        <v>26.0898560499688</v>
      </c>
    </row>
    <row r="700" customFormat="false" ht="15" hidden="false" customHeight="false" outlineLevel="0" collapsed="false">
      <c r="A700" s="5" t="s">
        <v>616</v>
      </c>
      <c r="B700" s="0" t="s">
        <v>229</v>
      </c>
      <c r="C700" s="21" t="n">
        <f aca="false">C696-C699</f>
        <v>7.768</v>
      </c>
      <c r="D700" s="21" t="n">
        <f aca="false">D696-D699</f>
        <v>13.675567236</v>
      </c>
      <c r="E700" s="21" t="n">
        <f aca="false">E696-E699</f>
        <v>17.6840103182269</v>
      </c>
      <c r="F700" s="21" t="n">
        <f aca="false">F696-F699</f>
        <v>21.0568611633398</v>
      </c>
      <c r="G700" s="21" t="n">
        <f aca="false">G696-G699</f>
        <v>24.6074681046867</v>
      </c>
    </row>
    <row r="701" customFormat="false" ht="15" hidden="false" customHeight="false" outlineLevel="0" collapsed="false">
      <c r="A701" s="5" t="s">
        <v>617</v>
      </c>
      <c r="B701" s="0" t="s">
        <v>40</v>
      </c>
      <c r="C701" s="17" t="n">
        <f aca="false">C700/C689</f>
        <v>0.22425589653281</v>
      </c>
      <c r="D701" s="17" t="n">
        <f aca="false">D700/D689</f>
        <v>0.275477287278756</v>
      </c>
      <c r="E701" s="17" t="n">
        <f aca="false">E700/E689</f>
        <v>0.233703976335162</v>
      </c>
      <c r="F701" s="17" t="n">
        <f aca="false">F700/F689</f>
        <v>0.224406415080918</v>
      </c>
      <c r="G701" s="17" t="n">
        <f aca="false">G700/G689</f>
        <v>0.234116400117093</v>
      </c>
    </row>
    <row r="702" customFormat="false" ht="17.15" hidden="false" customHeight="false" outlineLevel="0" collapsed="false">
      <c r="A702" s="5" t="s">
        <v>655</v>
      </c>
      <c r="B702" s="0" t="s">
        <v>229</v>
      </c>
      <c r="C702" s="9" t="n">
        <f aca="false">a25_oth</f>
        <v>0.081</v>
      </c>
      <c r="D702" s="9" t="n">
        <f aca="false">a26_oth</f>
        <v>0.25</v>
      </c>
      <c r="E702" s="9" t="n">
        <f aca="false">oth_f</f>
        <v>0.2</v>
      </c>
      <c r="F702" s="9" t="n">
        <f aca="false">oth_f</f>
        <v>0.2</v>
      </c>
      <c r="G702" s="9" t="n">
        <f aca="false">oth_f</f>
        <v>0.2</v>
      </c>
    </row>
    <row r="703" customFormat="false" ht="15" hidden="false" customHeight="false" outlineLevel="0" collapsed="false">
      <c r="A703" s="5" t="s">
        <v>656</v>
      </c>
      <c r="B703" s="0" t="s">
        <v>40</v>
      </c>
      <c r="C703" s="17" t="n">
        <f aca="false">a25_etr</f>
        <v>0.129698050707096</v>
      </c>
      <c r="D703" s="17" t="n">
        <f aca="false">a26_etr</f>
        <v>0.129883667216384</v>
      </c>
      <c r="E703" s="17" t="n">
        <f aca="false">tx_f</f>
        <v>0.13</v>
      </c>
      <c r="F703" s="17" t="n">
        <f aca="false">tx_f</f>
        <v>0.13</v>
      </c>
      <c r="G703" s="17" t="n">
        <f aca="false">tx_f</f>
        <v>0.13</v>
      </c>
    </row>
    <row r="704" customFormat="false" ht="17.15" hidden="false" customHeight="false" outlineLevel="0" collapsed="false">
      <c r="A704" s="5" t="s">
        <v>547</v>
      </c>
      <c r="B704" s="0" t="s">
        <v>229</v>
      </c>
      <c r="C704" s="21" t="n">
        <f aca="false">a25_ni</f>
        <v>6.831</v>
      </c>
      <c r="D704" s="21" t="n">
        <f aca="false">a26_ni</f>
        <v>12.11686349532</v>
      </c>
      <c r="E704" s="21" t="n">
        <f aca="false">(E700+E702)*(1-E703)</f>
        <v>15.5590889768574</v>
      </c>
      <c r="F704" s="21" t="n">
        <f aca="false">(F700+F702)*(1-F703)</f>
        <v>18.4934692121056</v>
      </c>
      <c r="G704" s="21" t="n">
        <f aca="false">(G700+G702)*(1-G703)</f>
        <v>21.5824972510774</v>
      </c>
    </row>
    <row r="705" customFormat="false" ht="15" hidden="false" customHeight="false" outlineLevel="0" collapsed="false">
      <c r="A705" s="5" t="s">
        <v>657</v>
      </c>
      <c r="B705" s="5" t="s">
        <v>309</v>
      </c>
      <c r="C705" s="16" t="n">
        <f aca="false">a25_sh</f>
        <v>1.636</v>
      </c>
      <c r="D705" s="16" t="n">
        <f aca="false">a26_sh</f>
        <v>1.6585805</v>
      </c>
      <c r="E705" s="16" t="n">
        <f aca="false">D705*(1+sh_g)</f>
        <v>1.675166305</v>
      </c>
      <c r="F705" s="16" t="n">
        <f aca="false">E705*(1+sh_g)</f>
        <v>1.69191796805</v>
      </c>
      <c r="G705" s="16" t="n">
        <f aca="false">F705*(1+sh_g)</f>
        <v>1.7088371477305</v>
      </c>
    </row>
    <row r="706" customFormat="false" ht="17.15" hidden="false" customHeight="false" outlineLevel="0" collapsed="false">
      <c r="A706" s="5" t="s">
        <v>658</v>
      </c>
      <c r="B706" s="5" t="s">
        <v>309</v>
      </c>
      <c r="C706" s="16" t="n">
        <f aca="false">0</f>
        <v>0</v>
      </c>
      <c r="D706" s="16" t="n">
        <f aca="false">0</f>
        <v>0</v>
      </c>
      <c r="E706" s="16" t="n">
        <f aca="false">w_tot/w_gw*(gw_26+gw_27)/2*wf_hi</f>
        <v>0.04</v>
      </c>
      <c r="F706" s="16" t="n">
        <f aca="false">w_tot/w_gw*(gw_27+gw_28*um28_A)/2*wf_hi</f>
        <v>0.12</v>
      </c>
      <c r="G706" s="16" t="n">
        <f aca="false">w_tot/w_gw*(gw_28*um28_A+gw_29*um29_A)/2*wf_hi</f>
        <v>0.2</v>
      </c>
      <c r="H706" s="8" t="s">
        <v>659</v>
      </c>
    </row>
    <row r="707" customFormat="false" ht="15" hidden="false" customHeight="false" outlineLevel="0" collapsed="false">
      <c r="A707" s="5" t="s">
        <v>618</v>
      </c>
      <c r="B707" s="5" t="s">
        <v>309</v>
      </c>
      <c r="C707" s="16" t="n">
        <f aca="false">C705+C706</f>
        <v>1.636</v>
      </c>
      <c r="D707" s="16" t="n">
        <f aca="false">D705+D706</f>
        <v>1.6585805</v>
      </c>
      <c r="E707" s="16" t="n">
        <f aca="false">E705+E706</f>
        <v>1.715166305</v>
      </c>
      <c r="F707" s="16" t="n">
        <f aca="false">F705+F706</f>
        <v>1.81191796805</v>
      </c>
      <c r="G707" s="16" t="n">
        <f aca="false">G705+G706</f>
        <v>1.9088371477305</v>
      </c>
    </row>
    <row r="708" customFormat="false" ht="17.15" hidden="false" customHeight="false" outlineLevel="0" collapsed="false">
      <c r="A708" s="0" t="s">
        <v>619</v>
      </c>
      <c r="B708" s="0" t="s">
        <v>396</v>
      </c>
      <c r="C708" s="9" t="n">
        <f aca="false">C704/C707</f>
        <v>4.17542787286064</v>
      </c>
      <c r="D708" s="9" t="n">
        <f aca="false">D704/D707</f>
        <v>7.30556249474777</v>
      </c>
      <c r="E708" s="9" t="n">
        <f aca="false">E704/E707</f>
        <v>9.07147541990536</v>
      </c>
      <c r="F708" s="9" t="n">
        <f aca="false">F704/F707</f>
        <v>10.2065709034325</v>
      </c>
      <c r="G708" s="9" t="n">
        <f aca="false">G704/G707</f>
        <v>11.3066205132993</v>
      </c>
    </row>
    <row r="709" customFormat="false" ht="17.15" hidden="false" customHeight="false" outlineLevel="0" collapsed="false">
      <c r="A709" s="0" t="s">
        <v>660</v>
      </c>
      <c r="B709" s="0" t="s">
        <v>40</v>
      </c>
      <c r="D709" s="17" t="n">
        <f aca="false">D708/C708-1</f>
        <v>0.749656015430735</v>
      </c>
      <c r="E709" s="17" t="n">
        <f aca="false">E708/D708-1</f>
        <v>0.241721691714658</v>
      </c>
      <c r="F709" s="17" t="n">
        <f aca="false">F708/E708-1</f>
        <v>0.125127989768499</v>
      </c>
      <c r="G709" s="17" t="n">
        <f aca="false">G708/F708-1</f>
        <v>0.107778569342706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0"/>
    <col collapsed="false" customWidth="true" hidden="false" outlineLevel="0" max="2" min="2" style="0" width="140"/>
  </cols>
  <sheetData>
    <row r="1" customFormat="false" ht="17.15" hidden="false" customHeight="false" outlineLevel="0" collapsed="false">
      <c r="A1" s="3" t="s">
        <v>1004</v>
      </c>
    </row>
    <row r="2" customFormat="false" ht="17.15" hidden="false" customHeight="false" outlineLevel="0" collapsed="false">
      <c r="A2" s="5" t="s">
        <v>1005</v>
      </c>
      <c r="B2" s="0" t="s">
        <v>1006</v>
      </c>
    </row>
    <row r="3" customFormat="false" ht="17.15" hidden="false" customHeight="false" outlineLevel="0" collapsed="false">
      <c r="A3" s="5" t="s">
        <v>1007</v>
      </c>
      <c r="B3" s="0" t="s">
        <v>1008</v>
      </c>
    </row>
    <row r="4" customFormat="false" ht="17.15" hidden="false" customHeight="false" outlineLevel="0" collapsed="false">
      <c r="A4" s="5" t="s">
        <v>1009</v>
      </c>
      <c r="B4" s="0" t="s">
        <v>1010</v>
      </c>
    </row>
    <row r="5" customFormat="false" ht="17.15" hidden="false" customHeight="false" outlineLevel="0" collapsed="false">
      <c r="A5" s="5" t="s">
        <v>1011</v>
      </c>
      <c r="B5" s="0" t="s">
        <v>1012</v>
      </c>
    </row>
    <row r="6" customFormat="false" ht="17.15" hidden="false" customHeight="false" outlineLevel="0" collapsed="false">
      <c r="A6" s="5" t="s">
        <v>1013</v>
      </c>
      <c r="B6" s="0" t="s">
        <v>1014</v>
      </c>
    </row>
    <row r="7" customFormat="false" ht="17.15" hidden="false" customHeight="false" outlineLevel="0" collapsed="false">
      <c r="A7" s="5" t="s">
        <v>1015</v>
      </c>
      <c r="B7" s="0" t="s">
        <v>1016</v>
      </c>
    </row>
    <row r="8" customFormat="false" ht="17.15" hidden="false" customHeight="false" outlineLevel="0" collapsed="false">
      <c r="A8" s="5" t="s">
        <v>1017</v>
      </c>
      <c r="B8" s="0" t="s">
        <v>1018</v>
      </c>
    </row>
    <row r="9" customFormat="false" ht="17.15" hidden="false" customHeight="false" outlineLevel="0" collapsed="false">
      <c r="A9" s="0" t="s">
        <v>1019</v>
      </c>
      <c r="B9" s="0" t="s">
        <v>1020</v>
      </c>
    </row>
    <row r="10" customFormat="false" ht="17.15" hidden="false" customHeight="false" outlineLevel="0" collapsed="false">
      <c r="A10" s="5" t="s">
        <v>1021</v>
      </c>
      <c r="B10" s="0" t="s">
        <v>1022</v>
      </c>
    </row>
    <row r="11" customFormat="false" ht="17.15" hidden="false" customHeight="false" outlineLevel="0" collapsed="false">
      <c r="A11" s="5" t="s">
        <v>1023</v>
      </c>
      <c r="B11" s="0" t="s">
        <v>1024</v>
      </c>
    </row>
    <row r="12" customFormat="false" ht="17.15" hidden="false" customHeight="false" outlineLevel="0" collapsed="false">
      <c r="A12" s="5" t="s">
        <v>1025</v>
      </c>
      <c r="B12" s="0" t="s">
        <v>1026</v>
      </c>
    </row>
    <row r="13" customFormat="false" ht="17.15" hidden="false" customHeight="false" outlineLevel="0" collapsed="false">
      <c r="A13" s="5" t="s">
        <v>1027</v>
      </c>
      <c r="B13" s="0" t="s">
        <v>1028</v>
      </c>
    </row>
    <row r="14" customFormat="false" ht="17.15" hidden="false" customHeight="false" outlineLevel="0" collapsed="false">
      <c r="A14" s="5" t="s">
        <v>1029</v>
      </c>
      <c r="B14" s="0" t="s">
        <v>1030</v>
      </c>
    </row>
    <row r="15" customFormat="false" ht="17.15" hidden="false" customHeight="false" outlineLevel="0" collapsed="false">
      <c r="A15" s="5" t="s">
        <v>1031</v>
      </c>
      <c r="B15" s="0" t="s">
        <v>1032</v>
      </c>
    </row>
    <row r="16" customFormat="false" ht="17.15" hidden="false" customHeight="false" outlineLevel="0" collapsed="false">
      <c r="A16" s="5" t="s">
        <v>1033</v>
      </c>
      <c r="B16" s="0" t="s">
        <v>1034</v>
      </c>
    </row>
    <row r="17" customFormat="false" ht="17.15" hidden="false" customHeight="false" outlineLevel="0" collapsed="false">
      <c r="A17" s="5" t="s">
        <v>1035</v>
      </c>
      <c r="B17" s="0" t="s">
        <v>1036</v>
      </c>
    </row>
    <row r="18" customFormat="false" ht="17.15" hidden="false" customHeight="false" outlineLevel="0" collapsed="false">
      <c r="A18" s="5" t="s">
        <v>1037</v>
      </c>
      <c r="B18" s="0" t="s">
        <v>1038</v>
      </c>
    </row>
    <row r="19" customFormat="false" ht="17.15" hidden="false" customHeight="false" outlineLevel="0" collapsed="false">
      <c r="A19" s="5" t="s">
        <v>1039</v>
      </c>
      <c r="B19" s="0" t="s">
        <v>1040</v>
      </c>
    </row>
    <row r="20" customFormat="false" ht="17.15" hidden="false" customHeight="false" outlineLevel="0" collapsed="false">
      <c r="A20" s="5" t="s">
        <v>1041</v>
      </c>
      <c r="B20" s="0" t="s">
        <v>1042</v>
      </c>
    </row>
    <row r="21" customFormat="false" ht="17.15" hidden="false" customHeight="false" outlineLevel="0" collapsed="false">
      <c r="A21" s="5" t="s">
        <v>1043</v>
      </c>
      <c r="B21" s="0" t="s">
        <v>1044</v>
      </c>
    </row>
    <row r="22" customFormat="false" ht="17.15" hidden="false" customHeight="false" outlineLevel="0" collapsed="false">
      <c r="A22" s="5" t="s">
        <v>1045</v>
      </c>
    </row>
    <row r="23" customFormat="false" ht="17.15" hidden="false" customHeight="false" outlineLevel="0" collapsed="false">
      <c r="A23" s="5" t="s">
        <v>1046</v>
      </c>
      <c r="B23" s="5" t="s">
        <v>1047</v>
      </c>
    </row>
    <row r="24" customFormat="false" ht="15" hidden="false" customHeight="false" outlineLevel="0" collapsed="false">
      <c r="A24" s="0" t="s">
        <v>1048</v>
      </c>
      <c r="B24" s="5" t="s">
        <v>1049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2026-10-25T04:52:12Z</dcterms:created>
  <dc:creator>openpyxl</dc:creator>
  <dc:description/>
  <dc:language>en-US</dc:language>
  <cp:lastModifiedBy/>
  <dcterms:modified xsi:type="dcterms:W3CDTF">2026-10-25T04:52:12Z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